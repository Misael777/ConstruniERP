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2015\Downloads\"/>
    </mc:Choice>
  </mc:AlternateContent>
  <xr:revisionPtr revIDLastSave="0" documentId="13_ncr:1_{77657E7F-AD8B-4961-AE5E-40D2D2BB7E86}" xr6:coauthVersionLast="47" xr6:coauthVersionMax="47" xr10:uidLastSave="{00000000-0000-0000-0000-000000000000}"/>
  <bookViews>
    <workbookView xWindow="-108" yWindow="-108" windowWidth="23256" windowHeight="12456" tabRatio="854" activeTab="3" xr2:uid="{00000000-000D-0000-FFFF-FFFF00000000}"/>
  </bookViews>
  <sheets>
    <sheet name="Plan Maestro" sheetId="23" r:id="rId1"/>
    <sheet name="Look A Head" sheetId="24" r:id="rId2"/>
    <sheet name="Restricciones" sheetId="26" r:id="rId3"/>
    <sheet name="PPC S1" sheetId="29" r:id="rId4"/>
    <sheet name="H PPC" sheetId="30" r:id="rId5"/>
    <sheet name="Flujo de caja" sheetId="28" r:id="rId6"/>
    <sheet name="Depositos" sheetId="27" r:id="rId7"/>
    <sheet name="Presupuesto Real Comparativo" sheetId="25" r:id="rId8"/>
    <sheet name="Valorización" sheetId="12" r:id="rId9"/>
    <sheet name="O. GRUESA" sheetId="2" r:id="rId10"/>
    <sheet name="ACERO" sheetId="4" r:id="rId11"/>
    <sheet name="O. HUMEDAD" sheetId="11" r:id="rId12"/>
    <sheet name="APUs Casco" sheetId="7" r:id="rId13"/>
    <sheet name="RESUMEN" sheetId="22" r:id="rId14"/>
    <sheet name="INSUMOS" sheetId="8" r:id="rId15"/>
    <sheet name="COSTO DE ACERO" sheetId="17" r:id="rId16"/>
    <sheet name="RATIO" sheetId="6" r:id="rId17"/>
    <sheet name="II.EE" sheetId="13" r:id="rId18"/>
    <sheet name="GG" sheetId="9" r:id="rId19"/>
  </sheets>
  <externalReferences>
    <externalReference r:id="rId20"/>
    <externalReference r:id="rId21"/>
    <externalReference r:id="rId22"/>
    <externalReference r:id="rId23"/>
  </externalReferences>
  <definedNames>
    <definedName name="_xlnm._FilterDatabase" localSheetId="4" hidden="1">'H PPC'!#REF!</definedName>
    <definedName name="_xlnm._FilterDatabase" localSheetId="3" hidden="1">'PPC S1'!$N$7:$P$8</definedName>
    <definedName name="_xlnm.Print_Area" localSheetId="10">ACERO!$A$1:$P$425</definedName>
    <definedName name="_xlnm.Print_Area" localSheetId="9">'O. GRUESA'!$A$1:$J$273</definedName>
    <definedName name="_xlnm.Print_Area" localSheetId="11">'O. HUMEDAD'!$A$1:$J$562</definedName>
    <definedName name="_xlnm.Print_Area" localSheetId="7">'Presupuesto Real Comparativo'!$A$1:$J$186</definedName>
    <definedName name="_xlnm.Print_Area" localSheetId="16">RATIO!$A$1:$F$32</definedName>
    <definedName name="_xlnm.Print_Area" localSheetId="13">RESUMEN!$A$1:$AI$61</definedName>
    <definedName name="_xlnm.Print_Area" localSheetId="8">Valorización!$A$1:$R$190</definedName>
    <definedName name="_xlnm.Print_Titles" localSheetId="10">ACERO!$1:$6</definedName>
    <definedName name="_xlnm.Print_Titles" localSheetId="9">'O. GRUESA'!$1:$6</definedName>
    <definedName name="_xlnm.Print_Titles" localSheetId="11">'O. HUMEDAD'!$1:$4</definedName>
    <definedName name="_xlnm.Print_Titles" localSheetId="7">'Presupuesto Real Comparativo'!$1:$7</definedName>
    <definedName name="_xlnm.Print_Titles" localSheetId="13">RESUMEN!$B:$C</definedName>
    <definedName name="_xlnm.Print_Titles" localSheetId="8">Valorización!$1:$7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1" i="30" l="1"/>
  <c r="F50" i="30"/>
  <c r="F49" i="30"/>
  <c r="F48" i="30"/>
  <c r="F47" i="30"/>
  <c r="F46" i="30"/>
  <c r="F45" i="30"/>
  <c r="F44" i="30"/>
  <c r="F43" i="30"/>
  <c r="F42" i="30"/>
  <c r="F41" i="30"/>
  <c r="F40" i="30"/>
  <c r="F39" i="30"/>
  <c r="F38" i="30"/>
  <c r="F34" i="30"/>
  <c r="F33" i="30"/>
  <c r="F32" i="30"/>
  <c r="F26" i="30"/>
  <c r="F25" i="30"/>
  <c r="F24" i="30"/>
  <c r="F23" i="30"/>
  <c r="F22" i="30"/>
  <c r="F21" i="30"/>
  <c r="F20" i="30"/>
  <c r="F19" i="30"/>
  <c r="F18" i="30"/>
  <c r="F17" i="30"/>
  <c r="F16" i="30"/>
  <c r="F15" i="30"/>
  <c r="F14" i="30"/>
  <c r="F13" i="30"/>
  <c r="F12" i="30"/>
  <c r="F11" i="30"/>
  <c r="C11" i="30"/>
  <c r="C12" i="30" s="1"/>
  <c r="C13" i="30" s="1"/>
  <c r="C14" i="30" s="1"/>
  <c r="C15" i="30" s="1"/>
  <c r="C16" i="30" s="1"/>
  <c r="C17" i="30" s="1"/>
  <c r="C18" i="30" s="1"/>
  <c r="C19" i="30" s="1"/>
  <c r="C20" i="30" s="1"/>
  <c r="C21" i="30" s="1"/>
  <c r="C22" i="30" s="1"/>
  <c r="C23" i="30" s="1"/>
  <c r="C24" i="30" s="1"/>
  <c r="C25" i="30" s="1"/>
  <c r="C26" i="30" s="1"/>
  <c r="N19" i="29"/>
  <c r="O19" i="29" s="1"/>
  <c r="R52" i="29"/>
  <c r="R51" i="29"/>
  <c r="R50" i="29"/>
  <c r="R49" i="29"/>
  <c r="R48" i="29"/>
  <c r="R47" i="29"/>
  <c r="R46" i="29"/>
  <c r="R45" i="29"/>
  <c r="R44" i="29"/>
  <c r="R43" i="29"/>
  <c r="R42" i="29"/>
  <c r="R41" i="29"/>
  <c r="R40" i="29"/>
  <c r="R39" i="29"/>
  <c r="O27" i="29"/>
  <c r="O26" i="29"/>
  <c r="O25" i="29"/>
  <c r="O24" i="29"/>
  <c r="O23" i="29"/>
  <c r="O22" i="29"/>
  <c r="O20" i="29"/>
  <c r="O18" i="29"/>
  <c r="O17" i="29"/>
  <c r="O16" i="29"/>
  <c r="O15" i="29"/>
  <c r="O14" i="29"/>
  <c r="O13" i="29"/>
  <c r="O12" i="29"/>
  <c r="O11" i="29"/>
  <c r="O7" i="29"/>
  <c r="N8" i="29"/>
  <c r="O8" i="29" s="1"/>
  <c r="N7" i="29"/>
  <c r="N27" i="29"/>
  <c r="N26" i="29"/>
  <c r="N25" i="29"/>
  <c r="N24" i="29"/>
  <c r="N23" i="29"/>
  <c r="N22" i="29"/>
  <c r="N20" i="29"/>
  <c r="N18" i="29"/>
  <c r="N17" i="29"/>
  <c r="N16" i="29"/>
  <c r="N15" i="29"/>
  <c r="N14" i="29"/>
  <c r="N13" i="29"/>
  <c r="N12" i="29"/>
  <c r="N11" i="29"/>
  <c r="N10" i="29"/>
  <c r="O10" i="29" s="1"/>
  <c r="F52" i="30" l="1"/>
  <c r="R30" i="29"/>
  <c r="R31" i="29"/>
  <c r="R32" i="29" l="1"/>
  <c r="E10" i="30"/>
  <c r="R33" i="29" l="1"/>
  <c r="D10" i="30"/>
  <c r="F10" i="30" s="1"/>
  <c r="D5" i="30" s="1"/>
  <c r="B10" i="28" l="1"/>
  <c r="C14" i="28"/>
  <c r="C15" i="28" s="1"/>
  <c r="G34" i="28"/>
  <c r="F34" i="28"/>
  <c r="E34" i="28"/>
  <c r="D34" i="28"/>
  <c r="C34" i="28"/>
  <c r="B33" i="28"/>
  <c r="B32" i="28"/>
  <c r="B31" i="28"/>
  <c r="G28" i="28"/>
  <c r="F28" i="28"/>
  <c r="E28" i="28"/>
  <c r="D28" i="28"/>
  <c r="C28" i="28"/>
  <c r="B27" i="28"/>
  <c r="B26" i="28"/>
  <c r="B24" i="28"/>
  <c r="B23" i="28"/>
  <c r="B21" i="28"/>
  <c r="B19" i="28"/>
  <c r="G12" i="28"/>
  <c r="G37" i="28" s="1"/>
  <c r="F12" i="28"/>
  <c r="E12" i="28"/>
  <c r="C12" i="28"/>
  <c r="B11" i="28"/>
  <c r="C8" i="28"/>
  <c r="D7" i="28"/>
  <c r="D8" i="28" s="1"/>
  <c r="C23" i="27"/>
  <c r="C19" i="27"/>
  <c r="D19" i="27" s="1"/>
  <c r="C6" i="27"/>
  <c r="D6" i="27" s="1"/>
  <c r="C4" i="27"/>
  <c r="J186" i="25"/>
  <c r="J184" i="25"/>
  <c r="C184" i="25" s="1"/>
  <c r="J31" i="12"/>
  <c r="C184" i="12"/>
  <c r="C188" i="12"/>
  <c r="L32" i="12"/>
  <c r="L42" i="12"/>
  <c r="L70" i="12"/>
  <c r="L73" i="12"/>
  <c r="L82" i="12"/>
  <c r="L90" i="12"/>
  <c r="L96" i="12"/>
  <c r="L97" i="12"/>
  <c r="L115" i="12"/>
  <c r="L118" i="12"/>
  <c r="L127" i="12"/>
  <c r="L134" i="12"/>
  <c r="L140" i="12"/>
  <c r="L158" i="12"/>
  <c r="L161" i="12"/>
  <c r="L170" i="12"/>
  <c r="L177" i="12"/>
  <c r="B15" i="26"/>
  <c r="J181" i="25"/>
  <c r="J180" i="25"/>
  <c r="J179" i="25"/>
  <c r="J178" i="25"/>
  <c r="J177" i="25"/>
  <c r="J176" i="25"/>
  <c r="J175" i="25"/>
  <c r="J174" i="25"/>
  <c r="J173" i="25"/>
  <c r="J172" i="25"/>
  <c r="J171" i="25"/>
  <c r="J170" i="25"/>
  <c r="J169" i="25"/>
  <c r="J168" i="25"/>
  <c r="J167" i="25"/>
  <c r="J166" i="25"/>
  <c r="J165" i="25"/>
  <c r="J164" i="25"/>
  <c r="J163" i="25"/>
  <c r="J162" i="25"/>
  <c r="J161" i="25"/>
  <c r="J160" i="25"/>
  <c r="J158" i="25"/>
  <c r="J157" i="25"/>
  <c r="J156" i="25"/>
  <c r="J155" i="25"/>
  <c r="J152" i="25"/>
  <c r="J151" i="25"/>
  <c r="J150" i="25"/>
  <c r="J148" i="25"/>
  <c r="J147" i="25"/>
  <c r="J146" i="25"/>
  <c r="J144" i="25"/>
  <c r="J143" i="25"/>
  <c r="J142" i="25"/>
  <c r="J140" i="25"/>
  <c r="J138" i="25"/>
  <c r="J137" i="25"/>
  <c r="J136" i="25"/>
  <c r="J135" i="25"/>
  <c r="J134" i="25"/>
  <c r="H134" i="25"/>
  <c r="H127" i="25" s="1"/>
  <c r="F134" i="25"/>
  <c r="F127" i="25" s="1"/>
  <c r="J133" i="25"/>
  <c r="J132" i="25"/>
  <c r="J131" i="25"/>
  <c r="J130" i="25"/>
  <c r="J129" i="25"/>
  <c r="J128" i="25"/>
  <c r="J127" i="25"/>
  <c r="G126" i="25"/>
  <c r="H126" i="25" s="1"/>
  <c r="E126" i="25"/>
  <c r="B126" i="25"/>
  <c r="B125" i="25"/>
  <c r="G124" i="25"/>
  <c r="H124" i="25" s="1"/>
  <c r="E124" i="25"/>
  <c r="I124" i="25" s="1"/>
  <c r="J124" i="25" s="1"/>
  <c r="B124" i="25"/>
  <c r="B123" i="25"/>
  <c r="B122" i="25"/>
  <c r="G121" i="25"/>
  <c r="H121" i="25" s="1"/>
  <c r="E121" i="25"/>
  <c r="F121" i="25" s="1"/>
  <c r="B121" i="25"/>
  <c r="G120" i="25"/>
  <c r="H120" i="25" s="1"/>
  <c r="E120" i="25"/>
  <c r="B120" i="25"/>
  <c r="G119" i="25"/>
  <c r="H119" i="25" s="1"/>
  <c r="E119" i="25"/>
  <c r="B119" i="25"/>
  <c r="J118" i="25"/>
  <c r="B117" i="25"/>
  <c r="G116" i="25"/>
  <c r="E116" i="25"/>
  <c r="I116" i="25" s="1"/>
  <c r="B116" i="25"/>
  <c r="J115" i="25"/>
  <c r="B115" i="25"/>
  <c r="G114" i="25"/>
  <c r="E114" i="25"/>
  <c r="I114" i="25" s="1"/>
  <c r="D114" i="25"/>
  <c r="C114" i="25"/>
  <c r="B114" i="25"/>
  <c r="G113" i="25"/>
  <c r="E113" i="25"/>
  <c r="D113" i="25"/>
  <c r="C113" i="25"/>
  <c r="B113" i="25"/>
  <c r="G112" i="25"/>
  <c r="E112" i="25"/>
  <c r="I112" i="25" s="1"/>
  <c r="D112" i="25"/>
  <c r="C112" i="25"/>
  <c r="B112" i="25"/>
  <c r="B111" i="25"/>
  <c r="G110" i="25"/>
  <c r="E110" i="25"/>
  <c r="I110" i="25" s="1"/>
  <c r="D110" i="25" s="1"/>
  <c r="C110" i="25"/>
  <c r="B110" i="25"/>
  <c r="G109" i="25"/>
  <c r="E109" i="25"/>
  <c r="D109" i="25"/>
  <c r="C109" i="25"/>
  <c r="B109" i="25"/>
  <c r="G108" i="25"/>
  <c r="E108" i="25"/>
  <c r="D108" i="25"/>
  <c r="F108" i="25" s="1"/>
  <c r="C108" i="25"/>
  <c r="B108" i="25"/>
  <c r="G107" i="25"/>
  <c r="E107" i="25"/>
  <c r="I107" i="25" s="1"/>
  <c r="D107" i="25"/>
  <c r="J107" i="25" s="1"/>
  <c r="C107" i="25"/>
  <c r="B107" i="25"/>
  <c r="B106" i="25"/>
  <c r="G105" i="25"/>
  <c r="E105" i="25"/>
  <c r="D105" i="25"/>
  <c r="C105" i="25"/>
  <c r="B105" i="25"/>
  <c r="G104" i="25"/>
  <c r="E104" i="25"/>
  <c r="D104" i="25"/>
  <c r="F104" i="25" s="1"/>
  <c r="C104" i="25"/>
  <c r="B104" i="25"/>
  <c r="G103" i="25"/>
  <c r="E103" i="25"/>
  <c r="D103" i="25"/>
  <c r="H103" i="25" s="1"/>
  <c r="C103" i="25"/>
  <c r="B103" i="25"/>
  <c r="B102" i="25"/>
  <c r="G101" i="25"/>
  <c r="E101" i="25"/>
  <c r="D101" i="25"/>
  <c r="C101" i="25"/>
  <c r="B101" i="25"/>
  <c r="G100" i="25"/>
  <c r="E100" i="25"/>
  <c r="D100" i="25"/>
  <c r="C100" i="25"/>
  <c r="B100" i="25"/>
  <c r="G99" i="25"/>
  <c r="E99" i="25"/>
  <c r="I99" i="25" s="1"/>
  <c r="D99" i="25"/>
  <c r="F99" i="25" s="1"/>
  <c r="C99" i="25"/>
  <c r="B99" i="25"/>
  <c r="B98" i="25"/>
  <c r="J97" i="25"/>
  <c r="B96" i="25"/>
  <c r="J95" i="25"/>
  <c r="J93" i="25"/>
  <c r="J92" i="25"/>
  <c r="J91" i="25"/>
  <c r="J90" i="25"/>
  <c r="I89" i="25"/>
  <c r="J89" i="25" s="1"/>
  <c r="J88" i="25"/>
  <c r="J87" i="25"/>
  <c r="J86" i="25"/>
  <c r="J85" i="25"/>
  <c r="J84" i="25"/>
  <c r="J83" i="25"/>
  <c r="J82" i="25"/>
  <c r="G81" i="25"/>
  <c r="H81" i="25" s="1"/>
  <c r="E81" i="25"/>
  <c r="B81" i="25"/>
  <c r="D80" i="25"/>
  <c r="B80" i="25"/>
  <c r="G79" i="25"/>
  <c r="E79" i="25"/>
  <c r="I79" i="25" s="1"/>
  <c r="D79" i="25"/>
  <c r="B79" i="25"/>
  <c r="B78" i="25"/>
  <c r="D77" i="25"/>
  <c r="B77" i="25"/>
  <c r="G76" i="25"/>
  <c r="E76" i="25"/>
  <c r="I76" i="25" s="1"/>
  <c r="D76" i="25"/>
  <c r="J76" i="25" s="1"/>
  <c r="B76" i="25"/>
  <c r="G75" i="25"/>
  <c r="E75" i="25"/>
  <c r="D75" i="25"/>
  <c r="B75" i="25"/>
  <c r="G74" i="25"/>
  <c r="E74" i="25"/>
  <c r="D74" i="25"/>
  <c r="F74" i="25" s="1"/>
  <c r="B74" i="25"/>
  <c r="J73" i="25"/>
  <c r="D72" i="25"/>
  <c r="B72" i="25"/>
  <c r="G71" i="25"/>
  <c r="E71" i="25"/>
  <c r="D71" i="25"/>
  <c r="F71" i="25" s="1"/>
  <c r="B71" i="25"/>
  <c r="J70" i="25"/>
  <c r="I69" i="25"/>
  <c r="G69" i="25"/>
  <c r="H69" i="25" s="1"/>
  <c r="E69" i="25"/>
  <c r="F69" i="25" s="1"/>
  <c r="G67" i="25"/>
  <c r="E67" i="25"/>
  <c r="I67" i="25" s="1"/>
  <c r="D67" i="25"/>
  <c r="H67" i="25" s="1"/>
  <c r="C67" i="25"/>
  <c r="B67" i="25"/>
  <c r="G66" i="25"/>
  <c r="E66" i="25"/>
  <c r="I66" i="25" s="1"/>
  <c r="D66" i="25"/>
  <c r="C66" i="25"/>
  <c r="B66" i="25"/>
  <c r="G65" i="25"/>
  <c r="E65" i="25"/>
  <c r="D65" i="25"/>
  <c r="C65" i="25"/>
  <c r="B65" i="25"/>
  <c r="B64" i="25"/>
  <c r="G63" i="25"/>
  <c r="E63" i="25"/>
  <c r="D63" i="25"/>
  <c r="C63" i="25"/>
  <c r="B63" i="25"/>
  <c r="G62" i="25"/>
  <c r="E62" i="25"/>
  <c r="D62" i="25"/>
  <c r="C62" i="25"/>
  <c r="B62" i="25"/>
  <c r="G61" i="25"/>
  <c r="E61" i="25"/>
  <c r="I61" i="25" s="1"/>
  <c r="D61" i="25"/>
  <c r="C61" i="25"/>
  <c r="B61" i="25"/>
  <c r="B60" i="25"/>
  <c r="G59" i="25"/>
  <c r="E59" i="25"/>
  <c r="D59" i="25"/>
  <c r="F59" i="25" s="1"/>
  <c r="C59" i="25"/>
  <c r="B59" i="25"/>
  <c r="G58" i="25"/>
  <c r="E58" i="25"/>
  <c r="D58" i="25"/>
  <c r="C58" i="25"/>
  <c r="B58" i="25"/>
  <c r="G57" i="25"/>
  <c r="E57" i="25"/>
  <c r="I57" i="25" s="1"/>
  <c r="D57" i="25"/>
  <c r="C57" i="25"/>
  <c r="B57" i="25"/>
  <c r="G56" i="25"/>
  <c r="E56" i="25"/>
  <c r="D56" i="25"/>
  <c r="C56" i="25"/>
  <c r="B56" i="25"/>
  <c r="B55" i="25"/>
  <c r="G54" i="25"/>
  <c r="E54" i="25"/>
  <c r="D54" i="25"/>
  <c r="C54" i="25"/>
  <c r="B54" i="25"/>
  <c r="G53" i="25"/>
  <c r="E53" i="25"/>
  <c r="D53" i="25"/>
  <c r="C53" i="25"/>
  <c r="B53" i="25"/>
  <c r="G52" i="25"/>
  <c r="E52" i="25"/>
  <c r="D52" i="25"/>
  <c r="F52" i="25" s="1"/>
  <c r="C52" i="25"/>
  <c r="B52" i="25"/>
  <c r="B51" i="25"/>
  <c r="G50" i="25"/>
  <c r="E50" i="25"/>
  <c r="I50" i="25" s="1"/>
  <c r="D50" i="25"/>
  <c r="C50" i="25"/>
  <c r="B50" i="25"/>
  <c r="G49" i="25"/>
  <c r="E49" i="25"/>
  <c r="I49" i="25" s="1"/>
  <c r="D49" i="25"/>
  <c r="C49" i="25"/>
  <c r="B49" i="25"/>
  <c r="G48" i="25"/>
  <c r="E48" i="25"/>
  <c r="D48" i="25"/>
  <c r="C48" i="25"/>
  <c r="B48" i="25"/>
  <c r="B47" i="25"/>
  <c r="G46" i="25"/>
  <c r="E46" i="25"/>
  <c r="I46" i="25" s="1"/>
  <c r="D46" i="25"/>
  <c r="C46" i="25"/>
  <c r="B46" i="25"/>
  <c r="G45" i="25"/>
  <c r="I45" i="25" s="1"/>
  <c r="E45" i="25"/>
  <c r="D45" i="25"/>
  <c r="C45" i="25"/>
  <c r="B45" i="25"/>
  <c r="G44" i="25"/>
  <c r="E44" i="25"/>
  <c r="D44" i="25"/>
  <c r="H44" i="25" s="1"/>
  <c r="C44" i="25"/>
  <c r="B44" i="25"/>
  <c r="B43" i="25"/>
  <c r="J42" i="25"/>
  <c r="B42" i="25"/>
  <c r="G41" i="25"/>
  <c r="E41" i="25"/>
  <c r="C41" i="25"/>
  <c r="B41" i="25"/>
  <c r="B40" i="25"/>
  <c r="G39" i="25"/>
  <c r="E39" i="25"/>
  <c r="D39" i="25"/>
  <c r="F39" i="25" s="1"/>
  <c r="C39" i="25"/>
  <c r="B39" i="25"/>
  <c r="G38" i="25"/>
  <c r="E38" i="25"/>
  <c r="I38" i="25" s="1"/>
  <c r="D38" i="25"/>
  <c r="C38" i="25"/>
  <c r="B38" i="25"/>
  <c r="B37" i="25"/>
  <c r="G36" i="25"/>
  <c r="E36" i="25"/>
  <c r="D36" i="25"/>
  <c r="F36" i="25" s="1"/>
  <c r="C36" i="25"/>
  <c r="B36" i="25"/>
  <c r="B35" i="25"/>
  <c r="G34" i="25"/>
  <c r="E34" i="25"/>
  <c r="I34" i="25" s="1"/>
  <c r="D34" i="25"/>
  <c r="C34" i="25"/>
  <c r="B34" i="25"/>
  <c r="J32" i="25"/>
  <c r="B32" i="25"/>
  <c r="B31" i="25"/>
  <c r="A31" i="25"/>
  <c r="G30" i="25"/>
  <c r="E30" i="25"/>
  <c r="D30" i="25"/>
  <c r="C30" i="25"/>
  <c r="E29" i="25"/>
  <c r="D29" i="25"/>
  <c r="H29" i="25" s="1"/>
  <c r="C29" i="25"/>
  <c r="G28" i="25"/>
  <c r="E28" i="25"/>
  <c r="I28" i="25" s="1"/>
  <c r="D28" i="25"/>
  <c r="H28" i="25" s="1"/>
  <c r="C28" i="25"/>
  <c r="G27" i="25"/>
  <c r="E27" i="25"/>
  <c r="I27" i="25" s="1"/>
  <c r="D27" i="25"/>
  <c r="C27" i="25"/>
  <c r="B27" i="25"/>
  <c r="G26" i="25"/>
  <c r="E26" i="25"/>
  <c r="D26" i="25"/>
  <c r="C26" i="25"/>
  <c r="B26" i="25"/>
  <c r="J25" i="25"/>
  <c r="B25" i="25"/>
  <c r="A25" i="25"/>
  <c r="D24" i="25"/>
  <c r="F24" i="25" s="1"/>
  <c r="C24" i="25"/>
  <c r="B24" i="25"/>
  <c r="A24" i="25"/>
  <c r="I23" i="25"/>
  <c r="D23" i="25"/>
  <c r="C23" i="25"/>
  <c r="B23" i="25"/>
  <c r="A23" i="25"/>
  <c r="D22" i="25"/>
  <c r="C22" i="25"/>
  <c r="B22" i="25"/>
  <c r="A22" i="25"/>
  <c r="I21" i="25"/>
  <c r="J21" i="25" s="1"/>
  <c r="H21" i="25"/>
  <c r="F21" i="25"/>
  <c r="C21" i="25"/>
  <c r="B21" i="25"/>
  <c r="A21" i="25"/>
  <c r="J20" i="25"/>
  <c r="B20" i="25"/>
  <c r="A20" i="25"/>
  <c r="G19" i="25"/>
  <c r="H19" i="25" s="1"/>
  <c r="E19" i="25"/>
  <c r="F19" i="25" s="1"/>
  <c r="C19" i="25"/>
  <c r="B19" i="25"/>
  <c r="D18" i="25"/>
  <c r="H18" i="25" s="1"/>
  <c r="C18" i="25"/>
  <c r="B18" i="25"/>
  <c r="D17" i="25"/>
  <c r="H17" i="25" s="1"/>
  <c r="C17" i="25"/>
  <c r="J16" i="25"/>
  <c r="H16" i="25"/>
  <c r="F16" i="25"/>
  <c r="D15" i="25"/>
  <c r="H15" i="25" s="1"/>
  <c r="C15" i="25"/>
  <c r="B15" i="25"/>
  <c r="J14" i="25"/>
  <c r="B14" i="25"/>
  <c r="A14" i="25"/>
  <c r="I13" i="25"/>
  <c r="D13" i="25"/>
  <c r="H13" i="25" s="1"/>
  <c r="C13" i="25"/>
  <c r="B13" i="25"/>
  <c r="G12" i="25"/>
  <c r="E12" i="25"/>
  <c r="I12" i="25" s="1"/>
  <c r="D12" i="25"/>
  <c r="H12" i="25" s="1"/>
  <c r="C12" i="25"/>
  <c r="B12" i="25"/>
  <c r="G11" i="25"/>
  <c r="I11" i="25" s="1"/>
  <c r="D11" i="25"/>
  <c r="C11" i="25"/>
  <c r="B11" i="25"/>
  <c r="I10" i="25"/>
  <c r="D10" i="25"/>
  <c r="H10" i="25" s="1"/>
  <c r="C10" i="25"/>
  <c r="B10" i="25"/>
  <c r="J9" i="25"/>
  <c r="B9" i="25"/>
  <c r="A9" i="25"/>
  <c r="B8" i="25"/>
  <c r="A8" i="25"/>
  <c r="C38" i="27" l="1"/>
  <c r="D38" i="27" s="1"/>
  <c r="C12" i="27"/>
  <c r="C13" i="27" s="1"/>
  <c r="D13" i="27" s="1"/>
  <c r="D14" i="28"/>
  <c r="D15" i="28" s="1"/>
  <c r="B34" i="28"/>
  <c r="B12" i="28"/>
  <c r="B28" i="28"/>
  <c r="B35" i="28" s="1"/>
  <c r="C35" i="28"/>
  <c r="C37" i="28" s="1"/>
  <c r="D12" i="28"/>
  <c r="D37" i="28" s="1"/>
  <c r="E35" i="28"/>
  <c r="E37" i="28" s="1"/>
  <c r="F35" i="28"/>
  <c r="E7" i="28"/>
  <c r="E8" i="28" s="1"/>
  <c r="F37" i="28"/>
  <c r="E14" i="28"/>
  <c r="F7" i="28"/>
  <c r="D23" i="27"/>
  <c r="D4" i="27"/>
  <c r="J11" i="25"/>
  <c r="J38" i="25"/>
  <c r="H45" i="25"/>
  <c r="H75" i="25"/>
  <c r="F53" i="25"/>
  <c r="I108" i="25"/>
  <c r="J13" i="25"/>
  <c r="J23" i="25"/>
  <c r="F27" i="25"/>
  <c r="F54" i="25"/>
  <c r="H58" i="25"/>
  <c r="H62" i="25"/>
  <c r="I101" i="25"/>
  <c r="J101" i="25" s="1"/>
  <c r="I105" i="25"/>
  <c r="J105" i="25" s="1"/>
  <c r="I119" i="25"/>
  <c r="J119" i="25" s="1"/>
  <c r="I56" i="25"/>
  <c r="J50" i="25"/>
  <c r="H104" i="25"/>
  <c r="H50" i="25"/>
  <c r="J31" i="25"/>
  <c r="J66" i="25"/>
  <c r="F45" i="25"/>
  <c r="J94" i="25"/>
  <c r="I94" i="25" s="1"/>
  <c r="J99" i="25"/>
  <c r="F10" i="25"/>
  <c r="I41" i="25"/>
  <c r="F34" i="25"/>
  <c r="H38" i="25"/>
  <c r="J61" i="25"/>
  <c r="J67" i="25"/>
  <c r="F58" i="25"/>
  <c r="I71" i="25"/>
  <c r="I75" i="25"/>
  <c r="J75" i="25" s="1"/>
  <c r="F100" i="25"/>
  <c r="I109" i="25"/>
  <c r="J109" i="25" s="1"/>
  <c r="H11" i="25"/>
  <c r="H9" i="25" s="1"/>
  <c r="H65" i="25"/>
  <c r="H100" i="25"/>
  <c r="J159" i="25"/>
  <c r="F62" i="25"/>
  <c r="J24" i="25"/>
  <c r="J22" i="25" s="1"/>
  <c r="I62" i="25"/>
  <c r="J62" i="25" s="1"/>
  <c r="I104" i="25"/>
  <c r="J104" i="25" s="1"/>
  <c r="F103" i="25"/>
  <c r="I52" i="25"/>
  <c r="J52" i="25" s="1"/>
  <c r="I54" i="25"/>
  <c r="J54" i="25" s="1"/>
  <c r="J34" i="25"/>
  <c r="F119" i="25"/>
  <c r="J12" i="25"/>
  <c r="J57" i="25"/>
  <c r="H76" i="25"/>
  <c r="F63" i="25"/>
  <c r="F66" i="25"/>
  <c r="I74" i="25"/>
  <c r="J74" i="25" s="1"/>
  <c r="J108" i="25"/>
  <c r="J18" i="25"/>
  <c r="F23" i="25"/>
  <c r="H54" i="25"/>
  <c r="F107" i="25"/>
  <c r="F11" i="25"/>
  <c r="H23" i="25"/>
  <c r="J71" i="25"/>
  <c r="J72" i="25" s="1"/>
  <c r="H99" i="25"/>
  <c r="I103" i="25"/>
  <c r="J103" i="25" s="1"/>
  <c r="H107" i="25"/>
  <c r="F124" i="25"/>
  <c r="H24" i="25"/>
  <c r="F67" i="25"/>
  <c r="I65" i="25"/>
  <c r="J65" i="25" s="1"/>
  <c r="J139" i="25"/>
  <c r="H30" i="25"/>
  <c r="H26" i="25"/>
  <c r="F38" i="25"/>
  <c r="I63" i="25"/>
  <c r="J63" i="25" s="1"/>
  <c r="F101" i="25"/>
  <c r="F105" i="25"/>
  <c r="H66" i="25"/>
  <c r="H105" i="25"/>
  <c r="F65" i="25"/>
  <c r="I100" i="25"/>
  <c r="J100" i="25" s="1"/>
  <c r="F76" i="25"/>
  <c r="J49" i="25"/>
  <c r="J48" i="25"/>
  <c r="I58" i="25"/>
  <c r="J58" i="25" s="1"/>
  <c r="H61" i="25"/>
  <c r="H101" i="25"/>
  <c r="I113" i="25"/>
  <c r="J113" i="25" s="1"/>
  <c r="I120" i="25"/>
  <c r="J120" i="25" s="1"/>
  <c r="F29" i="25"/>
  <c r="F12" i="25"/>
  <c r="I121" i="25"/>
  <c r="J121" i="25" s="1"/>
  <c r="H108" i="25"/>
  <c r="H34" i="25"/>
  <c r="I48" i="25"/>
  <c r="F56" i="25"/>
  <c r="F75" i="25"/>
  <c r="I29" i="25"/>
  <c r="J29" i="25" s="1"/>
  <c r="H39" i="25"/>
  <c r="J10" i="25"/>
  <c r="H14" i="25"/>
  <c r="F61" i="25"/>
  <c r="H46" i="25"/>
  <c r="F46" i="25"/>
  <c r="I59" i="25"/>
  <c r="J59" i="25" s="1"/>
  <c r="H59" i="25"/>
  <c r="F26" i="25"/>
  <c r="F50" i="25"/>
  <c r="H52" i="25"/>
  <c r="H56" i="25"/>
  <c r="H63" i="25"/>
  <c r="H36" i="25"/>
  <c r="I36" i="25"/>
  <c r="J36" i="25" s="1"/>
  <c r="I126" i="25"/>
  <c r="J126" i="25" s="1"/>
  <c r="F126" i="25"/>
  <c r="F48" i="25"/>
  <c r="J17" i="25"/>
  <c r="J79" i="25"/>
  <c r="H79" i="25"/>
  <c r="I81" i="25"/>
  <c r="J81" i="25" s="1"/>
  <c r="F81" i="25"/>
  <c r="J96" i="25"/>
  <c r="J56" i="25"/>
  <c r="F79" i="25"/>
  <c r="J44" i="25"/>
  <c r="I39" i="25"/>
  <c r="J39" i="25" s="1"/>
  <c r="J15" i="25"/>
  <c r="J27" i="25"/>
  <c r="F30" i="25"/>
  <c r="I30" i="25"/>
  <c r="J30" i="25" s="1"/>
  <c r="H48" i="25"/>
  <c r="J8" i="25"/>
  <c r="J28" i="25"/>
  <c r="F49" i="25"/>
  <c r="H74" i="25"/>
  <c r="F120" i="25"/>
  <c r="F57" i="25"/>
  <c r="F44" i="25"/>
  <c r="H113" i="25"/>
  <c r="F113" i="25"/>
  <c r="F15" i="25"/>
  <c r="H22" i="25"/>
  <c r="F22" i="25"/>
  <c r="F20" i="25" s="1"/>
  <c r="H71" i="25"/>
  <c r="F17" i="25"/>
  <c r="F18" i="25"/>
  <c r="F28" i="25"/>
  <c r="H27" i="25"/>
  <c r="H25" i="25" s="1"/>
  <c r="J46" i="25"/>
  <c r="J114" i="25"/>
  <c r="H114" i="25"/>
  <c r="F114" i="25"/>
  <c r="H49" i="25"/>
  <c r="H53" i="25"/>
  <c r="I53" i="25"/>
  <c r="J53" i="25" s="1"/>
  <c r="H57" i="25"/>
  <c r="J45" i="25"/>
  <c r="J112" i="25"/>
  <c r="H112" i="25"/>
  <c r="F112" i="25"/>
  <c r="H110" i="25"/>
  <c r="F110" i="25"/>
  <c r="I44" i="25"/>
  <c r="F13" i="25"/>
  <c r="F109" i="25"/>
  <c r="H109" i="25"/>
  <c r="D12" i="27" l="1"/>
  <c r="C39" i="27"/>
  <c r="D39" i="27" s="1"/>
  <c r="B37" i="28"/>
  <c r="F8" i="28"/>
  <c r="G7" i="28"/>
  <c r="G8" i="28" s="1"/>
  <c r="E15" i="28"/>
  <c r="F14" i="28"/>
  <c r="F97" i="25"/>
  <c r="F9" i="25"/>
  <c r="H42" i="25"/>
  <c r="F42" i="25"/>
  <c r="J183" i="25"/>
  <c r="H97" i="25"/>
  <c r="I22" i="25"/>
  <c r="H20" i="25"/>
  <c r="H8" i="25" s="1"/>
  <c r="I72" i="25"/>
  <c r="F25" i="25"/>
  <c r="J19" i="25"/>
  <c r="J26" i="25"/>
  <c r="F14" i="25"/>
  <c r="F8" i="25" s="1"/>
  <c r="J41" i="25"/>
  <c r="F15" i="28" l="1"/>
  <c r="G14" i="28"/>
  <c r="G15" i="28" s="1"/>
  <c r="D41" i="25"/>
  <c r="I19" i="25"/>
  <c r="I26" i="25"/>
  <c r="H41" i="25" l="1"/>
  <c r="H32" i="25" s="1"/>
  <c r="F41" i="25"/>
  <c r="F32" i="25" s="1"/>
  <c r="J177" i="12" l="1"/>
  <c r="J170" i="12"/>
  <c r="J161" i="12"/>
  <c r="J158" i="12"/>
  <c r="J140" i="12"/>
  <c r="J181" i="12"/>
  <c r="J180" i="12"/>
  <c r="J179" i="12"/>
  <c r="J178" i="12"/>
  <c r="J176" i="12"/>
  <c r="J175" i="12"/>
  <c r="J174" i="12"/>
  <c r="J173" i="12"/>
  <c r="J172" i="12"/>
  <c r="J171" i="12"/>
  <c r="J169" i="12"/>
  <c r="J168" i="12"/>
  <c r="J167" i="12"/>
  <c r="J166" i="12"/>
  <c r="J165" i="12"/>
  <c r="J164" i="12"/>
  <c r="J163" i="12"/>
  <c r="J162" i="12"/>
  <c r="J160" i="12"/>
  <c r="J157" i="12"/>
  <c r="J156" i="12"/>
  <c r="J155" i="12"/>
  <c r="J152" i="12"/>
  <c r="J151" i="12"/>
  <c r="J150" i="12"/>
  <c r="J148" i="12"/>
  <c r="J147" i="12"/>
  <c r="J146" i="12"/>
  <c r="J144" i="12"/>
  <c r="J143" i="12"/>
  <c r="J142" i="12"/>
  <c r="R177" i="12"/>
  <c r="P177" i="12"/>
  <c r="N177" i="12"/>
  <c r="R170" i="12"/>
  <c r="P170" i="12"/>
  <c r="N170" i="12"/>
  <c r="O169" i="12"/>
  <c r="Q169" i="12" s="1"/>
  <c r="O168" i="12"/>
  <c r="Q168" i="12" s="1"/>
  <c r="O167" i="12"/>
  <c r="Q167" i="12" s="1"/>
  <c r="O166" i="12"/>
  <c r="Q166" i="12" s="1"/>
  <c r="O165" i="12"/>
  <c r="Q165" i="12" s="1"/>
  <c r="O164" i="12"/>
  <c r="Q164" i="12" s="1"/>
  <c r="O163" i="12"/>
  <c r="Q163" i="12" s="1"/>
  <c r="O162" i="12"/>
  <c r="Q162" i="12" s="1"/>
  <c r="O160" i="12"/>
  <c r="Q160" i="12" s="1"/>
  <c r="O159" i="12"/>
  <c r="Q159" i="12" s="1"/>
  <c r="O157" i="12"/>
  <c r="Q157" i="12" s="1"/>
  <c r="O156" i="12"/>
  <c r="Q156" i="12" s="1"/>
  <c r="O155" i="12"/>
  <c r="Q155" i="12" s="1"/>
  <c r="R154" i="12"/>
  <c r="O153" i="12"/>
  <c r="Q153" i="12" s="1"/>
  <c r="N153" i="12"/>
  <c r="L153" i="12"/>
  <c r="O152" i="12"/>
  <c r="Q152" i="12" s="1"/>
  <c r="O151" i="12"/>
  <c r="Q151" i="12" s="1"/>
  <c r="O150" i="12"/>
  <c r="Q150" i="12" s="1"/>
  <c r="R149" i="12"/>
  <c r="O148" i="12"/>
  <c r="Q148" i="12" s="1"/>
  <c r="O147" i="12"/>
  <c r="Q147" i="12" s="1"/>
  <c r="O146" i="12"/>
  <c r="Q146" i="12" s="1"/>
  <c r="R145" i="12"/>
  <c r="O144" i="12"/>
  <c r="Q144" i="12" s="1"/>
  <c r="O143" i="12"/>
  <c r="Q143" i="12" s="1"/>
  <c r="O142" i="12"/>
  <c r="Q142" i="12" s="1"/>
  <c r="R141" i="12"/>
  <c r="J96" i="12"/>
  <c r="J136" i="12"/>
  <c r="J137" i="12"/>
  <c r="J138" i="12"/>
  <c r="J135" i="12"/>
  <c r="J134" i="12"/>
  <c r="J127" i="12"/>
  <c r="R134" i="12"/>
  <c r="P134" i="12"/>
  <c r="N134" i="12"/>
  <c r="J133" i="12"/>
  <c r="J132" i="12"/>
  <c r="J131" i="12"/>
  <c r="J130" i="12"/>
  <c r="J129" i="12"/>
  <c r="J128" i="12"/>
  <c r="R127" i="12"/>
  <c r="P127" i="12"/>
  <c r="N127" i="12"/>
  <c r="J115" i="12"/>
  <c r="J118" i="12"/>
  <c r="J97" i="12"/>
  <c r="J90" i="12"/>
  <c r="J93" i="12"/>
  <c r="J95" i="12"/>
  <c r="J92" i="12"/>
  <c r="J91" i="12"/>
  <c r="I89" i="12"/>
  <c r="J89" i="12" s="1"/>
  <c r="J84" i="12"/>
  <c r="J85" i="12"/>
  <c r="J86" i="12"/>
  <c r="J87" i="12"/>
  <c r="J88" i="12"/>
  <c r="J83" i="12"/>
  <c r="J82" i="12"/>
  <c r="J73" i="12"/>
  <c r="J70" i="12"/>
  <c r="I69" i="12"/>
  <c r="F186" i="2"/>
  <c r="O69" i="12"/>
  <c r="Q69" i="12" s="1"/>
  <c r="H69" i="12"/>
  <c r="R68" i="12"/>
  <c r="J42" i="12"/>
  <c r="J32" i="12"/>
  <c r="J25" i="12"/>
  <c r="J9" i="12"/>
  <c r="J20" i="12"/>
  <c r="J14" i="12"/>
  <c r="J186" i="12"/>
  <c r="J184" i="12"/>
  <c r="E9" i="8"/>
  <c r="E8" i="8"/>
  <c r="E7" i="8"/>
  <c r="AI28" i="22"/>
  <c r="AG28" i="22"/>
  <c r="AE28" i="22"/>
  <c r="AC28" i="22"/>
  <c r="AA28" i="22"/>
  <c r="Y28" i="22"/>
  <c r="W28" i="22"/>
  <c r="U28" i="22"/>
  <c r="S28" i="22"/>
  <c r="Q28" i="22"/>
  <c r="O28" i="22"/>
  <c r="M28" i="22"/>
  <c r="K28" i="22"/>
  <c r="I28" i="22"/>
  <c r="G28" i="22"/>
  <c r="E28" i="22"/>
  <c r="A29" i="22"/>
  <c r="A28" i="22"/>
  <c r="A27" i="22"/>
  <c r="E41" i="22"/>
  <c r="AI27" i="22"/>
  <c r="AG27" i="22"/>
  <c r="AE27" i="22"/>
  <c r="AC27" i="22"/>
  <c r="AA27" i="22"/>
  <c r="Y27" i="22"/>
  <c r="W27" i="22"/>
  <c r="U27" i="22"/>
  <c r="S27" i="22"/>
  <c r="Q27" i="22"/>
  <c r="M27" i="22"/>
  <c r="K30" i="22"/>
  <c r="K27" i="22"/>
  <c r="I27" i="22"/>
  <c r="G27" i="22"/>
  <c r="G42" i="22"/>
  <c r="AI26" i="22"/>
  <c r="AI25" i="22"/>
  <c r="AI24" i="22"/>
  <c r="AI23" i="22"/>
  <c r="AI22" i="22"/>
  <c r="AI20" i="22"/>
  <c r="AI19" i="22"/>
  <c r="AI18" i="22"/>
  <c r="AI17" i="22"/>
  <c r="AI16" i="22"/>
  <c r="AI14" i="22"/>
  <c r="AI13" i="22"/>
  <c r="AI12" i="22"/>
  <c r="AI11" i="22"/>
  <c r="AI10" i="22"/>
  <c r="AI9" i="22"/>
  <c r="AI5" i="22"/>
  <c r="AI6" i="22"/>
  <c r="AI7" i="22"/>
  <c r="AI4" i="22"/>
  <c r="AG26" i="22"/>
  <c r="AG25" i="22"/>
  <c r="AG24" i="22"/>
  <c r="AG23" i="22"/>
  <c r="AG22" i="22"/>
  <c r="AG20" i="22"/>
  <c r="AG19" i="22"/>
  <c r="AG18" i="22"/>
  <c r="AG17" i="22"/>
  <c r="AG16" i="22"/>
  <c r="AG14" i="22"/>
  <c r="AG13" i="22"/>
  <c r="AG12" i="22"/>
  <c r="AG11" i="22"/>
  <c r="AG10" i="22"/>
  <c r="AG9" i="22"/>
  <c r="AG7" i="22"/>
  <c r="AG6" i="22"/>
  <c r="AG5" i="22"/>
  <c r="AG4" i="22"/>
  <c r="AE26" i="22"/>
  <c r="AE25" i="22"/>
  <c r="AE24" i="22"/>
  <c r="AE23" i="22"/>
  <c r="AE22" i="22"/>
  <c r="AE20" i="22"/>
  <c r="AE19" i="22"/>
  <c r="AE18" i="22"/>
  <c r="AE17" i="22"/>
  <c r="AE16" i="22"/>
  <c r="AE14" i="22"/>
  <c r="AE13" i="22"/>
  <c r="AE12" i="22"/>
  <c r="AE11" i="22"/>
  <c r="AE10" i="22"/>
  <c r="AE9" i="22"/>
  <c r="AE7" i="22"/>
  <c r="AE6" i="22"/>
  <c r="AE5" i="22"/>
  <c r="AE4" i="22"/>
  <c r="AC26" i="22"/>
  <c r="AC25" i="22"/>
  <c r="AC24" i="22"/>
  <c r="AC23" i="22"/>
  <c r="AC22" i="22"/>
  <c r="AC20" i="22"/>
  <c r="AC19" i="22"/>
  <c r="AC18" i="22"/>
  <c r="AC17" i="22"/>
  <c r="AC16" i="22"/>
  <c r="AC14" i="22"/>
  <c r="AC13" i="22"/>
  <c r="AC12" i="22"/>
  <c r="AC11" i="22"/>
  <c r="AC10" i="22"/>
  <c r="AC9" i="22"/>
  <c r="AC7" i="22"/>
  <c r="AC6" i="22"/>
  <c r="AC5" i="22"/>
  <c r="AC4" i="22"/>
  <c r="S26" i="22"/>
  <c r="S25" i="22"/>
  <c r="S24" i="22"/>
  <c r="S23" i="22"/>
  <c r="S22" i="22"/>
  <c r="S20" i="22"/>
  <c r="S19" i="22"/>
  <c r="S18" i="22"/>
  <c r="S17" i="22"/>
  <c r="S16" i="22"/>
  <c r="S14" i="22"/>
  <c r="S13" i="22"/>
  <c r="S12" i="22"/>
  <c r="S11" i="22"/>
  <c r="S10" i="22"/>
  <c r="S9" i="22"/>
  <c r="S7" i="22"/>
  <c r="S6" i="22"/>
  <c r="S5" i="22"/>
  <c r="S8" i="22"/>
  <c r="S4" i="22"/>
  <c r="Q26" i="22"/>
  <c r="Q25" i="22"/>
  <c r="Q24" i="22"/>
  <c r="Q23" i="22"/>
  <c r="Q22" i="22"/>
  <c r="Q20" i="22"/>
  <c r="Q19" i="22"/>
  <c r="Q18" i="22"/>
  <c r="Q17" i="22"/>
  <c r="Q16" i="22"/>
  <c r="Q15" i="22" s="1"/>
  <c r="Q14" i="22"/>
  <c r="Q13" i="22"/>
  <c r="Q12" i="22"/>
  <c r="Q11" i="22"/>
  <c r="Q10" i="22"/>
  <c r="Q9" i="22"/>
  <c r="Q7" i="22"/>
  <c r="Q6" i="22"/>
  <c r="Q5" i="22"/>
  <c r="Q3" i="22" s="1"/>
  <c r="Q4" i="22"/>
  <c r="O26" i="22"/>
  <c r="O25" i="22"/>
  <c r="O24" i="22"/>
  <c r="O23" i="22"/>
  <c r="O22" i="22"/>
  <c r="O21" i="22" s="1"/>
  <c r="O20" i="22"/>
  <c r="O19" i="22"/>
  <c r="O18" i="22"/>
  <c r="O17" i="22"/>
  <c r="O16" i="22"/>
  <c r="O14" i="22"/>
  <c r="O13" i="22"/>
  <c r="O12" i="22"/>
  <c r="O11" i="22"/>
  <c r="O10" i="22"/>
  <c r="O9" i="22"/>
  <c r="O7" i="22"/>
  <c r="O6" i="22"/>
  <c r="O5" i="22"/>
  <c r="O4" i="22"/>
  <c r="A5" i="22"/>
  <c r="A6" i="22"/>
  <c r="A7" i="22"/>
  <c r="A9" i="22"/>
  <c r="A10" i="22"/>
  <c r="A11" i="22"/>
  <c r="A12" i="22"/>
  <c r="A13" i="22"/>
  <c r="A14" i="22"/>
  <c r="A15" i="22"/>
  <c r="A16" i="22"/>
  <c r="A17" i="22"/>
  <c r="A18" i="22"/>
  <c r="A19" i="22"/>
  <c r="A20" i="22"/>
  <c r="A21" i="22"/>
  <c r="A22" i="22"/>
  <c r="A23" i="22"/>
  <c r="A24" i="22"/>
  <c r="A25" i="22"/>
  <c r="A26" i="22"/>
  <c r="A4" i="22"/>
  <c r="M26" i="22"/>
  <c r="M25" i="22"/>
  <c r="M24" i="22"/>
  <c r="M23" i="22"/>
  <c r="M22" i="22"/>
  <c r="M20" i="22"/>
  <c r="M19" i="22"/>
  <c r="M18" i="22"/>
  <c r="M17" i="22"/>
  <c r="M16" i="22"/>
  <c r="M14" i="22"/>
  <c r="M13" i="22"/>
  <c r="M12" i="22"/>
  <c r="M11" i="22"/>
  <c r="M10" i="22"/>
  <c r="M9" i="22"/>
  <c r="M5" i="22"/>
  <c r="M6" i="22"/>
  <c r="M7" i="22"/>
  <c r="M4" i="22"/>
  <c r="Q21" i="22"/>
  <c r="AA26" i="22"/>
  <c r="Y26" i="22"/>
  <c r="W26" i="22"/>
  <c r="U26" i="22"/>
  <c r="AA25" i="22"/>
  <c r="Y25" i="22"/>
  <c r="W25" i="22"/>
  <c r="U25" i="22"/>
  <c r="AA24" i="22"/>
  <c r="Y24" i="22"/>
  <c r="W24" i="22"/>
  <c r="U24" i="22"/>
  <c r="AA23" i="22"/>
  <c r="Y23" i="22"/>
  <c r="W23" i="22"/>
  <c r="U23" i="22"/>
  <c r="AA22" i="22"/>
  <c r="Y22" i="22"/>
  <c r="W22" i="22"/>
  <c r="U22" i="22"/>
  <c r="AA20" i="22"/>
  <c r="Y20" i="22"/>
  <c r="W20" i="22"/>
  <c r="U20" i="22"/>
  <c r="AA19" i="22"/>
  <c r="Y19" i="22"/>
  <c r="W19" i="22"/>
  <c r="U19" i="22"/>
  <c r="AA18" i="22"/>
  <c r="Y18" i="22"/>
  <c r="W18" i="22"/>
  <c r="U18" i="22"/>
  <c r="AA17" i="22"/>
  <c r="Y17" i="22"/>
  <c r="W17" i="22"/>
  <c r="U17" i="22"/>
  <c r="AA16" i="22"/>
  <c r="Y16" i="22"/>
  <c r="W16" i="22"/>
  <c r="U16" i="22"/>
  <c r="AA14" i="22"/>
  <c r="Y14" i="22"/>
  <c r="W14" i="22"/>
  <c r="U14" i="22"/>
  <c r="AA13" i="22"/>
  <c r="Y13" i="22"/>
  <c r="W13" i="22"/>
  <c r="U13" i="22"/>
  <c r="AA12" i="22"/>
  <c r="Y12" i="22"/>
  <c r="W12" i="22"/>
  <c r="U12" i="22"/>
  <c r="AA11" i="22"/>
  <c r="Y11" i="22"/>
  <c r="W11" i="22"/>
  <c r="U11" i="22"/>
  <c r="AA10" i="22"/>
  <c r="Y10" i="22"/>
  <c r="W10" i="22"/>
  <c r="U10" i="22"/>
  <c r="AA9" i="22"/>
  <c r="Y9" i="22"/>
  <c r="W9" i="22"/>
  <c r="U9" i="22"/>
  <c r="AA7" i="22"/>
  <c r="Y7" i="22"/>
  <c r="W7" i="22"/>
  <c r="U7" i="22"/>
  <c r="AA6" i="22"/>
  <c r="Y6" i="22"/>
  <c r="W6" i="22"/>
  <c r="U6" i="22"/>
  <c r="AA5" i="22"/>
  <c r="Y5" i="22"/>
  <c r="W5" i="22"/>
  <c r="U5" i="22"/>
  <c r="AA4" i="22"/>
  <c r="Y4" i="22"/>
  <c r="W4" i="22"/>
  <c r="U4" i="22"/>
  <c r="K26" i="22"/>
  <c r="K25" i="22"/>
  <c r="K24" i="22"/>
  <c r="K23" i="22"/>
  <c r="K22" i="22"/>
  <c r="K20" i="22"/>
  <c r="K19" i="22"/>
  <c r="K18" i="22"/>
  <c r="K17" i="22"/>
  <c r="K16" i="22"/>
  <c r="K14" i="22"/>
  <c r="K13" i="22"/>
  <c r="K12" i="22"/>
  <c r="K11" i="22"/>
  <c r="K10" i="22"/>
  <c r="K9" i="22"/>
  <c r="K7" i="22"/>
  <c r="K6" i="22"/>
  <c r="K5" i="22"/>
  <c r="K4" i="22"/>
  <c r="I26" i="22"/>
  <c r="I25" i="22"/>
  <c r="I24" i="22"/>
  <c r="I23" i="22"/>
  <c r="I22" i="22"/>
  <c r="I20" i="22"/>
  <c r="I19" i="22"/>
  <c r="I18" i="22"/>
  <c r="I17" i="22"/>
  <c r="I16" i="22"/>
  <c r="I14" i="22"/>
  <c r="I13" i="22"/>
  <c r="I12" i="22"/>
  <c r="I11" i="22"/>
  <c r="I10" i="22"/>
  <c r="I9" i="22"/>
  <c r="I7" i="22"/>
  <c r="I6" i="22"/>
  <c r="I5" i="22"/>
  <c r="I4" i="22"/>
  <c r="G26" i="22"/>
  <c r="G25" i="22"/>
  <c r="G24" i="22"/>
  <c r="G23" i="22"/>
  <c r="G22" i="22"/>
  <c r="G20" i="22"/>
  <c r="G19" i="22"/>
  <c r="G18" i="22"/>
  <c r="G17" i="22"/>
  <c r="G16" i="22"/>
  <c r="G14" i="22"/>
  <c r="G13" i="22"/>
  <c r="G12" i="22"/>
  <c r="G11" i="22"/>
  <c r="G10" i="22"/>
  <c r="G9" i="22"/>
  <c r="G5" i="22"/>
  <c r="G6" i="22"/>
  <c r="G7" i="22"/>
  <c r="G4" i="22"/>
  <c r="E26" i="22"/>
  <c r="E25" i="22"/>
  <c r="E24" i="22"/>
  <c r="E23" i="22"/>
  <c r="E22" i="22"/>
  <c r="E20" i="22"/>
  <c r="E19" i="22"/>
  <c r="E18" i="22"/>
  <c r="E17" i="22"/>
  <c r="E16" i="22"/>
  <c r="E14" i="22"/>
  <c r="E13" i="22"/>
  <c r="E12" i="22"/>
  <c r="E11" i="22"/>
  <c r="E10" i="22"/>
  <c r="E9" i="22"/>
  <c r="E5" i="22"/>
  <c r="E6" i="22"/>
  <c r="E7" i="22"/>
  <c r="E4" i="22"/>
  <c r="C3" i="22"/>
  <c r="C8" i="22"/>
  <c r="D17" i="8"/>
  <c r="D16" i="8"/>
  <c r="D15" i="8"/>
  <c r="D14" i="8"/>
  <c r="D13" i="8"/>
  <c r="D12" i="8"/>
  <c r="E10" i="8"/>
  <c r="P153" i="12" l="1"/>
  <c r="R153" i="12" s="1"/>
  <c r="J139" i="12"/>
  <c r="J159" i="12"/>
  <c r="L142" i="12"/>
  <c r="N164" i="12"/>
  <c r="N146" i="12"/>
  <c r="L146" i="12"/>
  <c r="N143" i="12"/>
  <c r="L143" i="12"/>
  <c r="N162" i="12"/>
  <c r="L162" i="12"/>
  <c r="N165" i="12"/>
  <c r="L165" i="12"/>
  <c r="N168" i="12"/>
  <c r="L168" i="12"/>
  <c r="N155" i="12"/>
  <c r="L155" i="12"/>
  <c r="N150" i="12"/>
  <c r="L150" i="12"/>
  <c r="N144" i="12"/>
  <c r="L144" i="12"/>
  <c r="N169" i="12"/>
  <c r="L169" i="12"/>
  <c r="N142" i="12"/>
  <c r="N151" i="12"/>
  <c r="L151" i="12"/>
  <c r="J94" i="12"/>
  <c r="I94" i="12" s="1"/>
  <c r="N90" i="12"/>
  <c r="F69" i="12"/>
  <c r="AI30" i="22"/>
  <c r="AG30" i="22"/>
  <c r="AE30" i="22"/>
  <c r="AC30" i="22"/>
  <c r="AA30" i="22"/>
  <c r="Y30" i="22"/>
  <c r="W30" i="22"/>
  <c r="U30" i="22"/>
  <c r="S30" i="22"/>
  <c r="Q30" i="22"/>
  <c r="M30" i="22"/>
  <c r="K31" i="22"/>
  <c r="K32" i="22" s="1"/>
  <c r="K34" i="22" s="1"/>
  <c r="I30" i="22"/>
  <c r="G30" i="22"/>
  <c r="O3" i="22"/>
  <c r="M15" i="22"/>
  <c r="M21" i="22"/>
  <c r="S15" i="22"/>
  <c r="S3" i="22"/>
  <c r="S21" i="22"/>
  <c r="U15" i="22"/>
  <c r="Q8" i="22"/>
  <c r="Y15" i="22"/>
  <c r="W15" i="22"/>
  <c r="Y21" i="22"/>
  <c r="O8" i="22"/>
  <c r="O27" i="22" s="1"/>
  <c r="U21" i="22"/>
  <c r="W21" i="22"/>
  <c r="AA21" i="22"/>
  <c r="O15" i="22"/>
  <c r="M8" i="22"/>
  <c r="AA3" i="22"/>
  <c r="Y3" i="22"/>
  <c r="W3" i="22"/>
  <c r="U3" i="22"/>
  <c r="M3" i="22"/>
  <c r="U8" i="22"/>
  <c r="E15" i="22"/>
  <c r="Y8" i="22"/>
  <c r="AA15" i="22"/>
  <c r="AA8" i="22"/>
  <c r="W8" i="22"/>
  <c r="I15" i="22"/>
  <c r="AG3" i="22"/>
  <c r="AI21" i="22"/>
  <c r="AI3" i="22"/>
  <c r="AE15" i="22"/>
  <c r="K8" i="22"/>
  <c r="G15" i="22"/>
  <c r="K3" i="22"/>
  <c r="K21" i="22"/>
  <c r="K15" i="22"/>
  <c r="I21" i="22"/>
  <c r="I3" i="22"/>
  <c r="I8" i="22"/>
  <c r="G21" i="22"/>
  <c r="G8" i="22"/>
  <c r="G3" i="22"/>
  <c r="E8" i="22"/>
  <c r="E3" i="22"/>
  <c r="E21" i="22"/>
  <c r="C21" i="22"/>
  <c r="C15" i="22"/>
  <c r="I295" i="2"/>
  <c r="I296" i="2"/>
  <c r="I297" i="2"/>
  <c r="I298" i="2"/>
  <c r="I299" i="2"/>
  <c r="L164" i="12" l="1"/>
  <c r="P164" i="12" s="1"/>
  <c r="R164" i="12" s="1"/>
  <c r="N156" i="12"/>
  <c r="L156" i="12"/>
  <c r="L139" i="12"/>
  <c r="P169" i="12"/>
  <c r="R169" i="12" s="1"/>
  <c r="N147" i="12"/>
  <c r="L147" i="12"/>
  <c r="N139" i="12"/>
  <c r="P142" i="12"/>
  <c r="P146" i="12"/>
  <c r="R146" i="12" s="1"/>
  <c r="N148" i="12"/>
  <c r="N140" i="12" s="1"/>
  <c r="L148" i="12"/>
  <c r="P168" i="12"/>
  <c r="R168" i="12" s="1"/>
  <c r="L167" i="12"/>
  <c r="N167" i="12"/>
  <c r="N163" i="12"/>
  <c r="L163" i="12"/>
  <c r="P165" i="12"/>
  <c r="R165" i="12" s="1"/>
  <c r="L157" i="12"/>
  <c r="N157" i="12"/>
  <c r="P157" i="12" s="1"/>
  <c r="R157" i="12" s="1"/>
  <c r="N152" i="12"/>
  <c r="L152" i="12"/>
  <c r="P162" i="12"/>
  <c r="R162" i="12" s="1"/>
  <c r="P144" i="12"/>
  <c r="R144" i="12" s="1"/>
  <c r="N160" i="12"/>
  <c r="L160" i="12"/>
  <c r="P150" i="12"/>
  <c r="R150" i="12" s="1"/>
  <c r="P143" i="12"/>
  <c r="R143" i="12" s="1"/>
  <c r="N166" i="12"/>
  <c r="L166" i="12"/>
  <c r="P151" i="12"/>
  <c r="R151" i="12" s="1"/>
  <c r="P155" i="12"/>
  <c r="R155" i="12" s="1"/>
  <c r="N69" i="12"/>
  <c r="L69" i="12"/>
  <c r="O30" i="22"/>
  <c r="O31" i="22" s="1"/>
  <c r="O32" i="22" s="1"/>
  <c r="O34" i="22" s="1"/>
  <c r="AI31" i="22"/>
  <c r="AI32" i="22" s="1"/>
  <c r="AI34" i="22" s="1"/>
  <c r="AG31" i="22"/>
  <c r="AG32" i="22" s="1"/>
  <c r="AG34" i="22" s="1"/>
  <c r="AE31" i="22"/>
  <c r="AE32" i="22" s="1"/>
  <c r="AE34" i="22" s="1"/>
  <c r="AC31" i="22"/>
  <c r="AC32" i="22" s="1"/>
  <c r="AC34" i="22" s="1"/>
  <c r="AA31" i="22"/>
  <c r="AA32" i="22" s="1"/>
  <c r="AA34" i="22" s="1"/>
  <c r="Y31" i="22"/>
  <c r="Y32" i="22" s="1"/>
  <c r="Y34" i="22" s="1"/>
  <c r="W31" i="22"/>
  <c r="W32" i="22" s="1"/>
  <c r="W34" i="22" s="1"/>
  <c r="U31" i="22"/>
  <c r="U32" i="22" s="1"/>
  <c r="U34" i="22" s="1"/>
  <c r="S31" i="22"/>
  <c r="S32" i="22" s="1"/>
  <c r="S34" i="22" s="1"/>
  <c r="Q31" i="22"/>
  <c r="Q32" i="22" s="1"/>
  <c r="Q34" i="22" s="1"/>
  <c r="M31" i="22"/>
  <c r="M32" i="22" s="1"/>
  <c r="M34" i="22" s="1"/>
  <c r="I31" i="22"/>
  <c r="I32" i="22" s="1"/>
  <c r="I34" i="22" s="1"/>
  <c r="G31" i="22"/>
  <c r="G32" i="22" s="1"/>
  <c r="G34" i="22" s="1"/>
  <c r="AC3" i="22"/>
  <c r="AI8" i="22"/>
  <c r="AG21" i="22"/>
  <c r="AG8" i="22"/>
  <c r="AG15" i="22"/>
  <c r="AE8" i="22"/>
  <c r="AE3" i="22"/>
  <c r="AC21" i="22"/>
  <c r="AC8" i="22"/>
  <c r="AI15" i="22"/>
  <c r="AC15" i="22"/>
  <c r="AE21" i="22"/>
  <c r="C27" i="22"/>
  <c r="E27" i="22"/>
  <c r="I22" i="11"/>
  <c r="I21" i="11"/>
  <c r="I20" i="11"/>
  <c r="I19" i="11"/>
  <c r="I18" i="11"/>
  <c r="I17" i="11"/>
  <c r="I16" i="11"/>
  <c r="I15" i="11"/>
  <c r="I14" i="11"/>
  <c r="I13" i="11"/>
  <c r="I12" i="11"/>
  <c r="I11" i="11"/>
  <c r="I206" i="2"/>
  <c r="I215" i="2"/>
  <c r="F142" i="2"/>
  <c r="G156" i="2" s="1"/>
  <c r="F143" i="2"/>
  <c r="G157" i="2" s="1"/>
  <c r="F144" i="2"/>
  <c r="G158" i="2" s="1"/>
  <c r="F145" i="2"/>
  <c r="G159" i="2" s="1"/>
  <c r="F146" i="2"/>
  <c r="G160" i="2" s="1"/>
  <c r="F147" i="2"/>
  <c r="G161" i="2" s="1"/>
  <c r="F148" i="2"/>
  <c r="G162" i="2" s="1"/>
  <c r="F149" i="2"/>
  <c r="G163" i="2" s="1"/>
  <c r="F150" i="2"/>
  <c r="G164" i="2" s="1"/>
  <c r="F151" i="2"/>
  <c r="G165" i="2" s="1"/>
  <c r="F152" i="2"/>
  <c r="G166" i="2" s="1"/>
  <c r="F141" i="2"/>
  <c r="G155" i="2" s="1"/>
  <c r="I106" i="2"/>
  <c r="I105" i="2"/>
  <c r="I104" i="2"/>
  <c r="I103" i="2"/>
  <c r="I102" i="2"/>
  <c r="I101" i="2"/>
  <c r="I100" i="2"/>
  <c r="I99" i="2"/>
  <c r="I98" i="2"/>
  <c r="I97" i="2"/>
  <c r="I96" i="2"/>
  <c r="I95" i="2"/>
  <c r="I89" i="2"/>
  <c r="I88" i="2"/>
  <c r="I87" i="2"/>
  <c r="I86" i="2"/>
  <c r="I85" i="2"/>
  <c r="I84" i="2"/>
  <c r="I83" i="2"/>
  <c r="I82" i="2"/>
  <c r="I81" i="2"/>
  <c r="I80" i="2"/>
  <c r="I79" i="2"/>
  <c r="I78" i="2"/>
  <c r="I72" i="2"/>
  <c r="I71" i="2"/>
  <c r="I70" i="2"/>
  <c r="I69" i="2"/>
  <c r="I68" i="2"/>
  <c r="I67" i="2"/>
  <c r="I66" i="2"/>
  <c r="I65" i="2"/>
  <c r="I64" i="2"/>
  <c r="I63" i="2"/>
  <c r="I62" i="2"/>
  <c r="I61" i="2"/>
  <c r="I135" i="2"/>
  <c r="I136" i="2"/>
  <c r="I137" i="2"/>
  <c r="I94" i="2"/>
  <c r="I93" i="2"/>
  <c r="I92" i="2"/>
  <c r="O16" i="12"/>
  <c r="Q16" i="12" s="1"/>
  <c r="F16" i="12"/>
  <c r="P8" i="4"/>
  <c r="G180" i="2"/>
  <c r="P148" i="12" l="1"/>
  <c r="R148" i="12" s="1"/>
  <c r="P160" i="12"/>
  <c r="R160" i="12" s="1"/>
  <c r="P163" i="12"/>
  <c r="R163" i="12" s="1"/>
  <c r="P152" i="12"/>
  <c r="R152" i="12" s="1"/>
  <c r="P139" i="12"/>
  <c r="R142" i="12"/>
  <c r="P166" i="12"/>
  <c r="R166" i="12" s="1"/>
  <c r="N159" i="12"/>
  <c r="L159" i="12"/>
  <c r="P147" i="12"/>
  <c r="R147" i="12" s="1"/>
  <c r="P167" i="12"/>
  <c r="R167" i="12" s="1"/>
  <c r="P156" i="12"/>
  <c r="R156" i="12" s="1"/>
  <c r="P69" i="12"/>
  <c r="R69" i="12" s="1"/>
  <c r="N82" i="12"/>
  <c r="C30" i="22"/>
  <c r="C34" i="22" s="1"/>
  <c r="H16" i="12"/>
  <c r="J16" i="12"/>
  <c r="B96" i="12"/>
  <c r="D153" i="7"/>
  <c r="D152" i="7"/>
  <c r="E156" i="7"/>
  <c r="D156" i="7"/>
  <c r="I77" i="2"/>
  <c r="I76" i="2"/>
  <c r="I75" i="2"/>
  <c r="I60" i="2"/>
  <c r="I59" i="2"/>
  <c r="I58" i="2"/>
  <c r="A21" i="6"/>
  <c r="A20" i="6"/>
  <c r="B32" i="12"/>
  <c r="A18" i="6" s="1"/>
  <c r="R139" i="12" l="1"/>
  <c r="P140" i="12"/>
  <c r="R140" i="12" s="1"/>
  <c r="P159" i="12"/>
  <c r="R159" i="12" s="1"/>
  <c r="R90" i="12"/>
  <c r="P90" i="12"/>
  <c r="R82" i="12"/>
  <c r="P82" i="12"/>
  <c r="C38" i="22"/>
  <c r="N16" i="12"/>
  <c r="L16" i="12"/>
  <c r="F156" i="7"/>
  <c r="C114" i="12"/>
  <c r="C113" i="12"/>
  <c r="C112" i="12"/>
  <c r="C109" i="12"/>
  <c r="C110" i="12"/>
  <c r="C108" i="12"/>
  <c r="C107" i="12"/>
  <c r="C105" i="12"/>
  <c r="C104" i="12"/>
  <c r="C103" i="12"/>
  <c r="C101" i="12"/>
  <c r="C100" i="12"/>
  <c r="C99" i="12"/>
  <c r="B114" i="12"/>
  <c r="B113" i="12"/>
  <c r="B112" i="12"/>
  <c r="B111" i="12"/>
  <c r="B110" i="12"/>
  <c r="B109" i="12"/>
  <c r="B108" i="12"/>
  <c r="B107" i="12"/>
  <c r="B106" i="12"/>
  <c r="B105" i="12"/>
  <c r="B104" i="12"/>
  <c r="B103" i="12"/>
  <c r="B102" i="12"/>
  <c r="B101" i="12"/>
  <c r="B100" i="12"/>
  <c r="B99" i="12"/>
  <c r="B98" i="12"/>
  <c r="M413" i="4"/>
  <c r="L413" i="4"/>
  <c r="K413" i="4"/>
  <c r="J413" i="4"/>
  <c r="I413" i="4"/>
  <c r="M412" i="4"/>
  <c r="L412" i="4"/>
  <c r="K412" i="4"/>
  <c r="J412" i="4"/>
  <c r="I412" i="4"/>
  <c r="M411" i="4"/>
  <c r="L411" i="4"/>
  <c r="K411" i="4"/>
  <c r="J411" i="4"/>
  <c r="I411" i="4"/>
  <c r="M410" i="4"/>
  <c r="L410" i="4"/>
  <c r="K410" i="4"/>
  <c r="J410" i="4"/>
  <c r="I410" i="4"/>
  <c r="M409" i="4"/>
  <c r="L409" i="4"/>
  <c r="K409" i="4"/>
  <c r="J409" i="4"/>
  <c r="I409" i="4"/>
  <c r="M397" i="4"/>
  <c r="L397" i="4"/>
  <c r="K397" i="4"/>
  <c r="J397" i="4"/>
  <c r="I397" i="4"/>
  <c r="M396" i="4"/>
  <c r="L396" i="4"/>
  <c r="K396" i="4"/>
  <c r="J396" i="4"/>
  <c r="I396" i="4"/>
  <c r="M395" i="4"/>
  <c r="L395" i="4"/>
  <c r="K395" i="4"/>
  <c r="J395" i="4"/>
  <c r="I395" i="4"/>
  <c r="M394" i="4"/>
  <c r="L394" i="4"/>
  <c r="K394" i="4"/>
  <c r="J394" i="4"/>
  <c r="I394" i="4"/>
  <c r="M393" i="4"/>
  <c r="L393" i="4"/>
  <c r="K393" i="4"/>
  <c r="J393" i="4"/>
  <c r="I393" i="4"/>
  <c r="M392" i="4"/>
  <c r="L392" i="4"/>
  <c r="K392" i="4"/>
  <c r="J392" i="4"/>
  <c r="I392" i="4"/>
  <c r="M391" i="4"/>
  <c r="L391" i="4"/>
  <c r="K391" i="4"/>
  <c r="J391" i="4"/>
  <c r="I391" i="4"/>
  <c r="M390" i="4"/>
  <c r="L390" i="4"/>
  <c r="K390" i="4"/>
  <c r="J390" i="4"/>
  <c r="I390" i="4"/>
  <c r="M389" i="4"/>
  <c r="L389" i="4"/>
  <c r="K389" i="4"/>
  <c r="J389" i="4"/>
  <c r="I389" i="4"/>
  <c r="M388" i="4"/>
  <c r="L388" i="4"/>
  <c r="K388" i="4"/>
  <c r="J388" i="4"/>
  <c r="I388" i="4"/>
  <c r="M387" i="4"/>
  <c r="L387" i="4"/>
  <c r="K387" i="4"/>
  <c r="J387" i="4"/>
  <c r="I387" i="4"/>
  <c r="M386" i="4"/>
  <c r="L386" i="4"/>
  <c r="K386" i="4"/>
  <c r="J386" i="4"/>
  <c r="I386" i="4"/>
  <c r="M385" i="4"/>
  <c r="L385" i="4"/>
  <c r="K385" i="4"/>
  <c r="J385" i="4"/>
  <c r="I385" i="4"/>
  <c r="M384" i="4"/>
  <c r="L384" i="4"/>
  <c r="K384" i="4"/>
  <c r="J384" i="4"/>
  <c r="I384" i="4"/>
  <c r="M383" i="4"/>
  <c r="L383" i="4"/>
  <c r="K383" i="4"/>
  <c r="J383" i="4"/>
  <c r="I383" i="4"/>
  <c r="M382" i="4"/>
  <c r="L382" i="4"/>
  <c r="K382" i="4"/>
  <c r="J382" i="4"/>
  <c r="I382" i="4"/>
  <c r="M381" i="4"/>
  <c r="L381" i="4"/>
  <c r="K381" i="4"/>
  <c r="J381" i="4"/>
  <c r="I381" i="4"/>
  <c r="M380" i="4"/>
  <c r="L380" i="4"/>
  <c r="K380" i="4"/>
  <c r="J380" i="4"/>
  <c r="I380" i="4"/>
  <c r="I324" i="4"/>
  <c r="J324" i="4"/>
  <c r="K324" i="4"/>
  <c r="L324" i="4"/>
  <c r="M324" i="4"/>
  <c r="N324" i="4"/>
  <c r="O324" i="4"/>
  <c r="I325" i="4"/>
  <c r="J325" i="4"/>
  <c r="K325" i="4"/>
  <c r="L325" i="4"/>
  <c r="M325" i="4"/>
  <c r="N325" i="4"/>
  <c r="O325" i="4"/>
  <c r="I326" i="4"/>
  <c r="J326" i="4"/>
  <c r="K326" i="4"/>
  <c r="L326" i="4"/>
  <c r="M326" i="4"/>
  <c r="N326" i="4"/>
  <c r="O326" i="4"/>
  <c r="I327" i="4"/>
  <c r="J327" i="4"/>
  <c r="K327" i="4"/>
  <c r="L327" i="4"/>
  <c r="M327" i="4"/>
  <c r="N327" i="4"/>
  <c r="O327" i="4"/>
  <c r="M240" i="4"/>
  <c r="L240" i="4"/>
  <c r="K240" i="4"/>
  <c r="J240" i="4"/>
  <c r="I240" i="4"/>
  <c r="M239" i="4"/>
  <c r="L239" i="4"/>
  <c r="K239" i="4"/>
  <c r="J239" i="4"/>
  <c r="I239" i="4"/>
  <c r="M238" i="4"/>
  <c r="L238" i="4"/>
  <c r="K238" i="4"/>
  <c r="J238" i="4"/>
  <c r="I238" i="4"/>
  <c r="M237" i="4"/>
  <c r="L237" i="4"/>
  <c r="K237" i="4"/>
  <c r="J237" i="4"/>
  <c r="I237" i="4"/>
  <c r="M236" i="4"/>
  <c r="L236" i="4"/>
  <c r="K236" i="4"/>
  <c r="J236" i="4"/>
  <c r="I236" i="4"/>
  <c r="M235" i="4"/>
  <c r="L235" i="4"/>
  <c r="K235" i="4"/>
  <c r="J235" i="4"/>
  <c r="I235" i="4"/>
  <c r="M234" i="4"/>
  <c r="L234" i="4"/>
  <c r="K234" i="4"/>
  <c r="J234" i="4"/>
  <c r="I234" i="4"/>
  <c r="M233" i="4"/>
  <c r="L233" i="4"/>
  <c r="K233" i="4"/>
  <c r="J233" i="4"/>
  <c r="I233" i="4"/>
  <c r="M232" i="4"/>
  <c r="L232" i="4"/>
  <c r="K232" i="4"/>
  <c r="J232" i="4"/>
  <c r="I232" i="4"/>
  <c r="M231" i="4"/>
  <c r="L231" i="4"/>
  <c r="K231" i="4"/>
  <c r="J231" i="4"/>
  <c r="I231" i="4"/>
  <c r="M230" i="4"/>
  <c r="L230" i="4"/>
  <c r="K230" i="4"/>
  <c r="J230" i="4"/>
  <c r="I230" i="4"/>
  <c r="M229" i="4"/>
  <c r="L229" i="4"/>
  <c r="K229" i="4"/>
  <c r="J229" i="4"/>
  <c r="I229" i="4"/>
  <c r="N216" i="4"/>
  <c r="M216" i="4"/>
  <c r="L216" i="4"/>
  <c r="K216" i="4"/>
  <c r="J216" i="4"/>
  <c r="I216" i="4"/>
  <c r="N215" i="4"/>
  <c r="M215" i="4"/>
  <c r="L215" i="4"/>
  <c r="K215" i="4"/>
  <c r="J215" i="4"/>
  <c r="I215" i="4"/>
  <c r="N214" i="4"/>
  <c r="M214" i="4"/>
  <c r="L214" i="4"/>
  <c r="K214" i="4"/>
  <c r="J214" i="4"/>
  <c r="I214" i="4"/>
  <c r="N213" i="4"/>
  <c r="M213" i="4"/>
  <c r="L213" i="4"/>
  <c r="K213" i="4"/>
  <c r="J213" i="4"/>
  <c r="I213" i="4"/>
  <c r="K420" i="4"/>
  <c r="K421" i="4"/>
  <c r="I422" i="4"/>
  <c r="I424" i="4" s="1"/>
  <c r="J422" i="4"/>
  <c r="J425" i="4" s="1"/>
  <c r="L422" i="4"/>
  <c r="L425" i="4" s="1"/>
  <c r="M422" i="4"/>
  <c r="M424" i="4" s="1"/>
  <c r="N422" i="4"/>
  <c r="N424" i="4" s="1"/>
  <c r="N415" i="4"/>
  <c r="N418" i="4" s="1"/>
  <c r="M414" i="4"/>
  <c r="L414" i="4"/>
  <c r="K414" i="4"/>
  <c r="J414" i="4"/>
  <c r="I414" i="4"/>
  <c r="M408" i="4"/>
  <c r="L408" i="4"/>
  <c r="K408" i="4"/>
  <c r="J408" i="4"/>
  <c r="I408" i="4"/>
  <c r="M407" i="4"/>
  <c r="L407" i="4"/>
  <c r="K407" i="4"/>
  <c r="J407" i="4"/>
  <c r="I407" i="4"/>
  <c r="M406" i="4"/>
  <c r="L406" i="4"/>
  <c r="K406" i="4"/>
  <c r="J406" i="4"/>
  <c r="I406" i="4"/>
  <c r="M405" i="4"/>
  <c r="L405" i="4"/>
  <c r="K405" i="4"/>
  <c r="J405" i="4"/>
  <c r="I405" i="4"/>
  <c r="M404" i="4"/>
  <c r="L404" i="4"/>
  <c r="K404" i="4"/>
  <c r="J404" i="4"/>
  <c r="I404" i="4"/>
  <c r="N399" i="4"/>
  <c r="N402" i="4" s="1"/>
  <c r="M398" i="4"/>
  <c r="L398" i="4"/>
  <c r="K398" i="4"/>
  <c r="J398" i="4"/>
  <c r="I398" i="4"/>
  <c r="N374" i="4"/>
  <c r="M374" i="4"/>
  <c r="L374" i="4"/>
  <c r="K374" i="4"/>
  <c r="J374" i="4"/>
  <c r="I374" i="4"/>
  <c r="N373" i="4"/>
  <c r="M373" i="4"/>
  <c r="L373" i="4"/>
  <c r="K373" i="4"/>
  <c r="J373" i="4"/>
  <c r="I373" i="4"/>
  <c r="N372" i="4"/>
  <c r="M372" i="4"/>
  <c r="L372" i="4"/>
  <c r="K372" i="4"/>
  <c r="J372" i="4"/>
  <c r="I372" i="4"/>
  <c r="N371" i="4"/>
  <c r="M371" i="4"/>
  <c r="L371" i="4"/>
  <c r="K371" i="4"/>
  <c r="J371" i="4"/>
  <c r="I371" i="4"/>
  <c r="N370" i="4"/>
  <c r="M370" i="4"/>
  <c r="L370" i="4"/>
  <c r="K370" i="4"/>
  <c r="J370" i="4"/>
  <c r="I370" i="4"/>
  <c r="N369" i="4"/>
  <c r="M369" i="4"/>
  <c r="L369" i="4"/>
  <c r="K369" i="4"/>
  <c r="J369" i="4"/>
  <c r="I369" i="4"/>
  <c r="N368" i="4"/>
  <c r="M368" i="4"/>
  <c r="L368" i="4"/>
  <c r="K368" i="4"/>
  <c r="J368" i="4"/>
  <c r="I368" i="4"/>
  <c r="N367" i="4"/>
  <c r="M367" i="4"/>
  <c r="L367" i="4"/>
  <c r="K367" i="4"/>
  <c r="J367" i="4"/>
  <c r="I367" i="4"/>
  <c r="N366" i="4"/>
  <c r="M366" i="4"/>
  <c r="L366" i="4"/>
  <c r="K366" i="4"/>
  <c r="J366" i="4"/>
  <c r="I366" i="4"/>
  <c r="N365" i="4"/>
  <c r="M365" i="4"/>
  <c r="L365" i="4"/>
  <c r="K365" i="4"/>
  <c r="J365" i="4"/>
  <c r="I365" i="4"/>
  <c r="N364" i="4"/>
  <c r="M364" i="4"/>
  <c r="L364" i="4"/>
  <c r="K364" i="4"/>
  <c r="J364" i="4"/>
  <c r="I364" i="4"/>
  <c r="N363" i="4"/>
  <c r="M363" i="4"/>
  <c r="L363" i="4"/>
  <c r="K363" i="4"/>
  <c r="J363" i="4"/>
  <c r="I363" i="4"/>
  <c r="N362" i="4"/>
  <c r="M362" i="4"/>
  <c r="L362" i="4"/>
  <c r="K362" i="4"/>
  <c r="J362" i="4"/>
  <c r="I362" i="4"/>
  <c r="N361" i="4"/>
  <c r="M361" i="4"/>
  <c r="L361" i="4"/>
  <c r="K361" i="4"/>
  <c r="J361" i="4"/>
  <c r="I361" i="4"/>
  <c r="N360" i="4"/>
  <c r="M360" i="4"/>
  <c r="L360" i="4"/>
  <c r="K360" i="4"/>
  <c r="J360" i="4"/>
  <c r="I360" i="4"/>
  <c r="N359" i="4"/>
  <c r="M359" i="4"/>
  <c r="L359" i="4"/>
  <c r="K359" i="4"/>
  <c r="J359" i="4"/>
  <c r="I359" i="4"/>
  <c r="N358" i="4"/>
  <c r="M358" i="4"/>
  <c r="L358" i="4"/>
  <c r="K358" i="4"/>
  <c r="J358" i="4"/>
  <c r="I358" i="4"/>
  <c r="N357" i="4"/>
  <c r="M357" i="4"/>
  <c r="L357" i="4"/>
  <c r="K357" i="4"/>
  <c r="J357" i="4"/>
  <c r="I357" i="4"/>
  <c r="N356" i="4"/>
  <c r="M356" i="4"/>
  <c r="L356" i="4"/>
  <c r="K356" i="4"/>
  <c r="J356" i="4"/>
  <c r="I356" i="4"/>
  <c r="N355" i="4"/>
  <c r="M355" i="4"/>
  <c r="L355" i="4"/>
  <c r="K355" i="4"/>
  <c r="J355" i="4"/>
  <c r="I355" i="4"/>
  <c r="N354" i="4"/>
  <c r="M354" i="4"/>
  <c r="L354" i="4"/>
  <c r="K354" i="4"/>
  <c r="J354" i="4"/>
  <c r="I354" i="4"/>
  <c r="N353" i="4"/>
  <c r="M353" i="4"/>
  <c r="L353" i="4"/>
  <c r="K353" i="4"/>
  <c r="J353" i="4"/>
  <c r="I353" i="4"/>
  <c r="N352" i="4"/>
  <c r="M352" i="4"/>
  <c r="L352" i="4"/>
  <c r="K352" i="4"/>
  <c r="J352" i="4"/>
  <c r="I352" i="4"/>
  <c r="N351" i="4"/>
  <c r="M351" i="4"/>
  <c r="L351" i="4"/>
  <c r="K351" i="4"/>
  <c r="J351" i="4"/>
  <c r="I351" i="4"/>
  <c r="N350" i="4"/>
  <c r="M350" i="4"/>
  <c r="L350" i="4"/>
  <c r="K350" i="4"/>
  <c r="J350" i="4"/>
  <c r="I350" i="4"/>
  <c r="N349" i="4"/>
  <c r="M349" i="4"/>
  <c r="L349" i="4"/>
  <c r="K349" i="4"/>
  <c r="J349" i="4"/>
  <c r="I349" i="4"/>
  <c r="N348" i="4"/>
  <c r="M348" i="4"/>
  <c r="L348" i="4"/>
  <c r="K348" i="4"/>
  <c r="J348" i="4"/>
  <c r="I348" i="4"/>
  <c r="N347" i="4"/>
  <c r="M347" i="4"/>
  <c r="L347" i="4"/>
  <c r="K347" i="4"/>
  <c r="J347" i="4"/>
  <c r="I347" i="4"/>
  <c r="N346" i="4"/>
  <c r="M346" i="4"/>
  <c r="L346" i="4"/>
  <c r="K346" i="4"/>
  <c r="J346" i="4"/>
  <c r="I346" i="4"/>
  <c r="N345" i="4"/>
  <c r="M345" i="4"/>
  <c r="L345" i="4"/>
  <c r="K345" i="4"/>
  <c r="J345" i="4"/>
  <c r="I345" i="4"/>
  <c r="N344" i="4"/>
  <c r="M344" i="4"/>
  <c r="L344" i="4"/>
  <c r="K344" i="4"/>
  <c r="J344" i="4"/>
  <c r="I344" i="4"/>
  <c r="N343" i="4"/>
  <c r="M343" i="4"/>
  <c r="L343" i="4"/>
  <c r="K343" i="4"/>
  <c r="J343" i="4"/>
  <c r="I343" i="4"/>
  <c r="N342" i="4"/>
  <c r="M342" i="4"/>
  <c r="L342" i="4"/>
  <c r="K342" i="4"/>
  <c r="J342" i="4"/>
  <c r="I342" i="4"/>
  <c r="O336" i="4"/>
  <c r="N336" i="4"/>
  <c r="M336" i="4"/>
  <c r="L336" i="4"/>
  <c r="K336" i="4"/>
  <c r="J336" i="4"/>
  <c r="I336" i="4"/>
  <c r="O335" i="4"/>
  <c r="N335" i="4"/>
  <c r="M335" i="4"/>
  <c r="L335" i="4"/>
  <c r="K335" i="4"/>
  <c r="J335" i="4"/>
  <c r="I335" i="4"/>
  <c r="O334" i="4"/>
  <c r="N334" i="4"/>
  <c r="M334" i="4"/>
  <c r="L334" i="4"/>
  <c r="K334" i="4"/>
  <c r="J334" i="4"/>
  <c r="I334" i="4"/>
  <c r="O333" i="4"/>
  <c r="N333" i="4"/>
  <c r="M333" i="4"/>
  <c r="L333" i="4"/>
  <c r="K333" i="4"/>
  <c r="J333" i="4"/>
  <c r="I333" i="4"/>
  <c r="O332" i="4"/>
  <c r="N332" i="4"/>
  <c r="M332" i="4"/>
  <c r="L332" i="4"/>
  <c r="K332" i="4"/>
  <c r="J332" i="4"/>
  <c r="I332" i="4"/>
  <c r="O331" i="4"/>
  <c r="N331" i="4"/>
  <c r="M331" i="4"/>
  <c r="L331" i="4"/>
  <c r="K331" i="4"/>
  <c r="J331" i="4"/>
  <c r="I331" i="4"/>
  <c r="O330" i="4"/>
  <c r="N330" i="4"/>
  <c r="M330" i="4"/>
  <c r="L330" i="4"/>
  <c r="K330" i="4"/>
  <c r="J330" i="4"/>
  <c r="I330" i="4"/>
  <c r="O329" i="4"/>
  <c r="N329" i="4"/>
  <c r="M329" i="4"/>
  <c r="L329" i="4"/>
  <c r="K329" i="4"/>
  <c r="J329" i="4"/>
  <c r="I329" i="4"/>
  <c r="O328" i="4"/>
  <c r="N328" i="4"/>
  <c r="M328" i="4"/>
  <c r="L328" i="4"/>
  <c r="K328" i="4"/>
  <c r="J328" i="4"/>
  <c r="I328" i="4"/>
  <c r="O323" i="4"/>
  <c r="N323" i="4"/>
  <c r="M323" i="4"/>
  <c r="L323" i="4"/>
  <c r="K323" i="4"/>
  <c r="J323" i="4"/>
  <c r="I323" i="4"/>
  <c r="O322" i="4"/>
  <c r="N322" i="4"/>
  <c r="M322" i="4"/>
  <c r="L322" i="4"/>
  <c r="K322" i="4"/>
  <c r="J322" i="4"/>
  <c r="I322" i="4"/>
  <c r="O321" i="4"/>
  <c r="N321" i="4"/>
  <c r="M321" i="4"/>
  <c r="L321" i="4"/>
  <c r="K321" i="4"/>
  <c r="J321" i="4"/>
  <c r="I321" i="4"/>
  <c r="O320" i="4"/>
  <c r="N320" i="4"/>
  <c r="M320" i="4"/>
  <c r="L320" i="4"/>
  <c r="K320" i="4"/>
  <c r="J320" i="4"/>
  <c r="I320" i="4"/>
  <c r="O319" i="4"/>
  <c r="N319" i="4"/>
  <c r="M319" i="4"/>
  <c r="L319" i="4"/>
  <c r="K319" i="4"/>
  <c r="J319" i="4"/>
  <c r="I319" i="4"/>
  <c r="O318" i="4"/>
  <c r="N318" i="4"/>
  <c r="M318" i="4"/>
  <c r="L318" i="4"/>
  <c r="K318" i="4"/>
  <c r="J318" i="4"/>
  <c r="I318" i="4"/>
  <c r="O317" i="4"/>
  <c r="N317" i="4"/>
  <c r="M317" i="4"/>
  <c r="L317" i="4"/>
  <c r="K317" i="4"/>
  <c r="J317" i="4"/>
  <c r="I317" i="4"/>
  <c r="O316" i="4"/>
  <c r="N316" i="4"/>
  <c r="M316" i="4"/>
  <c r="L316" i="4"/>
  <c r="K316" i="4"/>
  <c r="J316" i="4"/>
  <c r="I316" i="4"/>
  <c r="O310" i="4"/>
  <c r="N310" i="4"/>
  <c r="M310" i="4"/>
  <c r="L310" i="4"/>
  <c r="K310" i="4"/>
  <c r="J310" i="4"/>
  <c r="I310" i="4"/>
  <c r="O309" i="4"/>
  <c r="N309" i="4"/>
  <c r="M309" i="4"/>
  <c r="L309" i="4"/>
  <c r="J309" i="4"/>
  <c r="I309" i="4"/>
  <c r="H309" i="4"/>
  <c r="K309" i="4" s="1"/>
  <c r="O308" i="4"/>
  <c r="N308" i="4"/>
  <c r="M308" i="4"/>
  <c r="L308" i="4"/>
  <c r="K308" i="4"/>
  <c r="J308" i="4"/>
  <c r="I308" i="4"/>
  <c r="O307" i="4"/>
  <c r="N307" i="4"/>
  <c r="M307" i="4"/>
  <c r="L307" i="4"/>
  <c r="K307" i="4"/>
  <c r="J307" i="4"/>
  <c r="I307" i="4"/>
  <c r="O306" i="4"/>
  <c r="N306" i="4"/>
  <c r="M306" i="4"/>
  <c r="L306" i="4"/>
  <c r="K306" i="4"/>
  <c r="J306" i="4"/>
  <c r="I306" i="4"/>
  <c r="O305" i="4"/>
  <c r="N305" i="4"/>
  <c r="M305" i="4"/>
  <c r="L305" i="4"/>
  <c r="K305" i="4"/>
  <c r="J305" i="4"/>
  <c r="I305" i="4"/>
  <c r="O304" i="4"/>
  <c r="N304" i="4"/>
  <c r="M304" i="4"/>
  <c r="L304" i="4"/>
  <c r="J304" i="4"/>
  <c r="I304" i="4"/>
  <c r="H304" i="4"/>
  <c r="K304" i="4" s="1"/>
  <c r="O303" i="4"/>
  <c r="N303" i="4"/>
  <c r="M303" i="4"/>
  <c r="L303" i="4"/>
  <c r="K303" i="4"/>
  <c r="J303" i="4"/>
  <c r="I303" i="4"/>
  <c r="O302" i="4"/>
  <c r="N302" i="4"/>
  <c r="M302" i="4"/>
  <c r="L302" i="4"/>
  <c r="J302" i="4"/>
  <c r="I302" i="4"/>
  <c r="H302" i="4"/>
  <c r="K302" i="4" s="1"/>
  <c r="O301" i="4"/>
  <c r="N301" i="4"/>
  <c r="M301" i="4"/>
  <c r="L301" i="4"/>
  <c r="K301" i="4"/>
  <c r="J301" i="4"/>
  <c r="I301" i="4"/>
  <c r="O300" i="4"/>
  <c r="N300" i="4"/>
  <c r="M300" i="4"/>
  <c r="L300" i="4"/>
  <c r="K300" i="4"/>
  <c r="J300" i="4"/>
  <c r="I300" i="4"/>
  <c r="O299" i="4"/>
  <c r="N299" i="4"/>
  <c r="M299" i="4"/>
  <c r="L299" i="4"/>
  <c r="K299" i="4"/>
  <c r="J299" i="4"/>
  <c r="I299" i="4"/>
  <c r="O298" i="4"/>
  <c r="N298" i="4"/>
  <c r="M298" i="4"/>
  <c r="L298" i="4"/>
  <c r="K298" i="4"/>
  <c r="J298" i="4"/>
  <c r="I298" i="4"/>
  <c r="O297" i="4"/>
  <c r="N297" i="4"/>
  <c r="M297" i="4"/>
  <c r="L297" i="4"/>
  <c r="K297" i="4"/>
  <c r="J297" i="4"/>
  <c r="I297" i="4"/>
  <c r="O296" i="4"/>
  <c r="N296" i="4"/>
  <c r="M296" i="4"/>
  <c r="L296" i="4"/>
  <c r="K296" i="4"/>
  <c r="J296" i="4"/>
  <c r="I296" i="4"/>
  <c r="O295" i="4"/>
  <c r="N295" i="4"/>
  <c r="M295" i="4"/>
  <c r="L295" i="4"/>
  <c r="K295" i="4"/>
  <c r="J295" i="4"/>
  <c r="I295" i="4"/>
  <c r="O294" i="4"/>
  <c r="N294" i="4"/>
  <c r="M294" i="4"/>
  <c r="L294" i="4"/>
  <c r="J294" i="4"/>
  <c r="I294" i="4"/>
  <c r="H294" i="4"/>
  <c r="K294" i="4" s="1"/>
  <c r="O293" i="4"/>
  <c r="N293" i="4"/>
  <c r="M293" i="4"/>
  <c r="L293" i="4"/>
  <c r="K293" i="4"/>
  <c r="J293" i="4"/>
  <c r="I293" i="4"/>
  <c r="O292" i="4"/>
  <c r="N292" i="4"/>
  <c r="M292" i="4"/>
  <c r="L292" i="4"/>
  <c r="K292" i="4"/>
  <c r="J292" i="4"/>
  <c r="I292" i="4"/>
  <c r="O291" i="4"/>
  <c r="N291" i="4"/>
  <c r="M291" i="4"/>
  <c r="L291" i="4"/>
  <c r="K291" i="4"/>
  <c r="J291" i="4"/>
  <c r="I291" i="4"/>
  <c r="O290" i="4"/>
  <c r="N290" i="4"/>
  <c r="M290" i="4"/>
  <c r="L290" i="4"/>
  <c r="K290" i="4"/>
  <c r="J290" i="4"/>
  <c r="I290" i="4"/>
  <c r="O289" i="4"/>
  <c r="N289" i="4"/>
  <c r="M289" i="4"/>
  <c r="L289" i="4"/>
  <c r="J289" i="4"/>
  <c r="I289" i="4"/>
  <c r="H289" i="4"/>
  <c r="K289" i="4" s="1"/>
  <c r="O288" i="4"/>
  <c r="N288" i="4"/>
  <c r="M288" i="4"/>
  <c r="L288" i="4"/>
  <c r="K288" i="4"/>
  <c r="J288" i="4"/>
  <c r="I288" i="4"/>
  <c r="O287" i="4"/>
  <c r="N287" i="4"/>
  <c r="M287" i="4"/>
  <c r="L287" i="4"/>
  <c r="J287" i="4"/>
  <c r="I287" i="4"/>
  <c r="H287" i="4"/>
  <c r="K287" i="4" s="1"/>
  <c r="O286" i="4"/>
  <c r="N286" i="4"/>
  <c r="M286" i="4"/>
  <c r="L286" i="4"/>
  <c r="K286" i="4"/>
  <c r="J286" i="4"/>
  <c r="I286" i="4"/>
  <c r="O285" i="4"/>
  <c r="N285" i="4"/>
  <c r="M285" i="4"/>
  <c r="L285" i="4"/>
  <c r="K285" i="4"/>
  <c r="J285" i="4"/>
  <c r="I285" i="4"/>
  <c r="O284" i="4"/>
  <c r="N284" i="4"/>
  <c r="M284" i="4"/>
  <c r="L284" i="4"/>
  <c r="K284" i="4"/>
  <c r="J284" i="4"/>
  <c r="I284" i="4"/>
  <c r="O283" i="4"/>
  <c r="N283" i="4"/>
  <c r="M283" i="4"/>
  <c r="L283" i="4"/>
  <c r="K283" i="4"/>
  <c r="J283" i="4"/>
  <c r="I283" i="4"/>
  <c r="O282" i="4"/>
  <c r="N282" i="4"/>
  <c r="M282" i="4"/>
  <c r="L282" i="4"/>
  <c r="J282" i="4"/>
  <c r="I282" i="4"/>
  <c r="H282" i="4"/>
  <c r="K282" i="4" s="1"/>
  <c r="O281" i="4"/>
  <c r="N281" i="4"/>
  <c r="M281" i="4"/>
  <c r="L281" i="4"/>
  <c r="K281" i="4"/>
  <c r="J281" i="4"/>
  <c r="I281" i="4"/>
  <c r="O280" i="4"/>
  <c r="N280" i="4"/>
  <c r="M280" i="4"/>
  <c r="L280" i="4"/>
  <c r="K280" i="4"/>
  <c r="J280" i="4"/>
  <c r="I280" i="4"/>
  <c r="O279" i="4"/>
  <c r="N279" i="4"/>
  <c r="M279" i="4"/>
  <c r="L279" i="4"/>
  <c r="K279" i="4"/>
  <c r="J279" i="4"/>
  <c r="I279" i="4"/>
  <c r="O273" i="4"/>
  <c r="N273" i="4"/>
  <c r="M273" i="4"/>
  <c r="L273" i="4"/>
  <c r="K273" i="4"/>
  <c r="J273" i="4"/>
  <c r="I273" i="4"/>
  <c r="O272" i="4"/>
  <c r="N272" i="4"/>
  <c r="M272" i="4"/>
  <c r="L272" i="4"/>
  <c r="K272" i="4"/>
  <c r="J272" i="4"/>
  <c r="I272" i="4"/>
  <c r="O271" i="4"/>
  <c r="N271" i="4"/>
  <c r="M271" i="4"/>
  <c r="L271" i="4"/>
  <c r="K271" i="4"/>
  <c r="J271" i="4"/>
  <c r="I271" i="4"/>
  <c r="O270" i="4"/>
  <c r="N270" i="4"/>
  <c r="M270" i="4"/>
  <c r="L270" i="4"/>
  <c r="K270" i="4"/>
  <c r="J270" i="4"/>
  <c r="I270" i="4"/>
  <c r="O269" i="4"/>
  <c r="N269" i="4"/>
  <c r="M269" i="4"/>
  <c r="L269" i="4"/>
  <c r="K269" i="4"/>
  <c r="J269" i="4"/>
  <c r="I269" i="4"/>
  <c r="O268" i="4"/>
  <c r="N268" i="4"/>
  <c r="M268" i="4"/>
  <c r="L268" i="4"/>
  <c r="K268" i="4"/>
  <c r="J268" i="4"/>
  <c r="I268" i="4"/>
  <c r="O267" i="4"/>
  <c r="N267" i="4"/>
  <c r="M267" i="4"/>
  <c r="L267" i="4"/>
  <c r="K267" i="4"/>
  <c r="J267" i="4"/>
  <c r="I267" i="4"/>
  <c r="O266" i="4"/>
  <c r="N266" i="4"/>
  <c r="M266" i="4"/>
  <c r="L266" i="4"/>
  <c r="J266" i="4"/>
  <c r="I266" i="4"/>
  <c r="H266" i="4"/>
  <c r="K266" i="4" s="1"/>
  <c r="O265" i="4"/>
  <c r="N265" i="4"/>
  <c r="M265" i="4"/>
  <c r="L265" i="4"/>
  <c r="K265" i="4"/>
  <c r="J265" i="4"/>
  <c r="I265" i="4"/>
  <c r="O264" i="4"/>
  <c r="N264" i="4"/>
  <c r="M264" i="4"/>
  <c r="L264" i="4"/>
  <c r="J264" i="4"/>
  <c r="I264" i="4"/>
  <c r="H264" i="4"/>
  <c r="K264" i="4" s="1"/>
  <c r="O263" i="4"/>
  <c r="N263" i="4"/>
  <c r="M263" i="4"/>
  <c r="L263" i="4"/>
  <c r="K263" i="4"/>
  <c r="J263" i="4"/>
  <c r="I263" i="4"/>
  <c r="O262" i="4"/>
  <c r="N262" i="4"/>
  <c r="M262" i="4"/>
  <c r="L262" i="4"/>
  <c r="J262" i="4"/>
  <c r="I262" i="4"/>
  <c r="H262" i="4"/>
  <c r="K262" i="4" s="1"/>
  <c r="O261" i="4"/>
  <c r="N261" i="4"/>
  <c r="M261" i="4"/>
  <c r="L261" i="4"/>
  <c r="K261" i="4"/>
  <c r="J261" i="4"/>
  <c r="I261" i="4"/>
  <c r="O260" i="4"/>
  <c r="N260" i="4"/>
  <c r="M260" i="4"/>
  <c r="L260" i="4"/>
  <c r="J260" i="4"/>
  <c r="I260" i="4"/>
  <c r="H260" i="4"/>
  <c r="K260" i="4" s="1"/>
  <c r="O259" i="4"/>
  <c r="N259" i="4"/>
  <c r="M259" i="4"/>
  <c r="L259" i="4"/>
  <c r="K259" i="4"/>
  <c r="J259" i="4"/>
  <c r="I259" i="4"/>
  <c r="I372" i="2"/>
  <c r="I371" i="2"/>
  <c r="I370" i="2"/>
  <c r="I369" i="2"/>
  <c r="I364" i="2"/>
  <c r="I363" i="2"/>
  <c r="I362" i="2"/>
  <c r="I361" i="2"/>
  <c r="K1037" i="7"/>
  <c r="K1027" i="7"/>
  <c r="K1026" i="7"/>
  <c r="L1025" i="7"/>
  <c r="M1025" i="7" s="1"/>
  <c r="K1025" i="7"/>
  <c r="L1037" i="7"/>
  <c r="L1034" i="7"/>
  <c r="M1034" i="7" s="1"/>
  <c r="L1033" i="7"/>
  <c r="M1033" i="7" s="1"/>
  <c r="L1032" i="7"/>
  <c r="M1032" i="7" s="1"/>
  <c r="L1031" i="7"/>
  <c r="M1031" i="7" s="1"/>
  <c r="L1030" i="7"/>
  <c r="M1030" i="7" s="1"/>
  <c r="L1028" i="7"/>
  <c r="M1028" i="7" s="1"/>
  <c r="L1027" i="7"/>
  <c r="L1026" i="7"/>
  <c r="M1026" i="7" s="1"/>
  <c r="D1057" i="7"/>
  <c r="P16" i="12" l="1"/>
  <c r="R16" i="12" s="1"/>
  <c r="K415" i="4"/>
  <c r="M1037" i="7"/>
  <c r="M1029" i="7"/>
  <c r="K417" i="4"/>
  <c r="L415" i="4"/>
  <c r="L417" i="4" s="1"/>
  <c r="I337" i="4"/>
  <c r="I340" i="4" s="1"/>
  <c r="J337" i="4"/>
  <c r="J340" i="4" s="1"/>
  <c r="K337" i="4"/>
  <c r="K339" i="4" s="1"/>
  <c r="L337" i="4"/>
  <c r="L340" i="4" s="1"/>
  <c r="L375" i="4"/>
  <c r="L378" i="4" s="1"/>
  <c r="K375" i="4"/>
  <c r="K377" i="4" s="1"/>
  <c r="I375" i="4"/>
  <c r="I377" i="4" s="1"/>
  <c r="K311" i="4"/>
  <c r="K313" i="4" s="1"/>
  <c r="K422" i="4"/>
  <c r="K425" i="4" s="1"/>
  <c r="I425" i="4"/>
  <c r="N425" i="4"/>
  <c r="J424" i="4"/>
  <c r="L424" i="4"/>
  <c r="M425" i="4"/>
  <c r="M274" i="4"/>
  <c r="M277" i="4" s="1"/>
  <c r="M415" i="4"/>
  <c r="M418" i="4" s="1"/>
  <c r="J415" i="4"/>
  <c r="J417" i="4" s="1"/>
  <c r="N417" i="4"/>
  <c r="I415" i="4"/>
  <c r="I418" i="4" s="1"/>
  <c r="M399" i="4"/>
  <c r="M402" i="4" s="1"/>
  <c r="I399" i="4"/>
  <c r="I401" i="4" s="1"/>
  <c r="L399" i="4"/>
  <c r="L402" i="4" s="1"/>
  <c r="J399" i="4"/>
  <c r="J401" i="4" s="1"/>
  <c r="K399" i="4"/>
  <c r="K401" i="4" s="1"/>
  <c r="M375" i="4"/>
  <c r="M378" i="4" s="1"/>
  <c r="N375" i="4"/>
  <c r="N377" i="4" s="1"/>
  <c r="J375" i="4"/>
  <c r="J377" i="4" s="1"/>
  <c r="O337" i="4"/>
  <c r="O339" i="4" s="1"/>
  <c r="N337" i="4"/>
  <c r="N340" i="4" s="1"/>
  <c r="M337" i="4"/>
  <c r="M339" i="4" s="1"/>
  <c r="N311" i="4"/>
  <c r="N314" i="4" s="1"/>
  <c r="O311" i="4"/>
  <c r="O313" i="4" s="1"/>
  <c r="J311" i="4"/>
  <c r="J313" i="4" s="1"/>
  <c r="I311" i="4"/>
  <c r="I313" i="4" s="1"/>
  <c r="M311" i="4"/>
  <c r="M313" i="4" s="1"/>
  <c r="N274" i="4"/>
  <c r="N277" i="4" s="1"/>
  <c r="I274" i="4"/>
  <c r="I276" i="4" s="1"/>
  <c r="J274" i="4"/>
  <c r="J277" i="4" s="1"/>
  <c r="O274" i="4"/>
  <c r="O276" i="4" s="1"/>
  <c r="L274" i="4"/>
  <c r="L276" i="4" s="1"/>
  <c r="L311" i="4"/>
  <c r="K274" i="4"/>
  <c r="N401" i="4"/>
  <c r="M1027" i="7"/>
  <c r="M1024" i="7" s="1"/>
  <c r="G72" i="25" l="1"/>
  <c r="H72" i="25" s="1"/>
  <c r="H70" i="25" s="1"/>
  <c r="G117" i="25"/>
  <c r="H117" i="25" s="1"/>
  <c r="L418" i="4"/>
  <c r="K314" i="4"/>
  <c r="L339" i="4"/>
  <c r="L401" i="4"/>
  <c r="K424" i="4"/>
  <c r="P419" i="4" s="1"/>
  <c r="M401" i="4"/>
  <c r="I339" i="4"/>
  <c r="K418" i="4"/>
  <c r="N313" i="4"/>
  <c r="I378" i="4"/>
  <c r="O277" i="4"/>
  <c r="I417" i="4"/>
  <c r="O340" i="4"/>
  <c r="J276" i="4"/>
  <c r="M314" i="4"/>
  <c r="N339" i="4"/>
  <c r="M276" i="4"/>
  <c r="J378" i="4"/>
  <c r="I277" i="4"/>
  <c r="L377" i="4"/>
  <c r="I314" i="4"/>
  <c r="I402" i="4"/>
  <c r="N378" i="4"/>
  <c r="M417" i="4"/>
  <c r="J314" i="4"/>
  <c r="J418" i="4"/>
  <c r="K402" i="4"/>
  <c r="J402" i="4"/>
  <c r="M377" i="4"/>
  <c r="K378" i="4"/>
  <c r="M340" i="4"/>
  <c r="K340" i="4"/>
  <c r="J339" i="4"/>
  <c r="O314" i="4"/>
  <c r="L277" i="4"/>
  <c r="N276" i="4"/>
  <c r="K276" i="4"/>
  <c r="K277" i="4"/>
  <c r="L313" i="4"/>
  <c r="L314" i="4"/>
  <c r="L1036" i="7"/>
  <c r="M1036" i="7" s="1"/>
  <c r="M1035" i="7" s="1"/>
  <c r="E117" i="25" s="1"/>
  <c r="A25" i="6"/>
  <c r="O114" i="12"/>
  <c r="Q114" i="12" s="1"/>
  <c r="O113" i="12"/>
  <c r="Q113" i="12" s="1"/>
  <c r="O112" i="12"/>
  <c r="Q112" i="12" s="1"/>
  <c r="R111" i="12"/>
  <c r="O110" i="12"/>
  <c r="Q110" i="12" s="1"/>
  <c r="O109" i="12"/>
  <c r="Q109" i="12" s="1"/>
  <c r="O108" i="12"/>
  <c r="Q108" i="12" s="1"/>
  <c r="O107" i="12"/>
  <c r="Q107" i="12" s="1"/>
  <c r="R106" i="12"/>
  <c r="O105" i="12"/>
  <c r="Q105" i="12" s="1"/>
  <c r="O104" i="12"/>
  <c r="Q104" i="12" s="1"/>
  <c r="O103" i="12"/>
  <c r="Q103" i="12" s="1"/>
  <c r="R102" i="12"/>
  <c r="O101" i="12"/>
  <c r="Q101" i="12" s="1"/>
  <c r="O100" i="12"/>
  <c r="Q100" i="12" s="1"/>
  <c r="O99" i="12"/>
  <c r="Q99" i="12" s="1"/>
  <c r="R98" i="12"/>
  <c r="I278" i="2"/>
  <c r="I279" i="2"/>
  <c r="I280" i="2"/>
  <c r="I283" i="2"/>
  <c r="I284" i="2"/>
  <c r="I285" i="2"/>
  <c r="I293" i="2"/>
  <c r="I294" i="2"/>
  <c r="I300" i="2"/>
  <c r="I303" i="2"/>
  <c r="I304" i="2"/>
  <c r="I305" i="2"/>
  <c r="I306" i="2"/>
  <c r="I307" i="2"/>
  <c r="I308" i="2"/>
  <c r="I309" i="2"/>
  <c r="I310" i="2"/>
  <c r="I318" i="2"/>
  <c r="I319" i="2"/>
  <c r="I320" i="2"/>
  <c r="I321" i="2"/>
  <c r="I322" i="2"/>
  <c r="I323" i="2"/>
  <c r="I324" i="2"/>
  <c r="I325" i="2"/>
  <c r="I326" i="2"/>
  <c r="I327" i="2"/>
  <c r="I330" i="2"/>
  <c r="I331" i="2"/>
  <c r="I332" i="2"/>
  <c r="I333" i="2"/>
  <c r="I334" i="2"/>
  <c r="I335" i="2"/>
  <c r="I336" i="2"/>
  <c r="I337" i="2"/>
  <c r="I338" i="2"/>
  <c r="I339" i="2"/>
  <c r="I342" i="2"/>
  <c r="I343" i="2"/>
  <c r="I344" i="2"/>
  <c r="I345" i="2"/>
  <c r="I346" i="2"/>
  <c r="I347" i="2"/>
  <c r="I348" i="2"/>
  <c r="I349" i="2"/>
  <c r="I350" i="2"/>
  <c r="I351" i="2"/>
  <c r="I359" i="2"/>
  <c r="I360" i="2"/>
  <c r="E367" i="2"/>
  <c r="I367" i="2" s="1"/>
  <c r="E368" i="2"/>
  <c r="I368" i="2" s="1"/>
  <c r="O72" i="12"/>
  <c r="Q72" i="12" s="1"/>
  <c r="O116" i="12"/>
  <c r="Q116" i="12" s="1"/>
  <c r="O117" i="12"/>
  <c r="Q117" i="12" s="1"/>
  <c r="O75" i="12"/>
  <c r="Q75" i="12" s="1"/>
  <c r="O76" i="12"/>
  <c r="Q76" i="12" s="1"/>
  <c r="O77" i="12"/>
  <c r="Q77" i="12" s="1"/>
  <c r="O78" i="12"/>
  <c r="Q78" i="12" s="1"/>
  <c r="O79" i="12"/>
  <c r="Q79" i="12" s="1"/>
  <c r="O80" i="12"/>
  <c r="Q80" i="12" s="1"/>
  <c r="O81" i="12"/>
  <c r="Q81" i="12" s="1"/>
  <c r="O120" i="12"/>
  <c r="Q120" i="12" s="1"/>
  <c r="O121" i="12"/>
  <c r="Q121" i="12" s="1"/>
  <c r="O122" i="12"/>
  <c r="Q122" i="12" s="1"/>
  <c r="O123" i="12"/>
  <c r="Q123" i="12" s="1"/>
  <c r="O124" i="12"/>
  <c r="Q124" i="12" s="1"/>
  <c r="O125" i="12"/>
  <c r="Q125" i="12" s="1"/>
  <c r="O126" i="12"/>
  <c r="Q126" i="12" s="1"/>
  <c r="O119" i="12"/>
  <c r="Q119" i="12" s="1"/>
  <c r="O74" i="12"/>
  <c r="Q74" i="12" s="1"/>
  <c r="O71" i="12"/>
  <c r="Q71" i="12" s="1"/>
  <c r="O36" i="12"/>
  <c r="Q36" i="12" s="1"/>
  <c r="O34" i="12"/>
  <c r="Q34" i="12" s="1"/>
  <c r="B126" i="12"/>
  <c r="B125" i="12"/>
  <c r="B124" i="12"/>
  <c r="B123" i="12"/>
  <c r="B122" i="12"/>
  <c r="B121" i="12"/>
  <c r="B120" i="12"/>
  <c r="B119" i="12"/>
  <c r="A27" i="6"/>
  <c r="B117" i="12"/>
  <c r="B116" i="12"/>
  <c r="B115" i="12"/>
  <c r="A26" i="6" s="1"/>
  <c r="B81" i="12"/>
  <c r="B80" i="12"/>
  <c r="B79" i="12"/>
  <c r="B78" i="12"/>
  <c r="B77" i="12"/>
  <c r="B76" i="12"/>
  <c r="B75" i="12"/>
  <c r="B74" i="12"/>
  <c r="B72" i="12"/>
  <c r="B71" i="12"/>
  <c r="A31" i="12"/>
  <c r="I535" i="11"/>
  <c r="I534" i="11"/>
  <c r="I533" i="11"/>
  <c r="I532" i="11"/>
  <c r="I531" i="11"/>
  <c r="I530" i="11"/>
  <c r="I529" i="11"/>
  <c r="I528" i="11"/>
  <c r="I527" i="11"/>
  <c r="I526" i="11"/>
  <c r="I525" i="11"/>
  <c r="I524" i="11"/>
  <c r="I523" i="11"/>
  <c r="I522" i="11"/>
  <c r="I521" i="11"/>
  <c r="I520" i="11"/>
  <c r="I519" i="11"/>
  <c r="I516" i="11"/>
  <c r="I515" i="11"/>
  <c r="I514" i="11"/>
  <c r="I513" i="11"/>
  <c r="I512" i="11"/>
  <c r="I511" i="11"/>
  <c r="I510" i="11"/>
  <c r="I509" i="11"/>
  <c r="I508" i="11"/>
  <c r="I507" i="11"/>
  <c r="I506" i="11"/>
  <c r="I505" i="11"/>
  <c r="I504" i="11"/>
  <c r="I503" i="11"/>
  <c r="I502" i="11"/>
  <c r="I501" i="11"/>
  <c r="I500" i="11"/>
  <c r="I499" i="11"/>
  <c r="I494" i="11"/>
  <c r="I493" i="11"/>
  <c r="I492" i="11"/>
  <c r="I490" i="11"/>
  <c r="I489" i="11"/>
  <c r="I488" i="11"/>
  <c r="I480" i="11"/>
  <c r="I481" i="11"/>
  <c r="I482" i="11"/>
  <c r="I483" i="11"/>
  <c r="I485" i="11"/>
  <c r="I486" i="11"/>
  <c r="I487" i="11"/>
  <c r="I495" i="11"/>
  <c r="I496" i="11"/>
  <c r="I469" i="11"/>
  <c r="I468" i="11"/>
  <c r="I467" i="11"/>
  <c r="I465" i="11"/>
  <c r="I464" i="11"/>
  <c r="I463" i="11"/>
  <c r="I462" i="11"/>
  <c r="I461" i="11"/>
  <c r="I460" i="11"/>
  <c r="I459" i="11"/>
  <c r="I458" i="11"/>
  <c r="I457" i="11"/>
  <c r="I456" i="11"/>
  <c r="I455" i="11"/>
  <c r="I454" i="11"/>
  <c r="I453" i="11"/>
  <c r="I452" i="11"/>
  <c r="I451" i="11"/>
  <c r="I450" i="11"/>
  <c r="I449" i="11"/>
  <c r="I448" i="11"/>
  <c r="I447" i="11"/>
  <c r="I446" i="11"/>
  <c r="I445" i="11"/>
  <c r="I444" i="11"/>
  <c r="I443" i="11"/>
  <c r="I442" i="11"/>
  <c r="I441" i="11"/>
  <c r="I440" i="11"/>
  <c r="I439" i="11"/>
  <c r="I438" i="11"/>
  <c r="I437" i="11"/>
  <c r="I436" i="11"/>
  <c r="I435" i="11"/>
  <c r="I434" i="11"/>
  <c r="I255" i="11"/>
  <c r="I254" i="11"/>
  <c r="I253" i="11"/>
  <c r="I406" i="11"/>
  <c r="I405" i="11"/>
  <c r="I404" i="11"/>
  <c r="I403" i="11"/>
  <c r="I402" i="11"/>
  <c r="I401" i="11"/>
  <c r="I400" i="11"/>
  <c r="I399" i="11"/>
  <c r="I398" i="11"/>
  <c r="I397" i="11"/>
  <c r="I396" i="11"/>
  <c r="I395" i="11"/>
  <c r="I394" i="11"/>
  <c r="I393" i="11"/>
  <c r="I392" i="11"/>
  <c r="I391" i="11"/>
  <c r="I390" i="11"/>
  <c r="I389" i="11"/>
  <c r="I388" i="11"/>
  <c r="I387" i="11"/>
  <c r="I386" i="11"/>
  <c r="I385" i="11"/>
  <c r="I384" i="11"/>
  <c r="I383" i="11"/>
  <c r="I382" i="11"/>
  <c r="I381" i="11"/>
  <c r="I380" i="11"/>
  <c r="I379" i="11"/>
  <c r="I378" i="11"/>
  <c r="I377" i="11"/>
  <c r="I376" i="11"/>
  <c r="I375" i="11"/>
  <c r="I323" i="11"/>
  <c r="I321" i="11"/>
  <c r="I322" i="11"/>
  <c r="I319" i="11"/>
  <c r="I314" i="11"/>
  <c r="I313" i="11"/>
  <c r="I312" i="11"/>
  <c r="I311" i="11"/>
  <c r="I310" i="11"/>
  <c r="I320" i="11"/>
  <c r="I318" i="11"/>
  <c r="I317" i="11"/>
  <c r="I316" i="11"/>
  <c r="I315" i="11"/>
  <c r="I245" i="11"/>
  <c r="I244" i="11"/>
  <c r="I243" i="11"/>
  <c r="I242" i="11"/>
  <c r="I241" i="11"/>
  <c r="I240" i="11"/>
  <c r="I239" i="11"/>
  <c r="I238" i="11"/>
  <c r="I251" i="11"/>
  <c r="I250" i="11"/>
  <c r="I249" i="11"/>
  <c r="I248" i="11"/>
  <c r="I247" i="11"/>
  <c r="I246" i="11"/>
  <c r="I237" i="11"/>
  <c r="I236" i="11"/>
  <c r="I235" i="11"/>
  <c r="I234" i="11"/>
  <c r="I233" i="11"/>
  <c r="I232" i="11"/>
  <c r="I231" i="11"/>
  <c r="I230" i="11"/>
  <c r="I229" i="11"/>
  <c r="I228" i="11"/>
  <c r="I227" i="11"/>
  <c r="I226" i="11"/>
  <c r="I225" i="11"/>
  <c r="I224" i="11"/>
  <c r="I223" i="11"/>
  <c r="I222" i="11"/>
  <c r="I221" i="11"/>
  <c r="I220" i="11"/>
  <c r="I219" i="11"/>
  <c r="I218" i="11"/>
  <c r="I217" i="11"/>
  <c r="I148" i="11"/>
  <c r="I150" i="11"/>
  <c r="I151" i="11"/>
  <c r="I189" i="11"/>
  <c r="I188" i="11"/>
  <c r="I187" i="11"/>
  <c r="I186" i="11"/>
  <c r="I185" i="11"/>
  <c r="I184" i="11"/>
  <c r="I183" i="11"/>
  <c r="I182" i="11"/>
  <c r="I172" i="11"/>
  <c r="I171" i="11"/>
  <c r="I170" i="11"/>
  <c r="I169" i="11"/>
  <c r="I168" i="11"/>
  <c r="I167" i="11"/>
  <c r="I166" i="11"/>
  <c r="I165" i="11"/>
  <c r="I164" i="11"/>
  <c r="I181" i="11"/>
  <c r="I180" i="11"/>
  <c r="I179" i="11"/>
  <c r="I178" i="11"/>
  <c r="I177" i="11"/>
  <c r="I176" i="11"/>
  <c r="I175" i="11"/>
  <c r="I174" i="11"/>
  <c r="I173" i="11"/>
  <c r="I203" i="11"/>
  <c r="I208" i="11"/>
  <c r="I215" i="11"/>
  <c r="I560" i="11"/>
  <c r="J559" i="11" s="1"/>
  <c r="I557" i="11"/>
  <c r="I556" i="11"/>
  <c r="I555" i="11"/>
  <c r="I554" i="11"/>
  <c r="I553" i="11"/>
  <c r="I552" i="11"/>
  <c r="I551" i="11"/>
  <c r="I550" i="11"/>
  <c r="I547" i="11"/>
  <c r="J546" i="11" s="1"/>
  <c r="I544" i="11"/>
  <c r="I543" i="11"/>
  <c r="I542" i="11"/>
  <c r="I541" i="11"/>
  <c r="I540" i="11"/>
  <c r="I539" i="11"/>
  <c r="I538" i="11"/>
  <c r="I478" i="11"/>
  <c r="I477" i="11"/>
  <c r="I476" i="11"/>
  <c r="I475" i="11"/>
  <c r="I474" i="11"/>
  <c r="I473" i="11"/>
  <c r="I472" i="11"/>
  <c r="I432" i="11"/>
  <c r="I431" i="11"/>
  <c r="I430" i="11"/>
  <c r="I429" i="11"/>
  <c r="I428" i="11"/>
  <c r="I427" i="11"/>
  <c r="I426" i="11"/>
  <c r="I425" i="11"/>
  <c r="I424" i="11"/>
  <c r="I423" i="11"/>
  <c r="I422" i="11"/>
  <c r="I421" i="11"/>
  <c r="I420" i="11"/>
  <c r="I419" i="11"/>
  <c r="I418" i="11"/>
  <c r="I417" i="11"/>
  <c r="I416" i="11"/>
  <c r="I415" i="11"/>
  <c r="I414" i="11"/>
  <c r="I410" i="11"/>
  <c r="I409" i="11"/>
  <c r="I372" i="11"/>
  <c r="I371" i="11"/>
  <c r="I370" i="11"/>
  <c r="I369" i="11"/>
  <c r="I368" i="11"/>
  <c r="I367" i="11"/>
  <c r="I366" i="11"/>
  <c r="I365" i="11"/>
  <c r="I364" i="11"/>
  <c r="I363" i="11"/>
  <c r="I362" i="11"/>
  <c r="I361" i="11"/>
  <c r="I360" i="11"/>
  <c r="I359" i="11"/>
  <c r="I358" i="11"/>
  <c r="I357" i="11"/>
  <c r="I356" i="11"/>
  <c r="I355" i="11"/>
  <c r="I354" i="11"/>
  <c r="I349" i="11"/>
  <c r="J348" i="11" s="1"/>
  <c r="I346" i="11"/>
  <c r="I345" i="11"/>
  <c r="I344" i="11"/>
  <c r="I343" i="11"/>
  <c r="I342" i="11"/>
  <c r="I341" i="11"/>
  <c r="I340" i="11"/>
  <c r="I339" i="11"/>
  <c r="I336" i="11"/>
  <c r="J335" i="11" s="1"/>
  <c r="I333" i="11"/>
  <c r="I332" i="11"/>
  <c r="I331" i="11"/>
  <c r="I330" i="11"/>
  <c r="I329" i="11"/>
  <c r="I328" i="11"/>
  <c r="I327" i="11"/>
  <c r="I326" i="11"/>
  <c r="I309" i="11"/>
  <c r="I308" i="11"/>
  <c r="I307" i="11"/>
  <c r="I306" i="11"/>
  <c r="I305" i="11"/>
  <c r="I302" i="11"/>
  <c r="I301" i="11"/>
  <c r="I300" i="11"/>
  <c r="I299" i="11"/>
  <c r="I298" i="11"/>
  <c r="I297" i="11"/>
  <c r="I296" i="11"/>
  <c r="I295" i="11"/>
  <c r="I294" i="11"/>
  <c r="I293" i="11"/>
  <c r="I292" i="11"/>
  <c r="I291" i="11"/>
  <c r="I290" i="11"/>
  <c r="I289" i="11"/>
  <c r="I288" i="11"/>
  <c r="I287" i="11"/>
  <c r="I286" i="11"/>
  <c r="I285" i="11"/>
  <c r="I282" i="11"/>
  <c r="I281" i="11"/>
  <c r="I280" i="11"/>
  <c r="I279" i="11"/>
  <c r="I278" i="11"/>
  <c r="I276" i="11"/>
  <c r="I275" i="11"/>
  <c r="I274" i="11"/>
  <c r="I273" i="11"/>
  <c r="I272" i="11"/>
  <c r="I271" i="11"/>
  <c r="I269" i="11"/>
  <c r="I268" i="11"/>
  <c r="I267" i="11"/>
  <c r="I266" i="11"/>
  <c r="I264" i="11"/>
  <c r="I263" i="11"/>
  <c r="I262" i="11"/>
  <c r="I261" i="11"/>
  <c r="I260" i="11"/>
  <c r="I259" i="11"/>
  <c r="I258" i="11"/>
  <c r="I214" i="11"/>
  <c r="I213" i="11"/>
  <c r="I212" i="11"/>
  <c r="I211" i="11"/>
  <c r="I210" i="11"/>
  <c r="I209" i="11"/>
  <c r="I207" i="11"/>
  <c r="I206" i="11"/>
  <c r="I205" i="11"/>
  <c r="I204" i="11"/>
  <c r="I202" i="11"/>
  <c r="I201" i="11"/>
  <c r="I200" i="11"/>
  <c r="I199" i="11"/>
  <c r="I198" i="11"/>
  <c r="I197" i="11"/>
  <c r="I193" i="11"/>
  <c r="I192" i="11"/>
  <c r="I163" i="11"/>
  <c r="I162" i="11"/>
  <c r="I161" i="11"/>
  <c r="I160" i="11"/>
  <c r="I159" i="11"/>
  <c r="I158" i="11"/>
  <c r="I157" i="11"/>
  <c r="I156" i="11"/>
  <c r="I155" i="11"/>
  <c r="I152" i="11"/>
  <c r="I147" i="11"/>
  <c r="I146" i="11"/>
  <c r="I145" i="11"/>
  <c r="I144" i="11"/>
  <c r="I143" i="11"/>
  <c r="I142" i="11"/>
  <c r="I141" i="11"/>
  <c r="I140" i="11"/>
  <c r="I139" i="11"/>
  <c r="I138" i="11"/>
  <c r="I137" i="11"/>
  <c r="I136" i="11"/>
  <c r="I135" i="11"/>
  <c r="I134" i="11"/>
  <c r="I133" i="11"/>
  <c r="I132" i="11"/>
  <c r="I131" i="11"/>
  <c r="I130" i="11"/>
  <c r="I118" i="11"/>
  <c r="I117" i="25" l="1"/>
  <c r="J117" i="25" s="1"/>
  <c r="J116" i="25" s="1"/>
  <c r="D116" i="25" s="1"/>
  <c r="F117" i="25"/>
  <c r="E72" i="25"/>
  <c r="F72" i="25" s="1"/>
  <c r="F70" i="25" s="1"/>
  <c r="I117" i="12"/>
  <c r="P278" i="4"/>
  <c r="J302" i="2"/>
  <c r="D104" i="12" s="1"/>
  <c r="P379" i="4"/>
  <c r="F376" i="2" s="1"/>
  <c r="I376" i="2" s="1"/>
  <c r="P403" i="4"/>
  <c r="P341" i="4"/>
  <c r="F355" i="2" s="1"/>
  <c r="I355" i="2" s="1"/>
  <c r="P258" i="4"/>
  <c r="P315" i="4"/>
  <c r="J292" i="2"/>
  <c r="J282" i="2"/>
  <c r="M1021" i="7"/>
  <c r="J277" i="2"/>
  <c r="J518" i="11"/>
  <c r="J537" i="11"/>
  <c r="J498" i="11"/>
  <c r="J471" i="11"/>
  <c r="J413" i="11"/>
  <c r="J129" i="11"/>
  <c r="J196" i="11"/>
  <c r="J374" i="11"/>
  <c r="J325" i="11"/>
  <c r="J338" i="11"/>
  <c r="J304" i="11"/>
  <c r="J154" i="11"/>
  <c r="J408" i="11"/>
  <c r="J549" i="11"/>
  <c r="J353" i="11"/>
  <c r="J191" i="11"/>
  <c r="J284" i="11"/>
  <c r="J257" i="11"/>
  <c r="I66" i="11"/>
  <c r="I67" i="11"/>
  <c r="I68" i="11"/>
  <c r="I69" i="11"/>
  <c r="I25" i="11"/>
  <c r="J24" i="11" s="1"/>
  <c r="I73" i="11"/>
  <c r="I74" i="11"/>
  <c r="M250" i="4"/>
  <c r="L250" i="4"/>
  <c r="K250" i="4"/>
  <c r="J250" i="4"/>
  <c r="I250" i="4"/>
  <c r="M248" i="4"/>
  <c r="L248" i="4"/>
  <c r="J248" i="4"/>
  <c r="I248" i="4"/>
  <c r="K248" i="4"/>
  <c r="I262" i="2"/>
  <c r="H180" i="2"/>
  <c r="G265" i="2"/>
  <c r="G54" i="4"/>
  <c r="G53" i="4"/>
  <c r="G57" i="4"/>
  <c r="G56" i="4"/>
  <c r="G20" i="4"/>
  <c r="G19" i="4"/>
  <c r="G120" i="4"/>
  <c r="K120" i="4" s="1"/>
  <c r="H129" i="4"/>
  <c r="K129" i="4" s="1"/>
  <c r="H118" i="4"/>
  <c r="K118" i="4" s="1"/>
  <c r="H111" i="4"/>
  <c r="K111" i="4" s="1"/>
  <c r="H108" i="4"/>
  <c r="K108" i="4" s="1"/>
  <c r="H101" i="4"/>
  <c r="H140" i="4"/>
  <c r="K140" i="4" s="1"/>
  <c r="O137" i="4"/>
  <c r="N137" i="4"/>
  <c r="M137" i="4"/>
  <c r="L137" i="4"/>
  <c r="K137" i="4"/>
  <c r="J137" i="4"/>
  <c r="I137" i="4"/>
  <c r="O139" i="4"/>
  <c r="N139" i="4"/>
  <c r="M139" i="4"/>
  <c r="L139" i="4"/>
  <c r="K139" i="4"/>
  <c r="J139" i="4"/>
  <c r="I139" i="4"/>
  <c r="G131" i="4"/>
  <c r="L131" i="4" s="1"/>
  <c r="H132" i="4"/>
  <c r="K132" i="4" s="1"/>
  <c r="O126" i="4"/>
  <c r="N126" i="4"/>
  <c r="M126" i="4"/>
  <c r="L126" i="4"/>
  <c r="J126" i="4"/>
  <c r="I126" i="4"/>
  <c r="K126" i="4"/>
  <c r="O125" i="4"/>
  <c r="N125" i="4"/>
  <c r="M125" i="4"/>
  <c r="L125" i="4"/>
  <c r="K125" i="4"/>
  <c r="J125" i="4"/>
  <c r="I125" i="4"/>
  <c r="K122" i="4"/>
  <c r="O117" i="4"/>
  <c r="N117" i="4"/>
  <c r="M117" i="4"/>
  <c r="L117" i="4"/>
  <c r="K117" i="4"/>
  <c r="J117" i="4"/>
  <c r="I117" i="4"/>
  <c r="O107" i="4"/>
  <c r="N107" i="4"/>
  <c r="M107" i="4"/>
  <c r="L107" i="4"/>
  <c r="K107" i="4"/>
  <c r="J107" i="4"/>
  <c r="I107" i="4"/>
  <c r="O140" i="4"/>
  <c r="N140" i="4"/>
  <c r="M140" i="4"/>
  <c r="L140" i="4"/>
  <c r="J140" i="4"/>
  <c r="I140" i="4"/>
  <c r="O138" i="4"/>
  <c r="N138" i="4"/>
  <c r="M138" i="4"/>
  <c r="L138" i="4"/>
  <c r="K138" i="4"/>
  <c r="J138" i="4"/>
  <c r="I138" i="4"/>
  <c r="O136" i="4"/>
  <c r="N136" i="4"/>
  <c r="M136" i="4"/>
  <c r="L136" i="4"/>
  <c r="K136" i="4"/>
  <c r="J136" i="4"/>
  <c r="I136" i="4"/>
  <c r="O135" i="4"/>
  <c r="N135" i="4"/>
  <c r="M135" i="4"/>
  <c r="L135" i="4"/>
  <c r="K135" i="4"/>
  <c r="J135" i="4"/>
  <c r="I135" i="4"/>
  <c r="O134" i="4"/>
  <c r="N134" i="4"/>
  <c r="M134" i="4"/>
  <c r="L134" i="4"/>
  <c r="K134" i="4"/>
  <c r="J134" i="4"/>
  <c r="I134" i="4"/>
  <c r="O133" i="4"/>
  <c r="N133" i="4"/>
  <c r="M133" i="4"/>
  <c r="L133" i="4"/>
  <c r="K133" i="4"/>
  <c r="J133" i="4"/>
  <c r="I133" i="4"/>
  <c r="O132" i="4"/>
  <c r="N132" i="4"/>
  <c r="M132" i="4"/>
  <c r="L132" i="4"/>
  <c r="J132" i="4"/>
  <c r="I132" i="4"/>
  <c r="O131" i="4"/>
  <c r="N131" i="4"/>
  <c r="M131" i="4"/>
  <c r="K131" i="4"/>
  <c r="J131" i="4"/>
  <c r="I131" i="4"/>
  <c r="O130" i="4"/>
  <c r="N130" i="4"/>
  <c r="M130" i="4"/>
  <c r="L130" i="4"/>
  <c r="K130" i="4"/>
  <c r="J130" i="4"/>
  <c r="I130" i="4"/>
  <c r="O129" i="4"/>
  <c r="N129" i="4"/>
  <c r="M129" i="4"/>
  <c r="L129" i="4"/>
  <c r="J129" i="4"/>
  <c r="I129" i="4"/>
  <c r="O128" i="4"/>
  <c r="N128" i="4"/>
  <c r="M128" i="4"/>
  <c r="L128" i="4"/>
  <c r="K128" i="4"/>
  <c r="J128" i="4"/>
  <c r="I128" i="4"/>
  <c r="O127" i="4"/>
  <c r="N127" i="4"/>
  <c r="M127" i="4"/>
  <c r="L127" i="4"/>
  <c r="K127" i="4"/>
  <c r="J127" i="4"/>
  <c r="I127" i="4"/>
  <c r="O121" i="4"/>
  <c r="N121" i="4"/>
  <c r="M121" i="4"/>
  <c r="L121" i="4"/>
  <c r="J121" i="4"/>
  <c r="I121" i="4"/>
  <c r="O124" i="4"/>
  <c r="N124" i="4"/>
  <c r="M124" i="4"/>
  <c r="L124" i="4"/>
  <c r="K124" i="4"/>
  <c r="J124" i="4"/>
  <c r="I124" i="4"/>
  <c r="O123" i="4"/>
  <c r="N123" i="4"/>
  <c r="M123" i="4"/>
  <c r="L123" i="4"/>
  <c r="K123" i="4"/>
  <c r="J123" i="4"/>
  <c r="I123" i="4"/>
  <c r="O122" i="4"/>
  <c r="N122" i="4"/>
  <c r="M122" i="4"/>
  <c r="L122" i="4"/>
  <c r="J122" i="4"/>
  <c r="I122" i="4"/>
  <c r="O120" i="4"/>
  <c r="N120" i="4"/>
  <c r="M120" i="4"/>
  <c r="L120" i="4"/>
  <c r="J120" i="4"/>
  <c r="I120" i="4"/>
  <c r="O119" i="4"/>
  <c r="N119" i="4"/>
  <c r="M119" i="4"/>
  <c r="L119" i="4"/>
  <c r="K119" i="4"/>
  <c r="J119" i="4"/>
  <c r="I119" i="4"/>
  <c r="O118" i="4"/>
  <c r="N118" i="4"/>
  <c r="M118" i="4"/>
  <c r="L118" i="4"/>
  <c r="J118" i="4"/>
  <c r="I118" i="4"/>
  <c r="O116" i="4"/>
  <c r="N116" i="4"/>
  <c r="M116" i="4"/>
  <c r="L116" i="4"/>
  <c r="K116" i="4"/>
  <c r="J116" i="4"/>
  <c r="I116" i="4"/>
  <c r="O115" i="4"/>
  <c r="N115" i="4"/>
  <c r="M115" i="4"/>
  <c r="L115" i="4"/>
  <c r="K115" i="4"/>
  <c r="J115" i="4"/>
  <c r="I115" i="4"/>
  <c r="O114" i="4"/>
  <c r="N114" i="4"/>
  <c r="M114" i="4"/>
  <c r="L114" i="4"/>
  <c r="K114" i="4"/>
  <c r="J114" i="4"/>
  <c r="I114" i="4"/>
  <c r="O113" i="4"/>
  <c r="N113" i="4"/>
  <c r="M113" i="4"/>
  <c r="L113" i="4"/>
  <c r="K113" i="4"/>
  <c r="J113" i="4"/>
  <c r="I113" i="4"/>
  <c r="O111" i="4"/>
  <c r="N111" i="4"/>
  <c r="M111" i="4"/>
  <c r="L111" i="4"/>
  <c r="J111" i="4"/>
  <c r="I111" i="4"/>
  <c r="O110" i="4"/>
  <c r="N110" i="4"/>
  <c r="M110" i="4"/>
  <c r="L110" i="4"/>
  <c r="K110" i="4"/>
  <c r="J110" i="4"/>
  <c r="I110" i="4"/>
  <c r="O109" i="4"/>
  <c r="N109" i="4"/>
  <c r="M109" i="4"/>
  <c r="L109" i="4"/>
  <c r="K109" i="4"/>
  <c r="J109" i="4"/>
  <c r="I109" i="4"/>
  <c r="O108" i="4"/>
  <c r="N108" i="4"/>
  <c r="M108" i="4"/>
  <c r="L108" i="4"/>
  <c r="J108" i="4"/>
  <c r="I108" i="4"/>
  <c r="O106" i="4"/>
  <c r="N106" i="4"/>
  <c r="M106" i="4"/>
  <c r="L106" i="4"/>
  <c r="K106" i="4"/>
  <c r="J106" i="4"/>
  <c r="I106" i="4"/>
  <c r="O105" i="4"/>
  <c r="N105" i="4"/>
  <c r="M105" i="4"/>
  <c r="L105" i="4"/>
  <c r="K105" i="4"/>
  <c r="J105" i="4"/>
  <c r="I105" i="4"/>
  <c r="I166" i="2"/>
  <c r="I211" i="2"/>
  <c r="H83" i="4"/>
  <c r="H80" i="4"/>
  <c r="H77" i="4"/>
  <c r="H74" i="4"/>
  <c r="I217" i="2"/>
  <c r="I222" i="2"/>
  <c r="I209" i="2"/>
  <c r="I152" i="2"/>
  <c r="F116" i="25" l="1"/>
  <c r="F115" i="25" s="1"/>
  <c r="H116" i="25"/>
  <c r="H115" i="25" s="1"/>
  <c r="D103" i="12"/>
  <c r="F314" i="2"/>
  <c r="I314" i="2"/>
  <c r="J312" i="2" s="1"/>
  <c r="D105" i="12" s="1"/>
  <c r="D99" i="12"/>
  <c r="F289" i="2"/>
  <c r="I289" i="2"/>
  <c r="J287" i="2" s="1"/>
  <c r="D101" i="12" s="1"/>
  <c r="J117" i="12"/>
  <c r="J116" i="12" s="1"/>
  <c r="D100" i="12"/>
  <c r="M312" i="2"/>
  <c r="H117" i="12"/>
  <c r="F117" i="12"/>
  <c r="D72" i="12"/>
  <c r="K121" i="4"/>
  <c r="E547" i="7"/>
  <c r="F547" i="7" s="1"/>
  <c r="C67" i="12"/>
  <c r="C66" i="12"/>
  <c r="C65" i="12"/>
  <c r="B67" i="12"/>
  <c r="B66" i="12"/>
  <c r="B65" i="12"/>
  <c r="B64" i="12"/>
  <c r="C59" i="12"/>
  <c r="C58" i="12"/>
  <c r="C57" i="12"/>
  <c r="C56" i="12"/>
  <c r="C63" i="12"/>
  <c r="C62" i="12"/>
  <c r="C61" i="12"/>
  <c r="B63" i="12"/>
  <c r="B62" i="12"/>
  <c r="B61" i="12"/>
  <c r="B60" i="12"/>
  <c r="B59" i="12"/>
  <c r="O59" i="12"/>
  <c r="Q59" i="12" s="1"/>
  <c r="B58" i="12"/>
  <c r="B57" i="12"/>
  <c r="B56" i="12"/>
  <c r="B55" i="12"/>
  <c r="C54" i="12"/>
  <c r="C53" i="12"/>
  <c r="C52" i="12"/>
  <c r="B54" i="12"/>
  <c r="B53" i="12"/>
  <c r="B52" i="12"/>
  <c r="B51" i="12"/>
  <c r="B31" i="12"/>
  <c r="I205" i="2"/>
  <c r="I207" i="2"/>
  <c r="I208" i="2"/>
  <c r="I210" i="2"/>
  <c r="I212" i="2"/>
  <c r="I216" i="2"/>
  <c r="I220" i="2"/>
  <c r="I221" i="2"/>
  <c r="I230" i="2"/>
  <c r="I231" i="2"/>
  <c r="I232" i="2"/>
  <c r="I235" i="2"/>
  <c r="I236" i="2"/>
  <c r="I237" i="2"/>
  <c r="I240" i="2"/>
  <c r="I241" i="2"/>
  <c r="I242" i="2"/>
  <c r="I250" i="2"/>
  <c r="E253" i="2"/>
  <c r="I253" i="2" s="1"/>
  <c r="I261" i="2"/>
  <c r="J260" i="2" s="1"/>
  <c r="F272" i="2" s="1"/>
  <c r="I265" i="2"/>
  <c r="I266" i="2"/>
  <c r="I267" i="2"/>
  <c r="I268" i="2"/>
  <c r="N212" i="4"/>
  <c r="M212" i="4"/>
  <c r="L212" i="4"/>
  <c r="J212" i="4"/>
  <c r="I212" i="4"/>
  <c r="K212" i="4"/>
  <c r="N211" i="4"/>
  <c r="M211" i="4"/>
  <c r="L211" i="4"/>
  <c r="K211" i="4"/>
  <c r="J211" i="4"/>
  <c r="I211" i="4"/>
  <c r="N210" i="4"/>
  <c r="M210" i="4"/>
  <c r="L210" i="4"/>
  <c r="J210" i="4"/>
  <c r="I210" i="4"/>
  <c r="K210" i="4"/>
  <c r="N209" i="4"/>
  <c r="M209" i="4"/>
  <c r="L209" i="4"/>
  <c r="J209" i="4"/>
  <c r="I209" i="4"/>
  <c r="K209" i="4"/>
  <c r="N208" i="4"/>
  <c r="M208" i="4"/>
  <c r="L208" i="4"/>
  <c r="J208" i="4"/>
  <c r="I208" i="4"/>
  <c r="K208" i="4"/>
  <c r="N207" i="4"/>
  <c r="M207" i="4"/>
  <c r="L207" i="4"/>
  <c r="J207" i="4"/>
  <c r="I207" i="4"/>
  <c r="K207" i="4"/>
  <c r="N206" i="4"/>
  <c r="M206" i="4"/>
  <c r="L206" i="4"/>
  <c r="J206" i="4"/>
  <c r="I206" i="4"/>
  <c r="K206" i="4"/>
  <c r="N205" i="4"/>
  <c r="M205" i="4"/>
  <c r="L205" i="4"/>
  <c r="J205" i="4"/>
  <c r="I205" i="4"/>
  <c r="K205" i="4"/>
  <c r="N204" i="4"/>
  <c r="M204" i="4"/>
  <c r="L204" i="4"/>
  <c r="J204" i="4"/>
  <c r="I204" i="4"/>
  <c r="K204" i="4"/>
  <c r="N203" i="4"/>
  <c r="M203" i="4"/>
  <c r="L203" i="4"/>
  <c r="J203" i="4"/>
  <c r="I203" i="4"/>
  <c r="K203" i="4"/>
  <c r="N202" i="4"/>
  <c r="M202" i="4"/>
  <c r="L202" i="4"/>
  <c r="J202" i="4"/>
  <c r="I202" i="4"/>
  <c r="K202" i="4"/>
  <c r="N201" i="4"/>
  <c r="M201" i="4"/>
  <c r="L201" i="4"/>
  <c r="J201" i="4"/>
  <c r="I201" i="4"/>
  <c r="K201" i="4"/>
  <c r="N200" i="4"/>
  <c r="M200" i="4"/>
  <c r="L200" i="4"/>
  <c r="J200" i="4"/>
  <c r="I200" i="4"/>
  <c r="K200" i="4"/>
  <c r="N199" i="4"/>
  <c r="M199" i="4"/>
  <c r="L199" i="4"/>
  <c r="J199" i="4"/>
  <c r="I199" i="4"/>
  <c r="K199" i="4"/>
  <c r="N198" i="4"/>
  <c r="M198" i="4"/>
  <c r="L198" i="4"/>
  <c r="J198" i="4"/>
  <c r="I198" i="4"/>
  <c r="K198" i="4"/>
  <c r="N197" i="4"/>
  <c r="M197" i="4"/>
  <c r="L197" i="4"/>
  <c r="J197" i="4"/>
  <c r="I197" i="4"/>
  <c r="K197" i="4"/>
  <c r="N196" i="4"/>
  <c r="M196" i="4"/>
  <c r="L196" i="4"/>
  <c r="J196" i="4"/>
  <c r="I196" i="4"/>
  <c r="K196" i="4"/>
  <c r="N195" i="4"/>
  <c r="M195" i="4"/>
  <c r="L195" i="4"/>
  <c r="J195" i="4"/>
  <c r="I195" i="4"/>
  <c r="K195" i="4"/>
  <c r="N194" i="4"/>
  <c r="M194" i="4"/>
  <c r="L194" i="4"/>
  <c r="J194" i="4"/>
  <c r="I194" i="4"/>
  <c r="K194" i="4"/>
  <c r="N193" i="4"/>
  <c r="M193" i="4"/>
  <c r="L193" i="4"/>
  <c r="J193" i="4"/>
  <c r="I193" i="4"/>
  <c r="K193" i="4"/>
  <c r="N192" i="4"/>
  <c r="M192" i="4"/>
  <c r="L192" i="4"/>
  <c r="J192" i="4"/>
  <c r="I192" i="4"/>
  <c r="K192" i="4"/>
  <c r="N191" i="4"/>
  <c r="M191" i="4"/>
  <c r="L191" i="4"/>
  <c r="J191" i="4"/>
  <c r="I191" i="4"/>
  <c r="K191" i="4"/>
  <c r="N190" i="4"/>
  <c r="M190" i="4"/>
  <c r="L190" i="4"/>
  <c r="J190" i="4"/>
  <c r="I190" i="4"/>
  <c r="K190" i="4"/>
  <c r="N189" i="4"/>
  <c r="M189" i="4"/>
  <c r="L189" i="4"/>
  <c r="J189" i="4"/>
  <c r="I189" i="4"/>
  <c r="K189" i="4"/>
  <c r="N188" i="4"/>
  <c r="M188" i="4"/>
  <c r="L188" i="4"/>
  <c r="J188" i="4"/>
  <c r="I188" i="4"/>
  <c r="K188" i="4"/>
  <c r="N187" i="4"/>
  <c r="M187" i="4"/>
  <c r="L187" i="4"/>
  <c r="J187" i="4"/>
  <c r="I187" i="4"/>
  <c r="K187" i="4"/>
  <c r="N186" i="4"/>
  <c r="M186" i="4"/>
  <c r="L186" i="4"/>
  <c r="J186" i="4"/>
  <c r="I186" i="4"/>
  <c r="K186" i="4"/>
  <c r="N185" i="4"/>
  <c r="M185" i="4"/>
  <c r="L185" i="4"/>
  <c r="J185" i="4"/>
  <c r="I185" i="4"/>
  <c r="K185" i="4"/>
  <c r="N37" i="4"/>
  <c r="N36" i="4"/>
  <c r="M73" i="4"/>
  <c r="N20" i="4"/>
  <c r="M19" i="4"/>
  <c r="O89" i="4"/>
  <c r="N89" i="4"/>
  <c r="M89" i="4"/>
  <c r="L89" i="4"/>
  <c r="K89" i="4"/>
  <c r="J89" i="4"/>
  <c r="I89" i="4"/>
  <c r="O88" i="4"/>
  <c r="N88" i="4"/>
  <c r="M88" i="4"/>
  <c r="L88" i="4"/>
  <c r="K88" i="4"/>
  <c r="J88" i="4"/>
  <c r="I88" i="4"/>
  <c r="O87" i="4"/>
  <c r="N87" i="4"/>
  <c r="M87" i="4"/>
  <c r="L87" i="4"/>
  <c r="K87" i="4"/>
  <c r="J87" i="4"/>
  <c r="I87" i="4"/>
  <c r="O86" i="4"/>
  <c r="N86" i="4"/>
  <c r="M86" i="4"/>
  <c r="L86" i="4"/>
  <c r="K86" i="4"/>
  <c r="J86" i="4"/>
  <c r="I86" i="4"/>
  <c r="O85" i="4"/>
  <c r="N85" i="4"/>
  <c r="M85" i="4"/>
  <c r="L85" i="4"/>
  <c r="K85" i="4"/>
  <c r="J85" i="4"/>
  <c r="I85" i="4"/>
  <c r="O84" i="4"/>
  <c r="N84" i="4"/>
  <c r="M84" i="4"/>
  <c r="L84" i="4"/>
  <c r="K84" i="4"/>
  <c r="J84" i="4"/>
  <c r="I84" i="4"/>
  <c r="M28" i="4"/>
  <c r="M27" i="4"/>
  <c r="M26" i="4"/>
  <c r="M25" i="4"/>
  <c r="M24" i="4"/>
  <c r="M23" i="4"/>
  <c r="M22" i="4"/>
  <c r="M21" i="4"/>
  <c r="M20" i="4"/>
  <c r="M18" i="4"/>
  <c r="M17" i="4"/>
  <c r="N16" i="4"/>
  <c r="N15" i="4"/>
  <c r="N14" i="4"/>
  <c r="N13" i="4"/>
  <c r="N12" i="4"/>
  <c r="N11" i="4"/>
  <c r="N17" i="4"/>
  <c r="N18" i="4"/>
  <c r="N19" i="4"/>
  <c r="N21" i="4"/>
  <c r="N22" i="4"/>
  <c r="N23" i="4"/>
  <c r="N24" i="4"/>
  <c r="N25" i="4"/>
  <c r="N26" i="4"/>
  <c r="N27" i="4"/>
  <c r="N28" i="4"/>
  <c r="N29" i="4"/>
  <c r="N10" i="4"/>
  <c r="N9" i="4"/>
  <c r="I165" i="2"/>
  <c r="I151" i="2"/>
  <c r="I191" i="2"/>
  <c r="I197" i="2"/>
  <c r="I196" i="2"/>
  <c r="I195" i="2"/>
  <c r="I192" i="2"/>
  <c r="G182" i="2"/>
  <c r="G181" i="2"/>
  <c r="I175" i="2"/>
  <c r="I159" i="2"/>
  <c r="I158" i="2"/>
  <c r="I157" i="2"/>
  <c r="I156" i="2"/>
  <c r="I160" i="2"/>
  <c r="I161" i="2"/>
  <c r="I162" i="2"/>
  <c r="I163" i="2"/>
  <c r="I164" i="2"/>
  <c r="I155" i="2"/>
  <c r="I150" i="2"/>
  <c r="I149" i="2"/>
  <c r="I148" i="2"/>
  <c r="I147" i="2"/>
  <c r="I146" i="2"/>
  <c r="I145" i="2"/>
  <c r="I144" i="2"/>
  <c r="I143" i="2"/>
  <c r="I142" i="2"/>
  <c r="I141" i="2"/>
  <c r="N117" i="12" l="1"/>
  <c r="N73" i="12" s="1"/>
  <c r="M287" i="2"/>
  <c r="L117" i="12"/>
  <c r="J249" i="2"/>
  <c r="J252" i="2"/>
  <c r="J234" i="2"/>
  <c r="J229" i="2"/>
  <c r="J317" i="2" s="1"/>
  <c r="D107" i="12" s="1"/>
  <c r="F72" i="12"/>
  <c r="H72" i="12"/>
  <c r="J204" i="2"/>
  <c r="F226" i="2" s="1"/>
  <c r="J154" i="2"/>
  <c r="I219" i="2"/>
  <c r="I218" i="2"/>
  <c r="J239" i="2"/>
  <c r="J264" i="2"/>
  <c r="D66" i="12" s="1"/>
  <c r="J140" i="2"/>
  <c r="J194" i="2"/>
  <c r="I132" i="2"/>
  <c r="I131" i="2"/>
  <c r="I130" i="2"/>
  <c r="I129" i="2"/>
  <c r="I128" i="2"/>
  <c r="I127" i="2"/>
  <c r="I133" i="2"/>
  <c r="I134" i="2"/>
  <c r="I126" i="2"/>
  <c r="I120" i="2"/>
  <c r="I121" i="2"/>
  <c r="I122" i="2"/>
  <c r="F257" i="2" l="1"/>
  <c r="J358" i="2"/>
  <c r="D112" i="12" s="1"/>
  <c r="D58" i="12"/>
  <c r="J341" i="2"/>
  <c r="D109" i="12" s="1"/>
  <c r="D57" i="12"/>
  <c r="J329" i="2"/>
  <c r="D108" i="12" s="1"/>
  <c r="D62" i="12"/>
  <c r="J366" i="2"/>
  <c r="D113" i="12" s="1"/>
  <c r="J214" i="2"/>
  <c r="D53" i="12" s="1"/>
  <c r="P117" i="12"/>
  <c r="R117" i="12" s="1"/>
  <c r="R73" i="12" s="1"/>
  <c r="D56" i="12"/>
  <c r="F246" i="2"/>
  <c r="D52" i="12"/>
  <c r="D61" i="12"/>
  <c r="J119" i="2"/>
  <c r="D65" i="12"/>
  <c r="J125" i="2"/>
  <c r="O112" i="4"/>
  <c r="N112" i="4"/>
  <c r="M112" i="4"/>
  <c r="K112" i="4"/>
  <c r="J112" i="4"/>
  <c r="I112" i="4"/>
  <c r="L112" i="4"/>
  <c r="K102" i="4"/>
  <c r="O98" i="4"/>
  <c r="N98" i="4"/>
  <c r="M98" i="4"/>
  <c r="L98" i="4"/>
  <c r="J98" i="4"/>
  <c r="I98" i="4"/>
  <c r="K98" i="4"/>
  <c r="O99" i="4"/>
  <c r="N99" i="4"/>
  <c r="M99" i="4"/>
  <c r="L99" i="4"/>
  <c r="K99" i="4"/>
  <c r="J99" i="4"/>
  <c r="I99" i="4"/>
  <c r="J80" i="4"/>
  <c r="N73" i="4"/>
  <c r="M11" i="4"/>
  <c r="O74" i="4"/>
  <c r="O75" i="4"/>
  <c r="O76" i="4"/>
  <c r="O77" i="4"/>
  <c r="O78" i="4"/>
  <c r="O79" i="4"/>
  <c r="O80" i="4"/>
  <c r="O81" i="4"/>
  <c r="O82" i="4"/>
  <c r="O83" i="4"/>
  <c r="O90" i="4"/>
  <c r="O73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9" i="4"/>
  <c r="P73" i="12" l="1"/>
  <c r="O30" i="4"/>
  <c r="O33" i="4" s="1"/>
  <c r="I170" i="2"/>
  <c r="O32" i="4" l="1"/>
  <c r="J169" i="2"/>
  <c r="H181" i="2"/>
  <c r="H182" i="2"/>
  <c r="D1246" i="7"/>
  <c r="D1247" i="7"/>
  <c r="D1245" i="7"/>
  <c r="E1251" i="7"/>
  <c r="F1251" i="7" s="1"/>
  <c r="E1250" i="7"/>
  <c r="F1250" i="7" s="1"/>
  <c r="E1249" i="7"/>
  <c r="F1249" i="7" s="1"/>
  <c r="F1248" i="7" s="1"/>
  <c r="D1010" i="7"/>
  <c r="D1011" i="7"/>
  <c r="D1009" i="7"/>
  <c r="E1019" i="7"/>
  <c r="D1019" i="7"/>
  <c r="E1016" i="7"/>
  <c r="F1016" i="7" s="1"/>
  <c r="E1015" i="7"/>
  <c r="F1015" i="7" s="1"/>
  <c r="E1014" i="7"/>
  <c r="F1014" i="7" s="1"/>
  <c r="E1013" i="7"/>
  <c r="F1013" i="7" s="1"/>
  <c r="E999" i="7"/>
  <c r="F999" i="7" s="1"/>
  <c r="D863" i="7"/>
  <c r="D864" i="7"/>
  <c r="D862" i="7"/>
  <c r="E867" i="7"/>
  <c r="F867" i="7" s="1"/>
  <c r="E866" i="7"/>
  <c r="F866" i="7" s="1"/>
  <c r="B924" i="7"/>
  <c r="B950" i="7"/>
  <c r="B963" i="7" s="1"/>
  <c r="B976" i="7" s="1"/>
  <c r="D593" i="7"/>
  <c r="D585" i="7"/>
  <c r="D586" i="7"/>
  <c r="D587" i="7"/>
  <c r="D584" i="7"/>
  <c r="D414" i="7"/>
  <c r="D415" i="7"/>
  <c r="D416" i="7"/>
  <c r="D380" i="7"/>
  <c r="D381" i="7"/>
  <c r="D382" i="7"/>
  <c r="D379" i="7"/>
  <c r="D39" i="7"/>
  <c r="D40" i="7"/>
  <c r="F40" i="7" s="1"/>
  <c r="D38" i="7"/>
  <c r="F44" i="7"/>
  <c r="F43" i="7"/>
  <c r="F42" i="7"/>
  <c r="E390" i="7"/>
  <c r="D390" i="7"/>
  <c r="E389" i="7"/>
  <c r="D389" i="7"/>
  <c r="E386" i="7"/>
  <c r="F386" i="7" s="1"/>
  <c r="E385" i="7"/>
  <c r="F385" i="7" s="1"/>
  <c r="E384" i="7"/>
  <c r="F384" i="7" s="1"/>
  <c r="E2" i="17"/>
  <c r="G10" i="9"/>
  <c r="G11" i="9"/>
  <c r="D76" i="7"/>
  <c r="D77" i="7"/>
  <c r="D75" i="7"/>
  <c r="C24" i="12"/>
  <c r="C23" i="12"/>
  <c r="C22" i="12"/>
  <c r="C21" i="12"/>
  <c r="C19" i="12"/>
  <c r="C18" i="12"/>
  <c r="C17" i="12"/>
  <c r="C15" i="12"/>
  <c r="B15" i="12"/>
  <c r="B18" i="12"/>
  <c r="B19" i="12"/>
  <c r="B20" i="12"/>
  <c r="A15" i="6" s="1"/>
  <c r="B21" i="12"/>
  <c r="B22" i="12"/>
  <c r="B23" i="12"/>
  <c r="B24" i="12"/>
  <c r="A24" i="12"/>
  <c r="A23" i="12"/>
  <c r="A22" i="12"/>
  <c r="A21" i="12"/>
  <c r="A20" i="12"/>
  <c r="O24" i="12"/>
  <c r="Q24" i="12" s="1"/>
  <c r="O23" i="12"/>
  <c r="Q23" i="12" s="1"/>
  <c r="O22" i="12"/>
  <c r="Q22" i="12" s="1"/>
  <c r="O21" i="12"/>
  <c r="Q21" i="12" s="1"/>
  <c r="O18" i="12"/>
  <c r="Q18" i="12" s="1"/>
  <c r="O17" i="12"/>
  <c r="Q17" i="12" s="1"/>
  <c r="O19" i="12"/>
  <c r="Q19" i="12" s="1"/>
  <c r="B25" i="12"/>
  <c r="A16" i="6" s="1"/>
  <c r="A25" i="12"/>
  <c r="B14" i="12"/>
  <c r="A14" i="6" s="1"/>
  <c r="A14" i="12"/>
  <c r="E81" i="7"/>
  <c r="F81" i="7" s="1"/>
  <c r="F80" i="7"/>
  <c r="E79" i="7"/>
  <c r="F79" i="7" s="1"/>
  <c r="C12" i="12"/>
  <c r="B12" i="12"/>
  <c r="O12" i="12"/>
  <c r="Q12" i="12" s="1"/>
  <c r="E67" i="7"/>
  <c r="C11" i="12"/>
  <c r="B11" i="12"/>
  <c r="O10" i="12"/>
  <c r="Q10" i="12" s="1"/>
  <c r="I10" i="12"/>
  <c r="C10" i="12"/>
  <c r="B10" i="12"/>
  <c r="I54" i="2"/>
  <c r="J53" i="2" s="1"/>
  <c r="D24" i="12" s="1"/>
  <c r="F24" i="12" s="1"/>
  <c r="I51" i="2"/>
  <c r="J50" i="2" s="1"/>
  <c r="D23" i="12" s="1"/>
  <c r="I48" i="2"/>
  <c r="J47" i="2" s="1"/>
  <c r="D22" i="12" s="1"/>
  <c r="H22" i="12" s="1"/>
  <c r="I45" i="2"/>
  <c r="J44" i="2" s="1"/>
  <c r="F21" i="12" s="1"/>
  <c r="I32" i="2"/>
  <c r="J31" i="2" s="1"/>
  <c r="I29" i="2"/>
  <c r="J28" i="2" s="1"/>
  <c r="D17" i="12" s="1"/>
  <c r="I35" i="2"/>
  <c r="J34" i="2" s="1"/>
  <c r="D18" i="12" s="1"/>
  <c r="F18" i="12" s="1"/>
  <c r="I26" i="2"/>
  <c r="J25" i="2" s="1"/>
  <c r="D15" i="12" s="1"/>
  <c r="I10" i="2"/>
  <c r="J9" i="2" s="1"/>
  <c r="D10" i="12" s="1"/>
  <c r="I13" i="2"/>
  <c r="J12" i="2" s="1"/>
  <c r="D11" i="12" s="1"/>
  <c r="E7" i="17"/>
  <c r="F7" i="17" s="1"/>
  <c r="E8" i="17"/>
  <c r="G8" i="17" s="1"/>
  <c r="H8" i="17" s="1"/>
  <c r="I8" i="17" s="1"/>
  <c r="E9" i="17"/>
  <c r="E10" i="17"/>
  <c r="G10" i="17" s="1"/>
  <c r="H10" i="17" s="1"/>
  <c r="I10" i="17" s="1"/>
  <c r="E11" i="17"/>
  <c r="G11" i="17" s="1"/>
  <c r="H11" i="17" s="1"/>
  <c r="I11" i="17" s="1"/>
  <c r="E12" i="17"/>
  <c r="G12" i="17" s="1"/>
  <c r="H12" i="17" s="1"/>
  <c r="I12" i="17" s="1"/>
  <c r="E13" i="17"/>
  <c r="G13" i="17" s="1"/>
  <c r="H13" i="17" s="1"/>
  <c r="I13" i="17" s="1"/>
  <c r="E14" i="17"/>
  <c r="G14" i="17" s="1"/>
  <c r="H14" i="17" s="1"/>
  <c r="I14" i="17" s="1"/>
  <c r="E6" i="17"/>
  <c r="G6" i="17" s="1"/>
  <c r="H6" i="17" s="1"/>
  <c r="I6" i="17" s="1"/>
  <c r="D2" i="17"/>
  <c r="O67" i="12"/>
  <c r="Q67" i="12" s="1"/>
  <c r="O66" i="12"/>
  <c r="Q66" i="12" s="1"/>
  <c r="O65" i="12"/>
  <c r="Q65" i="12" s="1"/>
  <c r="O63" i="12"/>
  <c r="Q63" i="12" s="1"/>
  <c r="O62" i="12"/>
  <c r="Q62" i="12" s="1"/>
  <c r="O61" i="12"/>
  <c r="Q61" i="12" s="1"/>
  <c r="O58" i="12"/>
  <c r="Q58" i="12" s="1"/>
  <c r="O57" i="12"/>
  <c r="Q57" i="12" s="1"/>
  <c r="O56" i="12"/>
  <c r="Q56" i="12" s="1"/>
  <c r="O54" i="12"/>
  <c r="Q54" i="12" s="1"/>
  <c r="O53" i="12"/>
  <c r="Q53" i="12" s="1"/>
  <c r="O52" i="12"/>
  <c r="Q52" i="12" s="1"/>
  <c r="O50" i="12"/>
  <c r="Q50" i="12" s="1"/>
  <c r="O49" i="12"/>
  <c r="Q49" i="12" s="1"/>
  <c r="O48" i="12"/>
  <c r="Q48" i="12" s="1"/>
  <c r="O46" i="12"/>
  <c r="Q46" i="12" s="1"/>
  <c r="O45" i="12"/>
  <c r="Q45" i="12" s="1"/>
  <c r="O44" i="12"/>
  <c r="Q44" i="12" s="1"/>
  <c r="O41" i="12"/>
  <c r="Q41" i="12" s="1"/>
  <c r="O39" i="12"/>
  <c r="Q39" i="12" s="1"/>
  <c r="O38" i="12"/>
  <c r="Q38" i="12" s="1"/>
  <c r="R64" i="12"/>
  <c r="R60" i="12"/>
  <c r="R55" i="12"/>
  <c r="R51" i="12"/>
  <c r="R47" i="12"/>
  <c r="R43" i="12"/>
  <c r="R40" i="12"/>
  <c r="R37" i="12"/>
  <c r="R35" i="12"/>
  <c r="R33" i="12"/>
  <c r="O30" i="12"/>
  <c r="Q30" i="12" s="1"/>
  <c r="O29" i="12"/>
  <c r="Q29" i="12" s="1"/>
  <c r="O28" i="12"/>
  <c r="Q28" i="12" s="1"/>
  <c r="O27" i="12"/>
  <c r="Q27" i="12" s="1"/>
  <c r="O26" i="12"/>
  <c r="Q26" i="12" s="1"/>
  <c r="O15" i="12"/>
  <c r="Q15" i="12" s="1"/>
  <c r="O11" i="12"/>
  <c r="Q11" i="12" s="1"/>
  <c r="O13" i="12"/>
  <c r="Q13" i="12" s="1"/>
  <c r="C26" i="12"/>
  <c r="B26" i="12"/>
  <c r="H10" i="12" l="1"/>
  <c r="F10" i="12"/>
  <c r="F9" i="17"/>
  <c r="F1019" i="7"/>
  <c r="F1012" i="7"/>
  <c r="F865" i="7"/>
  <c r="F41" i="7"/>
  <c r="F383" i="7"/>
  <c r="F390" i="7"/>
  <c r="F389" i="7"/>
  <c r="F23" i="12"/>
  <c r="H21" i="12"/>
  <c r="I23" i="12"/>
  <c r="J23" i="12" s="1"/>
  <c r="N23" i="12" s="1"/>
  <c r="F22" i="12"/>
  <c r="H24" i="12"/>
  <c r="I21" i="12"/>
  <c r="J21" i="12" s="1"/>
  <c r="J24" i="12"/>
  <c r="H23" i="12"/>
  <c r="H18" i="12"/>
  <c r="H17" i="12"/>
  <c r="J18" i="12"/>
  <c r="J17" i="12"/>
  <c r="F17" i="12"/>
  <c r="F78" i="7"/>
  <c r="J10" i="12"/>
  <c r="G9" i="17"/>
  <c r="H9" i="17" s="1"/>
  <c r="I9" i="17" s="1"/>
  <c r="G7" i="17"/>
  <c r="H7" i="17" s="1"/>
  <c r="I7" i="17" s="1"/>
  <c r="F14" i="17"/>
  <c r="F11" i="17"/>
  <c r="F13" i="17"/>
  <c r="F12" i="17"/>
  <c r="F10" i="17"/>
  <c r="F8" i="17"/>
  <c r="F6" i="17"/>
  <c r="J22" i="12" l="1"/>
  <c r="L22" i="12" s="1"/>
  <c r="F20" i="12"/>
  <c r="H20" i="12"/>
  <c r="B15" i="6"/>
  <c r="I15" i="17"/>
  <c r="L21" i="12"/>
  <c r="N21" i="12"/>
  <c r="L10" i="12"/>
  <c r="L23" i="12"/>
  <c r="P23" i="12" s="1"/>
  <c r="R23" i="12" s="1"/>
  <c r="N24" i="12"/>
  <c r="L24" i="12"/>
  <c r="N18" i="12"/>
  <c r="L18" i="12"/>
  <c r="N17" i="12"/>
  <c r="L17" i="12"/>
  <c r="N10" i="12"/>
  <c r="J57" i="2"/>
  <c r="G110" i="2" s="1"/>
  <c r="F15" i="17"/>
  <c r="B91" i="2"/>
  <c r="B28" i="25" s="1"/>
  <c r="K83" i="4"/>
  <c r="M82" i="4"/>
  <c r="I80" i="4"/>
  <c r="K80" i="4"/>
  <c r="L80" i="4"/>
  <c r="M80" i="4"/>
  <c r="N80" i="4"/>
  <c r="I81" i="4"/>
  <c r="J81" i="4"/>
  <c r="K81" i="4"/>
  <c r="L81" i="4"/>
  <c r="M81" i="4"/>
  <c r="N81" i="4"/>
  <c r="I82" i="4"/>
  <c r="J82" i="4"/>
  <c r="K82" i="4"/>
  <c r="L82" i="4"/>
  <c r="N82" i="4"/>
  <c r="I83" i="4"/>
  <c r="J83" i="4"/>
  <c r="L83" i="4"/>
  <c r="M83" i="4"/>
  <c r="N83" i="4"/>
  <c r="I90" i="4"/>
  <c r="J90" i="4"/>
  <c r="K90" i="4"/>
  <c r="L90" i="4"/>
  <c r="M90" i="4"/>
  <c r="N90" i="4"/>
  <c r="B3" i="4"/>
  <c r="B2" i="4"/>
  <c r="A3" i="4"/>
  <c r="A4" i="4"/>
  <c r="A2" i="4"/>
  <c r="B3" i="11"/>
  <c r="B2" i="11"/>
  <c r="A3" i="11"/>
  <c r="A4" i="11"/>
  <c r="A2" i="11"/>
  <c r="I78" i="4"/>
  <c r="J78" i="4"/>
  <c r="K78" i="4"/>
  <c r="L78" i="4"/>
  <c r="M78" i="4"/>
  <c r="N78" i="4"/>
  <c r="I79" i="4"/>
  <c r="J79" i="4"/>
  <c r="K79" i="4"/>
  <c r="M79" i="4"/>
  <c r="N79" i="4"/>
  <c r="B3" i="2"/>
  <c r="B2" i="2"/>
  <c r="N67" i="4"/>
  <c r="N70" i="4" s="1"/>
  <c r="K66" i="4"/>
  <c r="K65" i="4"/>
  <c r="K64" i="4"/>
  <c r="K63" i="4"/>
  <c r="M66" i="4"/>
  <c r="L66" i="4"/>
  <c r="J66" i="4"/>
  <c r="I66" i="4"/>
  <c r="K62" i="4"/>
  <c r="K61" i="4"/>
  <c r="K60" i="4"/>
  <c r="K59" i="4"/>
  <c r="K58" i="4"/>
  <c r="K57" i="4"/>
  <c r="K56" i="4"/>
  <c r="K55" i="4"/>
  <c r="K54" i="4"/>
  <c r="K53" i="4"/>
  <c r="I50" i="4"/>
  <c r="J50" i="4"/>
  <c r="K50" i="4"/>
  <c r="M50" i="4"/>
  <c r="I51" i="4"/>
  <c r="J51" i="4"/>
  <c r="K51" i="4"/>
  <c r="M51" i="4"/>
  <c r="I52" i="4"/>
  <c r="J52" i="4"/>
  <c r="K52" i="4"/>
  <c r="M52" i="4"/>
  <c r="I53" i="4"/>
  <c r="J53" i="4"/>
  <c r="L53" i="4"/>
  <c r="M53" i="4"/>
  <c r="I54" i="4"/>
  <c r="J54" i="4"/>
  <c r="L54" i="4"/>
  <c r="M54" i="4"/>
  <c r="I55" i="4"/>
  <c r="J55" i="4"/>
  <c r="L55" i="4"/>
  <c r="M55" i="4"/>
  <c r="I56" i="4"/>
  <c r="J56" i="4"/>
  <c r="L56" i="4"/>
  <c r="M56" i="4"/>
  <c r="I57" i="4"/>
  <c r="J57" i="4"/>
  <c r="L57" i="4"/>
  <c r="M57" i="4"/>
  <c r="I58" i="4"/>
  <c r="J58" i="4"/>
  <c r="L58" i="4"/>
  <c r="M58" i="4"/>
  <c r="I59" i="4"/>
  <c r="J59" i="4"/>
  <c r="L59" i="4"/>
  <c r="M59" i="4"/>
  <c r="I60" i="4"/>
  <c r="J60" i="4"/>
  <c r="L60" i="4"/>
  <c r="M60" i="4"/>
  <c r="I61" i="4"/>
  <c r="J61" i="4"/>
  <c r="L61" i="4"/>
  <c r="M61" i="4"/>
  <c r="I62" i="4"/>
  <c r="J62" i="4"/>
  <c r="L62" i="4"/>
  <c r="M62" i="4"/>
  <c r="I63" i="4"/>
  <c r="J63" i="4"/>
  <c r="L63" i="4"/>
  <c r="M63" i="4"/>
  <c r="I64" i="4"/>
  <c r="J64" i="4"/>
  <c r="L64" i="4"/>
  <c r="M64" i="4"/>
  <c r="I65" i="4"/>
  <c r="J65" i="4"/>
  <c r="L65" i="4"/>
  <c r="M65" i="4"/>
  <c r="L52" i="4"/>
  <c r="L51" i="4"/>
  <c r="L50" i="4"/>
  <c r="L49" i="4"/>
  <c r="M49" i="4"/>
  <c r="K49" i="4"/>
  <c r="J49" i="4"/>
  <c r="I49" i="4"/>
  <c r="I22" i="12" l="1"/>
  <c r="N22" i="12"/>
  <c r="P22" i="12" s="1"/>
  <c r="R22" i="12" s="1"/>
  <c r="I110" i="2"/>
  <c r="J108" i="2"/>
  <c r="L20" i="12"/>
  <c r="P21" i="12"/>
  <c r="P10" i="12"/>
  <c r="R10" i="12" s="1"/>
  <c r="P18" i="12"/>
  <c r="R18" i="12" s="1"/>
  <c r="P24" i="12"/>
  <c r="R24" i="12" s="1"/>
  <c r="P17" i="12"/>
  <c r="R17" i="12" s="1"/>
  <c r="D26" i="12"/>
  <c r="K67" i="4"/>
  <c r="L67" i="4"/>
  <c r="M67" i="4"/>
  <c r="J67" i="4"/>
  <c r="I67" i="4"/>
  <c r="N69" i="4"/>
  <c r="N20" i="12" l="1"/>
  <c r="P20" i="12"/>
  <c r="R21" i="12"/>
  <c r="R20" i="12" s="1"/>
  <c r="I70" i="11" l="1"/>
  <c r="I56" i="11"/>
  <c r="I54" i="11"/>
  <c r="I91" i="11"/>
  <c r="I90" i="11"/>
  <c r="I89" i="11"/>
  <c r="I88" i="11"/>
  <c r="I87" i="11"/>
  <c r="I86" i="11"/>
  <c r="I85" i="11"/>
  <c r="I84" i="11"/>
  <c r="I83" i="11"/>
  <c r="I82" i="11"/>
  <c r="I81" i="11"/>
  <c r="I80" i="11"/>
  <c r="I79" i="11"/>
  <c r="I78" i="11"/>
  <c r="I77" i="11"/>
  <c r="I76" i="11"/>
  <c r="I61" i="11" l="1"/>
  <c r="I49" i="11"/>
  <c r="I53" i="11"/>
  <c r="I63" i="11"/>
  <c r="I46" i="11"/>
  <c r="I60" i="11"/>
  <c r="I45" i="11"/>
  <c r="I57" i="11"/>
  <c r="I44" i="11"/>
  <c r="I59" i="11"/>
  <c r="I62" i="11"/>
  <c r="I55" i="11"/>
  <c r="I43" i="11"/>
  <c r="I47" i="11"/>
  <c r="I51" i="11"/>
  <c r="I48" i="11"/>
  <c r="I52" i="11"/>
  <c r="I64" i="11"/>
  <c r="I75" i="11"/>
  <c r="J72" i="11" s="1"/>
  <c r="D76" i="12" s="1"/>
  <c r="I40" i="11"/>
  <c r="I39" i="11"/>
  <c r="I97" i="11"/>
  <c r="I98" i="11"/>
  <c r="I96" i="11"/>
  <c r="I95" i="11"/>
  <c r="I94" i="11"/>
  <c r="I116" i="11"/>
  <c r="I119" i="11"/>
  <c r="I120" i="11"/>
  <c r="I121" i="11"/>
  <c r="I115" i="11"/>
  <c r="I102" i="11"/>
  <c r="I107" i="11"/>
  <c r="I101" i="11"/>
  <c r="I109" i="11"/>
  <c r="I108" i="11"/>
  <c r="I106" i="11"/>
  <c r="I105" i="11"/>
  <c r="I104" i="11"/>
  <c r="I103" i="11"/>
  <c r="I112" i="11"/>
  <c r="J111" i="11" s="1"/>
  <c r="D79" i="12" s="1"/>
  <c r="J42" i="11" l="1"/>
  <c r="D75" i="12" s="1"/>
  <c r="J100" i="11"/>
  <c r="J93" i="11"/>
  <c r="D77" i="12" s="1"/>
  <c r="I125" i="11"/>
  <c r="J124" i="11" s="1"/>
  <c r="I32" i="11"/>
  <c r="I29" i="11"/>
  <c r="I34" i="11"/>
  <c r="I36" i="11"/>
  <c r="I37" i="11"/>
  <c r="I38" i="11"/>
  <c r="I30" i="11"/>
  <c r="I35" i="11"/>
  <c r="I33" i="11"/>
  <c r="I31" i="11"/>
  <c r="I122" i="11"/>
  <c r="I117" i="11"/>
  <c r="H1048506" i="11"/>
  <c r="J28" i="11" l="1"/>
  <c r="D74" i="12" s="1"/>
  <c r="J10" i="11"/>
  <c r="D71" i="12" s="1"/>
  <c r="J114" i="11"/>
  <c r="D80" i="12" s="1"/>
  <c r="I33" i="13" l="1"/>
  <c r="I34" i="13"/>
  <c r="I35" i="13"/>
  <c r="I37" i="13"/>
  <c r="I38" i="13"/>
  <c r="I39" i="13"/>
  <c r="I40" i="13"/>
  <c r="I41" i="13"/>
  <c r="I43" i="13"/>
  <c r="I44" i="13"/>
  <c r="I46" i="13"/>
  <c r="I48" i="13"/>
  <c r="I49" i="13"/>
  <c r="I97" i="4" l="1"/>
  <c r="J97" i="4"/>
  <c r="K97" i="4"/>
  <c r="M97" i="4"/>
  <c r="N97" i="4"/>
  <c r="O97" i="4"/>
  <c r="I100" i="4"/>
  <c r="J100" i="4"/>
  <c r="K100" i="4"/>
  <c r="L100" i="4"/>
  <c r="M100" i="4"/>
  <c r="O100" i="4"/>
  <c r="I101" i="4"/>
  <c r="K101" i="4"/>
  <c r="L101" i="4"/>
  <c r="M101" i="4"/>
  <c r="N101" i="4"/>
  <c r="I102" i="4"/>
  <c r="J102" i="4"/>
  <c r="L102" i="4"/>
  <c r="M102" i="4"/>
  <c r="N102" i="4"/>
  <c r="O102" i="4"/>
  <c r="I103" i="4"/>
  <c r="J103" i="4"/>
  <c r="K103" i="4"/>
  <c r="L103" i="4"/>
  <c r="M103" i="4"/>
  <c r="N103" i="4"/>
  <c r="O103" i="4"/>
  <c r="I104" i="4"/>
  <c r="J104" i="4"/>
  <c r="K104" i="4"/>
  <c r="M104" i="4"/>
  <c r="N104" i="4"/>
  <c r="O104" i="4"/>
  <c r="I141" i="4"/>
  <c r="J141" i="4"/>
  <c r="K141" i="4"/>
  <c r="L141" i="4"/>
  <c r="M141" i="4"/>
  <c r="N141" i="4"/>
  <c r="O141" i="4"/>
  <c r="L104" i="4"/>
  <c r="N100" i="4"/>
  <c r="L97" i="4"/>
  <c r="I74" i="4"/>
  <c r="J74" i="4"/>
  <c r="L74" i="4"/>
  <c r="M74" i="4"/>
  <c r="N74" i="4"/>
  <c r="I75" i="4"/>
  <c r="J75" i="4"/>
  <c r="K75" i="4"/>
  <c r="L75" i="4"/>
  <c r="M75" i="4"/>
  <c r="N75" i="4"/>
  <c r="I76" i="4"/>
  <c r="J76" i="4"/>
  <c r="K76" i="4"/>
  <c r="L76" i="4"/>
  <c r="I77" i="4"/>
  <c r="J77" i="4"/>
  <c r="L77" i="4"/>
  <c r="M77" i="4"/>
  <c r="N77" i="4"/>
  <c r="L79" i="4"/>
  <c r="M76" i="4"/>
  <c r="I73" i="4"/>
  <c r="J73" i="4"/>
  <c r="K73" i="4"/>
  <c r="L73" i="4"/>
  <c r="J101" i="4" l="1"/>
  <c r="N76" i="4"/>
  <c r="O101" i="4"/>
  <c r="K77" i="4"/>
  <c r="K74" i="4"/>
  <c r="I26" i="4"/>
  <c r="J26" i="4"/>
  <c r="K26" i="4"/>
  <c r="L26" i="4"/>
  <c r="I27" i="4"/>
  <c r="J27" i="4"/>
  <c r="K27" i="4"/>
  <c r="L27" i="4"/>
  <c r="I28" i="4"/>
  <c r="J28" i="4"/>
  <c r="K28" i="4"/>
  <c r="L28" i="4"/>
  <c r="I10" i="4"/>
  <c r="J10" i="4"/>
  <c r="K10" i="4"/>
  <c r="L10" i="4"/>
  <c r="M10" i="4"/>
  <c r="I11" i="4"/>
  <c r="J11" i="4"/>
  <c r="K11" i="4"/>
  <c r="L11" i="4"/>
  <c r="I12" i="4"/>
  <c r="J12" i="4"/>
  <c r="K12" i="4"/>
  <c r="L12" i="4"/>
  <c r="M12" i="4"/>
  <c r="I13" i="4"/>
  <c r="J13" i="4"/>
  <c r="K13" i="4"/>
  <c r="L13" i="4"/>
  <c r="M13" i="4"/>
  <c r="I14" i="4"/>
  <c r="J14" i="4"/>
  <c r="K14" i="4"/>
  <c r="L14" i="4"/>
  <c r="M14" i="4"/>
  <c r="I15" i="4"/>
  <c r="J15" i="4"/>
  <c r="K15" i="4"/>
  <c r="L15" i="4"/>
  <c r="M15" i="4"/>
  <c r="I16" i="4"/>
  <c r="J16" i="4"/>
  <c r="K16" i="4"/>
  <c r="L16" i="4"/>
  <c r="M16" i="4"/>
  <c r="I17" i="4"/>
  <c r="J17" i="4"/>
  <c r="K17" i="4"/>
  <c r="L17" i="4"/>
  <c r="I18" i="4"/>
  <c r="J18" i="4"/>
  <c r="K18" i="4"/>
  <c r="L18" i="4"/>
  <c r="I19" i="4"/>
  <c r="J19" i="4"/>
  <c r="K19" i="4"/>
  <c r="L19" i="4"/>
  <c r="I20" i="4"/>
  <c r="J20" i="4"/>
  <c r="K20" i="4"/>
  <c r="L20" i="4"/>
  <c r="I21" i="4"/>
  <c r="J21" i="4"/>
  <c r="K21" i="4"/>
  <c r="L21" i="4"/>
  <c r="I22" i="4"/>
  <c r="J22" i="4"/>
  <c r="K22" i="4"/>
  <c r="L22" i="4"/>
  <c r="I23" i="4"/>
  <c r="J23" i="4"/>
  <c r="K23" i="4"/>
  <c r="L23" i="4"/>
  <c r="I24" i="4"/>
  <c r="J24" i="4"/>
  <c r="K24" i="4"/>
  <c r="L24" i="4"/>
  <c r="I25" i="4"/>
  <c r="J25" i="4"/>
  <c r="K25" i="4"/>
  <c r="L25" i="4"/>
  <c r="I176" i="2"/>
  <c r="I177" i="2"/>
  <c r="I182" i="2"/>
  <c r="I180" i="2"/>
  <c r="J174" i="2" l="1"/>
  <c r="I182" i="4"/>
  <c r="J182" i="4"/>
  <c r="L182" i="4"/>
  <c r="M182" i="4"/>
  <c r="N182" i="4"/>
  <c r="I183" i="4"/>
  <c r="J183" i="4"/>
  <c r="L183" i="4"/>
  <c r="M183" i="4"/>
  <c r="N183" i="4"/>
  <c r="I184" i="4"/>
  <c r="J184" i="4"/>
  <c r="L184" i="4"/>
  <c r="M184" i="4"/>
  <c r="N184" i="4"/>
  <c r="I217" i="4"/>
  <c r="J217" i="4"/>
  <c r="L217" i="4"/>
  <c r="M217" i="4"/>
  <c r="N217" i="4"/>
  <c r="K217" i="4"/>
  <c r="K184" i="4"/>
  <c r="K183" i="4"/>
  <c r="K182" i="4"/>
  <c r="I175" i="4"/>
  <c r="K175" i="4"/>
  <c r="L175" i="4"/>
  <c r="M175" i="4"/>
  <c r="N175" i="4"/>
  <c r="I159" i="4"/>
  <c r="J159" i="4"/>
  <c r="K159" i="4"/>
  <c r="L159" i="4"/>
  <c r="M159" i="4"/>
  <c r="N159" i="4"/>
  <c r="O159" i="4"/>
  <c r="I160" i="4"/>
  <c r="J160" i="4"/>
  <c r="K160" i="4"/>
  <c r="M160" i="4"/>
  <c r="N160" i="4"/>
  <c r="O160" i="4"/>
  <c r="I161" i="4"/>
  <c r="J161" i="4"/>
  <c r="K161" i="4"/>
  <c r="M161" i="4"/>
  <c r="N161" i="4"/>
  <c r="O161" i="4"/>
  <c r="I162" i="4"/>
  <c r="K162" i="4"/>
  <c r="L162" i="4"/>
  <c r="M162" i="4"/>
  <c r="N162" i="4"/>
  <c r="I163" i="4"/>
  <c r="J163" i="4"/>
  <c r="K163" i="4"/>
  <c r="L163" i="4"/>
  <c r="M163" i="4"/>
  <c r="N163" i="4"/>
  <c r="O163" i="4"/>
  <c r="I164" i="4"/>
  <c r="J164" i="4"/>
  <c r="K164" i="4"/>
  <c r="M164" i="4"/>
  <c r="N164" i="4"/>
  <c r="O164" i="4"/>
  <c r="I165" i="4"/>
  <c r="J165" i="4"/>
  <c r="K165" i="4"/>
  <c r="M165" i="4"/>
  <c r="N165" i="4"/>
  <c r="O165" i="4"/>
  <c r="I166" i="4"/>
  <c r="K166" i="4"/>
  <c r="L166" i="4"/>
  <c r="M166" i="4"/>
  <c r="N166" i="4"/>
  <c r="I167" i="4"/>
  <c r="J167" i="4"/>
  <c r="K167" i="4"/>
  <c r="L167" i="4"/>
  <c r="M167" i="4"/>
  <c r="N167" i="4"/>
  <c r="O167" i="4"/>
  <c r="I168" i="4"/>
  <c r="J168" i="4"/>
  <c r="K168" i="4"/>
  <c r="M168" i="4"/>
  <c r="N168" i="4"/>
  <c r="O168" i="4"/>
  <c r="I169" i="4"/>
  <c r="J169" i="4"/>
  <c r="K169" i="4"/>
  <c r="M169" i="4"/>
  <c r="N169" i="4"/>
  <c r="O169" i="4"/>
  <c r="I170" i="4"/>
  <c r="K170" i="4"/>
  <c r="L170" i="4"/>
  <c r="M170" i="4"/>
  <c r="N170" i="4"/>
  <c r="I171" i="4"/>
  <c r="J171" i="4"/>
  <c r="K171" i="4"/>
  <c r="L171" i="4"/>
  <c r="M171" i="4"/>
  <c r="N171" i="4"/>
  <c r="O171" i="4"/>
  <c r="I172" i="4"/>
  <c r="J172" i="4"/>
  <c r="K172" i="4"/>
  <c r="L172" i="4"/>
  <c r="N172" i="4"/>
  <c r="O172" i="4"/>
  <c r="I173" i="4"/>
  <c r="J173" i="4"/>
  <c r="K173" i="4"/>
  <c r="L173" i="4"/>
  <c r="N173" i="4"/>
  <c r="O173" i="4"/>
  <c r="I174" i="4"/>
  <c r="J174" i="4"/>
  <c r="L174" i="4"/>
  <c r="M174" i="4"/>
  <c r="N174" i="4"/>
  <c r="O174" i="4"/>
  <c r="I148" i="4"/>
  <c r="J148" i="4"/>
  <c r="K148" i="4"/>
  <c r="L148" i="4"/>
  <c r="N148" i="4"/>
  <c r="O148" i="4"/>
  <c r="I149" i="4"/>
  <c r="J149" i="4"/>
  <c r="K149" i="4"/>
  <c r="L149" i="4"/>
  <c r="N149" i="4"/>
  <c r="O149" i="4"/>
  <c r="I150" i="4"/>
  <c r="J150" i="4"/>
  <c r="L150" i="4"/>
  <c r="M150" i="4"/>
  <c r="N150" i="4"/>
  <c r="O150" i="4"/>
  <c r="I151" i="4"/>
  <c r="J151" i="4"/>
  <c r="K151" i="4"/>
  <c r="L151" i="4"/>
  <c r="M151" i="4"/>
  <c r="N151" i="4"/>
  <c r="O151" i="4"/>
  <c r="I152" i="4"/>
  <c r="J152" i="4"/>
  <c r="L152" i="4"/>
  <c r="M152" i="4"/>
  <c r="N152" i="4"/>
  <c r="O152" i="4"/>
  <c r="I153" i="4"/>
  <c r="J153" i="4"/>
  <c r="L153" i="4"/>
  <c r="M153" i="4"/>
  <c r="N153" i="4"/>
  <c r="O153" i="4"/>
  <c r="J154" i="4"/>
  <c r="K154" i="4"/>
  <c r="L154" i="4"/>
  <c r="M154" i="4"/>
  <c r="N154" i="4"/>
  <c r="O154" i="4"/>
  <c r="I155" i="4"/>
  <c r="J155" i="4"/>
  <c r="K155" i="4"/>
  <c r="L155" i="4"/>
  <c r="M155" i="4"/>
  <c r="N155" i="4"/>
  <c r="O155" i="4"/>
  <c r="I156" i="4"/>
  <c r="J156" i="4"/>
  <c r="K156" i="4"/>
  <c r="M156" i="4"/>
  <c r="N156" i="4"/>
  <c r="O156" i="4"/>
  <c r="I157" i="4"/>
  <c r="J157" i="4"/>
  <c r="K157" i="4"/>
  <c r="M157" i="4"/>
  <c r="N157" i="4"/>
  <c r="O157" i="4"/>
  <c r="I158" i="4"/>
  <c r="K158" i="4"/>
  <c r="L158" i="4"/>
  <c r="M158" i="4"/>
  <c r="N158" i="4"/>
  <c r="O147" i="4"/>
  <c r="N147" i="4"/>
  <c r="M147" i="4"/>
  <c r="L147" i="4"/>
  <c r="K147" i="4"/>
  <c r="J147" i="4"/>
  <c r="I147" i="4"/>
  <c r="M173" i="4"/>
  <c r="M172" i="4"/>
  <c r="L169" i="4"/>
  <c r="L168" i="4"/>
  <c r="L165" i="4"/>
  <c r="L164" i="4"/>
  <c r="L161" i="4"/>
  <c r="L160" i="4"/>
  <c r="L157" i="4"/>
  <c r="L156" i="4"/>
  <c r="K153" i="4"/>
  <c r="K152" i="4"/>
  <c r="M149" i="4"/>
  <c r="M148" i="4"/>
  <c r="C50" i="12"/>
  <c r="C49" i="12"/>
  <c r="C48" i="12"/>
  <c r="B50" i="12"/>
  <c r="B49" i="12"/>
  <c r="B48" i="12"/>
  <c r="B47" i="12"/>
  <c r="I36" i="4"/>
  <c r="J36" i="4"/>
  <c r="K36" i="4"/>
  <c r="L36" i="4"/>
  <c r="O36" i="4"/>
  <c r="I37" i="4"/>
  <c r="J37" i="4"/>
  <c r="K37" i="4"/>
  <c r="L37" i="4"/>
  <c r="O37" i="4"/>
  <c r="I38" i="4"/>
  <c r="J38" i="4"/>
  <c r="L38" i="4"/>
  <c r="M38" i="4"/>
  <c r="N38" i="4"/>
  <c r="O38" i="4"/>
  <c r="I39" i="4"/>
  <c r="J39" i="4"/>
  <c r="K39" i="4"/>
  <c r="L39" i="4"/>
  <c r="M39" i="4"/>
  <c r="N39" i="4"/>
  <c r="O39" i="4"/>
  <c r="I40" i="4"/>
  <c r="J40" i="4"/>
  <c r="L40" i="4"/>
  <c r="M40" i="4"/>
  <c r="N40" i="4"/>
  <c r="O40" i="4"/>
  <c r="I41" i="4"/>
  <c r="J41" i="4"/>
  <c r="L41" i="4"/>
  <c r="M41" i="4"/>
  <c r="N41" i="4"/>
  <c r="O41" i="4"/>
  <c r="J42" i="4"/>
  <c r="K42" i="4"/>
  <c r="L42" i="4"/>
  <c r="M42" i="4"/>
  <c r="N42" i="4"/>
  <c r="O42" i="4"/>
  <c r="I43" i="4"/>
  <c r="J43" i="4"/>
  <c r="K43" i="4"/>
  <c r="L43" i="4"/>
  <c r="M43" i="4"/>
  <c r="N43" i="4"/>
  <c r="O43" i="4"/>
  <c r="I96" i="4"/>
  <c r="J96" i="4"/>
  <c r="J142" i="4" s="1"/>
  <c r="K96" i="4"/>
  <c r="K142" i="4" s="1"/>
  <c r="L96" i="4"/>
  <c r="L142" i="4" s="1"/>
  <c r="M96" i="4"/>
  <c r="M142" i="4" s="1"/>
  <c r="N96" i="4"/>
  <c r="N142" i="4" s="1"/>
  <c r="O96" i="4"/>
  <c r="O142" i="4" s="1"/>
  <c r="K41" i="4"/>
  <c r="K40" i="4"/>
  <c r="M37" i="4"/>
  <c r="M36" i="4"/>
  <c r="N253" i="4"/>
  <c r="N242" i="4"/>
  <c r="I224" i="4"/>
  <c r="J224" i="4"/>
  <c r="L224" i="4"/>
  <c r="M224" i="4"/>
  <c r="I225" i="4"/>
  <c r="J225" i="4"/>
  <c r="L225" i="4"/>
  <c r="M225" i="4"/>
  <c r="I226" i="4"/>
  <c r="J226" i="4"/>
  <c r="L226" i="4"/>
  <c r="M226" i="4"/>
  <c r="I227" i="4"/>
  <c r="J227" i="4"/>
  <c r="L227" i="4"/>
  <c r="M227" i="4"/>
  <c r="I228" i="4"/>
  <c r="J228" i="4"/>
  <c r="L228" i="4"/>
  <c r="M228" i="4"/>
  <c r="I241" i="4"/>
  <c r="J241" i="4"/>
  <c r="L241" i="4"/>
  <c r="M241" i="4"/>
  <c r="K241" i="4"/>
  <c r="K228" i="4"/>
  <c r="K227" i="4"/>
  <c r="K226" i="4"/>
  <c r="K225" i="4"/>
  <c r="K224" i="4"/>
  <c r="J162" i="4" l="1"/>
  <c r="J170" i="4"/>
  <c r="J158" i="4"/>
  <c r="J166" i="4"/>
  <c r="J175" i="4"/>
  <c r="O175" i="4"/>
  <c r="K150" i="4"/>
  <c r="I154" i="4"/>
  <c r="O158" i="4"/>
  <c r="O162" i="4"/>
  <c r="O166" i="4"/>
  <c r="O170" i="4"/>
  <c r="K174" i="4"/>
  <c r="N176" i="4"/>
  <c r="L176" i="4"/>
  <c r="M176" i="4"/>
  <c r="M178" i="4" s="1"/>
  <c r="K38" i="4"/>
  <c r="I42" i="4"/>
  <c r="I142" i="4"/>
  <c r="K176" i="4" l="1"/>
  <c r="K179" i="4" s="1"/>
  <c r="K257" i="4" s="1"/>
  <c r="J176" i="4"/>
  <c r="I176" i="4"/>
  <c r="O176" i="4"/>
  <c r="K178" i="4" l="1"/>
  <c r="J70" i="4"/>
  <c r="J69" i="4"/>
  <c r="M70" i="4"/>
  <c r="M69" i="4"/>
  <c r="L69" i="4"/>
  <c r="L70" i="4"/>
  <c r="I70" i="4"/>
  <c r="I69" i="4"/>
  <c r="K69" i="4" l="1"/>
  <c r="P48" i="4" s="1"/>
  <c r="K70" i="4"/>
  <c r="C4" i="13" l="1"/>
  <c r="C3" i="13"/>
  <c r="C2" i="13"/>
  <c r="A5" i="6"/>
  <c r="A4" i="6"/>
  <c r="A3" i="6"/>
  <c r="C41" i="12" l="1"/>
  <c r="B41" i="12"/>
  <c r="B40" i="12"/>
  <c r="E593" i="7"/>
  <c r="E590" i="7"/>
  <c r="F590" i="7" s="1"/>
  <c r="E589" i="7"/>
  <c r="F589" i="7" s="1"/>
  <c r="F593" i="7" l="1"/>
  <c r="F588" i="7"/>
  <c r="O35" i="4" l="1"/>
  <c r="O44" i="4" s="1"/>
  <c r="O178" i="4" l="1"/>
  <c r="O46" i="4"/>
  <c r="O179" i="4" l="1"/>
  <c r="O257" i="4" s="1"/>
  <c r="O47" i="4"/>
  <c r="O72" i="4" l="1"/>
  <c r="O91" i="4" s="1"/>
  <c r="M72" i="4"/>
  <c r="M91" i="4" s="1"/>
  <c r="M93" i="4" s="1"/>
  <c r="L72" i="4"/>
  <c r="L91" i="4" s="1"/>
  <c r="K72" i="4"/>
  <c r="K91" i="4" s="1"/>
  <c r="K93" i="4" s="1"/>
  <c r="J72" i="4"/>
  <c r="J91" i="4" s="1"/>
  <c r="I72" i="4"/>
  <c r="I91" i="4" s="1"/>
  <c r="N72" i="4"/>
  <c r="E41" i="2"/>
  <c r="N91" i="4" l="1"/>
  <c r="N93" i="4" s="1"/>
  <c r="M94" i="4"/>
  <c r="I94" i="4"/>
  <c r="I93" i="4"/>
  <c r="J93" i="4"/>
  <c r="J94" i="4"/>
  <c r="O93" i="4"/>
  <c r="O94" i="4"/>
  <c r="K94" i="4"/>
  <c r="L94" i="4"/>
  <c r="L93" i="4"/>
  <c r="I249" i="4"/>
  <c r="J249" i="4"/>
  <c r="L249" i="4"/>
  <c r="M249" i="4"/>
  <c r="I251" i="4"/>
  <c r="J251" i="4"/>
  <c r="L251" i="4"/>
  <c r="M251" i="4"/>
  <c r="I252" i="4"/>
  <c r="J252" i="4"/>
  <c r="L252" i="4"/>
  <c r="M252" i="4"/>
  <c r="K252" i="4"/>
  <c r="K249" i="4"/>
  <c r="K251" i="4"/>
  <c r="N181" i="4"/>
  <c r="N218" i="4" s="1"/>
  <c r="M181" i="4"/>
  <c r="M218" i="4" s="1"/>
  <c r="K181" i="4"/>
  <c r="K218" i="4" s="1"/>
  <c r="J181" i="4"/>
  <c r="J218" i="4" s="1"/>
  <c r="I181" i="4"/>
  <c r="I218" i="4" s="1"/>
  <c r="L181" i="4"/>
  <c r="L218" i="4" l="1"/>
  <c r="L220" i="4" s="1"/>
  <c r="N94" i="4"/>
  <c r="P71" i="4"/>
  <c r="O144" i="4"/>
  <c r="O145" i="4" l="1"/>
  <c r="O428" i="4" s="1"/>
  <c r="N30" i="4" l="1"/>
  <c r="I190" i="2" l="1"/>
  <c r="J189" i="2" s="1"/>
  <c r="F201" i="2" s="1"/>
  <c r="D48" i="12" l="1"/>
  <c r="I16" i="13"/>
  <c r="I17" i="13"/>
  <c r="I18" i="13"/>
  <c r="I19" i="13"/>
  <c r="I21" i="13"/>
  <c r="I22" i="13"/>
  <c r="I24" i="13"/>
  <c r="I26" i="13"/>
  <c r="I28" i="13"/>
  <c r="I29" i="13"/>
  <c r="I31" i="13"/>
  <c r="I32" i="13"/>
  <c r="I10" i="13"/>
  <c r="I11" i="13"/>
  <c r="I12" i="13"/>
  <c r="I13" i="13"/>
  <c r="I14" i="13"/>
  <c r="I9" i="13"/>
  <c r="D680" i="7" l="1"/>
  <c r="D672" i="7"/>
  <c r="D673" i="7"/>
  <c r="D674" i="7"/>
  <c r="D671" i="7"/>
  <c r="E680" i="7"/>
  <c r="E677" i="7"/>
  <c r="F677" i="7" s="1"/>
  <c r="E676" i="7"/>
  <c r="F676" i="7" s="1"/>
  <c r="D658" i="7"/>
  <c r="D659" i="7"/>
  <c r="D660" i="7"/>
  <c r="D657" i="7"/>
  <c r="E665" i="7"/>
  <c r="D665" i="7"/>
  <c r="E662" i="7"/>
  <c r="F662" i="7" s="1"/>
  <c r="F661" i="7" s="1"/>
  <c r="D102" i="7"/>
  <c r="D101" i="7"/>
  <c r="D100" i="7"/>
  <c r="E102" i="7"/>
  <c r="C45" i="6"/>
  <c r="D45" i="6" s="1"/>
  <c r="C46" i="6"/>
  <c r="D46" i="6" s="1"/>
  <c r="C47" i="6"/>
  <c r="D47" i="6" s="1"/>
  <c r="C44" i="6"/>
  <c r="D44" i="6" s="1"/>
  <c r="D39" i="6"/>
  <c r="C39" i="6"/>
  <c r="B39" i="6"/>
  <c r="C46" i="12"/>
  <c r="C45" i="12"/>
  <c r="C44" i="12"/>
  <c r="B46" i="12"/>
  <c r="B45" i="12"/>
  <c r="B44" i="12"/>
  <c r="B43" i="12"/>
  <c r="B42" i="12"/>
  <c r="A19" i="6" s="1"/>
  <c r="J91" i="2"/>
  <c r="I181" i="2"/>
  <c r="J179" i="2" s="1"/>
  <c r="F680" i="7" l="1"/>
  <c r="F665" i="7"/>
  <c r="F675" i="7"/>
  <c r="F102" i="7"/>
  <c r="C48" i="6"/>
  <c r="D48" i="6" s="1"/>
  <c r="N256" i="4" l="1"/>
  <c r="N221" i="4"/>
  <c r="N245" i="4"/>
  <c r="N244" i="4"/>
  <c r="N32" i="4"/>
  <c r="D607" i="7"/>
  <c r="D602" i="7"/>
  <c r="D601" i="7"/>
  <c r="D600" i="7"/>
  <c r="D599" i="7"/>
  <c r="E607" i="7"/>
  <c r="E604" i="7"/>
  <c r="F604" i="7" s="1"/>
  <c r="F603" i="7" s="1"/>
  <c r="C39" i="12"/>
  <c r="C38" i="12"/>
  <c r="C36" i="12"/>
  <c r="B39" i="12"/>
  <c r="B38" i="12"/>
  <c r="B37" i="12"/>
  <c r="B36" i="12"/>
  <c r="B35" i="12"/>
  <c r="C34" i="12"/>
  <c r="B34" i="12"/>
  <c r="C30" i="12"/>
  <c r="C29" i="12"/>
  <c r="C28" i="12"/>
  <c r="C27" i="12"/>
  <c r="I13" i="12"/>
  <c r="C13" i="12"/>
  <c r="B13" i="12"/>
  <c r="B9" i="12"/>
  <c r="A13" i="6" s="1"/>
  <c r="A9" i="12"/>
  <c r="A8" i="12"/>
  <c r="B8" i="12"/>
  <c r="A12" i="6" s="1"/>
  <c r="I22" i="2"/>
  <c r="J21" i="2" s="1"/>
  <c r="D13" i="12" s="1"/>
  <c r="F607" i="7" l="1"/>
  <c r="N255" i="4"/>
  <c r="N220" i="4"/>
  <c r="N33" i="4"/>
  <c r="H13" i="12"/>
  <c r="F13" i="12"/>
  <c r="J13" i="12"/>
  <c r="N13" i="12" l="1"/>
  <c r="L13" i="12"/>
  <c r="I19" i="2"/>
  <c r="J18" i="2" s="1"/>
  <c r="I16" i="2"/>
  <c r="J15" i="2" s="1"/>
  <c r="D12" i="12" s="1"/>
  <c r="I41" i="2"/>
  <c r="J40" i="2" s="1"/>
  <c r="I38" i="2"/>
  <c r="J37" i="2" s="1"/>
  <c r="I114" i="2"/>
  <c r="J112" i="2" s="1"/>
  <c r="D30" i="12" s="1"/>
  <c r="B112" i="2"/>
  <c r="B108" i="2"/>
  <c r="B28" i="12"/>
  <c r="B27" i="12"/>
  <c r="B29" i="12" l="1"/>
  <c r="B29" i="25"/>
  <c r="B30" i="12"/>
  <c r="B30" i="25"/>
  <c r="H12" i="12"/>
  <c r="P13" i="12"/>
  <c r="R13" i="12" s="1"/>
  <c r="J74" i="2"/>
  <c r="D27" i="12" s="1"/>
  <c r="D28" i="12"/>
  <c r="D29" i="12" l="1"/>
  <c r="E651" i="7" l="1"/>
  <c r="D651" i="7"/>
  <c r="E648" i="7"/>
  <c r="F648" i="7" s="1"/>
  <c r="F647" i="7" s="1"/>
  <c r="D646" i="7"/>
  <c r="D645" i="7"/>
  <c r="D644" i="7"/>
  <c r="D643" i="7"/>
  <c r="F651" i="7" l="1"/>
  <c r="D36" i="12" l="1"/>
  <c r="D34" i="12"/>
  <c r="D39" i="12"/>
  <c r="D38" i="12" l="1"/>
  <c r="I247" i="4" l="1"/>
  <c r="J247" i="4"/>
  <c r="J253" i="4" s="1"/>
  <c r="L247" i="4"/>
  <c r="L253" i="4" s="1"/>
  <c r="L256" i="4" s="1"/>
  <c r="M247" i="4"/>
  <c r="M253" i="4" s="1"/>
  <c r="K247" i="4"/>
  <c r="K253" i="4" s="1"/>
  <c r="K255" i="4" s="1"/>
  <c r="I253" i="4" l="1"/>
  <c r="I255" i="4" l="1"/>
  <c r="I256" i="4"/>
  <c r="M256" i="4"/>
  <c r="M255" i="4"/>
  <c r="K256" i="4"/>
  <c r="J256" i="4"/>
  <c r="J255" i="4"/>
  <c r="L255" i="4"/>
  <c r="P246" i="4" l="1"/>
  <c r="I272" i="2" s="1"/>
  <c r="J270" i="2" s="1"/>
  <c r="M270" i="2" s="1"/>
  <c r="D67" i="12" l="1"/>
  <c r="N145" i="4"/>
  <c r="N144" i="4"/>
  <c r="L144" i="4"/>
  <c r="L145" i="4"/>
  <c r="J144" i="4"/>
  <c r="J145" i="4"/>
  <c r="I35" i="4"/>
  <c r="J35" i="4"/>
  <c r="J44" i="4" s="1"/>
  <c r="K35" i="4"/>
  <c r="K44" i="4" s="1"/>
  <c r="K46" i="4" s="1"/>
  <c r="M35" i="4"/>
  <c r="M44" i="4" s="1"/>
  <c r="N35" i="4"/>
  <c r="N44" i="4" s="1"/>
  <c r="N46" i="4" s="1"/>
  <c r="L35" i="4"/>
  <c r="L44" i="4" s="1"/>
  <c r="D49" i="12" l="1"/>
  <c r="K144" i="4"/>
  <c r="M144" i="4"/>
  <c r="M145" i="4"/>
  <c r="K47" i="4" l="1"/>
  <c r="J178" i="4"/>
  <c r="I178" i="4"/>
  <c r="I179" i="4"/>
  <c r="I257" i="4" s="1"/>
  <c r="N178" i="4"/>
  <c r="N179" i="4"/>
  <c r="N257" i="4" s="1"/>
  <c r="M179" i="4"/>
  <c r="M257" i="4" s="1"/>
  <c r="L178" i="4"/>
  <c r="L179" i="4"/>
  <c r="L257" i="4" s="1"/>
  <c r="J47" i="4"/>
  <c r="K145" i="4"/>
  <c r="M46" i="4"/>
  <c r="M47" i="4"/>
  <c r="L46" i="4"/>
  <c r="L47" i="4"/>
  <c r="N47" i="4"/>
  <c r="I44" i="4"/>
  <c r="P146" i="4" l="1"/>
  <c r="I226" i="2" s="1"/>
  <c r="J224" i="2" s="1"/>
  <c r="M224" i="2" s="1"/>
  <c r="N428" i="4"/>
  <c r="J179" i="4"/>
  <c r="J257" i="4" s="1"/>
  <c r="J46" i="4"/>
  <c r="I46" i="4"/>
  <c r="I47" i="4"/>
  <c r="K223" i="4"/>
  <c r="K242" i="4" s="1"/>
  <c r="I223" i="4"/>
  <c r="J223" i="4"/>
  <c r="J242" i="4" s="1"/>
  <c r="L223" i="4"/>
  <c r="L242" i="4" s="1"/>
  <c r="M223" i="4"/>
  <c r="M242" i="4" s="1"/>
  <c r="D54" i="12" l="1"/>
  <c r="P34" i="4"/>
  <c r="I242" i="4"/>
  <c r="K244" i="4" l="1"/>
  <c r="K245" i="4"/>
  <c r="K221" i="4"/>
  <c r="K220" i="4"/>
  <c r="M244" i="4"/>
  <c r="M245" i="4"/>
  <c r="I245" i="4"/>
  <c r="I244" i="4"/>
  <c r="J244" i="4"/>
  <c r="J245" i="4"/>
  <c r="L244" i="4"/>
  <c r="L245" i="4"/>
  <c r="P222" i="4" l="1"/>
  <c r="I257" i="2" s="1"/>
  <c r="J255" i="2" s="1"/>
  <c r="M255" i="2" l="1"/>
  <c r="J374" i="2"/>
  <c r="D63" i="12"/>
  <c r="I144" i="4"/>
  <c r="P95" i="4" s="1"/>
  <c r="I201" i="2" s="1"/>
  <c r="J199" i="2" s="1"/>
  <c r="I145" i="4"/>
  <c r="D114" i="12" l="1"/>
  <c r="M374" i="2"/>
  <c r="M199" i="2"/>
  <c r="C29" i="9"/>
  <c r="G18" i="9"/>
  <c r="G17" i="9"/>
  <c r="G14" i="9"/>
  <c r="G12" i="9"/>
  <c r="G9" i="9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D10" i="8"/>
  <c r="D9" i="8"/>
  <c r="E1059" i="7" s="1"/>
  <c r="D8" i="8"/>
  <c r="E1246" i="7" s="1"/>
  <c r="F1246" i="7" s="1"/>
  <c r="D7" i="8"/>
  <c r="E1239" i="7"/>
  <c r="D1239" i="7"/>
  <c r="E1236" i="7"/>
  <c r="F1236" i="7" s="1"/>
  <c r="E1235" i="7"/>
  <c r="F1235" i="7" s="1"/>
  <c r="E1233" i="7"/>
  <c r="F1233" i="7" s="1"/>
  <c r="D1232" i="7"/>
  <c r="D1231" i="7"/>
  <c r="D1230" i="7"/>
  <c r="D1229" i="7"/>
  <c r="E1221" i="7"/>
  <c r="F1221" i="7" s="1"/>
  <c r="E1220" i="7"/>
  <c r="F1220" i="7" s="1"/>
  <c r="E1219" i="7"/>
  <c r="F1219" i="7" s="1"/>
  <c r="E1217" i="7"/>
  <c r="F1217" i="7" s="1"/>
  <c r="E1216" i="7"/>
  <c r="D1216" i="7"/>
  <c r="E1215" i="7"/>
  <c r="D1215" i="7"/>
  <c r="E1214" i="7"/>
  <c r="D1214" i="7"/>
  <c r="E1208" i="7"/>
  <c r="D1208" i="7"/>
  <c r="E1205" i="7"/>
  <c r="F1205" i="7" s="1"/>
  <c r="E1204" i="7"/>
  <c r="F1204" i="7" s="1"/>
  <c r="E1203" i="7"/>
  <c r="F1203" i="7" s="1"/>
  <c r="E1201" i="7"/>
  <c r="F1201" i="7" s="1"/>
  <c r="E1200" i="7"/>
  <c r="D1200" i="7"/>
  <c r="E1199" i="7"/>
  <c r="D1199" i="7"/>
  <c r="E1198" i="7"/>
  <c r="D1198" i="7"/>
  <c r="E1192" i="7"/>
  <c r="D1192" i="7"/>
  <c r="E1189" i="7"/>
  <c r="F1189" i="7" s="1"/>
  <c r="E1188" i="7"/>
  <c r="F1188" i="7" s="1"/>
  <c r="E1187" i="7"/>
  <c r="F1187" i="7" s="1"/>
  <c r="E1185" i="7"/>
  <c r="F1185" i="7" s="1"/>
  <c r="E1184" i="7"/>
  <c r="D1184" i="7"/>
  <c r="E1183" i="7"/>
  <c r="D1183" i="7"/>
  <c r="E1182" i="7"/>
  <c r="D1182" i="7"/>
  <c r="E1176" i="7"/>
  <c r="D1176" i="7"/>
  <c r="E1173" i="7"/>
  <c r="F1173" i="7" s="1"/>
  <c r="E1172" i="7"/>
  <c r="F1172" i="7" s="1"/>
  <c r="E1171" i="7"/>
  <c r="F1171" i="7" s="1"/>
  <c r="E1169" i="7"/>
  <c r="F1169" i="7" s="1"/>
  <c r="D1168" i="7"/>
  <c r="D1167" i="7"/>
  <c r="D1166" i="7"/>
  <c r="E1160" i="7"/>
  <c r="D1160" i="7"/>
  <c r="E1157" i="7"/>
  <c r="F1157" i="7" s="1"/>
  <c r="E1156" i="7"/>
  <c r="F1156" i="7" s="1"/>
  <c r="E1155" i="7"/>
  <c r="F1155" i="7" s="1"/>
  <c r="E1153" i="7"/>
  <c r="F1153" i="7" s="1"/>
  <c r="D1152" i="7"/>
  <c r="D1151" i="7"/>
  <c r="D1150" i="7"/>
  <c r="E1142" i="7"/>
  <c r="F1142" i="7" s="1"/>
  <c r="E1141" i="7"/>
  <c r="F1141" i="7" s="1"/>
  <c r="F1140" i="7"/>
  <c r="E1139" i="7"/>
  <c r="F1139" i="7" s="1"/>
  <c r="E1137" i="7"/>
  <c r="F1137" i="7" s="1"/>
  <c r="D1136" i="7"/>
  <c r="D1135" i="7"/>
  <c r="D1134" i="7"/>
  <c r="E1128" i="7"/>
  <c r="D1128" i="7"/>
  <c r="E1125" i="7"/>
  <c r="F1125" i="7" s="1"/>
  <c r="E1124" i="7"/>
  <c r="F1124" i="7" s="1"/>
  <c r="E1123" i="7"/>
  <c r="F1123" i="7" s="1"/>
  <c r="E1121" i="7"/>
  <c r="F1121" i="7" s="1"/>
  <c r="D1120" i="7"/>
  <c r="D1119" i="7"/>
  <c r="D1118" i="7"/>
  <c r="E1112" i="7"/>
  <c r="D1112" i="7"/>
  <c r="E1109" i="7"/>
  <c r="F1109" i="7" s="1"/>
  <c r="E1108" i="7"/>
  <c r="F1108" i="7" s="1"/>
  <c r="E1107" i="7"/>
  <c r="F1107" i="7" s="1"/>
  <c r="E1105" i="7"/>
  <c r="F1105" i="7" s="1"/>
  <c r="D1104" i="7"/>
  <c r="D1103" i="7"/>
  <c r="D1102" i="7"/>
  <c r="E1096" i="7"/>
  <c r="D1096" i="7"/>
  <c r="E1093" i="7"/>
  <c r="F1093" i="7" s="1"/>
  <c r="E1092" i="7"/>
  <c r="F1092" i="7" s="1"/>
  <c r="E1091" i="7"/>
  <c r="F1091" i="7" s="1"/>
  <c r="E1089" i="7"/>
  <c r="F1089" i="7" s="1"/>
  <c r="D1088" i="7"/>
  <c r="D1087" i="7"/>
  <c r="D1086" i="7"/>
  <c r="E1079" i="7"/>
  <c r="D1079" i="7"/>
  <c r="E1076" i="7"/>
  <c r="F1076" i="7" s="1"/>
  <c r="E1075" i="7"/>
  <c r="F1075" i="7" s="1"/>
  <c r="E1074" i="7"/>
  <c r="F1074" i="7" s="1"/>
  <c r="D1072" i="7"/>
  <c r="D1071" i="7"/>
  <c r="D1070" i="7"/>
  <c r="E1003" i="7"/>
  <c r="D1003" i="7"/>
  <c r="E1000" i="7"/>
  <c r="F1000" i="7" s="1"/>
  <c r="E998" i="7"/>
  <c r="F998" i="7" s="1"/>
  <c r="E997" i="7"/>
  <c r="F997" i="7" s="1"/>
  <c r="D995" i="7"/>
  <c r="D994" i="7"/>
  <c r="D993" i="7"/>
  <c r="E1062" i="7"/>
  <c r="F1062" i="7" s="1"/>
  <c r="E1061" i="7"/>
  <c r="F1061" i="7" s="1"/>
  <c r="D1059" i="7"/>
  <c r="D1058" i="7"/>
  <c r="E1049" i="7"/>
  <c r="F1049" i="7" s="1"/>
  <c r="E1048" i="7"/>
  <c r="F1048" i="7" s="1"/>
  <c r="F1047" i="7" s="1"/>
  <c r="E1046" i="7"/>
  <c r="D1046" i="7"/>
  <c r="D1045" i="7"/>
  <c r="D1044" i="7"/>
  <c r="D1043" i="7"/>
  <c r="D1042" i="7"/>
  <c r="E1036" i="7"/>
  <c r="D1036" i="7"/>
  <c r="E1035" i="7"/>
  <c r="D1035" i="7"/>
  <c r="E1032" i="7"/>
  <c r="F1032" i="7" s="1"/>
  <c r="E1031" i="7"/>
  <c r="F1031" i="7" s="1"/>
  <c r="E1030" i="7"/>
  <c r="F1030" i="7" s="1"/>
  <c r="D1028" i="7"/>
  <c r="D1027" i="7"/>
  <c r="D1026" i="7"/>
  <c r="D1025" i="7"/>
  <c r="E984" i="7"/>
  <c r="F984" i="7" s="1"/>
  <c r="E983" i="7"/>
  <c r="F983" i="7" s="1"/>
  <c r="D981" i="7"/>
  <c r="D980" i="7"/>
  <c r="D979" i="7"/>
  <c r="E841" i="7"/>
  <c r="F841" i="7" s="1"/>
  <c r="E840" i="7"/>
  <c r="F840" i="7" s="1"/>
  <c r="F839" i="7" s="1"/>
  <c r="E838" i="7"/>
  <c r="F838" i="7" s="1"/>
  <c r="D837" i="7"/>
  <c r="E836" i="7"/>
  <c r="D836" i="7"/>
  <c r="D835" i="7"/>
  <c r="D834" i="7"/>
  <c r="E535" i="7"/>
  <c r="D535" i="7"/>
  <c r="E532" i="7"/>
  <c r="F532" i="7" s="1"/>
  <c r="E531" i="7"/>
  <c r="F531" i="7" s="1"/>
  <c r="D529" i="7"/>
  <c r="D528" i="7"/>
  <c r="D527" i="7"/>
  <c r="D526" i="7"/>
  <c r="E971" i="7"/>
  <c r="F971" i="7" s="1"/>
  <c r="E970" i="7"/>
  <c r="F970" i="7" s="1"/>
  <c r="D968" i="7"/>
  <c r="D967" i="7"/>
  <c r="D966" i="7"/>
  <c r="E826" i="7"/>
  <c r="F826" i="7" s="1"/>
  <c r="E825" i="7"/>
  <c r="F825" i="7" s="1"/>
  <c r="E823" i="7"/>
  <c r="F823" i="7" s="1"/>
  <c r="D822" i="7"/>
  <c r="D821" i="7"/>
  <c r="D820" i="7"/>
  <c r="D819" i="7"/>
  <c r="E520" i="7"/>
  <c r="D520" i="7"/>
  <c r="E517" i="7"/>
  <c r="F517" i="7" s="1"/>
  <c r="E516" i="7"/>
  <c r="F516" i="7" s="1"/>
  <c r="D514" i="7"/>
  <c r="D513" i="7"/>
  <c r="D512" i="7"/>
  <c r="D511" i="7"/>
  <c r="E958" i="7"/>
  <c r="F958" i="7" s="1"/>
  <c r="E957" i="7"/>
  <c r="F957" i="7" s="1"/>
  <c r="D955" i="7"/>
  <c r="D954" i="7"/>
  <c r="D953" i="7"/>
  <c r="E811" i="7"/>
  <c r="F811" i="7" s="1"/>
  <c r="F810" i="7" s="1"/>
  <c r="D809" i="7"/>
  <c r="D808" i="7"/>
  <c r="D807" i="7"/>
  <c r="D806" i="7"/>
  <c r="E798" i="7"/>
  <c r="F798" i="7" s="1"/>
  <c r="E797" i="7"/>
  <c r="F797" i="7" s="1"/>
  <c r="E795" i="7"/>
  <c r="F795" i="7" s="1"/>
  <c r="D794" i="7"/>
  <c r="D793" i="7"/>
  <c r="D792" i="7"/>
  <c r="D791" i="7"/>
  <c r="E505" i="7"/>
  <c r="D505" i="7"/>
  <c r="E502" i="7"/>
  <c r="F502" i="7" s="1"/>
  <c r="E501" i="7"/>
  <c r="F501" i="7" s="1"/>
  <c r="D499" i="7"/>
  <c r="D498" i="7"/>
  <c r="D497" i="7"/>
  <c r="D496" i="7"/>
  <c r="E945" i="7"/>
  <c r="F945" i="7" s="1"/>
  <c r="E944" i="7"/>
  <c r="F944" i="7" s="1"/>
  <c r="D942" i="7"/>
  <c r="D941" i="7"/>
  <c r="D940" i="7"/>
  <c r="E783" i="7"/>
  <c r="F783" i="7" s="1"/>
  <c r="E782" i="7"/>
  <c r="F782" i="7" s="1"/>
  <c r="E780" i="7"/>
  <c r="F780" i="7" s="1"/>
  <c r="D779" i="7"/>
  <c r="D778" i="7"/>
  <c r="D777" i="7"/>
  <c r="D776" i="7"/>
  <c r="E490" i="7"/>
  <c r="D490" i="7"/>
  <c r="E487" i="7"/>
  <c r="F487" i="7" s="1"/>
  <c r="E486" i="7"/>
  <c r="F486" i="7" s="1"/>
  <c r="D484" i="7"/>
  <c r="D483" i="7"/>
  <c r="D482" i="7"/>
  <c r="D481" i="7"/>
  <c r="E932" i="7"/>
  <c r="F932" i="7" s="1"/>
  <c r="E931" i="7"/>
  <c r="F931" i="7" s="1"/>
  <c r="D929" i="7"/>
  <c r="D928" i="7"/>
  <c r="D927" i="7"/>
  <c r="E768" i="7"/>
  <c r="F768" i="7" s="1"/>
  <c r="E767" i="7"/>
  <c r="F767" i="7" s="1"/>
  <c r="E765" i="7"/>
  <c r="F765" i="7" s="1"/>
  <c r="D764" i="7"/>
  <c r="D763" i="7"/>
  <c r="D762" i="7"/>
  <c r="D761" i="7"/>
  <c r="E637" i="7"/>
  <c r="D637" i="7"/>
  <c r="E634" i="7"/>
  <c r="F634" i="7" s="1"/>
  <c r="E633" i="7"/>
  <c r="F633" i="7" s="1"/>
  <c r="D631" i="7"/>
  <c r="D630" i="7"/>
  <c r="D629" i="7"/>
  <c r="D628" i="7"/>
  <c r="E475" i="7"/>
  <c r="D475" i="7"/>
  <c r="E474" i="7"/>
  <c r="D474" i="7"/>
  <c r="E471" i="7"/>
  <c r="F471" i="7" s="1"/>
  <c r="E470" i="7"/>
  <c r="F470" i="7" s="1"/>
  <c r="E469" i="7"/>
  <c r="F469" i="7" s="1"/>
  <c r="D467" i="7"/>
  <c r="D466" i="7"/>
  <c r="D465" i="7"/>
  <c r="D464" i="7"/>
  <c r="E919" i="7"/>
  <c r="F919" i="7" s="1"/>
  <c r="E918" i="7"/>
  <c r="F918" i="7" s="1"/>
  <c r="D916" i="7"/>
  <c r="D915" i="7"/>
  <c r="D914" i="7"/>
  <c r="E753" i="7"/>
  <c r="F753" i="7" s="1"/>
  <c r="E752" i="7"/>
  <c r="F752" i="7" s="1"/>
  <c r="E750" i="7"/>
  <c r="F750" i="7" s="1"/>
  <c r="D749" i="7"/>
  <c r="D748" i="7"/>
  <c r="D747" i="7"/>
  <c r="D746" i="7"/>
  <c r="E622" i="7"/>
  <c r="D622" i="7"/>
  <c r="E619" i="7"/>
  <c r="F619" i="7" s="1"/>
  <c r="E618" i="7"/>
  <c r="F618" i="7" s="1"/>
  <c r="D616" i="7"/>
  <c r="D615" i="7"/>
  <c r="D614" i="7"/>
  <c r="D613" i="7"/>
  <c r="E458" i="7"/>
  <c r="D458" i="7"/>
  <c r="E457" i="7"/>
  <c r="D457" i="7"/>
  <c r="E454" i="7"/>
  <c r="F454" i="7" s="1"/>
  <c r="E453" i="7"/>
  <c r="F453" i="7" s="1"/>
  <c r="E452" i="7"/>
  <c r="F452" i="7" s="1"/>
  <c r="D450" i="7"/>
  <c r="D449" i="7"/>
  <c r="D448" i="7"/>
  <c r="D447" i="7"/>
  <c r="E906" i="7"/>
  <c r="F906" i="7" s="1"/>
  <c r="E905" i="7"/>
  <c r="F905" i="7" s="1"/>
  <c r="D903" i="7"/>
  <c r="D902" i="7"/>
  <c r="D901" i="7"/>
  <c r="E738" i="7"/>
  <c r="F738" i="7" s="1"/>
  <c r="E737" i="7"/>
  <c r="F737" i="7" s="1"/>
  <c r="E735" i="7"/>
  <c r="F735" i="7" s="1"/>
  <c r="D734" i="7"/>
  <c r="D733" i="7"/>
  <c r="D732" i="7"/>
  <c r="D731" i="7"/>
  <c r="E441" i="7"/>
  <c r="D441" i="7"/>
  <c r="E440" i="7"/>
  <c r="D440" i="7"/>
  <c r="E437" i="7"/>
  <c r="F437" i="7" s="1"/>
  <c r="E436" i="7"/>
  <c r="F436" i="7" s="1"/>
  <c r="E435" i="7"/>
  <c r="F435" i="7" s="1"/>
  <c r="D433" i="7"/>
  <c r="D432" i="7"/>
  <c r="D431" i="7"/>
  <c r="D430" i="7"/>
  <c r="E893" i="7"/>
  <c r="F893" i="7" s="1"/>
  <c r="E892" i="7"/>
  <c r="F892" i="7" s="1"/>
  <c r="D890" i="7"/>
  <c r="D889" i="7"/>
  <c r="D888" i="7"/>
  <c r="E723" i="7"/>
  <c r="F723" i="7" s="1"/>
  <c r="E722" i="7"/>
  <c r="F722" i="7" s="1"/>
  <c r="E720" i="7"/>
  <c r="D720" i="7"/>
  <c r="D719" i="7"/>
  <c r="D718" i="7"/>
  <c r="D717" i="7"/>
  <c r="D716" i="7"/>
  <c r="E424" i="7"/>
  <c r="D424" i="7"/>
  <c r="E423" i="7"/>
  <c r="D423" i="7"/>
  <c r="E420" i="7"/>
  <c r="F420" i="7" s="1"/>
  <c r="E419" i="7"/>
  <c r="F419" i="7" s="1"/>
  <c r="E418" i="7"/>
  <c r="F418" i="7" s="1"/>
  <c r="D413" i="7"/>
  <c r="E578" i="7"/>
  <c r="D578" i="7"/>
  <c r="E575" i="7"/>
  <c r="F575" i="7" s="1"/>
  <c r="F574" i="7" s="1"/>
  <c r="D573" i="7"/>
  <c r="D572" i="7"/>
  <c r="D571" i="7"/>
  <c r="D570" i="7"/>
  <c r="E880" i="7"/>
  <c r="F880" i="7" s="1"/>
  <c r="E879" i="7"/>
  <c r="F879" i="7" s="1"/>
  <c r="D877" i="7"/>
  <c r="D876" i="7"/>
  <c r="D875" i="7"/>
  <c r="E708" i="7"/>
  <c r="F708" i="7" s="1"/>
  <c r="E707" i="7"/>
  <c r="F707" i="7" s="1"/>
  <c r="E705" i="7"/>
  <c r="F705" i="7" s="1"/>
  <c r="D704" i="7"/>
  <c r="D703" i="7"/>
  <c r="D702" i="7"/>
  <c r="D701" i="7"/>
  <c r="E564" i="7"/>
  <c r="D564" i="7"/>
  <c r="E561" i="7"/>
  <c r="F561" i="7" s="1"/>
  <c r="F560" i="7" s="1"/>
  <c r="D559" i="7"/>
  <c r="D558" i="7"/>
  <c r="D557" i="7"/>
  <c r="D556" i="7"/>
  <c r="E407" i="7"/>
  <c r="D407" i="7"/>
  <c r="E406" i="7"/>
  <c r="D406" i="7"/>
  <c r="E403" i="7"/>
  <c r="F403" i="7" s="1"/>
  <c r="E402" i="7"/>
  <c r="F402" i="7" s="1"/>
  <c r="E401" i="7"/>
  <c r="F401" i="7" s="1"/>
  <c r="D399" i="7"/>
  <c r="D398" i="7"/>
  <c r="D397" i="7"/>
  <c r="D396" i="7"/>
  <c r="E854" i="7"/>
  <c r="F854" i="7" s="1"/>
  <c r="E853" i="7"/>
  <c r="F853" i="7" s="1"/>
  <c r="D851" i="7"/>
  <c r="D850" i="7"/>
  <c r="D849" i="7"/>
  <c r="E693" i="7"/>
  <c r="F693" i="7" s="1"/>
  <c r="E692" i="7"/>
  <c r="F692" i="7" s="1"/>
  <c r="E690" i="7"/>
  <c r="F690" i="7" s="1"/>
  <c r="D689" i="7"/>
  <c r="D688" i="7"/>
  <c r="D687" i="7"/>
  <c r="D686" i="7"/>
  <c r="E550" i="7"/>
  <c r="D550" i="7"/>
  <c r="E546" i="7"/>
  <c r="F546" i="7" s="1"/>
  <c r="D544" i="7"/>
  <c r="D543" i="7"/>
  <c r="D542" i="7"/>
  <c r="D541" i="7"/>
  <c r="E373" i="7"/>
  <c r="D373" i="7"/>
  <c r="E372" i="7"/>
  <c r="D372" i="7"/>
  <c r="E369" i="7"/>
  <c r="F369" i="7" s="1"/>
  <c r="E368" i="7"/>
  <c r="F368" i="7" s="1"/>
  <c r="E367" i="7"/>
  <c r="F367" i="7" s="1"/>
  <c r="D365" i="7"/>
  <c r="D364" i="7"/>
  <c r="D363" i="7"/>
  <c r="D362" i="7"/>
  <c r="E353" i="7"/>
  <c r="D353" i="7"/>
  <c r="E351" i="7"/>
  <c r="F351" i="7" s="1"/>
  <c r="D350" i="7"/>
  <c r="D349" i="7"/>
  <c r="D348" i="7"/>
  <c r="D347" i="7"/>
  <c r="E341" i="7"/>
  <c r="D341" i="7"/>
  <c r="E338" i="7"/>
  <c r="F338" i="7" s="1"/>
  <c r="E337" i="7"/>
  <c r="F337" i="7" s="1"/>
  <c r="E336" i="7"/>
  <c r="F336" i="7" s="1"/>
  <c r="D334" i="7"/>
  <c r="D333" i="7"/>
  <c r="D332" i="7"/>
  <c r="D331" i="7"/>
  <c r="E323" i="7"/>
  <c r="F323" i="7" s="1"/>
  <c r="E322" i="7"/>
  <c r="F322" i="7" s="1"/>
  <c r="E320" i="7"/>
  <c r="D320" i="7"/>
  <c r="D319" i="7"/>
  <c r="D318" i="7"/>
  <c r="D317" i="7"/>
  <c r="E311" i="7"/>
  <c r="D311" i="7"/>
  <c r="E308" i="7"/>
  <c r="F308" i="7" s="1"/>
  <c r="E307" i="7"/>
  <c r="F307" i="7" s="1"/>
  <c r="E306" i="7"/>
  <c r="F306" i="7" s="1"/>
  <c r="D304" i="7"/>
  <c r="D303" i="7"/>
  <c r="D302" i="7"/>
  <c r="D301" i="7"/>
  <c r="E293" i="7"/>
  <c r="F293" i="7" s="1"/>
  <c r="E292" i="7"/>
  <c r="F292" i="7" s="1"/>
  <c r="E290" i="7"/>
  <c r="F290" i="7" s="1"/>
  <c r="D289" i="7"/>
  <c r="D288" i="7"/>
  <c r="D287" i="7"/>
  <c r="E281" i="7"/>
  <c r="D281" i="7"/>
  <c r="E278" i="7"/>
  <c r="F278" i="7" s="1"/>
  <c r="E277" i="7"/>
  <c r="F277" i="7" s="1"/>
  <c r="D275" i="7"/>
  <c r="D274" i="7"/>
  <c r="D273" i="7"/>
  <c r="D272" i="7"/>
  <c r="E266" i="7"/>
  <c r="F266" i="7" s="1"/>
  <c r="E263" i="7"/>
  <c r="F263" i="7" s="1"/>
  <c r="E262" i="7"/>
  <c r="F262" i="7" s="1"/>
  <c r="E261" i="7"/>
  <c r="F261" i="7" s="1"/>
  <c r="D259" i="7"/>
  <c r="D258" i="7"/>
  <c r="D257" i="7"/>
  <c r="D256" i="7"/>
  <c r="E250" i="7"/>
  <c r="D250" i="7"/>
  <c r="E247" i="7"/>
  <c r="F247" i="7" s="1"/>
  <c r="E246" i="7"/>
  <c r="F246" i="7" s="1"/>
  <c r="E245" i="7"/>
  <c r="F245" i="7" s="1"/>
  <c r="D243" i="7"/>
  <c r="D242" i="7"/>
  <c r="D241" i="7"/>
  <c r="D240" i="7"/>
  <c r="E232" i="7"/>
  <c r="F232" i="7" s="1"/>
  <c r="E231" i="7"/>
  <c r="F231" i="7" s="1"/>
  <c r="E229" i="7"/>
  <c r="F229" i="7" s="1"/>
  <c r="D228" i="7"/>
  <c r="D227" i="7"/>
  <c r="D226" i="7"/>
  <c r="D225" i="7"/>
  <c r="E219" i="7"/>
  <c r="D219" i="7"/>
  <c r="E216" i="7"/>
  <c r="F216" i="7" s="1"/>
  <c r="E215" i="7"/>
  <c r="F215" i="7" s="1"/>
  <c r="E213" i="7"/>
  <c r="D213" i="7"/>
  <c r="D212" i="7"/>
  <c r="D211" i="7"/>
  <c r="D210" i="7"/>
  <c r="D209" i="7"/>
  <c r="E200" i="7"/>
  <c r="D200" i="7"/>
  <c r="E199" i="7"/>
  <c r="F199" i="7" s="1"/>
  <c r="E197" i="7"/>
  <c r="F197" i="7" s="1"/>
  <c r="D196" i="7"/>
  <c r="D195" i="7"/>
  <c r="D194" i="7"/>
  <c r="E187" i="7"/>
  <c r="D187" i="7"/>
  <c r="D185" i="7"/>
  <c r="D177" i="7"/>
  <c r="D176" i="7"/>
  <c r="E170" i="7"/>
  <c r="D170" i="7"/>
  <c r="D169" i="7"/>
  <c r="F169" i="7" s="1"/>
  <c r="E166" i="7"/>
  <c r="F166" i="7" s="1"/>
  <c r="F165" i="7" s="1"/>
  <c r="D164" i="7"/>
  <c r="D163" i="7"/>
  <c r="D162" i="7"/>
  <c r="E146" i="7"/>
  <c r="D146" i="7"/>
  <c r="D143" i="7"/>
  <c r="D142" i="7"/>
  <c r="D141" i="7"/>
  <c r="E125" i="7"/>
  <c r="D125" i="7"/>
  <c r="D123" i="7"/>
  <c r="D122" i="7"/>
  <c r="D133" i="7"/>
  <c r="D132" i="7"/>
  <c r="E113" i="7"/>
  <c r="D113" i="7"/>
  <c r="D111" i="7"/>
  <c r="D110" i="7"/>
  <c r="E93" i="7"/>
  <c r="D93" i="7"/>
  <c r="E91" i="7"/>
  <c r="D91" i="7"/>
  <c r="D90" i="7"/>
  <c r="D89" i="7"/>
  <c r="F67" i="7"/>
  <c r="F66" i="7"/>
  <c r="E65" i="7"/>
  <c r="F65" i="7" s="1"/>
  <c r="E64" i="7"/>
  <c r="F64" i="7" s="1"/>
  <c r="D62" i="7"/>
  <c r="D61" i="7"/>
  <c r="D60" i="7"/>
  <c r="F54" i="7"/>
  <c r="F53" i="7" s="1"/>
  <c r="F52" i="7"/>
  <c r="F51" i="7" s="1"/>
  <c r="F30" i="7"/>
  <c r="F29" i="7"/>
  <c r="F28" i="7"/>
  <c r="F26" i="7"/>
  <c r="D25" i="7"/>
  <c r="D24" i="7"/>
  <c r="D16" i="7"/>
  <c r="D15" i="7"/>
  <c r="F9" i="7"/>
  <c r="F8" i="7" s="1"/>
  <c r="F7" i="7"/>
  <c r="F6" i="7" s="1"/>
  <c r="P22" i="4"/>
  <c r="P21" i="4"/>
  <c r="P20" i="4"/>
  <c r="P19" i="4"/>
  <c r="P18" i="4"/>
  <c r="P17" i="4"/>
  <c r="P16" i="4"/>
  <c r="P15" i="4"/>
  <c r="P14" i="4"/>
  <c r="P13" i="4"/>
  <c r="P12" i="4"/>
  <c r="P11" i="4"/>
  <c r="P10" i="4"/>
  <c r="P9" i="4"/>
  <c r="M9" i="4"/>
  <c r="M30" i="4" s="1"/>
  <c r="L9" i="4"/>
  <c r="L30" i="4" s="1"/>
  <c r="K9" i="4"/>
  <c r="K30" i="4" s="1"/>
  <c r="J9" i="4"/>
  <c r="J30" i="4" s="1"/>
  <c r="I9" i="4"/>
  <c r="E1011" i="7" l="1"/>
  <c r="F1011" i="7" s="1"/>
  <c r="E1247" i="7"/>
  <c r="F1247" i="7" s="1"/>
  <c r="E416" i="7"/>
  <c r="F416" i="7" s="1"/>
  <c r="E177" i="7"/>
  <c r="F177" i="7" s="1"/>
  <c r="E572" i="7"/>
  <c r="F572" i="7" s="1"/>
  <c r="E333" i="7"/>
  <c r="E1166" i="7"/>
  <c r="E1245" i="7"/>
  <c r="F1245" i="7" s="1"/>
  <c r="F1244" i="7" s="1"/>
  <c r="E1253" i="7" s="1"/>
  <c r="F1253" i="7" s="1"/>
  <c r="F1252" i="7" s="1"/>
  <c r="F1241" i="7" s="1"/>
  <c r="E1086" i="7"/>
  <c r="F1086" i="7" s="1"/>
  <c r="H109" i="12"/>
  <c r="F545" i="7"/>
  <c r="K33" i="4"/>
  <c r="K428" i="4" s="1"/>
  <c r="K32" i="4"/>
  <c r="E258" i="7"/>
  <c r="F258" i="7" s="1"/>
  <c r="E483" i="7"/>
  <c r="F483" i="7" s="1"/>
  <c r="E449" i="7"/>
  <c r="F449" i="7" s="1"/>
  <c r="E484" i="7"/>
  <c r="F484" i="7" s="1"/>
  <c r="E764" i="7"/>
  <c r="F764" i="7" s="1"/>
  <c r="E228" i="7"/>
  <c r="F228" i="7" s="1"/>
  <c r="E381" i="7"/>
  <c r="F381" i="7" s="1"/>
  <c r="E864" i="7"/>
  <c r="F864" i="7" s="1"/>
  <c r="E748" i="7"/>
  <c r="F748" i="7" s="1"/>
  <c r="E981" i="7"/>
  <c r="F981" i="7" s="1"/>
  <c r="E863" i="7"/>
  <c r="F863" i="7" s="1"/>
  <c r="E39" i="7"/>
  <c r="F39" i="7" s="1"/>
  <c r="E1010" i="7"/>
  <c r="F1010" i="7" s="1"/>
  <c r="E862" i="7"/>
  <c r="F862" i="7" s="1"/>
  <c r="E38" i="7"/>
  <c r="F38" i="7" s="1"/>
  <c r="E1009" i="7"/>
  <c r="F1009" i="7" s="1"/>
  <c r="E77" i="7"/>
  <c r="F77" i="7" s="1"/>
  <c r="E382" i="7"/>
  <c r="F382" i="7" s="1"/>
  <c r="E227" i="7"/>
  <c r="F227" i="7" s="1"/>
  <c r="E821" i="7"/>
  <c r="F821" i="7" s="1"/>
  <c r="E877" i="7"/>
  <c r="F877" i="7" s="1"/>
  <c r="E289" i="7"/>
  <c r="F289" i="7" s="1"/>
  <c r="E630" i="7"/>
  <c r="F630" i="7" s="1"/>
  <c r="E778" i="7"/>
  <c r="F778" i="7" s="1"/>
  <c r="E76" i="7"/>
  <c r="F76" i="7" s="1"/>
  <c r="E380" i="7"/>
  <c r="F380" i="7" s="1"/>
  <c r="E731" i="7"/>
  <c r="F731" i="7" s="1"/>
  <c r="E379" i="7"/>
  <c r="F379" i="7" s="1"/>
  <c r="E1118" i="7"/>
  <c r="F1118" i="7" s="1"/>
  <c r="E901" i="7"/>
  <c r="F901" i="7" s="1"/>
  <c r="E240" i="7"/>
  <c r="F240" i="7" s="1"/>
  <c r="E396" i="7"/>
  <c r="F396" i="7" s="1"/>
  <c r="E152" i="7"/>
  <c r="F152" i="7" s="1"/>
  <c r="E185" i="7"/>
  <c r="F185" i="7" s="1"/>
  <c r="F184" i="7" s="1"/>
  <c r="E1152" i="7"/>
  <c r="F1152" i="7" s="1"/>
  <c r="E399" i="7"/>
  <c r="F399" i="7" s="1"/>
  <c r="E822" i="7"/>
  <c r="F822" i="7" s="1"/>
  <c r="E450" i="7"/>
  <c r="F450" i="7" s="1"/>
  <c r="E734" i="7"/>
  <c r="F734" i="7" s="1"/>
  <c r="E467" i="7"/>
  <c r="F467" i="7" s="1"/>
  <c r="E164" i="7"/>
  <c r="F164" i="7" s="1"/>
  <c r="E687" i="7"/>
  <c r="F687" i="7" s="1"/>
  <c r="E122" i="7"/>
  <c r="F122" i="7" s="1"/>
  <c r="E746" i="7"/>
  <c r="F746" i="7" s="1"/>
  <c r="E24" i="7"/>
  <c r="F24" i="7" s="1"/>
  <c r="E287" i="7"/>
  <c r="F287" i="7" s="1"/>
  <c r="E317" i="7"/>
  <c r="F317" i="7" s="1"/>
  <c r="E761" i="7"/>
  <c r="F761" i="7" s="1"/>
  <c r="E15" i="7"/>
  <c r="F15" i="7" s="1"/>
  <c r="E132" i="7"/>
  <c r="F132" i="7" s="1"/>
  <c r="E686" i="7"/>
  <c r="F686" i="7" s="1"/>
  <c r="E953" i="7"/>
  <c r="F953" i="7" s="1"/>
  <c r="E834" i="7"/>
  <c r="F834" i="7" s="1"/>
  <c r="E89" i="7"/>
  <c r="F89" i="7" s="1"/>
  <c r="E430" i="7"/>
  <c r="F430" i="7" s="1"/>
  <c r="E272" i="7"/>
  <c r="F272" i="7" s="1"/>
  <c r="E348" i="7"/>
  <c r="F348" i="7" s="1"/>
  <c r="E716" i="7"/>
  <c r="F716" i="7" s="1"/>
  <c r="E614" i="7"/>
  <c r="F614" i="7" s="1"/>
  <c r="E1026" i="7"/>
  <c r="F1026" i="7" s="1"/>
  <c r="E301" i="7"/>
  <c r="F301" i="7" s="1"/>
  <c r="E966" i="7"/>
  <c r="F966" i="7" s="1"/>
  <c r="E162" i="7"/>
  <c r="F162" i="7" s="1"/>
  <c r="E141" i="7"/>
  <c r="F141" i="7" s="1"/>
  <c r="E225" i="7"/>
  <c r="F225" i="7" s="1"/>
  <c r="E541" i="7"/>
  <c r="F541" i="7" s="1"/>
  <c r="E1229" i="7"/>
  <c r="F1229" i="7" s="1"/>
  <c r="E75" i="7"/>
  <c r="F75" i="7" s="1"/>
  <c r="E194" i="7"/>
  <c r="F194" i="7" s="1"/>
  <c r="E413" i="7"/>
  <c r="F413" i="7" s="1"/>
  <c r="E628" i="7"/>
  <c r="F628" i="7" s="1"/>
  <c r="E806" i="7"/>
  <c r="F806" i="7" s="1"/>
  <c r="E875" i="7"/>
  <c r="F875" i="7" s="1"/>
  <c r="E1150" i="7"/>
  <c r="F1150" i="7" s="1"/>
  <c r="E556" i="7"/>
  <c r="F556" i="7" s="1"/>
  <c r="E807" i="7"/>
  <c r="F807" i="7" s="1"/>
  <c r="E347" i="7"/>
  <c r="F347" i="7" s="1"/>
  <c r="E1025" i="7"/>
  <c r="F1025" i="7" s="1"/>
  <c r="E331" i="7"/>
  <c r="F331" i="7" s="1"/>
  <c r="E256" i="7"/>
  <c r="F256" i="7" s="1"/>
  <c r="E464" i="7"/>
  <c r="F464" i="7" s="1"/>
  <c r="E927" i="7"/>
  <c r="F927" i="7" s="1"/>
  <c r="E613" i="7"/>
  <c r="F613" i="7" s="1"/>
  <c r="E940" i="7"/>
  <c r="F940" i="7" s="1"/>
  <c r="E110" i="7"/>
  <c r="F110" i="7" s="1"/>
  <c r="E60" i="7"/>
  <c r="F60" i="7" s="1"/>
  <c r="E176" i="7"/>
  <c r="F176" i="7" s="1"/>
  <c r="E209" i="7"/>
  <c r="F209" i="7" s="1"/>
  <c r="E646" i="7"/>
  <c r="F646" i="7" s="1"/>
  <c r="E587" i="7"/>
  <c r="F587" i="7" s="1"/>
  <c r="E660" i="7"/>
  <c r="F660" i="7" s="1"/>
  <c r="E101" i="7"/>
  <c r="F101" i="7" s="1"/>
  <c r="E674" i="7"/>
  <c r="F674" i="7" s="1"/>
  <c r="E602" i="7"/>
  <c r="F602" i="7" s="1"/>
  <c r="E90" i="7"/>
  <c r="F90" i="7" s="1"/>
  <c r="E111" i="7"/>
  <c r="F111" i="7" s="1"/>
  <c r="E243" i="7"/>
  <c r="F243" i="7" s="1"/>
  <c r="E259" i="7"/>
  <c r="F259" i="7" s="1"/>
  <c r="E304" i="7"/>
  <c r="F304" i="7" s="1"/>
  <c r="E334" i="7"/>
  <c r="F334" i="7" s="1"/>
  <c r="E719" i="7"/>
  <c r="F719" i="7" s="1"/>
  <c r="E749" i="7"/>
  <c r="F749" i="7" s="1"/>
  <c r="E809" i="7"/>
  <c r="F809" i="7" s="1"/>
  <c r="E837" i="7"/>
  <c r="F837" i="7" s="1"/>
  <c r="E1104" i="7"/>
  <c r="F1104" i="7" s="1"/>
  <c r="E643" i="7"/>
  <c r="F643" i="7" s="1"/>
  <c r="E584" i="7"/>
  <c r="F584" i="7" s="1"/>
  <c r="E671" i="7"/>
  <c r="F671" i="7" s="1"/>
  <c r="E100" i="7"/>
  <c r="F100" i="7" s="1"/>
  <c r="E657" i="7"/>
  <c r="F657" i="7" s="1"/>
  <c r="E599" i="7"/>
  <c r="F599" i="7" s="1"/>
  <c r="E153" i="7"/>
  <c r="F153" i="7" s="1"/>
  <c r="E350" i="7"/>
  <c r="F350" i="7" s="1"/>
  <c r="E689" i="7"/>
  <c r="F689" i="7" s="1"/>
  <c r="E559" i="7"/>
  <c r="F559" i="7" s="1"/>
  <c r="E433" i="7"/>
  <c r="F433" i="7" s="1"/>
  <c r="E16" i="7"/>
  <c r="F16" i="7" s="1"/>
  <c r="E143" i="7"/>
  <c r="F143" i="7" s="1"/>
  <c r="E362" i="7"/>
  <c r="F362" i="7" s="1"/>
  <c r="E365" i="7"/>
  <c r="F365" i="7" s="1"/>
  <c r="E849" i="7"/>
  <c r="F849" i="7" s="1"/>
  <c r="E701" i="7"/>
  <c r="F701" i="7" s="1"/>
  <c r="E704" i="7"/>
  <c r="F704" i="7" s="1"/>
  <c r="E570" i="7"/>
  <c r="F570" i="7" s="1"/>
  <c r="E616" i="7"/>
  <c r="F616" i="7" s="1"/>
  <c r="E914" i="7"/>
  <c r="F914" i="7" s="1"/>
  <c r="E631" i="7"/>
  <c r="F631" i="7" s="1"/>
  <c r="E776" i="7"/>
  <c r="F776" i="7" s="1"/>
  <c r="E496" i="7"/>
  <c r="F496" i="7" s="1"/>
  <c r="E511" i="7"/>
  <c r="F511" i="7" s="1"/>
  <c r="E979" i="7"/>
  <c r="F979" i="7" s="1"/>
  <c r="E1042" i="7"/>
  <c r="F1042" i="7" s="1"/>
  <c r="E993" i="7"/>
  <c r="F993" i="7" s="1"/>
  <c r="E1102" i="7"/>
  <c r="F1102" i="7" s="1"/>
  <c r="E1136" i="7"/>
  <c r="F1136" i="7" s="1"/>
  <c r="E644" i="7"/>
  <c r="F644" i="7" s="1"/>
  <c r="E585" i="7"/>
  <c r="F585" i="7" s="1"/>
  <c r="E658" i="7"/>
  <c r="F658" i="7" s="1"/>
  <c r="E672" i="7"/>
  <c r="F672" i="7" s="1"/>
  <c r="E600" i="7"/>
  <c r="F600" i="7" s="1"/>
  <c r="E62" i="7"/>
  <c r="F62" i="7" s="1"/>
  <c r="E196" i="7"/>
  <c r="F196" i="7" s="1"/>
  <c r="E133" i="7"/>
  <c r="F133" i="7" s="1"/>
  <c r="E123" i="7"/>
  <c r="F123" i="7" s="1"/>
  <c r="E212" i="7"/>
  <c r="F212" i="7" s="1"/>
  <c r="E275" i="7"/>
  <c r="F275" i="7" s="1"/>
  <c r="E544" i="7"/>
  <c r="F544" i="7" s="1"/>
  <c r="E573" i="7"/>
  <c r="F573" i="7" s="1"/>
  <c r="E888" i="7"/>
  <c r="F888" i="7" s="1"/>
  <c r="E447" i="7"/>
  <c r="F447" i="7" s="1"/>
  <c r="E481" i="7"/>
  <c r="F481" i="7" s="1"/>
  <c r="E779" i="7"/>
  <c r="F779" i="7" s="1"/>
  <c r="E791" i="7"/>
  <c r="F791" i="7" s="1"/>
  <c r="E794" i="7"/>
  <c r="F794" i="7" s="1"/>
  <c r="E819" i="7"/>
  <c r="F819" i="7" s="1"/>
  <c r="E526" i="7"/>
  <c r="F526" i="7" s="1"/>
  <c r="E1057" i="7"/>
  <c r="F1057" i="7" s="1"/>
  <c r="E1070" i="7"/>
  <c r="F1070" i="7" s="1"/>
  <c r="E1134" i="7"/>
  <c r="F1134" i="7" s="1"/>
  <c r="E586" i="7"/>
  <c r="F586" i="7" s="1"/>
  <c r="E659" i="7"/>
  <c r="F659" i="7" s="1"/>
  <c r="E673" i="7"/>
  <c r="F673" i="7" s="1"/>
  <c r="E601" i="7"/>
  <c r="F601" i="7" s="1"/>
  <c r="F3" i="7"/>
  <c r="D44" i="12"/>
  <c r="F1199" i="7"/>
  <c r="F200" i="7"/>
  <c r="F198" i="7" s="1"/>
  <c r="H30" i="12" s="1"/>
  <c r="F113" i="7"/>
  <c r="F112" i="7" s="1"/>
  <c r="F637" i="7"/>
  <c r="F490" i="7"/>
  <c r="F474" i="7"/>
  <c r="F1059" i="7"/>
  <c r="F1184" i="7"/>
  <c r="F1198" i="7"/>
  <c r="F1216" i="7"/>
  <c r="F373" i="7"/>
  <c r="F1079" i="7"/>
  <c r="F475" i="7"/>
  <c r="F341" i="7"/>
  <c r="F1234" i="7"/>
  <c r="G15" i="9"/>
  <c r="G21" i="9" s="1"/>
  <c r="F291" i="7"/>
  <c r="F305" i="7"/>
  <c r="H36" i="12" s="1"/>
  <c r="F706" i="7"/>
  <c r="F457" i="7"/>
  <c r="F1090" i="7"/>
  <c r="F617" i="7"/>
  <c r="F996" i="7"/>
  <c r="F1138" i="7"/>
  <c r="E498" i="7"/>
  <c r="F498" i="7" s="1"/>
  <c r="E645" i="7"/>
  <c r="F645" i="7" s="1"/>
  <c r="F424" i="7"/>
  <c r="F434" i="7"/>
  <c r="F781" i="7"/>
  <c r="F796" i="7"/>
  <c r="F1170" i="7"/>
  <c r="F550" i="7"/>
  <c r="F353" i="7"/>
  <c r="F352" i="7" s="1"/>
  <c r="F1073" i="7"/>
  <c r="F1096" i="7"/>
  <c r="F564" i="7"/>
  <c r="F1003" i="7"/>
  <c r="F1154" i="7"/>
  <c r="F691" i="7"/>
  <c r="F91" i="7"/>
  <c r="F250" i="7"/>
  <c r="F1112" i="7"/>
  <c r="F333" i="7"/>
  <c r="F187" i="7"/>
  <c r="F372" i="7"/>
  <c r="F441" i="7"/>
  <c r="F751" i="7"/>
  <c r="F520" i="7"/>
  <c r="F1036" i="7"/>
  <c r="F1046" i="7"/>
  <c r="F1160" i="7"/>
  <c r="F1239" i="7"/>
  <c r="F458" i="7"/>
  <c r="F535" i="7"/>
  <c r="E1135" i="7"/>
  <c r="F1135" i="7" s="1"/>
  <c r="E980" i="7"/>
  <c r="F980" i="7" s="1"/>
  <c r="E820" i="7"/>
  <c r="F820" i="7" s="1"/>
  <c r="E482" i="7"/>
  <c r="F482" i="7" s="1"/>
  <c r="E717" i="7"/>
  <c r="F717" i="7" s="1"/>
  <c r="E876" i="7"/>
  <c r="F876" i="7" s="1"/>
  <c r="E702" i="7"/>
  <c r="F702" i="7" s="1"/>
  <c r="E163" i="7"/>
  <c r="F163" i="7" s="1"/>
  <c r="E954" i="7"/>
  <c r="F954" i="7" s="1"/>
  <c r="E915" i="7"/>
  <c r="F915" i="7" s="1"/>
  <c r="E1071" i="7"/>
  <c r="F1071" i="7" s="1"/>
  <c r="E1058" i="7"/>
  <c r="F1058" i="7" s="1"/>
  <c r="E629" i="7"/>
  <c r="F629" i="7" s="1"/>
  <c r="E747" i="7"/>
  <c r="F747" i="7" s="1"/>
  <c r="E448" i="7"/>
  <c r="F448" i="7" s="1"/>
  <c r="E332" i="7"/>
  <c r="F332" i="7" s="1"/>
  <c r="E257" i="7"/>
  <c r="F257" i="7" s="1"/>
  <c r="E226" i="7"/>
  <c r="F226" i="7" s="1"/>
  <c r="E25" i="7"/>
  <c r="F25" i="7" s="1"/>
  <c r="E497" i="7"/>
  <c r="F497" i="7" s="1"/>
  <c r="E777" i="7"/>
  <c r="F777" i="7" s="1"/>
  <c r="E928" i="7"/>
  <c r="F928" i="7" s="1"/>
  <c r="E732" i="7"/>
  <c r="F732" i="7" s="1"/>
  <c r="E431" i="7"/>
  <c r="F431" i="7" s="1"/>
  <c r="E889" i="7"/>
  <c r="F889" i="7" s="1"/>
  <c r="E414" i="7"/>
  <c r="F414" i="7" s="1"/>
  <c r="E241" i="7"/>
  <c r="F241" i="7" s="1"/>
  <c r="E195" i="7"/>
  <c r="F195" i="7" s="1"/>
  <c r="E142" i="7"/>
  <c r="F142" i="7" s="1"/>
  <c r="E1087" i="7"/>
  <c r="F1087" i="7" s="1"/>
  <c r="E512" i="7"/>
  <c r="F512" i="7" s="1"/>
  <c r="E302" i="7"/>
  <c r="F302" i="7" s="1"/>
  <c r="E273" i="7"/>
  <c r="F273" i="7" s="1"/>
  <c r="E1151" i="7"/>
  <c r="F1151" i="7" s="1"/>
  <c r="E527" i="7"/>
  <c r="F527" i="7" s="1"/>
  <c r="E967" i="7"/>
  <c r="F967" i="7" s="1"/>
  <c r="E941" i="7"/>
  <c r="F941" i="7" s="1"/>
  <c r="E762" i="7"/>
  <c r="F762" i="7" s="1"/>
  <c r="E465" i="7"/>
  <c r="F465" i="7" s="1"/>
  <c r="E902" i="7"/>
  <c r="F902" i="7" s="1"/>
  <c r="E210" i="7"/>
  <c r="F210" i="7" s="1"/>
  <c r="E1230" i="7"/>
  <c r="F1230" i="7" s="1"/>
  <c r="E1167" i="7"/>
  <c r="F1167" i="7" s="1"/>
  <c r="E792" i="7"/>
  <c r="F792" i="7" s="1"/>
  <c r="E557" i="7"/>
  <c r="F557" i="7" s="1"/>
  <c r="E397" i="7"/>
  <c r="F397" i="7" s="1"/>
  <c r="E542" i="7"/>
  <c r="F542" i="7" s="1"/>
  <c r="E318" i="7"/>
  <c r="F318" i="7" s="1"/>
  <c r="E1119" i="7"/>
  <c r="F1119" i="7" s="1"/>
  <c r="E1103" i="7"/>
  <c r="F1103" i="7" s="1"/>
  <c r="E1043" i="7"/>
  <c r="F1043" i="7" s="1"/>
  <c r="E835" i="7"/>
  <c r="F835" i="7" s="1"/>
  <c r="F146" i="7"/>
  <c r="F335" i="7"/>
  <c r="H38" i="12" s="1"/>
  <c r="F891" i="7"/>
  <c r="F766" i="7"/>
  <c r="E994" i="7"/>
  <c r="F994" i="7" s="1"/>
  <c r="F1122" i="7"/>
  <c r="E850" i="7"/>
  <c r="F850" i="7" s="1"/>
  <c r="E571" i="7"/>
  <c r="F571" i="7" s="1"/>
  <c r="E61" i="7"/>
  <c r="F61" i="7" s="1"/>
  <c r="F230" i="7"/>
  <c r="E288" i="7"/>
  <c r="F288" i="7" s="1"/>
  <c r="F321" i="7"/>
  <c r="H39" i="12" s="1"/>
  <c r="E363" i="7"/>
  <c r="F363" i="7" s="1"/>
  <c r="F1166" i="7"/>
  <c r="F1192" i="7"/>
  <c r="F213" i="7"/>
  <c r="E364" i="7"/>
  <c r="F364" i="7" s="1"/>
  <c r="E851" i="7"/>
  <c r="F851" i="7" s="1"/>
  <c r="E703" i="7"/>
  <c r="F703" i="7" s="1"/>
  <c r="F878" i="7"/>
  <c r="E718" i="7"/>
  <c r="F718" i="7" s="1"/>
  <c r="E615" i="7"/>
  <c r="F615" i="7" s="1"/>
  <c r="F468" i="7"/>
  <c r="F930" i="7"/>
  <c r="E808" i="7"/>
  <c r="F808" i="7" s="1"/>
  <c r="F530" i="7"/>
  <c r="F836" i="7"/>
  <c r="F982" i="7"/>
  <c r="E1027" i="7"/>
  <c r="F1027" i="7" s="1"/>
  <c r="F1035" i="7"/>
  <c r="F1128" i="7"/>
  <c r="F244" i="7"/>
  <c r="F500" i="7"/>
  <c r="F214" i="7"/>
  <c r="H34" i="12" s="1"/>
  <c r="F281" i="7"/>
  <c r="E319" i="7"/>
  <c r="F319" i="7" s="1"/>
  <c r="E349" i="7"/>
  <c r="F349" i="7" s="1"/>
  <c r="E543" i="7"/>
  <c r="F543" i="7" s="1"/>
  <c r="E688" i="7"/>
  <c r="F688" i="7" s="1"/>
  <c r="E398" i="7"/>
  <c r="F398" i="7" s="1"/>
  <c r="E558" i="7"/>
  <c r="F558" i="7" s="1"/>
  <c r="E793" i="7"/>
  <c r="F793" i="7" s="1"/>
  <c r="E1044" i="7"/>
  <c r="F1044" i="7" s="1"/>
  <c r="F1060" i="7"/>
  <c r="F1176" i="7"/>
  <c r="E274" i="7"/>
  <c r="F274" i="7" s="1"/>
  <c r="F311" i="7"/>
  <c r="F320" i="7"/>
  <c r="F407" i="7"/>
  <c r="F417" i="7"/>
  <c r="E916" i="7"/>
  <c r="F916" i="7" s="1"/>
  <c r="F485" i="7"/>
  <c r="H103" i="12" s="1"/>
  <c r="E955" i="7"/>
  <c r="F955" i="7" s="1"/>
  <c r="E513" i="7"/>
  <c r="F513" i="7" s="1"/>
  <c r="F824" i="7"/>
  <c r="E1231" i="7"/>
  <c r="F1231" i="7" s="1"/>
  <c r="E211" i="7"/>
  <c r="F211" i="7" s="1"/>
  <c r="E303" i="7"/>
  <c r="F303" i="7" s="1"/>
  <c r="F366" i="7"/>
  <c r="E903" i="7"/>
  <c r="F903" i="7" s="1"/>
  <c r="E942" i="7"/>
  <c r="F942" i="7" s="1"/>
  <c r="F956" i="7"/>
  <c r="E968" i="7"/>
  <c r="F968" i="7" s="1"/>
  <c r="E528" i="7"/>
  <c r="F528" i="7" s="1"/>
  <c r="F1029" i="7"/>
  <c r="F1106" i="7"/>
  <c r="F27" i="7"/>
  <c r="H19" i="12" s="1"/>
  <c r="F125" i="7"/>
  <c r="F170" i="7"/>
  <c r="E242" i="7"/>
  <c r="F242" i="7" s="1"/>
  <c r="F578" i="7"/>
  <c r="E415" i="7"/>
  <c r="F415" i="7" s="1"/>
  <c r="F423" i="7"/>
  <c r="F721" i="7"/>
  <c r="E890" i="7"/>
  <c r="F890" i="7" s="1"/>
  <c r="E432" i="7"/>
  <c r="F432" i="7" s="1"/>
  <c r="F440" i="7"/>
  <c r="E733" i="7"/>
  <c r="F733" i="7" s="1"/>
  <c r="F736" i="7"/>
  <c r="F917" i="7"/>
  <c r="E466" i="7"/>
  <c r="F466" i="7" s="1"/>
  <c r="E763" i="7"/>
  <c r="F763" i="7" s="1"/>
  <c r="E929" i="7"/>
  <c r="F929" i="7" s="1"/>
  <c r="F515" i="7"/>
  <c r="F1182" i="7"/>
  <c r="F1186" i="7"/>
  <c r="F1214" i="7"/>
  <c r="F1183" i="7"/>
  <c r="F1218" i="7"/>
  <c r="F1200" i="7"/>
  <c r="F1202" i="7"/>
  <c r="F1208" i="7"/>
  <c r="F1215" i="7"/>
  <c r="I30" i="4"/>
  <c r="I33" i="4" s="1"/>
  <c r="D45" i="12"/>
  <c r="F63" i="7"/>
  <c r="F93" i="7"/>
  <c r="F48" i="7"/>
  <c r="F219" i="7"/>
  <c r="F276" i="7"/>
  <c r="F852" i="7"/>
  <c r="F400" i="7"/>
  <c r="F260" i="7"/>
  <c r="F622" i="7"/>
  <c r="F632" i="7"/>
  <c r="F943" i="7"/>
  <c r="F904" i="7"/>
  <c r="F406" i="7"/>
  <c r="F451" i="7"/>
  <c r="F720" i="7"/>
  <c r="F969" i="7"/>
  <c r="F505" i="7"/>
  <c r="E1028" i="7"/>
  <c r="F1028" i="7" s="1"/>
  <c r="E529" i="7"/>
  <c r="F529" i="7" s="1"/>
  <c r="E514" i="7"/>
  <c r="F514" i="7" s="1"/>
  <c r="E499" i="7"/>
  <c r="F499" i="7" s="1"/>
  <c r="E1232" i="7"/>
  <c r="F1232" i="7" s="1"/>
  <c r="E1168" i="7"/>
  <c r="F1168" i="7" s="1"/>
  <c r="E1120" i="7"/>
  <c r="F1120" i="7" s="1"/>
  <c r="E1088" i="7"/>
  <c r="F1088" i="7" s="1"/>
  <c r="E1072" i="7"/>
  <c r="F1072" i="7" s="1"/>
  <c r="E995" i="7"/>
  <c r="F995" i="7" s="1"/>
  <c r="E1045" i="7"/>
  <c r="F1045" i="7" s="1"/>
  <c r="G7" i="9"/>
  <c r="G20" i="9" s="1"/>
  <c r="G77" i="25" l="1"/>
  <c r="H77" i="25" s="1"/>
  <c r="G122" i="25"/>
  <c r="H122" i="25" s="1"/>
  <c r="G123" i="25"/>
  <c r="H123" i="25" s="1"/>
  <c r="G78" i="25"/>
  <c r="G80" i="25"/>
  <c r="H80" i="25" s="1"/>
  <c r="G125" i="25"/>
  <c r="H125" i="25" s="1"/>
  <c r="H108" i="12"/>
  <c r="H57" i="12"/>
  <c r="H104" i="12"/>
  <c r="H48" i="12"/>
  <c r="H99" i="12"/>
  <c r="H105" i="12"/>
  <c r="H114" i="12"/>
  <c r="H67" i="12"/>
  <c r="H63" i="12"/>
  <c r="H65" i="12"/>
  <c r="H75" i="12"/>
  <c r="H113" i="12"/>
  <c r="H62" i="12"/>
  <c r="H101" i="12"/>
  <c r="H56" i="12"/>
  <c r="H107" i="12"/>
  <c r="H76" i="12"/>
  <c r="H79" i="12"/>
  <c r="H61" i="12"/>
  <c r="H112" i="12"/>
  <c r="H81" i="12"/>
  <c r="H71" i="12"/>
  <c r="H70" i="12" s="1"/>
  <c r="H74" i="12"/>
  <c r="H49" i="12"/>
  <c r="H100" i="12"/>
  <c r="H80" i="12"/>
  <c r="H77" i="12"/>
  <c r="H52" i="12"/>
  <c r="F37" i="7"/>
  <c r="E46" i="7" s="1"/>
  <c r="F46" i="7" s="1"/>
  <c r="F45" i="7" s="1"/>
  <c r="F34" i="7" s="1"/>
  <c r="F861" i="7"/>
  <c r="E869" i="7" s="1"/>
  <c r="F869" i="7" s="1"/>
  <c r="F868" i="7" s="1"/>
  <c r="F858" i="7" s="1"/>
  <c r="F1008" i="7"/>
  <c r="E1018" i="7" s="1"/>
  <c r="F1018" i="7" s="1"/>
  <c r="F1017" i="7" s="1"/>
  <c r="F378" i="7"/>
  <c r="E388" i="7" s="1"/>
  <c r="F388" i="7" s="1"/>
  <c r="F387" i="7" s="1"/>
  <c r="F375" i="7" s="1"/>
  <c r="F74" i="7"/>
  <c r="E83" i="7" s="1"/>
  <c r="F83" i="7" s="1"/>
  <c r="F82" i="7" s="1"/>
  <c r="F71" i="7" s="1"/>
  <c r="F642" i="7"/>
  <c r="E650" i="7" s="1"/>
  <c r="F650" i="7" s="1"/>
  <c r="F649" i="7" s="1"/>
  <c r="F639" i="7" s="1"/>
  <c r="H66" i="12"/>
  <c r="F598" i="7"/>
  <c r="F583" i="7"/>
  <c r="F670" i="7"/>
  <c r="F656" i="7"/>
  <c r="F99" i="7"/>
  <c r="E104" i="7" s="1"/>
  <c r="F104" i="7" s="1"/>
  <c r="F103" i="7" s="1"/>
  <c r="F96" i="7" s="1"/>
  <c r="F23" i="7"/>
  <c r="F1197" i="7"/>
  <c r="E188" i="7"/>
  <c r="F188" i="7" s="1"/>
  <c r="F186" i="7" s="1"/>
  <c r="M221" i="4"/>
  <c r="M220" i="4"/>
  <c r="I220" i="4"/>
  <c r="I221" i="4"/>
  <c r="J220" i="4"/>
  <c r="J221" i="4"/>
  <c r="L221" i="4"/>
  <c r="M33" i="4"/>
  <c r="M32" i="4"/>
  <c r="J32" i="4"/>
  <c r="J33" i="4"/>
  <c r="L32" i="4"/>
  <c r="L33" i="4"/>
  <c r="F121" i="7"/>
  <c r="F14" i="7"/>
  <c r="H58" i="12"/>
  <c r="F627" i="7"/>
  <c r="F175" i="7"/>
  <c r="F286" i="7"/>
  <c r="F1056" i="7"/>
  <c r="E1064" i="7" s="1"/>
  <c r="F1064" i="7" s="1"/>
  <c r="F1063" i="7" s="1"/>
  <c r="F88" i="7"/>
  <c r="E94" i="7" s="1"/>
  <c r="F94" i="7" s="1"/>
  <c r="F92" i="7" s="1"/>
  <c r="F85" i="7" s="1"/>
  <c r="F151" i="7"/>
  <c r="F224" i="7"/>
  <c r="E234" i="7" s="1"/>
  <c r="F234" i="7" s="1"/>
  <c r="F233" i="7" s="1"/>
  <c r="F1069" i="7"/>
  <c r="F569" i="7"/>
  <c r="F510" i="7"/>
  <c r="F131" i="7"/>
  <c r="F913" i="7"/>
  <c r="F818" i="7"/>
  <c r="F1165" i="7"/>
  <c r="F992" i="7"/>
  <c r="F480" i="7"/>
  <c r="F330" i="7"/>
  <c r="F140" i="7"/>
  <c r="F161" i="7"/>
  <c r="F429" i="7"/>
  <c r="F255" i="7"/>
  <c r="E265" i="7" s="1"/>
  <c r="F265" i="7" s="1"/>
  <c r="F264" i="7" s="1"/>
  <c r="F252" i="7" s="1"/>
  <c r="F525" i="7"/>
  <c r="F978" i="7"/>
  <c r="F109" i="7"/>
  <c r="F1085" i="7"/>
  <c r="E1095" i="7" s="1"/>
  <c r="F1095" i="7" s="1"/>
  <c r="F1094" i="7" s="1"/>
  <c r="F1082" i="7" s="1"/>
  <c r="F59" i="7"/>
  <c r="F730" i="7"/>
  <c r="F463" i="7"/>
  <c r="E473" i="7" s="1"/>
  <c r="F473" i="7" s="1"/>
  <c r="F472" i="7" s="1"/>
  <c r="F460" i="7" s="1"/>
  <c r="F300" i="7"/>
  <c r="F540" i="7"/>
  <c r="F1041" i="7"/>
  <c r="E1051" i="7" s="1"/>
  <c r="F1051" i="7" s="1"/>
  <c r="F1050" i="7" s="1"/>
  <c r="F1038" i="7" s="1"/>
  <c r="F412" i="7"/>
  <c r="E422" i="7" s="1"/>
  <c r="F422" i="7" s="1"/>
  <c r="F421" i="7" s="1"/>
  <c r="F409" i="7" s="1"/>
  <c r="F316" i="7"/>
  <c r="F361" i="7"/>
  <c r="E371" i="7" s="1"/>
  <c r="F371" i="7" s="1"/>
  <c r="F370" i="7" s="1"/>
  <c r="F358" i="7" s="1"/>
  <c r="F900" i="7"/>
  <c r="F446" i="7"/>
  <c r="E456" i="7" s="1"/>
  <c r="F456" i="7" s="1"/>
  <c r="F455" i="7" s="1"/>
  <c r="F271" i="7"/>
  <c r="E280" i="7" s="1"/>
  <c r="F280" i="7" s="1"/>
  <c r="F279" i="7" s="1"/>
  <c r="F268" i="7" s="1"/>
  <c r="F805" i="7"/>
  <c r="F760" i="7"/>
  <c r="F745" i="7"/>
  <c r="F874" i="7"/>
  <c r="E882" i="7" s="1"/>
  <c r="F882" i="7" s="1"/>
  <c r="F881" i="7" s="1"/>
  <c r="F871" i="7" s="1"/>
  <c r="F833" i="7"/>
  <c r="F965" i="7"/>
  <c r="E973" i="7" s="1"/>
  <c r="F973" i="7" s="1"/>
  <c r="F972" i="7" s="1"/>
  <c r="F193" i="7"/>
  <c r="F700" i="7"/>
  <c r="E710" i="7" s="1"/>
  <c r="F710" i="7" s="1"/>
  <c r="F709" i="7" s="1"/>
  <c r="F697" i="7" s="1"/>
  <c r="F1149" i="7"/>
  <c r="H44" i="12"/>
  <c r="F1101" i="7"/>
  <c r="F952" i="7"/>
  <c r="F939" i="7"/>
  <c r="F848" i="7"/>
  <c r="F790" i="7"/>
  <c r="F239" i="7"/>
  <c r="F1228" i="7"/>
  <c r="F612" i="7"/>
  <c r="F926" i="7"/>
  <c r="F685" i="7"/>
  <c r="F1117" i="7"/>
  <c r="F1133" i="7"/>
  <c r="F775" i="7"/>
  <c r="F346" i="7"/>
  <c r="F887" i="7"/>
  <c r="E895" i="7" s="1"/>
  <c r="F895" i="7" s="1"/>
  <c r="F894" i="7" s="1"/>
  <c r="F884" i="7" s="1"/>
  <c r="F1024" i="7"/>
  <c r="F395" i="7"/>
  <c r="E405" i="7" s="1"/>
  <c r="F405" i="7" s="1"/>
  <c r="F404" i="7" s="1"/>
  <c r="F392" i="7" s="1"/>
  <c r="F555" i="7"/>
  <c r="E563" i="7" s="1"/>
  <c r="F563" i="7" s="1"/>
  <c r="F562" i="7" s="1"/>
  <c r="F552" i="7" s="1"/>
  <c r="F208" i="7"/>
  <c r="F1181" i="7"/>
  <c r="F1213" i="7"/>
  <c r="I32" i="4"/>
  <c r="F715" i="7"/>
  <c r="G22" i="9"/>
  <c r="F495" i="7"/>
  <c r="E78" i="25" l="1"/>
  <c r="I78" i="25" s="1"/>
  <c r="E123" i="25"/>
  <c r="H118" i="25"/>
  <c r="H96" i="25" s="1"/>
  <c r="H90" i="25" s="1"/>
  <c r="H82" i="25" s="1"/>
  <c r="E947" i="7"/>
  <c r="F947" i="7" s="1"/>
  <c r="F946" i="7" s="1"/>
  <c r="F936" i="7" s="1"/>
  <c r="E960" i="7"/>
  <c r="F960" i="7" s="1"/>
  <c r="F959" i="7" s="1"/>
  <c r="E828" i="7"/>
  <c r="F828" i="7" s="1"/>
  <c r="F827" i="7" s="1"/>
  <c r="F815" i="7" s="1"/>
  <c r="E785" i="7"/>
  <c r="F785" i="7" s="1"/>
  <c r="F784" i="7" s="1"/>
  <c r="E813" i="7"/>
  <c r="F813" i="7" s="1"/>
  <c r="F812" i="7" s="1"/>
  <c r="E843" i="7"/>
  <c r="F843" i="7" s="1"/>
  <c r="F842" i="7" s="1"/>
  <c r="F830" i="7" s="1"/>
  <c r="E986" i="7"/>
  <c r="F986" i="7" s="1"/>
  <c r="F985" i="7" s="1"/>
  <c r="F114" i="12" s="1"/>
  <c r="P180" i="4"/>
  <c r="I246" i="2" s="1"/>
  <c r="J244" i="2" s="1"/>
  <c r="E534" i="7"/>
  <c r="F534" i="7" s="1"/>
  <c r="F533" i="7" s="1"/>
  <c r="F522" i="7" s="1"/>
  <c r="E489" i="7"/>
  <c r="F489" i="7" s="1"/>
  <c r="F488" i="7" s="1"/>
  <c r="F477" i="7" s="1"/>
  <c r="E519" i="7"/>
  <c r="F519" i="7" s="1"/>
  <c r="F518" i="7" s="1"/>
  <c r="F507" i="7" s="1"/>
  <c r="I186" i="2"/>
  <c r="F1005" i="7"/>
  <c r="E32" i="7"/>
  <c r="F32" i="7" s="1"/>
  <c r="F31" i="7" s="1"/>
  <c r="F20" i="7" s="1"/>
  <c r="E1078" i="7"/>
  <c r="F1078" i="7" s="1"/>
  <c r="F1077" i="7" s="1"/>
  <c r="F1066" i="7" s="1"/>
  <c r="E1127" i="7"/>
  <c r="F1127" i="7" s="1"/>
  <c r="F1126" i="7" s="1"/>
  <c r="F1114" i="7" s="1"/>
  <c r="E856" i="7"/>
  <c r="F856" i="7" s="1"/>
  <c r="F855" i="7" s="1"/>
  <c r="F845" i="7" s="1"/>
  <c r="E934" i="7"/>
  <c r="F934" i="7" s="1"/>
  <c r="F933" i="7" s="1"/>
  <c r="F923" i="7" s="1"/>
  <c r="E755" i="7"/>
  <c r="F755" i="7" s="1"/>
  <c r="F754" i="7" s="1"/>
  <c r="F742" i="7" s="1"/>
  <c r="E921" i="7"/>
  <c r="F921" i="7" s="1"/>
  <c r="F920" i="7" s="1"/>
  <c r="E636" i="7"/>
  <c r="F636" i="7" s="1"/>
  <c r="F635" i="7" s="1"/>
  <c r="E770" i="7"/>
  <c r="F770" i="7" s="1"/>
  <c r="F769" i="7" s="1"/>
  <c r="F757" i="7" s="1"/>
  <c r="F26" i="12"/>
  <c r="E1238" i="7"/>
  <c r="F1238" i="7" s="1"/>
  <c r="F1237" i="7" s="1"/>
  <c r="E549" i="7"/>
  <c r="F549" i="7" s="1"/>
  <c r="F548" i="7" s="1"/>
  <c r="F537" i="7" s="1"/>
  <c r="E1002" i="7"/>
  <c r="F1002" i="7" s="1"/>
  <c r="F1001" i="7" s="1"/>
  <c r="F989" i="7" s="1"/>
  <c r="L428" i="4"/>
  <c r="J428" i="4"/>
  <c r="I428" i="4"/>
  <c r="M428" i="4"/>
  <c r="E679" i="7"/>
  <c r="F679" i="7" s="1"/>
  <c r="F678" i="7" s="1"/>
  <c r="F667" i="7" s="1"/>
  <c r="E592" i="7"/>
  <c r="F592" i="7" s="1"/>
  <c r="F591" i="7" s="1"/>
  <c r="E1144" i="7"/>
  <c r="F1144" i="7" s="1"/>
  <c r="F1143" i="7" s="1"/>
  <c r="F1130" i="7" s="1"/>
  <c r="E1175" i="7"/>
  <c r="F1175" i="7" s="1"/>
  <c r="F1174" i="7" s="1"/>
  <c r="F1162" i="7" s="1"/>
  <c r="E664" i="7"/>
  <c r="F664" i="7" s="1"/>
  <c r="F663" i="7" s="1"/>
  <c r="F653" i="7" s="1"/>
  <c r="E606" i="7"/>
  <c r="F606" i="7" s="1"/>
  <c r="F605" i="7" s="1"/>
  <c r="F595" i="7" s="1"/>
  <c r="E908" i="7"/>
  <c r="F908" i="7" s="1"/>
  <c r="F907" i="7" s="1"/>
  <c r="F897" i="7" s="1"/>
  <c r="E740" i="7"/>
  <c r="F740" i="7" s="1"/>
  <c r="F739" i="7" s="1"/>
  <c r="F727" i="7" s="1"/>
  <c r="E355" i="7"/>
  <c r="F355" i="7" s="1"/>
  <c r="F354" i="7" s="1"/>
  <c r="F343" i="7" s="1"/>
  <c r="E1159" i="7"/>
  <c r="F1159" i="7" s="1"/>
  <c r="F1158" i="7" s="1"/>
  <c r="F1146" i="7" s="1"/>
  <c r="E439" i="7"/>
  <c r="F439" i="7" s="1"/>
  <c r="F438" i="7" s="1"/>
  <c r="F426" i="7" s="1"/>
  <c r="E1207" i="7"/>
  <c r="F1207" i="7" s="1"/>
  <c r="F1206" i="7" s="1"/>
  <c r="F1194" i="7" s="1"/>
  <c r="H53" i="12"/>
  <c r="E310" i="7"/>
  <c r="F310" i="7" s="1"/>
  <c r="F309" i="7" s="1"/>
  <c r="E325" i="7"/>
  <c r="F325" i="7" s="1"/>
  <c r="F324" i="7" s="1"/>
  <c r="F313" i="7" s="1"/>
  <c r="E340" i="7"/>
  <c r="F340" i="7" s="1"/>
  <c r="F339" i="7" s="1"/>
  <c r="F327" i="7" s="1"/>
  <c r="E577" i="7"/>
  <c r="F577" i="7" s="1"/>
  <c r="F576" i="7" s="1"/>
  <c r="F566" i="7" s="1"/>
  <c r="E218" i="7"/>
  <c r="F218" i="7" s="1"/>
  <c r="F217" i="7" s="1"/>
  <c r="I34" i="12" s="1"/>
  <c r="J34" i="12" s="1"/>
  <c r="F28" i="12"/>
  <c r="E135" i="7"/>
  <c r="F135" i="7" s="1"/>
  <c r="F134" i="7" s="1"/>
  <c r="H26" i="12" s="1"/>
  <c r="E126" i="7"/>
  <c r="F126" i="7" s="1"/>
  <c r="F124" i="7" s="1"/>
  <c r="E168" i="7"/>
  <c r="F168" i="7" s="1"/>
  <c r="F167" i="7" s="1"/>
  <c r="F158" i="7" s="1"/>
  <c r="E295" i="7"/>
  <c r="F295" i="7" s="1"/>
  <c r="F294" i="7" s="1"/>
  <c r="F283" i="7" s="1"/>
  <c r="E145" i="7"/>
  <c r="F145" i="7" s="1"/>
  <c r="F144" i="7" s="1"/>
  <c r="E179" i="7"/>
  <c r="F179" i="7" s="1"/>
  <c r="F178" i="7" s="1"/>
  <c r="E155" i="7"/>
  <c r="F155" i="7" s="1"/>
  <c r="F154" i="7" s="1"/>
  <c r="F181" i="7"/>
  <c r="H29" i="12"/>
  <c r="E202" i="7"/>
  <c r="F202" i="7" s="1"/>
  <c r="F201" i="7" s="1"/>
  <c r="F190" i="7" s="1"/>
  <c r="F29" i="12"/>
  <c r="E115" i="7"/>
  <c r="F115" i="7" s="1"/>
  <c r="F114" i="7" s="1"/>
  <c r="F106" i="7" s="1"/>
  <c r="E18" i="7"/>
  <c r="F18" i="7" s="1"/>
  <c r="F17" i="7" s="1"/>
  <c r="E69" i="7"/>
  <c r="F69" i="7" s="1"/>
  <c r="F68" i="7" s="1"/>
  <c r="F56" i="7" s="1"/>
  <c r="F1053" i="7"/>
  <c r="F221" i="7"/>
  <c r="F443" i="7"/>
  <c r="F949" i="7"/>
  <c r="E1034" i="7"/>
  <c r="F1034" i="7" s="1"/>
  <c r="F1033" i="7" s="1"/>
  <c r="F1021" i="7" s="1"/>
  <c r="E800" i="7"/>
  <c r="F800" i="7" s="1"/>
  <c r="F799" i="7" s="1"/>
  <c r="F787" i="7" s="1"/>
  <c r="E695" i="7"/>
  <c r="F695" i="7" s="1"/>
  <c r="F694" i="7" s="1"/>
  <c r="E249" i="7"/>
  <c r="F249" i="7" s="1"/>
  <c r="F248" i="7" s="1"/>
  <c r="F236" i="7" s="1"/>
  <c r="E1111" i="7"/>
  <c r="F1111" i="7" s="1"/>
  <c r="F1110" i="7" s="1"/>
  <c r="E621" i="7"/>
  <c r="F621" i="7" s="1"/>
  <c r="F620" i="7" s="1"/>
  <c r="F609" i="7" s="1"/>
  <c r="F962" i="7"/>
  <c r="E1191" i="7"/>
  <c r="F1191" i="7" s="1"/>
  <c r="F1190" i="7" s="1"/>
  <c r="F1178" i="7" s="1"/>
  <c r="E1223" i="7"/>
  <c r="F1223" i="7" s="1"/>
  <c r="F1222" i="7" s="1"/>
  <c r="F1210" i="7" s="1"/>
  <c r="E725" i="7"/>
  <c r="F725" i="7" s="1"/>
  <c r="F724" i="7" s="1"/>
  <c r="F712" i="7" s="1"/>
  <c r="E504" i="7"/>
  <c r="F504" i="7" s="1"/>
  <c r="F503" i="7" s="1"/>
  <c r="F492" i="7" s="1"/>
  <c r="E77" i="25" l="1"/>
  <c r="E125" i="25"/>
  <c r="F123" i="25"/>
  <c r="I123" i="25"/>
  <c r="J123" i="25" s="1"/>
  <c r="E122" i="25"/>
  <c r="E80" i="25"/>
  <c r="F53" i="12"/>
  <c r="I52" i="12"/>
  <c r="J52" i="12" s="1"/>
  <c r="M244" i="2"/>
  <c r="J353" i="2"/>
  <c r="F81" i="12"/>
  <c r="I126" i="12"/>
  <c r="I76" i="12"/>
  <c r="J76" i="12" s="1"/>
  <c r="F71" i="12"/>
  <c r="F70" i="12" s="1"/>
  <c r="F975" i="7"/>
  <c r="F57" i="12"/>
  <c r="F118" i="7"/>
  <c r="F772" i="7"/>
  <c r="F74" i="12"/>
  <c r="I110" i="12"/>
  <c r="D110" i="12" s="1"/>
  <c r="I79" i="12"/>
  <c r="J79" i="12" s="1"/>
  <c r="F79" i="12"/>
  <c r="I104" i="12"/>
  <c r="J104" i="12" s="1"/>
  <c r="F104" i="12"/>
  <c r="F802" i="7"/>
  <c r="I114" i="12"/>
  <c r="J114" i="12" s="1"/>
  <c r="L114" i="12" s="1"/>
  <c r="I59" i="12"/>
  <c r="I119" i="12"/>
  <c r="I113" i="12"/>
  <c r="J113" i="12" s="1"/>
  <c r="F113" i="12"/>
  <c r="I54" i="12"/>
  <c r="J54" i="12" s="1"/>
  <c r="I125" i="12"/>
  <c r="I36" i="12"/>
  <c r="J36" i="12" s="1"/>
  <c r="L36" i="12" s="1"/>
  <c r="F36" i="12"/>
  <c r="N34" i="12"/>
  <c r="L34" i="12"/>
  <c r="I61" i="12"/>
  <c r="J61" i="12" s="1"/>
  <c r="I56" i="12"/>
  <c r="J56" i="12" s="1"/>
  <c r="D59" i="12"/>
  <c r="H59" i="12" s="1"/>
  <c r="F910" i="7"/>
  <c r="I12" i="12"/>
  <c r="J12" i="12" s="1"/>
  <c r="F12" i="12"/>
  <c r="H11" i="12"/>
  <c r="H9" i="12" s="1"/>
  <c r="F624" i="7"/>
  <c r="I44" i="12"/>
  <c r="J44" i="12" s="1"/>
  <c r="F1225" i="7"/>
  <c r="F297" i="7"/>
  <c r="I65" i="12"/>
  <c r="J65" i="12" s="1"/>
  <c r="F65" i="12"/>
  <c r="I48" i="12"/>
  <c r="J48" i="12" s="1"/>
  <c r="L48" i="12" s="1"/>
  <c r="F48" i="12"/>
  <c r="F580" i="7"/>
  <c r="I46" i="12"/>
  <c r="I45" i="12"/>
  <c r="J45" i="12" s="1"/>
  <c r="I39" i="12"/>
  <c r="J39" i="12" s="1"/>
  <c r="F34" i="12"/>
  <c r="F30" i="12"/>
  <c r="I29" i="12"/>
  <c r="J29" i="12" s="1"/>
  <c r="F148" i="7"/>
  <c r="F205" i="7"/>
  <c r="F172" i="7"/>
  <c r="F27" i="12"/>
  <c r="F128" i="7"/>
  <c r="F137" i="7"/>
  <c r="H27" i="12"/>
  <c r="J184" i="2"/>
  <c r="M184" i="2" s="1"/>
  <c r="F15" i="12"/>
  <c r="F11" i="7"/>
  <c r="H15" i="12"/>
  <c r="H14" i="12" s="1"/>
  <c r="H45" i="12"/>
  <c r="F11" i="12"/>
  <c r="H54" i="12"/>
  <c r="F1098" i="7"/>
  <c r="F682" i="7"/>
  <c r="F45" i="12"/>
  <c r="I125" i="25" l="1"/>
  <c r="J125" i="25" s="1"/>
  <c r="F125" i="25"/>
  <c r="F80" i="25"/>
  <c r="I80" i="25"/>
  <c r="J80" i="25" s="1"/>
  <c r="F122" i="25"/>
  <c r="F118" i="25" s="1"/>
  <c r="F96" i="25" s="1"/>
  <c r="F90" i="25" s="1"/>
  <c r="F82" i="25" s="1"/>
  <c r="I122" i="25"/>
  <c r="J122" i="25" s="1"/>
  <c r="I77" i="25"/>
  <c r="J77" i="25" s="1"/>
  <c r="J78" i="25" s="1"/>
  <c r="D78" i="25" s="1"/>
  <c r="F77" i="25"/>
  <c r="F52" i="12"/>
  <c r="I53" i="12"/>
  <c r="J53" i="12" s="1"/>
  <c r="N53" i="12" s="1"/>
  <c r="M353" i="2"/>
  <c r="I71" i="12"/>
  <c r="J71" i="12" s="1"/>
  <c r="F76" i="12"/>
  <c r="I62" i="12"/>
  <c r="J62" i="12" s="1"/>
  <c r="N62" i="12" s="1"/>
  <c r="I57" i="12"/>
  <c r="J57" i="12" s="1"/>
  <c r="L57" i="12" s="1"/>
  <c r="I81" i="12"/>
  <c r="J81" i="12" s="1"/>
  <c r="L81" i="12" s="1"/>
  <c r="N114" i="12"/>
  <c r="P114" i="12" s="1"/>
  <c r="I74" i="12"/>
  <c r="J74" i="12" s="1"/>
  <c r="F61" i="12"/>
  <c r="F107" i="12"/>
  <c r="I107" i="12"/>
  <c r="J107" i="12" s="1"/>
  <c r="I116" i="12"/>
  <c r="D116" i="12" s="1"/>
  <c r="H116" i="12" s="1"/>
  <c r="H115" i="12" s="1"/>
  <c r="I103" i="12"/>
  <c r="J103" i="12" s="1"/>
  <c r="F103" i="12"/>
  <c r="I108" i="12"/>
  <c r="J108" i="12" s="1"/>
  <c r="F108" i="12"/>
  <c r="L104" i="12"/>
  <c r="N104" i="12"/>
  <c r="I120" i="12"/>
  <c r="I124" i="12"/>
  <c r="N76" i="12"/>
  <c r="L76" i="12"/>
  <c r="N113" i="12"/>
  <c r="L113" i="12"/>
  <c r="I99" i="12"/>
  <c r="J99" i="12" s="1"/>
  <c r="F99" i="12"/>
  <c r="I78" i="12"/>
  <c r="I112" i="12"/>
  <c r="J112" i="12" s="1"/>
  <c r="F112" i="12"/>
  <c r="I100" i="12"/>
  <c r="J100" i="12" s="1"/>
  <c r="F100" i="12"/>
  <c r="I75" i="12"/>
  <c r="J75" i="12" s="1"/>
  <c r="F75" i="12"/>
  <c r="I121" i="12"/>
  <c r="F54" i="12"/>
  <c r="I101" i="12"/>
  <c r="J101" i="12" s="1"/>
  <c r="F101" i="12"/>
  <c r="I109" i="12"/>
  <c r="J109" i="12" s="1"/>
  <c r="F109" i="12"/>
  <c r="I105" i="12"/>
  <c r="J105" i="12" s="1"/>
  <c r="F105" i="12"/>
  <c r="N79" i="12"/>
  <c r="L79" i="12"/>
  <c r="I58" i="12"/>
  <c r="J58" i="12" s="1"/>
  <c r="F58" i="12"/>
  <c r="I122" i="12"/>
  <c r="I123" i="12"/>
  <c r="I77" i="12"/>
  <c r="J77" i="12" s="1"/>
  <c r="F77" i="12"/>
  <c r="F80" i="12"/>
  <c r="I80" i="12"/>
  <c r="J80" i="12" s="1"/>
  <c r="F56" i="12"/>
  <c r="F38" i="12"/>
  <c r="I38" i="12"/>
  <c r="J38" i="12" s="1"/>
  <c r="J41" i="12" s="1"/>
  <c r="I41" i="12"/>
  <c r="P34" i="12"/>
  <c r="R34" i="12" s="1"/>
  <c r="F59" i="12"/>
  <c r="J59" i="12"/>
  <c r="N59" i="12" s="1"/>
  <c r="H8" i="12"/>
  <c r="F9" i="12"/>
  <c r="F19" i="12"/>
  <c r="F14" i="12" s="1"/>
  <c r="N12" i="12"/>
  <c r="L12" i="12"/>
  <c r="I49" i="12"/>
  <c r="J49" i="12" s="1"/>
  <c r="L49" i="12" s="1"/>
  <c r="N36" i="12"/>
  <c r="P36" i="12" s="1"/>
  <c r="R36" i="12" s="1"/>
  <c r="N29" i="12"/>
  <c r="L29" i="12"/>
  <c r="N39" i="12"/>
  <c r="L39" i="12"/>
  <c r="F49" i="12"/>
  <c r="N56" i="12"/>
  <c r="L56" i="12"/>
  <c r="N65" i="12"/>
  <c r="L65" i="12"/>
  <c r="N48" i="12"/>
  <c r="N52" i="12"/>
  <c r="L52" i="12"/>
  <c r="L54" i="12"/>
  <c r="N54" i="12"/>
  <c r="N44" i="12"/>
  <c r="L44" i="12"/>
  <c r="N61" i="12"/>
  <c r="L61" i="12"/>
  <c r="L45" i="12"/>
  <c r="N45" i="12"/>
  <c r="F62" i="12"/>
  <c r="I50" i="12"/>
  <c r="I67" i="12"/>
  <c r="J67" i="12" s="1"/>
  <c r="F67" i="12"/>
  <c r="I66" i="12"/>
  <c r="J66" i="12" s="1"/>
  <c r="F66" i="12"/>
  <c r="F44" i="12"/>
  <c r="F39" i="12"/>
  <c r="I63" i="12"/>
  <c r="J63" i="12" s="1"/>
  <c r="F63" i="12"/>
  <c r="I30" i="12"/>
  <c r="J30" i="12" s="1"/>
  <c r="I27" i="12"/>
  <c r="J27" i="12" s="1"/>
  <c r="H28" i="12"/>
  <c r="H25" i="12" s="1"/>
  <c r="I28" i="12"/>
  <c r="J28" i="12" s="1"/>
  <c r="D46" i="12"/>
  <c r="J46" i="12" s="1"/>
  <c r="J15" i="12"/>
  <c r="J19" i="12" s="1"/>
  <c r="I19" i="12" s="1"/>
  <c r="I11" i="12"/>
  <c r="J11" i="12" s="1"/>
  <c r="H78" i="25" l="1"/>
  <c r="H73" i="25" s="1"/>
  <c r="H31" i="25" s="1"/>
  <c r="H183" i="25" s="1"/>
  <c r="F78" i="25"/>
  <c r="F73" i="25" s="1"/>
  <c r="F31" i="25" s="1"/>
  <c r="F183" i="25" s="1"/>
  <c r="F116" i="12"/>
  <c r="F115" i="12" s="1"/>
  <c r="N19" i="12"/>
  <c r="J78" i="12"/>
  <c r="D78" i="12" s="1"/>
  <c r="H78" i="12" s="1"/>
  <c r="H73" i="12" s="1"/>
  <c r="D41" i="12"/>
  <c r="H41" i="12" s="1"/>
  <c r="H32" i="12" s="1"/>
  <c r="L71" i="12"/>
  <c r="J72" i="12"/>
  <c r="F41" i="12"/>
  <c r="F32" i="12" s="1"/>
  <c r="J26" i="12"/>
  <c r="L19" i="12"/>
  <c r="P19" i="12" s="1"/>
  <c r="R19" i="12" s="1"/>
  <c r="L53" i="12"/>
  <c r="P53" i="12" s="1"/>
  <c r="R53" i="12" s="1"/>
  <c r="B13" i="6"/>
  <c r="N71" i="12"/>
  <c r="P71" i="12" s="1"/>
  <c r="R71" i="12" s="1"/>
  <c r="N57" i="12"/>
  <c r="P57" i="12" s="1"/>
  <c r="R57" i="12" s="1"/>
  <c r="L62" i="12"/>
  <c r="P62" i="12" s="1"/>
  <c r="R62" i="12" s="1"/>
  <c r="B27" i="6"/>
  <c r="E27" i="6" s="1"/>
  <c r="F27" i="6" s="1"/>
  <c r="N74" i="12"/>
  <c r="N81" i="12"/>
  <c r="P81" i="12" s="1"/>
  <c r="R81" i="12" s="1"/>
  <c r="P104" i="12"/>
  <c r="R104" i="12" s="1"/>
  <c r="L74" i="12"/>
  <c r="P79" i="12"/>
  <c r="R79" i="12" s="1"/>
  <c r="N103" i="12"/>
  <c r="L103" i="12"/>
  <c r="L105" i="12"/>
  <c r="N105" i="12"/>
  <c r="P76" i="12"/>
  <c r="R76" i="12" s="1"/>
  <c r="N99" i="12"/>
  <c r="L99" i="12"/>
  <c r="L116" i="12"/>
  <c r="N116" i="12"/>
  <c r="N75" i="12"/>
  <c r="L75" i="12"/>
  <c r="N100" i="12"/>
  <c r="L100" i="12"/>
  <c r="L112" i="12"/>
  <c r="N112" i="12"/>
  <c r="L58" i="12"/>
  <c r="N58" i="12"/>
  <c r="N107" i="12"/>
  <c r="L107" i="12"/>
  <c r="P113" i="12"/>
  <c r="R113" i="12" s="1"/>
  <c r="L109" i="12"/>
  <c r="N109" i="12"/>
  <c r="N101" i="12"/>
  <c r="L101" i="12"/>
  <c r="N108" i="12"/>
  <c r="L108" i="12"/>
  <c r="R114" i="12"/>
  <c r="N80" i="12"/>
  <c r="L80" i="12"/>
  <c r="L77" i="12"/>
  <c r="N77" i="12"/>
  <c r="P39" i="12"/>
  <c r="R39" i="12" s="1"/>
  <c r="L59" i="12"/>
  <c r="P59" i="12" s="1"/>
  <c r="R59" i="12" s="1"/>
  <c r="F8" i="12"/>
  <c r="P12" i="12"/>
  <c r="R12" i="12" s="1"/>
  <c r="N49" i="12"/>
  <c r="P49" i="12" s="1"/>
  <c r="R49" i="12" s="1"/>
  <c r="P45" i="12"/>
  <c r="R45" i="12" s="1"/>
  <c r="F25" i="12"/>
  <c r="N27" i="12"/>
  <c r="L27" i="12"/>
  <c r="P29" i="12"/>
  <c r="R29" i="12" s="1"/>
  <c r="N11" i="12"/>
  <c r="N9" i="12" s="1"/>
  <c r="L11" i="12"/>
  <c r="L9" i="12" s="1"/>
  <c r="L30" i="12"/>
  <c r="N30" i="12"/>
  <c r="N15" i="12"/>
  <c r="L15" i="12"/>
  <c r="N38" i="12"/>
  <c r="L38" i="12"/>
  <c r="N41" i="12"/>
  <c r="L41" i="12"/>
  <c r="N28" i="12"/>
  <c r="L28" i="12"/>
  <c r="P54" i="12"/>
  <c r="R54" i="12" s="1"/>
  <c r="P56" i="12"/>
  <c r="R56" i="12" s="1"/>
  <c r="P52" i="12"/>
  <c r="R52" i="12" s="1"/>
  <c r="N46" i="12"/>
  <c r="L46" i="12"/>
  <c r="L63" i="12"/>
  <c r="N63" i="12"/>
  <c r="N66" i="12"/>
  <c r="L66" i="12"/>
  <c r="P61" i="12"/>
  <c r="R61" i="12" s="1"/>
  <c r="P48" i="12"/>
  <c r="R48" i="12" s="1"/>
  <c r="P65" i="12"/>
  <c r="R65" i="12" s="1"/>
  <c r="P44" i="12"/>
  <c r="N67" i="12"/>
  <c r="L67" i="12"/>
  <c r="D50" i="12"/>
  <c r="H46" i="12"/>
  <c r="F46" i="12"/>
  <c r="N14" i="12" l="1"/>
  <c r="N8" i="12" s="1"/>
  <c r="F78" i="12"/>
  <c r="F73" i="12" s="1"/>
  <c r="L78" i="12"/>
  <c r="N78" i="12"/>
  <c r="P78" i="12" s="1"/>
  <c r="R78" i="12" s="1"/>
  <c r="L14" i="12"/>
  <c r="L8" i="12" s="1"/>
  <c r="I72" i="12"/>
  <c r="N72" i="12"/>
  <c r="L72" i="12"/>
  <c r="I26" i="12"/>
  <c r="N26" i="12"/>
  <c r="N25" i="12" s="1"/>
  <c r="L26" i="12"/>
  <c r="L25" i="12" s="1"/>
  <c r="B18" i="6"/>
  <c r="B16" i="6"/>
  <c r="B14" i="6"/>
  <c r="E14" i="6" s="1"/>
  <c r="F14" i="6" s="1"/>
  <c r="B20" i="6"/>
  <c r="E20" i="6" s="1"/>
  <c r="F20" i="6" s="1"/>
  <c r="B21" i="6"/>
  <c r="P58" i="12"/>
  <c r="R58" i="12" s="1"/>
  <c r="P105" i="12"/>
  <c r="R105" i="12" s="1"/>
  <c r="N96" i="12"/>
  <c r="P109" i="12"/>
  <c r="R109" i="12" s="1"/>
  <c r="B25" i="6"/>
  <c r="P103" i="12"/>
  <c r="R103" i="12" s="1"/>
  <c r="P116" i="12"/>
  <c r="R116" i="12" s="1"/>
  <c r="P74" i="12"/>
  <c r="R74" i="12" s="1"/>
  <c r="P75" i="12"/>
  <c r="R75" i="12" s="1"/>
  <c r="P112" i="12"/>
  <c r="R112" i="12" s="1"/>
  <c r="P107" i="12"/>
  <c r="R107" i="12" s="1"/>
  <c r="P108" i="12"/>
  <c r="R108" i="12" s="1"/>
  <c r="P101" i="12"/>
  <c r="R101" i="12" s="1"/>
  <c r="P99" i="12"/>
  <c r="R99" i="12" s="1"/>
  <c r="P100" i="12"/>
  <c r="R100" i="12" s="1"/>
  <c r="P80" i="12"/>
  <c r="R80" i="12" s="1"/>
  <c r="P77" i="12"/>
  <c r="L31" i="12"/>
  <c r="N31" i="12"/>
  <c r="P38" i="12"/>
  <c r="R38" i="12" s="1"/>
  <c r="J8" i="12"/>
  <c r="J183" i="12" s="1"/>
  <c r="R44" i="12"/>
  <c r="P46" i="12"/>
  <c r="R46" i="12" s="1"/>
  <c r="P15" i="12"/>
  <c r="P14" i="12" s="1"/>
  <c r="P30" i="12"/>
  <c r="R30" i="12" s="1"/>
  <c r="P63" i="12"/>
  <c r="R63" i="12" s="1"/>
  <c r="P28" i="12"/>
  <c r="R28" i="12" s="1"/>
  <c r="P11" i="12"/>
  <c r="P9" i="12" s="1"/>
  <c r="P41" i="12"/>
  <c r="R41" i="12" s="1"/>
  <c r="P27" i="12"/>
  <c r="R27" i="12" s="1"/>
  <c r="P66" i="12"/>
  <c r="R66" i="12" s="1"/>
  <c r="P67" i="12"/>
  <c r="R67" i="12" s="1"/>
  <c r="F50" i="12"/>
  <c r="H50" i="12"/>
  <c r="J50" i="12"/>
  <c r="E15" i="6"/>
  <c r="F15" i="6" s="1"/>
  <c r="N183" i="12" l="1"/>
  <c r="L183" i="12"/>
  <c r="P72" i="12"/>
  <c r="R72" i="12" s="1"/>
  <c r="L50" i="12"/>
  <c r="P26" i="12"/>
  <c r="R26" i="12" s="1"/>
  <c r="R25" i="12" s="1"/>
  <c r="P96" i="12"/>
  <c r="E25" i="6"/>
  <c r="F25" i="6" s="1"/>
  <c r="R77" i="12"/>
  <c r="F42" i="12"/>
  <c r="F31" i="12" s="1"/>
  <c r="H42" i="12"/>
  <c r="H31" i="12" s="1"/>
  <c r="P8" i="12"/>
  <c r="P31" i="12"/>
  <c r="R15" i="12"/>
  <c r="R14" i="12" s="1"/>
  <c r="R11" i="12"/>
  <c r="R9" i="12" s="1"/>
  <c r="N50" i="12"/>
  <c r="E21" i="6"/>
  <c r="F21" i="6" s="1"/>
  <c r="B12" i="6"/>
  <c r="E13" i="6"/>
  <c r="F13" i="6" s="1"/>
  <c r="R96" i="12" l="1"/>
  <c r="P25" i="12"/>
  <c r="P183" i="12" s="1"/>
  <c r="B19" i="6"/>
  <c r="N42" i="12"/>
  <c r="R8" i="12"/>
  <c r="C13" i="6"/>
  <c r="C14" i="6"/>
  <c r="P50" i="12"/>
  <c r="R50" i="12" s="1"/>
  <c r="E12" i="6"/>
  <c r="F12" i="6" s="1"/>
  <c r="C15" i="6"/>
  <c r="B17" i="6" l="1"/>
  <c r="E19" i="6"/>
  <c r="F19" i="6" s="1"/>
  <c r="P42" i="12"/>
  <c r="E18" i="6"/>
  <c r="F18" i="6" s="1"/>
  <c r="B31" i="6" l="1"/>
  <c r="R42" i="12"/>
  <c r="E16" i="6"/>
  <c r="F16" i="6" s="1"/>
  <c r="R31" i="12"/>
  <c r="R183" i="12" s="1"/>
  <c r="E17" i="6" l="1"/>
  <c r="F17" i="6" s="1"/>
  <c r="N70" i="12" l="1"/>
  <c r="N184" i="12" s="1"/>
  <c r="R70" i="12"/>
  <c r="R184" i="12" s="1"/>
  <c r="P70" i="12"/>
  <c r="P184" i="12" l="1"/>
  <c r="P186" i="12" s="1"/>
  <c r="P187" i="12" s="1"/>
  <c r="R186" i="12"/>
  <c r="R187" i="12" s="1"/>
  <c r="L184" i="12"/>
  <c r="L186" i="12" s="1"/>
  <c r="L187" i="12" s="1"/>
  <c r="N186" i="12"/>
  <c r="P188" i="12" l="1"/>
  <c r="P190" i="12" s="1"/>
  <c r="N187" i="12"/>
  <c r="N188" i="12" s="1"/>
  <c r="N190" i="12" s="1"/>
  <c r="B26" i="6"/>
  <c r="E26" i="6" s="1"/>
  <c r="F26" i="6" s="1"/>
  <c r="B24" i="6" l="1"/>
  <c r="B30" i="6" l="1"/>
  <c r="E24" i="6"/>
  <c r="F24" i="6" s="1"/>
  <c r="B32" i="6" l="1"/>
  <c r="B10" i="6" s="1"/>
  <c r="C12" i="6" l="1"/>
  <c r="G2" i="9"/>
  <c r="H21" i="9" l="1"/>
  <c r="I2" i="9"/>
  <c r="G23" i="9"/>
  <c r="G25" i="9" s="1"/>
  <c r="H25" i="9" s="1"/>
  <c r="H20" i="9"/>
  <c r="H22" i="9"/>
  <c r="I4" i="9" l="1"/>
  <c r="E30" i="22"/>
  <c r="E31" i="22" s="1"/>
  <c r="E32" i="22" s="1"/>
  <c r="E34" i="22" l="1"/>
  <c r="E59" i="22" s="1"/>
  <c r="F110" i="12" l="1"/>
  <c r="F97" i="12" s="1"/>
  <c r="H110" i="12"/>
  <c r="H97" i="12" s="1"/>
  <c r="N110" i="12"/>
  <c r="N97" i="12" l="1"/>
  <c r="L110" i="12"/>
  <c r="P110" i="12" l="1"/>
  <c r="P97" i="12" l="1"/>
  <c r="R97" i="12" s="1"/>
  <c r="R110" i="12"/>
  <c r="J123" i="12"/>
  <c r="N123" i="12" s="1"/>
  <c r="L123" i="12"/>
  <c r="F119" i="12"/>
  <c r="H119" i="12"/>
  <c r="J121" i="12"/>
  <c r="N121" i="12" s="1"/>
  <c r="J122" i="12"/>
  <c r="N122" i="12" s="1"/>
  <c r="J120" i="12"/>
  <c r="J124" i="12"/>
  <c r="L124" i="12"/>
  <c r="J126" i="12"/>
  <c r="N126" i="12" s="1"/>
  <c r="L126" i="12"/>
  <c r="J125" i="12"/>
  <c r="N125" i="12" s="1"/>
  <c r="F126" i="12"/>
  <c r="H126" i="12"/>
  <c r="F121" i="12"/>
  <c r="H121" i="12"/>
  <c r="F125" i="12"/>
  <c r="H125" i="12"/>
  <c r="F124" i="12"/>
  <c r="H124" i="12"/>
  <c r="F123" i="12"/>
  <c r="H123" i="12"/>
  <c r="F122" i="12"/>
  <c r="H122" i="12"/>
  <c r="F120" i="12"/>
  <c r="H120" i="12"/>
  <c r="J119" i="12"/>
  <c r="L119" i="12" s="1"/>
  <c r="L122" i="12" l="1"/>
  <c r="P126" i="12"/>
  <c r="R126" i="12" s="1"/>
  <c r="L121" i="12"/>
  <c r="L125" i="12"/>
  <c r="F118" i="12"/>
  <c r="F96" i="12" s="1"/>
  <c r="P121" i="12"/>
  <c r="R121" i="12" s="1"/>
  <c r="P123" i="12"/>
  <c r="R123" i="12" s="1"/>
  <c r="P122" i="12"/>
  <c r="R122" i="12" s="1"/>
  <c r="P125" i="12"/>
  <c r="R125" i="12" s="1"/>
  <c r="N120" i="12"/>
  <c r="H118" i="12"/>
  <c r="H96" i="12" s="1"/>
  <c r="H90" i="12" s="1"/>
  <c r="H82" i="12" s="1"/>
  <c r="N119" i="12"/>
  <c r="P119" i="12" s="1"/>
  <c r="R119" i="12" s="1"/>
  <c r="L120" i="12"/>
  <c r="F183" i="12"/>
  <c r="F90" i="12"/>
  <c r="F82" i="12" s="1"/>
  <c r="H183" i="12"/>
  <c r="N124" i="12"/>
  <c r="P124" i="12" s="1"/>
  <c r="R124" i="12" s="1"/>
  <c r="H134" i="12" l="1"/>
  <c r="H127" i="12" s="1"/>
  <c r="F134" i="12"/>
  <c r="F127" i="12" s="1"/>
  <c r="P120" i="12"/>
  <c r="R120" i="12" s="1"/>
</calcChain>
</file>

<file path=xl/sharedStrings.xml><?xml version="1.0" encoding="utf-8"?>
<sst xmlns="http://schemas.openxmlformats.org/spreadsheetml/2006/main" count="7077" uniqueCount="1157">
  <si>
    <t>PARTIDA</t>
  </si>
  <si>
    <t>DESCRIPCION</t>
  </si>
  <si>
    <t>UND</t>
  </si>
  <si>
    <t>METRADO</t>
  </si>
  <si>
    <t>PRECIO UNITARIO</t>
  </si>
  <si>
    <t>OBRAS PRELIMINARES</t>
  </si>
  <si>
    <t>CISTERNA - ENCOFRADO Y DESENCOFRADO</t>
  </si>
  <si>
    <t>CISTERNA - ACERO fy=4200kg/cm2</t>
  </si>
  <si>
    <t>KG</t>
  </si>
  <si>
    <t>COLUMNAS - CONCRETO PREMEZCLADO f'c=210kg/cm2</t>
  </si>
  <si>
    <t>COLUMNAS - ENCOFRADO Y DESENCOFRADO</t>
  </si>
  <si>
    <t>COLUMNAS - ACERO fy=4200kg/cm2</t>
  </si>
  <si>
    <t>VIGAS</t>
  </si>
  <si>
    <t>VIGAS - ENCOFRADO Y DESENCOFRADO</t>
  </si>
  <si>
    <t>LOSA ALIGERADA</t>
  </si>
  <si>
    <t>LOSA ALIGERADA - ENCOFRADO Y DESENCOFRADO</t>
  </si>
  <si>
    <t>LOSA ALIGERADA - ACERO fy=4200kg/cm2</t>
  </si>
  <si>
    <t>LOSA MACIZA</t>
  </si>
  <si>
    <t>LOSA MACIZA - ENCOFRADO Y DESENCOFRADO</t>
  </si>
  <si>
    <t>LOSA MACIZA - ACERO fy=4200kg/cm2</t>
  </si>
  <si>
    <t>ESCALERA</t>
  </si>
  <si>
    <t>ESCALERA - ENCOFRADO Y DESENCOFRADO</t>
  </si>
  <si>
    <t>ESCALERA - ACERO fy=4200kg/cm2</t>
  </si>
  <si>
    <t>GLB</t>
  </si>
  <si>
    <t>INSTALACIONES SANITARIAS</t>
  </si>
  <si>
    <t>PRESUPUESTO TOTAL</t>
  </si>
  <si>
    <t>GASTOS GENERALES</t>
  </si>
  <si>
    <t>UTILIDAD</t>
  </si>
  <si>
    <t>CANT</t>
  </si>
  <si>
    <t>MEDIDAS</t>
  </si>
  <si>
    <t>PARCIAL</t>
  </si>
  <si>
    <t>TOTAL</t>
  </si>
  <si>
    <t>LARGO</t>
  </si>
  <si>
    <t>ANCHO</t>
  </si>
  <si>
    <t>ALTO</t>
  </si>
  <si>
    <t>MOVIMIENTO DE TIERRAS</t>
  </si>
  <si>
    <t>ZAPATAS</t>
  </si>
  <si>
    <t>m3</t>
  </si>
  <si>
    <t>m2</t>
  </si>
  <si>
    <t>EXCAVACIÓN DE ZANJAS CON MAQUINARIA</t>
  </si>
  <si>
    <t>OBRAS DE CONCRETO SIMPLE</t>
  </si>
  <si>
    <t>ZAPATAS - CONCRETO PREMEZCLADO f'c=210kg/cm2</t>
  </si>
  <si>
    <t>ZAPATAS - ENCOFRADO Y DESENCOFRADO</t>
  </si>
  <si>
    <t>ZAPATAS - ACERO fy=4200kg/cm2</t>
  </si>
  <si>
    <t>PERIM=</t>
  </si>
  <si>
    <t>PL-1</t>
  </si>
  <si>
    <t>PL-2</t>
  </si>
  <si>
    <t>SEGUNDO PISO</t>
  </si>
  <si>
    <t>VIGAS - ACERO fy=4200kg/cm2</t>
  </si>
  <si>
    <t>AREA =</t>
  </si>
  <si>
    <t>LOSA ALIGERADA - LADRILLO HUECO DE  0.15X0.30X0.30</t>
  </si>
  <si>
    <t>PROPIETARIO:</t>
  </si>
  <si>
    <t>UBICACIÓN:</t>
  </si>
  <si>
    <t>01.01.00</t>
  </si>
  <si>
    <t>m</t>
  </si>
  <si>
    <t>AREA=</t>
  </si>
  <si>
    <t>PLANILLA DE METRADO: ACERO</t>
  </si>
  <si>
    <t>UNIDAD</t>
  </si>
  <si>
    <t>DIAMETRO</t>
  </si>
  <si>
    <t>ESTRUTURAS</t>
  </si>
  <si>
    <t>LONGITUD</t>
  </si>
  <si>
    <t>IGUALES</t>
  </si>
  <si>
    <t>1/4</t>
  </si>
  <si>
    <t>8mm</t>
  </si>
  <si>
    <t>3/8</t>
  </si>
  <si>
    <t>1/2</t>
  </si>
  <si>
    <t>5/8</t>
  </si>
  <si>
    <t>ACERO ASTM f'y = 4200 kg/cm2 EN ZAPATAS</t>
  </si>
  <si>
    <t>LONGITUD TOTAL</t>
  </si>
  <si>
    <t>PESO UNITARIO</t>
  </si>
  <si>
    <t>PESO TOTAL</t>
  </si>
  <si>
    <t># DE VARILLA</t>
  </si>
  <si>
    <t>C-1</t>
  </si>
  <si>
    <t>ESTRIBOS</t>
  </si>
  <si>
    <t xml:space="preserve">ACERO ASTM f'y = 4200 kg/cm2 EN VIGAS </t>
  </si>
  <si>
    <t xml:space="preserve">ACERO ASTM f'y = 4200 kg/cm2 EN LOSA ALIGERADA </t>
  </si>
  <si>
    <t xml:space="preserve">ACERO ASTM f'y = 4200 kg/cm2 EN LOSA MACIZA </t>
  </si>
  <si>
    <t>TRANSPORTE DE EQUIPOS Y HERRAMIENTAS</t>
  </si>
  <si>
    <t>LIMPIEZA DE TERRENO MANUAL</t>
  </si>
  <si>
    <t>TRAZADO Y REPLANTEO S/EQUIPO</t>
  </si>
  <si>
    <t>CERCO PERIMETRICO PROVISIONAL</t>
  </si>
  <si>
    <t>ML</t>
  </si>
  <si>
    <t>CASETA, ALMACEN Y BAÑOS</t>
  </si>
  <si>
    <t>PERFILADO DE CIMIENTOS</t>
  </si>
  <si>
    <t>TIPO DE CAMBIO</t>
  </si>
  <si>
    <t>COSTO POR RATIOS</t>
  </si>
  <si>
    <t>MONTO</t>
  </si>
  <si>
    <t>ÁREA CONSTRUIDA</t>
  </si>
  <si>
    <t>RATIO (s/./m2)</t>
  </si>
  <si>
    <t>RATIO ($/m2)</t>
  </si>
  <si>
    <t>MONTO DE CONTRATO</t>
  </si>
  <si>
    <t>GASTOS GENERALES Y UTILIDAD</t>
  </si>
  <si>
    <t>CU</t>
  </si>
  <si>
    <t>RENDIMIENTO</t>
  </si>
  <si>
    <t>GLB/d</t>
  </si>
  <si>
    <t>JORNADA</t>
  </si>
  <si>
    <t>horas/dia</t>
  </si>
  <si>
    <t>Descripción de Recurso</t>
  </si>
  <si>
    <t>Unidad</t>
  </si>
  <si>
    <t>Cuadrilla</t>
  </si>
  <si>
    <t>Cantidad</t>
  </si>
  <si>
    <t>Precio (S/.)</t>
  </si>
  <si>
    <t>Parcial (S/.)</t>
  </si>
  <si>
    <t>MANO DE OBRA</t>
  </si>
  <si>
    <t>MANO DE OBRA- T</t>
  </si>
  <si>
    <t>EQUIPOS</t>
  </si>
  <si>
    <t>HERRAMIENTA-T</t>
  </si>
  <si>
    <t>m2/d</t>
  </si>
  <si>
    <t>CAPATAZ</t>
  </si>
  <si>
    <t>hh</t>
  </si>
  <si>
    <t>PEON</t>
  </si>
  <si>
    <t>HERRAMIENTAS MANUALES</t>
  </si>
  <si>
    <t>%mo</t>
  </si>
  <si>
    <t>OPERARIO</t>
  </si>
  <si>
    <t>MADERA TORNILLO</t>
  </si>
  <si>
    <t>p2</t>
  </si>
  <si>
    <t>MATERIALES</t>
  </si>
  <si>
    <t>CLAVOS CON CABEZA</t>
  </si>
  <si>
    <t>kg</t>
  </si>
  <si>
    <t>CAL (BOLSA x 20kg)</t>
  </si>
  <si>
    <t>bl</t>
  </si>
  <si>
    <t>CORDEL</t>
  </si>
  <si>
    <t>MANO DE OBRA- A</t>
  </si>
  <si>
    <t>ml/d</t>
  </si>
  <si>
    <t>ALAMBRE NEGRO Nº 16</t>
  </si>
  <si>
    <t>MADERA EUCALIPTO 4"x4" x 3m</t>
  </si>
  <si>
    <t>und</t>
  </si>
  <si>
    <t>TRIPLEY LUPUNA 6mmx 4" x 8"</t>
  </si>
  <si>
    <t>DEMOLICION CON MAQUINARIA</t>
  </si>
  <si>
    <t>ROTOMARTILLO</t>
  </si>
  <si>
    <t>RETROEXCAVADORA CON LLANTAS</t>
  </si>
  <si>
    <t>hm</t>
  </si>
  <si>
    <t>EXCAVACIÓN DE ZANJAS P/CIMIENTOS Y/O ZAPATAS</t>
  </si>
  <si>
    <t>m3/d</t>
  </si>
  <si>
    <t>COMPACTACIÓN DE TERRENO MANUAL P/CIMIENTOS Y/O ZAPATAS</t>
  </si>
  <si>
    <t>PLANCHA COMPACTADORA VIBRAT. 4HP</t>
  </si>
  <si>
    <t>RELLENO COMPACTADO CON MATERIAL PROPIO</t>
  </si>
  <si>
    <t>RELLENO COMPACTADO CON MATERIAL DE PRESTAMO</t>
  </si>
  <si>
    <t>AFIRMADO</t>
  </si>
  <si>
    <t>ACARREO INTERNO PROVENIENTE  DE EXCAVACIONES</t>
  </si>
  <si>
    <t>ELIMINACION DE MATERIAL CON MAQUINARIA</t>
  </si>
  <si>
    <t>CAMION VOLQUETE DE 20M3</t>
  </si>
  <si>
    <t>NIVELACION DE TERRENO Y APISONADO C/20 CM.</t>
  </si>
  <si>
    <t>SOLADO DE 10cm</t>
  </si>
  <si>
    <t>OFICIAL</t>
  </si>
  <si>
    <t>CEMENTO PORTLAND TIPO I (42.5 kg)</t>
  </si>
  <si>
    <t>HORMIGON</t>
  </si>
  <si>
    <t>bol</t>
  </si>
  <si>
    <t>MEZCLADORA DE CONCRETO 11P3</t>
  </si>
  <si>
    <t>CALZADURAS - ENCOFRADO Y DESENCOFRADO</t>
  </si>
  <si>
    <t>ALAMBRE NEGRO Nº 8</t>
  </si>
  <si>
    <t>CONCRETO C:H 1:12 + 30%P.G. EN CALZADURAS</t>
  </si>
  <si>
    <t>PIEDRA GRANDE</t>
  </si>
  <si>
    <t>CONCRETO C:H 1:12 + 30%P.G. EN FALSA ZAPATA</t>
  </si>
  <si>
    <t>FALSA ZAPATAS - CONCRETO PREMEZCLADO f'c=210kg/cm2</t>
  </si>
  <si>
    <t>CONCRETO PREMEZCLADO f'c=140 kg/cm2</t>
  </si>
  <si>
    <t>VIBRADOR A GASOLINA 13/4", 4HP</t>
  </si>
  <si>
    <t>CIMIENTO CORRIDO - ENCOFRADO Y DESENCOFRADO</t>
  </si>
  <si>
    <t>P2</t>
  </si>
  <si>
    <t>CIMIENTO CORRIDO - CONCRETO C:H 1:10 + 30%P.G.</t>
  </si>
  <si>
    <t>SOBRECIMIENTO - ENCOFRADO Y DESENCOFRADO</t>
  </si>
  <si>
    <t>SOBRECIMIENTO - CONCRETO C:H 1:12 + 25%P.M.</t>
  </si>
  <si>
    <t>FALSO PISO DE 10cm</t>
  </si>
  <si>
    <t>OBRAS DE CONCRETO ARMADO</t>
  </si>
  <si>
    <t>ZAPATAS - CONCRETO f'c=210kg/cm2</t>
  </si>
  <si>
    <t>ARENA GRUESA</t>
  </si>
  <si>
    <t>PIEDRA CHANCADA</t>
  </si>
  <si>
    <t>CONCRETO PREMEZCLADO f'c=210 kg/cm2</t>
  </si>
  <si>
    <t>ACERO CORRUGADO</t>
  </si>
  <si>
    <t>CEMENTO PORTLAND TIPO MS (42.5 kg)</t>
  </si>
  <si>
    <t>kg/d</t>
  </si>
  <si>
    <t>VIGAS DE CIMENTACIÓN - CONCRETO PREMEZCLADO f'c=210kg/cm2</t>
  </si>
  <si>
    <t>VIGAS DE CIMENTACIÓN - CONCRETO f'c=210kg/cm2</t>
  </si>
  <si>
    <t>VIGAS DE CIMENTACIÓN - ENCOFRADO Y DESENCOFRADO</t>
  </si>
  <si>
    <t>VIGAS DE CIMENTACIÓN - ACERO fy=4200kg/cm2</t>
  </si>
  <si>
    <t>BOMBA ESTACIONARIA</t>
  </si>
  <si>
    <t>CONCRETO COLUMNAS f'c=210 kg/cm2</t>
  </si>
  <si>
    <t>PLACAS - CONCRETO f'c=210 kg/cm2</t>
  </si>
  <si>
    <t>PLACAS - CONCRETO PREMEZCLADO f'c=210kg/cm2</t>
  </si>
  <si>
    <t>PLACAS - ENCOFRADO Y DESENCOFRADO</t>
  </si>
  <si>
    <t>PLACAS - ACERO fy=4200kg/cm2</t>
  </si>
  <si>
    <t>und/d</t>
  </si>
  <si>
    <t>LADRILLO PARA TECHO 15x30x30 CM</t>
  </si>
  <si>
    <t>COLUMNETA - CONCRETO f'c=175kg/cm2</t>
  </si>
  <si>
    <t>COLUMNETA - ENCOFRADO Y DESENCOFRADO</t>
  </si>
  <si>
    <t>COLUMNETA - ACERO fy=4200kg/cm2</t>
  </si>
  <si>
    <t>MURO DE LADRILLO SOGA KK 18 HUECOS</t>
  </si>
  <si>
    <t>LADRILLO KK 18 HUECOS 9X13X24 cm</t>
  </si>
  <si>
    <t>ANDAMIO NORMALIZADO (inc armado)</t>
  </si>
  <si>
    <t>MURO DE LADRILLO SOGA PANDERETA</t>
  </si>
  <si>
    <t>LADRILLO PANDERETA 9X13X24 cm</t>
  </si>
  <si>
    <t>TARRAJEO PRIMARIO CON MEZ. C:A-1:5 (e=1.5 cm)</t>
  </si>
  <si>
    <t>ARENA FINA</t>
  </si>
  <si>
    <t>TARRAJEO DE MUROS INTERIORES MEZCLA C:A 1:5, e= 1.5cm</t>
  </si>
  <si>
    <t>TARRAJEO DE MUROS EXTERIORES MEZCLA C:A 1:5, e= 1.5cm</t>
  </si>
  <si>
    <t>CHEMA EN POLVO DE 1KG</t>
  </si>
  <si>
    <t>TARRAJEO DE COLUMNAS MEZCLA C:A 1:5, e= 1.5cm</t>
  </si>
  <si>
    <t>TARRAJEO DE VIGAS MEZCLA C:A 1:5, e= 1.5cm</t>
  </si>
  <si>
    <t>TARRAJEO DE CIELO RASO CON MEZCLA C:A 1:5, e= 1.5cm</t>
  </si>
  <si>
    <t>VESTIDURA DERRAMES ANCHO=0.15m MEZCLA C:A 1:5, E=1.5cm</t>
  </si>
  <si>
    <t>m/d</t>
  </si>
  <si>
    <t>CONTRAPISO DE 48MM</t>
  </si>
  <si>
    <t>SEMANAL</t>
  </si>
  <si>
    <t>CAMION DE 15M3</t>
  </si>
  <si>
    <t>100 BOLSAS</t>
  </si>
  <si>
    <t>MILLAR</t>
  </si>
  <si>
    <t>100 KILOS</t>
  </si>
  <si>
    <t>10 KILOS</t>
  </si>
  <si>
    <t>he</t>
  </si>
  <si>
    <t>MONTO DEL CONTRATO</t>
  </si>
  <si>
    <t>ITEM</t>
  </si>
  <si>
    <t>CANTIDAD</t>
  </si>
  <si>
    <t>COSTO (S/.)</t>
  </si>
  <si>
    <t>% PARTIC.</t>
  </si>
  <si>
    <t>PARCIAL S/.</t>
  </si>
  <si>
    <t>GASTOS GENERALES VARIABLES</t>
  </si>
  <si>
    <t>PERSONAL PROFESIONAL</t>
  </si>
  <si>
    <t>01.01.01</t>
  </si>
  <si>
    <t>GERENTE DE PROYECTO</t>
  </si>
  <si>
    <t>SEMANA</t>
  </si>
  <si>
    <t>ING. CIVIL, RESIDENTE DE OBRA</t>
  </si>
  <si>
    <t>PERSONAL ALMACEN DE OBRA</t>
  </si>
  <si>
    <t>01.03.04</t>
  </si>
  <si>
    <t xml:space="preserve">GUARDIAN                                </t>
  </si>
  <si>
    <t>GASTOS GENERALES FIJO</t>
  </si>
  <si>
    <t>VARIOS</t>
  </si>
  <si>
    <t>EST</t>
  </si>
  <si>
    <t>SINDICATO</t>
  </si>
  <si>
    <t>EPP</t>
  </si>
  <si>
    <t xml:space="preserve">GASTOS GENERALES VARIABLES </t>
  </si>
  <si>
    <t>GASTOS GENERALES FIJOS</t>
  </si>
  <si>
    <t>DEPOSITOS</t>
  </si>
  <si>
    <t>EJE Y</t>
  </si>
  <si>
    <t>EJE X</t>
  </si>
  <si>
    <t>3/4</t>
  </si>
  <si>
    <t xml:space="preserve"> </t>
  </si>
  <si>
    <t>ml</t>
  </si>
  <si>
    <t>SEMISOTANO</t>
  </si>
  <si>
    <t>V-A (.25x.20)</t>
  </si>
  <si>
    <t>V-B (.15x.20)</t>
  </si>
  <si>
    <t>TRAMO 1</t>
  </si>
  <si>
    <t>TRAMO 2</t>
  </si>
  <si>
    <t>ACERO ASTM f'y = 4200 kg/cm2 EN ESCALERAS</t>
  </si>
  <si>
    <t>SOBRECIMIENTO</t>
  </si>
  <si>
    <t>CIMIENTO CORRIDO</t>
  </si>
  <si>
    <t>PRECIO MO</t>
  </si>
  <si>
    <t>PRECIO PARCIAL MO</t>
  </si>
  <si>
    <t>PRECIO MAT</t>
  </si>
  <si>
    <t>PRECIO PARCIAL MAT</t>
  </si>
  <si>
    <t>PRECIO PARCIAL</t>
  </si>
  <si>
    <t>CONTRATO</t>
  </si>
  <si>
    <t>=============</t>
  </si>
  <si>
    <t>PLANILLA DE METRADOS: INSTALACIONES SANITARIAS</t>
  </si>
  <si>
    <t>1er PISO</t>
  </si>
  <si>
    <t>2do PISO</t>
  </si>
  <si>
    <t>3er PISO</t>
  </si>
  <si>
    <t>SALIDAS PARA ALUMBRADO</t>
  </si>
  <si>
    <t>SALIDA PARA CENTRO DE LUZ ADOSADO</t>
  </si>
  <si>
    <t>PTO</t>
  </si>
  <si>
    <t>SALIDA PARA BRAQUETE ADOSADO</t>
  </si>
  <si>
    <t>SALIDA FLOURECENTE EN TECHO</t>
  </si>
  <si>
    <t>SPOT EMPOTRABLE FIJO DE 12V, CON ANILLO ANTIDESLUMBRANTE LAMPARA DICROICA 1xGx5.3 20/50W</t>
  </si>
  <si>
    <t xml:space="preserve">SALIDA PARA BRAQUETE SPOT EMPOTRABLE FIJO MODELO A DEFINIR EN OBRA </t>
  </si>
  <si>
    <t>SALIDA PARA LUMINARIA SUSPENDIDA</t>
  </si>
  <si>
    <t>02.</t>
  </si>
  <si>
    <t>SALIDAS DE INTERRUPTORES</t>
  </si>
  <si>
    <t>SALIDA PARA INTERRUPTOR UNIPOLAR SIMPLE 10A, 250V</t>
  </si>
  <si>
    <t>SALIDA PARA INTERRUPTOR UNIPOLAR DOBLE 10A, 250V</t>
  </si>
  <si>
    <t>SALIDA PARA INTERRUPTOR DE CONMUTACION 10A, 250V</t>
  </si>
  <si>
    <t>03.</t>
  </si>
  <si>
    <t>SALIDAS DE TOMACORRIENTE</t>
  </si>
  <si>
    <t>08.</t>
  </si>
  <si>
    <t>TABLEROS ELECTRICOS</t>
  </si>
  <si>
    <t>TABLERO GENERAL (T-SG)</t>
  </si>
  <si>
    <t>PZA</t>
  </si>
  <si>
    <t>TABLERO DE DISTRIBUCION (TD)</t>
  </si>
  <si>
    <t>10.</t>
  </si>
  <si>
    <t>POZO DE TIERRA</t>
  </si>
  <si>
    <t>POZO DE TIERRA INCLUIDO CABLE (R&lt;25 Ohmios)</t>
  </si>
  <si>
    <t>04.</t>
  </si>
  <si>
    <t>CAJA DE PASE</t>
  </si>
  <si>
    <t>CAJA DE PASO OCTOGONAL CON TAPA CIEGA</t>
  </si>
  <si>
    <t>UND.</t>
  </si>
  <si>
    <t>OE.</t>
  </si>
  <si>
    <t>SALIDAS PARA ALUMBRADO Y TOMACORRIENTES</t>
  </si>
  <si>
    <t>1.01.1</t>
  </si>
  <si>
    <t>1.01.1.1</t>
  </si>
  <si>
    <t>1.01.1.2</t>
  </si>
  <si>
    <t>1.01.1.3</t>
  </si>
  <si>
    <t>1.01.1.4</t>
  </si>
  <si>
    <t>1.01.1.5</t>
  </si>
  <si>
    <t>1.01.1.6</t>
  </si>
  <si>
    <t>SALIDA TOMACORRIENTE DOBLE 2P UNIVERSAL ∅ 4.8mm 16A 250 V 
CON PUESTA A TIERRA</t>
  </si>
  <si>
    <t>SALIDA TOMACORRIENTE DOBLE 2P UNIVERSAL ∅ 4.8mm 16A 250 V 
CON TACTOS LATERALES Y CENTRALES DE TIERRA</t>
  </si>
  <si>
    <t>ALUMBRADO</t>
  </si>
  <si>
    <t>TUBERIAS</t>
  </si>
  <si>
    <t>TOMACORRIENTE TW: 2-1x4mm2 +1x4mm2 (T) - Ø20mm PVC-SAP</t>
  </si>
  <si>
    <t>INTERCOMUNICADOR TW: 2-1x4mm2 +1x4mm2 (T) - Ø20mm PVC-SAP</t>
  </si>
  <si>
    <t>TV CABLE Tubo de 25mmØ PVC-P</t>
  </si>
  <si>
    <t>TELEFONO Tubo de 25mmØ PVC-P</t>
  </si>
  <si>
    <t>glb</t>
  </si>
  <si>
    <t>SALIDAS DE FUERZA</t>
  </si>
  <si>
    <t>SALIDA DE FUERZA MONOFÁSICA</t>
  </si>
  <si>
    <t>SALIDAS DE SEÑALES DEBILES (DATA Y COMUNICACIÓN)</t>
  </si>
  <si>
    <t>SALIDA PARA TV CABLE</t>
  </si>
  <si>
    <t>SALIDA PARA TELEFONO</t>
  </si>
  <si>
    <t>SALIDA PARA INTERCOMUNICADOR</t>
  </si>
  <si>
    <t>SALIDAS PARA INTERCOMUNICADORES</t>
  </si>
  <si>
    <t xml:space="preserve">CAJA DE PASO CUADRADA CON TAPA CIEGA </t>
  </si>
  <si>
    <t>CAJA TELEFONICA TIPO "C" PARA TELEFONO
650x350x150mm ; h=0.40m. BORDE INFERIOR</t>
  </si>
  <si>
    <t>CAJA TIPO TV PARA TV-POR CABLE
650x350x150mm ; h=0.40m. BORDE INFERIOR</t>
  </si>
  <si>
    <t>CAJA PASE PARA MONTANTE DE TELEFONOS PORTEROS
dimensiones indicado en plano, h=0.40m borde inferior</t>
  </si>
  <si>
    <t>ACCESORIOS</t>
  </si>
  <si>
    <t>CERRADURA ELECTRICA</t>
  </si>
  <si>
    <t>DIRECTORIO TELEFONO PORTERO O INTERCOMUNICADOR</t>
  </si>
  <si>
    <t>INTERRUPTOR BIPOLAR CON FUSIBLES</t>
  </si>
  <si>
    <t>COSTO DIRECTO</t>
  </si>
  <si>
    <t>1ER PISO</t>
  </si>
  <si>
    <t>2DO PISO</t>
  </si>
  <si>
    <t>3ER PISO</t>
  </si>
  <si>
    <t>CONCRETO PREMEZCLADO f'c=280 kg/cm2</t>
  </si>
  <si>
    <t>Varilla de 5/8"</t>
  </si>
  <si>
    <t>Varilla de 1/2"</t>
  </si>
  <si>
    <t>Varilla de 3/8"</t>
  </si>
  <si>
    <t>Varilla de 3/4"</t>
  </si>
  <si>
    <t>Varilla de 8mm</t>
  </si>
  <si>
    <t>Varilla de 6mm</t>
  </si>
  <si>
    <t>Varilla de 12mm</t>
  </si>
  <si>
    <t>ALQUILER DE BAÑO PROVISIONAL</t>
  </si>
  <si>
    <t>mes</t>
  </si>
  <si>
    <t>01.00.00.00</t>
  </si>
  <si>
    <t>01.01.00.00</t>
  </si>
  <si>
    <t>01.01.01.00</t>
  </si>
  <si>
    <t>01.01.02.00</t>
  </si>
  <si>
    <t>01.01.04.00</t>
  </si>
  <si>
    <t>01.01.05.00</t>
  </si>
  <si>
    <t>01.01.03.00</t>
  </si>
  <si>
    <t>01.02.00.00</t>
  </si>
  <si>
    <t>03.01.00.00</t>
  </si>
  <si>
    <t>02.00.00.00</t>
  </si>
  <si>
    <t>SOLADO</t>
  </si>
  <si>
    <t>01.02.01.00</t>
  </si>
  <si>
    <t>01.02.02.00</t>
  </si>
  <si>
    <t>01.02.03.00</t>
  </si>
  <si>
    <t>01.02.04.00</t>
  </si>
  <si>
    <t>01.02.05.00</t>
  </si>
  <si>
    <t>01.02.06.00</t>
  </si>
  <si>
    <t>03.00.00.00</t>
  </si>
  <si>
    <t>03.01.01.00</t>
  </si>
  <si>
    <t>03.01.01.01</t>
  </si>
  <si>
    <t>ZAPATAS - CONCRETO PREMEZCLADO f'c=280kg/cm2</t>
  </si>
  <si>
    <t>Desp.</t>
  </si>
  <si>
    <t>Ver Item Acero</t>
  </si>
  <si>
    <t>Peso=</t>
  </si>
  <si>
    <t>VARILLAS TOTAL</t>
  </si>
  <si>
    <t>PLANILLA DE METRADO OBRA GRUESA</t>
  </si>
  <si>
    <t>EXCAVACIÓN MANUAL P/CIMIENTO Y ZAPATA</t>
  </si>
  <si>
    <t>COMPACTACIÓN MANUAL P/CIMIENTO Y ZAPATA</t>
  </si>
  <si>
    <t>FALSO PISO</t>
  </si>
  <si>
    <t>MIN</t>
  </si>
  <si>
    <t>MEDIO</t>
  </si>
  <si>
    <t>PISO TIPICO</t>
  </si>
  <si>
    <t>AZOTEA</t>
  </si>
  <si>
    <t>MAX</t>
  </si>
  <si>
    <t>DEMOLICION DE CIMENTACIÓN EXISTENTE</t>
  </si>
  <si>
    <t>COLUMNAS - CONCRETO PREMEZCLADO f'c=280kg/cm2</t>
  </si>
  <si>
    <t>PRESUPUESTO DE OBRA - RESUMEN</t>
  </si>
  <si>
    <t xml:space="preserve">PROYECTO: </t>
  </si>
  <si>
    <t>Ca</t>
  </si>
  <si>
    <t>AREA DE TERRENO</t>
  </si>
  <si>
    <t>PROVENIENTE DE EXCAVACIÓN</t>
  </si>
  <si>
    <t>FACTOR</t>
  </si>
  <si>
    <t>VOL=</t>
  </si>
  <si>
    <t>PARA FALSO PISO</t>
  </si>
  <si>
    <t>2 capas</t>
  </si>
  <si>
    <t>CISTERNA - CONCRETO PREMEZCLADO f'c=280kg/cm2</t>
  </si>
  <si>
    <t>TARRAJEO CON IMPERMEABILIZANTE - CISTERNA</t>
  </si>
  <si>
    <t>TARRAJEO  EN FONDO DE ESCALERAS CON MEZCLA C:A 1:5 E=1.5cm</t>
  </si>
  <si>
    <t>I  =  INCIDENCIA %</t>
  </si>
  <si>
    <t>ACE. INFERIOR</t>
  </si>
  <si>
    <t>VIGAS - CONCRETO PREMEZCLADO f'c=210kg/cm2</t>
  </si>
  <si>
    <t>LOSA ALIGERADA - CONCRETO PREMEZCLADO f'c=210kg/cm2</t>
  </si>
  <si>
    <t>LOSA MACIZA - CONCRETO PREMEZCLADO f'c=210kg/cm2</t>
  </si>
  <si>
    <t>ESCALERA -CONCRETO PREMEZCLADO f'c=210kg/cm2</t>
  </si>
  <si>
    <t>GARGANTA</t>
  </si>
  <si>
    <t>ACE. SUPERIOR</t>
  </si>
  <si>
    <t>V-P2 (.15x.40)</t>
  </si>
  <si>
    <t>PLACAS</t>
  </si>
  <si>
    <t>C-3</t>
  </si>
  <si>
    <t xml:space="preserve">ACERO ASTM f'y = 4200 kg/cm2 EN COLUMNAS </t>
  </si>
  <si>
    <t>ACERO ASTM f'y = 4200 kg/cm2 EN PLACAS</t>
  </si>
  <si>
    <t>Z-1</t>
  </si>
  <si>
    <t>Z-2</t>
  </si>
  <si>
    <t>Z-3</t>
  </si>
  <si>
    <t>Z-4</t>
  </si>
  <si>
    <t>COLUMNA C-1</t>
  </si>
  <si>
    <t>ACE. VERTICAL</t>
  </si>
  <si>
    <t>GANCHO</t>
  </si>
  <si>
    <t>COLUMNA C-2</t>
  </si>
  <si>
    <t>PLACA PL-1</t>
  </si>
  <si>
    <t>ESTRIBO</t>
  </si>
  <si>
    <t>ACE. HORIZONTAL</t>
  </si>
  <si>
    <t>PERIM =</t>
  </si>
  <si>
    <t>CONCRETO f'c= 100  kg/cm² +30% P.G.  (Tamaño maximo 6")</t>
  </si>
  <si>
    <t>ENCOFRADO Y DESENCOFRADO</t>
  </si>
  <si>
    <t>CONCRETO PREMEZCLADO f'c=210kg/cm2</t>
  </si>
  <si>
    <t>ACERO fy=4200kg/cm2</t>
  </si>
  <si>
    <t>CONCRETO, f'c= 140  kg/cm² +25% P.M. (Tamaño maximo 3")</t>
  </si>
  <si>
    <t>M2</t>
  </si>
  <si>
    <t>REVESTIMIENTOS Y ENLUCIDOS</t>
  </si>
  <si>
    <t>TARRAJEO EN INTERIORES FROTACHADO</t>
  </si>
  <si>
    <t>TARRAJEO EN EXTERIORES</t>
  </si>
  <si>
    <t>TARRAJEO EN VIGAS</t>
  </si>
  <si>
    <t>TARRAJEO EN CIELO RASO</t>
  </si>
  <si>
    <t>TARRAJEO DE ESCALERA</t>
  </si>
  <si>
    <t>VESTIDURA DE DERRAMES</t>
  </si>
  <si>
    <t>M</t>
  </si>
  <si>
    <t>TABIQUERIA Y OBRAS HÚMEDAS</t>
  </si>
  <si>
    <t>TABIQUE DE LADRILLO</t>
  </si>
  <si>
    <t>03.03.01.01</t>
  </si>
  <si>
    <t>02.03.02.00</t>
  </si>
  <si>
    <t>02.03.02.01</t>
  </si>
  <si>
    <t>02.03.02.04</t>
  </si>
  <si>
    <t>02.03.02.06</t>
  </si>
  <si>
    <t>02.03.02.05</t>
  </si>
  <si>
    <t>02.03.02.07</t>
  </si>
  <si>
    <t>02.03.02.08</t>
  </si>
  <si>
    <t>02.03.03.01</t>
  </si>
  <si>
    <t>CONTRAPISO DE 48mm - TIPO CEMENTO PULIDO</t>
  </si>
  <si>
    <t>CONTRAPASO</t>
  </si>
  <si>
    <t>BASE</t>
  </si>
  <si>
    <t>TAPA</t>
  </si>
  <si>
    <t xml:space="preserve">ACE. VERTICAL </t>
  </si>
  <si>
    <t>PROPIETARIO(S) :</t>
  </si>
  <si>
    <t>LT 18 MZ DDF, JR. ALAMEDA EL ESPINEL, URB BRISAS DEL MAR - DISTRITO CHORRILLOS, DEPARTAMENTO Y PROVINCIA DE LIMA</t>
  </si>
  <si>
    <t>COLUMNA C-3</t>
  </si>
  <si>
    <t>PRESUPUESTO ACTUAL</t>
  </si>
  <si>
    <t>DESCRIPCIÓN DE PARTIDAS</t>
  </si>
  <si>
    <t>ACUMULADO ANTERIOR</t>
  </si>
  <si>
    <t>%</t>
  </si>
  <si>
    <t>PRECIO</t>
  </si>
  <si>
    <t>PORCENTAJE DE AVANCE</t>
  </si>
  <si>
    <t>ADELANTO DE OBRA</t>
  </si>
  <si>
    <t>SALDO</t>
  </si>
  <si>
    <t>ACUMULADO ACTUAL</t>
  </si>
  <si>
    <t>AVANCE ACTUAL</t>
  </si>
  <si>
    <t>VALORIZACIÓN</t>
  </si>
  <si>
    <t>Descripción</t>
  </si>
  <si>
    <t>PEE:</t>
  </si>
  <si>
    <t>PRECIO DEL DÓLAR</t>
  </si>
  <si>
    <t>Varilla de 1"</t>
  </si>
  <si>
    <t>Precio de Varilla ($)</t>
  </si>
  <si>
    <t>Precio de Varilla (S/.)</t>
  </si>
  <si>
    <t>Varilla de 1.3/8"</t>
  </si>
  <si>
    <t>Cantidad de Varillas</t>
  </si>
  <si>
    <t>Costo Parcial</t>
  </si>
  <si>
    <t>COSTO TOTAL =</t>
  </si>
  <si>
    <t>Peso (kg/m)</t>
  </si>
  <si>
    <t>Peso (kg/var)</t>
  </si>
  <si>
    <t>Peso parcial (kg)</t>
  </si>
  <si>
    <t>PESO TOTAL =</t>
  </si>
  <si>
    <t>DEMOLICIÓN CON MAQUINARIA PESADA</t>
  </si>
  <si>
    <t>PROTECCIÓN CON MALLA RASCHELL</t>
  </si>
  <si>
    <t>OBRAS PROVISIONALES</t>
  </si>
  <si>
    <t>OBRAS PROVISIONALES, TRABAJOS PRELIMINARES, SEGURIDAD Y SALUD</t>
  </si>
  <si>
    <t>INSTALACION DE OFICINA Y ALMACEN</t>
  </si>
  <si>
    <t>DESMONTAJE Y ACARREO DE MATERIAL</t>
  </si>
  <si>
    <t>DEMOLICIÓN MANUAL CON ROTOMARTILLO</t>
  </si>
  <si>
    <t>ELIMINACIÓN DE ESCOMBROS, DESMONTE</t>
  </si>
  <si>
    <t>DEMOLICIÓN Y TRABAJOS PRELIMINARES</t>
  </si>
  <si>
    <t>OK</t>
  </si>
  <si>
    <t>SEGURIDAD Y SALUD</t>
  </si>
  <si>
    <t>EQUIPOS DE PROTECCIÓN INDIVIDUAL</t>
  </si>
  <si>
    <t>EQUIPOS DE PROTECCIÓN COLECTIVA</t>
  </si>
  <si>
    <t>SEÑALIZACIÓN TEMPORAL DE SEGURIDAD</t>
  </si>
  <si>
    <t>SEGURO SCTR</t>
  </si>
  <si>
    <t>01.03.00.00</t>
  </si>
  <si>
    <t>01.03.01.00</t>
  </si>
  <si>
    <t>01.03.02.00</t>
  </si>
  <si>
    <t>01.03.03.00</t>
  </si>
  <si>
    <t>01.03.04.00</t>
  </si>
  <si>
    <t>MONTO A VALORIZAR</t>
  </si>
  <si>
    <t>TRIPLAY FENÓLICO 18 mm 1.22 x 2.44m</t>
  </si>
  <si>
    <t>rollo</t>
  </si>
  <si>
    <t>ROLLO MALLA RASCHEL 95%, 4.20m x 100m</t>
  </si>
  <si>
    <t>ADMINISTRADOR</t>
  </si>
  <si>
    <t>PREVENCIONISTA</t>
  </si>
  <si>
    <t>VIGAS DE CIMENTACIÓN - CONCRETO PREMEZCLADO f'c=280kg/cm2</t>
  </si>
  <si>
    <t>MUROS DE CONTENCIÓN - CONCRETO f'c=210kg/cm2</t>
  </si>
  <si>
    <t>MUROS DE CONTENCIÓN - CONCRETO PREMEZCLADO f'c=210kg/cm2</t>
  </si>
  <si>
    <t>SOBRECIMIENTO ARMADO - CONCRETO f'c=210kg/cm2</t>
  </si>
  <si>
    <t>TRAZADO Y REPLANTEO C/EQUIPO</t>
  </si>
  <si>
    <t>MUROS DE CONTENCIÓN - CONCRETO PREMEZCLADO f'c=280kg/cm2</t>
  </si>
  <si>
    <t>MUROS DE CONTENCIÓN - ENCOFRADO Y DESENCOFRADO</t>
  </si>
  <si>
    <t>MUROS DE CONTENCIÓN - ACERO fy=4200kg/cm2</t>
  </si>
  <si>
    <t>CISTERNA - CONCRETO f'c=280kg/cm2</t>
  </si>
  <si>
    <t>SOBRECIMIENTO ARMADO - ACERO fy=4200kg/cm2</t>
  </si>
  <si>
    <t>LOSA ALIGERADA - LADRILLO HUECO DE 0.15x0.30x0.30</t>
  </si>
  <si>
    <t>MUROS PORTANTES Y TABIQUERÍA</t>
  </si>
  <si>
    <t>MURO DE LADRILLO CABEZA KK 18 HUECOS</t>
  </si>
  <si>
    <t>OBRAS HÚMEDAS</t>
  </si>
  <si>
    <t>SALIDAS ELÉCTRICAS</t>
  </si>
  <si>
    <t>SALIDA DE CENTRO DE LUMINARIAS</t>
  </si>
  <si>
    <t>pto/d</t>
  </si>
  <si>
    <t>PL-3</t>
  </si>
  <si>
    <t>PAÑO 1</t>
  </si>
  <si>
    <t>PAÑO 2</t>
  </si>
  <si>
    <t>PAÑO 3</t>
  </si>
  <si>
    <t>PAÑO 4</t>
  </si>
  <si>
    <t>C-2</t>
  </si>
  <si>
    <t>03.02.00.00</t>
  </si>
  <si>
    <t>03.02.01.00</t>
  </si>
  <si>
    <t>CONCRETO, fc=100 kg/cm²</t>
  </si>
  <si>
    <t xml:space="preserve">FALSO PISO </t>
  </si>
  <si>
    <t>6mm</t>
  </si>
  <si>
    <t>1</t>
  </si>
  <si>
    <t>PAÑO 5</t>
  </si>
  <si>
    <t>C-4</t>
  </si>
  <si>
    <t>COLUMNA C-4</t>
  </si>
  <si>
    <t>N-1</t>
  </si>
  <si>
    <t>N-2</t>
  </si>
  <si>
    <t>N-3</t>
  </si>
  <si>
    <t>ACERO POSITIVO</t>
  </si>
  <si>
    <t>Z-5</t>
  </si>
  <si>
    <t>Z-7</t>
  </si>
  <si>
    <t>Z-8</t>
  </si>
  <si>
    <t>Z-9</t>
  </si>
  <si>
    <t>CC-1</t>
  </si>
  <si>
    <t>CC-2</t>
  </si>
  <si>
    <t>CC-3</t>
  </si>
  <si>
    <t>CC-4</t>
  </si>
  <si>
    <t>CC-5</t>
  </si>
  <si>
    <t>CC-6</t>
  </si>
  <si>
    <t>CC-7</t>
  </si>
  <si>
    <t>CC-8</t>
  </si>
  <si>
    <t>CC-9</t>
  </si>
  <si>
    <t>CC-10</t>
  </si>
  <si>
    <t>ESPESOR</t>
  </si>
  <si>
    <t>COLUMNETA Ca</t>
  </si>
  <si>
    <t>COLUMNETA Cb</t>
  </si>
  <si>
    <t>PL-4</t>
  </si>
  <si>
    <t>PL-5</t>
  </si>
  <si>
    <t>PERM=</t>
  </si>
  <si>
    <t>CIMIENTO TABIQUERIA</t>
  </si>
  <si>
    <t>V-P1 (.25x.50)</t>
  </si>
  <si>
    <t>V-D (.15x.20)</t>
  </si>
  <si>
    <t>lad.</t>
  </si>
  <si>
    <t>PAÑO 6</t>
  </si>
  <si>
    <t>PAÑO 7</t>
  </si>
  <si>
    <t>PAÑO 8</t>
  </si>
  <si>
    <t>PAÑO 9</t>
  </si>
  <si>
    <t>PAÑO 10</t>
  </si>
  <si>
    <t>LOZA M. 1</t>
  </si>
  <si>
    <t>LOZA M. 2</t>
  </si>
  <si>
    <t>Z-6 (INFERIOR Y SUPERIOR)</t>
  </si>
  <si>
    <t>ACERO ASTM f'y = 4200 kg/cm2 EN VIGAS DE CIMENTACION</t>
  </si>
  <si>
    <t>VC-1</t>
  </si>
  <si>
    <t>VC-2</t>
  </si>
  <si>
    <t>PAÑO 1,2,3</t>
  </si>
  <si>
    <t>ACERO NEGATIVO (BASTON Y BALANCIN)</t>
  </si>
  <si>
    <t>ACERO TEMPERATURA</t>
  </si>
  <si>
    <t>MURO 1</t>
  </si>
  <si>
    <t>MURO 2</t>
  </si>
  <si>
    <t>MURO 3</t>
  </si>
  <si>
    <t>MURO 4</t>
  </si>
  <si>
    <t>MURO 5</t>
  </si>
  <si>
    <t>MURO 6</t>
  </si>
  <si>
    <t>MURO 7</t>
  </si>
  <si>
    <t>MURO 8</t>
  </si>
  <si>
    <t>MURO 9</t>
  </si>
  <si>
    <t>MURO 10</t>
  </si>
  <si>
    <t>MURO 11</t>
  </si>
  <si>
    <t>MURO 12</t>
  </si>
  <si>
    <t>MURO 13</t>
  </si>
  <si>
    <t>MURO 14</t>
  </si>
  <si>
    <t>MURO T1</t>
  </si>
  <si>
    <t>MURO T2</t>
  </si>
  <si>
    <t>MURO T3</t>
  </si>
  <si>
    <t>MURO T4</t>
  </si>
  <si>
    <t>MURO T5</t>
  </si>
  <si>
    <t>ESCALERA - CONCRETO PREMEZCLADO f'c=210kg/cm2</t>
  </si>
  <si>
    <t>TECHO</t>
  </si>
  <si>
    <t>V-S (.13x.40)</t>
  </si>
  <si>
    <t>V-P3 (.25x.40)</t>
  </si>
  <si>
    <t>ACERO ASTM f'y = 4200 kg/cm2 EN CISTERNA CONSUMO DIARIO</t>
  </si>
  <si>
    <t>ELEMENTO</t>
  </si>
  <si>
    <t>LOSA M. 1</t>
  </si>
  <si>
    <t>LOSA M. 2</t>
  </si>
  <si>
    <t>EJE X  (SUPERIOR E INFERIOR)</t>
  </si>
  <si>
    <t>EJE Y (SUPERIOR E INFERIOR)</t>
  </si>
  <si>
    <t>RATIO</t>
  </si>
  <si>
    <t>MURO T6</t>
  </si>
  <si>
    <t>PLACA PL-2</t>
  </si>
  <si>
    <t>PLACA PL-3</t>
  </si>
  <si>
    <t>PLACA PL-4</t>
  </si>
  <si>
    <t>ACE. HORIZONTAL 1</t>
  </si>
  <si>
    <t>ACE. HORIZONTAL 2</t>
  </si>
  <si>
    <t>N-4</t>
  </si>
  <si>
    <t>N-5</t>
  </si>
  <si>
    <t>PLACA PL-5</t>
  </si>
  <si>
    <t>N-6</t>
  </si>
  <si>
    <t>N-7</t>
  </si>
  <si>
    <t xml:space="preserve">ACE. HORIZONTAL </t>
  </si>
  <si>
    <t>ACE. VERTICAL 1</t>
  </si>
  <si>
    <t>ACE. VERTICAL 2</t>
  </si>
  <si>
    <t>ACE. SUPERIOR E INFERIOR EJE X</t>
  </si>
  <si>
    <t>ACE. SUPERIOR E INFERIOR EJE Y</t>
  </si>
  <si>
    <t>PARED EJE Y</t>
  </si>
  <si>
    <t>PARED EJE X</t>
  </si>
  <si>
    <t>CONTORNO TAPA</t>
  </si>
  <si>
    <t xml:space="preserve">EJE Y   </t>
  </si>
  <si>
    <t xml:space="preserve">EJE X </t>
  </si>
  <si>
    <t xml:space="preserve">ACE.HORIZONTAL </t>
  </si>
  <si>
    <t>AREA LATERAL</t>
  </si>
  <si>
    <t>BASE DE GARGANTA</t>
  </si>
  <si>
    <t>ACERO SUPERIOR E INFERIOR EJE X</t>
  </si>
  <si>
    <t>ACERO SUPERIOR 1 EJE Y</t>
  </si>
  <si>
    <t>ACERO SUPERIOR 2 EJE Y</t>
  </si>
  <si>
    <t>ACERO INFERIOR 1 EJE Y</t>
  </si>
  <si>
    <t>ACERO INFERIOR 2 EJE Y</t>
  </si>
  <si>
    <t>MURO 15</t>
  </si>
  <si>
    <t>MURO 16</t>
  </si>
  <si>
    <t>MURO 17</t>
  </si>
  <si>
    <t>MURO 18</t>
  </si>
  <si>
    <t>MURO 19</t>
  </si>
  <si>
    <t>MURO T7</t>
  </si>
  <si>
    <t>MURO T8</t>
  </si>
  <si>
    <t>MURO T9</t>
  </si>
  <si>
    <t>CABEZA</t>
  </si>
  <si>
    <t>SOGA</t>
  </si>
  <si>
    <t>TARRAJEO EN COLUMNAS Y PLACAS</t>
  </si>
  <si>
    <t>V-1</t>
  </si>
  <si>
    <t>V-2</t>
  </si>
  <si>
    <t>V-3</t>
  </si>
  <si>
    <t>V-4</t>
  </si>
  <si>
    <t>V-5</t>
  </si>
  <si>
    <t>V-6</t>
  </si>
  <si>
    <t>V-7</t>
  </si>
  <si>
    <t>V-8</t>
  </si>
  <si>
    <t>V-9</t>
  </si>
  <si>
    <t>V-10</t>
  </si>
  <si>
    <t>V-11</t>
  </si>
  <si>
    <t>V-12</t>
  </si>
  <si>
    <t>V-13</t>
  </si>
  <si>
    <t>V-14</t>
  </si>
  <si>
    <t>V-15</t>
  </si>
  <si>
    <t>V-16</t>
  </si>
  <si>
    <t>V-17</t>
  </si>
  <si>
    <t>V-18</t>
  </si>
  <si>
    <t>V-19</t>
  </si>
  <si>
    <t>COLUMNETAS</t>
  </si>
  <si>
    <t>Cb</t>
  </si>
  <si>
    <t>C-5</t>
  </si>
  <si>
    <t>C-6</t>
  </si>
  <si>
    <t>C-7</t>
  </si>
  <si>
    <t>Ca-1</t>
  </si>
  <si>
    <t>Ca-2</t>
  </si>
  <si>
    <t>Ca-3</t>
  </si>
  <si>
    <t>Ca-4</t>
  </si>
  <si>
    <t>Ca-5</t>
  </si>
  <si>
    <t>Ca-6</t>
  </si>
  <si>
    <t>Ca-7</t>
  </si>
  <si>
    <t>Cb-1</t>
  </si>
  <si>
    <t>Cb-2</t>
  </si>
  <si>
    <t>Cb-3</t>
  </si>
  <si>
    <t>Cb-4</t>
  </si>
  <si>
    <t>Cb-5</t>
  </si>
  <si>
    <t>Cb-6</t>
  </si>
  <si>
    <t>D-2</t>
  </si>
  <si>
    <t>D-3</t>
  </si>
  <si>
    <t>D-4</t>
  </si>
  <si>
    <t>D-5</t>
  </si>
  <si>
    <t>D-6</t>
  </si>
  <si>
    <t>TH-1</t>
  </si>
  <si>
    <t>TH-2</t>
  </si>
  <si>
    <t>TH-3</t>
  </si>
  <si>
    <t>TH-4</t>
  </si>
  <si>
    <t>TH-5</t>
  </si>
  <si>
    <t>TH-6</t>
  </si>
  <si>
    <t>TH-7</t>
  </si>
  <si>
    <t>TH-8</t>
  </si>
  <si>
    <t>B-1</t>
  </si>
  <si>
    <t>PASOS</t>
  </si>
  <si>
    <t>CONTRAPASOS</t>
  </si>
  <si>
    <t>DESCANSO</t>
  </si>
  <si>
    <t>PISO SUPERIOR</t>
  </si>
  <si>
    <t>MURO T10</t>
  </si>
  <si>
    <t>MURO T11</t>
  </si>
  <si>
    <t>MURO T12</t>
  </si>
  <si>
    <t>MURO T13</t>
  </si>
  <si>
    <t>MURO T14</t>
  </si>
  <si>
    <t>MURO T15</t>
  </si>
  <si>
    <t>MURO T16</t>
  </si>
  <si>
    <t>MURO T17</t>
  </si>
  <si>
    <t>MURO T18</t>
  </si>
  <si>
    <t>MURO T19</t>
  </si>
  <si>
    <t>MURO T20</t>
  </si>
  <si>
    <t>MURO T21</t>
  </si>
  <si>
    <t>MURO T22</t>
  </si>
  <si>
    <t>MURO T23</t>
  </si>
  <si>
    <t>MURO T24</t>
  </si>
  <si>
    <t>MURO T25</t>
  </si>
  <si>
    <t>MURO T26</t>
  </si>
  <si>
    <t>MURO T27</t>
  </si>
  <si>
    <t>MURO T28</t>
  </si>
  <si>
    <t>MURO T29</t>
  </si>
  <si>
    <t>MURO T30</t>
  </si>
  <si>
    <t>MURO T31</t>
  </si>
  <si>
    <t>MURO T32</t>
  </si>
  <si>
    <t>MURO T33</t>
  </si>
  <si>
    <t>MURO T34</t>
  </si>
  <si>
    <t>MURO T35</t>
  </si>
  <si>
    <t>MURO B-1</t>
  </si>
  <si>
    <t>MURO B-2</t>
  </si>
  <si>
    <t>MURO B-3</t>
  </si>
  <si>
    <t>D-1</t>
  </si>
  <si>
    <t>D-7</t>
  </si>
  <si>
    <t>D-8</t>
  </si>
  <si>
    <t>D-9</t>
  </si>
  <si>
    <t>D-10</t>
  </si>
  <si>
    <t>D-11</t>
  </si>
  <si>
    <t>D-12</t>
  </si>
  <si>
    <t>D-13</t>
  </si>
  <si>
    <t>D-14</t>
  </si>
  <si>
    <t>D-15</t>
  </si>
  <si>
    <t>D-16</t>
  </si>
  <si>
    <t>D-17</t>
  </si>
  <si>
    <t>D-18</t>
  </si>
  <si>
    <t>D-19</t>
  </si>
  <si>
    <t>02.03.00.00</t>
  </si>
  <si>
    <t>02.04.00.00</t>
  </si>
  <si>
    <t>02.05.00.00</t>
  </si>
  <si>
    <t>02.08.00.00</t>
  </si>
  <si>
    <t>02.09.00.00</t>
  </si>
  <si>
    <t>03.03.00.00</t>
  </si>
  <si>
    <t>03.03.01.00</t>
  </si>
  <si>
    <t>03.03.02.00</t>
  </si>
  <si>
    <t>03.04.00.00</t>
  </si>
  <si>
    <t>03.04.01.00</t>
  </si>
  <si>
    <t>04.00.00.00</t>
  </si>
  <si>
    <t>04.01.00.00</t>
  </si>
  <si>
    <t>04.01.01.00</t>
  </si>
  <si>
    <t>04.01.02.00</t>
  </si>
  <si>
    <t>04.01.03.00</t>
  </si>
  <si>
    <t>04.05.00.00</t>
  </si>
  <si>
    <t>04.05.01.00</t>
  </si>
  <si>
    <t>04.05.02.00</t>
  </si>
  <si>
    <t>04.05.03.00</t>
  </si>
  <si>
    <t>04.06.00.00</t>
  </si>
  <si>
    <t>04.06.01.00</t>
  </si>
  <si>
    <t>04.06.02.00</t>
  </si>
  <si>
    <t>04.06.03.00</t>
  </si>
  <si>
    <t>04.07.00.00</t>
  </si>
  <si>
    <t>04.07.01.00</t>
  </si>
  <si>
    <t>04.07.02.00</t>
  </si>
  <si>
    <t>04.07.03.00</t>
  </si>
  <si>
    <t>04.07.04.00</t>
  </si>
  <si>
    <t>04.08.00.00</t>
  </si>
  <si>
    <t>04.08.01.00</t>
  </si>
  <si>
    <t>04.08.02.00</t>
  </si>
  <si>
    <t>04.08.03.00</t>
  </si>
  <si>
    <t>04.09.00.00</t>
  </si>
  <si>
    <t>04.09.01.00</t>
  </si>
  <si>
    <t>04.09.02.00</t>
  </si>
  <si>
    <t>04.09.03.00</t>
  </si>
  <si>
    <t>COLUMNETA TÍPICA</t>
  </si>
  <si>
    <t>LOSA M. 3</t>
  </si>
  <si>
    <t>LOSA M. 4</t>
  </si>
  <si>
    <t>LOSA M. 5</t>
  </si>
  <si>
    <t>LOSA M. 6</t>
  </si>
  <si>
    <t>LOZA M. 3</t>
  </si>
  <si>
    <t>LOZA M. 4</t>
  </si>
  <si>
    <t>LOZA M. 5</t>
  </si>
  <si>
    <t>LOZA M. 6</t>
  </si>
  <si>
    <t>PAÑO 11</t>
  </si>
  <si>
    <t>ACERO NEGATIVO</t>
  </si>
  <si>
    <t>CONCRETO SIMPLE</t>
  </si>
  <si>
    <t>CONCRETO ARMADO + MUROS PORTANTES</t>
  </si>
  <si>
    <t>TABIQUERÍA</t>
  </si>
  <si>
    <t>INST. ELÉCTRICAS</t>
  </si>
  <si>
    <t>INST. SANITARIAS</t>
  </si>
  <si>
    <t>APUNTALAMIENTO ESTRUCTURAL</t>
  </si>
  <si>
    <t>DEMOLICIÓN MANUAL CON ROTOMARTILLO 3 PISOS Y AZOTEA</t>
  </si>
  <si>
    <t>CC-11</t>
  </si>
  <si>
    <t>CC-12</t>
  </si>
  <si>
    <t>OBRAS PRELIMINARES Y MOVIMIENTO DE TIERRAS</t>
  </si>
  <si>
    <t xml:space="preserve">1 ER PISO </t>
  </si>
  <si>
    <t>TABIQUERIA</t>
  </si>
  <si>
    <t>OBRAS HUMEDAS</t>
  </si>
  <si>
    <t>INSTALACIONES ELECTRICAS</t>
  </si>
  <si>
    <t xml:space="preserve">INSTALACIONES SANITARIAS </t>
  </si>
  <si>
    <t>2 DO PISO</t>
  </si>
  <si>
    <t xml:space="preserve">GASTOS GENERALES </t>
  </si>
  <si>
    <t xml:space="preserve">PRESUPUESTO TOTAL </t>
  </si>
  <si>
    <t>DEMOLICIÓN PARCIAL</t>
  </si>
  <si>
    <t>ADELANTO</t>
  </si>
  <si>
    <t>ADELANTO 15%</t>
  </si>
  <si>
    <t>SEM 01</t>
  </si>
  <si>
    <t>SEM 02</t>
  </si>
  <si>
    <t>SEM 03</t>
  </si>
  <si>
    <t>SEM 04</t>
  </si>
  <si>
    <t>SEM 05</t>
  </si>
  <si>
    <t>SEM 06</t>
  </si>
  <si>
    <t>SEM 07</t>
  </si>
  <si>
    <t>SEM 08</t>
  </si>
  <si>
    <t>SEM 09</t>
  </si>
  <si>
    <t>SEM 10</t>
  </si>
  <si>
    <t>SEM 11</t>
  </si>
  <si>
    <t>SEM 12</t>
  </si>
  <si>
    <t>SEM 13</t>
  </si>
  <si>
    <t>SEM 14</t>
  </si>
  <si>
    <t>SEM 15</t>
  </si>
  <si>
    <t>SEM 16</t>
  </si>
  <si>
    <t>semana 01</t>
  </si>
  <si>
    <t>semana 02</t>
  </si>
  <si>
    <t>semana 03</t>
  </si>
  <si>
    <t>semana 04</t>
  </si>
  <si>
    <t>semana 05</t>
  </si>
  <si>
    <t>semana 06</t>
  </si>
  <si>
    <t>semana 07</t>
  </si>
  <si>
    <t>semana 08</t>
  </si>
  <si>
    <t>semana 09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</si>
  <si>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</si>
  <si>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</si>
  <si>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</si>
  <si>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</si>
  <si>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</si>
  <si>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</si>
  <si>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</si>
  <si>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</si>
  <si>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</si>
  <si>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</si>
  <si>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</si>
  <si>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</si>
  <si>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</si>
  <si>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</si>
  <si>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</si>
  <si>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</si>
  <si>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</si>
  <si>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</si>
  <si>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</si>
  <si>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</si>
  <si>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</si>
  <si>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</si>
  <si>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</si>
  <si>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PRESUPUESTO DE OBRA</t>
  </si>
  <si>
    <t>VALORIZACIONES</t>
  </si>
  <si>
    <t>ADITIVOS SIKADUR GEL 32</t>
  </si>
  <si>
    <t>COLOCACIÓN DE ADITIVOS</t>
  </si>
  <si>
    <t>CABLEADO DE ALIMENTADORES Y CIRCUITOS ELÉCTRICOS</t>
  </si>
  <si>
    <t>SALIDAS DE ALUMBRADO, TOMAS Y AIRE ACONDICIONADO</t>
  </si>
  <si>
    <t>SALIDAS DE DETECCIÓN DE ALARMA CONTRAINCENDIO</t>
  </si>
  <si>
    <t>SALIDAS DE VIDEO VIGILANCIA Y CCTV (SIN CABLEADO)</t>
  </si>
  <si>
    <t>SALIDAS DE COMUNICACIONES (SIN CABLEADO)</t>
  </si>
  <si>
    <t>CANALIZACIÓN Y ENTUBADOS DE PVC EMPORTADO</t>
  </si>
  <si>
    <t>COLOCACIÓN DE TABLERO ELÉCTRICOS (SIN EQUIPO)</t>
  </si>
  <si>
    <t xml:space="preserve">SALIDAS DE AGUA </t>
  </si>
  <si>
    <t>SALIDAS DE DESAGÚE</t>
  </si>
  <si>
    <t>CAJAS DE REGISTRO</t>
  </si>
  <si>
    <t>TUBERIAS Y MONTANTES DE AGUA FRÍA</t>
  </si>
  <si>
    <t>DESAGUE Y MONTANTES DE AGUA FRIA</t>
  </si>
  <si>
    <t>02.01.00.00</t>
  </si>
  <si>
    <t>02.02.00.00</t>
  </si>
  <si>
    <t>03.01.02.00</t>
  </si>
  <si>
    <t>03.01.03.00</t>
  </si>
  <si>
    <t>03.01.04.00</t>
  </si>
  <si>
    <t>03.01.02.01</t>
  </si>
  <si>
    <t>03.01.03.01</t>
  </si>
  <si>
    <t>03.01.03.02</t>
  </si>
  <si>
    <t>03.01.04.01</t>
  </si>
  <si>
    <t>04.02.00.00</t>
  </si>
  <si>
    <t>04.02.01.00</t>
  </si>
  <si>
    <t>04.02.02.00</t>
  </si>
  <si>
    <t>04.03.00.00</t>
  </si>
  <si>
    <t>04.04.00.00</t>
  </si>
  <si>
    <t>04.03.01.00</t>
  </si>
  <si>
    <t>04.03.02.00</t>
  </si>
  <si>
    <t>04.03.03.00</t>
  </si>
  <si>
    <t>04.04.01.00</t>
  </si>
  <si>
    <t>04.04.02.00</t>
  </si>
  <si>
    <t>04.04.03.00</t>
  </si>
  <si>
    <t>04.04.04.00</t>
  </si>
  <si>
    <t>05.00.00.00</t>
  </si>
  <si>
    <t>05.01.00.00</t>
  </si>
  <si>
    <t>05.01.01.00</t>
  </si>
  <si>
    <t>05.01.02.00</t>
  </si>
  <si>
    <t>03.05.00.00</t>
  </si>
  <si>
    <t>03.06.00.00</t>
  </si>
  <si>
    <t>03.06.01.00</t>
  </si>
  <si>
    <t>03.06.02.00</t>
  </si>
  <si>
    <t>03.06.03.00</t>
  </si>
  <si>
    <t>03.06.04.00</t>
  </si>
  <si>
    <t>03.06.05.00</t>
  </si>
  <si>
    <t>03.05.01.00</t>
  </si>
  <si>
    <t>03.05.02.00</t>
  </si>
  <si>
    <t>03.05.03.00</t>
  </si>
  <si>
    <t>03.05.04.00</t>
  </si>
  <si>
    <t>03.05.05.00</t>
  </si>
  <si>
    <t>03.05.06.00</t>
  </si>
  <si>
    <t>03.05.07.00</t>
  </si>
  <si>
    <t>03.04.02.00</t>
  </si>
  <si>
    <t>03.04.03.00</t>
  </si>
  <si>
    <t>03.04.04.00</t>
  </si>
  <si>
    <t>03.04.05.00</t>
  </si>
  <si>
    <t>03.04.06.00</t>
  </si>
  <si>
    <t>03.04.07.00</t>
  </si>
  <si>
    <t>03.04.08.00</t>
  </si>
  <si>
    <t>03.02.01.01</t>
  </si>
  <si>
    <t>03.02.01.02</t>
  </si>
  <si>
    <t>03.02.01.03</t>
  </si>
  <si>
    <t>03.02.02.00</t>
  </si>
  <si>
    <t>03.02.02.01</t>
  </si>
  <si>
    <t>03.02.02.02</t>
  </si>
  <si>
    <t>03.02.02.03</t>
  </si>
  <si>
    <t>03.02.03.00</t>
  </si>
  <si>
    <t>03.02.03.01</t>
  </si>
  <si>
    <t>03.02.03.02</t>
  </si>
  <si>
    <t>03.02.03.03</t>
  </si>
  <si>
    <t>03.02.04.00</t>
  </si>
  <si>
    <t>03.02.04.01</t>
  </si>
  <si>
    <t>03.02.04.02</t>
  </si>
  <si>
    <t>03.02.04.03</t>
  </si>
  <si>
    <t>03.02.04.04</t>
  </si>
  <si>
    <t>03.02.05.00</t>
  </si>
  <si>
    <t>03.02.05.01</t>
  </si>
  <si>
    <t>03.02.05.02</t>
  </si>
  <si>
    <t>03.02.05.03</t>
  </si>
  <si>
    <t>03.02.06.00</t>
  </si>
  <si>
    <t>03.02.06.01</t>
  </si>
  <si>
    <t>03.02.06.02</t>
  </si>
  <si>
    <t>03.02.06.03</t>
  </si>
  <si>
    <t>03.02.07.00</t>
  </si>
  <si>
    <t>03.02.07.01</t>
  </si>
  <si>
    <t>CONCRETO ARMADO</t>
  </si>
  <si>
    <t>04.01.01.01</t>
  </si>
  <si>
    <t>04.01.01.02</t>
  </si>
  <si>
    <t>04.01.01.03</t>
  </si>
  <si>
    <t>05.01.01.01</t>
  </si>
  <si>
    <t>05.01.01.02</t>
  </si>
  <si>
    <t>05.01.01.03</t>
  </si>
  <si>
    <t>04.01.02.01</t>
  </si>
  <si>
    <t>04.01.02.02</t>
  </si>
  <si>
    <t>04.01.04.00</t>
  </si>
  <si>
    <t>04.01.02.03</t>
  </si>
  <si>
    <t>04.01.03.01</t>
  </si>
  <si>
    <t>04.01.03.02</t>
  </si>
  <si>
    <t>04.01.03.03</t>
  </si>
  <si>
    <t>04.01.03.04</t>
  </si>
  <si>
    <t>04.01.04.01</t>
  </si>
  <si>
    <t>04.01.04.02</t>
  </si>
  <si>
    <t>04.01.04.03</t>
  </si>
  <si>
    <t>04.04.05.00</t>
  </si>
  <si>
    <t>04.04.06.00</t>
  </si>
  <si>
    <t>04.05.04.00</t>
  </si>
  <si>
    <t>05.01.02.01</t>
  </si>
  <si>
    <t>05.01.02.02</t>
  </si>
  <si>
    <t>05.01.02.03</t>
  </si>
  <si>
    <t>05.01.03.00</t>
  </si>
  <si>
    <t>05.01.03.01</t>
  </si>
  <si>
    <t>05.01.03.02</t>
  </si>
  <si>
    <t>05.01.03.03</t>
  </si>
  <si>
    <t>05.01.03.04</t>
  </si>
  <si>
    <t>05.01.05.00</t>
  </si>
  <si>
    <t>05.02.00.00</t>
  </si>
  <si>
    <t>05.02.01.00</t>
  </si>
  <si>
    <t>05.02.02.00</t>
  </si>
  <si>
    <t>05.03.00.00</t>
  </si>
  <si>
    <t>05.03.01.00</t>
  </si>
  <si>
    <t>05.05.00.00</t>
  </si>
  <si>
    <t>05.05.01.00</t>
  </si>
  <si>
    <t>05.05.02.00</t>
  </si>
  <si>
    <t>05.05.03.00</t>
  </si>
  <si>
    <t>05.01.04.01</t>
  </si>
  <si>
    <t>05.01.04.02</t>
  </si>
  <si>
    <t>05.01.04.03</t>
  </si>
  <si>
    <t>04.03.05.00</t>
  </si>
  <si>
    <t>04.03.06.00</t>
  </si>
  <si>
    <t>04.03.07.00</t>
  </si>
  <si>
    <t>04.03.08.00</t>
  </si>
  <si>
    <t>04.03.09.00</t>
  </si>
  <si>
    <t>05.03.02.00</t>
  </si>
  <si>
    <t>05.03.03.00</t>
  </si>
  <si>
    <t>05.03.05.00</t>
  </si>
  <si>
    <t>05.03.06.00</t>
  </si>
  <si>
    <t>05.03.07.00</t>
  </si>
  <si>
    <t>05.03.08.00</t>
  </si>
  <si>
    <t>05.03.09.00</t>
  </si>
  <si>
    <t>05.04.00.00</t>
  </si>
  <si>
    <t>05.04.01.00</t>
  </si>
  <si>
    <t>05.04.02.00</t>
  </si>
  <si>
    <t>05.04.03.00</t>
  </si>
  <si>
    <t>05.04.05.00</t>
  </si>
  <si>
    <t>05.04.06.00</t>
  </si>
  <si>
    <t>05.04.04.00</t>
  </si>
  <si>
    <t>05.05.04.00</t>
  </si>
  <si>
    <t>PRESUPUESTO DE OBRA POR PARTIDAS</t>
  </si>
  <si>
    <t>D</t>
  </si>
  <si>
    <t>L</t>
  </si>
  <si>
    <t>X</t>
  </si>
  <si>
    <t>J</t>
  </si>
  <si>
    <t>V</t>
  </si>
  <si>
    <t>S</t>
  </si>
  <si>
    <t>Semana 01 (01/06 al 06/05)</t>
  </si>
  <si>
    <t>ACTIVIDAD RELACIONADA</t>
  </si>
  <si>
    <t>Fecha Max.</t>
  </si>
  <si>
    <t>TIPO DE RESTRICCIÓN</t>
  </si>
  <si>
    <t>RESPONSABLE</t>
  </si>
  <si>
    <t>FINANZAS</t>
  </si>
  <si>
    <t>O.F. TECNICA</t>
  </si>
  <si>
    <t>M.OBRA</t>
  </si>
  <si>
    <t>Expediente de Anexo H</t>
  </si>
  <si>
    <t>Ing.Willy / Ing. Guillermo</t>
  </si>
  <si>
    <t>ANÁLISIS DE RESTRICCIONES</t>
  </si>
  <si>
    <t>Cartel de Obra</t>
  </si>
  <si>
    <t>Francesa Barbieri</t>
  </si>
  <si>
    <t>MONTO ESTIMADO</t>
  </si>
  <si>
    <t>Ing. Guillermo / Barbieri</t>
  </si>
  <si>
    <t>============</t>
  </si>
  <si>
    <t>MONTO ESTIMADO DE INVERSIÓN</t>
  </si>
  <si>
    <t>EPPs, completos, polos y chalecos</t>
  </si>
  <si>
    <t>Planos de demolición</t>
  </si>
  <si>
    <t>Arq. Pierina / Arq. Alan</t>
  </si>
  <si>
    <t>MONTO DE CONTRATO DE OBRA =</t>
  </si>
  <si>
    <t>Fecha</t>
  </si>
  <si>
    <t>Monto</t>
  </si>
  <si>
    <t>Cuenta</t>
  </si>
  <si>
    <t>ADELANTO TOTAL</t>
  </si>
  <si>
    <t>Adelanto de obra 1</t>
  </si>
  <si>
    <t>Cuenta dolares Guillermo Casallo</t>
  </si>
  <si>
    <t>Semana 01</t>
  </si>
  <si>
    <t>Semana 02</t>
  </si>
  <si>
    <t>Depósito total =</t>
  </si>
  <si>
    <t>Saldo de obra =</t>
  </si>
  <si>
    <t>MONTO DE SUBCONTRATO =</t>
  </si>
  <si>
    <t>Mano de obra casco gris</t>
  </si>
  <si>
    <t>Semana 03</t>
  </si>
  <si>
    <t>Semana 04</t>
  </si>
  <si>
    <t>Semana 05</t>
  </si>
  <si>
    <t>Semana 06</t>
  </si>
  <si>
    <t>Semana 07</t>
  </si>
  <si>
    <t>Semana 08</t>
  </si>
  <si>
    <t>Semana 09</t>
  </si>
  <si>
    <t>Semana 10</t>
  </si>
  <si>
    <t>Semana 11</t>
  </si>
  <si>
    <t>Semana 12</t>
  </si>
  <si>
    <t>Semana 13</t>
  </si>
  <si>
    <t>Semana 14</t>
  </si>
  <si>
    <t>TOTAL PAGADO</t>
  </si>
  <si>
    <t>MONTO ADJUDICADO DE OBRA</t>
  </si>
  <si>
    <t>INGRESOS</t>
  </si>
  <si>
    <t>Sem 01</t>
  </si>
  <si>
    <t>Sem 02</t>
  </si>
  <si>
    <t>Sem 03</t>
  </si>
  <si>
    <t>Sem 04</t>
  </si>
  <si>
    <t>Sem 05</t>
  </si>
  <si>
    <t>Valorizaciones</t>
  </si>
  <si>
    <t>TOTAL DE INGRESOS</t>
  </si>
  <si>
    <t>EGRESOS</t>
  </si>
  <si>
    <t>Costo Materiales y otros</t>
  </si>
  <si>
    <t>Seguridad y salud</t>
  </si>
  <si>
    <t>Movimiento de tierras</t>
  </si>
  <si>
    <t>Subcontrato de Demolición</t>
  </si>
  <si>
    <t>Adelanto de desmontaje</t>
  </si>
  <si>
    <t>Mano de Obra y equipos</t>
  </si>
  <si>
    <t>Subcontrato de Obra gruesa</t>
  </si>
  <si>
    <t>TOTAL COSTO INDIRECTO</t>
  </si>
  <si>
    <t>COSTO INDIRECTO</t>
  </si>
  <si>
    <t>Residente de Obra</t>
  </si>
  <si>
    <t>Seguros y polizas</t>
  </si>
  <si>
    <t>Gastos varios</t>
  </si>
  <si>
    <t>TOTAL DE EGRESOS</t>
  </si>
  <si>
    <t>SALDO OPERATIVO</t>
  </si>
  <si>
    <t>Adelanto de obra</t>
  </si>
  <si>
    <t>Eliminación de desmonte</t>
  </si>
  <si>
    <t>Adelanto de subcontratista</t>
  </si>
  <si>
    <t>INC IGV</t>
  </si>
  <si>
    <t>FLUJO DE CAJA OBRA SURQUILLO</t>
  </si>
  <si>
    <t>A suma alzada</t>
  </si>
  <si>
    <t>DEMOLICIÓN DE MUROS DE AZOTEA</t>
  </si>
  <si>
    <t>LOOKAHEAD PLANNING - OBRA SURQUILLO</t>
  </si>
  <si>
    <t>Compras de palos y malla raschell</t>
  </si>
  <si>
    <t>planner</t>
  </si>
  <si>
    <t>jefe de produccion</t>
  </si>
  <si>
    <t>residente de obra</t>
  </si>
  <si>
    <t>CRONOGRAMA DE OBRA</t>
  </si>
  <si>
    <t>ESTATUS</t>
  </si>
  <si>
    <t>Semana 02 (08/06 al 13/06)</t>
  </si>
  <si>
    <t>DEMOLICIÓN DE MUROS Y PISO DE 3ER PISO</t>
  </si>
  <si>
    <t>DEMOLICIÓN DE MUROS Y PISO DE 2DO PISO</t>
  </si>
  <si>
    <t>DEMOLICIÓN DE MUROS Y PISO DE 1ER PISO</t>
  </si>
  <si>
    <t>Actualizacion de planos de Arquitectura</t>
  </si>
  <si>
    <t>Actualizacion de planos de Estructuras</t>
  </si>
  <si>
    <t>Ing. Willy / Ing. Cristhian</t>
  </si>
  <si>
    <t>DEMOLICIÓN DE ZANJA PARA ZAPATAS</t>
  </si>
  <si>
    <t>SOLADO DE CONCRETO</t>
  </si>
  <si>
    <t>DEMOLICIÓN Y MOVIMIENTO DE TIERRAS</t>
  </si>
  <si>
    <t>COMPACTACIÓN PARA ZAPATAS</t>
  </si>
  <si>
    <t>ACERO DE ZAPATAS</t>
  </si>
  <si>
    <t>EXCAVACIÓN MANUAL DE ZANJA EN ZAPATAS</t>
  </si>
  <si>
    <t>VACIADO DE ZAPATAS</t>
  </si>
  <si>
    <t>ACERO DE PLACAS</t>
  </si>
  <si>
    <t>ENCOFRADO DE PLACAS</t>
  </si>
  <si>
    <t>Semana 03 (15/06 al 20/06)</t>
  </si>
  <si>
    <t>METRADO PLANIFICADO</t>
  </si>
  <si>
    <t>METRADO REALIZADO</t>
  </si>
  <si>
    <t>% CUMPLIMIENTO</t>
  </si>
  <si>
    <t>CUMPLIMIENTO</t>
  </si>
  <si>
    <t>SI/NO</t>
  </si>
  <si>
    <t>ANALISIS DE CAUSAS DE INCUMPLIMIENTO &amp; MEDIDAS CORRECTIVAS</t>
  </si>
  <si>
    <t>TIPO</t>
  </si>
  <si>
    <t>COMENTARIO</t>
  </si>
  <si>
    <t>MEDIDA CORRECTIVVA</t>
  </si>
  <si>
    <t>CAUSAS DE INCUMPLIMIENTO</t>
  </si>
  <si>
    <t>COD</t>
  </si>
  <si>
    <t>CLI-MAT</t>
  </si>
  <si>
    <t xml:space="preserve">CLIENTE - MATERIALES </t>
  </si>
  <si>
    <t>CLI-ING</t>
  </si>
  <si>
    <t xml:space="preserve">CLIENTE - INGENIERÍA </t>
  </si>
  <si>
    <t>CLI-PRI</t>
  </si>
  <si>
    <t xml:space="preserve">CLIENTE - PRIORIDADES </t>
  </si>
  <si>
    <t>CLI-CAM</t>
  </si>
  <si>
    <t>CLIENTE - CAMBIO</t>
  </si>
  <si>
    <t>MAT</t>
  </si>
  <si>
    <t>DT</t>
  </si>
  <si>
    <t xml:space="preserve">DOCUMENTACION TECNICA  </t>
  </si>
  <si>
    <t>AP</t>
  </si>
  <si>
    <t xml:space="preserve">ACTIVIDADES PREVIAS </t>
  </si>
  <si>
    <t>EXT</t>
  </si>
  <si>
    <t>EXTERNO</t>
  </si>
  <si>
    <t>EE</t>
  </si>
  <si>
    <t>ERRORES DE EJECUCION</t>
  </si>
  <si>
    <t>QC</t>
  </si>
  <si>
    <t xml:space="preserve">CONTROL DE CALIDAD </t>
  </si>
  <si>
    <t>PER</t>
  </si>
  <si>
    <t>PERSONAL</t>
  </si>
  <si>
    <t>EQ</t>
  </si>
  <si>
    <t>PROG</t>
  </si>
  <si>
    <t>PROGRAMACIÓN</t>
  </si>
  <si>
    <t>IOF</t>
  </si>
  <si>
    <t>INCUMPLIMIENTO DE OTRO FRENTE</t>
  </si>
  <si>
    <t>CALCULO DE PPC</t>
  </si>
  <si>
    <t>ACTIVIDADES CUMPLIDAS (100%)</t>
  </si>
  <si>
    <t xml:space="preserve">ACTIVIDADES NO CUMPLIDAS </t>
  </si>
  <si>
    <t>ACTIVIDADES PROGRAMADAS</t>
  </si>
  <si>
    <t>% DE CUMPLIMIENTO
(PPC)</t>
  </si>
  <si>
    <t>Fecha de corte :</t>
  </si>
  <si>
    <t>% de cumplimiento General del proyecto</t>
  </si>
  <si>
    <t>% cumplimiento</t>
  </si>
  <si>
    <t>Historico de % semanal de cumplimiento en PPC</t>
  </si>
  <si>
    <t>Actividades planificadas</t>
  </si>
  <si>
    <t>Actividades completadas</t>
  </si>
  <si>
    <t>Causas de incumplimiento Historico</t>
  </si>
  <si>
    <t>Semana</t>
  </si>
  <si>
    <t>CLIENTE</t>
  </si>
  <si>
    <t>CONSTRUCTOR</t>
  </si>
  <si>
    <t>PPC - OBRA SURQUILLO - SEMANA 1</t>
  </si>
  <si>
    <t>ANÁLISIS PPC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</si>
</sst>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7" formatCode="&quot;S/&quot;\ #,##0.00;\-&quot;S/&quot;\ #,##0.00"/>
    <numFmt numFmtId="8" formatCode="&quot;S/&quot;\ #,##0.00;[Red]\-&quot;S/&quot;\ #,##0.00"/>
    <numFmt numFmtId="164" formatCode="_ &quot;S/.&quot;\ * #,##0.00_ ;_ &quot;S/.&quot;\ * \-#,##0.00_ ;_ &quot;S/.&quot;\ * &quot;-&quot;??_ ;_ @_ "/>
    <numFmt numFmtId="165" formatCode="0.0000"/>
    <numFmt numFmtId="166" formatCode="&quot;S/&quot;#,##0.00"/>
    <numFmt numFmtId="167" formatCode="[$$-540A]#,##0.00"/>
    <numFmt numFmtId="168" formatCode="00.00"/>
    <numFmt numFmtId="169" formatCode="&quot;S/.&quot;#,##0.00;[Red]\-&quot;S/.&quot;#,##0.00"/>
    <numFmt numFmtId="170" formatCode="#,##0.000000000000_ ;[Red]\-#,##0.000000000000\ "/>
    <numFmt numFmtId="171" formatCode="00"/>
    <numFmt numFmtId="172" formatCode="&quot;S/&quot;\ #,##0.00"/>
    <numFmt numFmtId="173" formatCode="#,##0.000"/>
    <numFmt numFmtId="174" formatCode="#,##0.00_ ;[Red]\-#,##0.00\ "/>
    <numFmt numFmtId="175" formatCode="0.0%"/>
    <numFmt numFmtId="176" formatCode="&quot;S/&quot;\ #,##0.000"/>
    <numFmt numFmtId="177" formatCode="&quot;Del&quot;\ dd\-mmm"/>
    <numFmt numFmtId="178" formatCode="&quot;al &quot;dd\-mmm"/>
    <numFmt numFmtId="179" formatCode="&quot;Sem.&quot;\ 00"/>
    <numFmt numFmtId="180" formatCode="&quot;Semana&quot;\ 00"/>
  </numFmts>
  <fonts count="85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sz val="11"/>
      <color theme="0"/>
      <name val="Arial Narrow"/>
      <family val="2"/>
    </font>
    <font>
      <b/>
      <sz val="11"/>
      <color rgb="FFFF0000"/>
      <name val="Arial Narrow"/>
      <family val="2"/>
    </font>
    <font>
      <b/>
      <sz val="8"/>
      <color theme="1"/>
      <name val="Arial Narrow"/>
      <family val="2"/>
    </font>
    <font>
      <b/>
      <sz val="10"/>
      <color theme="1"/>
      <name val="Arial Narrow"/>
      <family val="2"/>
    </font>
    <font>
      <sz val="9"/>
      <color theme="1"/>
      <name val="Arial"/>
      <family val="2"/>
    </font>
    <font>
      <b/>
      <sz val="10"/>
      <color rgb="FFFF0000"/>
      <name val="Swis721 Ex BT"/>
      <family val="2"/>
    </font>
    <font>
      <b/>
      <sz val="7"/>
      <color theme="1"/>
      <name val="Arial"/>
      <family val="2"/>
    </font>
    <font>
      <b/>
      <sz val="7"/>
      <color theme="1"/>
      <name val="Arial Narrow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Arial Narrow"/>
      <family val="2"/>
    </font>
    <font>
      <b/>
      <sz val="15"/>
      <color theme="0"/>
      <name val="Arial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  <scheme val="minor"/>
    </font>
    <font>
      <b/>
      <sz val="11"/>
      <color rgb="FF000000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  <font>
      <sz val="8"/>
      <color theme="1"/>
      <name val="Arial Narrow"/>
      <family val="2"/>
    </font>
    <font>
      <b/>
      <sz val="10"/>
      <color rgb="FFFF0000"/>
      <name val="Arial"/>
      <family val="2"/>
    </font>
    <font>
      <b/>
      <sz val="11"/>
      <color rgb="FFFF0000"/>
      <name val="Arial Narrow"/>
      <family val="2"/>
    </font>
    <font>
      <sz val="10"/>
      <color rgb="FF000000"/>
      <name val="Arial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8"/>
      <color rgb="FF000000"/>
      <name val="Arial"/>
      <family val="2"/>
      <scheme val="minor"/>
    </font>
    <font>
      <b/>
      <sz val="7"/>
      <color theme="1"/>
      <name val="Arial Narrow"/>
      <family val="2"/>
    </font>
    <font>
      <b/>
      <sz val="11"/>
      <name val="Arial Narrow"/>
      <family val="2"/>
    </font>
    <font>
      <sz val="8"/>
      <name val="Arial"/>
      <family val="2"/>
    </font>
    <font>
      <b/>
      <sz val="8"/>
      <color theme="0"/>
      <name val="Arial Narrow"/>
      <family val="2"/>
    </font>
    <font>
      <sz val="8"/>
      <name val="Arial Narrow"/>
      <family val="2"/>
    </font>
    <font>
      <b/>
      <sz val="8"/>
      <name val="Arial Narrow"/>
      <family val="2"/>
    </font>
    <font>
      <b/>
      <sz val="10"/>
      <name val="Arial Narrow"/>
      <family val="2"/>
    </font>
    <font>
      <b/>
      <sz val="8.0500000000000007"/>
      <name val="Arial Narrow"/>
      <family val="2"/>
    </font>
    <font>
      <b/>
      <u/>
      <sz val="8"/>
      <name val="Arial Narrow"/>
      <family val="2"/>
    </font>
    <font>
      <sz val="10"/>
      <name val="Arial Narrow"/>
      <family val="2"/>
    </font>
    <font>
      <sz val="8.0500000000000007"/>
      <name val="Arial Narrow"/>
      <family val="2"/>
    </font>
    <font>
      <sz val="10"/>
      <color rgb="FF000000"/>
      <name val="Arial"/>
      <family val="2"/>
      <scheme val="minor"/>
    </font>
    <font>
      <sz val="8"/>
      <color theme="0"/>
      <name val="Arial Narrow"/>
      <family val="2"/>
    </font>
    <font>
      <b/>
      <sz val="14"/>
      <color theme="0"/>
      <name val="Arial"/>
      <family val="2"/>
      <scheme val="minor"/>
    </font>
    <font>
      <sz val="11"/>
      <name val="Arial Narrow"/>
      <family val="2"/>
    </font>
    <font>
      <b/>
      <sz val="18"/>
      <color theme="0"/>
      <name val="Arial Narrow"/>
      <family val="2"/>
    </font>
    <font>
      <sz val="10"/>
      <color theme="0"/>
      <name val="Arial"/>
      <family val="2"/>
      <scheme val="minor"/>
    </font>
    <font>
      <b/>
      <sz val="8"/>
      <color theme="0"/>
      <name val="Arial"/>
      <family val="2"/>
    </font>
    <font>
      <sz val="7"/>
      <name val="Arial"/>
      <family val="2"/>
    </font>
    <font>
      <b/>
      <sz val="7"/>
      <color theme="0"/>
      <name val="Arial"/>
      <family val="2"/>
    </font>
    <font>
      <sz val="7"/>
      <color theme="1"/>
      <name val="Arial Narrow"/>
      <family val="2"/>
    </font>
    <font>
      <sz val="7"/>
      <color rgb="FF000000"/>
      <name val="Arial"/>
      <family val="2"/>
      <scheme val="minor"/>
    </font>
    <font>
      <sz val="7"/>
      <color theme="1"/>
      <name val="Arial"/>
      <family val="2"/>
    </font>
    <font>
      <b/>
      <sz val="8"/>
      <color rgb="FFFFFFFF"/>
      <name val="Arial"/>
      <family val="2"/>
    </font>
    <font>
      <b/>
      <sz val="14"/>
      <color theme="0"/>
      <name val="Swis721 Ex BT"/>
      <family val="2"/>
    </font>
    <font>
      <sz val="10"/>
      <color rgb="FF000000"/>
      <name val="Arial Narrow"/>
      <family val="2"/>
    </font>
    <font>
      <sz val="10"/>
      <color theme="1"/>
      <name val="Arial Narrow"/>
      <family val="2"/>
    </font>
    <font>
      <sz val="8"/>
      <name val="Arial"/>
      <family val="2"/>
      <scheme val="minor"/>
    </font>
    <font>
      <b/>
      <sz val="10"/>
      <color theme="0"/>
      <name val="Arial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8"/>
      <name val="Arial"/>
      <family val="2"/>
      <scheme val="minor"/>
    </font>
    <font>
      <sz val="8"/>
      <color rgb="FF000000"/>
      <name val="Arial Narrow"/>
      <family val="2"/>
    </font>
    <font>
      <i/>
      <sz val="8"/>
      <color theme="1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Arial Narrow"/>
      <family val="2"/>
    </font>
    <font>
      <b/>
      <sz val="10"/>
      <color rgb="FF000000"/>
      <name val="Arial"/>
      <family val="2"/>
      <scheme val="minor"/>
    </font>
    <font>
      <b/>
      <sz val="12"/>
      <color theme="0"/>
      <name val="Arial"/>
      <family val="2"/>
      <scheme val="minor"/>
    </font>
    <font>
      <b/>
      <sz val="10"/>
      <color rgb="FF000000"/>
      <name val="Calibri"/>
      <family val="2"/>
    </font>
    <font>
      <sz val="11"/>
      <color theme="1"/>
      <name val="Calibri"/>
      <family val="2"/>
    </font>
    <font>
      <b/>
      <sz val="10"/>
      <color theme="0"/>
      <name val="Arial Narrow"/>
      <family val="2"/>
    </font>
    <font>
      <sz val="20"/>
      <color theme="1"/>
      <name val="Arial Black"/>
      <family val="2"/>
    </font>
    <font>
      <b/>
      <sz val="11"/>
      <color rgb="FF0070C0"/>
      <name val="Arial Narrow"/>
      <family val="2"/>
    </font>
    <font>
      <b/>
      <sz val="12"/>
      <color theme="0"/>
      <name val="Arial Narrow"/>
      <family val="2"/>
    </font>
    <font>
      <sz val="11"/>
      <color theme="0"/>
      <name val="Arial"/>
      <family val="2"/>
      <scheme val="minor"/>
    </font>
    <font>
      <b/>
      <sz val="14"/>
      <color theme="1"/>
      <name val="Arial"/>
      <family val="2"/>
    </font>
    <font>
      <sz val="11"/>
      <name val="Arial"/>
      <family val="2"/>
      <scheme val="minor"/>
    </font>
    <font>
      <sz val="11"/>
      <color theme="1"/>
      <name val="Cambria"/>
      <family val="1"/>
    </font>
    <font>
      <sz val="8"/>
      <color theme="1"/>
      <name val="Arial"/>
      <family val="2"/>
      <scheme val="minor"/>
    </font>
    <font>
      <b/>
      <sz val="14"/>
      <color rgb="FF000000"/>
      <name val="Calibri"/>
      <family val="2"/>
    </font>
    <font>
      <sz val="14"/>
      <color rgb="FF000000"/>
      <name val="Arial"/>
      <family val="2"/>
      <scheme val="minor"/>
    </font>
    <font>
      <b/>
      <sz val="18"/>
      <color theme="1"/>
      <name val="Arial"/>
      <family val="2"/>
      <scheme val="minor"/>
    </font>
  </fonts>
  <fills count="58">
    <fill>
      <patternFill patternType="none"/>
    </fill>
    <fill>
      <patternFill patternType="gray125"/>
    </fill>
    <fill>
      <patternFill patternType="solid">
        <fgColor rgb="FF244061"/>
        <bgColor rgb="FF244061"/>
      </patternFill>
    </fill>
    <fill>
      <patternFill patternType="solid">
        <fgColor rgb="FFF2DBDB"/>
        <bgColor rgb="FFF2DBDB"/>
      </patternFill>
    </fill>
    <fill>
      <patternFill patternType="solid">
        <fgColor rgb="FFEAF1DD"/>
        <bgColor rgb="FFEAF1DD"/>
      </patternFill>
    </fill>
    <fill>
      <patternFill patternType="solid">
        <fgColor rgb="FFC6D9F0"/>
        <bgColor rgb="FFC6D9F0"/>
      </patternFill>
    </fill>
    <fill>
      <patternFill patternType="solid">
        <fgColor rgb="FFFBD4B4"/>
        <bgColor rgb="FFFBD4B4"/>
      </patternFill>
    </fill>
    <fill>
      <patternFill patternType="solid">
        <fgColor rgb="FFD8D8D8"/>
        <bgColor rgb="FFD8D8D8"/>
      </patternFill>
    </fill>
    <fill>
      <patternFill patternType="solid">
        <fgColor rgb="FFC0C0C0"/>
        <bgColor rgb="FFC0C0C0"/>
      </patternFill>
    </fill>
    <fill>
      <patternFill patternType="solid">
        <fgColor rgb="FF548DD4"/>
        <bgColor rgb="FF548DD4"/>
      </patternFill>
    </fill>
    <fill>
      <patternFill patternType="solid">
        <fgColor theme="0"/>
        <bgColor theme="0"/>
      </patternFill>
    </fill>
    <fill>
      <patternFill patternType="solid">
        <fgColor rgb="FFB8CCE4"/>
        <bgColor rgb="FFB8CCE4"/>
      </patternFill>
    </fill>
    <fill>
      <patternFill patternType="solid">
        <fgColor rgb="FFFFFF99"/>
        <bgColor rgb="FFFFFF99"/>
      </patternFill>
    </fill>
    <fill>
      <patternFill patternType="solid">
        <fgColor rgb="FFFDE9D9"/>
        <bgColor rgb="FFFDE9D9"/>
      </patternFill>
    </fill>
    <fill>
      <patternFill patternType="solid">
        <fgColor rgb="FFFFFF00"/>
        <bgColor rgb="FFFFFF00"/>
      </patternFill>
    </fill>
    <fill>
      <patternFill patternType="solid">
        <fgColor rgb="FFD6E3BC"/>
        <bgColor rgb="FFD6E3BC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8" tint="0.79998168889431442"/>
        <bgColor indexed="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0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/>
        <bgColor rgb="FF548DD4"/>
      </patternFill>
    </fill>
    <fill>
      <patternFill patternType="solid">
        <fgColor theme="4" tint="-0.499984740745262"/>
        <bgColor rgb="FFB8CCE4"/>
      </patternFill>
    </fill>
    <fill>
      <patternFill patternType="solid">
        <fgColor theme="6" tint="-0.249977111117893"/>
        <bgColor rgb="FF548DD4"/>
      </patternFill>
    </fill>
    <fill>
      <patternFill patternType="solid">
        <fgColor rgb="FF24406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FF0000"/>
        <bgColor rgb="FFEAF1DD"/>
      </patternFill>
    </fill>
    <fill>
      <patternFill patternType="solid">
        <fgColor rgb="FF0070C0"/>
        <bgColor rgb="FF548DD4"/>
      </patternFill>
    </fill>
    <fill>
      <patternFill patternType="solid">
        <fgColor theme="9" tint="-0.249977111117893"/>
        <bgColor rgb="FF548DD4"/>
      </patternFill>
    </fill>
    <fill>
      <patternFill patternType="solid">
        <fgColor rgb="FFFDE9D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2060"/>
        <bgColor rgb="FF002060"/>
      </patternFill>
    </fill>
    <fill>
      <patternFill patternType="solid">
        <fgColor rgb="FFFF0000"/>
        <bgColor rgb="FFFF0000"/>
      </patternFill>
    </fill>
    <fill>
      <patternFill patternType="solid">
        <fgColor theme="4" tint="0.59999389629810485"/>
        <bgColor theme="9"/>
      </patternFill>
    </fill>
    <fill>
      <patternFill patternType="solid">
        <fgColor theme="4" tint="0.59999389629810485"/>
        <bgColor rgb="FFD6E3BC"/>
      </patternFill>
    </fill>
    <fill>
      <patternFill patternType="solid">
        <fgColor theme="4" tint="0.59999389629810485"/>
        <bgColor rgb="FFB6DDE8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E5B8B7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/>
        <bgColor indexed="64"/>
      </patternFill>
    </fill>
  </fills>
  <borders count="7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3" fillId="0" borderId="10"/>
    <xf numFmtId="0" fontId="2" fillId="0" borderId="10"/>
    <xf numFmtId="9" fontId="3" fillId="0" borderId="10" applyFont="0" applyFill="0" applyBorder="0" applyAlignment="0" applyProtection="0"/>
    <xf numFmtId="0" fontId="3" fillId="0" borderId="10"/>
    <xf numFmtId="0" fontId="3" fillId="0" borderId="10"/>
    <xf numFmtId="9" fontId="44" fillId="0" borderId="0" applyFont="0" applyFill="0" applyBorder="0" applyAlignment="0" applyProtection="0"/>
    <xf numFmtId="0" fontId="3" fillId="0" borderId="10"/>
    <xf numFmtId="0" fontId="1" fillId="0" borderId="10"/>
    <xf numFmtId="9" fontId="1" fillId="0" borderId="10" applyFont="0" applyFill="0" applyBorder="0" applyAlignment="0" applyProtection="0"/>
  </cellStyleXfs>
  <cellXfs count="934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2" fontId="6" fillId="0" borderId="0" xfId="0" applyNumberFormat="1" applyFont="1"/>
    <xf numFmtId="2" fontId="7" fillId="8" borderId="9" xfId="0" applyNumberFormat="1" applyFont="1" applyFill="1" applyBorder="1" applyAlignment="1">
      <alignment horizontal="center"/>
    </xf>
    <xf numFmtId="0" fontId="8" fillId="9" borderId="9" xfId="0" applyFont="1" applyFill="1" applyBorder="1" applyAlignment="1">
      <alignment horizontal="center" vertical="center"/>
    </xf>
    <xf numFmtId="0" fontId="8" fillId="9" borderId="9" xfId="0" applyFont="1" applyFill="1" applyBorder="1" applyAlignment="1">
      <alignment vertical="center"/>
    </xf>
    <xf numFmtId="0" fontId="7" fillId="4" borderId="9" xfId="0" applyFont="1" applyFill="1" applyBorder="1" applyAlignment="1">
      <alignment horizontal="center" vertical="center"/>
    </xf>
    <xf numFmtId="2" fontId="7" fillId="0" borderId="9" xfId="0" applyNumberFormat="1" applyFont="1" applyBorder="1" applyAlignment="1">
      <alignment horizontal="center"/>
    </xf>
    <xf numFmtId="0" fontId="7" fillId="0" borderId="6" xfId="0" applyFont="1" applyBorder="1" applyAlignment="1">
      <alignment vertical="center"/>
    </xf>
    <xf numFmtId="2" fontId="6" fillId="0" borderId="9" xfId="0" applyNumberFormat="1" applyFont="1" applyBorder="1" applyAlignment="1">
      <alignment horizontal="center"/>
    </xf>
    <xf numFmtId="4" fontId="7" fillId="0" borderId="9" xfId="0" applyNumberFormat="1" applyFont="1" applyBorder="1" applyAlignment="1">
      <alignment horizontal="right"/>
    </xf>
    <xf numFmtId="0" fontId="7" fillId="0" borderId="9" xfId="0" applyFont="1" applyBorder="1" applyAlignment="1">
      <alignment horizontal="center" vertical="center"/>
    </xf>
    <xf numFmtId="2" fontId="7" fillId="0" borderId="6" xfId="0" applyNumberFormat="1" applyFont="1" applyBorder="1" applyAlignment="1">
      <alignment horizontal="center"/>
    </xf>
    <xf numFmtId="0" fontId="8" fillId="0" borderId="9" xfId="0" applyFont="1" applyBorder="1" applyAlignment="1">
      <alignment horizontal="center" vertical="center"/>
    </xf>
    <xf numFmtId="2" fontId="6" fillId="0" borderId="0" xfId="0" applyNumberFormat="1" applyFont="1" applyAlignment="1">
      <alignment horizontal="center"/>
    </xf>
    <xf numFmtId="0" fontId="7" fillId="0" borderId="13" xfId="0" applyFont="1" applyBorder="1" applyAlignment="1">
      <alignment vertical="center"/>
    </xf>
    <xf numFmtId="0" fontId="6" fillId="0" borderId="9" xfId="0" applyFont="1" applyBorder="1" applyAlignment="1">
      <alignment horizontal="center" vertical="center"/>
    </xf>
    <xf numFmtId="2" fontId="6" fillId="0" borderId="0" xfId="0" applyNumberFormat="1" applyFont="1" applyAlignment="1">
      <alignment horizontal="left"/>
    </xf>
    <xf numFmtId="2" fontId="6" fillId="0" borderId="0" xfId="0" applyNumberFormat="1" applyFont="1" applyAlignment="1">
      <alignment horizontal="right"/>
    </xf>
    <xf numFmtId="2" fontId="12" fillId="0" borderId="0" xfId="0" applyNumberFormat="1" applyFont="1"/>
    <xf numFmtId="2" fontId="4" fillId="0" borderId="0" xfId="0" applyNumberFormat="1" applyFont="1"/>
    <xf numFmtId="0" fontId="15" fillId="7" borderId="9" xfId="0" applyFont="1" applyFill="1" applyBorder="1" applyAlignment="1">
      <alignment horizontal="center" vertical="center"/>
    </xf>
    <xf numFmtId="0" fontId="16" fillId="6" borderId="9" xfId="0" applyFont="1" applyFill="1" applyBorder="1" applyAlignment="1">
      <alignment horizontal="center" vertical="center"/>
    </xf>
    <xf numFmtId="0" fontId="17" fillId="6" borderId="9" xfId="0" applyFont="1" applyFill="1" applyBorder="1" applyAlignment="1">
      <alignment horizontal="center" vertical="center"/>
    </xf>
    <xf numFmtId="0" fontId="17" fillId="6" borderId="9" xfId="0" applyFont="1" applyFill="1" applyBorder="1" applyAlignment="1">
      <alignment vertical="center"/>
    </xf>
    <xf numFmtId="2" fontId="18" fillId="0" borderId="9" xfId="0" applyNumberFormat="1" applyFont="1" applyBorder="1" applyAlignment="1">
      <alignment horizontal="center"/>
    </xf>
    <xf numFmtId="49" fontId="19" fillId="0" borderId="9" xfId="0" applyNumberFormat="1" applyFont="1" applyBorder="1" applyAlignment="1">
      <alignment horizontal="center"/>
    </xf>
    <xf numFmtId="2" fontId="19" fillId="0" borderId="9" xfId="0" applyNumberFormat="1" applyFont="1" applyBorder="1" applyAlignment="1">
      <alignment horizontal="center"/>
    </xf>
    <xf numFmtId="0" fontId="16" fillId="12" borderId="9" xfId="0" applyFont="1" applyFill="1" applyBorder="1" applyAlignment="1">
      <alignment horizontal="center" vertical="center"/>
    </xf>
    <xf numFmtId="0" fontId="16" fillId="12" borderId="9" xfId="0" applyFont="1" applyFill="1" applyBorder="1" applyAlignment="1">
      <alignment vertical="center"/>
    </xf>
    <xf numFmtId="2" fontId="16" fillId="12" borderId="9" xfId="0" applyNumberFormat="1" applyFont="1" applyFill="1" applyBorder="1" applyAlignment="1">
      <alignment horizontal="center"/>
    </xf>
    <xf numFmtId="0" fontId="19" fillId="12" borderId="9" xfId="0" applyFont="1" applyFill="1" applyBorder="1" applyAlignment="1">
      <alignment horizontal="center"/>
    </xf>
    <xf numFmtId="2" fontId="19" fillId="12" borderId="9" xfId="0" applyNumberFormat="1" applyFont="1" applyFill="1" applyBorder="1" applyAlignment="1">
      <alignment horizontal="center"/>
    </xf>
    <xf numFmtId="49" fontId="19" fillId="12" borderId="9" xfId="0" applyNumberFormat="1" applyFont="1" applyFill="1" applyBorder="1" applyAlignment="1">
      <alignment horizontal="center"/>
    </xf>
    <xf numFmtId="2" fontId="12" fillId="0" borderId="0" xfId="0" applyNumberFormat="1" applyFont="1" applyAlignment="1">
      <alignment horizontal="center"/>
    </xf>
    <xf numFmtId="0" fontId="17" fillId="0" borderId="9" xfId="0" applyFont="1" applyBorder="1"/>
    <xf numFmtId="166" fontId="4" fillId="0" borderId="9" xfId="0" applyNumberFormat="1" applyFont="1" applyBorder="1"/>
    <xf numFmtId="0" fontId="5" fillId="2" borderId="10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 wrapText="1"/>
    </xf>
    <xf numFmtId="166" fontId="17" fillId="0" borderId="9" xfId="0" applyNumberFormat="1" applyFont="1" applyBorder="1"/>
    <xf numFmtId="2" fontId="4" fillId="0" borderId="9" xfId="0" applyNumberFormat="1" applyFont="1" applyBorder="1"/>
    <xf numFmtId="167" fontId="4" fillId="0" borderId="9" xfId="0" applyNumberFormat="1" applyFont="1" applyBorder="1"/>
    <xf numFmtId="10" fontId="4" fillId="0" borderId="9" xfId="0" applyNumberFormat="1" applyFont="1" applyBorder="1"/>
    <xf numFmtId="0" fontId="4" fillId="0" borderId="9" xfId="0" applyFont="1" applyBorder="1"/>
    <xf numFmtId="166" fontId="17" fillId="13" borderId="9" xfId="0" applyNumberFormat="1" applyFont="1" applyFill="1" applyBorder="1"/>
    <xf numFmtId="10" fontId="17" fillId="13" borderId="9" xfId="0" applyNumberFormat="1" applyFont="1" applyFill="1" applyBorder="1"/>
    <xf numFmtId="2" fontId="17" fillId="13" borderId="9" xfId="0" applyNumberFormat="1" applyFont="1" applyFill="1" applyBorder="1"/>
    <xf numFmtId="167" fontId="17" fillId="13" borderId="9" xfId="0" applyNumberFormat="1" applyFont="1" applyFill="1" applyBorder="1"/>
    <xf numFmtId="0" fontId="17" fillId="6" borderId="16" xfId="0" applyFont="1" applyFill="1" applyBorder="1"/>
    <xf numFmtId="0" fontId="4" fillId="6" borderId="17" xfId="0" applyFont="1" applyFill="1" applyBorder="1" applyAlignment="1">
      <alignment horizontal="center" vertical="center"/>
    </xf>
    <xf numFmtId="2" fontId="4" fillId="6" borderId="17" xfId="0" applyNumberFormat="1" applyFont="1" applyFill="1" applyBorder="1"/>
    <xf numFmtId="165" fontId="4" fillId="6" borderId="17" xfId="0" applyNumberFormat="1" applyFont="1" applyFill="1" applyBorder="1"/>
    <xf numFmtId="2" fontId="4" fillId="6" borderId="22" xfId="0" applyNumberFormat="1" applyFont="1" applyFill="1" applyBorder="1"/>
    <xf numFmtId="0" fontId="7" fillId="5" borderId="16" xfId="0" applyFont="1" applyFill="1" applyBorder="1" applyAlignment="1">
      <alignment vertical="center"/>
    </xf>
    <xf numFmtId="0" fontId="7" fillId="5" borderId="17" xfId="0" applyFont="1" applyFill="1" applyBorder="1" applyAlignment="1">
      <alignment horizontal="center" vertical="center"/>
    </xf>
    <xf numFmtId="2" fontId="7" fillId="5" borderId="16" xfId="0" applyNumberFormat="1" applyFont="1" applyFill="1" applyBorder="1" applyAlignment="1">
      <alignment vertical="center"/>
    </xf>
    <xf numFmtId="0" fontId="7" fillId="5" borderId="17" xfId="0" applyFont="1" applyFill="1" applyBorder="1" applyAlignment="1">
      <alignment vertical="center"/>
    </xf>
    <xf numFmtId="0" fontId="21" fillId="5" borderId="9" xfId="0" applyFont="1" applyFill="1" applyBorder="1"/>
    <xf numFmtId="166" fontId="21" fillId="5" borderId="9" xfId="0" applyNumberFormat="1" applyFont="1" applyFill="1" applyBorder="1"/>
    <xf numFmtId="0" fontId="21" fillId="3" borderId="9" xfId="0" applyFont="1" applyFill="1" applyBorder="1"/>
    <xf numFmtId="2" fontId="21" fillId="3" borderId="9" xfId="0" applyNumberFormat="1" applyFont="1" applyFill="1" applyBorder="1" applyAlignment="1">
      <alignment horizontal="center" vertical="center"/>
    </xf>
    <xf numFmtId="2" fontId="21" fillId="3" borderId="9" xfId="0" applyNumberFormat="1" applyFont="1" applyFill="1" applyBorder="1"/>
    <xf numFmtId="165" fontId="21" fillId="3" borderId="9" xfId="0" applyNumberFormat="1" applyFont="1" applyFill="1" applyBorder="1"/>
    <xf numFmtId="0" fontId="21" fillId="0" borderId="9" xfId="0" applyFont="1" applyBorder="1"/>
    <xf numFmtId="0" fontId="21" fillId="0" borderId="9" xfId="0" applyFont="1" applyBorder="1" applyAlignment="1">
      <alignment horizontal="center" vertical="center"/>
    </xf>
    <xf numFmtId="2" fontId="21" fillId="0" borderId="9" xfId="0" applyNumberFormat="1" applyFont="1" applyBorder="1"/>
    <xf numFmtId="165" fontId="21" fillId="0" borderId="9" xfId="0" applyNumberFormat="1" applyFont="1" applyBorder="1"/>
    <xf numFmtId="0" fontId="4" fillId="0" borderId="9" xfId="0" applyFont="1" applyBorder="1" applyAlignment="1">
      <alignment horizontal="center" vertical="center"/>
    </xf>
    <xf numFmtId="165" fontId="4" fillId="0" borderId="9" xfId="0" applyNumberFormat="1" applyFont="1" applyBorder="1"/>
    <xf numFmtId="0" fontId="7" fillId="0" borderId="0" xfId="0" applyFont="1" applyAlignment="1">
      <alignment vertical="center"/>
    </xf>
    <xf numFmtId="0" fontId="4" fillId="0" borderId="14" xfId="0" applyFont="1" applyBorder="1"/>
    <xf numFmtId="0" fontId="4" fillId="0" borderId="7" xfId="0" applyFont="1" applyBorder="1" applyAlignment="1">
      <alignment horizontal="center" vertical="center"/>
    </xf>
    <xf numFmtId="2" fontId="4" fillId="0" borderId="7" xfId="0" applyNumberFormat="1" applyFont="1" applyBorder="1"/>
    <xf numFmtId="165" fontId="4" fillId="0" borderId="8" xfId="0" applyNumberFormat="1" applyFont="1" applyBorder="1"/>
    <xf numFmtId="0" fontId="4" fillId="0" borderId="6" xfId="0" applyFont="1" applyBorder="1"/>
    <xf numFmtId="0" fontId="22" fillId="0" borderId="0" xfId="0" applyFont="1"/>
    <xf numFmtId="2" fontId="4" fillId="0" borderId="6" xfId="0" applyNumberFormat="1" applyFont="1" applyBorder="1"/>
    <xf numFmtId="165" fontId="4" fillId="0" borderId="7" xfId="0" applyNumberFormat="1" applyFont="1" applyBorder="1"/>
    <xf numFmtId="0" fontId="4" fillId="0" borderId="4" xfId="0" applyFont="1" applyBorder="1"/>
    <xf numFmtId="0" fontId="4" fillId="0" borderId="4" xfId="0" applyFont="1" applyBorder="1" applyAlignment="1">
      <alignment horizontal="center" vertical="center"/>
    </xf>
    <xf numFmtId="2" fontId="4" fillId="0" borderId="4" xfId="0" applyNumberFormat="1" applyFont="1" applyBorder="1"/>
    <xf numFmtId="165" fontId="4" fillId="0" borderId="4" xfId="0" applyNumberFormat="1" applyFont="1" applyBorder="1"/>
    <xf numFmtId="0" fontId="4" fillId="0" borderId="9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165" fontId="4" fillId="0" borderId="0" xfId="0" applyNumberFormat="1" applyFont="1"/>
    <xf numFmtId="0" fontId="4" fillId="0" borderId="23" xfId="0" applyFont="1" applyBorder="1"/>
    <xf numFmtId="0" fontId="21" fillId="11" borderId="9" xfId="0" applyFont="1" applyFill="1" applyBorder="1" applyAlignment="1">
      <alignment horizontal="center"/>
    </xf>
    <xf numFmtId="0" fontId="21" fillId="11" borderId="9" xfId="0" applyFont="1" applyFill="1" applyBorder="1"/>
    <xf numFmtId="0" fontId="21" fillId="11" borderId="9" xfId="0" applyFont="1" applyFill="1" applyBorder="1" applyAlignment="1">
      <alignment horizontal="center" vertical="center" wrapText="1"/>
    </xf>
    <xf numFmtId="0" fontId="4" fillId="14" borderId="9" xfId="0" applyFont="1" applyFill="1" applyBorder="1" applyAlignment="1">
      <alignment horizontal="center" vertical="center"/>
    </xf>
    <xf numFmtId="0" fontId="4" fillId="14" borderId="9" xfId="0" applyFont="1" applyFill="1" applyBorder="1"/>
    <xf numFmtId="166" fontId="4" fillId="14" borderId="9" xfId="0" applyNumberFormat="1" applyFont="1" applyFill="1" applyBorder="1" applyAlignment="1">
      <alignment horizontal="center" vertical="center"/>
    </xf>
    <xf numFmtId="166" fontId="4" fillId="14" borderId="10" xfId="0" applyNumberFormat="1" applyFont="1" applyFill="1" applyBorder="1"/>
    <xf numFmtId="166" fontId="4" fillId="0" borderId="9" xfId="0" applyNumberFormat="1" applyFont="1" applyBorder="1" applyAlignment="1">
      <alignment horizontal="center" vertical="center"/>
    </xf>
    <xf numFmtId="166" fontId="4" fillId="0" borderId="0" xfId="0" applyNumberFormat="1" applyFont="1"/>
    <xf numFmtId="0" fontId="4" fillId="14" borderId="9" xfId="0" applyFont="1" applyFill="1" applyBorder="1" applyAlignment="1">
      <alignment horizontal="center"/>
    </xf>
    <xf numFmtId="166" fontId="23" fillId="0" borderId="9" xfId="0" applyNumberFormat="1" applyFont="1" applyBorder="1" applyAlignment="1">
      <alignment horizontal="right" vertical="center"/>
    </xf>
    <xf numFmtId="10" fontId="4" fillId="0" borderId="0" xfId="0" applyNumberFormat="1" applyFont="1"/>
    <xf numFmtId="168" fontId="9" fillId="15" borderId="9" xfId="0" applyNumberFormat="1" applyFont="1" applyFill="1" applyBorder="1" applyAlignment="1">
      <alignment horizontal="left" vertical="center"/>
    </xf>
    <xf numFmtId="0" fontId="9" fillId="15" borderId="9" xfId="0" applyFont="1" applyFill="1" applyBorder="1" applyAlignment="1">
      <alignment vertical="center"/>
    </xf>
    <xf numFmtId="0" fontId="24" fillId="15" borderId="9" xfId="0" applyFont="1" applyFill="1" applyBorder="1" applyAlignment="1">
      <alignment horizontal="left" vertical="center"/>
    </xf>
    <xf numFmtId="4" fontId="24" fillId="15" borderId="9" xfId="0" applyNumberFormat="1" applyFont="1" applyFill="1" applyBorder="1" applyAlignment="1">
      <alignment horizontal="right" vertical="center"/>
    </xf>
    <xf numFmtId="4" fontId="23" fillId="15" borderId="9" xfId="0" applyNumberFormat="1" applyFont="1" applyFill="1" applyBorder="1" applyAlignment="1">
      <alignment horizontal="right" vertical="center"/>
    </xf>
    <xf numFmtId="168" fontId="7" fillId="11" borderId="9" xfId="0" applyNumberFormat="1" applyFont="1" applyFill="1" applyBorder="1" applyAlignment="1">
      <alignment horizontal="left" vertical="center"/>
    </xf>
    <xf numFmtId="0" fontId="7" fillId="11" borderId="9" xfId="0" applyFont="1" applyFill="1" applyBorder="1" applyAlignment="1">
      <alignment vertical="center"/>
    </xf>
    <xf numFmtId="0" fontId="6" fillId="11" borderId="9" xfId="0" applyFont="1" applyFill="1" applyBorder="1" applyAlignment="1">
      <alignment horizontal="left" vertical="center"/>
    </xf>
    <xf numFmtId="4" fontId="6" fillId="11" borderId="9" xfId="0" applyNumberFormat="1" applyFont="1" applyFill="1" applyBorder="1" applyAlignment="1">
      <alignment horizontal="right" vertical="center"/>
    </xf>
    <xf numFmtId="4" fontId="7" fillId="11" borderId="9" xfId="0" applyNumberFormat="1" applyFont="1" applyFill="1" applyBorder="1" applyAlignment="1">
      <alignment horizontal="right" vertical="center"/>
    </xf>
    <xf numFmtId="168" fontId="24" fillId="0" borderId="9" xfId="0" applyNumberFormat="1" applyFont="1" applyBorder="1" applyAlignment="1">
      <alignment horizontal="left" vertical="center"/>
    </xf>
    <xf numFmtId="0" fontId="24" fillId="0" borderId="9" xfId="0" applyFont="1" applyBorder="1" applyAlignment="1">
      <alignment horizontal="left" vertical="center" wrapText="1"/>
    </xf>
    <xf numFmtId="0" fontId="24" fillId="0" borderId="9" xfId="0" applyFont="1" applyBorder="1" applyAlignment="1">
      <alignment horizontal="center" vertical="center"/>
    </xf>
    <xf numFmtId="4" fontId="24" fillId="0" borderId="9" xfId="0" applyNumberFormat="1" applyFont="1" applyBorder="1" applyAlignment="1">
      <alignment horizontal="right" vertical="center"/>
    </xf>
    <xf numFmtId="166" fontId="24" fillId="0" borderId="9" xfId="0" applyNumberFormat="1" applyFont="1" applyBorder="1" applyAlignment="1">
      <alignment horizontal="right" vertical="center"/>
    </xf>
    <xf numFmtId="9" fontId="24" fillId="0" borderId="9" xfId="0" applyNumberFormat="1" applyFont="1" applyBorder="1" applyAlignment="1">
      <alignment horizontal="right" vertical="center"/>
    </xf>
    <xf numFmtId="9" fontId="24" fillId="15" borderId="9" xfId="0" applyNumberFormat="1" applyFont="1" applyFill="1" applyBorder="1" applyAlignment="1">
      <alignment horizontal="right" vertical="center"/>
    </xf>
    <xf numFmtId="0" fontId="24" fillId="0" borderId="9" xfId="0" applyFont="1" applyBorder="1" applyAlignment="1">
      <alignment vertical="center" wrapText="1"/>
    </xf>
    <xf numFmtId="0" fontId="23" fillId="0" borderId="9" xfId="0" applyFont="1" applyBorder="1" applyAlignment="1">
      <alignment vertical="center" wrapText="1"/>
    </xf>
    <xf numFmtId="0" fontId="23" fillId="0" borderId="9" xfId="0" applyFont="1" applyBorder="1" applyAlignment="1">
      <alignment horizontal="center" vertical="center"/>
    </xf>
    <xf numFmtId="4" fontId="23" fillId="0" borderId="9" xfId="0" applyNumberFormat="1" applyFont="1" applyBorder="1" applyAlignment="1">
      <alignment horizontal="right" vertical="center"/>
    </xf>
    <xf numFmtId="9" fontId="23" fillId="0" borderId="9" xfId="0" applyNumberFormat="1" applyFont="1" applyBorder="1" applyAlignment="1">
      <alignment horizontal="right" vertical="center"/>
    </xf>
    <xf numFmtId="10" fontId="17" fillId="0" borderId="0" xfId="0" applyNumberFormat="1" applyFont="1"/>
    <xf numFmtId="0" fontId="17" fillId="0" borderId="0" xfId="0" applyFont="1"/>
    <xf numFmtId="0" fontId="17" fillId="0" borderId="0" xfId="0" applyFont="1" applyAlignment="1">
      <alignment horizontal="right"/>
    </xf>
    <xf numFmtId="166" fontId="17" fillId="0" borderId="0" xfId="0" applyNumberFormat="1" applyFont="1"/>
    <xf numFmtId="14" fontId="4" fillId="0" borderId="0" xfId="0" applyNumberFormat="1" applyFont="1"/>
    <xf numFmtId="0" fontId="8" fillId="9" borderId="17" xfId="0" applyFont="1" applyFill="1" applyBorder="1" applyAlignment="1">
      <alignment horizontal="left" vertical="center"/>
    </xf>
    <xf numFmtId="0" fontId="7" fillId="4" borderId="17" xfId="0" applyFont="1" applyFill="1" applyBorder="1" applyAlignment="1">
      <alignment horizontal="left" vertical="center"/>
    </xf>
    <xf numFmtId="0" fontId="7" fillId="4" borderId="9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25" fillId="0" borderId="24" xfId="0" applyFont="1" applyBorder="1" applyAlignment="1">
      <alignment horizontal="center"/>
    </xf>
    <xf numFmtId="2" fontId="25" fillId="0" borderId="24" xfId="0" applyNumberFormat="1" applyFont="1" applyBorder="1" applyAlignment="1">
      <alignment horizontal="center"/>
    </xf>
    <xf numFmtId="0" fontId="6" fillId="0" borderId="17" xfId="0" applyFont="1" applyBorder="1" applyAlignment="1">
      <alignment horizontal="left" vertical="center"/>
    </xf>
    <xf numFmtId="2" fontId="19" fillId="0" borderId="11" xfId="0" applyNumberFormat="1" applyFont="1" applyBorder="1" applyAlignment="1">
      <alignment horizontal="center"/>
    </xf>
    <xf numFmtId="2" fontId="19" fillId="0" borderId="12" xfId="0" applyNumberFormat="1" applyFont="1" applyBorder="1" applyAlignment="1">
      <alignment horizontal="center"/>
    </xf>
    <xf numFmtId="2" fontId="4" fillId="0" borderId="10" xfId="0" applyNumberFormat="1" applyFont="1" applyBorder="1"/>
    <xf numFmtId="2" fontId="18" fillId="0" borderId="10" xfId="0" applyNumberFormat="1" applyFont="1" applyBorder="1"/>
    <xf numFmtId="2" fontId="6" fillId="0" borderId="22" xfId="0" applyNumberFormat="1" applyFont="1" applyBorder="1" applyAlignment="1">
      <alignment horizontal="center"/>
    </xf>
    <xf numFmtId="2" fontId="7" fillId="0" borderId="16" xfId="0" applyNumberFormat="1" applyFont="1" applyBorder="1" applyAlignment="1">
      <alignment horizontal="center"/>
    </xf>
    <xf numFmtId="2" fontId="6" fillId="0" borderId="16" xfId="0" applyNumberFormat="1" applyFont="1" applyBorder="1" applyAlignment="1">
      <alignment horizontal="center"/>
    </xf>
    <xf numFmtId="2" fontId="6" fillId="0" borderId="11" xfId="0" applyNumberFormat="1" applyFont="1" applyBorder="1" applyAlignment="1">
      <alignment horizontal="center"/>
    </xf>
    <xf numFmtId="2" fontId="6" fillId="0" borderId="24" xfId="0" applyNumberFormat="1" applyFont="1" applyBorder="1" applyAlignment="1">
      <alignment horizontal="center"/>
    </xf>
    <xf numFmtId="2" fontId="25" fillId="0" borderId="9" xfId="0" applyNumberFormat="1" applyFont="1" applyBorder="1" applyAlignment="1">
      <alignment horizontal="center"/>
    </xf>
    <xf numFmtId="0" fontId="29" fillId="0" borderId="0" xfId="0" applyFont="1"/>
    <xf numFmtId="0" fontId="16" fillId="12" borderId="12" xfId="0" applyFont="1" applyFill="1" applyBorder="1" applyAlignment="1">
      <alignment horizontal="center" vertical="center"/>
    </xf>
    <xf numFmtId="0" fontId="16" fillId="12" borderId="12" xfId="0" applyFont="1" applyFill="1" applyBorder="1" applyAlignment="1">
      <alignment vertical="center"/>
    </xf>
    <xf numFmtId="2" fontId="16" fillId="12" borderId="12" xfId="0" applyNumberFormat="1" applyFont="1" applyFill="1" applyBorder="1" applyAlignment="1">
      <alignment horizontal="center"/>
    </xf>
    <xf numFmtId="0" fontId="19" fillId="10" borderId="24" xfId="0" applyFont="1" applyFill="1" applyBorder="1" applyAlignment="1">
      <alignment horizontal="center"/>
    </xf>
    <xf numFmtId="2" fontId="19" fillId="0" borderId="24" xfId="0" applyNumberFormat="1" applyFont="1" applyBorder="1" applyAlignment="1">
      <alignment horizontal="center"/>
    </xf>
    <xf numFmtId="49" fontId="19" fillId="0" borderId="24" xfId="0" applyNumberFormat="1" applyFont="1" applyBorder="1" applyAlignment="1">
      <alignment horizontal="center"/>
    </xf>
    <xf numFmtId="2" fontId="18" fillId="0" borderId="24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7" fillId="0" borderId="17" xfId="0" applyFont="1" applyBorder="1" applyAlignment="1">
      <alignment horizontal="left" vertical="center"/>
    </xf>
    <xf numFmtId="0" fontId="26" fillId="0" borderId="9" xfId="0" applyFont="1" applyBorder="1" applyAlignment="1">
      <alignment horizontal="center"/>
    </xf>
    <xf numFmtId="0" fontId="18" fillId="0" borderId="9" xfId="0" applyFont="1" applyBorder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2" fontId="7" fillId="0" borderId="24" xfId="0" applyNumberFormat="1" applyFont="1" applyBorder="1" applyAlignment="1">
      <alignment horizontal="center"/>
    </xf>
    <xf numFmtId="0" fontId="6" fillId="0" borderId="16" xfId="0" applyFont="1" applyBorder="1" applyAlignment="1">
      <alignment horizontal="center" vertical="center"/>
    </xf>
    <xf numFmtId="2" fontId="6" fillId="0" borderId="17" xfId="0" applyNumberFormat="1" applyFont="1" applyBorder="1" applyAlignment="1">
      <alignment horizontal="center"/>
    </xf>
    <xf numFmtId="2" fontId="6" fillId="10" borderId="9" xfId="0" applyNumberFormat="1" applyFont="1" applyFill="1" applyBorder="1" applyAlignment="1">
      <alignment horizontal="center"/>
    </xf>
    <xf numFmtId="2" fontId="7" fillId="4" borderId="9" xfId="0" applyNumberFormat="1" applyFont="1" applyFill="1" applyBorder="1" applyAlignment="1">
      <alignment vertical="center"/>
    </xf>
    <xf numFmtId="0" fontId="0" fillId="0" borderId="10" xfId="0" applyBorder="1"/>
    <xf numFmtId="0" fontId="6" fillId="0" borderId="6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2" fontId="12" fillId="0" borderId="24" xfId="0" applyNumberFormat="1" applyFont="1" applyBorder="1" applyAlignment="1">
      <alignment horizontal="center"/>
    </xf>
    <xf numFmtId="0" fontId="26" fillId="0" borderId="12" xfId="0" applyFont="1" applyBorder="1" applyAlignment="1">
      <alignment horizontal="center"/>
    </xf>
    <xf numFmtId="0" fontId="19" fillId="0" borderId="24" xfId="0" applyFont="1" applyBorder="1" applyAlignment="1">
      <alignment horizontal="center"/>
    </xf>
    <xf numFmtId="0" fontId="35" fillId="0" borderId="10" xfId="1" applyFont="1"/>
    <xf numFmtId="0" fontId="36" fillId="20" borderId="24" xfId="1" applyFont="1" applyFill="1" applyBorder="1" applyAlignment="1">
      <alignment horizontal="center" vertical="center"/>
    </xf>
    <xf numFmtId="0" fontId="19" fillId="0" borderId="24" xfId="1" applyFont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0" fontId="37" fillId="0" borderId="10" xfId="1" applyFont="1" applyAlignment="1">
      <alignment horizontal="center" vertical="center"/>
    </xf>
    <xf numFmtId="2" fontId="6" fillId="0" borderId="26" xfId="0" applyNumberFormat="1" applyFont="1" applyBorder="1" applyAlignment="1">
      <alignment horizontal="center"/>
    </xf>
    <xf numFmtId="0" fontId="16" fillId="12" borderId="24" xfId="0" applyFont="1" applyFill="1" applyBorder="1" applyAlignment="1">
      <alignment horizontal="center" vertical="center"/>
    </xf>
    <xf numFmtId="0" fontId="39" fillId="24" borderId="24" xfId="1" applyFont="1" applyFill="1" applyBorder="1" applyAlignment="1">
      <alignment horizontal="center" vertical="center"/>
    </xf>
    <xf numFmtId="0" fontId="38" fillId="24" borderId="24" xfId="1" applyFont="1" applyFill="1" applyBorder="1" applyAlignment="1">
      <alignment horizontal="center" vertical="center"/>
    </xf>
    <xf numFmtId="171" fontId="40" fillId="25" borderId="37" xfId="0" quotePrefix="1" applyNumberFormat="1" applyFont="1" applyFill="1" applyBorder="1" applyAlignment="1">
      <alignment horizontal="right" vertical="center"/>
    </xf>
    <xf numFmtId="168" fontId="40" fillId="25" borderId="38" xfId="0" applyNumberFormat="1" applyFont="1" applyFill="1" applyBorder="1" applyAlignment="1">
      <alignment horizontal="left" vertical="center"/>
    </xf>
    <xf numFmtId="0" fontId="41" fillId="26" borderId="27" xfId="0" applyFont="1" applyFill="1" applyBorder="1" applyAlignment="1">
      <alignment vertical="center"/>
    </xf>
    <xf numFmtId="0" fontId="37" fillId="26" borderId="27" xfId="0" applyFont="1" applyFill="1" applyBorder="1" applyAlignment="1">
      <alignment horizontal="center"/>
    </xf>
    <xf numFmtId="171" fontId="43" fillId="27" borderId="26" xfId="0" quotePrefix="1" applyNumberFormat="1" applyFont="1" applyFill="1" applyBorder="1" applyAlignment="1">
      <alignment horizontal="right" vertical="center"/>
    </xf>
    <xf numFmtId="168" fontId="43" fillId="27" borderId="25" xfId="0" applyNumberFormat="1" applyFont="1" applyFill="1" applyBorder="1" applyAlignment="1">
      <alignment horizontal="left" vertical="center"/>
    </xf>
    <xf numFmtId="0" fontId="37" fillId="28" borderId="24" xfId="0" applyFont="1" applyFill="1" applyBorder="1" applyAlignment="1">
      <alignment vertical="center" wrapText="1"/>
    </xf>
    <xf numFmtId="0" fontId="37" fillId="28" borderId="24" xfId="0" applyFont="1" applyFill="1" applyBorder="1" applyAlignment="1">
      <alignment horizontal="center" vertical="center"/>
    </xf>
    <xf numFmtId="0" fontId="37" fillId="26" borderId="27" xfId="0" applyFont="1" applyFill="1" applyBorder="1" applyAlignment="1">
      <alignment horizontal="center" vertical="center"/>
    </xf>
    <xf numFmtId="0" fontId="37" fillId="0" borderId="24" xfId="0" applyFont="1" applyBorder="1" applyAlignment="1">
      <alignment horizontal="center" vertical="center"/>
    </xf>
    <xf numFmtId="0" fontId="37" fillId="28" borderId="27" xfId="0" applyFont="1" applyFill="1" applyBorder="1" applyAlignment="1">
      <alignment vertical="center" wrapText="1"/>
    </xf>
    <xf numFmtId="0" fontId="37" fillId="0" borderId="27" xfId="0" applyFont="1" applyBorder="1" applyAlignment="1">
      <alignment horizontal="center" vertical="center"/>
    </xf>
    <xf numFmtId="0" fontId="42" fillId="26" borderId="27" xfId="0" applyFont="1" applyFill="1" applyBorder="1" applyAlignment="1">
      <alignment horizontal="center" vertical="center"/>
    </xf>
    <xf numFmtId="2" fontId="42" fillId="0" borderId="24" xfId="0" applyNumberFormat="1" applyFont="1" applyBorder="1" applyAlignment="1">
      <alignment horizontal="center" vertical="center"/>
    </xf>
    <xf numFmtId="0" fontId="37" fillId="0" borderId="24" xfId="0" applyFont="1" applyBorder="1" applyAlignment="1">
      <alignment vertical="center"/>
    </xf>
    <xf numFmtId="171" fontId="43" fillId="0" borderId="26" xfId="0" quotePrefix="1" applyNumberFormat="1" applyFont="1" applyBorder="1" applyAlignment="1">
      <alignment horizontal="right" vertical="center"/>
    </xf>
    <xf numFmtId="0" fontId="29" fillId="0" borderId="24" xfId="0" applyFont="1" applyBorder="1"/>
    <xf numFmtId="0" fontId="0" fillId="0" borderId="24" xfId="0" applyBorder="1"/>
    <xf numFmtId="0" fontId="37" fillId="28" borderId="27" xfId="0" applyFont="1" applyFill="1" applyBorder="1" applyAlignment="1">
      <alignment horizontal="center" vertical="center"/>
    </xf>
    <xf numFmtId="0" fontId="39" fillId="24" borderId="27" xfId="1" applyFont="1" applyFill="1" applyBorder="1" applyAlignment="1">
      <alignment horizontal="center" vertical="center"/>
    </xf>
    <xf numFmtId="0" fontId="38" fillId="24" borderId="27" xfId="1" applyFont="1" applyFill="1" applyBorder="1" applyAlignment="1">
      <alignment horizontal="center" vertical="center"/>
    </xf>
    <xf numFmtId="0" fontId="38" fillId="24" borderId="37" xfId="1" applyFont="1" applyFill="1" applyBorder="1" applyAlignment="1">
      <alignment horizontal="right" vertical="center"/>
    </xf>
    <xf numFmtId="0" fontId="38" fillId="24" borderId="38" xfId="1" applyFont="1" applyFill="1" applyBorder="1" applyAlignment="1">
      <alignment horizontal="left" vertical="center"/>
    </xf>
    <xf numFmtId="0" fontId="38" fillId="24" borderId="27" xfId="0" applyFont="1" applyFill="1" applyBorder="1" applyAlignment="1">
      <alignment horizontal="left" vertical="center" wrapText="1"/>
    </xf>
    <xf numFmtId="0" fontId="37" fillId="0" borderId="27" xfId="0" applyFont="1" applyBorder="1" applyAlignment="1">
      <alignment horizontal="center"/>
    </xf>
    <xf numFmtId="0" fontId="38" fillId="0" borderId="27" xfId="0" applyFont="1" applyBorder="1" applyAlignment="1">
      <alignment horizontal="center" vertical="center"/>
    </xf>
    <xf numFmtId="0" fontId="38" fillId="0" borderId="24" xfId="0" applyFont="1" applyBorder="1" applyAlignment="1">
      <alignment horizontal="center" vertical="center"/>
    </xf>
    <xf numFmtId="0" fontId="37" fillId="0" borderId="27" xfId="0" applyFont="1" applyBorder="1" applyAlignment="1">
      <alignment vertical="center" wrapText="1"/>
    </xf>
    <xf numFmtId="171" fontId="43" fillId="27" borderId="37" xfId="0" quotePrefix="1" applyNumberFormat="1" applyFont="1" applyFill="1" applyBorder="1" applyAlignment="1">
      <alignment horizontal="right" vertical="center"/>
    </xf>
    <xf numFmtId="168" fontId="43" fillId="27" borderId="38" xfId="0" applyNumberFormat="1" applyFont="1" applyFill="1" applyBorder="1" applyAlignment="1">
      <alignment horizontal="left" vertical="center"/>
    </xf>
    <xf numFmtId="0" fontId="42" fillId="0" borderId="27" xfId="0" applyFont="1" applyBorder="1" applyAlignment="1">
      <alignment horizontal="center"/>
    </xf>
    <xf numFmtId="0" fontId="37" fillId="0" borderId="27" xfId="0" applyFont="1" applyBorder="1" applyAlignment="1">
      <alignment vertical="center"/>
    </xf>
    <xf numFmtId="168" fontId="43" fillId="0" borderId="25" xfId="0" applyNumberFormat="1" applyFont="1" applyBorder="1" applyAlignment="1">
      <alignment horizontal="left" vertical="center"/>
    </xf>
    <xf numFmtId="0" fontId="0" fillId="0" borderId="24" xfId="0" applyBorder="1" applyAlignment="1">
      <alignment horizontal="center"/>
    </xf>
    <xf numFmtId="2" fontId="37" fillId="0" borderId="10" xfId="1" applyNumberFormat="1" applyFont="1" applyAlignment="1">
      <alignment horizontal="center" vertical="center"/>
    </xf>
    <xf numFmtId="164" fontId="37" fillId="0" borderId="10" xfId="1" applyNumberFormat="1" applyFont="1" applyAlignment="1">
      <alignment horizontal="center" vertical="center"/>
    </xf>
    <xf numFmtId="0" fontId="7" fillId="4" borderId="16" xfId="0" applyFont="1" applyFill="1" applyBorder="1" applyAlignment="1">
      <alignment horizontal="left" vertical="center"/>
    </xf>
    <xf numFmtId="0" fontId="45" fillId="20" borderId="24" xfId="1" applyFont="1" applyFill="1" applyBorder="1" applyAlignment="1">
      <alignment horizontal="center" vertical="center"/>
    </xf>
    <xf numFmtId="0" fontId="39" fillId="23" borderId="33" xfId="1" applyFont="1" applyFill="1" applyBorder="1" applyAlignment="1">
      <alignment horizontal="center" vertical="center"/>
    </xf>
    <xf numFmtId="0" fontId="39" fillId="23" borderId="36" xfId="1" applyFont="1" applyFill="1" applyBorder="1" applyAlignment="1">
      <alignment horizontal="center" vertical="center"/>
    </xf>
    <xf numFmtId="0" fontId="42" fillId="23" borderId="10" xfId="1" applyFont="1" applyFill="1" applyAlignment="1">
      <alignment horizontal="center" vertical="center"/>
    </xf>
    <xf numFmtId="2" fontId="39" fillId="23" borderId="10" xfId="1" applyNumberFormat="1" applyFont="1" applyFill="1" applyAlignment="1">
      <alignment horizontal="center" vertical="center"/>
    </xf>
    <xf numFmtId="10" fontId="42" fillId="23" borderId="10" xfId="3" applyNumberFormat="1" applyFont="1" applyFill="1" applyBorder="1" applyAlignment="1">
      <alignment horizontal="center" vertical="center"/>
    </xf>
    <xf numFmtId="0" fontId="36" fillId="29" borderId="24" xfId="1" applyFont="1" applyFill="1" applyBorder="1" applyAlignment="1">
      <alignment horizontal="center" vertical="center"/>
    </xf>
    <xf numFmtId="0" fontId="45" fillId="29" borderId="24" xfId="1" applyFont="1" applyFill="1" applyBorder="1" applyAlignment="1">
      <alignment horizontal="center" vertical="center"/>
    </xf>
    <xf numFmtId="0" fontId="36" fillId="20" borderId="24" xfId="1" applyFont="1" applyFill="1" applyBorder="1" applyAlignment="1">
      <alignment vertical="center" wrapText="1"/>
    </xf>
    <xf numFmtId="0" fontId="19" fillId="0" borderId="24" xfId="1" applyFont="1" applyBorder="1" applyAlignment="1">
      <alignment horizontal="left" vertical="center" wrapText="1"/>
    </xf>
    <xf numFmtId="0" fontId="36" fillId="29" borderId="24" xfId="1" applyFont="1" applyFill="1" applyBorder="1" applyAlignment="1">
      <alignment vertical="center" wrapText="1"/>
    </xf>
    <xf numFmtId="0" fontId="39" fillId="23" borderId="10" xfId="1" applyFont="1" applyFill="1" applyAlignment="1">
      <alignment vertical="center" wrapText="1"/>
    </xf>
    <xf numFmtId="0" fontId="37" fillId="0" borderId="10" xfId="1" applyFont="1" applyAlignment="1">
      <alignment vertical="center" wrapText="1"/>
    </xf>
    <xf numFmtId="166" fontId="0" fillId="0" borderId="0" xfId="0" applyNumberFormat="1"/>
    <xf numFmtId="0" fontId="8" fillId="9" borderId="16" xfId="0" applyFont="1" applyFill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2" fontId="47" fillId="0" borderId="0" xfId="0" applyNumberFormat="1" applyFont="1"/>
    <xf numFmtId="0" fontId="34" fillId="17" borderId="24" xfId="0" applyFont="1" applyFill="1" applyBorder="1" applyAlignment="1">
      <alignment horizontal="center" vertical="center"/>
    </xf>
    <xf numFmtId="0" fontId="34" fillId="17" borderId="26" xfId="0" applyFont="1" applyFill="1" applyBorder="1" applyAlignment="1">
      <alignment vertical="center"/>
    </xf>
    <xf numFmtId="0" fontId="34" fillId="17" borderId="29" xfId="0" applyFont="1" applyFill="1" applyBorder="1" applyAlignment="1">
      <alignment vertical="center"/>
    </xf>
    <xf numFmtId="2" fontId="34" fillId="0" borderId="24" xfId="0" applyNumberFormat="1" applyFont="1" applyBorder="1" applyAlignment="1">
      <alignment horizontal="center"/>
    </xf>
    <xf numFmtId="0" fontId="34" fillId="0" borderId="26" xfId="0" applyFont="1" applyBorder="1" applyAlignment="1">
      <alignment vertical="center"/>
    </xf>
    <xf numFmtId="0" fontId="47" fillId="0" borderId="29" xfId="0" applyFont="1" applyBorder="1" applyAlignment="1">
      <alignment vertical="center"/>
    </xf>
    <xf numFmtId="2" fontId="47" fillId="0" borderId="24" xfId="0" applyNumberFormat="1" applyFont="1" applyBorder="1" applyAlignment="1">
      <alignment horizontal="center"/>
    </xf>
    <xf numFmtId="0" fontId="47" fillId="0" borderId="26" xfId="0" applyFont="1" applyBorder="1" applyAlignment="1">
      <alignment vertical="center"/>
    </xf>
    <xf numFmtId="2" fontId="47" fillId="0" borderId="24" xfId="0" applyNumberFormat="1" applyFont="1" applyBorder="1"/>
    <xf numFmtId="0" fontId="34" fillId="0" borderId="24" xfId="0" applyFont="1" applyBorder="1" applyAlignment="1">
      <alignment horizontal="center" vertical="center"/>
    </xf>
    <xf numFmtId="0" fontId="8" fillId="30" borderId="9" xfId="0" applyFont="1" applyFill="1" applyBorder="1" applyAlignment="1">
      <alignment horizontal="center" vertical="center"/>
    </xf>
    <xf numFmtId="0" fontId="8" fillId="30" borderId="16" xfId="0" applyFont="1" applyFill="1" applyBorder="1" applyAlignment="1">
      <alignment horizontal="left" vertical="center"/>
    </xf>
    <xf numFmtId="0" fontId="8" fillId="30" borderId="17" xfId="0" applyFont="1" applyFill="1" applyBorder="1" applyAlignment="1">
      <alignment horizontal="left" vertical="center"/>
    </xf>
    <xf numFmtId="0" fontId="8" fillId="30" borderId="9" xfId="0" applyFont="1" applyFill="1" applyBorder="1" applyAlignment="1">
      <alignment vertical="center"/>
    </xf>
    <xf numFmtId="0" fontId="37" fillId="0" borderId="24" xfId="0" applyFont="1" applyBorder="1" applyAlignment="1">
      <alignment horizontal="center"/>
    </xf>
    <xf numFmtId="2" fontId="31" fillId="0" borderId="0" xfId="0" applyNumberFormat="1" applyFont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50" fillId="31" borderId="9" xfId="0" applyFont="1" applyFill="1" applyBorder="1" applyAlignment="1">
      <alignment horizontal="center" vertical="center"/>
    </xf>
    <xf numFmtId="0" fontId="5" fillId="31" borderId="9" xfId="0" applyFont="1" applyFill="1" applyBorder="1" applyAlignment="1">
      <alignment horizontal="center" vertical="center"/>
    </xf>
    <xf numFmtId="0" fontId="5" fillId="31" borderId="9" xfId="0" applyFont="1" applyFill="1" applyBorder="1" applyAlignment="1">
      <alignment vertical="center"/>
    </xf>
    <xf numFmtId="0" fontId="19" fillId="0" borderId="25" xfId="0" applyFont="1" applyBorder="1" applyAlignment="1">
      <alignment horizontal="left" vertical="center"/>
    </xf>
    <xf numFmtId="0" fontId="14" fillId="6" borderId="9" xfId="0" applyFont="1" applyFill="1" applyBorder="1" applyAlignment="1">
      <alignment horizontal="center" vertical="center"/>
    </xf>
    <xf numFmtId="0" fontId="52" fillId="31" borderId="9" xfId="0" applyFont="1" applyFill="1" applyBorder="1" applyAlignment="1">
      <alignment horizontal="center" vertical="center"/>
    </xf>
    <xf numFmtId="2" fontId="53" fillId="0" borderId="9" xfId="0" applyNumberFormat="1" applyFont="1" applyBorder="1" applyAlignment="1">
      <alignment horizontal="center"/>
    </xf>
    <xf numFmtId="2" fontId="53" fillId="0" borderId="24" xfId="0" applyNumberFormat="1" applyFont="1" applyBorder="1" applyAlignment="1">
      <alignment horizontal="center"/>
    </xf>
    <xf numFmtId="2" fontId="53" fillId="0" borderId="12" xfId="0" applyNumberFormat="1" applyFont="1" applyBorder="1" applyAlignment="1">
      <alignment horizontal="center"/>
    </xf>
    <xf numFmtId="2" fontId="55" fillId="0" borderId="0" xfId="0" applyNumberFormat="1" applyFont="1" applyAlignment="1">
      <alignment horizontal="center"/>
    </xf>
    <xf numFmtId="0" fontId="54" fillId="0" borderId="0" xfId="0" applyFont="1" applyAlignment="1">
      <alignment horizontal="center"/>
    </xf>
    <xf numFmtId="0" fontId="8" fillId="32" borderId="9" xfId="0" applyFont="1" applyFill="1" applyBorder="1" applyAlignment="1">
      <alignment horizontal="center" vertical="center"/>
    </xf>
    <xf numFmtId="0" fontId="8" fillId="32" borderId="16" xfId="0" applyFont="1" applyFill="1" applyBorder="1" applyAlignment="1">
      <alignment horizontal="left" vertical="center"/>
    </xf>
    <xf numFmtId="0" fontId="8" fillId="32" borderId="17" xfId="0" applyFont="1" applyFill="1" applyBorder="1" applyAlignment="1">
      <alignment horizontal="left" vertical="center"/>
    </xf>
    <xf numFmtId="0" fontId="8" fillId="32" borderId="9" xfId="0" applyFont="1" applyFill="1" applyBorder="1" applyAlignment="1">
      <alignment vertical="center"/>
    </xf>
    <xf numFmtId="2" fontId="8" fillId="9" borderId="9" xfId="0" applyNumberFormat="1" applyFont="1" applyFill="1" applyBorder="1" applyAlignment="1">
      <alignment vertical="center"/>
    </xf>
    <xf numFmtId="2" fontId="8" fillId="30" borderId="9" xfId="0" applyNumberFormat="1" applyFont="1" applyFill="1" applyBorder="1" applyAlignment="1">
      <alignment vertical="center"/>
    </xf>
    <xf numFmtId="2" fontId="34" fillId="17" borderId="24" xfId="0" applyNumberFormat="1" applyFont="1" applyFill="1" applyBorder="1" applyAlignment="1">
      <alignment vertical="center"/>
    </xf>
    <xf numFmtId="2" fontId="34" fillId="0" borderId="24" xfId="0" applyNumberFormat="1" applyFont="1" applyBorder="1" applyAlignment="1">
      <alignment vertical="center"/>
    </xf>
    <xf numFmtId="2" fontId="8" fillId="32" borderId="9" xfId="0" applyNumberFormat="1" applyFont="1" applyFill="1" applyBorder="1" applyAlignment="1">
      <alignment vertical="center"/>
    </xf>
    <xf numFmtId="2" fontId="6" fillId="0" borderId="9" xfId="0" applyNumberFormat="1" applyFont="1" applyBorder="1" applyAlignment="1">
      <alignment horizontal="center" vertical="center"/>
    </xf>
    <xf numFmtId="2" fontId="7" fillId="4" borderId="9" xfId="0" applyNumberFormat="1" applyFont="1" applyFill="1" applyBorder="1" applyAlignment="1">
      <alignment horizontal="center" vertical="center"/>
    </xf>
    <xf numFmtId="0" fontId="6" fillId="0" borderId="39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36" fillId="32" borderId="9" xfId="0" applyFont="1" applyFill="1" applyBorder="1" applyAlignment="1">
      <alignment horizontal="center" vertical="center"/>
    </xf>
    <xf numFmtId="0" fontId="36" fillId="32" borderId="16" xfId="0" applyFont="1" applyFill="1" applyBorder="1" applyAlignment="1">
      <alignment horizontal="left" vertical="center"/>
    </xf>
    <xf numFmtId="0" fontId="19" fillId="0" borderId="24" xfId="0" applyFont="1" applyBorder="1" applyAlignment="1">
      <alignment horizontal="left" vertical="center"/>
    </xf>
    <xf numFmtId="0" fontId="19" fillId="0" borderId="24" xfId="1" applyFont="1" applyBorder="1" applyAlignment="1">
      <alignment horizontal="left" vertical="center"/>
    </xf>
    <xf numFmtId="0" fontId="36" fillId="32" borderId="16" xfId="0" applyFont="1" applyFill="1" applyBorder="1" applyAlignment="1">
      <alignment horizontal="center" vertical="center"/>
    </xf>
    <xf numFmtId="0" fontId="36" fillId="29" borderId="24" xfId="1" applyFont="1" applyFill="1" applyBorder="1" applyAlignment="1">
      <alignment horizontal="left" vertical="center"/>
    </xf>
    <xf numFmtId="0" fontId="16" fillId="6" borderId="9" xfId="0" applyFont="1" applyFill="1" applyBorder="1" applyAlignment="1">
      <alignment horizontal="left" vertical="center"/>
    </xf>
    <xf numFmtId="4" fontId="12" fillId="0" borderId="0" xfId="0" applyNumberFormat="1" applyFont="1"/>
    <xf numFmtId="4" fontId="15" fillId="7" borderId="9" xfId="0" applyNumberFormat="1" applyFont="1" applyFill="1" applyBorder="1" applyAlignment="1">
      <alignment horizontal="center" vertical="center"/>
    </xf>
    <xf numFmtId="4" fontId="17" fillId="6" borderId="9" xfId="0" applyNumberFormat="1" applyFont="1" applyFill="1" applyBorder="1" applyAlignment="1">
      <alignment horizontal="right"/>
    </xf>
    <xf numFmtId="4" fontId="18" fillId="0" borderId="9" xfId="0" applyNumberFormat="1" applyFont="1" applyBorder="1" applyAlignment="1">
      <alignment horizontal="right"/>
    </xf>
    <xf numFmtId="4" fontId="16" fillId="12" borderId="9" xfId="0" applyNumberFormat="1" applyFont="1" applyFill="1" applyBorder="1" applyAlignment="1">
      <alignment horizontal="right"/>
    </xf>
    <xf numFmtId="4" fontId="18" fillId="12" borderId="9" xfId="0" applyNumberFormat="1" applyFont="1" applyFill="1" applyBorder="1" applyAlignment="1">
      <alignment horizontal="right"/>
    </xf>
    <xf numFmtId="4" fontId="27" fillId="0" borderId="9" xfId="0" applyNumberFormat="1" applyFont="1" applyBorder="1" applyAlignment="1">
      <alignment horizontal="right"/>
    </xf>
    <xf numFmtId="4" fontId="16" fillId="12" borderId="9" xfId="0" applyNumberFormat="1" applyFont="1" applyFill="1" applyBorder="1" applyAlignment="1">
      <alignment horizontal="center"/>
    </xf>
    <xf numFmtId="4" fontId="18" fillId="0" borderId="9" xfId="0" applyNumberFormat="1" applyFont="1" applyBorder="1" applyAlignment="1">
      <alignment vertical="center"/>
    </xf>
    <xf numFmtId="4" fontId="18" fillId="0" borderId="24" xfId="0" applyNumberFormat="1" applyFont="1" applyBorder="1" applyAlignment="1">
      <alignment horizontal="right"/>
    </xf>
    <xf numFmtId="4" fontId="16" fillId="12" borderId="12" xfId="0" applyNumberFormat="1" applyFont="1" applyFill="1" applyBorder="1" applyAlignment="1">
      <alignment horizontal="right"/>
    </xf>
    <xf numFmtId="4" fontId="12" fillId="0" borderId="24" xfId="0" applyNumberFormat="1" applyFont="1" applyBorder="1" applyAlignment="1">
      <alignment horizontal="right"/>
    </xf>
    <xf numFmtId="4" fontId="12" fillId="0" borderId="0" xfId="0" applyNumberFormat="1" applyFont="1" applyAlignment="1">
      <alignment horizontal="right"/>
    </xf>
    <xf numFmtId="4" fontId="0" fillId="0" borderId="0" xfId="0" applyNumberFormat="1"/>
    <xf numFmtId="4" fontId="12" fillId="0" borderId="0" xfId="0" applyNumberFormat="1" applyFont="1" applyAlignment="1">
      <alignment horizontal="center"/>
    </xf>
    <xf numFmtId="4" fontId="33" fillId="7" borderId="9" xfId="0" applyNumberFormat="1" applyFont="1" applyFill="1" applyBorder="1" applyAlignment="1">
      <alignment horizontal="center" vertical="center"/>
    </xf>
    <xf numFmtId="4" fontId="17" fillId="6" borderId="9" xfId="0" applyNumberFormat="1" applyFont="1" applyFill="1" applyBorder="1" applyAlignment="1">
      <alignment horizontal="center"/>
    </xf>
    <xf numFmtId="4" fontId="5" fillId="31" borderId="9" xfId="0" applyNumberFormat="1" applyFont="1" applyFill="1" applyBorder="1" applyAlignment="1">
      <alignment horizontal="center"/>
    </xf>
    <xf numFmtId="4" fontId="18" fillId="0" borderId="9" xfId="0" applyNumberFormat="1" applyFont="1" applyBorder="1" applyAlignment="1">
      <alignment horizontal="center"/>
    </xf>
    <xf numFmtId="4" fontId="18" fillId="12" borderId="9" xfId="0" applyNumberFormat="1" applyFont="1" applyFill="1" applyBorder="1" applyAlignment="1">
      <alignment horizontal="center"/>
    </xf>
    <xf numFmtId="4" fontId="18" fillId="0" borderId="22" xfId="0" applyNumberFormat="1" applyFont="1" applyBorder="1" applyAlignment="1">
      <alignment horizontal="center"/>
    </xf>
    <xf numFmtId="4" fontId="18" fillId="0" borderId="24" xfId="0" applyNumberFormat="1" applyFont="1" applyBorder="1" applyAlignment="1">
      <alignment horizontal="center"/>
    </xf>
    <xf numFmtId="4" fontId="16" fillId="12" borderId="12" xfId="0" applyNumberFormat="1" applyFont="1" applyFill="1" applyBorder="1" applyAlignment="1">
      <alignment horizontal="center"/>
    </xf>
    <xf numFmtId="4" fontId="0" fillId="0" borderId="0" xfId="0" applyNumberFormat="1" applyAlignment="1">
      <alignment horizontal="center"/>
    </xf>
    <xf numFmtId="0" fontId="8" fillId="0" borderId="29" xfId="0" applyFont="1" applyBorder="1" applyAlignment="1">
      <alignment vertical="center"/>
    </xf>
    <xf numFmtId="0" fontId="8" fillId="0" borderId="24" xfId="0" applyFont="1" applyBorder="1" applyAlignment="1">
      <alignment vertical="center"/>
    </xf>
    <xf numFmtId="0" fontId="0" fillId="0" borderId="0" xfId="0" applyAlignment="1">
      <alignment horizontal="center" vertical="center"/>
    </xf>
    <xf numFmtId="167" fontId="4" fillId="0" borderId="9" xfId="0" applyNumberFormat="1" applyFont="1" applyBorder="1" applyAlignment="1">
      <alignment horizontal="center" vertical="center"/>
    </xf>
    <xf numFmtId="167" fontId="4" fillId="0" borderId="10" xfId="0" applyNumberFormat="1" applyFont="1" applyBorder="1" applyAlignment="1">
      <alignment horizontal="center" vertical="center"/>
    </xf>
    <xf numFmtId="0" fontId="36" fillId="32" borderId="9" xfId="0" applyFont="1" applyFill="1" applyBorder="1" applyAlignment="1">
      <alignment horizontal="left" vertical="center"/>
    </xf>
    <xf numFmtId="2" fontId="34" fillId="0" borderId="10" xfId="0" applyNumberFormat="1" applyFont="1" applyBorder="1"/>
    <xf numFmtId="0" fontId="15" fillId="7" borderId="12" xfId="0" applyFont="1" applyFill="1" applyBorder="1" applyAlignment="1">
      <alignment horizontal="center" vertical="center"/>
    </xf>
    <xf numFmtId="2" fontId="34" fillId="0" borderId="24" xfId="0" applyNumberFormat="1" applyFont="1" applyBorder="1" applyAlignment="1">
      <alignment vertical="center" wrapText="1"/>
    </xf>
    <xf numFmtId="2" fontId="34" fillId="17" borderId="24" xfId="0" applyNumberFormat="1" applyFont="1" applyFill="1" applyBorder="1" applyAlignment="1">
      <alignment horizontal="center"/>
    </xf>
    <xf numFmtId="2" fontId="6" fillId="0" borderId="30" xfId="0" applyNumberFormat="1" applyFont="1" applyBorder="1" applyAlignment="1">
      <alignment horizontal="center"/>
    </xf>
    <xf numFmtId="2" fontId="8" fillId="9" borderId="9" xfId="0" applyNumberFormat="1" applyFont="1" applyFill="1" applyBorder="1" applyAlignment="1">
      <alignment horizontal="center" vertical="center"/>
    </xf>
    <xf numFmtId="2" fontId="8" fillId="30" borderId="9" xfId="0" applyNumberFormat="1" applyFont="1" applyFill="1" applyBorder="1" applyAlignment="1">
      <alignment horizontal="center" vertical="center"/>
    </xf>
    <xf numFmtId="2" fontId="8" fillId="32" borderId="9" xfId="0" applyNumberFormat="1" applyFont="1" applyFill="1" applyBorder="1" applyAlignment="1">
      <alignment horizontal="center" vertical="center"/>
    </xf>
    <xf numFmtId="2" fontId="28" fillId="0" borderId="9" xfId="0" applyNumberFormat="1" applyFont="1" applyBorder="1" applyAlignment="1">
      <alignment horizontal="center"/>
    </xf>
    <xf numFmtId="2" fontId="7" fillId="0" borderId="22" xfId="0" applyNumberFormat="1" applyFont="1" applyBorder="1" applyAlignment="1">
      <alignment horizontal="center"/>
    </xf>
    <xf numFmtId="2" fontId="8" fillId="0" borderId="9" xfId="0" applyNumberFormat="1" applyFont="1" applyBorder="1" applyAlignment="1">
      <alignment horizontal="center" vertical="center"/>
    </xf>
    <xf numFmtId="2" fontId="28" fillId="0" borderId="11" xfId="0" applyNumberFormat="1" applyFont="1" applyBorder="1" applyAlignment="1">
      <alignment horizontal="center"/>
    </xf>
    <xf numFmtId="0" fontId="7" fillId="0" borderId="7" xfId="0" applyFont="1" applyBorder="1" applyAlignment="1">
      <alignment horizontal="left" vertical="center"/>
    </xf>
    <xf numFmtId="2" fontId="16" fillId="0" borderId="16" xfId="0" applyNumberFormat="1" applyFont="1" applyBorder="1" applyAlignment="1">
      <alignment horizontal="center"/>
    </xf>
    <xf numFmtId="0" fontId="19" fillId="0" borderId="22" xfId="0" applyFont="1" applyBorder="1" applyAlignment="1">
      <alignment horizontal="center"/>
    </xf>
    <xf numFmtId="0" fontId="16" fillId="6" borderId="16" xfId="0" applyFont="1" applyFill="1" applyBorder="1" applyAlignment="1">
      <alignment horizontal="center" vertical="center"/>
    </xf>
    <xf numFmtId="0" fontId="17" fillId="6" borderId="22" xfId="0" applyFont="1" applyFill="1" applyBorder="1" applyAlignment="1">
      <alignment horizontal="center" vertical="center"/>
    </xf>
    <xf numFmtId="0" fontId="16" fillId="6" borderId="26" xfId="0" applyFont="1" applyFill="1" applyBorder="1" applyAlignment="1">
      <alignment horizontal="left" vertical="center"/>
    </xf>
    <xf numFmtId="0" fontId="16" fillId="6" borderId="25" xfId="0" applyFont="1" applyFill="1" applyBorder="1" applyAlignment="1">
      <alignment horizontal="center" vertical="center"/>
    </xf>
    <xf numFmtId="2" fontId="18" fillId="0" borderId="16" xfId="0" applyNumberFormat="1" applyFont="1" applyBorder="1" applyAlignment="1">
      <alignment horizontal="center" vertical="center"/>
    </xf>
    <xf numFmtId="0" fontId="18" fillId="0" borderId="47" xfId="0" applyFont="1" applyBorder="1" applyAlignment="1">
      <alignment vertical="center"/>
    </xf>
    <xf numFmtId="0" fontId="18" fillId="0" borderId="48" xfId="0" applyFont="1" applyBorder="1" applyAlignment="1">
      <alignment vertical="center"/>
    </xf>
    <xf numFmtId="49" fontId="19" fillId="0" borderId="12" xfId="0" applyNumberFormat="1" applyFont="1" applyBorder="1" applyAlignment="1">
      <alignment horizontal="center"/>
    </xf>
    <xf numFmtId="1" fontId="34" fillId="17" borderId="24" xfId="0" applyNumberFormat="1" applyFont="1" applyFill="1" applyBorder="1" applyAlignment="1">
      <alignment horizontal="center"/>
    </xf>
    <xf numFmtId="0" fontId="18" fillId="0" borderId="47" xfId="0" applyFont="1" applyBorder="1" applyAlignment="1">
      <alignment horizontal="center" vertical="center"/>
    </xf>
    <xf numFmtId="2" fontId="18" fillId="0" borderId="24" xfId="0" applyNumberFormat="1" applyFont="1" applyBorder="1" applyAlignment="1">
      <alignment horizontal="center" vertical="center"/>
    </xf>
    <xf numFmtId="173" fontId="18" fillId="12" borderId="9" xfId="0" applyNumberFormat="1" applyFont="1" applyFill="1" applyBorder="1" applyAlignment="1">
      <alignment horizontal="center"/>
    </xf>
    <xf numFmtId="4" fontId="18" fillId="0" borderId="16" xfId="0" applyNumberFormat="1" applyFont="1" applyBorder="1" applyAlignment="1">
      <alignment horizontal="right"/>
    </xf>
    <xf numFmtId="4" fontId="16" fillId="12" borderId="22" xfId="0" applyNumberFormat="1" applyFont="1" applyFill="1" applyBorder="1" applyAlignment="1">
      <alignment horizontal="right"/>
    </xf>
    <xf numFmtId="4" fontId="5" fillId="31" borderId="11" xfId="0" applyNumberFormat="1" applyFont="1" applyFill="1" applyBorder="1" applyAlignment="1">
      <alignment horizontal="center"/>
    </xf>
    <xf numFmtId="4" fontId="18" fillId="12" borderId="12" xfId="0" applyNumberFormat="1" applyFont="1" applyFill="1" applyBorder="1" applyAlignment="1">
      <alignment horizontal="center"/>
    </xf>
    <xf numFmtId="4" fontId="16" fillId="12" borderId="24" xfId="0" applyNumberFormat="1" applyFont="1" applyFill="1" applyBorder="1" applyAlignment="1">
      <alignment horizontal="center"/>
    </xf>
    <xf numFmtId="4" fontId="10" fillId="7" borderId="9" xfId="0" applyNumberFormat="1" applyFont="1" applyFill="1" applyBorder="1" applyAlignment="1">
      <alignment horizontal="center" vertical="center"/>
    </xf>
    <xf numFmtId="3" fontId="10" fillId="7" borderId="9" xfId="0" applyNumberFormat="1" applyFont="1" applyFill="1" applyBorder="1" applyAlignment="1">
      <alignment horizontal="center" vertical="center"/>
    </xf>
    <xf numFmtId="0" fontId="4" fillId="0" borderId="10" xfId="0" applyFont="1" applyBorder="1"/>
    <xf numFmtId="0" fontId="4" fillId="0" borderId="10" xfId="0" applyFont="1" applyBorder="1" applyAlignment="1">
      <alignment horizontal="center" vertical="center"/>
    </xf>
    <xf numFmtId="165" fontId="4" fillId="0" borderId="10" xfId="0" applyNumberFormat="1" applyFont="1" applyBorder="1"/>
    <xf numFmtId="0" fontId="17" fillId="0" borderId="9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17" fillId="13" borderId="9" xfId="0" applyFont="1" applyFill="1" applyBorder="1" applyAlignment="1">
      <alignment vertical="center"/>
    </xf>
    <xf numFmtId="0" fontId="18" fillId="0" borderId="24" xfId="0" applyFont="1" applyBorder="1" applyAlignment="1">
      <alignment horizontal="center" vertical="center"/>
    </xf>
    <xf numFmtId="0" fontId="18" fillId="0" borderId="25" xfId="0" applyFont="1" applyBorder="1" applyAlignment="1">
      <alignment horizontal="left" vertical="center"/>
    </xf>
    <xf numFmtId="2" fontId="18" fillId="0" borderId="12" xfId="0" applyNumberFormat="1" applyFont="1" applyBorder="1" applyAlignment="1">
      <alignment horizontal="center"/>
    </xf>
    <xf numFmtId="2" fontId="18" fillId="0" borderId="25" xfId="0" applyNumberFormat="1" applyFont="1" applyBorder="1"/>
    <xf numFmtId="2" fontId="18" fillId="0" borderId="25" xfId="0" applyNumberFormat="1" applyFont="1" applyBorder="1" applyAlignment="1">
      <alignment vertical="center"/>
    </xf>
    <xf numFmtId="2" fontId="6" fillId="0" borderId="26" xfId="0" applyNumberFormat="1" applyFont="1" applyBorder="1"/>
    <xf numFmtId="0" fontId="6" fillId="0" borderId="46" xfId="0" applyFont="1" applyBorder="1" applyAlignment="1">
      <alignment horizontal="left" vertical="center"/>
    </xf>
    <xf numFmtId="0" fontId="6" fillId="0" borderId="42" xfId="0" applyFont="1" applyBorder="1" applyAlignment="1">
      <alignment horizontal="left" vertical="center"/>
    </xf>
    <xf numFmtId="0" fontId="6" fillId="0" borderId="44" xfId="0" applyFont="1" applyBorder="1" applyAlignment="1">
      <alignment horizontal="left" vertical="center"/>
    </xf>
    <xf numFmtId="0" fontId="19" fillId="0" borderId="16" xfId="0" applyFont="1" applyBorder="1" applyAlignment="1">
      <alignment vertical="center"/>
    </xf>
    <xf numFmtId="0" fontId="19" fillId="0" borderId="22" xfId="0" applyFont="1" applyBorder="1" applyAlignment="1">
      <alignment vertical="center"/>
    </xf>
    <xf numFmtId="0" fontId="29" fillId="0" borderId="24" xfId="0" applyFont="1" applyBorder="1" applyAlignment="1">
      <alignment horizontal="center"/>
    </xf>
    <xf numFmtId="0" fontId="58" fillId="0" borderId="24" xfId="0" applyFont="1" applyBorder="1" applyAlignment="1">
      <alignment horizontal="center"/>
    </xf>
    <xf numFmtId="2" fontId="6" fillId="0" borderId="26" xfId="0" applyNumberFormat="1" applyFont="1" applyBorder="1" applyAlignment="1">
      <alignment horizontal="left"/>
    </xf>
    <xf numFmtId="2" fontId="11" fillId="0" borderId="24" xfId="0" applyNumberFormat="1" applyFont="1" applyBorder="1" applyAlignment="1">
      <alignment vertical="center"/>
    </xf>
    <xf numFmtId="0" fontId="19" fillId="12" borderId="12" xfId="0" applyFont="1" applyFill="1" applyBorder="1" applyAlignment="1">
      <alignment horizontal="center"/>
    </xf>
    <xf numFmtId="2" fontId="19" fillId="0" borderId="24" xfId="0" applyNumberFormat="1" applyFont="1" applyBorder="1" applyAlignment="1">
      <alignment horizontal="center" vertical="center"/>
    </xf>
    <xf numFmtId="172" fontId="37" fillId="0" borderId="24" xfId="1" applyNumberFormat="1" applyFont="1" applyBorder="1" applyAlignment="1">
      <alignment horizontal="center" vertical="center"/>
    </xf>
    <xf numFmtId="2" fontId="19" fillId="0" borderId="24" xfId="1" applyNumberFormat="1" applyFont="1" applyBorder="1" applyAlignment="1">
      <alignment horizontal="center" vertical="center"/>
    </xf>
    <xf numFmtId="169" fontId="19" fillId="21" borderId="24" xfId="1" applyNumberFormat="1" applyFont="1" applyFill="1" applyBorder="1" applyAlignment="1">
      <alignment horizontal="center" vertical="center"/>
    </xf>
    <xf numFmtId="169" fontId="19" fillId="17" borderId="24" xfId="1" applyNumberFormat="1" applyFont="1" applyFill="1" applyBorder="1" applyAlignment="1">
      <alignment horizontal="center" vertical="center"/>
    </xf>
    <xf numFmtId="169" fontId="19" fillId="0" borderId="24" xfId="1" applyNumberFormat="1" applyFont="1" applyBorder="1" applyAlignment="1">
      <alignment horizontal="center" vertical="center"/>
    </xf>
    <xf numFmtId="172" fontId="36" fillId="20" borderId="24" xfId="1" applyNumberFormat="1" applyFont="1" applyFill="1" applyBorder="1" applyAlignment="1">
      <alignment horizontal="center" vertical="center"/>
    </xf>
    <xf numFmtId="172" fontId="36" fillId="29" borderId="24" xfId="1" applyNumberFormat="1" applyFont="1" applyFill="1" applyBorder="1" applyAlignment="1">
      <alignment horizontal="center" vertical="center"/>
    </xf>
    <xf numFmtId="49" fontId="19" fillId="0" borderId="16" xfId="0" applyNumberFormat="1" applyFont="1" applyBorder="1" applyAlignment="1">
      <alignment horizontal="center"/>
    </xf>
    <xf numFmtId="0" fontId="18" fillId="12" borderId="12" xfId="0" applyFont="1" applyFill="1" applyBorder="1" applyAlignment="1">
      <alignment horizontal="center" vertical="center"/>
    </xf>
    <xf numFmtId="0" fontId="18" fillId="0" borderId="47" xfId="0" applyFont="1" applyBorder="1" applyAlignment="1">
      <alignment horizontal="left" vertical="center"/>
    </xf>
    <xf numFmtId="4" fontId="19" fillId="0" borderId="24" xfId="1" applyNumberFormat="1" applyFont="1" applyBorder="1" applyAlignment="1">
      <alignment horizontal="center" vertical="center"/>
    </xf>
    <xf numFmtId="172" fontId="19" fillId="0" borderId="24" xfId="1" applyNumberFormat="1" applyFont="1" applyBorder="1" applyAlignment="1">
      <alignment horizontal="center" vertical="center"/>
    </xf>
    <xf numFmtId="0" fontId="18" fillId="0" borderId="22" xfId="0" applyFont="1" applyBorder="1" applyAlignment="1">
      <alignment vertical="center"/>
    </xf>
    <xf numFmtId="0" fontId="8" fillId="32" borderId="12" xfId="0" applyFont="1" applyFill="1" applyBorder="1" applyAlignment="1">
      <alignment vertical="center"/>
    </xf>
    <xf numFmtId="2" fontId="8" fillId="32" borderId="12" xfId="0" applyNumberFormat="1" applyFont="1" applyFill="1" applyBorder="1" applyAlignment="1">
      <alignment vertical="center"/>
    </xf>
    <xf numFmtId="2" fontId="6" fillId="0" borderId="12" xfId="0" applyNumberFormat="1" applyFont="1" applyBorder="1" applyAlignment="1">
      <alignment horizontal="center"/>
    </xf>
    <xf numFmtId="4" fontId="45" fillId="29" borderId="24" xfId="1" applyNumberFormat="1" applyFont="1" applyFill="1" applyBorder="1" applyAlignment="1">
      <alignment horizontal="center" vertical="center"/>
    </xf>
    <xf numFmtId="2" fontId="6" fillId="0" borderId="21" xfId="0" applyNumberFormat="1" applyFont="1" applyBorder="1" applyAlignment="1">
      <alignment horizontal="center"/>
    </xf>
    <xf numFmtId="0" fontId="3" fillId="0" borderId="22" xfId="0" applyFont="1" applyBorder="1"/>
    <xf numFmtId="0" fontId="59" fillId="0" borderId="16" xfId="0" applyFont="1" applyBorder="1" applyAlignment="1">
      <alignment vertical="center" wrapText="1"/>
    </xf>
    <xf numFmtId="0" fontId="39" fillId="23" borderId="28" xfId="1" quotePrefix="1" applyFont="1" applyFill="1" applyBorder="1" applyAlignment="1">
      <alignment horizontal="center" vertical="center"/>
    </xf>
    <xf numFmtId="4" fontId="16" fillId="0" borderId="9" xfId="0" applyNumberFormat="1" applyFont="1" applyBorder="1" applyAlignment="1">
      <alignment horizontal="right"/>
    </xf>
    <xf numFmtId="0" fontId="5" fillId="31" borderId="11" xfId="0" applyFont="1" applyFill="1" applyBorder="1" applyAlignment="1">
      <alignment vertical="center"/>
    </xf>
    <xf numFmtId="0" fontId="52" fillId="31" borderId="11" xfId="0" applyFont="1" applyFill="1" applyBorder="1" applyAlignment="1">
      <alignment horizontal="center" vertical="center"/>
    </xf>
    <xf numFmtId="0" fontId="18" fillId="0" borderId="33" xfId="0" applyFont="1" applyBorder="1" applyAlignment="1">
      <alignment horizontal="left" vertical="center"/>
    </xf>
    <xf numFmtId="0" fontId="18" fillId="0" borderId="34" xfId="0" applyFont="1" applyBorder="1" applyAlignment="1">
      <alignment horizontal="left" vertical="center"/>
    </xf>
    <xf numFmtId="4" fontId="19" fillId="0" borderId="9" xfId="0" applyNumberFormat="1" applyFont="1" applyBorder="1" applyAlignment="1">
      <alignment horizontal="center"/>
    </xf>
    <xf numFmtId="2" fontId="37" fillId="0" borderId="24" xfId="0" applyNumberFormat="1" applyFont="1" applyBorder="1" applyAlignment="1">
      <alignment horizontal="center"/>
    </xf>
    <xf numFmtId="0" fontId="39" fillId="23" borderId="10" xfId="1" applyFont="1" applyFill="1" applyAlignment="1">
      <alignment horizontal="center" vertical="center"/>
    </xf>
    <xf numFmtId="4" fontId="45" fillId="20" borderId="24" xfId="1" applyNumberFormat="1" applyFont="1" applyFill="1" applyBorder="1" applyAlignment="1">
      <alignment horizontal="center" vertical="center"/>
    </xf>
    <xf numFmtId="0" fontId="39" fillId="23" borderId="10" xfId="1" quotePrefix="1" applyFont="1" applyFill="1" applyAlignment="1">
      <alignment horizontal="center" vertical="center"/>
    </xf>
    <xf numFmtId="169" fontId="39" fillId="23" borderId="10" xfId="1" quotePrefix="1" applyNumberFormat="1" applyFont="1" applyFill="1" applyAlignment="1">
      <alignment horizontal="center" vertical="center"/>
    </xf>
    <xf numFmtId="0" fontId="18" fillId="0" borderId="19" xfId="0" applyFont="1" applyBorder="1" applyAlignment="1">
      <alignment vertical="center"/>
    </xf>
    <xf numFmtId="0" fontId="18" fillId="0" borderId="21" xfId="0" applyFont="1" applyBorder="1" applyAlignment="1">
      <alignment vertical="center"/>
    </xf>
    <xf numFmtId="0" fontId="19" fillId="0" borderId="12" xfId="0" applyFont="1" applyBorder="1" applyAlignment="1">
      <alignment horizontal="center"/>
    </xf>
    <xf numFmtId="2" fontId="19" fillId="0" borderId="19" xfId="0" applyNumberFormat="1" applyFont="1" applyBorder="1" applyAlignment="1">
      <alignment horizontal="center"/>
    </xf>
    <xf numFmtId="0" fontId="11" fillId="19" borderId="24" xfId="1" applyFont="1" applyFill="1" applyBorder="1" applyAlignment="1">
      <alignment horizontal="center" vertical="center" wrapText="1"/>
    </xf>
    <xf numFmtId="174" fontId="35" fillId="34" borderId="10" xfId="1" applyNumberFormat="1" applyFont="1" applyFill="1"/>
    <xf numFmtId="0" fontId="35" fillId="34" borderId="10" xfId="1" applyFont="1" applyFill="1"/>
    <xf numFmtId="170" fontId="35" fillId="34" borderId="10" xfId="1" applyNumberFormat="1" applyFont="1" applyFill="1"/>
    <xf numFmtId="169" fontId="39" fillId="34" borderId="28" xfId="1" applyNumberFormat="1" applyFont="1" applyFill="1" applyBorder="1" applyAlignment="1">
      <alignment horizontal="right" vertical="center"/>
    </xf>
    <xf numFmtId="0" fontId="35" fillId="34" borderId="10" xfId="1" applyFont="1" applyFill="1" applyAlignment="1">
      <alignment horizontal="right"/>
    </xf>
    <xf numFmtId="0" fontId="39" fillId="34" borderId="28" xfId="1" quotePrefix="1" applyFont="1" applyFill="1" applyBorder="1" applyAlignment="1">
      <alignment horizontal="right" vertical="center"/>
    </xf>
    <xf numFmtId="169" fontId="39" fillId="34" borderId="28" xfId="1" quotePrefix="1" applyNumberFormat="1" applyFont="1" applyFill="1" applyBorder="1" applyAlignment="1">
      <alignment horizontal="right" vertical="center"/>
    </xf>
    <xf numFmtId="10" fontId="39" fillId="34" borderId="28" xfId="6" quotePrefix="1" applyNumberFormat="1" applyFont="1" applyFill="1" applyBorder="1" applyAlignment="1">
      <alignment horizontal="right" vertical="center"/>
    </xf>
    <xf numFmtId="169" fontId="39" fillId="23" borderId="28" xfId="1" applyNumberFormat="1" applyFont="1" applyFill="1" applyBorder="1" applyAlignment="1">
      <alignment horizontal="right" vertical="center"/>
    </xf>
    <xf numFmtId="0" fontId="39" fillId="23" borderId="28" xfId="1" quotePrefix="1" applyFont="1" applyFill="1" applyBorder="1" applyAlignment="1">
      <alignment horizontal="right" vertical="center"/>
    </xf>
    <xf numFmtId="169" fontId="39" fillId="23" borderId="28" xfId="1" quotePrefix="1" applyNumberFormat="1" applyFont="1" applyFill="1" applyBorder="1" applyAlignment="1">
      <alignment horizontal="right" vertical="center"/>
    </xf>
    <xf numFmtId="172" fontId="36" fillId="20" borderId="26" xfId="1" applyNumberFormat="1" applyFont="1" applyFill="1" applyBorder="1" applyAlignment="1">
      <alignment horizontal="right" vertical="center"/>
    </xf>
    <xf numFmtId="172" fontId="36" fillId="29" borderId="26" xfId="1" applyNumberFormat="1" applyFont="1" applyFill="1" applyBorder="1" applyAlignment="1">
      <alignment horizontal="right" vertical="center"/>
    </xf>
    <xf numFmtId="172" fontId="36" fillId="32" borderId="16" xfId="0" applyNumberFormat="1" applyFont="1" applyFill="1" applyBorder="1" applyAlignment="1">
      <alignment horizontal="right" vertical="center"/>
    </xf>
    <xf numFmtId="172" fontId="19" fillId="22" borderId="26" xfId="1" applyNumberFormat="1" applyFont="1" applyFill="1" applyBorder="1" applyAlignment="1">
      <alignment horizontal="right" vertical="center"/>
    </xf>
    <xf numFmtId="10" fontId="35" fillId="17" borderId="24" xfId="1" applyNumberFormat="1" applyFont="1" applyFill="1" applyBorder="1" applyAlignment="1">
      <alignment horizontal="right"/>
    </xf>
    <xf numFmtId="9" fontId="35" fillId="0" borderId="24" xfId="6" applyFont="1" applyBorder="1" applyAlignment="1">
      <alignment horizontal="right"/>
    </xf>
    <xf numFmtId="172" fontId="35" fillId="0" borderId="24" xfId="1" applyNumberFormat="1" applyFont="1" applyBorder="1" applyAlignment="1">
      <alignment horizontal="right"/>
    </xf>
    <xf numFmtId="175" fontId="35" fillId="0" borderId="24" xfId="1" applyNumberFormat="1" applyFont="1" applyBorder="1" applyAlignment="1">
      <alignment horizontal="right"/>
    </xf>
    <xf numFmtId="10" fontId="35" fillId="17" borderId="24" xfId="6" applyNumberFormat="1" applyFont="1" applyFill="1" applyBorder="1" applyAlignment="1">
      <alignment horizontal="right"/>
    </xf>
    <xf numFmtId="10" fontId="36" fillId="20" borderId="26" xfId="1" applyNumberFormat="1" applyFont="1" applyFill="1" applyBorder="1" applyAlignment="1">
      <alignment horizontal="right" vertical="center"/>
    </xf>
    <xf numFmtId="10" fontId="36" fillId="32" borderId="16" xfId="0" applyNumberFormat="1" applyFont="1" applyFill="1" applyBorder="1" applyAlignment="1">
      <alignment horizontal="right" vertical="center"/>
    </xf>
    <xf numFmtId="175" fontId="35" fillId="35" borderId="24" xfId="1" applyNumberFormat="1" applyFont="1" applyFill="1" applyBorder="1" applyAlignment="1">
      <alignment horizontal="right"/>
    </xf>
    <xf numFmtId="172" fontId="35" fillId="35" borderId="24" xfId="1" applyNumberFormat="1" applyFont="1" applyFill="1" applyBorder="1" applyAlignment="1">
      <alignment horizontal="right"/>
    </xf>
    <xf numFmtId="172" fontId="35" fillId="17" borderId="24" xfId="1" applyNumberFormat="1" applyFont="1" applyFill="1" applyBorder="1" applyAlignment="1">
      <alignment horizontal="right"/>
    </xf>
    <xf numFmtId="0" fontId="56" fillId="33" borderId="10" xfId="0" applyFont="1" applyFill="1" applyBorder="1" applyAlignment="1">
      <alignment vertical="center"/>
    </xf>
    <xf numFmtId="167" fontId="0" fillId="0" borderId="0" xfId="0" applyNumberFormat="1"/>
    <xf numFmtId="167" fontId="0" fillId="0" borderId="24" xfId="0" applyNumberFormat="1" applyBorder="1"/>
    <xf numFmtId="172" fontId="0" fillId="0" borderId="24" xfId="0" applyNumberFormat="1" applyBorder="1"/>
    <xf numFmtId="176" fontId="0" fillId="0" borderId="0" xfId="0" applyNumberFormat="1"/>
    <xf numFmtId="0" fontId="61" fillId="18" borderId="24" xfId="0" applyFont="1" applyFill="1" applyBorder="1" applyAlignment="1">
      <alignment horizontal="center" vertical="center" wrapText="1"/>
    </xf>
    <xf numFmtId="0" fontId="0" fillId="16" borderId="24" xfId="0" applyFill="1" applyBorder="1"/>
    <xf numFmtId="2" fontId="0" fillId="0" borderId="24" xfId="0" applyNumberFormat="1" applyBorder="1"/>
    <xf numFmtId="4" fontId="0" fillId="26" borderId="24" xfId="0" applyNumberFormat="1" applyFill="1" applyBorder="1"/>
    <xf numFmtId="172" fontId="0" fillId="37" borderId="24" xfId="0" applyNumberFormat="1" applyFill="1" applyBorder="1"/>
    <xf numFmtId="0" fontId="61" fillId="18" borderId="24" xfId="0" applyFont="1" applyFill="1" applyBorder="1"/>
    <xf numFmtId="0" fontId="61" fillId="18" borderId="24" xfId="0" applyFont="1" applyFill="1" applyBorder="1" applyAlignment="1">
      <alignment wrapText="1"/>
    </xf>
    <xf numFmtId="4" fontId="61" fillId="18" borderId="24" xfId="0" applyNumberFormat="1" applyFont="1" applyFill="1" applyBorder="1"/>
    <xf numFmtId="167" fontId="61" fillId="18" borderId="24" xfId="0" applyNumberFormat="1" applyFont="1" applyFill="1" applyBorder="1"/>
    <xf numFmtId="172" fontId="61" fillId="18" borderId="24" xfId="0" applyNumberFormat="1" applyFont="1" applyFill="1" applyBorder="1"/>
    <xf numFmtId="0" fontId="62" fillId="36" borderId="10" xfId="0" applyFont="1" applyFill="1" applyBorder="1" applyAlignment="1">
      <alignment horizontal="right" vertical="center"/>
    </xf>
    <xf numFmtId="10" fontId="42" fillId="23" borderId="10" xfId="1" applyNumberFormat="1" applyFont="1" applyFill="1" applyAlignment="1">
      <alignment horizontal="center" vertical="center"/>
    </xf>
    <xf numFmtId="10" fontId="39" fillId="23" borderId="10" xfId="6" quotePrefix="1" applyNumberFormat="1" applyFont="1" applyFill="1" applyBorder="1" applyAlignment="1">
      <alignment horizontal="center" vertical="center"/>
    </xf>
    <xf numFmtId="0" fontId="47" fillId="0" borderId="29" xfId="0" applyFont="1" applyFill="1" applyBorder="1" applyAlignment="1">
      <alignment vertical="center"/>
    </xf>
    <xf numFmtId="2" fontId="34" fillId="17" borderId="24" xfId="0" applyNumberFormat="1" applyFont="1" applyFill="1" applyBorder="1" applyAlignment="1">
      <alignment horizontal="center" vertical="center"/>
    </xf>
    <xf numFmtId="2" fontId="47" fillId="0" borderId="24" xfId="0" applyNumberFormat="1" applyFont="1" applyFill="1" applyBorder="1" applyAlignment="1">
      <alignment horizontal="center"/>
    </xf>
    <xf numFmtId="2" fontId="47" fillId="38" borderId="0" xfId="0" applyNumberFormat="1" applyFont="1" applyFill="1"/>
    <xf numFmtId="165" fontId="6" fillId="0" borderId="9" xfId="0" applyNumberFormat="1" applyFont="1" applyBorder="1" applyAlignment="1">
      <alignment horizontal="center"/>
    </xf>
    <xf numFmtId="3" fontId="10" fillId="7" borderId="9" xfId="0" quotePrefix="1" applyNumberFormat="1" applyFont="1" applyFill="1" applyBorder="1" applyAlignment="1">
      <alignment horizontal="center" vertical="center"/>
    </xf>
    <xf numFmtId="0" fontId="47" fillId="0" borderId="33" xfId="0" applyFont="1" applyBorder="1" applyAlignment="1">
      <alignment vertical="center"/>
    </xf>
    <xf numFmtId="0" fontId="47" fillId="0" borderId="34" xfId="0" applyFont="1" applyBorder="1" applyAlignment="1">
      <alignment vertical="center"/>
    </xf>
    <xf numFmtId="2" fontId="7" fillId="0" borderId="11" xfId="0" applyNumberFormat="1" applyFont="1" applyBorder="1" applyAlignment="1">
      <alignment horizontal="center"/>
    </xf>
    <xf numFmtId="2" fontId="6" fillId="0" borderId="0" xfId="0" applyNumberFormat="1" applyFont="1" applyFill="1"/>
    <xf numFmtId="2" fontId="47" fillId="0" borderId="0" xfId="0" applyNumberFormat="1" applyFont="1" applyFill="1"/>
    <xf numFmtId="2" fontId="19" fillId="0" borderId="30" xfId="0" applyNumberFormat="1" applyFont="1" applyBorder="1" applyAlignment="1">
      <alignment horizontal="center"/>
    </xf>
    <xf numFmtId="4" fontId="18" fillId="0" borderId="9" xfId="0" applyNumberFormat="1" applyFont="1" applyFill="1" applyBorder="1" applyAlignment="1">
      <alignment horizontal="center"/>
    </xf>
    <xf numFmtId="2" fontId="7" fillId="0" borderId="9" xfId="0" applyNumberFormat="1" applyFont="1" applyFill="1" applyBorder="1" applyAlignment="1">
      <alignment horizontal="center"/>
    </xf>
    <xf numFmtId="0" fontId="6" fillId="0" borderId="6" xfId="0" applyFont="1" applyFill="1" applyBorder="1" applyAlignment="1">
      <alignment horizontal="left" vertical="center"/>
    </xf>
    <xf numFmtId="0" fontId="8" fillId="0" borderId="9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left" vertical="center"/>
    </xf>
    <xf numFmtId="0" fontId="8" fillId="0" borderId="29" xfId="0" applyFont="1" applyFill="1" applyBorder="1" applyAlignment="1">
      <alignment vertical="center"/>
    </xf>
    <xf numFmtId="0" fontId="8" fillId="0" borderId="24" xfId="0" applyFont="1" applyFill="1" applyBorder="1" applyAlignment="1">
      <alignment vertical="center"/>
    </xf>
    <xf numFmtId="2" fontId="8" fillId="0" borderId="9" xfId="0" applyNumberFormat="1" applyFont="1" applyFill="1" applyBorder="1" applyAlignment="1">
      <alignment horizontal="center" vertical="center"/>
    </xf>
    <xf numFmtId="165" fontId="6" fillId="0" borderId="16" xfId="0" applyNumberFormat="1" applyFont="1" applyBorder="1" applyAlignment="1">
      <alignment horizontal="center"/>
    </xf>
    <xf numFmtId="0" fontId="18" fillId="38" borderId="9" xfId="0" applyFont="1" applyFill="1" applyBorder="1" applyAlignment="1">
      <alignment horizontal="center" vertical="center"/>
    </xf>
    <xf numFmtId="0" fontId="54" fillId="0" borderId="27" xfId="0" applyFont="1" applyBorder="1" applyAlignment="1">
      <alignment horizontal="center"/>
    </xf>
    <xf numFmtId="4" fontId="18" fillId="0" borderId="21" xfId="0" applyNumberFormat="1" applyFont="1" applyBorder="1" applyAlignment="1">
      <alignment horizontal="center"/>
    </xf>
    <xf numFmtId="4" fontId="18" fillId="0" borderId="12" xfId="0" applyNumberFormat="1" applyFont="1" applyBorder="1" applyAlignment="1">
      <alignment horizontal="center"/>
    </xf>
    <xf numFmtId="4" fontId="18" fillId="0" borderId="12" xfId="0" applyNumberFormat="1" applyFont="1" applyBorder="1" applyAlignment="1">
      <alignment horizontal="right"/>
    </xf>
    <xf numFmtId="0" fontId="19" fillId="0" borderId="30" xfId="0" applyFont="1" applyBorder="1" applyAlignment="1">
      <alignment horizontal="center"/>
    </xf>
    <xf numFmtId="2" fontId="19" fillId="12" borderId="12" xfId="0" applyNumberFormat="1" applyFont="1" applyFill="1" applyBorder="1" applyAlignment="1">
      <alignment horizontal="center"/>
    </xf>
    <xf numFmtId="49" fontId="19" fillId="12" borderId="12" xfId="0" applyNumberFormat="1" applyFont="1" applyFill="1" applyBorder="1" applyAlignment="1">
      <alignment horizontal="center"/>
    </xf>
    <xf numFmtId="173" fontId="18" fillId="12" borderId="12" xfId="0" applyNumberFormat="1" applyFont="1" applyFill="1" applyBorder="1" applyAlignment="1">
      <alignment horizontal="center"/>
    </xf>
    <xf numFmtId="0" fontId="16" fillId="12" borderId="24" xfId="0" applyFont="1" applyFill="1" applyBorder="1" applyAlignment="1">
      <alignment vertical="center"/>
    </xf>
    <xf numFmtId="0" fontId="6" fillId="0" borderId="26" xfId="0" applyFont="1" applyBorder="1" applyAlignment="1">
      <alignment horizontal="left" vertical="center"/>
    </xf>
    <xf numFmtId="0" fontId="5" fillId="31" borderId="11" xfId="0" applyFont="1" applyFill="1" applyBorder="1" applyAlignment="1">
      <alignment horizontal="center" vertical="center"/>
    </xf>
    <xf numFmtId="0" fontId="50" fillId="31" borderId="11" xfId="0" applyFont="1" applyFill="1" applyBorder="1" applyAlignment="1">
      <alignment horizontal="center" vertical="center"/>
    </xf>
    <xf numFmtId="2" fontId="18" fillId="38" borderId="12" xfId="0" applyNumberFormat="1" applyFont="1" applyFill="1" applyBorder="1" applyAlignment="1">
      <alignment horizontal="center"/>
    </xf>
    <xf numFmtId="2" fontId="18" fillId="38" borderId="9" xfId="0" applyNumberFormat="1" applyFont="1" applyFill="1" applyBorder="1" applyAlignment="1">
      <alignment horizontal="center"/>
    </xf>
    <xf numFmtId="0" fontId="0" fillId="0" borderId="0" xfId="0" applyFill="1"/>
    <xf numFmtId="2" fontId="47" fillId="0" borderId="10" xfId="0" applyNumberFormat="1" applyFont="1" applyBorder="1"/>
    <xf numFmtId="2" fontId="7" fillId="0" borderId="30" xfId="0" applyNumberFormat="1" applyFont="1" applyBorder="1" applyAlignment="1">
      <alignment horizontal="center"/>
    </xf>
    <xf numFmtId="0" fontId="47" fillId="0" borderId="25" xfId="0" applyFont="1" applyBorder="1" applyAlignment="1">
      <alignment vertical="center"/>
    </xf>
    <xf numFmtId="0" fontId="6" fillId="0" borderId="10" xfId="0" applyFont="1" applyBorder="1" applyAlignment="1">
      <alignment horizontal="left" vertical="center"/>
    </xf>
    <xf numFmtId="0" fontId="6" fillId="0" borderId="24" xfId="0" applyFont="1" applyBorder="1" applyAlignment="1">
      <alignment horizontal="center"/>
    </xf>
    <xf numFmtId="0" fontId="8" fillId="32" borderId="16" xfId="0" applyFont="1" applyFill="1" applyBorder="1" applyAlignment="1">
      <alignment horizontal="left" vertical="center"/>
    </xf>
    <xf numFmtId="0" fontId="8" fillId="9" borderId="16" xfId="0" applyFont="1" applyFill="1" applyBorder="1" applyAlignment="1">
      <alignment horizontal="left" vertical="center"/>
    </xf>
    <xf numFmtId="0" fontId="19" fillId="0" borderId="29" xfId="0" applyFont="1" applyBorder="1" applyAlignment="1">
      <alignment horizontal="left" vertical="center"/>
    </xf>
    <xf numFmtId="2" fontId="47" fillId="0" borderId="30" xfId="0" applyNumberFormat="1" applyFont="1" applyBorder="1" applyAlignment="1">
      <alignment horizontal="center"/>
    </xf>
    <xf numFmtId="0" fontId="47" fillId="0" borderId="26" xfId="0" applyFont="1" applyFill="1" applyBorder="1" applyAlignment="1">
      <alignment vertical="center"/>
    </xf>
    <xf numFmtId="2" fontId="19" fillId="0" borderId="24" xfId="0" applyNumberFormat="1" applyFont="1" applyFill="1" applyBorder="1" applyAlignment="1">
      <alignment horizontal="center"/>
    </xf>
    <xf numFmtId="4" fontId="18" fillId="0" borderId="22" xfId="0" applyNumberFormat="1" applyFont="1" applyFill="1" applyBorder="1" applyAlignment="1">
      <alignment horizontal="center"/>
    </xf>
    <xf numFmtId="0" fontId="32" fillId="0" borderId="24" xfId="0" applyFont="1" applyFill="1" applyBorder="1" applyAlignment="1">
      <alignment horizontal="center"/>
    </xf>
    <xf numFmtId="2" fontId="32" fillId="0" borderId="24" xfId="0" applyNumberFormat="1" applyFont="1" applyFill="1" applyBorder="1" applyAlignment="1">
      <alignment horizontal="center"/>
    </xf>
    <xf numFmtId="2" fontId="19" fillId="0" borderId="12" xfId="0" applyNumberFormat="1" applyFont="1" applyFill="1" applyBorder="1" applyAlignment="1">
      <alignment horizontal="center"/>
    </xf>
    <xf numFmtId="2" fontId="19" fillId="0" borderId="9" xfId="0" applyNumberFormat="1" applyFont="1" applyFill="1" applyBorder="1" applyAlignment="1">
      <alignment horizontal="center"/>
    </xf>
    <xf numFmtId="0" fontId="18" fillId="0" borderId="16" xfId="0" applyFont="1" applyFill="1" applyBorder="1" applyAlignment="1">
      <alignment vertical="center"/>
    </xf>
    <xf numFmtId="2" fontId="18" fillId="0" borderId="16" xfId="0" applyNumberFormat="1" applyFont="1" applyFill="1" applyBorder="1" applyAlignment="1">
      <alignment horizontal="center"/>
    </xf>
    <xf numFmtId="0" fontId="18" fillId="0" borderId="12" xfId="0" applyFont="1" applyBorder="1" applyAlignment="1">
      <alignment horizontal="center" vertical="center"/>
    </xf>
    <xf numFmtId="0" fontId="18" fillId="38" borderId="24" xfId="0" applyFont="1" applyFill="1" applyBorder="1" applyAlignment="1">
      <alignment horizontal="center" vertical="center"/>
    </xf>
    <xf numFmtId="0" fontId="18" fillId="0" borderId="24" xfId="0" applyFont="1" applyFill="1" applyBorder="1" applyAlignment="1">
      <alignment horizontal="center" vertical="center"/>
    </xf>
    <xf numFmtId="0" fontId="18" fillId="0" borderId="26" xfId="0" applyFont="1" applyFill="1" applyBorder="1" applyAlignment="1">
      <alignment vertical="center"/>
    </xf>
    <xf numFmtId="0" fontId="19" fillId="0" borderId="25" xfId="0" applyFont="1" applyBorder="1" applyAlignment="1">
      <alignment horizontal="center"/>
    </xf>
    <xf numFmtId="0" fontId="18" fillId="0" borderId="35" xfId="0" applyFont="1" applyBorder="1" applyAlignment="1">
      <alignment vertical="center"/>
    </xf>
    <xf numFmtId="0" fontId="18" fillId="0" borderId="25" xfId="0" applyFont="1" applyBorder="1" applyAlignment="1">
      <alignment vertical="center"/>
    </xf>
    <xf numFmtId="0" fontId="18" fillId="0" borderId="26" xfId="0" applyFont="1" applyBorder="1" applyAlignment="1">
      <alignment vertical="center"/>
    </xf>
    <xf numFmtId="0" fontId="32" fillId="0" borderId="24" xfId="0" applyFont="1" applyBorder="1" applyAlignment="1">
      <alignment horizontal="center"/>
    </xf>
    <xf numFmtId="2" fontId="32" fillId="0" borderId="24" xfId="0" applyNumberFormat="1" applyFont="1" applyBorder="1" applyAlignment="1">
      <alignment horizontal="center"/>
    </xf>
    <xf numFmtId="0" fontId="29" fillId="0" borderId="0" xfId="0" applyFont="1" applyAlignment="1">
      <alignment horizontal="center"/>
    </xf>
    <xf numFmtId="2" fontId="16" fillId="38" borderId="16" xfId="0" applyNumberFormat="1" applyFont="1" applyFill="1" applyBorder="1" applyAlignment="1">
      <alignment horizontal="center"/>
    </xf>
    <xf numFmtId="2" fontId="18" fillId="38" borderId="16" xfId="0" applyNumberFormat="1" applyFont="1" applyFill="1" applyBorder="1" applyAlignment="1">
      <alignment horizontal="center"/>
    </xf>
    <xf numFmtId="2" fontId="47" fillId="0" borderId="0" xfId="0" applyNumberFormat="1" applyFont="1" applyAlignment="1">
      <alignment horizontal="center"/>
    </xf>
    <xf numFmtId="2" fontId="6" fillId="0" borderId="19" xfId="0" applyNumberFormat="1" applyFont="1" applyBorder="1" applyAlignment="1">
      <alignment horizontal="center"/>
    </xf>
    <xf numFmtId="0" fontId="3" fillId="0" borderId="21" xfId="0" applyFont="1" applyBorder="1"/>
    <xf numFmtId="4" fontId="7" fillId="0" borderId="12" xfId="0" applyNumberFormat="1" applyFont="1" applyBorder="1" applyAlignment="1">
      <alignment horizontal="right"/>
    </xf>
    <xf numFmtId="0" fontId="59" fillId="0" borderId="19" xfId="0" applyFont="1" applyBorder="1" applyAlignment="1">
      <alignment vertical="center" wrapText="1"/>
    </xf>
    <xf numFmtId="0" fontId="36" fillId="41" borderId="9" xfId="0" applyFont="1" applyFill="1" applyBorder="1" applyAlignment="1">
      <alignment horizontal="center" vertical="center"/>
    </xf>
    <xf numFmtId="2" fontId="19" fillId="20" borderId="0" xfId="0" applyNumberFormat="1" applyFont="1" applyFill="1"/>
    <xf numFmtId="0" fontId="32" fillId="20" borderId="0" xfId="0" applyFont="1" applyFill="1"/>
    <xf numFmtId="2" fontId="19" fillId="0" borderId="0" xfId="0" applyNumberFormat="1" applyFont="1"/>
    <xf numFmtId="0" fontId="32" fillId="0" borderId="0" xfId="0" applyFont="1"/>
    <xf numFmtId="0" fontId="36" fillId="32" borderId="16" xfId="0" applyFont="1" applyFill="1" applyBorder="1" applyAlignment="1">
      <alignment vertical="center"/>
    </xf>
    <xf numFmtId="0" fontId="36" fillId="32" borderId="22" xfId="0" applyFont="1" applyFill="1" applyBorder="1" applyAlignment="1">
      <alignment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17" xfId="0" applyFont="1" applyFill="1" applyBorder="1" applyAlignment="1">
      <alignment vertical="center"/>
    </xf>
    <xf numFmtId="4" fontId="10" fillId="4" borderId="9" xfId="0" applyNumberFormat="1" applyFont="1" applyFill="1" applyBorder="1" applyAlignment="1">
      <alignment horizontal="center"/>
    </xf>
    <xf numFmtId="2" fontId="19" fillId="0" borderId="16" xfId="0" applyNumberFormat="1" applyFont="1" applyBorder="1" applyAlignment="1">
      <alignment horizontal="center"/>
    </xf>
    <xf numFmtId="0" fontId="19" fillId="0" borderId="42" xfId="0" applyFont="1" applyBorder="1" applyAlignment="1">
      <alignment vertical="center"/>
    </xf>
    <xf numFmtId="0" fontId="19" fillId="0" borderId="43" xfId="0" applyFont="1" applyBorder="1" applyAlignment="1">
      <alignment vertical="center"/>
    </xf>
    <xf numFmtId="2" fontId="19" fillId="0" borderId="22" xfId="0" applyNumberFormat="1" applyFont="1" applyBorder="1" applyAlignment="1">
      <alignment horizontal="center"/>
    </xf>
    <xf numFmtId="4" fontId="10" fillId="38" borderId="9" xfId="0" applyNumberFormat="1" applyFont="1" applyFill="1" applyBorder="1" applyAlignment="1">
      <alignment horizontal="center"/>
    </xf>
    <xf numFmtId="4" fontId="10" fillId="0" borderId="9" xfId="0" applyNumberFormat="1" applyFont="1" applyBorder="1" applyAlignment="1">
      <alignment horizontal="center"/>
    </xf>
    <xf numFmtId="2" fontId="19" fillId="0" borderId="17" xfId="0" applyNumberFormat="1" applyFont="1" applyBorder="1" applyAlignment="1">
      <alignment horizontal="center"/>
    </xf>
    <xf numFmtId="0" fontId="19" fillId="0" borderId="17" xfId="0" applyFont="1" applyBorder="1" applyAlignment="1">
      <alignment vertical="center"/>
    </xf>
    <xf numFmtId="2" fontId="19" fillId="0" borderId="20" xfId="0" applyNumberFormat="1" applyFont="1" applyBorder="1" applyAlignment="1">
      <alignment horizontal="center"/>
    </xf>
    <xf numFmtId="4" fontId="10" fillId="0" borderId="19" xfId="0" applyNumberFormat="1" applyFont="1" applyBorder="1" applyAlignment="1">
      <alignment horizontal="center"/>
    </xf>
    <xf numFmtId="0" fontId="36" fillId="32" borderId="19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vertical="center"/>
    </xf>
    <xf numFmtId="0" fontId="10" fillId="4" borderId="18" xfId="0" applyFont="1" applyFill="1" applyBorder="1" applyAlignment="1">
      <alignment vertical="center"/>
    </xf>
    <xf numFmtId="0" fontId="10" fillId="4" borderId="11" xfId="0" applyFont="1" applyFill="1" applyBorder="1" applyAlignment="1">
      <alignment horizontal="center" vertical="center"/>
    </xf>
    <xf numFmtId="2" fontId="10" fillId="0" borderId="16" xfId="0" applyNumberFormat="1" applyFont="1" applyBorder="1" applyAlignment="1">
      <alignment horizontal="center"/>
    </xf>
    <xf numFmtId="4" fontId="10" fillId="0" borderId="11" xfId="0" applyNumberFormat="1" applyFont="1" applyBorder="1" applyAlignment="1">
      <alignment horizontal="center"/>
    </xf>
    <xf numFmtId="4" fontId="10" fillId="0" borderId="24" xfId="0" applyNumberFormat="1" applyFont="1" applyBorder="1" applyAlignment="1">
      <alignment horizontal="center"/>
    </xf>
    <xf numFmtId="4" fontId="10" fillId="0" borderId="12" xfId="0" applyNumberFormat="1" applyFont="1" applyBorder="1" applyAlignment="1">
      <alignment horizontal="center"/>
    </xf>
    <xf numFmtId="2" fontId="19" fillId="0" borderId="21" xfId="0" applyNumberFormat="1" applyFont="1" applyBorder="1" applyAlignment="1">
      <alignment horizontal="center"/>
    </xf>
    <xf numFmtId="0" fontId="10" fillId="4" borderId="16" xfId="0" applyFont="1" applyFill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4" fontId="10" fillId="38" borderId="9" xfId="0" applyNumberFormat="1" applyFont="1" applyFill="1" applyBorder="1" applyAlignment="1">
      <alignment horizontal="right"/>
    </xf>
    <xf numFmtId="4" fontId="10" fillId="0" borderId="9" xfId="0" applyNumberFormat="1" applyFont="1" applyBorder="1" applyAlignment="1">
      <alignment horizontal="right"/>
    </xf>
    <xf numFmtId="0" fontId="65" fillId="0" borderId="24" xfId="0" applyFont="1" applyBorder="1" applyAlignment="1">
      <alignment horizontal="center"/>
    </xf>
    <xf numFmtId="2" fontId="19" fillId="0" borderId="26" xfId="0" applyNumberFormat="1" applyFont="1" applyBorder="1" applyAlignment="1">
      <alignment horizontal="left"/>
    </xf>
    <xf numFmtId="0" fontId="19" fillId="0" borderId="17" xfId="0" applyFont="1" applyBorder="1" applyAlignment="1">
      <alignment horizontal="left" vertical="center"/>
    </xf>
    <xf numFmtId="2" fontId="10" fillId="38" borderId="9" xfId="0" applyNumberFormat="1" applyFont="1" applyFill="1" applyBorder="1" applyAlignment="1">
      <alignment horizontal="center"/>
    </xf>
    <xf numFmtId="0" fontId="19" fillId="0" borderId="26" xfId="0" applyFont="1" applyBorder="1" applyAlignment="1">
      <alignment horizontal="left" vertical="center"/>
    </xf>
    <xf numFmtId="2" fontId="10" fillId="0" borderId="9" xfId="0" applyNumberFormat="1" applyFont="1" applyBorder="1" applyAlignment="1">
      <alignment horizontal="center"/>
    </xf>
    <xf numFmtId="4" fontId="19" fillId="0" borderId="9" xfId="0" applyNumberFormat="1" applyFont="1" applyBorder="1" applyAlignment="1">
      <alignment horizontal="right"/>
    </xf>
    <xf numFmtId="4" fontId="10" fillId="4" borderId="9" xfId="0" applyNumberFormat="1" applyFont="1" applyFill="1" applyBorder="1" applyAlignment="1">
      <alignment horizontal="center" vertical="center"/>
    </xf>
    <xf numFmtId="0" fontId="19" fillId="0" borderId="33" xfId="0" applyFont="1" applyBorder="1" applyAlignment="1">
      <alignment vertical="center"/>
    </xf>
    <xf numFmtId="0" fontId="19" fillId="0" borderId="35" xfId="0" applyFont="1" applyBorder="1" applyAlignment="1">
      <alignment vertical="center"/>
    </xf>
    <xf numFmtId="0" fontId="19" fillId="0" borderId="26" xfId="0" applyFont="1" applyBorder="1" applyAlignment="1">
      <alignment vertical="center"/>
    </xf>
    <xf numFmtId="0" fontId="19" fillId="0" borderId="25" xfId="0" applyFont="1" applyBorder="1" applyAlignment="1">
      <alignment vertical="center"/>
    </xf>
    <xf numFmtId="4" fontId="10" fillId="0" borderId="24" xfId="0" applyNumberFormat="1" applyFont="1" applyBorder="1" applyAlignment="1">
      <alignment horizontal="right"/>
    </xf>
    <xf numFmtId="2" fontId="19" fillId="0" borderId="10" xfId="0" applyNumberFormat="1" applyFont="1" applyBorder="1"/>
    <xf numFmtId="0" fontId="10" fillId="0" borderId="9" xfId="0" applyFont="1" applyBorder="1" applyAlignment="1">
      <alignment horizontal="center" vertical="center"/>
    </xf>
    <xf numFmtId="0" fontId="19" fillId="0" borderId="45" xfId="0" applyFont="1" applyBorder="1" applyAlignment="1">
      <alignment horizontal="left" vertical="center"/>
    </xf>
    <xf numFmtId="0" fontId="19" fillId="0" borderId="46" xfId="0" applyFont="1" applyBorder="1" applyAlignment="1">
      <alignment horizontal="left" vertical="center"/>
    </xf>
    <xf numFmtId="2" fontId="10" fillId="38" borderId="9" xfId="0" applyNumberFormat="1" applyFont="1" applyFill="1" applyBorder="1" applyAlignment="1">
      <alignment vertical="center"/>
    </xf>
    <xf numFmtId="0" fontId="19" fillId="0" borderId="42" xfId="0" applyFont="1" applyBorder="1" applyAlignment="1">
      <alignment horizontal="left" vertical="center"/>
    </xf>
    <xf numFmtId="0" fontId="19" fillId="0" borderId="43" xfId="0" applyFont="1" applyBorder="1" applyAlignment="1">
      <alignment horizontal="left" vertical="center"/>
    </xf>
    <xf numFmtId="2" fontId="10" fillId="0" borderId="9" xfId="0" applyNumberFormat="1" applyFont="1" applyBorder="1" applyAlignment="1">
      <alignment vertical="center"/>
    </xf>
    <xf numFmtId="0" fontId="19" fillId="0" borderId="44" xfId="0" applyFont="1" applyBorder="1" applyAlignment="1">
      <alignment horizontal="left" vertical="center"/>
    </xf>
    <xf numFmtId="2" fontId="19" fillId="0" borderId="26" xfId="0" applyNumberFormat="1" applyFont="1" applyBorder="1" applyAlignment="1">
      <alignment vertical="center"/>
    </xf>
    <xf numFmtId="0" fontId="10" fillId="0" borderId="16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/>
    </xf>
    <xf numFmtId="2" fontId="19" fillId="0" borderId="10" xfId="0" applyNumberFormat="1" applyFont="1" applyBorder="1" applyAlignment="1">
      <alignment horizontal="center"/>
    </xf>
    <xf numFmtId="0" fontId="10" fillId="4" borderId="19" xfId="0" applyFont="1" applyFill="1" applyBorder="1" applyAlignment="1">
      <alignment vertical="center"/>
    </xf>
    <xf numFmtId="0" fontId="10" fillId="4" borderId="20" xfId="0" applyFont="1" applyFill="1" applyBorder="1" applyAlignment="1">
      <alignment vertical="center"/>
    </xf>
    <xf numFmtId="0" fontId="19" fillId="10" borderId="9" xfId="0" applyFont="1" applyFill="1" applyBorder="1" applyAlignment="1">
      <alignment horizontal="center" vertical="center"/>
    </xf>
    <xf numFmtId="4" fontId="10" fillId="39" borderId="9" xfId="0" applyNumberFormat="1" applyFont="1" applyFill="1" applyBorder="1" applyAlignment="1">
      <alignment horizontal="right"/>
    </xf>
    <xf numFmtId="4" fontId="10" fillId="10" borderId="9" xfId="0" applyNumberFormat="1" applyFont="1" applyFill="1" applyBorder="1" applyAlignment="1">
      <alignment horizontal="right"/>
    </xf>
    <xf numFmtId="0" fontId="10" fillId="4" borderId="16" xfId="0" applyFont="1" applyFill="1" applyBorder="1" applyAlignment="1">
      <alignment horizontal="center" vertical="center"/>
    </xf>
    <xf numFmtId="0" fontId="10" fillId="4" borderId="26" xfId="0" applyFont="1" applyFill="1" applyBorder="1" applyAlignment="1">
      <alignment vertical="center"/>
    </xf>
    <xf numFmtId="0" fontId="10" fillId="4" borderId="25" xfId="0" applyFont="1" applyFill="1" applyBorder="1" applyAlignment="1">
      <alignment vertical="center"/>
    </xf>
    <xf numFmtId="0" fontId="10" fillId="4" borderId="22" xfId="0" applyFont="1" applyFill="1" applyBorder="1" applyAlignment="1">
      <alignment horizontal="center" vertical="center"/>
    </xf>
    <xf numFmtId="2" fontId="10" fillId="4" borderId="9" xfId="0" applyNumberFormat="1" applyFont="1" applyFill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9" fillId="0" borderId="13" xfId="0" applyFont="1" applyBorder="1" applyAlignment="1">
      <alignment vertical="center"/>
    </xf>
    <xf numFmtId="0" fontId="19" fillId="0" borderId="18" xfId="0" applyFont="1" applyBorder="1" applyAlignment="1">
      <alignment vertical="center"/>
    </xf>
    <xf numFmtId="0" fontId="10" fillId="40" borderId="9" xfId="0" applyFont="1" applyFill="1" applyBorder="1" applyAlignment="1">
      <alignment horizontal="center" vertical="center"/>
    </xf>
    <xf numFmtId="0" fontId="19" fillId="0" borderId="16" xfId="0" applyFont="1" applyBorder="1" applyAlignment="1">
      <alignment vertical="center" wrapText="1"/>
    </xf>
    <xf numFmtId="0" fontId="35" fillId="0" borderId="22" xfId="0" applyFont="1" applyBorder="1"/>
    <xf numFmtId="4" fontId="10" fillId="0" borderId="9" xfId="0" applyNumberFormat="1" applyFont="1" applyFill="1" applyBorder="1" applyAlignment="1">
      <alignment horizontal="center"/>
    </xf>
    <xf numFmtId="4" fontId="10" fillId="0" borderId="12" xfId="0" applyNumberFormat="1" applyFont="1" applyFill="1" applyBorder="1" applyAlignment="1">
      <alignment horizontal="center"/>
    </xf>
    <xf numFmtId="2" fontId="37" fillId="0" borderId="9" xfId="0" applyNumberFormat="1" applyFont="1" applyBorder="1" applyAlignment="1">
      <alignment horizontal="center"/>
    </xf>
    <xf numFmtId="4" fontId="10" fillId="0" borderId="9" xfId="0" applyNumberFormat="1" applyFont="1" applyFill="1" applyBorder="1" applyAlignment="1">
      <alignment horizontal="right"/>
    </xf>
    <xf numFmtId="2" fontId="19" fillId="0" borderId="9" xfId="0" applyNumberFormat="1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2" fontId="19" fillId="0" borderId="52" xfId="0" applyNumberFormat="1" applyFont="1" applyBorder="1" applyAlignment="1">
      <alignment horizontal="center"/>
    </xf>
    <xf numFmtId="2" fontId="10" fillId="0" borderId="11" xfId="0" applyNumberFormat="1" applyFont="1" applyBorder="1" applyAlignment="1">
      <alignment vertical="center"/>
    </xf>
    <xf numFmtId="0" fontId="10" fillId="4" borderId="24" xfId="0" applyFont="1" applyFill="1" applyBorder="1" applyAlignment="1">
      <alignment horizontal="center" vertical="center"/>
    </xf>
    <xf numFmtId="0" fontId="10" fillId="4" borderId="58" xfId="0" applyFont="1" applyFill="1" applyBorder="1" applyAlignment="1">
      <alignment vertical="center"/>
    </xf>
    <xf numFmtId="0" fontId="10" fillId="4" borderId="44" xfId="0" applyFont="1" applyFill="1" applyBorder="1" applyAlignment="1">
      <alignment vertical="center"/>
    </xf>
    <xf numFmtId="0" fontId="10" fillId="40" borderId="24" xfId="0" applyFont="1" applyFill="1" applyBorder="1" applyAlignment="1">
      <alignment horizontal="center" vertical="center"/>
    </xf>
    <xf numFmtId="4" fontId="10" fillId="4" borderId="24" xfId="0" applyNumberFormat="1" applyFont="1" applyFill="1" applyBorder="1" applyAlignment="1">
      <alignment horizontal="center"/>
    </xf>
    <xf numFmtId="0" fontId="36" fillId="42" borderId="9" xfId="0" applyFont="1" applyFill="1" applyBorder="1" applyAlignment="1">
      <alignment horizontal="center" vertical="center"/>
    </xf>
    <xf numFmtId="0" fontId="36" fillId="42" borderId="16" xfId="0" applyFont="1" applyFill="1" applyBorder="1" applyAlignment="1">
      <alignment horizontal="left" vertical="center"/>
    </xf>
    <xf numFmtId="0" fontId="36" fillId="42" borderId="17" xfId="0" applyFont="1" applyFill="1" applyBorder="1" applyAlignment="1">
      <alignment horizontal="left" vertical="center"/>
    </xf>
    <xf numFmtId="2" fontId="36" fillId="42" borderId="9" xfId="0" applyNumberFormat="1" applyFont="1" applyFill="1" applyBorder="1" applyAlignment="1">
      <alignment horizontal="center" vertical="center"/>
    </xf>
    <xf numFmtId="2" fontId="19" fillId="29" borderId="0" xfId="0" applyNumberFormat="1" applyFont="1" applyFill="1"/>
    <xf numFmtId="0" fontId="32" fillId="29" borderId="0" xfId="0" applyFont="1" applyFill="1"/>
    <xf numFmtId="0" fontId="36" fillId="41" borderId="16" xfId="0" applyFont="1" applyFill="1" applyBorder="1" applyAlignment="1">
      <alignment horizontal="left" vertical="center"/>
    </xf>
    <xf numFmtId="0" fontId="36" fillId="41" borderId="17" xfId="0" applyFont="1" applyFill="1" applyBorder="1" applyAlignment="1">
      <alignment horizontal="left" vertical="center"/>
    </xf>
    <xf numFmtId="2" fontId="36" fillId="41" borderId="9" xfId="0" applyNumberFormat="1" applyFont="1" applyFill="1" applyBorder="1" applyAlignment="1">
      <alignment horizontal="center" vertical="center"/>
    </xf>
    <xf numFmtId="0" fontId="10" fillId="4" borderId="47" xfId="0" applyFont="1" applyFill="1" applyBorder="1" applyAlignment="1">
      <alignment vertical="center"/>
    </xf>
    <xf numFmtId="0" fontId="10" fillId="4" borderId="48" xfId="0" applyFont="1" applyFill="1" applyBorder="1" applyAlignment="1">
      <alignment vertical="center"/>
    </xf>
    <xf numFmtId="0" fontId="6" fillId="0" borderId="26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42" fillId="23" borderId="10" xfId="1" applyFont="1" applyFill="1" applyBorder="1" applyAlignment="1">
      <alignment horizontal="center" vertical="center"/>
    </xf>
    <xf numFmtId="0" fontId="39" fillId="23" borderId="10" xfId="1" applyFont="1" applyFill="1" applyBorder="1" applyAlignment="1">
      <alignment horizontal="center" vertical="center"/>
    </xf>
    <xf numFmtId="2" fontId="42" fillId="23" borderId="10" xfId="1" applyNumberFormat="1" applyFont="1" applyFill="1" applyBorder="1" applyAlignment="1">
      <alignment horizontal="center" vertical="center"/>
    </xf>
    <xf numFmtId="0" fontId="39" fillId="23" borderId="10" xfId="1" quotePrefix="1" applyFont="1" applyFill="1" applyBorder="1" applyAlignment="1">
      <alignment horizontal="center" vertical="center"/>
    </xf>
    <xf numFmtId="0" fontId="16" fillId="12" borderId="24" xfId="0" applyFont="1" applyFill="1" applyBorder="1" applyAlignment="1">
      <alignment horizontal="center" vertical="center"/>
    </xf>
    <xf numFmtId="0" fontId="18" fillId="0" borderId="9" xfId="0" applyFont="1" applyFill="1" applyBorder="1" applyAlignment="1">
      <alignment horizontal="center" vertical="center"/>
    </xf>
    <xf numFmtId="2" fontId="18" fillId="0" borderId="9" xfId="0" applyNumberFormat="1" applyFont="1" applyFill="1" applyBorder="1" applyAlignment="1">
      <alignment horizontal="center"/>
    </xf>
    <xf numFmtId="2" fontId="18" fillId="0" borderId="12" xfId="0" applyNumberFormat="1" applyFont="1" applyFill="1" applyBorder="1" applyAlignment="1">
      <alignment horizontal="center"/>
    </xf>
    <xf numFmtId="2" fontId="18" fillId="38" borderId="24" xfId="0" applyNumberFormat="1" applyFont="1" applyFill="1" applyBorder="1" applyAlignment="1">
      <alignment horizontal="center"/>
    </xf>
    <xf numFmtId="2" fontId="18" fillId="38" borderId="24" xfId="0" applyNumberFormat="1" applyFont="1" applyFill="1" applyBorder="1" applyAlignment="1">
      <alignment horizontal="center" vertical="center"/>
    </xf>
    <xf numFmtId="0" fontId="42" fillId="0" borderId="10" xfId="1" applyFont="1" applyAlignment="1">
      <alignment horizontal="center" vertical="center"/>
    </xf>
    <xf numFmtId="164" fontId="42" fillId="0" borderId="10" xfId="1" applyNumberFormat="1" applyFont="1" applyAlignment="1">
      <alignment horizontal="center" vertical="center"/>
    </xf>
    <xf numFmtId="2" fontId="42" fillId="0" borderId="10" xfId="1" applyNumberFormat="1" applyFont="1" applyAlignment="1">
      <alignment horizontal="center" vertical="center"/>
    </xf>
    <xf numFmtId="169" fontId="39" fillId="23" borderId="10" xfId="1" applyNumberFormat="1" applyFont="1" applyFill="1" applyBorder="1" applyAlignment="1">
      <alignment horizontal="right" vertical="center"/>
    </xf>
    <xf numFmtId="2" fontId="39" fillId="23" borderId="10" xfId="1" applyNumberFormat="1" applyFont="1" applyFill="1" applyBorder="1" applyAlignment="1">
      <alignment horizontal="center" vertical="center"/>
    </xf>
    <xf numFmtId="0" fontId="6" fillId="0" borderId="26" xfId="0" applyFont="1" applyBorder="1" applyAlignment="1">
      <alignment horizontal="left" vertical="center"/>
    </xf>
    <xf numFmtId="0" fontId="66" fillId="0" borderId="25" xfId="0" applyFont="1" applyBorder="1" applyAlignment="1">
      <alignment horizontal="left" vertical="center"/>
    </xf>
    <xf numFmtId="8" fontId="62" fillId="36" borderId="59" xfId="0" applyNumberFormat="1" applyFont="1" applyFill="1" applyBorder="1" applyAlignment="1">
      <alignment horizontal="right" vertical="center"/>
    </xf>
    <xf numFmtId="8" fontId="0" fillId="0" borderId="0" xfId="0" applyNumberFormat="1"/>
    <xf numFmtId="10" fontId="0" fillId="0" borderId="0" xfId="6" applyNumberFormat="1" applyFont="1"/>
    <xf numFmtId="8" fontId="62" fillId="36" borderId="10" xfId="0" applyNumberFormat="1" applyFont="1" applyFill="1" applyBorder="1" applyAlignment="1">
      <alignment horizontal="right" vertical="center"/>
    </xf>
    <xf numFmtId="0" fontId="67" fillId="43" borderId="9" xfId="0" applyFont="1" applyFill="1" applyBorder="1" applyAlignment="1">
      <alignment vertical="center" wrapText="1"/>
    </xf>
    <xf numFmtId="0" fontId="67" fillId="0" borderId="9" xfId="0" applyFont="1" applyBorder="1" applyAlignment="1">
      <alignment vertical="center"/>
    </xf>
    <xf numFmtId="0" fontId="67" fillId="43" borderId="9" xfId="0" applyFont="1" applyFill="1" applyBorder="1" applyAlignment="1">
      <alignment vertical="center"/>
    </xf>
    <xf numFmtId="0" fontId="68" fillId="43" borderId="9" xfId="0" applyFont="1" applyFill="1" applyBorder="1" applyAlignment="1">
      <alignment vertical="center" wrapText="1"/>
    </xf>
    <xf numFmtId="0" fontId="68" fillId="0" borderId="9" xfId="0" applyFont="1" applyBorder="1" applyAlignment="1">
      <alignment vertical="center"/>
    </xf>
    <xf numFmtId="0" fontId="68" fillId="43" borderId="9" xfId="0" applyFont="1" applyFill="1" applyBorder="1" applyAlignment="1">
      <alignment vertical="center"/>
    </xf>
    <xf numFmtId="0" fontId="68" fillId="43" borderId="9" xfId="0" applyFont="1" applyFill="1" applyBorder="1" applyAlignment="1">
      <alignment horizontal="center" vertical="center" wrapText="1"/>
    </xf>
    <xf numFmtId="0" fontId="68" fillId="0" borderId="9" xfId="0" applyFont="1" applyBorder="1" applyAlignment="1">
      <alignment horizontal="center" vertical="center"/>
    </xf>
    <xf numFmtId="0" fontId="68" fillId="43" borderId="9" xfId="0" applyFont="1" applyFill="1" applyBorder="1" applyAlignment="1">
      <alignment horizontal="center" vertical="center"/>
    </xf>
    <xf numFmtId="0" fontId="68" fillId="44" borderId="9" xfId="0" applyFont="1" applyFill="1" applyBorder="1" applyAlignment="1">
      <alignment horizontal="center" vertical="center"/>
    </xf>
    <xf numFmtId="0" fontId="62" fillId="36" borderId="56" xfId="0" applyFont="1" applyFill="1" applyBorder="1" applyAlignment="1">
      <alignment horizontal="center" vertical="center" wrapText="1"/>
    </xf>
    <xf numFmtId="0" fontId="62" fillId="36" borderId="57" xfId="0" applyFont="1" applyFill="1" applyBorder="1" applyAlignment="1">
      <alignment horizontal="center" vertical="center" wrapText="1"/>
    </xf>
    <xf numFmtId="8" fontId="67" fillId="43" borderId="9" xfId="0" applyNumberFormat="1" applyFont="1" applyFill="1" applyBorder="1" applyAlignment="1">
      <alignment horizontal="right" vertical="center"/>
    </xf>
    <xf numFmtId="8" fontId="63" fillId="0" borderId="9" xfId="0" applyNumberFormat="1" applyFont="1" applyBorder="1" applyAlignment="1">
      <alignment horizontal="right" vertical="center"/>
    </xf>
    <xf numFmtId="9" fontId="0" fillId="0" borderId="9" xfId="6" applyFont="1" applyBorder="1"/>
    <xf numFmtId="8" fontId="67" fillId="43" borderId="12" xfId="0" applyNumberFormat="1" applyFont="1" applyFill="1" applyBorder="1" applyAlignment="1">
      <alignment horizontal="right" vertical="center"/>
    </xf>
    <xf numFmtId="9" fontId="0" fillId="0" borderId="0" xfId="0" applyNumberFormat="1"/>
    <xf numFmtId="0" fontId="62" fillId="36" borderId="13" xfId="0" applyFont="1" applyFill="1" applyBorder="1" applyAlignment="1">
      <alignment vertical="center"/>
    </xf>
    <xf numFmtId="8" fontId="62" fillId="36" borderId="18" xfId="0" applyNumberFormat="1" applyFont="1" applyFill="1" applyBorder="1" applyAlignment="1">
      <alignment horizontal="right" vertical="center"/>
    </xf>
    <xf numFmtId="0" fontId="0" fillId="0" borderId="18" xfId="0" applyBorder="1"/>
    <xf numFmtId="0" fontId="62" fillId="36" borderId="41" xfId="0" applyFont="1" applyFill="1" applyBorder="1" applyAlignment="1">
      <alignment vertical="center"/>
    </xf>
    <xf numFmtId="0" fontId="62" fillId="36" borderId="19" xfId="0" applyFont="1" applyFill="1" applyBorder="1" applyAlignment="1">
      <alignment vertical="center"/>
    </xf>
    <xf numFmtId="0" fontId="0" fillId="0" borderId="20" xfId="0" applyBorder="1"/>
    <xf numFmtId="8" fontId="62" fillId="36" borderId="20" xfId="0" applyNumberFormat="1" applyFont="1" applyFill="1" applyBorder="1" applyAlignment="1">
      <alignment horizontal="right" vertical="center"/>
    </xf>
    <xf numFmtId="10" fontId="62" fillId="36" borderId="20" xfId="6" applyNumberFormat="1" applyFont="1" applyFill="1" applyBorder="1" applyAlignment="1">
      <alignment horizontal="right" vertical="center"/>
    </xf>
    <xf numFmtId="10" fontId="62" fillId="36" borderId="10" xfId="6" applyNumberFormat="1" applyFont="1" applyFill="1" applyBorder="1" applyAlignment="1">
      <alignment horizontal="right" vertical="center"/>
    </xf>
    <xf numFmtId="8" fontId="0" fillId="0" borderId="24" xfId="0" applyNumberFormat="1" applyBorder="1"/>
    <xf numFmtId="0" fontId="29" fillId="0" borderId="24" xfId="0" quotePrefix="1" applyFont="1" applyBorder="1"/>
    <xf numFmtId="172" fontId="35" fillId="0" borderId="10" xfId="1" applyNumberFormat="1" applyFont="1"/>
    <xf numFmtId="169" fontId="19" fillId="21" borderId="26" xfId="1" applyNumberFormat="1" applyFont="1" applyFill="1" applyBorder="1" applyAlignment="1">
      <alignment horizontal="center" vertical="center"/>
    </xf>
    <xf numFmtId="169" fontId="19" fillId="17" borderId="26" xfId="1" applyNumberFormat="1" applyFont="1" applyFill="1" applyBorder="1" applyAlignment="1">
      <alignment horizontal="center" vertical="center"/>
    </xf>
    <xf numFmtId="10" fontId="35" fillId="17" borderId="26" xfId="6" applyNumberFormat="1" applyFont="1" applyFill="1" applyBorder="1" applyAlignment="1">
      <alignment horizontal="right"/>
    </xf>
    <xf numFmtId="172" fontId="35" fillId="17" borderId="26" xfId="1" applyNumberFormat="1" applyFont="1" applyFill="1" applyBorder="1" applyAlignment="1">
      <alignment horizontal="right"/>
    </xf>
    <xf numFmtId="9" fontId="35" fillId="0" borderId="26" xfId="6" applyFont="1" applyBorder="1" applyAlignment="1">
      <alignment horizontal="right"/>
    </xf>
    <xf numFmtId="172" fontId="35" fillId="0" borderId="26" xfId="1" applyNumberFormat="1" applyFont="1" applyBorder="1" applyAlignment="1">
      <alignment horizontal="right"/>
    </xf>
    <xf numFmtId="175" fontId="35" fillId="35" borderId="26" xfId="1" applyNumberFormat="1" applyFont="1" applyFill="1" applyBorder="1" applyAlignment="1">
      <alignment horizontal="right"/>
    </xf>
    <xf numFmtId="172" fontId="35" fillId="35" borderId="26" xfId="1" applyNumberFormat="1" applyFont="1" applyFill="1" applyBorder="1" applyAlignment="1">
      <alignment horizontal="right"/>
    </xf>
    <xf numFmtId="175" fontId="35" fillId="0" borderId="26" xfId="1" applyNumberFormat="1" applyFont="1" applyBorder="1" applyAlignment="1">
      <alignment horizontal="right"/>
    </xf>
    <xf numFmtId="0" fontId="0" fillId="0" borderId="0" xfId="0"/>
    <xf numFmtId="0" fontId="71" fillId="0" borderId="0" xfId="0" applyFont="1" applyAlignment="1">
      <alignment horizontal="center"/>
    </xf>
    <xf numFmtId="0" fontId="72" fillId="0" borderId="0" xfId="0" applyFont="1" applyAlignment="1">
      <alignment wrapText="1"/>
    </xf>
    <xf numFmtId="0" fontId="72" fillId="0" borderId="0" xfId="0" applyFont="1" applyAlignment="1">
      <alignment horizontal="center"/>
    </xf>
    <xf numFmtId="0" fontId="71" fillId="46" borderId="9" xfId="0" applyFont="1" applyFill="1" applyBorder="1" applyAlignment="1">
      <alignment horizontal="center"/>
    </xf>
    <xf numFmtId="0" fontId="73" fillId="45" borderId="11" xfId="0" applyFont="1" applyFill="1" applyBorder="1" applyAlignment="1">
      <alignment horizontal="center" vertical="center"/>
    </xf>
    <xf numFmtId="0" fontId="58" fillId="0" borderId="0" xfId="0" applyFont="1"/>
    <xf numFmtId="0" fontId="59" fillId="0" borderId="9" xfId="0" applyFont="1" applyBorder="1" applyAlignment="1">
      <alignment horizontal="left" wrapText="1"/>
    </xf>
    <xf numFmtId="16" fontId="59" fillId="0" borderId="9" xfId="0" applyNumberFormat="1" applyFont="1" applyBorder="1" applyAlignment="1">
      <alignment horizontal="center" vertical="center"/>
    </xf>
    <xf numFmtId="0" fontId="59" fillId="0" borderId="9" xfId="0" applyFont="1" applyBorder="1" applyAlignment="1">
      <alignment horizontal="center" vertical="center"/>
    </xf>
    <xf numFmtId="0" fontId="11" fillId="47" borderId="9" xfId="0" applyFont="1" applyFill="1" applyBorder="1" applyAlignment="1">
      <alignment horizontal="center" vertical="center" wrapText="1"/>
    </xf>
    <xf numFmtId="172" fontId="59" fillId="0" borderId="9" xfId="0" applyNumberFormat="1" applyFont="1" applyBorder="1" applyAlignment="1">
      <alignment horizontal="right" vertical="center" wrapText="1" indent="1"/>
    </xf>
    <xf numFmtId="172" fontId="11" fillId="0" borderId="9" xfId="0" quotePrefix="1" applyNumberFormat="1" applyFont="1" applyBorder="1" applyAlignment="1">
      <alignment horizontal="right" vertical="center" wrapText="1" indent="1"/>
    </xf>
    <xf numFmtId="172" fontId="11" fillId="0" borderId="9" xfId="0" applyNumberFormat="1" applyFont="1" applyBorder="1" applyAlignment="1">
      <alignment horizontal="right" wrapText="1" indent="1"/>
    </xf>
    <xf numFmtId="0" fontId="11" fillId="0" borderId="9" xfId="0" applyFont="1" applyBorder="1" applyAlignment="1">
      <alignment horizontal="left" wrapText="1"/>
    </xf>
    <xf numFmtId="0" fontId="46" fillId="18" borderId="36" xfId="1" applyFont="1" applyFill="1" applyBorder="1" applyAlignment="1">
      <alignment vertical="center"/>
    </xf>
    <xf numFmtId="0" fontId="46" fillId="18" borderId="10" xfId="1" applyFont="1" applyFill="1" applyAlignment="1">
      <alignment vertical="center"/>
    </xf>
    <xf numFmtId="0" fontId="62" fillId="52" borderId="62" xfId="0" applyFont="1" applyFill="1" applyBorder="1" applyAlignment="1">
      <alignment vertical="center"/>
    </xf>
    <xf numFmtId="0" fontId="62" fillId="52" borderId="0" xfId="0" applyFont="1" applyFill="1" applyAlignment="1">
      <alignment vertical="center"/>
    </xf>
    <xf numFmtId="172" fontId="61" fillId="52" borderId="0" xfId="0" applyNumberFormat="1" applyFont="1" applyFill="1" applyAlignment="1">
      <alignment horizontal="right"/>
    </xf>
    <xf numFmtId="0" fontId="62" fillId="52" borderId="63" xfId="0" applyFont="1" applyFill="1" applyBorder="1" applyAlignment="1">
      <alignment horizontal="center" vertical="center"/>
    </xf>
    <xf numFmtId="172" fontId="0" fillId="0" borderId="0" xfId="0" applyNumberFormat="1"/>
    <xf numFmtId="0" fontId="62" fillId="36" borderId="24" xfId="0" applyFont="1" applyFill="1" applyBorder="1" applyAlignment="1">
      <alignment horizontal="center" vertical="center"/>
    </xf>
    <xf numFmtId="0" fontId="17" fillId="53" borderId="24" xfId="0" applyFont="1" applyFill="1" applyBorder="1" applyAlignment="1">
      <alignment horizontal="center" vertical="center" wrapText="1"/>
    </xf>
    <xf numFmtId="16" fontId="17" fillId="53" borderId="24" xfId="0" applyNumberFormat="1" applyFont="1" applyFill="1" applyBorder="1" applyAlignment="1">
      <alignment horizontal="right" vertical="center"/>
    </xf>
    <xf numFmtId="8" fontId="17" fillId="53" borderId="24" xfId="0" applyNumberFormat="1" applyFont="1" applyFill="1" applyBorder="1" applyAlignment="1">
      <alignment horizontal="right" vertical="center"/>
    </xf>
    <xf numFmtId="10" fontId="17" fillId="53" borderId="24" xfId="6" applyNumberFormat="1" applyFont="1" applyFill="1" applyBorder="1" applyAlignment="1">
      <alignment horizontal="left" vertical="center"/>
    </xf>
    <xf numFmtId="0" fontId="63" fillId="0" borderId="24" xfId="0" applyFont="1" applyBorder="1" applyAlignment="1">
      <alignment horizontal="center" vertical="center" wrapText="1"/>
    </xf>
    <xf numFmtId="8" fontId="63" fillId="0" borderId="24" xfId="0" applyNumberFormat="1" applyFont="1" applyBorder="1" applyAlignment="1">
      <alignment horizontal="right" vertical="center"/>
    </xf>
    <xf numFmtId="0" fontId="63" fillId="0" borderId="24" xfId="0" applyFont="1" applyBorder="1" applyAlignment="1">
      <alignment vertical="center"/>
    </xf>
    <xf numFmtId="16" fontId="63" fillId="0" borderId="24" xfId="0" applyNumberFormat="1" applyFont="1" applyBorder="1" applyAlignment="1">
      <alignment horizontal="right" vertical="center"/>
    </xf>
    <xf numFmtId="0" fontId="17" fillId="21" borderId="24" xfId="0" applyFont="1" applyFill="1" applyBorder="1" applyAlignment="1">
      <alignment horizontal="center" vertical="center" wrapText="1"/>
    </xf>
    <xf numFmtId="16" fontId="17" fillId="21" borderId="24" xfId="0" applyNumberFormat="1" applyFont="1" applyFill="1" applyBorder="1" applyAlignment="1">
      <alignment horizontal="right" vertical="center"/>
    </xf>
    <xf numFmtId="8" fontId="17" fillId="21" borderId="24" xfId="0" applyNumberFormat="1" applyFont="1" applyFill="1" applyBorder="1" applyAlignment="1">
      <alignment horizontal="right" vertical="center"/>
    </xf>
    <xf numFmtId="10" fontId="17" fillId="21" borderId="24" xfId="6" applyNumberFormat="1" applyFont="1" applyFill="1" applyBorder="1" applyAlignment="1">
      <alignment horizontal="left" vertical="center"/>
    </xf>
    <xf numFmtId="172" fontId="61" fillId="36" borderId="24" xfId="0" applyNumberFormat="1" applyFont="1" applyFill="1" applyBorder="1" applyAlignment="1">
      <alignment horizontal="right"/>
    </xf>
    <xf numFmtId="10" fontId="62" fillId="36" borderId="24" xfId="6" applyNumberFormat="1" applyFont="1" applyFill="1" applyBorder="1" applyAlignment="1">
      <alignment horizontal="left" vertical="center"/>
    </xf>
    <xf numFmtId="0" fontId="63" fillId="0" borderId="0" xfId="0" applyFont="1" applyAlignment="1">
      <alignment horizontal="center" vertical="center" wrapText="1"/>
    </xf>
    <xf numFmtId="10" fontId="0" fillId="0" borderId="0" xfId="6" applyNumberFormat="1" applyFont="1" applyAlignment="1"/>
    <xf numFmtId="0" fontId="62" fillId="36" borderId="56" xfId="0" applyFont="1" applyFill="1" applyBorder="1" applyAlignment="1">
      <alignment horizontal="center" vertical="center"/>
    </xf>
    <xf numFmtId="0" fontId="62" fillId="36" borderId="57" xfId="0" applyFont="1" applyFill="1" applyBorder="1" applyAlignment="1">
      <alignment horizontal="center" vertical="center"/>
    </xf>
    <xf numFmtId="0" fontId="62" fillId="36" borderId="24" xfId="0" applyFont="1" applyFill="1" applyBorder="1" applyAlignment="1">
      <alignment horizontal="right" vertical="center"/>
    </xf>
    <xf numFmtId="0" fontId="6" fillId="0" borderId="0" xfId="0" applyFont="1"/>
    <xf numFmtId="0" fontId="7" fillId="0" borderId="0" xfId="0" applyFont="1"/>
    <xf numFmtId="177" fontId="8" fillId="18" borderId="30" xfId="0" applyNumberFormat="1" applyFont="1" applyFill="1" applyBorder="1" applyAlignment="1">
      <alignment horizontal="center"/>
    </xf>
    <xf numFmtId="178" fontId="8" fillId="18" borderId="53" xfId="0" applyNumberFormat="1" applyFont="1" applyFill="1" applyBorder="1" applyAlignment="1">
      <alignment horizontal="center"/>
    </xf>
    <xf numFmtId="15" fontId="8" fillId="18" borderId="27" xfId="0" applyNumberFormat="1" applyFont="1" applyFill="1" applyBorder="1" applyAlignment="1">
      <alignment horizontal="center"/>
    </xf>
    <xf numFmtId="0" fontId="6" fillId="0" borderId="24" xfId="0" applyFont="1" applyBorder="1"/>
    <xf numFmtId="8" fontId="6" fillId="0" borderId="24" xfId="0" applyNumberFormat="1" applyFont="1" applyBorder="1"/>
    <xf numFmtId="0" fontId="8" fillId="54" borderId="24" xfId="0" applyFont="1" applyFill="1" applyBorder="1"/>
    <xf numFmtId="8" fontId="8" fillId="54" borderId="24" xfId="0" applyNumberFormat="1" applyFont="1" applyFill="1" applyBorder="1"/>
    <xf numFmtId="0" fontId="7" fillId="55" borderId="24" xfId="0" applyFont="1" applyFill="1" applyBorder="1"/>
    <xf numFmtId="8" fontId="7" fillId="55" borderId="24" xfId="0" applyNumberFormat="1" applyFont="1" applyFill="1" applyBorder="1"/>
    <xf numFmtId="0" fontId="75" fillId="0" borderId="24" xfId="0" applyFont="1" applyBorder="1"/>
    <xf numFmtId="0" fontId="34" fillId="56" borderId="24" xfId="0" applyFont="1" applyFill="1" applyBorder="1"/>
    <xf numFmtId="8" fontId="34" fillId="56" borderId="24" xfId="0" applyNumberFormat="1" applyFont="1" applyFill="1" applyBorder="1"/>
    <xf numFmtId="7" fontId="8" fillId="54" borderId="24" xfId="0" applyNumberFormat="1" applyFont="1" applyFill="1" applyBorder="1"/>
    <xf numFmtId="0" fontId="8" fillId="18" borderId="0" xfId="0" applyFont="1" applyFill="1"/>
    <xf numFmtId="8" fontId="8" fillId="18" borderId="0" xfId="0" applyNumberFormat="1" applyFont="1" applyFill="1"/>
    <xf numFmtId="8" fontId="7" fillId="53" borderId="24" xfId="0" applyNumberFormat="1" applyFont="1" applyFill="1" applyBorder="1"/>
    <xf numFmtId="172" fontId="7" fillId="0" borderId="0" xfId="0" applyNumberFormat="1" applyFont="1"/>
    <xf numFmtId="0" fontId="0" fillId="0" borderId="0" xfId="0"/>
    <xf numFmtId="0" fontId="73" fillId="45" borderId="11" xfId="0" applyFont="1" applyFill="1" applyBorder="1" applyAlignment="1">
      <alignment horizontal="center" vertical="center"/>
    </xf>
    <xf numFmtId="0" fontId="0" fillId="0" borderId="0" xfId="0"/>
    <xf numFmtId="0" fontId="73" fillId="45" borderId="11" xfId="0" applyFont="1" applyFill="1" applyBorder="1" applyAlignment="1">
      <alignment horizontal="center" vertical="center"/>
    </xf>
    <xf numFmtId="0" fontId="71" fillId="46" borderId="10" xfId="0" applyFont="1" applyFill="1" applyBorder="1" applyAlignment="1">
      <alignment horizontal="center"/>
    </xf>
    <xf numFmtId="0" fontId="70" fillId="36" borderId="0" xfId="0" applyFont="1" applyFill="1" applyAlignment="1">
      <alignment horizontal="center" vertical="center"/>
    </xf>
    <xf numFmtId="0" fontId="73" fillId="45" borderId="16" xfId="0" applyFont="1" applyFill="1" applyBorder="1" applyAlignment="1">
      <alignment horizontal="center" vertical="center"/>
    </xf>
    <xf numFmtId="0" fontId="73" fillId="45" borderId="17" xfId="0" applyFont="1" applyFill="1" applyBorder="1" applyAlignment="1">
      <alignment horizontal="center" vertical="center"/>
    </xf>
    <xf numFmtId="0" fontId="73" fillId="45" borderId="22" xfId="0" applyFont="1" applyFill="1" applyBorder="1" applyAlignment="1">
      <alignment horizontal="center" vertical="center"/>
    </xf>
    <xf numFmtId="0" fontId="71" fillId="0" borderId="41" xfId="0" applyFont="1" applyBorder="1" applyAlignment="1">
      <alignment horizontal="center"/>
    </xf>
    <xf numFmtId="0" fontId="0" fillId="0" borderId="0" xfId="0"/>
    <xf numFmtId="0" fontId="73" fillId="45" borderId="11" xfId="0" applyFont="1" applyFill="1" applyBorder="1" applyAlignment="1">
      <alignment horizontal="center" vertical="center"/>
    </xf>
    <xf numFmtId="0" fontId="73" fillId="45" borderId="61" xfId="0" applyFont="1" applyFill="1" applyBorder="1" applyAlignment="1">
      <alignment horizontal="center" vertical="center"/>
    </xf>
    <xf numFmtId="0" fontId="76" fillId="36" borderId="0" xfId="0" applyFont="1" applyFill="1" applyAlignment="1">
      <alignment horizontal="center" vertical="center"/>
    </xf>
    <xf numFmtId="0" fontId="11" fillId="48" borderId="11" xfId="0" applyFont="1" applyFill="1" applyBorder="1" applyAlignment="1">
      <alignment horizontal="center" vertical="center" wrapText="1"/>
    </xf>
    <xf numFmtId="0" fontId="42" fillId="50" borderId="12" xfId="0" applyFont="1" applyFill="1" applyBorder="1" applyAlignment="1">
      <alignment wrapText="1"/>
    </xf>
    <xf numFmtId="0" fontId="11" fillId="51" borderId="11" xfId="0" applyFont="1" applyFill="1" applyBorder="1" applyAlignment="1">
      <alignment horizontal="center" vertical="center" wrapText="1"/>
    </xf>
    <xf numFmtId="0" fontId="11" fillId="47" borderId="11" xfId="0" applyFont="1" applyFill="1" applyBorder="1" applyAlignment="1">
      <alignment horizontal="center" vertical="center" wrapText="1"/>
    </xf>
    <xf numFmtId="0" fontId="11" fillId="49" borderId="16" xfId="0" applyFont="1" applyFill="1" applyBorder="1" applyAlignment="1">
      <alignment horizontal="center" vertical="center" wrapText="1"/>
    </xf>
    <xf numFmtId="0" fontId="42" fillId="50" borderId="17" xfId="0" applyFont="1" applyFill="1" applyBorder="1" applyAlignment="1">
      <alignment wrapText="1"/>
    </xf>
    <xf numFmtId="0" fontId="42" fillId="50" borderId="22" xfId="0" applyFont="1" applyFill="1" applyBorder="1" applyAlignment="1">
      <alignment wrapText="1"/>
    </xf>
    <xf numFmtId="0" fontId="74" fillId="0" borderId="0" xfId="0" applyFont="1" applyAlignment="1">
      <alignment horizontal="center" vertical="center"/>
    </xf>
    <xf numFmtId="0" fontId="8" fillId="18" borderId="24" xfId="0" applyFont="1" applyFill="1" applyBorder="1" applyAlignment="1">
      <alignment horizontal="center" vertical="center"/>
    </xf>
    <xf numFmtId="0" fontId="62" fillId="36" borderId="24" xfId="0" applyFont="1" applyFill="1" applyBorder="1" applyAlignment="1">
      <alignment horizontal="center" vertical="center"/>
    </xf>
    <xf numFmtId="2" fontId="34" fillId="0" borderId="26" xfId="0" applyNumberFormat="1" applyFont="1" applyBorder="1" applyAlignment="1">
      <alignment horizontal="left" vertical="center"/>
    </xf>
    <xf numFmtId="2" fontId="34" fillId="0" borderId="29" xfId="0" applyNumberFormat="1" applyFont="1" applyBorder="1" applyAlignment="1">
      <alignment horizontal="left" vertical="center"/>
    </xf>
    <xf numFmtId="2" fontId="34" fillId="0" borderId="25" xfId="0" applyNumberFormat="1" applyFont="1" applyBorder="1" applyAlignment="1">
      <alignment horizontal="left" vertical="center"/>
    </xf>
    <xf numFmtId="2" fontId="34" fillId="0" borderId="24" xfId="0" applyNumberFormat="1" applyFont="1" applyBorder="1" applyAlignment="1">
      <alignment horizontal="center"/>
    </xf>
    <xf numFmtId="2" fontId="34" fillId="0" borderId="26" xfId="0" applyNumberFormat="1" applyFont="1" applyBorder="1" applyAlignment="1">
      <alignment horizontal="left" vertical="center" wrapText="1"/>
    </xf>
    <xf numFmtId="2" fontId="34" fillId="0" borderId="29" xfId="0" applyNumberFormat="1" applyFont="1" applyBorder="1" applyAlignment="1">
      <alignment horizontal="left" vertical="center" wrapText="1"/>
    </xf>
    <xf numFmtId="2" fontId="34" fillId="0" borderId="25" xfId="0" applyNumberFormat="1" applyFont="1" applyBorder="1" applyAlignment="1">
      <alignment horizontal="left" vertical="center" wrapText="1"/>
    </xf>
    <xf numFmtId="0" fontId="11" fillId="19" borderId="30" xfId="1" applyFont="1" applyFill="1" applyBorder="1" applyAlignment="1">
      <alignment horizontal="center" vertical="center" wrapText="1"/>
    </xf>
    <xf numFmtId="0" fontId="11" fillId="19" borderId="53" xfId="1" applyFont="1" applyFill="1" applyBorder="1" applyAlignment="1">
      <alignment horizontal="center" vertical="center" wrapText="1"/>
    </xf>
    <xf numFmtId="0" fontId="11" fillId="19" borderId="27" xfId="1" applyFont="1" applyFill="1" applyBorder="1" applyAlignment="1">
      <alignment horizontal="center" vertical="center" wrapText="1"/>
    </xf>
    <xf numFmtId="0" fontId="11" fillId="19" borderId="26" xfId="1" applyFont="1" applyFill="1" applyBorder="1" applyAlignment="1">
      <alignment horizontal="center" vertical="center" wrapText="1"/>
    </xf>
    <xf numFmtId="0" fontId="11" fillId="19" borderId="29" xfId="1" applyFont="1" applyFill="1" applyBorder="1" applyAlignment="1">
      <alignment horizontal="center" vertical="center" wrapText="1"/>
    </xf>
    <xf numFmtId="0" fontId="11" fillId="19" borderId="25" xfId="1" applyFont="1" applyFill="1" applyBorder="1" applyAlignment="1">
      <alignment horizontal="center" vertical="center" wrapText="1"/>
    </xf>
    <xf numFmtId="0" fontId="11" fillId="19" borderId="24" xfId="1" applyFont="1" applyFill="1" applyBorder="1" applyAlignment="1">
      <alignment horizontal="center" vertical="center" wrapText="1"/>
    </xf>
    <xf numFmtId="0" fontId="46" fillId="18" borderId="36" xfId="1" applyFont="1" applyFill="1" applyBorder="1" applyAlignment="1">
      <alignment horizontal="center" vertical="center"/>
    </xf>
    <xf numFmtId="0" fontId="46" fillId="18" borderId="10" xfId="1" applyFont="1" applyFill="1" applyAlignment="1">
      <alignment horizontal="center" vertical="center"/>
    </xf>
    <xf numFmtId="0" fontId="11" fillId="19" borderId="33" xfId="1" applyFont="1" applyFill="1" applyBorder="1" applyAlignment="1">
      <alignment horizontal="center" vertical="center" wrapText="1"/>
    </xf>
    <xf numFmtId="0" fontId="11" fillId="19" borderId="35" xfId="1" applyFont="1" applyFill="1" applyBorder="1" applyAlignment="1">
      <alignment horizontal="center" vertical="center" wrapText="1"/>
    </xf>
    <xf numFmtId="0" fontId="11" fillId="19" borderId="37" xfId="1" applyFont="1" applyFill="1" applyBorder="1" applyAlignment="1">
      <alignment horizontal="center" vertical="center" wrapText="1"/>
    </xf>
    <xf numFmtId="0" fontId="11" fillId="19" borderId="38" xfId="1" applyFont="1" applyFill="1" applyBorder="1" applyAlignment="1">
      <alignment horizontal="center" vertical="center" wrapText="1"/>
    </xf>
    <xf numFmtId="0" fontId="47" fillId="0" borderId="41" xfId="0" applyFont="1" applyBorder="1" applyAlignment="1">
      <alignment horizontal="center" vertical="center"/>
    </xf>
    <xf numFmtId="0" fontId="47" fillId="0" borderId="28" xfId="0" applyFont="1" applyBorder="1" applyAlignment="1">
      <alignment horizontal="center" vertical="center"/>
    </xf>
    <xf numFmtId="0" fontId="47" fillId="0" borderId="41" xfId="0" applyFont="1" applyFill="1" applyBorder="1" applyAlignment="1">
      <alignment horizontal="center" vertical="center"/>
    </xf>
    <xf numFmtId="0" fontId="47" fillId="0" borderId="28" xfId="0" applyFont="1" applyFill="1" applyBorder="1" applyAlignment="1">
      <alignment horizontal="center" vertical="center"/>
    </xf>
    <xf numFmtId="0" fontId="47" fillId="0" borderId="26" xfId="0" applyFont="1" applyBorder="1" applyAlignment="1">
      <alignment horizontal="center" vertical="center"/>
    </xf>
    <xf numFmtId="0" fontId="47" fillId="0" borderId="25" xfId="0" applyFont="1" applyBorder="1" applyAlignment="1">
      <alignment horizontal="center" vertical="center"/>
    </xf>
    <xf numFmtId="0" fontId="47" fillId="0" borderId="26" xfId="0" applyFont="1" applyBorder="1" applyAlignment="1">
      <alignment horizontal="left"/>
    </xf>
    <xf numFmtId="0" fontId="47" fillId="0" borderId="25" xfId="0" applyFont="1" applyBorder="1" applyAlignment="1">
      <alignment horizontal="left"/>
    </xf>
    <xf numFmtId="0" fontId="48" fillId="18" borderId="0" xfId="0" applyFont="1" applyFill="1" applyAlignment="1">
      <alignment horizontal="center" vertical="center"/>
    </xf>
    <xf numFmtId="0" fontId="49" fillId="18" borderId="0" xfId="0" applyFont="1" applyFill="1"/>
    <xf numFmtId="2" fontId="7" fillId="8" borderId="23" xfId="0" applyNumberFormat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2" fontId="7" fillId="8" borderId="41" xfId="0" applyNumberFormat="1" applyFont="1" applyFill="1" applyBorder="1" applyAlignment="1">
      <alignment horizontal="center" vertical="center"/>
    </xf>
    <xf numFmtId="0" fontId="3" fillId="0" borderId="10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5" xfId="0" applyFont="1" applyBorder="1"/>
    <xf numFmtId="2" fontId="7" fillId="8" borderId="19" xfId="0" applyNumberFormat="1" applyFont="1" applyFill="1" applyBorder="1" applyAlignment="1">
      <alignment horizontal="center"/>
    </xf>
    <xf numFmtId="0" fontId="3" fillId="0" borderId="20" xfId="0" applyFont="1" applyBorder="1"/>
    <xf numFmtId="0" fontId="3" fillId="0" borderId="21" xfId="0" applyFont="1" applyBorder="1"/>
    <xf numFmtId="0" fontId="34" fillId="17" borderId="42" xfId="0" applyFont="1" applyFill="1" applyBorder="1" applyAlignment="1">
      <alignment horizontal="left" vertical="center"/>
    </xf>
    <xf numFmtId="0" fontId="34" fillId="17" borderId="43" xfId="0" applyFont="1" applyFill="1" applyBorder="1" applyAlignment="1">
      <alignment horizontal="left" vertical="center"/>
    </xf>
    <xf numFmtId="0" fontId="8" fillId="32" borderId="19" xfId="0" applyFont="1" applyFill="1" applyBorder="1" applyAlignment="1">
      <alignment horizontal="left" vertical="center"/>
    </xf>
    <xf numFmtId="0" fontId="8" fillId="32" borderId="21" xfId="0" applyFont="1" applyFill="1" applyBorder="1" applyAlignment="1">
      <alignment horizontal="left" vertical="center"/>
    </xf>
    <xf numFmtId="0" fontId="30" fillId="12" borderId="33" xfId="0" applyFont="1" applyFill="1" applyBorder="1" applyAlignment="1">
      <alignment horizontal="center" vertical="center"/>
    </xf>
    <xf numFmtId="0" fontId="30" fillId="12" borderId="49" xfId="0" applyFont="1" applyFill="1" applyBorder="1" applyAlignment="1">
      <alignment horizontal="center" vertical="center"/>
    </xf>
    <xf numFmtId="2" fontId="10" fillId="12" borderId="6" xfId="0" applyNumberFormat="1" applyFont="1" applyFill="1" applyBorder="1" applyAlignment="1">
      <alignment horizontal="center"/>
    </xf>
    <xf numFmtId="0" fontId="3" fillId="0" borderId="8" xfId="0" applyFont="1" applyBorder="1"/>
    <xf numFmtId="0" fontId="50" fillId="31" borderId="16" xfId="0" applyFont="1" applyFill="1" applyBorder="1" applyAlignment="1">
      <alignment horizontal="left" vertical="center"/>
    </xf>
    <xf numFmtId="0" fontId="50" fillId="31" borderId="22" xfId="0" applyFont="1" applyFill="1" applyBorder="1" applyAlignment="1">
      <alignment horizontal="left" vertical="center"/>
    </xf>
    <xf numFmtId="0" fontId="16" fillId="12" borderId="6" xfId="0" applyFont="1" applyFill="1" applyBorder="1" applyAlignment="1">
      <alignment horizontal="center" vertical="center"/>
    </xf>
    <xf numFmtId="0" fontId="30" fillId="12" borderId="31" xfId="0" applyFont="1" applyFill="1" applyBorder="1" applyAlignment="1">
      <alignment horizontal="center" vertical="center"/>
    </xf>
    <xf numFmtId="0" fontId="30" fillId="12" borderId="32" xfId="0" applyFont="1" applyFill="1" applyBorder="1" applyAlignment="1">
      <alignment horizontal="center" vertical="center"/>
    </xf>
    <xf numFmtId="0" fontId="16" fillId="12" borderId="19" xfId="0" applyFont="1" applyFill="1" applyBorder="1" applyAlignment="1">
      <alignment horizontal="center" vertical="center"/>
    </xf>
    <xf numFmtId="0" fontId="16" fillId="12" borderId="21" xfId="0" applyFont="1" applyFill="1" applyBorder="1" applyAlignment="1">
      <alignment horizontal="center" vertical="center"/>
    </xf>
    <xf numFmtId="0" fontId="30" fillId="12" borderId="16" xfId="0" applyFont="1" applyFill="1" applyBorder="1" applyAlignment="1">
      <alignment horizontal="center" vertical="center"/>
    </xf>
    <xf numFmtId="0" fontId="30" fillId="12" borderId="22" xfId="0" applyFont="1" applyFill="1" applyBorder="1" applyAlignment="1">
      <alignment horizontal="center" vertical="center"/>
    </xf>
    <xf numFmtId="2" fontId="10" fillId="12" borderId="16" xfId="0" applyNumberFormat="1" applyFont="1" applyFill="1" applyBorder="1" applyAlignment="1">
      <alignment horizontal="center"/>
    </xf>
    <xf numFmtId="2" fontId="10" fillId="12" borderId="22" xfId="0" applyNumberFormat="1" applyFont="1" applyFill="1" applyBorder="1" applyAlignment="1">
      <alignment horizontal="center"/>
    </xf>
    <xf numFmtId="2" fontId="10" fillId="12" borderId="19" xfId="0" applyNumberFormat="1" applyFont="1" applyFill="1" applyBorder="1" applyAlignment="1">
      <alignment horizontal="center"/>
    </xf>
    <xf numFmtId="2" fontId="10" fillId="12" borderId="21" xfId="0" applyNumberFormat="1" applyFont="1" applyFill="1" applyBorder="1" applyAlignment="1">
      <alignment horizontal="center"/>
    </xf>
    <xf numFmtId="0" fontId="16" fillId="12" borderId="24" xfId="0" applyFont="1" applyFill="1" applyBorder="1" applyAlignment="1">
      <alignment horizontal="center" vertical="center"/>
    </xf>
    <xf numFmtId="0" fontId="50" fillId="31" borderId="13" xfId="0" applyFont="1" applyFill="1" applyBorder="1" applyAlignment="1">
      <alignment horizontal="left" vertical="center"/>
    </xf>
    <xf numFmtId="0" fontId="50" fillId="31" borderId="52" xfId="0" applyFont="1" applyFill="1" applyBorder="1" applyAlignment="1">
      <alignment horizontal="left" vertical="center"/>
    </xf>
    <xf numFmtId="0" fontId="30" fillId="12" borderId="19" xfId="0" applyFont="1" applyFill="1" applyBorder="1" applyAlignment="1">
      <alignment horizontal="center" vertical="center"/>
    </xf>
    <xf numFmtId="0" fontId="30" fillId="12" borderId="21" xfId="0" applyFont="1" applyFill="1" applyBorder="1" applyAlignment="1">
      <alignment horizontal="center" vertical="center"/>
    </xf>
    <xf numFmtId="0" fontId="30" fillId="12" borderId="20" xfId="0" applyFont="1" applyFill="1" applyBorder="1" applyAlignment="1">
      <alignment horizontal="center" vertical="center"/>
    </xf>
    <xf numFmtId="0" fontId="16" fillId="12" borderId="31" xfId="0" applyFont="1" applyFill="1" applyBorder="1" applyAlignment="1">
      <alignment horizontal="center" vertical="center"/>
    </xf>
    <xf numFmtId="0" fontId="16" fillId="12" borderId="32" xfId="0" applyFont="1" applyFill="1" applyBorder="1" applyAlignment="1">
      <alignment horizontal="center" vertical="center"/>
    </xf>
    <xf numFmtId="2" fontId="14" fillId="7" borderId="23" xfId="0" applyNumberFormat="1" applyFont="1" applyFill="1" applyBorder="1" applyAlignment="1">
      <alignment horizontal="center" vertical="center"/>
    </xf>
    <xf numFmtId="2" fontId="14" fillId="7" borderId="41" xfId="0" applyNumberFormat="1" applyFont="1" applyFill="1" applyBorder="1" applyAlignment="1">
      <alignment horizontal="center" vertical="center"/>
    </xf>
    <xf numFmtId="0" fontId="3" fillId="0" borderId="40" xfId="0" applyFont="1" applyBorder="1"/>
    <xf numFmtId="0" fontId="3" fillId="0" borderId="41" xfId="0" applyFont="1" applyBorder="1"/>
    <xf numFmtId="0" fontId="57" fillId="18" borderId="10" xfId="0" applyFont="1" applyFill="1" applyBorder="1" applyAlignment="1">
      <alignment horizontal="center" vertical="center"/>
    </xf>
    <xf numFmtId="4" fontId="15" fillId="7" borderId="19" xfId="0" applyNumberFormat="1" applyFont="1" applyFill="1" applyBorder="1" applyAlignment="1">
      <alignment horizontal="center" vertical="center"/>
    </xf>
    <xf numFmtId="4" fontId="3" fillId="0" borderId="20" xfId="0" applyNumberFormat="1" applyFont="1" applyBorder="1"/>
    <xf numFmtId="4" fontId="3" fillId="0" borderId="21" xfId="0" applyNumberFormat="1" applyFont="1" applyBorder="1"/>
    <xf numFmtId="4" fontId="13" fillId="0" borderId="24" xfId="0" applyNumberFormat="1" applyFont="1" applyBorder="1" applyAlignment="1">
      <alignment horizontal="center" vertical="center"/>
    </xf>
    <xf numFmtId="2" fontId="11" fillId="0" borderId="24" xfId="0" applyNumberFormat="1" applyFont="1" applyBorder="1" applyAlignment="1">
      <alignment horizontal="left" vertical="center"/>
    </xf>
    <xf numFmtId="0" fontId="11" fillId="0" borderId="24" xfId="0" applyFont="1" applyBorder="1" applyAlignment="1">
      <alignment horizontal="left" vertical="center"/>
    </xf>
    <xf numFmtId="0" fontId="50" fillId="31" borderId="50" xfId="0" applyFont="1" applyFill="1" applyBorder="1" applyAlignment="1">
      <alignment horizontal="left" vertical="center"/>
    </xf>
    <xf numFmtId="0" fontId="50" fillId="31" borderId="51" xfId="0" applyFont="1" applyFill="1" applyBorder="1" applyAlignment="1">
      <alignment horizontal="left" vertical="center"/>
    </xf>
    <xf numFmtId="0" fontId="15" fillId="7" borderId="23" xfId="0" applyFont="1" applyFill="1" applyBorder="1" applyAlignment="1">
      <alignment horizontal="center" vertical="center"/>
    </xf>
    <xf numFmtId="0" fontId="51" fillId="0" borderId="5" xfId="0" applyFont="1" applyBorder="1" applyAlignment="1">
      <alignment horizontal="center"/>
    </xf>
    <xf numFmtId="2" fontId="7" fillId="8" borderId="11" xfId="0" applyNumberFormat="1" applyFont="1" applyFill="1" applyBorder="1" applyAlignment="1">
      <alignment horizontal="center" vertical="center"/>
    </xf>
    <xf numFmtId="0" fontId="3" fillId="0" borderId="12" xfId="0" applyFont="1" applyBorder="1"/>
    <xf numFmtId="0" fontId="62" fillId="36" borderId="60" xfId="0" applyFont="1" applyFill="1" applyBorder="1" applyAlignment="1">
      <alignment horizontal="center" vertical="center" wrapText="1"/>
    </xf>
    <xf numFmtId="0" fontId="62" fillId="36" borderId="55" xfId="0" applyFont="1" applyFill="1" applyBorder="1" applyAlignment="1">
      <alignment horizontal="center" vertical="center" wrapText="1"/>
    </xf>
    <xf numFmtId="0" fontId="69" fillId="37" borderId="54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2" fontId="34" fillId="0" borderId="10" xfId="0" applyNumberFormat="1" applyFont="1" applyBorder="1" applyAlignment="1">
      <alignment horizontal="center"/>
    </xf>
    <xf numFmtId="0" fontId="57" fillId="18" borderId="24" xfId="1" applyFont="1" applyFill="1" applyBorder="1" applyAlignment="1">
      <alignment horizontal="center" vertical="center"/>
    </xf>
    <xf numFmtId="2" fontId="34" fillId="0" borderId="24" xfId="0" applyNumberFormat="1" applyFont="1" applyBorder="1" applyAlignment="1">
      <alignment horizontal="center" vertical="center"/>
    </xf>
    <xf numFmtId="0" fontId="39" fillId="24" borderId="24" xfId="1" applyFont="1" applyFill="1" applyBorder="1" applyAlignment="1">
      <alignment horizontal="center" vertical="center"/>
    </xf>
    <xf numFmtId="0" fontId="39" fillId="24" borderId="24" xfId="0" applyFont="1" applyFill="1" applyBorder="1" applyAlignment="1">
      <alignment horizontal="center" vertical="center"/>
    </xf>
    <xf numFmtId="2" fontId="34" fillId="0" borderId="26" xfId="0" applyNumberFormat="1" applyFont="1" applyBorder="1" applyAlignment="1">
      <alignment horizontal="center" vertical="center"/>
    </xf>
    <xf numFmtId="2" fontId="34" fillId="0" borderId="29" xfId="0" applyNumberFormat="1" applyFont="1" applyBorder="1" applyAlignment="1">
      <alignment horizontal="center" vertical="center"/>
    </xf>
    <xf numFmtId="2" fontId="34" fillId="0" borderId="25" xfId="0" applyNumberFormat="1" applyFont="1" applyBorder="1" applyAlignment="1">
      <alignment horizontal="center" vertical="center"/>
    </xf>
    <xf numFmtId="2" fontId="34" fillId="0" borderId="24" xfId="0" applyNumberFormat="1" applyFont="1" applyBorder="1" applyAlignment="1">
      <alignment horizontal="center" vertical="center" wrapText="1"/>
    </xf>
    <xf numFmtId="2" fontId="7" fillId="7" borderId="4" xfId="0" applyNumberFormat="1" applyFont="1" applyFill="1" applyBorder="1" applyAlignment="1">
      <alignment horizontal="center" vertical="center"/>
    </xf>
    <xf numFmtId="0" fontId="73" fillId="45" borderId="11" xfId="0" applyFont="1" applyFill="1" applyBorder="1" applyAlignment="1">
      <alignment horizontal="center" vertical="center" wrapText="1"/>
    </xf>
    <xf numFmtId="0" fontId="73" fillId="45" borderId="61" xfId="0" applyFont="1" applyFill="1" applyBorder="1" applyAlignment="1">
      <alignment horizontal="center" vertical="center" wrapText="1"/>
    </xf>
    <xf numFmtId="0" fontId="49" fillId="20" borderId="64" xfId="0" applyFont="1" applyFill="1" applyBorder="1" applyAlignment="1">
      <alignment horizontal="center" vertical="center" wrapText="1"/>
    </xf>
    <xf numFmtId="0" fontId="49" fillId="20" borderId="57" xfId="0" applyFont="1" applyFill="1" applyBorder="1" applyAlignment="1">
      <alignment horizontal="center" vertical="center" wrapText="1"/>
    </xf>
    <xf numFmtId="0" fontId="49" fillId="20" borderId="27" xfId="0" applyFont="1" applyFill="1" applyBorder="1" applyAlignment="1">
      <alignment horizontal="center" vertical="center" wrapText="1"/>
    </xf>
    <xf numFmtId="0" fontId="49" fillId="20" borderId="65" xfId="0" applyFont="1" applyFill="1" applyBorder="1" applyAlignment="1">
      <alignment horizontal="center" vertical="center" wrapText="1"/>
    </xf>
    <xf numFmtId="0" fontId="77" fillId="20" borderId="24" xfId="0" applyFont="1" applyFill="1" applyBorder="1" applyAlignment="1">
      <alignment horizontal="center" vertical="center" wrapText="1"/>
    </xf>
    <xf numFmtId="0" fontId="77" fillId="20" borderId="29" xfId="0" applyFont="1" applyFill="1" applyBorder="1" applyAlignment="1">
      <alignment horizontal="center" vertical="center" wrapText="1"/>
    </xf>
    <xf numFmtId="9" fontId="0" fillId="0" borderId="24" xfId="6" applyFont="1" applyBorder="1" applyAlignment="1">
      <alignment horizontal="center"/>
    </xf>
    <xf numFmtId="0" fontId="0" fillId="0" borderId="26" xfId="0" applyBorder="1" applyAlignment="1">
      <alignment horizontal="center"/>
    </xf>
    <xf numFmtId="0" fontId="78" fillId="23" borderId="66" xfId="7" applyFont="1" applyFill="1" applyBorder="1" applyAlignment="1">
      <alignment horizontal="center" vertical="center" wrapText="1"/>
    </xf>
    <xf numFmtId="0" fontId="78" fillId="23" borderId="67" xfId="7" applyFont="1" applyFill="1" applyBorder="1" applyAlignment="1">
      <alignment horizontal="center" vertical="center" wrapText="1"/>
    </xf>
    <xf numFmtId="0" fontId="78" fillId="23" borderId="57" xfId="7" applyFont="1" applyFill="1" applyBorder="1" applyAlignment="1">
      <alignment horizontal="center" vertical="center" wrapText="1"/>
    </xf>
    <xf numFmtId="0" fontId="78" fillId="23" borderId="62" xfId="7" applyFont="1" applyFill="1" applyBorder="1" applyAlignment="1">
      <alignment horizontal="center" vertical="center" wrapText="1"/>
    </xf>
    <xf numFmtId="0" fontId="78" fillId="23" borderId="10" xfId="7" applyFont="1" applyFill="1" applyAlignment="1">
      <alignment horizontal="center" vertical="center" wrapText="1"/>
    </xf>
    <xf numFmtId="0" fontId="78" fillId="23" borderId="63" xfId="7" applyFont="1" applyFill="1" applyBorder="1" applyAlignment="1">
      <alignment horizontal="center" vertical="center" wrapText="1"/>
    </xf>
    <xf numFmtId="0" fontId="79" fillId="57" borderId="68" xfId="0" applyFont="1" applyFill="1" applyBorder="1" applyAlignment="1">
      <alignment horizontal="center"/>
    </xf>
    <xf numFmtId="0" fontId="79" fillId="57" borderId="69" xfId="0" applyFont="1" applyFill="1" applyBorder="1" applyAlignment="1">
      <alignment horizontal="center"/>
    </xf>
    <xf numFmtId="0" fontId="79" fillId="57" borderId="70" xfId="0" applyFont="1" applyFill="1" applyBorder="1" applyAlignment="1">
      <alignment horizontal="center" vertical="center" wrapText="1"/>
    </xf>
    <xf numFmtId="0" fontId="78" fillId="57" borderId="24" xfId="7" applyFont="1" applyFill="1" applyBorder="1" applyAlignment="1">
      <alignment horizontal="center" vertical="center"/>
    </xf>
    <xf numFmtId="0" fontId="78" fillId="57" borderId="24" xfId="0" applyFont="1" applyFill="1" applyBorder="1" applyAlignment="1">
      <alignment horizontal="center" vertical="center"/>
    </xf>
    <xf numFmtId="0" fontId="12" fillId="28" borderId="24" xfId="0" applyFont="1" applyFill="1" applyBorder="1" applyAlignment="1">
      <alignment vertical="center"/>
    </xf>
    <xf numFmtId="0" fontId="12" fillId="28" borderId="24" xfId="0" applyFont="1" applyFill="1" applyBorder="1" applyAlignment="1">
      <alignment horizontal="center" vertical="center"/>
    </xf>
    <xf numFmtId="10" fontId="78" fillId="0" borderId="24" xfId="6" applyNumberFormat="1" applyFont="1" applyFill="1" applyBorder="1" applyAlignment="1">
      <alignment vertical="center" wrapText="1"/>
    </xf>
    <xf numFmtId="3" fontId="78" fillId="28" borderId="24" xfId="7" applyNumberFormat="1" applyFont="1" applyFill="1" applyBorder="1" applyAlignment="1">
      <alignment horizontal="center" vertical="center" wrapText="1"/>
    </xf>
    <xf numFmtId="10" fontId="78" fillId="57" borderId="24" xfId="6" applyNumberFormat="1" applyFont="1" applyFill="1" applyBorder="1" applyAlignment="1">
      <alignment vertical="center" wrapText="1"/>
    </xf>
    <xf numFmtId="10" fontId="78" fillId="57" borderId="24" xfId="6" applyNumberFormat="1" applyFont="1" applyFill="1" applyBorder="1" applyAlignment="1">
      <alignment horizontal="center" vertical="center" wrapText="1"/>
    </xf>
    <xf numFmtId="0" fontId="1" fillId="0" borderId="10" xfId="8"/>
    <xf numFmtId="0" fontId="80" fillId="0" borderId="10" xfId="8" applyFont="1" applyAlignment="1">
      <alignment horizontal="right"/>
    </xf>
    <xf numFmtId="0" fontId="80" fillId="0" borderId="10" xfId="8" applyFont="1"/>
    <xf numFmtId="0" fontId="80" fillId="0" borderId="10" xfId="8" applyFont="1" applyAlignment="1">
      <alignment horizontal="center"/>
    </xf>
    <xf numFmtId="0" fontId="1" fillId="0" borderId="10" xfId="8" applyAlignment="1">
      <alignment horizontal="center"/>
    </xf>
    <xf numFmtId="2" fontId="1" fillId="0" borderId="10" xfId="8" applyNumberFormat="1" applyAlignment="1">
      <alignment horizontal="center"/>
    </xf>
    <xf numFmtId="0" fontId="1" fillId="0" borderId="10" xfId="8" applyAlignment="1">
      <alignment horizontal="center" vertical="center"/>
    </xf>
    <xf numFmtId="14" fontId="1" fillId="0" borderId="10" xfId="8" applyNumberFormat="1" applyAlignment="1">
      <alignment horizontal="left"/>
    </xf>
    <xf numFmtId="0" fontId="1" fillId="0" borderId="10" xfId="8" applyAlignment="1">
      <alignment horizontal="center" vertical="center"/>
    </xf>
    <xf numFmtId="0" fontId="1" fillId="0" borderId="24" xfId="8" applyBorder="1"/>
    <xf numFmtId="9" fontId="1" fillId="0" borderId="24" xfId="8" applyNumberFormat="1" applyBorder="1"/>
    <xf numFmtId="0" fontId="1" fillId="0" borderId="24" xfId="8" applyBorder="1" applyAlignment="1">
      <alignment horizontal="center" vertical="center" wrapText="1"/>
    </xf>
    <xf numFmtId="0" fontId="1" fillId="0" borderId="24" xfId="8" applyBorder="1" applyAlignment="1">
      <alignment vertical="center" wrapText="1"/>
    </xf>
    <xf numFmtId="179" fontId="1" fillId="0" borderId="24" xfId="8" applyNumberFormat="1" applyBorder="1" applyAlignment="1">
      <alignment horizontal="center"/>
    </xf>
    <xf numFmtId="0" fontId="1" fillId="0" borderId="24" xfId="8" applyBorder="1" applyAlignment="1">
      <alignment horizontal="center"/>
    </xf>
    <xf numFmtId="9" fontId="0" fillId="0" borderId="24" xfId="9" applyFont="1" applyBorder="1" applyAlignment="1">
      <alignment horizontal="center"/>
    </xf>
    <xf numFmtId="0" fontId="1" fillId="57" borderId="24" xfId="8" applyFill="1" applyBorder="1"/>
    <xf numFmtId="0" fontId="1" fillId="57" borderId="24" xfId="8" applyFill="1" applyBorder="1" applyAlignment="1">
      <alignment horizontal="left"/>
    </xf>
    <xf numFmtId="180" fontId="1" fillId="0" borderId="24" xfId="8" applyNumberFormat="1" applyBorder="1" applyAlignment="1">
      <alignment horizontal="center"/>
    </xf>
    <xf numFmtId="0" fontId="81" fillId="0" borderId="24" xfId="8" applyFont="1" applyBorder="1" applyAlignment="1">
      <alignment horizontal="left"/>
    </xf>
    <xf numFmtId="0" fontId="81" fillId="0" borderId="10" xfId="8" applyFont="1" applyAlignment="1">
      <alignment horizontal="center"/>
    </xf>
    <xf numFmtId="2" fontId="1" fillId="0" borderId="10" xfId="8" applyNumberFormat="1" applyAlignment="1">
      <alignment horizontal="left"/>
    </xf>
    <xf numFmtId="0" fontId="1" fillId="57" borderId="26" xfId="8" applyFill="1" applyBorder="1" applyAlignment="1">
      <alignment horizontal="center"/>
    </xf>
    <xf numFmtId="0" fontId="1" fillId="57" borderId="29" xfId="8" applyFill="1" applyBorder="1" applyAlignment="1">
      <alignment horizontal="center"/>
    </xf>
    <xf numFmtId="0" fontId="1" fillId="57" borderId="24" xfId="8" applyFill="1" applyBorder="1" applyAlignment="1">
      <alignment horizontal="center"/>
    </xf>
    <xf numFmtId="0" fontId="12" fillId="28" borderId="30" xfId="8" applyFont="1" applyFill="1" applyBorder="1" applyAlignment="1">
      <alignment vertical="center"/>
    </xf>
    <xf numFmtId="0" fontId="12" fillId="28" borderId="30" xfId="8" applyFont="1" applyFill="1" applyBorder="1" applyAlignment="1">
      <alignment horizontal="left" vertical="center"/>
    </xf>
    <xf numFmtId="0" fontId="1" fillId="0" borderId="34" xfId="8" applyBorder="1" applyAlignment="1">
      <alignment horizontal="center"/>
    </xf>
    <xf numFmtId="0" fontId="1" fillId="0" borderId="30" xfId="8" applyBorder="1" applyAlignment="1">
      <alignment horizontal="center"/>
    </xf>
    <xf numFmtId="9" fontId="0" fillId="0" borderId="10" xfId="9" applyFont="1" applyAlignment="1">
      <alignment horizontal="center"/>
    </xf>
    <xf numFmtId="0" fontId="12" fillId="28" borderId="24" xfId="8" applyFont="1" applyFill="1" applyBorder="1" applyAlignment="1">
      <alignment vertical="center"/>
    </xf>
    <xf numFmtId="0" fontId="12" fillId="28" borderId="24" xfId="8" applyFont="1" applyFill="1" applyBorder="1" applyAlignment="1">
      <alignment horizontal="left" vertical="center"/>
    </xf>
    <xf numFmtId="0" fontId="1" fillId="0" borderId="29" xfId="8" applyBorder="1" applyAlignment="1">
      <alignment horizontal="center"/>
    </xf>
    <xf numFmtId="0" fontId="12" fillId="28" borderId="33" xfId="8" applyFont="1" applyFill="1" applyBorder="1" applyAlignment="1">
      <alignment horizontal="left" vertical="center"/>
    </xf>
    <xf numFmtId="0" fontId="12" fillId="28" borderId="26" xfId="8" applyFont="1" applyFill="1" applyBorder="1" applyAlignment="1">
      <alignment horizontal="left" vertical="center"/>
    </xf>
    <xf numFmtId="0" fontId="1" fillId="0" borderId="25" xfId="8" applyBorder="1" applyAlignment="1">
      <alignment horizontal="center"/>
    </xf>
    <xf numFmtId="3" fontId="1" fillId="0" borderId="24" xfId="8" applyNumberFormat="1" applyBorder="1"/>
    <xf numFmtId="3" fontId="1" fillId="0" borderId="24" xfId="8" applyNumberFormat="1" applyBorder="1" applyAlignment="1">
      <alignment horizontal="center"/>
    </xf>
    <xf numFmtId="0" fontId="82" fillId="0" borderId="41" xfId="0" applyFont="1" applyBorder="1" applyAlignment="1">
      <alignment horizontal="center"/>
    </xf>
    <xf numFmtId="0" fontId="83" fillId="0" borderId="0" xfId="0" applyFont="1"/>
    <xf numFmtId="0" fontId="84" fillId="38" borderId="10" xfId="8" applyFont="1" applyFill="1" applyAlignment="1">
      <alignment horizontal="center"/>
    </xf>
  </cellXfs>
  <cellStyles count="10">
    <cellStyle name="Cancel" xfId="4" xr:uid="{00000000-0005-0000-0000-000000000000}"/>
    <cellStyle name="Normal" xfId="0" builtinId="0"/>
    <cellStyle name="Normal 2" xfId="8" xr:uid="{56ADAFD6-9718-40A4-9B10-57EE3693BB89}"/>
    <cellStyle name="Normal 2 10" xfId="1" xr:uid="{00000000-0005-0000-0000-000003000000}"/>
    <cellStyle name="Normal 2 2" xfId="5" xr:uid="{00000000-0005-0000-0000-000004000000}"/>
    <cellStyle name="Normal 3" xfId="2" xr:uid="{00000000-0005-0000-0000-000005000000}"/>
    <cellStyle name="Normal_CURVA S LA QUINUA180803s" xfId="7" xr:uid="{B529B33C-C995-4DFE-9D8C-95ADD7C609BD}"/>
    <cellStyle name="Porcentaje" xfId="6" builtinId="5"/>
    <cellStyle name="Porcentaje 2" xfId="3" xr:uid="{00000000-0005-0000-0000-000007000000}"/>
    <cellStyle name="Porcentaje 3" xfId="9" xr:uid="{05F00D65-9C5E-46EC-8E2E-96BCAB633B82}"/>
  </cellStyles>
  <dxfs count="17">
    <dxf>
      <font>
        <b/>
        <i val="0"/>
        <color theme="0"/>
      </font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CC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</a:t>
            </a:r>
            <a:r>
              <a:rPr lang="en-US" baseline="0"/>
              <a:t> Historico de cumplimiento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'H PPC'!$C$10:$C$26</c:f>
              <c:numCache>
                <c:formatCode>"Sem."\ 00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cat>
          <c:val>
            <c:numRef>
              <c:f>'H PPC'!$F$10:$F$26</c:f>
              <c:numCache>
                <c:formatCode>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24-4BB5-AEEF-84FBF66D0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9582032"/>
        <c:axId val="1579589936"/>
      </c:barChart>
      <c:catAx>
        <c:axId val="1579582032"/>
        <c:scaling>
          <c:orientation val="minMax"/>
        </c:scaling>
        <c:delete val="0"/>
        <c:axPos val="b"/>
        <c:numFmt formatCode="&quot;Sem.&quot;\ 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579589936"/>
        <c:crosses val="autoZero"/>
        <c:auto val="1"/>
        <c:lblAlgn val="ctr"/>
        <c:lblOffset val="100"/>
        <c:noMultiLvlLbl val="0"/>
      </c:catAx>
      <c:valAx>
        <c:axId val="157958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579582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Causas de incumplimiento</a:t>
            </a:r>
          </a:p>
        </c:rich>
      </c:tx>
      <c:layout>
        <c:manualLayout>
          <c:xMode val="edge"/>
          <c:yMode val="edge"/>
          <c:x val="0.26108583898146381"/>
          <c:y val="0.107873222795791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 w="9525" cap="flat" cmpd="sng" algn="ctr">
            <a:noFill/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9525" cap="flat" cmpd="sng" algn="ctr">
            <a:noFill/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9525" cap="flat" cmpd="sng" algn="ctr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9525" cap="flat" cmpd="sng" algn="ctr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9525" cap="flat" cmpd="sng" algn="ctr">
            <a:noFill/>
            <a:round/>
          </a:ln>
          <a:effectLst/>
        </c:spPr>
      </c:pivotFmt>
      <c:pivotFmt>
        <c:idx val="5"/>
        <c:spPr>
          <a:solidFill>
            <a:schemeClr val="accent1"/>
          </a:solidFill>
          <a:ln w="9525" cap="flat" cmpd="sng" algn="ctr">
            <a:noFill/>
            <a:round/>
          </a:ln>
          <a:effectLst/>
        </c:spPr>
      </c:pivotFmt>
      <c:pivotFmt>
        <c:idx val="6"/>
        <c:spPr>
          <a:solidFill>
            <a:schemeClr val="accent1"/>
          </a:solidFill>
          <a:ln w="9525" cap="flat" cmpd="sng" algn="ctr">
            <a:noFill/>
            <a:round/>
          </a:ln>
          <a:effectLst/>
        </c:spPr>
      </c:pivotFmt>
      <c:pivotFmt>
        <c:idx val="7"/>
        <c:spPr>
          <a:solidFill>
            <a:schemeClr val="accent1"/>
          </a:solidFill>
          <a:ln w="9525" cap="flat" cmpd="sng" algn="ctr">
            <a:noFill/>
            <a:round/>
          </a:ln>
          <a:effectLst/>
        </c:spPr>
      </c:pivotFmt>
      <c:pivotFmt>
        <c:idx val="8"/>
        <c:spPr>
          <a:solidFill>
            <a:schemeClr val="accent1"/>
          </a:solidFill>
          <a:ln w="9525" cap="flat" cmpd="sng" algn="ctr">
            <a:noFill/>
            <a:round/>
          </a:ln>
          <a:effectLst/>
        </c:spPr>
      </c:pivotFmt>
      <c:pivotFmt>
        <c:idx val="9"/>
        <c:spPr>
          <a:solidFill>
            <a:schemeClr val="accent1"/>
          </a:solidFill>
          <a:ln w="9525" cap="flat" cmpd="sng" algn="ctr">
            <a:noFill/>
            <a:round/>
          </a:ln>
          <a:effectLst/>
        </c:spPr>
      </c:pivotFmt>
      <c:pivotFmt>
        <c:idx val="10"/>
        <c:spPr>
          <a:solidFill>
            <a:schemeClr val="accent1"/>
          </a:solidFill>
          <a:ln w="9525" cap="flat" cmpd="sng" algn="ctr">
            <a:noFill/>
            <a:round/>
          </a:ln>
          <a:effectLst/>
        </c:spPr>
      </c:pivotFmt>
      <c:pivotFmt>
        <c:idx val="11"/>
        <c:spPr>
          <a:solidFill>
            <a:schemeClr val="accent1"/>
          </a:solidFill>
          <a:ln w="9525" cap="flat" cmpd="sng" algn="ctr">
            <a:noFill/>
            <a:round/>
          </a:ln>
          <a:effectLst/>
        </c:spPr>
      </c:pivotFmt>
      <c:pivotFmt>
        <c:idx val="12"/>
        <c:spPr>
          <a:solidFill>
            <a:schemeClr val="accent1"/>
          </a:solidFill>
          <a:ln w="9525" cap="flat" cmpd="sng" algn="ctr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9525" cap="flat" cmpd="sng" algn="ctr">
            <a:noFill/>
            <a:round/>
          </a:ln>
          <a:effectLst/>
        </c:spPr>
      </c:pivotFmt>
      <c:pivotFmt>
        <c:idx val="14"/>
        <c:spPr>
          <a:solidFill>
            <a:schemeClr val="accent1"/>
          </a:solidFill>
          <a:ln w="9525" cap="flat" cmpd="sng" algn="ctr">
            <a:noFill/>
            <a:round/>
          </a:ln>
          <a:effectLst/>
        </c:spPr>
      </c:pivotFmt>
      <c:pivotFmt>
        <c:idx val="15"/>
        <c:spPr>
          <a:solidFill>
            <a:schemeClr val="accent1"/>
          </a:solidFill>
          <a:ln w="9525" cap="flat" cmpd="sng" algn="ctr">
            <a:noFill/>
            <a:round/>
          </a:ln>
          <a:effectLst/>
        </c:spPr>
      </c:pivotFmt>
      <c:pivotFmt>
        <c:idx val="16"/>
        <c:spPr>
          <a:solidFill>
            <a:schemeClr val="accent1"/>
          </a:solidFill>
          <a:ln w="9525" cap="flat" cmpd="sng" algn="ctr">
            <a:noFill/>
            <a:round/>
          </a:ln>
          <a:effectLst/>
        </c:spPr>
      </c:pivotFmt>
      <c:pivotFmt>
        <c:idx val="17"/>
        <c:spPr>
          <a:solidFill>
            <a:schemeClr val="accent1"/>
          </a:solidFill>
          <a:ln w="9525" cap="flat" cmpd="sng" algn="ctr">
            <a:noFill/>
            <a:round/>
          </a:ln>
          <a:effectLst/>
        </c:spPr>
      </c:pivotFmt>
      <c:pivotFmt>
        <c:idx val="18"/>
        <c:spPr>
          <a:solidFill>
            <a:schemeClr val="accent1"/>
          </a:solidFill>
          <a:ln w="9525" cap="flat" cmpd="sng" algn="ctr">
            <a:noFill/>
            <a:round/>
          </a:ln>
          <a:effectLst/>
        </c:spPr>
      </c:pivotFmt>
      <c:pivotFmt>
        <c:idx val="19"/>
        <c:spPr>
          <a:solidFill>
            <a:schemeClr val="accent1"/>
          </a:solidFill>
          <a:ln w="9525" cap="flat" cmpd="sng" algn="ctr">
            <a:noFill/>
            <a:round/>
          </a:ln>
          <a:effectLst/>
        </c:spPr>
      </c:pivotFmt>
      <c:pivotFmt>
        <c:idx val="20"/>
        <c:spPr>
          <a:solidFill>
            <a:schemeClr val="accent1"/>
          </a:solidFill>
          <a:ln w="9525" cap="flat" cmpd="sng" algn="ctr">
            <a:noFill/>
            <a:round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4A9-4865-B8D4-F296E8955C1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F4A9-4865-B8D4-F296E8955C1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F4A9-4865-B8D4-F296E8955C1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F4A9-4865-B8D4-F296E8955C1F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F4A9-4865-B8D4-F296E8955C1F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F4A9-4865-B8D4-F296E8955C1F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6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F4A9-4865-B8D4-F296E8955C1F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6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F4A9-4865-B8D4-F296E8955C1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8"/>
              <c:pt idx="0">
                <c:v>AP</c:v>
              </c:pt>
              <c:pt idx="1">
                <c:v>CLI-ING</c:v>
              </c:pt>
              <c:pt idx="2">
                <c:v>DT</c:v>
              </c:pt>
              <c:pt idx="3">
                <c:v>EE</c:v>
              </c:pt>
              <c:pt idx="4">
                <c:v>EQ</c:v>
              </c:pt>
              <c:pt idx="5">
                <c:v>EXT</c:v>
              </c:pt>
              <c:pt idx="6">
                <c:v>MAT</c:v>
              </c:pt>
              <c:pt idx="7">
                <c:v>PER</c:v>
              </c:pt>
            </c:strLit>
          </c:cat>
          <c:val>
            <c:numLit>
              <c:formatCode>General</c:formatCode>
              <c:ptCount val="8"/>
              <c:pt idx="0">
                <c:v>5.4054054054054057E-2</c:v>
              </c:pt>
              <c:pt idx="1">
                <c:v>8.1081081081081086E-2</c:v>
              </c:pt>
              <c:pt idx="2">
                <c:v>5.4054054054054057E-2</c:v>
              </c:pt>
              <c:pt idx="3">
                <c:v>8.1081081081081086E-2</c:v>
              </c:pt>
              <c:pt idx="4">
                <c:v>5.4054054054054057E-2</c:v>
              </c:pt>
              <c:pt idx="5">
                <c:v>8.1081081081081086E-2</c:v>
              </c:pt>
              <c:pt idx="6">
                <c:v>0.27027027027027029</c:v>
              </c:pt>
              <c:pt idx="7">
                <c:v>0.32432432432432434</c:v>
              </c:pt>
            </c:numLit>
          </c:val>
          <c:extLst>
            <c:ext xmlns:c16="http://schemas.microsoft.com/office/drawing/2014/chart" uri="{C3380CC4-5D6E-409C-BE32-E72D297353CC}">
              <c16:uniqueId val="{00000010-F4A9-4865-B8D4-F296E8955C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Responsable</a:t>
            </a:r>
            <a:r>
              <a:rPr lang="en-US" baseline="0"/>
              <a:t> de incumplimiento</a:t>
            </a:r>
            <a:endParaRPr lang="en-US"/>
          </a:p>
        </c:rich>
      </c:tx>
      <c:layout>
        <c:manualLayout>
          <c:xMode val="edge"/>
          <c:yMode val="edge"/>
          <c:x val="0.19777777777777777"/>
          <c:y val="9.90601003455129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BD3-474F-AA19-D0B7355454A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BD3-474F-AA19-D0B7355454A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CLIENTE</c:v>
              </c:pt>
              <c:pt idx="1">
                <c:v>CONSTRUCTOR</c:v>
              </c:pt>
            </c:strLit>
          </c:cat>
          <c:val>
            <c:numLit>
              <c:formatCode>General</c:formatCode>
              <c:ptCount val="2"/>
              <c:pt idx="0">
                <c:v>0.27027027027027029</c:v>
              </c:pt>
              <c:pt idx="1">
                <c:v>0.72972972972972971</c:v>
              </c:pt>
            </c:numLit>
          </c:val>
          <c:extLst>
            <c:ext xmlns:c16="http://schemas.microsoft.com/office/drawing/2014/chart" uri="{C3380CC4-5D6E-409C-BE32-E72D297353CC}">
              <c16:uniqueId val="{00000004-9BD3-474F-AA19-D0B7355454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194984</xdr:colOff>
      <xdr:row>0</xdr:row>
      <xdr:rowOff>0</xdr:rowOff>
    </xdr:from>
    <xdr:to>
      <xdr:col>25</xdr:col>
      <xdr:colOff>347944</xdr:colOff>
      <xdr:row>3</xdr:row>
      <xdr:rowOff>172425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5A9AAC8-79A6-415C-875E-92963F082C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971164" y="98611"/>
          <a:ext cx="945440" cy="817436"/>
        </a:xfrm>
        <a:prstGeom prst="rect">
          <a:avLst/>
        </a:prstGeom>
        <a:ln w="3175">
          <a:solidFill>
            <a:schemeClr val="tx1"/>
          </a:solidFill>
        </a:ln>
      </xdr:spPr>
    </xdr:pic>
    <xdr:clientData/>
  </xdr:twoCellAnchor>
  <xdr:twoCellAnchor>
    <xdr:from>
      <xdr:col>6</xdr:col>
      <xdr:colOff>633130</xdr:colOff>
      <xdr:row>7</xdr:row>
      <xdr:rowOff>174811</xdr:rowOff>
    </xdr:from>
    <xdr:to>
      <xdr:col>20</xdr:col>
      <xdr:colOff>907677</xdr:colOff>
      <xdr:row>26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562F1AA-4214-4AA6-941E-83B278ACC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36</xdr:row>
      <xdr:rowOff>0</xdr:rowOff>
    </xdr:from>
    <xdr:to>
      <xdr:col>13</xdr:col>
      <xdr:colOff>89647</xdr:colOff>
      <xdr:row>52</xdr:row>
      <xdr:rowOff>104775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D5C59DA-7FAD-48BE-BC24-2CEB498C29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36</xdr:row>
      <xdr:rowOff>0</xdr:rowOff>
    </xdr:from>
    <xdr:to>
      <xdr:col>20</xdr:col>
      <xdr:colOff>918883</xdr:colOff>
      <xdr:row>52</xdr:row>
      <xdr:rowOff>168088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95A48C8-ED76-4783-A32D-21EE1759C1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</xdr:colOff>
      <xdr:row>0</xdr:row>
      <xdr:rowOff>1</xdr:rowOff>
    </xdr:from>
    <xdr:ext cx="1958340" cy="533400"/>
    <xdr:pic>
      <xdr:nvPicPr>
        <xdr:cNvPr id="2" name="image1.png">
          <a:extLst>
            <a:ext uri="{FF2B5EF4-FFF2-40B4-BE49-F238E27FC236}">
              <a16:creationId xmlns:a16="http://schemas.microsoft.com/office/drawing/2014/main" id="{3E5F241D-AE7D-4D25-B4E7-6BED0DA36EC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" y="1"/>
          <a:ext cx="1958340" cy="53340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76199</xdr:colOff>
      <xdr:row>0</xdr:row>
      <xdr:rowOff>0</xdr:rowOff>
    </xdr:from>
    <xdr:to>
      <xdr:col>11</xdr:col>
      <xdr:colOff>705937</xdr:colOff>
      <xdr:row>5</xdr:row>
      <xdr:rowOff>168061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82024" y="0"/>
          <a:ext cx="1406979" cy="93726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47280</xdr:colOff>
      <xdr:row>0</xdr:row>
      <xdr:rowOff>0</xdr:rowOff>
    </xdr:from>
    <xdr:to>
      <xdr:col>18</xdr:col>
      <xdr:colOff>141515</xdr:colOff>
      <xdr:row>8</xdr:row>
      <xdr:rowOff>125185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09394" y="0"/>
          <a:ext cx="1661778" cy="107224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76200</xdr:colOff>
      <xdr:row>1</xdr:row>
      <xdr:rowOff>51435</xdr:rowOff>
    </xdr:from>
    <xdr:to>
      <xdr:col>9</xdr:col>
      <xdr:colOff>707573</xdr:colOff>
      <xdr:row>8</xdr:row>
      <xdr:rowOff>151039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2314" y="650149"/>
          <a:ext cx="1284516" cy="90650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57151</xdr:colOff>
      <xdr:row>0</xdr:row>
      <xdr:rowOff>57150</xdr:rowOff>
    </xdr:from>
    <xdr:to>
      <xdr:col>3</xdr:col>
      <xdr:colOff>638175</xdr:colOff>
      <xdr:row>4</xdr:row>
      <xdr:rowOff>83781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1" y="57150"/>
          <a:ext cx="581024" cy="67433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66676</xdr:colOff>
      <xdr:row>2</xdr:row>
      <xdr:rowOff>47625</xdr:rowOff>
    </xdr:from>
    <xdr:to>
      <xdr:col>5</xdr:col>
      <xdr:colOff>609600</xdr:colOff>
      <xdr:row>4</xdr:row>
      <xdr:rowOff>323850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3176" y="533400"/>
          <a:ext cx="1314449" cy="8477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91440</xdr:colOff>
      <xdr:row>1</xdr:row>
      <xdr:rowOff>53340</xdr:rowOff>
    </xdr:from>
    <xdr:to>
      <xdr:col>8</xdr:col>
      <xdr:colOff>723900</xdr:colOff>
      <xdr:row>3</xdr:row>
      <xdr:rowOff>396240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79920" y="434340"/>
          <a:ext cx="1318260" cy="8763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i%20unidad\05%20EJECUCI&#211;N%20DE%20OBRAS\01%20FORMATOS%20DE%20OBRA\01%20Formato%20para%20Presupuesto%20de%20Edificacion\Presupuesto%20de%20Obra%20-%20Model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.shortcut-targets-by-id\1lqemB6yFhMVZXymja2s6_rUp44rUkm-1\02.%20PRODUCCI&#211;N%20DE%20OBRA\Tabiques%20y%20Obra%20humeda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4%20EJECUCI&#211;N%20DE%20OBRAS\Obra%20-%20COAR%20PIURA\PRESUPUESTO%20ICA%20-%20A%20TODO%20COSTO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2015\Downloads\ppc.xlsx" TargetMode="External"/><Relationship Id="rId1" Type="http://schemas.openxmlformats.org/officeDocument/2006/relationships/externalLinkPath" Target="pp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UPUESTO"/>
      <sheetName val="O. HUMEDAS"/>
      <sheetName val="O. GRUESA"/>
      <sheetName val="O. PRELIMINARES"/>
      <sheetName val="ACERO"/>
      <sheetName val="RATIO"/>
      <sheetName val="APUs Casco"/>
      <sheetName val="APU Especilidades"/>
      <sheetName val="INSUMOS"/>
      <sheetName val="GG"/>
    </sheetNames>
    <sheetDataSet>
      <sheetData sheetId="0"/>
      <sheetData sheetId="1"/>
      <sheetData sheetId="2"/>
      <sheetData sheetId="3"/>
      <sheetData sheetId="4"/>
      <sheetData sheetId="5"/>
      <sheetData sheetId="6">
        <row r="110">
          <cell r="A110" t="str">
            <v>RELLENO COMPACTADO CON MATERIAL PROPIO</v>
          </cell>
        </row>
        <row r="144">
          <cell r="A144" t="str">
            <v>ELIMINACION DE MATERIAL CON MAQUINARIA</v>
          </cell>
        </row>
        <row r="153">
          <cell r="A153" t="str">
            <v>NIVELACION DE TERRENO Y APISONADO C/20 CM.</v>
          </cell>
        </row>
      </sheetData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UPUESTO"/>
      <sheetName val="O. HUMEDAD"/>
      <sheetName val="APUs"/>
      <sheetName val="RATIO"/>
      <sheetName val="II.EE"/>
      <sheetName val="II.SS"/>
      <sheetName val="INSUMOS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B7" t="str">
            <v>CAPATAZ</v>
          </cell>
          <cell r="C7" t="str">
            <v>hh</v>
          </cell>
          <cell r="D7">
            <v>31.25</v>
          </cell>
        </row>
        <row r="8">
          <cell r="B8" t="str">
            <v>OPERARIO</v>
          </cell>
          <cell r="C8" t="str">
            <v>hh</v>
          </cell>
          <cell r="D8">
            <v>19.7916666666667</v>
          </cell>
        </row>
        <row r="9">
          <cell r="B9" t="str">
            <v>OFICIAL</v>
          </cell>
          <cell r="C9" t="str">
            <v>hh</v>
          </cell>
          <cell r="D9">
            <v>15.625</v>
          </cell>
        </row>
        <row r="10">
          <cell r="B10" t="str">
            <v>PEON</v>
          </cell>
          <cell r="C10" t="str">
            <v>hh</v>
          </cell>
          <cell r="D10">
            <v>11.4583333333333</v>
          </cell>
        </row>
        <row r="11">
          <cell r="B11" t="str">
            <v>MATERIALES</v>
          </cell>
          <cell r="C11" t="str">
            <v>UND</v>
          </cell>
          <cell r="D11" t="str">
            <v>PRECIO UNITARIO</v>
          </cell>
        </row>
        <row r="12">
          <cell r="B12" t="str">
            <v>ARENA GRUESA</v>
          </cell>
          <cell r="C12" t="str">
            <v>m3</v>
          </cell>
          <cell r="D12">
            <v>85</v>
          </cell>
        </row>
        <row r="13">
          <cell r="B13" t="str">
            <v>ARENA FINA</v>
          </cell>
          <cell r="C13" t="str">
            <v>m3</v>
          </cell>
          <cell r="D13">
            <v>85</v>
          </cell>
        </row>
        <row r="14">
          <cell r="B14" t="str">
            <v>PIEDRA CHANCADA</v>
          </cell>
          <cell r="C14" t="str">
            <v>m3</v>
          </cell>
          <cell r="D14">
            <v>85</v>
          </cell>
        </row>
        <row r="15">
          <cell r="B15" t="str">
            <v>PIEDRA GRANDE</v>
          </cell>
          <cell r="C15" t="str">
            <v>m3</v>
          </cell>
          <cell r="D15">
            <v>65</v>
          </cell>
        </row>
        <row r="16">
          <cell r="B16" t="str">
            <v>HORMIGON</v>
          </cell>
          <cell r="C16" t="str">
            <v>m3</v>
          </cell>
          <cell r="D16">
            <v>75</v>
          </cell>
        </row>
        <row r="17">
          <cell r="B17" t="str">
            <v>AFIRMADO</v>
          </cell>
          <cell r="C17" t="str">
            <v>m3</v>
          </cell>
          <cell r="D17">
            <v>60</v>
          </cell>
        </row>
        <row r="18">
          <cell r="B18" t="str">
            <v>CEMENTO PORTLAND TIPO MS (42.5 kg)</v>
          </cell>
          <cell r="C18" t="str">
            <v>bol</v>
          </cell>
          <cell r="D18">
            <v>28</v>
          </cell>
        </row>
        <row r="19">
          <cell r="B19" t="str">
            <v>CEMENTO PORTLAND TIPO I (42.5 kg)</v>
          </cell>
          <cell r="C19" t="str">
            <v>bol</v>
          </cell>
          <cell r="D19">
            <v>29</v>
          </cell>
        </row>
        <row r="20">
          <cell r="B20" t="str">
            <v>LADRILLO KK 18 HUECOS 9X13X24 cm</v>
          </cell>
          <cell r="C20" t="str">
            <v>und</v>
          </cell>
          <cell r="D20">
            <v>0.88</v>
          </cell>
        </row>
        <row r="21">
          <cell r="B21" t="str">
            <v>LADRILLO PANDERETA 9X13X24 cm</v>
          </cell>
          <cell r="C21" t="str">
            <v>und</v>
          </cell>
          <cell r="D21">
            <v>0.78</v>
          </cell>
        </row>
        <row r="22">
          <cell r="B22" t="str">
            <v>LADRILLO PARA TECHO 15x30x30 CM</v>
          </cell>
          <cell r="C22" t="str">
            <v>und</v>
          </cell>
          <cell r="D22">
            <v>3</v>
          </cell>
        </row>
        <row r="23">
          <cell r="B23" t="str">
            <v>ALAMBRE NEGRO Nº 8</v>
          </cell>
          <cell r="C23" t="str">
            <v>kg</v>
          </cell>
          <cell r="D23">
            <v>4.25</v>
          </cell>
        </row>
        <row r="24">
          <cell r="B24" t="str">
            <v>ALAMBRE NEGRO Nº 16</v>
          </cell>
          <cell r="C24" t="str">
            <v>kg</v>
          </cell>
          <cell r="D24">
            <v>4.25</v>
          </cell>
        </row>
        <row r="25">
          <cell r="B25" t="str">
            <v>CLAVOS CON CABEZA</v>
          </cell>
          <cell r="C25" t="str">
            <v>kg</v>
          </cell>
          <cell r="D25">
            <v>5</v>
          </cell>
        </row>
        <row r="26">
          <cell r="B26" t="str">
            <v>MADERA TORNILLO</v>
          </cell>
          <cell r="C26" t="str">
            <v>p2</v>
          </cell>
          <cell r="D26">
            <v>5</v>
          </cell>
        </row>
        <row r="27">
          <cell r="B27" t="str">
            <v>ACERO CORRUGADO</v>
          </cell>
          <cell r="C27" t="str">
            <v>kg</v>
          </cell>
          <cell r="D27">
            <v>4</v>
          </cell>
        </row>
        <row r="28">
          <cell r="B28" t="str">
            <v>MEZCLADORA DE CONCRETO 11P3</v>
          </cell>
          <cell r="C28" t="str">
            <v>hm</v>
          </cell>
          <cell r="D28">
            <v>5</v>
          </cell>
        </row>
        <row r="29">
          <cell r="B29" t="str">
            <v>VIBRADOR A GASOLINA 13/4", 4HP</v>
          </cell>
          <cell r="C29" t="str">
            <v>hm</v>
          </cell>
          <cell r="D29">
            <v>20</v>
          </cell>
        </row>
        <row r="30">
          <cell r="B30" t="str">
            <v>ANDAMIO NORMALIZADO (inc armado)</v>
          </cell>
          <cell r="C30" t="str">
            <v>he</v>
          </cell>
          <cell r="D30">
            <v>4</v>
          </cell>
        </row>
        <row r="31">
          <cell r="B31" t="str">
            <v>PLANCHA COMPACTADORA VIBRAT. 4HP</v>
          </cell>
          <cell r="C31" t="str">
            <v>he</v>
          </cell>
          <cell r="D31">
            <v>15</v>
          </cell>
        </row>
        <row r="32">
          <cell r="B32" t="str">
            <v>CAMION VOLQUETE DE 20M3</v>
          </cell>
          <cell r="C32" t="str">
            <v>hm</v>
          </cell>
          <cell r="D32">
            <v>130</v>
          </cell>
        </row>
        <row r="33">
          <cell r="B33" t="str">
            <v>CONCRETO PREMEZCLADO f'c=140 kg/cm2</v>
          </cell>
          <cell r="C33" t="str">
            <v>m3</v>
          </cell>
          <cell r="D33">
            <v>230</v>
          </cell>
        </row>
        <row r="34">
          <cell r="B34" t="str">
            <v>CONCRETO PREMEZCLADO f'c=210 kg/cm2</v>
          </cell>
          <cell r="C34" t="str">
            <v>m3</v>
          </cell>
          <cell r="D34">
            <v>240</v>
          </cell>
        </row>
        <row r="35">
          <cell r="B35" t="str">
            <v>CONCRETO PREMEZCLADO f'c=280 kg/cm2</v>
          </cell>
          <cell r="C35" t="str">
            <v>m3</v>
          </cell>
          <cell r="D35">
            <v>290</v>
          </cell>
        </row>
        <row r="36">
          <cell r="B36" t="str">
            <v>BOMBA ESTACIONARIA</v>
          </cell>
          <cell r="C36" t="str">
            <v>m3</v>
          </cell>
          <cell r="D36">
            <v>40</v>
          </cell>
        </row>
        <row r="37">
          <cell r="B37" t="str">
            <v>RETROEXCAVADORA CON LLANTAS</v>
          </cell>
          <cell r="C37" t="str">
            <v>hm</v>
          </cell>
          <cell r="D37">
            <v>150</v>
          </cell>
        </row>
        <row r="38">
          <cell r="B38" t="str">
            <v>MADERA EUCALIPTO 4"x4" x 3m</v>
          </cell>
          <cell r="C38" t="str">
            <v>und</v>
          </cell>
          <cell r="D38">
            <v>25</v>
          </cell>
        </row>
        <row r="39">
          <cell r="B39" t="str">
            <v>TRIPLEY LUPUNA 6mmx 4" x 8"</v>
          </cell>
          <cell r="C39" t="str">
            <v>und</v>
          </cell>
          <cell r="D39">
            <v>35</v>
          </cell>
        </row>
        <row r="40">
          <cell r="B40" t="str">
            <v>ROLLO MALLA RASCHEL 95%, 4.20m x 100m</v>
          </cell>
          <cell r="C40" t="str">
            <v>rollo</v>
          </cell>
          <cell r="D40">
            <v>750</v>
          </cell>
        </row>
        <row r="41">
          <cell r="B41" t="str">
            <v>TRIPLAY FENÓLICO 18 mm 1.22 x 2.44m</v>
          </cell>
          <cell r="C41" t="str">
            <v>und</v>
          </cell>
          <cell r="D41">
            <v>114.9</v>
          </cell>
        </row>
        <row r="42">
          <cell r="B42" t="str">
            <v>ROTOMARTILLO</v>
          </cell>
          <cell r="C42" t="str">
            <v>he</v>
          </cell>
          <cell r="D42">
            <v>10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UPUESTO"/>
      <sheetName val="APUs"/>
      <sheetName val="LISTA DE MATERIALES"/>
      <sheetName val="GASTOS GENERALES"/>
    </sheetNames>
    <sheetDataSet>
      <sheetData sheetId="0"/>
      <sheetData sheetId="1"/>
      <sheetData sheetId="2">
        <row r="4">
          <cell r="D4">
            <v>23.08</v>
          </cell>
        </row>
        <row r="5">
          <cell r="D5">
            <v>20.07</v>
          </cell>
        </row>
        <row r="7">
          <cell r="D7">
            <v>14.98</v>
          </cell>
        </row>
        <row r="10">
          <cell r="D10">
            <v>65</v>
          </cell>
        </row>
        <row r="12">
          <cell r="D12">
            <v>20.5</v>
          </cell>
        </row>
        <row r="14">
          <cell r="D14">
            <v>5</v>
          </cell>
        </row>
        <row r="16">
          <cell r="D16">
            <v>3.5</v>
          </cell>
        </row>
        <row r="17">
          <cell r="D17">
            <v>4.8</v>
          </cell>
        </row>
      </sheetData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P"/>
      <sheetName val="PPC"/>
      <sheetName val="Hoja8"/>
      <sheetName val="H PPC"/>
      <sheetName val="CURVA S"/>
      <sheetName val="TRAZABILIDAD"/>
      <sheetName val="Hoja7"/>
    </sheetNames>
    <sheetDataSet>
      <sheetData sheetId="0"/>
      <sheetData sheetId="1"/>
      <sheetData sheetId="2"/>
      <sheetData sheetId="3">
        <row r="13">
          <cell r="C13">
            <v>1</v>
          </cell>
          <cell r="F13">
            <v>0.9</v>
          </cell>
        </row>
        <row r="14">
          <cell r="C14">
            <v>2</v>
          </cell>
          <cell r="F14">
            <v>1.05</v>
          </cell>
        </row>
        <row r="15">
          <cell r="C15">
            <v>3</v>
          </cell>
          <cell r="F15">
            <v>1</v>
          </cell>
        </row>
        <row r="16">
          <cell r="C16">
            <v>4</v>
          </cell>
          <cell r="F16">
            <v>0.95</v>
          </cell>
        </row>
        <row r="17">
          <cell r="C17">
            <v>5</v>
          </cell>
          <cell r="F17">
            <v>0.85</v>
          </cell>
        </row>
        <row r="18">
          <cell r="C18">
            <v>6</v>
          </cell>
          <cell r="F18">
            <v>0.8</v>
          </cell>
        </row>
        <row r="19">
          <cell r="C19">
            <v>7</v>
          </cell>
          <cell r="F19">
            <v>0.9</v>
          </cell>
        </row>
        <row r="20">
          <cell r="C20">
            <v>8</v>
          </cell>
          <cell r="F20">
            <v>0.75</v>
          </cell>
        </row>
        <row r="21">
          <cell r="C21">
            <v>9</v>
          </cell>
          <cell r="F21">
            <v>0.85</v>
          </cell>
        </row>
        <row r="22">
          <cell r="C22">
            <v>10</v>
          </cell>
          <cell r="F22">
            <v>0.9</v>
          </cell>
        </row>
        <row r="23">
          <cell r="C23">
            <v>11</v>
          </cell>
          <cell r="F23">
            <v>0.85</v>
          </cell>
        </row>
        <row r="24">
          <cell r="C24">
            <v>12</v>
          </cell>
          <cell r="F24">
            <v>0.8</v>
          </cell>
        </row>
        <row r="25">
          <cell r="C25">
            <v>13</v>
          </cell>
          <cell r="F25">
            <v>0.9</v>
          </cell>
        </row>
        <row r="26">
          <cell r="C26">
            <v>14</v>
          </cell>
          <cell r="F26">
            <v>0.95</v>
          </cell>
        </row>
        <row r="27">
          <cell r="C27">
            <v>15</v>
          </cell>
          <cell r="F27">
            <v>1</v>
          </cell>
        </row>
        <row r="28">
          <cell r="C28">
            <v>16</v>
          </cell>
          <cell r="F28">
            <v>0.9</v>
          </cell>
        </row>
        <row r="29">
          <cell r="C29">
            <v>17</v>
          </cell>
          <cell r="F29">
            <v>0.85</v>
          </cell>
        </row>
      </sheetData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AA267-EA65-44A8-915B-D839B40C818C}">
  <dimension ref="A1:Q25"/>
  <sheetViews>
    <sheetView zoomScale="85" zoomScaleNormal="85" workbookViewId="0">
      <selection activeCell="E25" sqref="E25"/>
    </sheetView>
  </sheetViews>
  <sheetFormatPr baseColWidth="10" defaultRowHeight="13.2" x14ac:dyDescent="0.25"/>
  <cols>
    <col min="1" max="1" width="35.77734375" customWidth="1"/>
    <col min="2" max="17" width="8.77734375" style="151" customWidth="1"/>
  </cols>
  <sheetData>
    <row r="1" spans="1:17" ht="27.6" customHeight="1" x14ac:dyDescent="0.25">
      <c r="A1" s="745" t="s">
        <v>1084</v>
      </c>
      <c r="B1" s="745"/>
      <c r="C1" s="745"/>
      <c r="D1" s="745"/>
      <c r="E1" s="745"/>
      <c r="F1" s="745"/>
      <c r="G1" s="745"/>
      <c r="H1" s="745"/>
      <c r="I1" s="745"/>
      <c r="J1" s="745"/>
      <c r="K1" s="745"/>
      <c r="L1" s="745"/>
      <c r="M1" s="745"/>
      <c r="N1" s="745"/>
      <c r="O1" s="745"/>
      <c r="P1" s="745"/>
      <c r="Q1" s="745"/>
    </row>
    <row r="2" spans="1:17" ht="27.6" x14ac:dyDescent="0.25">
      <c r="A2" s="644" t="s">
        <v>785</v>
      </c>
      <c r="B2" s="647" t="s">
        <v>797</v>
      </c>
      <c r="C2" s="647" t="s">
        <v>798</v>
      </c>
      <c r="D2" s="647" t="s">
        <v>799</v>
      </c>
      <c r="E2" s="647" t="s">
        <v>800</v>
      </c>
      <c r="F2" s="647" t="s">
        <v>801</v>
      </c>
      <c r="G2" s="647" t="s">
        <v>802</v>
      </c>
      <c r="H2" s="647" t="s">
        <v>803</v>
      </c>
      <c r="I2" s="647" t="s">
        <v>804</v>
      </c>
      <c r="J2" s="647" t="s">
        <v>805</v>
      </c>
      <c r="K2" s="647" t="s">
        <v>806</v>
      </c>
      <c r="L2" s="647" t="s">
        <v>807</v>
      </c>
      <c r="M2" s="647" t="s">
        <v>808</v>
      </c>
      <c r="N2" s="647" t="s">
        <v>809</v>
      </c>
      <c r="O2" s="647" t="s">
        <v>810</v>
      </c>
      <c r="P2" s="647" t="s">
        <v>811</v>
      </c>
      <c r="Q2" s="647" t="s">
        <v>812</v>
      </c>
    </row>
    <row r="3" spans="1:17" ht="13.8" x14ac:dyDescent="0.25">
      <c r="A3" s="645" t="s">
        <v>5</v>
      </c>
      <c r="B3" s="650"/>
      <c r="C3" s="648"/>
      <c r="D3" s="648"/>
      <c r="E3" s="648"/>
      <c r="F3" s="648"/>
      <c r="G3" s="648"/>
      <c r="H3" s="648"/>
      <c r="I3" s="648"/>
      <c r="J3" s="648"/>
      <c r="K3" s="648"/>
      <c r="L3" s="648"/>
      <c r="M3" s="648"/>
      <c r="N3" s="648"/>
      <c r="O3" s="648"/>
      <c r="P3" s="648"/>
      <c r="Q3" s="648"/>
    </row>
    <row r="4" spans="1:17" ht="13.8" x14ac:dyDescent="0.25">
      <c r="A4" s="645" t="s">
        <v>794</v>
      </c>
      <c r="B4" s="650"/>
      <c r="C4" s="650"/>
      <c r="D4" s="650"/>
      <c r="E4" s="648"/>
      <c r="F4" s="648"/>
      <c r="G4" s="648"/>
      <c r="H4" s="648"/>
      <c r="I4" s="648"/>
      <c r="J4" s="648"/>
      <c r="K4" s="648"/>
      <c r="L4" s="648"/>
      <c r="M4" s="648"/>
      <c r="N4" s="648"/>
      <c r="O4" s="648"/>
      <c r="P4" s="648"/>
      <c r="Q4" s="648"/>
    </row>
    <row r="5" spans="1:17" ht="13.8" x14ac:dyDescent="0.25">
      <c r="A5" s="645" t="s">
        <v>35</v>
      </c>
      <c r="B5" s="648"/>
      <c r="C5" s="648"/>
      <c r="D5" s="650"/>
      <c r="E5" s="648"/>
      <c r="F5" s="648"/>
      <c r="G5" s="648"/>
      <c r="H5" s="648"/>
      <c r="I5" s="648"/>
      <c r="J5" s="648"/>
      <c r="K5" s="648"/>
      <c r="L5" s="648"/>
      <c r="M5" s="648"/>
      <c r="N5" s="648"/>
      <c r="O5" s="648"/>
      <c r="P5" s="648"/>
      <c r="Q5" s="648"/>
    </row>
    <row r="6" spans="1:17" ht="13.8" x14ac:dyDescent="0.25">
      <c r="A6" s="645" t="s">
        <v>471</v>
      </c>
      <c r="B6" s="650"/>
      <c r="C6" s="648"/>
      <c r="D6" s="648"/>
      <c r="E6" s="648"/>
      <c r="F6" s="650"/>
      <c r="G6" s="648"/>
      <c r="H6" s="648"/>
      <c r="I6" s="648"/>
      <c r="J6" s="650"/>
      <c r="K6" s="648"/>
      <c r="L6" s="648"/>
      <c r="M6" s="648"/>
      <c r="N6" s="650"/>
      <c r="O6" s="648"/>
      <c r="P6" s="648"/>
      <c r="Q6" s="648"/>
    </row>
    <row r="7" spans="1:17" ht="13.8" x14ac:dyDescent="0.25">
      <c r="A7" s="646" t="s">
        <v>786</v>
      </c>
      <c r="B7" s="649"/>
      <c r="C7" s="649"/>
      <c r="D7" s="649"/>
      <c r="E7" s="649"/>
      <c r="F7" s="649"/>
      <c r="G7" s="649"/>
      <c r="H7" s="649"/>
      <c r="I7" s="649"/>
      <c r="J7" s="649"/>
      <c r="K7" s="649"/>
      <c r="L7" s="649"/>
      <c r="M7" s="649"/>
      <c r="N7" s="649"/>
      <c r="O7" s="649"/>
      <c r="P7" s="649"/>
      <c r="Q7" s="649"/>
    </row>
    <row r="8" spans="1:17" ht="13.8" x14ac:dyDescent="0.25">
      <c r="A8" s="645" t="s">
        <v>40</v>
      </c>
      <c r="B8" s="648"/>
      <c r="C8" s="648"/>
      <c r="D8" s="648"/>
      <c r="E8" s="648"/>
      <c r="F8" s="648"/>
      <c r="G8" s="648"/>
      <c r="H8" s="648"/>
      <c r="I8" s="648"/>
      <c r="J8" s="650"/>
      <c r="K8" s="648"/>
      <c r="L8" s="648"/>
      <c r="M8" s="648"/>
      <c r="N8" s="648"/>
      <c r="O8" s="648"/>
      <c r="P8" s="648"/>
      <c r="Q8" s="648"/>
    </row>
    <row r="9" spans="1:17" ht="13.8" x14ac:dyDescent="0.25">
      <c r="A9" s="645" t="s">
        <v>163</v>
      </c>
      <c r="B9" s="648"/>
      <c r="C9" s="648"/>
      <c r="D9" s="648"/>
      <c r="E9" s="650"/>
      <c r="F9" s="650"/>
      <c r="G9" s="650"/>
      <c r="H9" s="648"/>
      <c r="I9" s="648"/>
      <c r="J9" s="648"/>
      <c r="K9" s="648"/>
      <c r="L9" s="648"/>
      <c r="M9" s="648"/>
      <c r="N9" s="648"/>
      <c r="O9" s="648"/>
      <c r="P9" s="648"/>
      <c r="Q9" s="648"/>
    </row>
    <row r="10" spans="1:17" ht="13.8" x14ac:dyDescent="0.25">
      <c r="A10" s="645" t="s">
        <v>787</v>
      </c>
      <c r="B10" s="648"/>
      <c r="C10" s="648"/>
      <c r="D10" s="648"/>
      <c r="E10" s="648"/>
      <c r="F10" s="648"/>
      <c r="G10" s="648"/>
      <c r="H10" s="648"/>
      <c r="I10" s="648"/>
      <c r="J10" s="648"/>
      <c r="K10" s="650"/>
      <c r="L10" s="650"/>
      <c r="M10" s="648"/>
      <c r="N10" s="648"/>
      <c r="O10" s="648"/>
      <c r="P10" s="648"/>
      <c r="Q10" s="648"/>
    </row>
    <row r="11" spans="1:17" ht="13.8" x14ac:dyDescent="0.25">
      <c r="A11" s="645" t="s">
        <v>788</v>
      </c>
      <c r="B11" s="648"/>
      <c r="C11" s="648"/>
      <c r="D11" s="648"/>
      <c r="E11" s="648"/>
      <c r="F11" s="648"/>
      <c r="G11" s="648"/>
      <c r="H11" s="648"/>
      <c r="I11" s="648"/>
      <c r="J11" s="648"/>
      <c r="K11" s="648"/>
      <c r="L11" s="648"/>
      <c r="M11" s="648"/>
      <c r="N11" s="650"/>
      <c r="O11" s="650"/>
      <c r="P11" s="648"/>
      <c r="Q11" s="648"/>
    </row>
    <row r="12" spans="1:17" ht="13.8" x14ac:dyDescent="0.25">
      <c r="A12" s="645" t="s">
        <v>789</v>
      </c>
      <c r="B12" s="648"/>
      <c r="C12" s="648"/>
      <c r="D12" s="648"/>
      <c r="E12" s="648"/>
      <c r="F12" s="648"/>
      <c r="G12" s="648"/>
      <c r="H12" s="648"/>
      <c r="I12" s="648"/>
      <c r="J12" s="648"/>
      <c r="K12" s="648"/>
      <c r="L12" s="648"/>
      <c r="M12" s="650"/>
      <c r="N12" s="648"/>
      <c r="O12" s="648"/>
      <c r="P12" s="648"/>
      <c r="Q12" s="648"/>
    </row>
    <row r="13" spans="1:17" ht="13.8" x14ac:dyDescent="0.25">
      <c r="A13" s="645" t="s">
        <v>790</v>
      </c>
      <c r="B13" s="648"/>
      <c r="C13" s="648"/>
      <c r="D13" s="648"/>
      <c r="E13" s="648"/>
      <c r="F13" s="648"/>
      <c r="G13" s="648"/>
      <c r="H13" s="648"/>
      <c r="I13" s="648"/>
      <c r="J13" s="648"/>
      <c r="K13" s="648"/>
      <c r="L13" s="648"/>
      <c r="M13" s="650"/>
      <c r="N13" s="648"/>
      <c r="O13" s="648"/>
      <c r="P13" s="648"/>
      <c r="Q13" s="648"/>
    </row>
    <row r="14" spans="1:17" ht="13.8" x14ac:dyDescent="0.25">
      <c r="A14" s="646" t="s">
        <v>791</v>
      </c>
      <c r="B14" s="649"/>
      <c r="C14" s="649"/>
      <c r="D14" s="649"/>
      <c r="E14" s="649"/>
      <c r="F14" s="649"/>
      <c r="G14" s="649"/>
      <c r="H14" s="649"/>
      <c r="I14" s="649"/>
      <c r="J14" s="649"/>
      <c r="K14" s="649"/>
      <c r="L14" s="649"/>
      <c r="M14" s="649"/>
      <c r="N14" s="649"/>
      <c r="O14" s="649"/>
      <c r="P14" s="649"/>
      <c r="Q14" s="649"/>
    </row>
    <row r="15" spans="1:17" ht="13.8" x14ac:dyDescent="0.25">
      <c r="A15" s="645" t="s">
        <v>163</v>
      </c>
      <c r="B15" s="648"/>
      <c r="C15" s="648"/>
      <c r="D15" s="648"/>
      <c r="E15" s="648"/>
      <c r="F15" s="648"/>
      <c r="G15" s="648"/>
      <c r="H15" s="650"/>
      <c r="I15" s="650"/>
      <c r="J15" s="648"/>
      <c r="K15" s="648"/>
      <c r="L15" s="648"/>
      <c r="M15" s="648"/>
      <c r="N15" s="648"/>
      <c r="O15" s="648"/>
      <c r="P15" s="648"/>
      <c r="Q15" s="648"/>
    </row>
    <row r="16" spans="1:17" ht="13.8" x14ac:dyDescent="0.25">
      <c r="A16" s="645" t="s">
        <v>787</v>
      </c>
      <c r="B16" s="648"/>
      <c r="C16" s="648"/>
      <c r="D16" s="648"/>
      <c r="E16" s="648"/>
      <c r="F16" s="648"/>
      <c r="G16" s="648"/>
      <c r="H16" s="648"/>
      <c r="I16" s="648"/>
      <c r="J16" s="648"/>
      <c r="K16" s="648"/>
      <c r="L16" s="650"/>
      <c r="M16" s="650"/>
      <c r="N16" s="648"/>
      <c r="O16" s="648"/>
      <c r="P16" s="648"/>
      <c r="Q16" s="648"/>
    </row>
    <row r="17" spans="1:17" ht="13.8" x14ac:dyDescent="0.25">
      <c r="A17" s="645" t="s">
        <v>788</v>
      </c>
      <c r="B17" s="648"/>
      <c r="C17" s="648"/>
      <c r="D17" s="648"/>
      <c r="E17" s="648"/>
      <c r="F17" s="648"/>
      <c r="G17" s="648"/>
      <c r="H17" s="648"/>
      <c r="I17" s="648"/>
      <c r="J17" s="648"/>
      <c r="K17" s="648"/>
      <c r="L17" s="648"/>
      <c r="M17" s="648"/>
      <c r="N17" s="648"/>
      <c r="O17" s="650"/>
      <c r="P17" s="650"/>
      <c r="Q17" s="648"/>
    </row>
    <row r="18" spans="1:17" ht="13.8" x14ac:dyDescent="0.25">
      <c r="A18" s="645" t="s">
        <v>789</v>
      </c>
      <c r="B18" s="648"/>
      <c r="C18" s="648"/>
      <c r="D18" s="648"/>
      <c r="E18" s="648"/>
      <c r="F18" s="648"/>
      <c r="G18" s="648"/>
      <c r="H18" s="648"/>
      <c r="I18" s="648"/>
      <c r="J18" s="648"/>
      <c r="K18" s="648"/>
      <c r="L18" s="648"/>
      <c r="M18" s="648"/>
      <c r="N18" s="650"/>
      <c r="O18" s="648"/>
      <c r="P18" s="648"/>
      <c r="Q18" s="648"/>
    </row>
    <row r="19" spans="1:17" ht="13.8" x14ac:dyDescent="0.25">
      <c r="A19" s="645" t="s">
        <v>790</v>
      </c>
      <c r="B19" s="648"/>
      <c r="C19" s="648"/>
      <c r="D19" s="648"/>
      <c r="E19" s="648"/>
      <c r="F19" s="648"/>
      <c r="G19" s="648"/>
      <c r="H19" s="648"/>
      <c r="I19" s="648"/>
      <c r="J19" s="648"/>
      <c r="K19" s="648"/>
      <c r="L19" s="648"/>
      <c r="M19" s="648"/>
      <c r="N19" s="650"/>
      <c r="O19" s="648"/>
      <c r="P19" s="648"/>
      <c r="Q19" s="648"/>
    </row>
    <row r="20" spans="1:17" ht="13.8" x14ac:dyDescent="0.25">
      <c r="A20" s="646" t="s">
        <v>319</v>
      </c>
      <c r="B20" s="649"/>
      <c r="C20" s="649"/>
      <c r="D20" s="649"/>
      <c r="E20" s="649"/>
      <c r="F20" s="649"/>
      <c r="G20" s="649"/>
      <c r="H20" s="649"/>
      <c r="I20" s="649"/>
      <c r="J20" s="649"/>
      <c r="K20" s="649"/>
      <c r="L20" s="649"/>
      <c r="M20" s="649"/>
      <c r="N20" s="649"/>
      <c r="O20" s="649"/>
      <c r="P20" s="649"/>
      <c r="Q20" s="649"/>
    </row>
    <row r="21" spans="1:17" ht="13.8" x14ac:dyDescent="0.25">
      <c r="A21" s="645" t="s">
        <v>163</v>
      </c>
      <c r="B21" s="648"/>
      <c r="C21" s="648"/>
      <c r="D21" s="648"/>
      <c r="E21" s="648"/>
      <c r="F21" s="648"/>
      <c r="G21" s="648"/>
      <c r="H21" s="648"/>
      <c r="I21" s="648"/>
      <c r="J21" s="650"/>
      <c r="K21" s="650"/>
      <c r="L21" s="648"/>
      <c r="M21" s="648"/>
      <c r="N21" s="648"/>
      <c r="O21" s="648"/>
      <c r="P21" s="648"/>
      <c r="Q21" s="648"/>
    </row>
    <row r="22" spans="1:17" ht="13.8" x14ac:dyDescent="0.25">
      <c r="A22" s="645" t="s">
        <v>787</v>
      </c>
      <c r="B22" s="648"/>
      <c r="C22" s="648"/>
      <c r="D22" s="648"/>
      <c r="E22" s="648"/>
      <c r="F22" s="648"/>
      <c r="G22" s="648"/>
      <c r="H22" s="648"/>
      <c r="I22" s="648"/>
      <c r="J22" s="648"/>
      <c r="K22" s="648"/>
      <c r="L22" s="648"/>
      <c r="M22" s="648"/>
      <c r="N22" s="650"/>
      <c r="O22" s="650"/>
      <c r="P22" s="648"/>
      <c r="Q22" s="648"/>
    </row>
    <row r="23" spans="1:17" ht="13.8" x14ac:dyDescent="0.25">
      <c r="A23" s="645" t="s">
        <v>788</v>
      </c>
      <c r="B23" s="648"/>
      <c r="C23" s="648"/>
      <c r="D23" s="648"/>
      <c r="E23" s="648"/>
      <c r="F23" s="648"/>
      <c r="G23" s="648"/>
      <c r="H23" s="648"/>
      <c r="I23" s="648"/>
      <c r="J23" s="648"/>
      <c r="K23" s="648"/>
      <c r="L23" s="648"/>
      <c r="M23" s="648"/>
      <c r="N23" s="648"/>
      <c r="O23" s="648"/>
      <c r="P23" s="650"/>
      <c r="Q23" s="650"/>
    </row>
    <row r="24" spans="1:17" ht="13.8" x14ac:dyDescent="0.25">
      <c r="A24" s="645" t="s">
        <v>789</v>
      </c>
      <c r="B24" s="648"/>
      <c r="C24" s="648"/>
      <c r="D24" s="648"/>
      <c r="E24" s="648"/>
      <c r="F24" s="648"/>
      <c r="G24" s="648"/>
      <c r="H24" s="648"/>
      <c r="I24" s="648"/>
      <c r="J24" s="648"/>
      <c r="K24" s="648"/>
      <c r="L24" s="648"/>
      <c r="M24" s="648"/>
      <c r="N24" s="648"/>
      <c r="O24" s="648"/>
      <c r="P24" s="650"/>
      <c r="Q24" s="648"/>
    </row>
    <row r="25" spans="1:17" ht="13.8" x14ac:dyDescent="0.25">
      <c r="A25" s="645" t="s">
        <v>790</v>
      </c>
      <c r="B25" s="648"/>
      <c r="C25" s="648"/>
      <c r="D25" s="648"/>
      <c r="E25" s="648"/>
      <c r="F25" s="648"/>
      <c r="G25" s="648"/>
      <c r="H25" s="648"/>
      <c r="I25" s="648"/>
      <c r="J25" s="648"/>
      <c r="K25" s="648"/>
      <c r="L25" s="648"/>
      <c r="M25" s="648"/>
      <c r="N25" s="648"/>
      <c r="O25" s="648"/>
      <c r="P25" s="650"/>
      <c r="Q25" s="648"/>
    </row>
  </sheetData>
  <mergeCells count="1">
    <mergeCell ref="A1:Q1"/>
  </mergeCells>
  <phoneticPr fontId="6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80C42-790E-400A-BAE5-4863F18B461A}">
  <dimension ref="A1:Y981"/>
  <sheetViews>
    <sheetView workbookViewId="0">
      <selection activeCell="D7" sqref="C7:D12"/>
    </sheetView>
  </sheetViews>
  <sheetFormatPr baseColWidth="10" defaultColWidth="14.44140625" defaultRowHeight="13.2" x14ac:dyDescent="0.25"/>
  <cols>
    <col min="1" max="1" width="15" customWidth="1"/>
    <col min="2" max="2" width="35.5546875" customWidth="1"/>
    <col min="3" max="3" width="8.6640625" customWidth="1"/>
    <col min="4" max="4" width="6.21875" customWidth="1"/>
    <col min="5" max="18" width="3.6640625" customWidth="1"/>
    <col min="19" max="25" width="3.6640625" style="740" customWidth="1"/>
  </cols>
  <sheetData>
    <row r="1" spans="1:25" ht="14.25" customHeight="1" x14ac:dyDescent="0.3">
      <c r="A1" s="749" t="s">
        <v>1079</v>
      </c>
      <c r="B1" s="750"/>
      <c r="C1" s="750"/>
      <c r="D1" s="680"/>
      <c r="E1" s="680"/>
      <c r="F1" s="680"/>
      <c r="G1" s="680"/>
      <c r="H1" s="680"/>
      <c r="I1" s="680"/>
      <c r="J1" s="680"/>
      <c r="L1" s="680"/>
      <c r="M1" s="680"/>
      <c r="N1" s="680"/>
      <c r="O1" s="680"/>
      <c r="P1" s="680"/>
      <c r="Q1" s="680"/>
      <c r="S1" s="680"/>
      <c r="T1" s="680"/>
      <c r="U1" s="680"/>
      <c r="V1" s="680"/>
      <c r="W1" s="680"/>
      <c r="X1" s="680"/>
      <c r="Y1" s="680"/>
    </row>
    <row r="2" spans="1:25" ht="14.25" customHeight="1" x14ac:dyDescent="0.3">
      <c r="B2" s="681"/>
      <c r="C2" s="681"/>
      <c r="D2" s="682"/>
      <c r="E2" s="682"/>
      <c r="F2" s="682"/>
      <c r="G2" s="682"/>
      <c r="H2" s="682"/>
      <c r="I2" s="682"/>
      <c r="J2" s="682"/>
      <c r="K2" s="682"/>
      <c r="L2" s="682"/>
      <c r="M2" s="682"/>
      <c r="N2" s="682"/>
      <c r="O2" s="682"/>
      <c r="P2" s="682"/>
      <c r="Q2" s="682"/>
      <c r="R2" s="682"/>
      <c r="S2" s="682"/>
      <c r="T2" s="682"/>
      <c r="U2" s="682"/>
      <c r="V2" s="682"/>
      <c r="W2" s="682"/>
      <c r="X2" s="682"/>
      <c r="Y2" s="682"/>
    </row>
    <row r="3" spans="1:25" ht="14.25" customHeight="1" x14ac:dyDescent="0.25">
      <c r="A3" s="751" t="s">
        <v>210</v>
      </c>
      <c r="B3" s="751" t="s">
        <v>437</v>
      </c>
      <c r="C3" s="751"/>
      <c r="D3" s="751"/>
      <c r="E3" s="746" t="s">
        <v>1002</v>
      </c>
      <c r="F3" s="747"/>
      <c r="G3" s="747"/>
      <c r="H3" s="747"/>
      <c r="I3" s="747"/>
      <c r="J3" s="747"/>
      <c r="K3" s="748"/>
      <c r="L3" s="746" t="s">
        <v>1086</v>
      </c>
      <c r="M3" s="747"/>
      <c r="N3" s="747"/>
      <c r="O3" s="747"/>
      <c r="P3" s="747"/>
      <c r="Q3" s="747"/>
      <c r="R3" s="748"/>
      <c r="S3" s="746" t="s">
        <v>1102</v>
      </c>
      <c r="T3" s="747"/>
      <c r="U3" s="747"/>
      <c r="V3" s="747"/>
      <c r="W3" s="747"/>
      <c r="X3" s="747"/>
      <c r="Y3" s="748"/>
    </row>
    <row r="4" spans="1:25" ht="14.25" customHeight="1" x14ac:dyDescent="0.25">
      <c r="A4" s="752"/>
      <c r="B4" s="752"/>
      <c r="C4" s="752"/>
      <c r="D4" s="752"/>
      <c r="E4" s="684" t="s">
        <v>997</v>
      </c>
      <c r="F4" s="684" t="s">
        <v>416</v>
      </c>
      <c r="G4" s="684" t="s">
        <v>998</v>
      </c>
      <c r="H4" s="684" t="s">
        <v>999</v>
      </c>
      <c r="I4" s="684" t="s">
        <v>1000</v>
      </c>
      <c r="J4" s="684" t="s">
        <v>1001</v>
      </c>
      <c r="K4" s="684" t="s">
        <v>996</v>
      </c>
      <c r="L4" s="684" t="s">
        <v>997</v>
      </c>
      <c r="M4" s="684" t="s">
        <v>416</v>
      </c>
      <c r="N4" s="684" t="s">
        <v>998</v>
      </c>
      <c r="O4" s="684" t="s">
        <v>999</v>
      </c>
      <c r="P4" s="684" t="s">
        <v>1000</v>
      </c>
      <c r="Q4" s="684" t="s">
        <v>1001</v>
      </c>
      <c r="R4" s="684" t="s">
        <v>996</v>
      </c>
      <c r="S4" s="741" t="s">
        <v>997</v>
      </c>
      <c r="T4" s="741" t="s">
        <v>416</v>
      </c>
      <c r="U4" s="741" t="s">
        <v>998</v>
      </c>
      <c r="V4" s="741" t="s">
        <v>999</v>
      </c>
      <c r="W4" s="741" t="s">
        <v>1000</v>
      </c>
      <c r="X4" s="741" t="s">
        <v>1001</v>
      </c>
      <c r="Y4" s="741" t="s">
        <v>996</v>
      </c>
    </row>
    <row r="5" spans="1:25" ht="22.8" customHeight="1" x14ac:dyDescent="0.25">
      <c r="A5" s="168" t="s">
        <v>330</v>
      </c>
      <c r="B5" s="221" t="s">
        <v>464</v>
      </c>
      <c r="C5" s="213"/>
      <c r="D5" s="395"/>
      <c r="E5" s="395"/>
      <c r="F5" s="395"/>
      <c r="G5" s="395"/>
      <c r="H5" s="395"/>
      <c r="I5" s="395"/>
      <c r="J5" s="395"/>
      <c r="K5" s="395"/>
      <c r="L5" s="395"/>
      <c r="M5" s="395"/>
      <c r="N5" s="395"/>
      <c r="O5" s="395"/>
      <c r="P5" s="395"/>
      <c r="Q5" s="395"/>
      <c r="R5" s="395"/>
      <c r="S5" s="395"/>
      <c r="T5" s="395"/>
      <c r="U5" s="395"/>
      <c r="V5" s="395"/>
      <c r="W5" s="395"/>
      <c r="X5" s="395"/>
      <c r="Y5" s="395"/>
    </row>
    <row r="6" spans="1:25" ht="14.25" customHeight="1" x14ac:dyDescent="0.25">
      <c r="A6" s="219" t="s">
        <v>331</v>
      </c>
      <c r="B6" s="223" t="s">
        <v>463</v>
      </c>
      <c r="C6" s="220"/>
      <c r="D6" s="382"/>
      <c r="E6" s="382"/>
      <c r="F6" s="382"/>
      <c r="G6" s="382"/>
      <c r="H6" s="382"/>
      <c r="I6" s="382"/>
      <c r="J6" s="382"/>
      <c r="K6" s="382"/>
      <c r="L6" s="382"/>
      <c r="M6" s="382"/>
      <c r="N6" s="382"/>
      <c r="O6" s="382"/>
      <c r="P6" s="382"/>
      <c r="Q6" s="382"/>
      <c r="R6" s="382"/>
      <c r="S6" s="382"/>
      <c r="T6" s="382"/>
      <c r="U6" s="382"/>
      <c r="V6" s="382"/>
      <c r="W6" s="382"/>
      <c r="X6" s="382"/>
      <c r="Y6" s="382"/>
    </row>
    <row r="7" spans="1:25" ht="14.25" customHeight="1" x14ac:dyDescent="0.3">
      <c r="A7" s="169" t="s">
        <v>332</v>
      </c>
      <c r="B7" s="222" t="s">
        <v>77</v>
      </c>
      <c r="C7" s="169" t="s">
        <v>300</v>
      </c>
      <c r="D7" s="376">
        <v>1</v>
      </c>
      <c r="E7" s="360"/>
      <c r="F7" s="360"/>
      <c r="G7" s="360"/>
      <c r="H7" s="360" t="s">
        <v>998</v>
      </c>
      <c r="I7" s="360" t="s">
        <v>998</v>
      </c>
      <c r="J7" s="360"/>
      <c r="K7" s="683"/>
      <c r="L7" s="360"/>
      <c r="M7" s="360"/>
      <c r="N7" s="360"/>
      <c r="O7" s="360"/>
      <c r="P7" s="360"/>
      <c r="Q7" s="360"/>
      <c r="R7" s="683"/>
      <c r="S7" s="360"/>
      <c r="T7" s="360"/>
      <c r="U7" s="360"/>
      <c r="V7" s="360"/>
      <c r="W7" s="360"/>
      <c r="X7" s="360"/>
      <c r="Y7" s="683"/>
    </row>
    <row r="8" spans="1:25" ht="14.25" customHeight="1" x14ac:dyDescent="0.3">
      <c r="A8" s="169" t="s">
        <v>336</v>
      </c>
      <c r="B8" s="275" t="s">
        <v>462</v>
      </c>
      <c r="C8" s="169" t="s">
        <v>236</v>
      </c>
      <c r="D8" s="376">
        <v>180</v>
      </c>
      <c r="E8" s="360"/>
      <c r="F8" s="360"/>
      <c r="G8" s="360"/>
      <c r="H8" s="360" t="s">
        <v>998</v>
      </c>
      <c r="I8" s="360" t="s">
        <v>998</v>
      </c>
      <c r="J8" s="360"/>
      <c r="K8" s="683"/>
      <c r="L8" s="360"/>
      <c r="M8" s="360"/>
      <c r="N8" s="360"/>
      <c r="O8" s="360"/>
      <c r="P8" s="360"/>
      <c r="Q8" s="360"/>
      <c r="R8" s="683"/>
      <c r="S8" s="360"/>
      <c r="T8" s="360"/>
      <c r="U8" s="360"/>
      <c r="V8" s="360"/>
      <c r="W8" s="360"/>
      <c r="X8" s="360"/>
      <c r="Y8" s="683"/>
    </row>
    <row r="9" spans="1:25" ht="14.25" customHeight="1" x14ac:dyDescent="0.25">
      <c r="A9" s="219" t="s">
        <v>337</v>
      </c>
      <c r="B9" s="223" t="s">
        <v>1095</v>
      </c>
      <c r="C9" s="220"/>
      <c r="D9" s="382"/>
      <c r="E9" s="382"/>
      <c r="F9" s="382"/>
      <c r="G9" s="382"/>
      <c r="H9" s="382"/>
      <c r="I9" s="382"/>
      <c r="J9" s="382"/>
      <c r="K9" s="382"/>
      <c r="L9" s="382"/>
      <c r="M9" s="382"/>
      <c r="N9" s="382"/>
      <c r="O9" s="382"/>
      <c r="P9" s="382"/>
      <c r="Q9" s="382"/>
      <c r="R9" s="382"/>
      <c r="S9" s="382"/>
      <c r="T9" s="382"/>
      <c r="U9" s="382"/>
      <c r="V9" s="382"/>
      <c r="W9" s="382"/>
      <c r="X9" s="382"/>
      <c r="Y9" s="382"/>
    </row>
    <row r="10" spans="1:25" ht="14.25" customHeight="1" x14ac:dyDescent="0.3">
      <c r="A10" s="169" t="s">
        <v>341</v>
      </c>
      <c r="B10" s="275" t="s">
        <v>466</v>
      </c>
      <c r="C10" s="169" t="s">
        <v>300</v>
      </c>
      <c r="D10" s="367">
        <v>1</v>
      </c>
      <c r="E10" s="360" t="s">
        <v>998</v>
      </c>
      <c r="F10" s="360" t="s">
        <v>998</v>
      </c>
      <c r="G10" s="360" t="s">
        <v>998</v>
      </c>
      <c r="H10" s="360"/>
      <c r="I10" s="360"/>
      <c r="J10" s="360"/>
      <c r="K10" s="683"/>
      <c r="L10" s="360"/>
      <c r="M10" s="360"/>
      <c r="N10" s="360"/>
      <c r="O10" s="360"/>
      <c r="P10" s="360"/>
      <c r="Q10" s="360"/>
      <c r="R10" s="683"/>
      <c r="S10" s="360"/>
      <c r="T10" s="360"/>
      <c r="U10" s="360"/>
      <c r="V10" s="360"/>
      <c r="W10" s="360"/>
      <c r="X10" s="360"/>
      <c r="Y10" s="683"/>
    </row>
    <row r="11" spans="1:25" ht="14.25" customHeight="1" x14ac:dyDescent="0.3">
      <c r="A11" s="169" t="s">
        <v>342</v>
      </c>
      <c r="B11" s="275" t="s">
        <v>781</v>
      </c>
      <c r="C11" s="169" t="s">
        <v>23</v>
      </c>
      <c r="D11" s="367">
        <v>1</v>
      </c>
      <c r="E11" s="360"/>
      <c r="F11" s="360"/>
      <c r="G11" s="360"/>
      <c r="H11" s="360" t="s">
        <v>998</v>
      </c>
      <c r="I11" s="360" t="s">
        <v>998</v>
      </c>
      <c r="J11" s="360"/>
      <c r="K11" s="683"/>
      <c r="L11" s="360"/>
      <c r="M11" s="360"/>
      <c r="N11" s="360"/>
      <c r="O11" s="360"/>
      <c r="P11" s="360"/>
      <c r="Q11" s="360"/>
      <c r="R11" s="683"/>
      <c r="S11" s="360"/>
      <c r="T11" s="360"/>
      <c r="U11" s="360"/>
      <c r="V11" s="360"/>
      <c r="W11" s="360"/>
      <c r="X11" s="360"/>
      <c r="Y11" s="683"/>
    </row>
    <row r="12" spans="1:25" s="679" customFormat="1" ht="14.25" customHeight="1" x14ac:dyDescent="0.3">
      <c r="A12" s="169" t="s">
        <v>343</v>
      </c>
      <c r="B12" s="275" t="s">
        <v>1078</v>
      </c>
      <c r="C12" s="169" t="s">
        <v>300</v>
      </c>
      <c r="D12" s="367">
        <v>1</v>
      </c>
      <c r="E12" s="360"/>
      <c r="F12" s="360"/>
      <c r="G12" s="360"/>
      <c r="H12" s="360"/>
      <c r="I12" s="360"/>
      <c r="J12" s="360" t="s">
        <v>998</v>
      </c>
      <c r="K12" s="683"/>
      <c r="L12" s="360"/>
      <c r="M12" s="360"/>
      <c r="N12" s="360"/>
      <c r="O12" s="360"/>
      <c r="P12" s="360"/>
      <c r="Q12" s="360"/>
      <c r="R12" s="683"/>
      <c r="S12" s="360"/>
      <c r="T12" s="360"/>
      <c r="U12" s="360"/>
      <c r="V12" s="360"/>
      <c r="W12" s="360"/>
      <c r="X12" s="360"/>
      <c r="Y12" s="683"/>
    </row>
    <row r="13" spans="1:25" s="679" customFormat="1" ht="14.25" customHeight="1" x14ac:dyDescent="0.3">
      <c r="A13" s="169" t="s">
        <v>343</v>
      </c>
      <c r="B13" s="275" t="s">
        <v>1087</v>
      </c>
      <c r="C13" s="169" t="s">
        <v>300</v>
      </c>
      <c r="D13" s="367">
        <v>1</v>
      </c>
      <c r="E13" s="360"/>
      <c r="F13" s="360"/>
      <c r="G13" s="360"/>
      <c r="H13" s="360"/>
      <c r="I13" s="360"/>
      <c r="J13" s="360"/>
      <c r="K13" s="683"/>
      <c r="L13" s="360" t="s">
        <v>998</v>
      </c>
      <c r="M13" s="360" t="s">
        <v>998</v>
      </c>
      <c r="N13" s="360"/>
      <c r="O13" s="360"/>
      <c r="P13" s="360"/>
      <c r="Q13" s="360"/>
      <c r="R13" s="683"/>
      <c r="S13" s="360"/>
      <c r="T13" s="360"/>
      <c r="U13" s="360"/>
      <c r="V13" s="360"/>
      <c r="W13" s="360"/>
      <c r="X13" s="360"/>
      <c r="Y13" s="683"/>
    </row>
    <row r="14" spans="1:25" s="679" customFormat="1" ht="14.25" customHeight="1" x14ac:dyDescent="0.3">
      <c r="A14" s="169" t="s">
        <v>343</v>
      </c>
      <c r="B14" s="275" t="s">
        <v>1088</v>
      </c>
      <c r="C14" s="169" t="s">
        <v>300</v>
      </c>
      <c r="D14" s="367">
        <v>1</v>
      </c>
      <c r="E14" s="360"/>
      <c r="F14" s="360"/>
      <c r="G14" s="360"/>
      <c r="H14" s="360"/>
      <c r="I14" s="360"/>
      <c r="J14" s="360"/>
      <c r="K14" s="683"/>
      <c r="L14" s="360"/>
      <c r="M14" s="360"/>
      <c r="N14" s="360" t="s">
        <v>998</v>
      </c>
      <c r="O14" s="360" t="s">
        <v>998</v>
      </c>
      <c r="P14" s="360"/>
      <c r="Q14" s="360"/>
      <c r="R14" s="683"/>
      <c r="S14" s="360"/>
      <c r="T14" s="360"/>
      <c r="U14" s="360"/>
      <c r="V14" s="360"/>
      <c r="W14" s="360"/>
      <c r="X14" s="360"/>
      <c r="Y14" s="683"/>
    </row>
    <row r="15" spans="1:25" ht="14.25" customHeight="1" x14ac:dyDescent="0.3">
      <c r="A15" s="169" t="s">
        <v>343</v>
      </c>
      <c r="B15" s="275" t="s">
        <v>1089</v>
      </c>
      <c r="C15" s="169" t="s">
        <v>300</v>
      </c>
      <c r="D15" s="367">
        <v>1</v>
      </c>
      <c r="E15" s="360"/>
      <c r="F15" s="360"/>
      <c r="G15" s="360"/>
      <c r="H15" s="360"/>
      <c r="I15" s="360"/>
      <c r="J15" s="360"/>
      <c r="K15" s="683"/>
      <c r="L15" s="360"/>
      <c r="M15" s="360"/>
      <c r="N15" s="360"/>
      <c r="O15" s="360"/>
      <c r="P15" s="360" t="s">
        <v>998</v>
      </c>
      <c r="Q15" s="360" t="s">
        <v>998</v>
      </c>
      <c r="R15" s="683"/>
      <c r="S15" s="360"/>
      <c r="T15" s="360"/>
      <c r="U15" s="360"/>
      <c r="V15" s="360"/>
      <c r="W15" s="360"/>
      <c r="X15" s="360"/>
      <c r="Y15" s="683"/>
    </row>
    <row r="16" spans="1:25" s="740" customFormat="1" ht="14.25" customHeight="1" x14ac:dyDescent="0.3">
      <c r="A16" s="169"/>
      <c r="B16" s="275" t="s">
        <v>1093</v>
      </c>
      <c r="C16" s="169" t="s">
        <v>300</v>
      </c>
      <c r="D16" s="367">
        <v>1</v>
      </c>
      <c r="E16" s="360"/>
      <c r="F16" s="360"/>
      <c r="G16" s="360"/>
      <c r="H16" s="360"/>
      <c r="I16" s="360"/>
      <c r="J16" s="360"/>
      <c r="K16" s="683"/>
      <c r="L16" s="360"/>
      <c r="M16" s="360"/>
      <c r="N16" s="360"/>
      <c r="O16" s="360"/>
      <c r="P16" s="360"/>
      <c r="Q16" s="360"/>
      <c r="R16" s="683"/>
      <c r="S16" s="360" t="s">
        <v>998</v>
      </c>
      <c r="T16" s="360" t="s">
        <v>998</v>
      </c>
      <c r="U16" s="360" t="s">
        <v>998</v>
      </c>
      <c r="V16" s="360"/>
      <c r="W16" s="360"/>
      <c r="X16" s="360"/>
      <c r="Y16" s="683"/>
    </row>
    <row r="17" spans="1:25" ht="14.25" customHeight="1" x14ac:dyDescent="0.3">
      <c r="A17" s="169" t="s">
        <v>344</v>
      </c>
      <c r="B17" s="275" t="s">
        <v>468</v>
      </c>
      <c r="C17" s="169" t="s">
        <v>300</v>
      </c>
      <c r="D17" s="367">
        <v>1</v>
      </c>
      <c r="E17" s="360"/>
      <c r="F17" s="360"/>
      <c r="G17" s="360"/>
      <c r="H17" s="360"/>
      <c r="I17" s="360"/>
      <c r="J17" s="360"/>
      <c r="K17" s="683"/>
      <c r="L17" s="360"/>
      <c r="M17" s="360"/>
      <c r="N17" s="360"/>
      <c r="O17" s="360"/>
      <c r="P17" s="360"/>
      <c r="Q17" s="360" t="s">
        <v>998</v>
      </c>
      <c r="R17" s="683"/>
      <c r="S17" s="360"/>
      <c r="T17" s="360"/>
      <c r="U17" s="360"/>
      <c r="V17" s="360"/>
      <c r="W17" s="360"/>
      <c r="X17" s="360" t="s">
        <v>998</v>
      </c>
      <c r="Y17" s="683"/>
    </row>
    <row r="18" spans="1:25" ht="14.25" customHeight="1" x14ac:dyDescent="0.3">
      <c r="A18" s="169" t="s">
        <v>345</v>
      </c>
      <c r="B18" s="275" t="s">
        <v>79</v>
      </c>
      <c r="C18" s="169" t="s">
        <v>38</v>
      </c>
      <c r="D18" s="367">
        <v>206</v>
      </c>
      <c r="E18" s="360"/>
      <c r="F18" s="360"/>
      <c r="G18" s="360"/>
      <c r="H18" s="360"/>
      <c r="I18" s="360"/>
      <c r="J18" s="360"/>
      <c r="K18" s="683"/>
      <c r="L18" s="360"/>
      <c r="M18" s="360"/>
      <c r="N18" s="360"/>
      <c r="O18" s="360"/>
      <c r="P18" s="360"/>
      <c r="Q18" s="360"/>
      <c r="R18" s="683"/>
      <c r="S18" s="360" t="s">
        <v>998</v>
      </c>
      <c r="T18" s="360"/>
      <c r="U18" s="360"/>
      <c r="V18" s="360"/>
      <c r="W18" s="360"/>
      <c r="X18" s="360"/>
      <c r="Y18" s="683"/>
    </row>
    <row r="19" spans="1:25" s="740" customFormat="1" ht="14.25" customHeight="1" x14ac:dyDescent="0.3">
      <c r="A19" s="169"/>
      <c r="B19" s="275" t="s">
        <v>1098</v>
      </c>
      <c r="C19" s="169" t="s">
        <v>37</v>
      </c>
      <c r="D19" s="367"/>
      <c r="E19" s="360"/>
      <c r="F19" s="360"/>
      <c r="G19" s="360"/>
      <c r="H19" s="360"/>
      <c r="I19" s="360"/>
      <c r="J19" s="360"/>
      <c r="K19" s="744"/>
      <c r="L19" s="360"/>
      <c r="M19" s="360"/>
      <c r="N19" s="360"/>
      <c r="O19" s="360"/>
      <c r="P19" s="360"/>
      <c r="Q19" s="360"/>
      <c r="R19" s="744"/>
      <c r="S19" s="360"/>
      <c r="T19" s="360" t="s">
        <v>998</v>
      </c>
      <c r="U19" s="360"/>
      <c r="V19" s="360"/>
      <c r="W19" s="360"/>
      <c r="X19" s="360"/>
      <c r="Y19" s="744"/>
    </row>
    <row r="20" spans="1:25" s="740" customFormat="1" ht="14.25" customHeight="1" x14ac:dyDescent="0.3">
      <c r="A20" s="169"/>
      <c r="B20" s="275" t="s">
        <v>1096</v>
      </c>
      <c r="C20" s="169" t="s">
        <v>38</v>
      </c>
      <c r="D20" s="367"/>
      <c r="E20" s="360"/>
      <c r="F20" s="360"/>
      <c r="G20" s="360"/>
      <c r="H20" s="360"/>
      <c r="I20" s="360"/>
      <c r="J20" s="360"/>
      <c r="K20" s="744"/>
      <c r="L20" s="360"/>
      <c r="M20" s="360"/>
      <c r="N20" s="360"/>
      <c r="O20" s="360"/>
      <c r="P20" s="360"/>
      <c r="Q20" s="360"/>
      <c r="R20" s="744"/>
      <c r="S20" s="360"/>
      <c r="T20" s="360"/>
      <c r="U20" s="360" t="s">
        <v>998</v>
      </c>
      <c r="V20" s="360"/>
      <c r="W20" s="360"/>
      <c r="X20" s="360"/>
      <c r="Y20" s="744"/>
    </row>
    <row r="21" spans="1:25" s="740" customFormat="1" ht="14.25" customHeight="1" x14ac:dyDescent="0.25">
      <c r="A21" s="219" t="s">
        <v>337</v>
      </c>
      <c r="B21" s="223" t="s">
        <v>163</v>
      </c>
      <c r="C21" s="220"/>
      <c r="D21" s="382"/>
      <c r="E21" s="382"/>
      <c r="F21" s="382"/>
      <c r="G21" s="382"/>
      <c r="H21" s="382"/>
      <c r="I21" s="382"/>
      <c r="J21" s="382"/>
      <c r="K21" s="382"/>
      <c r="L21" s="382"/>
      <c r="M21" s="382"/>
      <c r="N21" s="382"/>
      <c r="O21" s="382"/>
      <c r="P21" s="382"/>
      <c r="Q21" s="382"/>
      <c r="R21" s="382"/>
      <c r="S21" s="382"/>
      <c r="T21" s="382"/>
      <c r="U21" s="382"/>
      <c r="V21" s="382"/>
      <c r="W21" s="382"/>
      <c r="X21" s="382"/>
      <c r="Y21" s="382"/>
    </row>
    <row r="22" spans="1:25" s="740" customFormat="1" ht="14.25" customHeight="1" x14ac:dyDescent="0.3">
      <c r="A22" s="169"/>
      <c r="B22" s="275" t="s">
        <v>1094</v>
      </c>
      <c r="C22" s="169" t="s">
        <v>38</v>
      </c>
      <c r="D22" s="367"/>
      <c r="E22" s="360"/>
      <c r="F22" s="360"/>
      <c r="G22" s="360"/>
      <c r="H22" s="360"/>
      <c r="I22" s="360"/>
      <c r="J22" s="360"/>
      <c r="K22" s="683"/>
      <c r="L22" s="360"/>
      <c r="M22" s="360"/>
      <c r="N22" s="360"/>
      <c r="O22" s="360"/>
      <c r="P22" s="360"/>
      <c r="Q22" s="360"/>
      <c r="R22" s="683"/>
      <c r="S22" s="360"/>
      <c r="T22" s="360"/>
      <c r="U22" s="360"/>
      <c r="V22" s="360" t="s">
        <v>998</v>
      </c>
      <c r="W22" s="360"/>
      <c r="X22" s="360"/>
      <c r="Y22" s="683"/>
    </row>
    <row r="23" spans="1:25" s="740" customFormat="1" ht="14.25" customHeight="1" x14ac:dyDescent="0.3">
      <c r="A23" s="169"/>
      <c r="B23" s="275" t="s">
        <v>1097</v>
      </c>
      <c r="C23" s="169" t="s">
        <v>118</v>
      </c>
      <c r="D23" s="367"/>
      <c r="E23" s="360"/>
      <c r="F23" s="360"/>
      <c r="G23" s="360"/>
      <c r="H23" s="360"/>
      <c r="I23" s="360"/>
      <c r="J23" s="360"/>
      <c r="K23" s="683"/>
      <c r="L23" s="360"/>
      <c r="M23" s="360"/>
      <c r="N23" s="360"/>
      <c r="O23" s="360"/>
      <c r="P23" s="360"/>
      <c r="Q23" s="360"/>
      <c r="R23" s="683"/>
      <c r="S23" s="360"/>
      <c r="T23" s="360"/>
      <c r="U23" s="360"/>
      <c r="V23" s="360"/>
      <c r="W23" s="360" t="s">
        <v>998</v>
      </c>
      <c r="X23" s="360"/>
      <c r="Y23" s="683"/>
    </row>
    <row r="24" spans="1:25" s="740" customFormat="1" ht="14.25" customHeight="1" x14ac:dyDescent="0.3">
      <c r="A24" s="169"/>
      <c r="B24" s="275" t="s">
        <v>1100</v>
      </c>
      <c r="C24" s="169" t="s">
        <v>118</v>
      </c>
      <c r="D24" s="367"/>
      <c r="E24" s="360"/>
      <c r="F24" s="360"/>
      <c r="G24" s="360"/>
      <c r="H24" s="360"/>
      <c r="I24" s="360"/>
      <c r="J24" s="360"/>
      <c r="K24" s="683"/>
      <c r="L24" s="360"/>
      <c r="M24" s="360"/>
      <c r="N24" s="360"/>
      <c r="O24" s="360"/>
      <c r="P24" s="360"/>
      <c r="Q24" s="360"/>
      <c r="R24" s="683"/>
      <c r="S24" s="360"/>
      <c r="T24" s="360"/>
      <c r="U24" s="360"/>
      <c r="V24" s="360"/>
      <c r="W24" s="360"/>
      <c r="X24" s="360" t="s">
        <v>998</v>
      </c>
      <c r="Y24" s="683"/>
    </row>
    <row r="25" spans="1:25" s="740" customFormat="1" ht="14.25" customHeight="1" x14ac:dyDescent="0.3">
      <c r="A25" s="169"/>
      <c r="B25" s="275" t="s">
        <v>1099</v>
      </c>
      <c r="C25" s="169" t="s">
        <v>37</v>
      </c>
      <c r="D25" s="367"/>
      <c r="E25" s="360"/>
      <c r="F25" s="360"/>
      <c r="G25" s="360"/>
      <c r="H25" s="360"/>
      <c r="I25" s="360"/>
      <c r="J25" s="360"/>
      <c r="K25" s="683"/>
      <c r="L25" s="360"/>
      <c r="M25" s="360"/>
      <c r="N25" s="360"/>
      <c r="O25" s="360"/>
      <c r="P25" s="360"/>
      <c r="Q25" s="360"/>
      <c r="R25" s="683"/>
      <c r="S25" s="360"/>
      <c r="T25" s="360"/>
      <c r="U25" s="360"/>
      <c r="V25" s="360"/>
      <c r="W25" s="360"/>
      <c r="X25" s="360" t="s">
        <v>998</v>
      </c>
      <c r="Y25" s="683"/>
    </row>
    <row r="26" spans="1:25" s="740" customFormat="1" ht="14.25" customHeight="1" x14ac:dyDescent="0.3">
      <c r="A26" s="169"/>
      <c r="B26" s="275" t="s">
        <v>1101</v>
      </c>
      <c r="C26" s="169" t="s">
        <v>38</v>
      </c>
      <c r="D26" s="367"/>
      <c r="E26" s="360"/>
      <c r="F26" s="360"/>
      <c r="G26" s="360"/>
      <c r="H26" s="360"/>
      <c r="I26" s="360"/>
      <c r="J26" s="360"/>
      <c r="K26" s="683"/>
      <c r="L26" s="360"/>
      <c r="M26" s="360"/>
      <c r="N26" s="360"/>
      <c r="O26" s="360"/>
      <c r="P26" s="360"/>
      <c r="Q26" s="360"/>
      <c r="R26" s="683"/>
      <c r="S26" s="360"/>
      <c r="T26" s="360"/>
      <c r="U26" s="360"/>
      <c r="V26" s="360"/>
      <c r="W26" s="360"/>
      <c r="X26" s="360"/>
      <c r="Y26" s="683"/>
    </row>
    <row r="27" spans="1:25" s="740" customFormat="1" ht="14.25" customHeight="1" x14ac:dyDescent="0.3">
      <c r="A27" s="169"/>
      <c r="B27" s="275"/>
      <c r="C27" s="169"/>
      <c r="D27" s="367"/>
      <c r="E27" s="360"/>
      <c r="F27" s="360"/>
      <c r="G27" s="360"/>
      <c r="H27" s="360"/>
      <c r="I27" s="360"/>
      <c r="J27" s="360"/>
      <c r="K27" s="683"/>
      <c r="L27" s="360"/>
      <c r="M27" s="360"/>
      <c r="N27" s="360"/>
      <c r="O27" s="360"/>
      <c r="P27" s="360"/>
      <c r="Q27" s="360"/>
      <c r="R27" s="683"/>
      <c r="S27" s="360"/>
      <c r="T27" s="360"/>
      <c r="U27" s="360"/>
      <c r="V27" s="360"/>
      <c r="W27" s="360"/>
      <c r="X27" s="360"/>
      <c r="Y27" s="683"/>
    </row>
    <row r="28" spans="1:25" ht="14.25" customHeight="1" x14ac:dyDescent="0.25"/>
    <row r="29" spans="1:25" ht="14.25" customHeight="1" x14ac:dyDescent="0.25"/>
    <row r="30" spans="1:25" ht="14.25" customHeight="1" x14ac:dyDescent="0.25"/>
    <row r="31" spans="1:25" ht="14.25" customHeight="1" x14ac:dyDescent="0.25"/>
    <row r="32" spans="1:25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</sheetData>
  <mergeCells count="8">
    <mergeCell ref="S3:Y3"/>
    <mergeCell ref="A1:C1"/>
    <mergeCell ref="A3:A4"/>
    <mergeCell ref="E3:K3"/>
    <mergeCell ref="L3:R3"/>
    <mergeCell ref="B3:B4"/>
    <mergeCell ref="C3:C4"/>
    <mergeCell ref="D3:D4"/>
  </mergeCells>
  <conditionalFormatting sqref="E7:J8 L7:Q8">
    <cfRule type="containsText" dxfId="16" priority="38" operator="containsText" text="X">
      <formula>NOT(ISERROR(SEARCH("X",E7)))</formula>
    </cfRule>
  </conditionalFormatting>
  <conditionalFormatting sqref="E10:J20">
    <cfRule type="containsText" dxfId="15" priority="8" operator="containsText" text="X">
      <formula>NOT(ISERROR(SEARCH("X",E10)))</formula>
    </cfRule>
  </conditionalFormatting>
  <conditionalFormatting sqref="E22:J27">
    <cfRule type="containsText" dxfId="14" priority="11" operator="containsText" text="X">
      <formula>NOT(ISERROR(SEARCH("X",E22)))</formula>
    </cfRule>
  </conditionalFormatting>
  <conditionalFormatting sqref="L10:Q20">
    <cfRule type="containsText" dxfId="13" priority="7" operator="containsText" text="X">
      <formula>NOT(ISERROR(SEARCH("X",L10)))</formula>
    </cfRule>
  </conditionalFormatting>
  <conditionalFormatting sqref="L22:Q27">
    <cfRule type="containsText" dxfId="12" priority="10" operator="containsText" text="X">
      <formula>NOT(ISERROR(SEARCH("X",L22)))</formula>
    </cfRule>
  </conditionalFormatting>
  <conditionalFormatting sqref="S7:X8">
    <cfRule type="containsText" dxfId="11" priority="20" operator="containsText" text="X">
      <formula>NOT(ISERROR(SEARCH("X",S7)))</formula>
    </cfRule>
  </conditionalFormatting>
  <conditionalFormatting sqref="S10:X20">
    <cfRule type="containsText" dxfId="10" priority="5" operator="containsText" text="X">
      <formula>NOT(ISERROR(SEARCH("X",S10)))</formula>
    </cfRule>
  </conditionalFormatting>
  <conditionalFormatting sqref="S22:X27">
    <cfRule type="containsText" dxfId="9" priority="1" operator="containsText" text="X">
      <formula>NOT(ISERROR(SEARCH("X",S22)))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3F29E-C160-458C-AAED-A8986FD664B6}">
  <sheetPr>
    <tabColor rgb="FFFF0000"/>
  </sheetPr>
  <dimension ref="A2:H21"/>
  <sheetViews>
    <sheetView zoomScale="115" zoomScaleNormal="115" workbookViewId="0">
      <selection activeCell="A10" sqref="A10"/>
    </sheetView>
  </sheetViews>
  <sheetFormatPr baseColWidth="10" defaultRowHeight="13.8" x14ac:dyDescent="0.3"/>
  <cols>
    <col min="1" max="1" width="38.21875" style="685" customWidth="1"/>
    <col min="2" max="2" width="14.33203125" style="685" customWidth="1"/>
    <col min="3" max="6" width="11.5546875" style="685"/>
    <col min="7" max="8" width="23.21875" style="685" customWidth="1"/>
    <col min="9" max="16384" width="11.5546875" style="685"/>
  </cols>
  <sheetData>
    <row r="2" spans="1:8" ht="36" customHeight="1" x14ac:dyDescent="0.3">
      <c r="A2" s="753" t="s">
        <v>1012</v>
      </c>
      <c r="B2" s="753"/>
      <c r="C2" s="753"/>
      <c r="D2" s="753"/>
      <c r="E2" s="753"/>
      <c r="F2" s="753"/>
      <c r="G2" s="753"/>
    </row>
    <row r="4" spans="1:8" ht="14.25" customHeight="1" x14ac:dyDescent="0.3">
      <c r="A4" s="757" t="s">
        <v>1003</v>
      </c>
      <c r="B4" s="754" t="s">
        <v>1015</v>
      </c>
      <c r="C4" s="754" t="s">
        <v>1004</v>
      </c>
      <c r="D4" s="758" t="s">
        <v>1005</v>
      </c>
      <c r="E4" s="759"/>
      <c r="F4" s="760"/>
      <c r="G4" s="756" t="s">
        <v>1006</v>
      </c>
      <c r="H4" s="756" t="s">
        <v>1085</v>
      </c>
    </row>
    <row r="5" spans="1:8" ht="14.25" customHeight="1" x14ac:dyDescent="0.3">
      <c r="A5" s="755"/>
      <c r="B5" s="755" t="s">
        <v>1015</v>
      </c>
      <c r="C5" s="755"/>
      <c r="D5" s="689" t="s">
        <v>1007</v>
      </c>
      <c r="E5" s="689" t="s">
        <v>1008</v>
      </c>
      <c r="F5" s="689" t="s">
        <v>1009</v>
      </c>
      <c r="G5" s="755"/>
      <c r="H5" s="755"/>
    </row>
    <row r="6" spans="1:8" ht="14.25" customHeight="1" x14ac:dyDescent="0.3">
      <c r="A6" s="686" t="s">
        <v>1010</v>
      </c>
      <c r="B6" s="690">
        <v>250</v>
      </c>
      <c r="C6" s="687">
        <v>46175</v>
      </c>
      <c r="D6" s="361"/>
      <c r="E6" s="361" t="s">
        <v>998</v>
      </c>
      <c r="F6" s="361"/>
      <c r="G6" s="688" t="s">
        <v>1011</v>
      </c>
      <c r="H6" s="688"/>
    </row>
    <row r="7" spans="1:8" ht="14.25" customHeight="1" x14ac:dyDescent="0.3">
      <c r="A7" s="686" t="s">
        <v>1013</v>
      </c>
      <c r="B7" s="690">
        <v>200</v>
      </c>
      <c r="C7" s="687">
        <v>46177</v>
      </c>
      <c r="D7" s="361" t="s">
        <v>998</v>
      </c>
      <c r="E7" s="361"/>
      <c r="F7" s="361"/>
      <c r="G7" s="688" t="s">
        <v>1014</v>
      </c>
      <c r="H7" s="688"/>
    </row>
    <row r="8" spans="1:8" ht="14.25" customHeight="1" x14ac:dyDescent="0.3">
      <c r="A8" s="686" t="s">
        <v>1080</v>
      </c>
      <c r="B8" s="690">
        <v>2000</v>
      </c>
      <c r="C8" s="687">
        <v>46178</v>
      </c>
      <c r="D8" s="361" t="s">
        <v>998</v>
      </c>
      <c r="E8" s="361" t="s">
        <v>998</v>
      </c>
      <c r="F8" s="361" t="s">
        <v>998</v>
      </c>
      <c r="G8" s="688" t="s">
        <v>1016</v>
      </c>
      <c r="H8" s="688"/>
    </row>
    <row r="9" spans="1:8" ht="14.25" customHeight="1" x14ac:dyDescent="0.3">
      <c r="A9" s="686" t="s">
        <v>1019</v>
      </c>
      <c r="B9" s="690">
        <v>2000</v>
      </c>
      <c r="C9" s="687">
        <v>46178</v>
      </c>
      <c r="D9" s="361" t="s">
        <v>998</v>
      </c>
      <c r="E9" s="361"/>
      <c r="F9" s="361"/>
      <c r="G9" s="688" t="s">
        <v>1014</v>
      </c>
      <c r="H9" s="688"/>
    </row>
    <row r="10" spans="1:8" ht="14.25" customHeight="1" x14ac:dyDescent="0.3">
      <c r="A10" s="686" t="s">
        <v>1020</v>
      </c>
      <c r="B10" s="690"/>
      <c r="C10" s="687">
        <v>46176</v>
      </c>
      <c r="D10" s="361"/>
      <c r="E10" s="361" t="s">
        <v>998</v>
      </c>
      <c r="F10" s="361"/>
      <c r="G10" s="688" t="s">
        <v>1021</v>
      </c>
      <c r="H10" s="688"/>
    </row>
    <row r="11" spans="1:8" ht="14.25" customHeight="1" x14ac:dyDescent="0.3">
      <c r="A11" s="686" t="s">
        <v>1091</v>
      </c>
      <c r="B11" s="690"/>
      <c r="C11" s="687">
        <v>46183</v>
      </c>
      <c r="D11" s="361"/>
      <c r="E11" s="361" t="s">
        <v>998</v>
      </c>
      <c r="F11" s="361"/>
      <c r="G11" s="688" t="s">
        <v>1092</v>
      </c>
      <c r="H11" s="688"/>
    </row>
    <row r="12" spans="1:8" ht="14.25" customHeight="1" x14ac:dyDescent="0.3">
      <c r="A12" s="686" t="s">
        <v>1090</v>
      </c>
      <c r="B12" s="690"/>
      <c r="C12" s="687">
        <v>46183</v>
      </c>
      <c r="D12" s="361"/>
      <c r="E12" s="361" t="s">
        <v>998</v>
      </c>
      <c r="F12" s="361"/>
      <c r="G12" s="688" t="s">
        <v>1021</v>
      </c>
      <c r="H12" s="688"/>
    </row>
    <row r="13" spans="1:8" ht="14.25" customHeight="1" x14ac:dyDescent="0.3">
      <c r="A13" s="686"/>
      <c r="B13" s="690"/>
      <c r="C13" s="687"/>
      <c r="D13" s="361"/>
      <c r="E13" s="361"/>
      <c r="F13" s="361"/>
      <c r="G13" s="688"/>
      <c r="H13" s="688"/>
    </row>
    <row r="14" spans="1:8" ht="14.25" customHeight="1" x14ac:dyDescent="0.3">
      <c r="A14" s="686"/>
      <c r="B14" s="691" t="s">
        <v>1017</v>
      </c>
      <c r="C14" s="687"/>
      <c r="D14" s="361"/>
      <c r="E14" s="361"/>
      <c r="F14" s="361"/>
      <c r="G14" s="688"/>
      <c r="H14" s="688"/>
    </row>
    <row r="15" spans="1:8" ht="14.25" customHeight="1" x14ac:dyDescent="0.3">
      <c r="A15" s="693" t="s">
        <v>1018</v>
      </c>
      <c r="B15" s="692">
        <f>SUM(B6:B13)</f>
        <v>4450</v>
      </c>
      <c r="C15" s="687"/>
      <c r="D15" s="361"/>
      <c r="E15" s="361"/>
      <c r="F15" s="361"/>
      <c r="G15" s="688"/>
      <c r="H15" s="688"/>
    </row>
    <row r="19" spans="2:2" x14ac:dyDescent="0.3">
      <c r="B19" s="685" t="s">
        <v>1081</v>
      </c>
    </row>
    <row r="20" spans="2:2" x14ac:dyDescent="0.3">
      <c r="B20" s="685" t="s">
        <v>1082</v>
      </c>
    </row>
    <row r="21" spans="2:2" x14ac:dyDescent="0.3">
      <c r="B21" s="685" t="s">
        <v>1083</v>
      </c>
    </row>
  </sheetData>
  <mergeCells count="7">
    <mergeCell ref="A2:G2"/>
    <mergeCell ref="B4:B5"/>
    <mergeCell ref="H4:H5"/>
    <mergeCell ref="A4:A5"/>
    <mergeCell ref="C4:C5"/>
    <mergeCell ref="D4:F4"/>
    <mergeCell ref="G4:G5"/>
  </mergeCells>
  <conditionalFormatting sqref="D6:F15">
    <cfRule type="containsText" dxfId="8" priority="1" operator="containsText" text="X">
      <formula>NOT(ISERROR(SEARCH("X",D6)))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C88DD-FACE-40D1-84E5-5296005109A7}">
  <sheetPr>
    <tabColor theme="9" tint="0.39997558519241921"/>
  </sheetPr>
  <dimension ref="A1:R981"/>
  <sheetViews>
    <sheetView tabSelected="1" zoomScale="85" zoomScaleNormal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Q12" sqref="Q12"/>
    </sheetView>
  </sheetViews>
  <sheetFormatPr baseColWidth="10" defaultColWidth="14.44140625" defaultRowHeight="13.2" x14ac:dyDescent="0.25"/>
  <cols>
    <col min="1" max="1" width="15" style="742" customWidth="1"/>
    <col min="2" max="2" width="35.5546875" style="742" customWidth="1"/>
    <col min="3" max="3" width="8.6640625" style="742" customWidth="1"/>
    <col min="4" max="4" width="8.33203125" style="742" customWidth="1"/>
    <col min="5" max="5" width="12.6640625" style="742" customWidth="1"/>
    <col min="6" max="12" width="3.6640625" style="742" customWidth="1"/>
    <col min="13" max="13" width="11.109375" style="742" customWidth="1"/>
    <col min="14" max="15" width="14.44140625" style="742"/>
    <col min="16" max="16" width="22.33203125" style="151" customWidth="1"/>
    <col min="17" max="17" width="34.6640625" style="742" customWidth="1"/>
    <col min="18" max="18" width="32" style="742" customWidth="1"/>
    <col min="19" max="16384" width="14.44140625" style="742"/>
  </cols>
  <sheetData>
    <row r="1" spans="1:18" ht="18.600000000000001" customHeight="1" x14ac:dyDescent="0.35">
      <c r="A1" s="931" t="s">
        <v>1155</v>
      </c>
      <c r="B1" s="932"/>
      <c r="C1" s="932"/>
      <c r="D1" s="680"/>
      <c r="E1" s="680"/>
      <c r="F1" s="680"/>
      <c r="G1" s="680"/>
      <c r="H1" s="680"/>
      <c r="I1" s="680"/>
      <c r="J1" s="680"/>
      <c r="K1" s="680"/>
      <c r="M1" s="680"/>
    </row>
    <row r="2" spans="1:18" ht="14.25" customHeight="1" thickBot="1" x14ac:dyDescent="0.35">
      <c r="B2" s="681"/>
      <c r="C2" s="681"/>
      <c r="D2" s="682"/>
      <c r="E2" s="682"/>
      <c r="F2" s="682"/>
      <c r="G2" s="682"/>
      <c r="H2" s="682"/>
      <c r="I2" s="682"/>
      <c r="J2" s="682"/>
      <c r="K2" s="682"/>
      <c r="L2" s="682"/>
      <c r="M2" s="682"/>
    </row>
    <row r="3" spans="1:18" ht="14.25" customHeight="1" x14ac:dyDescent="0.25">
      <c r="A3" s="751" t="s">
        <v>210</v>
      </c>
      <c r="B3" s="751" t="s">
        <v>437</v>
      </c>
      <c r="C3" s="751" t="s">
        <v>3</v>
      </c>
      <c r="D3" s="751" t="s">
        <v>57</v>
      </c>
      <c r="E3" s="866" t="s">
        <v>1103</v>
      </c>
      <c r="F3" s="746" t="s">
        <v>1002</v>
      </c>
      <c r="G3" s="747"/>
      <c r="H3" s="747"/>
      <c r="I3" s="747"/>
      <c r="J3" s="747"/>
      <c r="K3" s="747"/>
      <c r="L3" s="748"/>
      <c r="M3" s="866" t="s">
        <v>1104</v>
      </c>
      <c r="N3" s="868" t="s">
        <v>1105</v>
      </c>
      <c r="O3" s="869" t="s">
        <v>1106</v>
      </c>
      <c r="P3" s="876" t="s">
        <v>1108</v>
      </c>
      <c r="Q3" s="877"/>
      <c r="R3" s="878"/>
    </row>
    <row r="4" spans="1:18" ht="25.2" customHeight="1" thickBot="1" x14ac:dyDescent="0.3">
      <c r="A4" s="752"/>
      <c r="B4" s="752"/>
      <c r="C4" s="752"/>
      <c r="D4" s="752"/>
      <c r="E4" s="867"/>
      <c r="F4" s="743" t="s">
        <v>997</v>
      </c>
      <c r="G4" s="743" t="s">
        <v>416</v>
      </c>
      <c r="H4" s="743" t="s">
        <v>998</v>
      </c>
      <c r="I4" s="743" t="s">
        <v>999</v>
      </c>
      <c r="J4" s="743" t="s">
        <v>1000</v>
      </c>
      <c r="K4" s="743" t="s">
        <v>1001</v>
      </c>
      <c r="L4" s="743" t="s">
        <v>996</v>
      </c>
      <c r="M4" s="867"/>
      <c r="N4" s="870"/>
      <c r="O4" s="871"/>
      <c r="P4" s="879"/>
      <c r="Q4" s="880"/>
      <c r="R4" s="881"/>
    </row>
    <row r="5" spans="1:18" ht="22.8" customHeight="1" x14ac:dyDescent="0.25">
      <c r="A5" s="168" t="s">
        <v>330</v>
      </c>
      <c r="B5" s="221" t="s">
        <v>464</v>
      </c>
      <c r="C5" s="213"/>
      <c r="D5" s="395"/>
      <c r="E5" s="395"/>
      <c r="F5" s="395"/>
      <c r="G5" s="395"/>
      <c r="H5" s="395"/>
      <c r="I5" s="395"/>
      <c r="J5" s="395"/>
      <c r="K5" s="395"/>
      <c r="L5" s="395"/>
      <c r="M5" s="395"/>
      <c r="N5" s="872"/>
      <c r="O5" s="873" t="s">
        <v>1107</v>
      </c>
      <c r="P5" s="882" t="s">
        <v>1109</v>
      </c>
      <c r="Q5" s="883" t="s">
        <v>1110</v>
      </c>
      <c r="R5" s="884" t="s">
        <v>1111</v>
      </c>
    </row>
    <row r="6" spans="1:18" ht="14.25" customHeight="1" x14ac:dyDescent="0.25">
      <c r="A6" s="219" t="s">
        <v>331</v>
      </c>
      <c r="B6" s="223" t="s">
        <v>463</v>
      </c>
      <c r="C6" s="220"/>
      <c r="D6" s="382"/>
      <c r="E6" s="382"/>
      <c r="F6" s="382"/>
      <c r="G6" s="382"/>
      <c r="H6" s="382"/>
      <c r="I6" s="382"/>
      <c r="J6" s="382"/>
      <c r="K6" s="382"/>
      <c r="L6" s="382"/>
      <c r="M6" s="382"/>
      <c r="N6" s="382"/>
      <c r="O6" s="382"/>
      <c r="P6" s="382"/>
      <c r="Q6" s="382"/>
      <c r="R6" s="382"/>
    </row>
    <row r="7" spans="1:18" ht="14.25" customHeight="1" x14ac:dyDescent="0.3">
      <c r="A7" s="169" t="s">
        <v>332</v>
      </c>
      <c r="B7" s="222" t="s">
        <v>77</v>
      </c>
      <c r="C7" s="169" t="s">
        <v>300</v>
      </c>
      <c r="D7" s="376">
        <v>1</v>
      </c>
      <c r="E7" s="376">
        <v>1</v>
      </c>
      <c r="F7" s="360"/>
      <c r="G7" s="360"/>
      <c r="H7" s="360"/>
      <c r="I7" s="360" t="s">
        <v>998</v>
      </c>
      <c r="J7" s="360" t="s">
        <v>998</v>
      </c>
      <c r="K7" s="360"/>
      <c r="L7" s="683"/>
      <c r="M7" s="376"/>
      <c r="N7" s="874">
        <f t="shared" ref="N6:N9" si="0">IF(M7&gt;0,M7/E7,0)</f>
        <v>0</v>
      </c>
      <c r="O7" s="875" t="str">
        <f t="shared" ref="O7:O27" si="1">IF(N7=1,"SI","NO")</f>
        <v>NO</v>
      </c>
      <c r="P7" s="209"/>
      <c r="Q7" s="193"/>
      <c r="R7" s="193"/>
    </row>
    <row r="8" spans="1:18" ht="14.25" customHeight="1" x14ac:dyDescent="0.3">
      <c r="A8" s="169" t="s">
        <v>336</v>
      </c>
      <c r="B8" s="275" t="s">
        <v>462</v>
      </c>
      <c r="C8" s="169" t="s">
        <v>236</v>
      </c>
      <c r="D8" s="376">
        <v>180</v>
      </c>
      <c r="E8" s="376">
        <v>180</v>
      </c>
      <c r="F8" s="360"/>
      <c r="G8" s="360"/>
      <c r="H8" s="360"/>
      <c r="I8" s="360" t="s">
        <v>998</v>
      </c>
      <c r="J8" s="360" t="s">
        <v>998</v>
      </c>
      <c r="K8" s="360"/>
      <c r="L8" s="683"/>
      <c r="M8" s="376"/>
      <c r="N8" s="874">
        <f t="shared" si="0"/>
        <v>0</v>
      </c>
      <c r="O8" s="875" t="str">
        <f t="shared" si="1"/>
        <v>NO</v>
      </c>
      <c r="P8" s="209"/>
      <c r="Q8" s="193"/>
      <c r="R8" s="193"/>
    </row>
    <row r="9" spans="1:18" ht="24.6" customHeight="1" x14ac:dyDescent="0.25">
      <c r="A9" s="219" t="s">
        <v>337</v>
      </c>
      <c r="B9" s="223" t="s">
        <v>1095</v>
      </c>
      <c r="C9" s="220"/>
      <c r="D9" s="382"/>
      <c r="E9" s="382"/>
      <c r="F9" s="382"/>
      <c r="G9" s="382"/>
      <c r="H9" s="382"/>
      <c r="I9" s="382"/>
      <c r="J9" s="382"/>
      <c r="K9" s="382"/>
      <c r="L9" s="382"/>
      <c r="M9" s="382"/>
      <c r="N9" s="382"/>
      <c r="O9" s="382"/>
      <c r="P9" s="382"/>
      <c r="Q9" s="382"/>
      <c r="R9" s="382"/>
    </row>
    <row r="10" spans="1:18" ht="14.25" customHeight="1" x14ac:dyDescent="0.3">
      <c r="A10" s="169" t="s">
        <v>341</v>
      </c>
      <c r="B10" s="275" t="s">
        <v>466</v>
      </c>
      <c r="C10" s="169" t="s">
        <v>300</v>
      </c>
      <c r="D10" s="367">
        <v>1</v>
      </c>
      <c r="E10" s="367">
        <v>1</v>
      </c>
      <c r="F10" s="360" t="s">
        <v>998</v>
      </c>
      <c r="G10" s="360" t="s">
        <v>998</v>
      </c>
      <c r="H10" s="360" t="s">
        <v>998</v>
      </c>
      <c r="I10" s="360"/>
      <c r="J10" s="360"/>
      <c r="K10" s="360"/>
      <c r="L10" s="683"/>
      <c r="M10" s="367"/>
      <c r="N10" s="874">
        <f t="shared" ref="N10:N27" si="2">IF(M10&gt;0,M10/E10,0)</f>
        <v>0</v>
      </c>
      <c r="O10" s="875" t="str">
        <f t="shared" si="1"/>
        <v>NO</v>
      </c>
      <c r="P10" s="209"/>
      <c r="Q10" s="193"/>
      <c r="R10" s="193"/>
    </row>
    <row r="11" spans="1:18" ht="14.25" customHeight="1" x14ac:dyDescent="0.3">
      <c r="A11" s="169" t="s">
        <v>342</v>
      </c>
      <c r="B11" s="275" t="s">
        <v>781</v>
      </c>
      <c r="C11" s="169" t="s">
        <v>23</v>
      </c>
      <c r="D11" s="367">
        <v>1</v>
      </c>
      <c r="E11" s="367">
        <v>1</v>
      </c>
      <c r="F11" s="360"/>
      <c r="G11" s="360"/>
      <c r="H11" s="360"/>
      <c r="I11" s="360" t="s">
        <v>998</v>
      </c>
      <c r="J11" s="360" t="s">
        <v>998</v>
      </c>
      <c r="K11" s="360"/>
      <c r="L11" s="683"/>
      <c r="M11" s="367"/>
      <c r="N11" s="874">
        <f t="shared" si="2"/>
        <v>0</v>
      </c>
      <c r="O11" s="875" t="str">
        <f t="shared" si="1"/>
        <v>NO</v>
      </c>
      <c r="P11" s="209"/>
      <c r="Q11" s="193"/>
      <c r="R11" s="193"/>
    </row>
    <row r="12" spans="1:18" ht="14.25" customHeight="1" x14ac:dyDescent="0.3">
      <c r="A12" s="169" t="s">
        <v>343</v>
      </c>
      <c r="B12" s="275" t="s">
        <v>1078</v>
      </c>
      <c r="C12" s="169" t="s">
        <v>300</v>
      </c>
      <c r="D12" s="367">
        <v>1</v>
      </c>
      <c r="E12" s="367">
        <v>1</v>
      </c>
      <c r="F12" s="360"/>
      <c r="G12" s="360"/>
      <c r="H12" s="360"/>
      <c r="I12" s="360"/>
      <c r="J12" s="360"/>
      <c r="K12" s="360" t="s">
        <v>998</v>
      </c>
      <c r="L12" s="683"/>
      <c r="M12" s="367"/>
      <c r="N12" s="874">
        <f t="shared" si="2"/>
        <v>0</v>
      </c>
      <c r="O12" s="875" t="str">
        <f t="shared" si="1"/>
        <v>NO</v>
      </c>
      <c r="P12" s="209"/>
      <c r="Q12" s="193"/>
      <c r="R12" s="193"/>
    </row>
    <row r="13" spans="1:18" ht="14.25" customHeight="1" x14ac:dyDescent="0.3">
      <c r="A13" s="169" t="s">
        <v>343</v>
      </c>
      <c r="B13" s="275" t="s">
        <v>1087</v>
      </c>
      <c r="C13" s="169" t="s">
        <v>300</v>
      </c>
      <c r="D13" s="367">
        <v>1</v>
      </c>
      <c r="E13" s="367">
        <v>1</v>
      </c>
      <c r="F13" s="360"/>
      <c r="G13" s="360"/>
      <c r="H13" s="360"/>
      <c r="I13" s="360"/>
      <c r="J13" s="360"/>
      <c r="K13" s="360"/>
      <c r="L13" s="683"/>
      <c r="M13" s="367"/>
      <c r="N13" s="874">
        <f t="shared" si="2"/>
        <v>0</v>
      </c>
      <c r="O13" s="875" t="str">
        <f t="shared" si="1"/>
        <v>NO</v>
      </c>
      <c r="P13" s="209"/>
      <c r="Q13" s="193"/>
      <c r="R13" s="193"/>
    </row>
    <row r="14" spans="1:18" ht="14.25" customHeight="1" x14ac:dyDescent="0.3">
      <c r="A14" s="169" t="s">
        <v>343</v>
      </c>
      <c r="B14" s="275" t="s">
        <v>1088</v>
      </c>
      <c r="C14" s="169" t="s">
        <v>300</v>
      </c>
      <c r="D14" s="367">
        <v>1</v>
      </c>
      <c r="E14" s="367">
        <v>1</v>
      </c>
      <c r="F14" s="360"/>
      <c r="G14" s="360"/>
      <c r="H14" s="360"/>
      <c r="I14" s="360"/>
      <c r="J14" s="360"/>
      <c r="K14" s="360"/>
      <c r="L14" s="683"/>
      <c r="M14" s="367"/>
      <c r="N14" s="874">
        <f t="shared" si="2"/>
        <v>0</v>
      </c>
      <c r="O14" s="875" t="str">
        <f t="shared" si="1"/>
        <v>NO</v>
      </c>
      <c r="P14" s="209"/>
      <c r="Q14" s="193"/>
      <c r="R14" s="193"/>
    </row>
    <row r="15" spans="1:18" ht="14.25" customHeight="1" x14ac:dyDescent="0.3">
      <c r="A15" s="169" t="s">
        <v>343</v>
      </c>
      <c r="B15" s="275" t="s">
        <v>1089</v>
      </c>
      <c r="C15" s="169" t="s">
        <v>300</v>
      </c>
      <c r="D15" s="367">
        <v>1</v>
      </c>
      <c r="E15" s="367">
        <v>1</v>
      </c>
      <c r="F15" s="360"/>
      <c r="G15" s="360"/>
      <c r="H15" s="360"/>
      <c r="I15" s="360"/>
      <c r="J15" s="360"/>
      <c r="K15" s="360"/>
      <c r="L15" s="683"/>
      <c r="M15" s="367"/>
      <c r="N15" s="874">
        <f t="shared" si="2"/>
        <v>0</v>
      </c>
      <c r="O15" s="875" t="str">
        <f t="shared" si="1"/>
        <v>NO</v>
      </c>
      <c r="P15" s="209"/>
      <c r="Q15" s="193"/>
      <c r="R15" s="193"/>
    </row>
    <row r="16" spans="1:18" ht="14.25" customHeight="1" x14ac:dyDescent="0.3">
      <c r="A16" s="169"/>
      <c r="B16" s="275" t="s">
        <v>1093</v>
      </c>
      <c r="C16" s="169" t="s">
        <v>300</v>
      </c>
      <c r="D16" s="367">
        <v>1</v>
      </c>
      <c r="E16" s="367">
        <v>1</v>
      </c>
      <c r="F16" s="360"/>
      <c r="G16" s="360"/>
      <c r="H16" s="360"/>
      <c r="I16" s="360"/>
      <c r="J16" s="360"/>
      <c r="K16" s="360"/>
      <c r="L16" s="683"/>
      <c r="M16" s="367"/>
      <c r="N16" s="874">
        <f t="shared" si="2"/>
        <v>0</v>
      </c>
      <c r="O16" s="875" t="str">
        <f t="shared" si="1"/>
        <v>NO</v>
      </c>
      <c r="P16" s="209"/>
      <c r="Q16" s="193"/>
      <c r="R16" s="193"/>
    </row>
    <row r="17" spans="1:18" ht="14.25" customHeight="1" x14ac:dyDescent="0.3">
      <c r="A17" s="169" t="s">
        <v>344</v>
      </c>
      <c r="B17" s="275" t="s">
        <v>468</v>
      </c>
      <c r="C17" s="169" t="s">
        <v>300</v>
      </c>
      <c r="D17" s="367">
        <v>1</v>
      </c>
      <c r="E17" s="367">
        <v>1</v>
      </c>
      <c r="F17" s="360"/>
      <c r="G17" s="360"/>
      <c r="H17" s="360"/>
      <c r="I17" s="360"/>
      <c r="J17" s="360"/>
      <c r="K17" s="360"/>
      <c r="L17" s="683"/>
      <c r="M17" s="367"/>
      <c r="N17" s="874">
        <f t="shared" si="2"/>
        <v>0</v>
      </c>
      <c r="O17" s="875" t="str">
        <f t="shared" si="1"/>
        <v>NO</v>
      </c>
      <c r="P17" s="209"/>
      <c r="Q17" s="193"/>
      <c r="R17" s="193"/>
    </row>
    <row r="18" spans="1:18" ht="14.25" customHeight="1" x14ac:dyDescent="0.3">
      <c r="A18" s="169" t="s">
        <v>345</v>
      </c>
      <c r="B18" s="275" t="s">
        <v>79</v>
      </c>
      <c r="C18" s="169" t="s">
        <v>38</v>
      </c>
      <c r="D18" s="367">
        <v>206</v>
      </c>
      <c r="E18" s="367">
        <v>206</v>
      </c>
      <c r="F18" s="360"/>
      <c r="G18" s="360"/>
      <c r="H18" s="360"/>
      <c r="I18" s="360"/>
      <c r="J18" s="360"/>
      <c r="K18" s="360"/>
      <c r="L18" s="683"/>
      <c r="M18" s="367"/>
      <c r="N18" s="874">
        <f t="shared" si="2"/>
        <v>0</v>
      </c>
      <c r="O18" s="875" t="str">
        <f t="shared" si="1"/>
        <v>NO</v>
      </c>
      <c r="P18" s="209"/>
      <c r="Q18" s="193"/>
      <c r="R18" s="193"/>
    </row>
    <row r="19" spans="1:18" ht="14.25" customHeight="1" x14ac:dyDescent="0.3">
      <c r="A19" s="169"/>
      <c r="B19" s="275" t="s">
        <v>1098</v>
      </c>
      <c r="C19" s="169" t="s">
        <v>37</v>
      </c>
      <c r="D19" s="367"/>
      <c r="E19" s="367"/>
      <c r="F19" s="360"/>
      <c r="G19" s="360"/>
      <c r="H19" s="360"/>
      <c r="I19" s="360"/>
      <c r="J19" s="360"/>
      <c r="K19" s="360"/>
      <c r="L19" s="744"/>
      <c r="M19" s="367"/>
      <c r="N19" s="874">
        <f t="shared" si="2"/>
        <v>0</v>
      </c>
      <c r="O19" s="875" t="str">
        <f t="shared" si="1"/>
        <v>NO</v>
      </c>
      <c r="P19" s="209"/>
      <c r="Q19" s="193"/>
      <c r="R19" s="193"/>
    </row>
    <row r="20" spans="1:18" ht="14.25" customHeight="1" x14ac:dyDescent="0.3">
      <c r="A20" s="169"/>
      <c r="B20" s="275" t="s">
        <v>1096</v>
      </c>
      <c r="C20" s="169" t="s">
        <v>38</v>
      </c>
      <c r="D20" s="367"/>
      <c r="E20" s="367"/>
      <c r="F20" s="360"/>
      <c r="G20" s="360"/>
      <c r="H20" s="360"/>
      <c r="I20" s="360"/>
      <c r="J20" s="360"/>
      <c r="K20" s="360"/>
      <c r="L20" s="744"/>
      <c r="M20" s="367"/>
      <c r="N20" s="874">
        <f t="shared" si="2"/>
        <v>0</v>
      </c>
      <c r="O20" s="875" t="str">
        <f t="shared" si="1"/>
        <v>NO</v>
      </c>
      <c r="P20" s="209"/>
      <c r="Q20" s="193"/>
      <c r="R20" s="193"/>
    </row>
    <row r="21" spans="1:18" ht="14.25" customHeight="1" x14ac:dyDescent="0.25">
      <c r="A21" s="219" t="s">
        <v>337</v>
      </c>
      <c r="B21" s="223" t="s">
        <v>163</v>
      </c>
      <c r="C21" s="220"/>
      <c r="D21" s="382"/>
      <c r="E21" s="382"/>
      <c r="F21" s="382"/>
      <c r="G21" s="382"/>
      <c r="H21" s="382"/>
      <c r="I21" s="382"/>
      <c r="J21" s="382"/>
      <c r="K21" s="382"/>
      <c r="L21" s="382"/>
      <c r="M21" s="382"/>
      <c r="N21" s="382"/>
      <c r="O21" s="382"/>
      <c r="P21" s="382"/>
      <c r="Q21" s="382"/>
      <c r="R21" s="382"/>
    </row>
    <row r="22" spans="1:18" ht="14.25" customHeight="1" x14ac:dyDescent="0.3">
      <c r="A22" s="169"/>
      <c r="B22" s="275" t="s">
        <v>1094</v>
      </c>
      <c r="C22" s="169" t="s">
        <v>38</v>
      </c>
      <c r="D22" s="367"/>
      <c r="E22" s="367"/>
      <c r="F22" s="360"/>
      <c r="G22" s="360"/>
      <c r="H22" s="360"/>
      <c r="I22" s="360"/>
      <c r="J22" s="360"/>
      <c r="K22" s="360"/>
      <c r="L22" s="683"/>
      <c r="M22" s="367"/>
      <c r="N22" s="874">
        <f t="shared" si="2"/>
        <v>0</v>
      </c>
      <c r="O22" s="875" t="str">
        <f t="shared" si="1"/>
        <v>NO</v>
      </c>
      <c r="P22" s="209"/>
      <c r="Q22" s="193"/>
      <c r="R22" s="193"/>
    </row>
    <row r="23" spans="1:18" ht="14.25" customHeight="1" x14ac:dyDescent="0.3">
      <c r="A23" s="169"/>
      <c r="B23" s="275" t="s">
        <v>1097</v>
      </c>
      <c r="C23" s="169" t="s">
        <v>118</v>
      </c>
      <c r="D23" s="367"/>
      <c r="E23" s="367"/>
      <c r="F23" s="360"/>
      <c r="G23" s="360"/>
      <c r="H23" s="360"/>
      <c r="I23" s="360"/>
      <c r="J23" s="360"/>
      <c r="K23" s="360"/>
      <c r="L23" s="683"/>
      <c r="M23" s="367"/>
      <c r="N23" s="874">
        <f t="shared" si="2"/>
        <v>0</v>
      </c>
      <c r="O23" s="875" t="str">
        <f t="shared" si="1"/>
        <v>NO</v>
      </c>
      <c r="P23" s="209"/>
      <c r="Q23" s="193"/>
      <c r="R23" s="193"/>
    </row>
    <row r="24" spans="1:18" ht="14.25" customHeight="1" x14ac:dyDescent="0.3">
      <c r="A24" s="169"/>
      <c r="B24" s="275" t="s">
        <v>1100</v>
      </c>
      <c r="C24" s="169" t="s">
        <v>118</v>
      </c>
      <c r="D24" s="367"/>
      <c r="E24" s="367"/>
      <c r="F24" s="360"/>
      <c r="G24" s="360"/>
      <c r="H24" s="360"/>
      <c r="I24" s="360"/>
      <c r="J24" s="360"/>
      <c r="K24" s="360"/>
      <c r="L24" s="683"/>
      <c r="M24" s="367"/>
      <c r="N24" s="874">
        <f t="shared" si="2"/>
        <v>0</v>
      </c>
      <c r="O24" s="875" t="str">
        <f t="shared" si="1"/>
        <v>NO</v>
      </c>
      <c r="P24" s="209"/>
      <c r="Q24" s="193"/>
      <c r="R24" s="193"/>
    </row>
    <row r="25" spans="1:18" ht="14.25" customHeight="1" x14ac:dyDescent="0.3">
      <c r="A25" s="169"/>
      <c r="B25" s="275" t="s">
        <v>1099</v>
      </c>
      <c r="C25" s="169" t="s">
        <v>37</v>
      </c>
      <c r="D25" s="367"/>
      <c r="E25" s="367"/>
      <c r="F25" s="360"/>
      <c r="G25" s="360"/>
      <c r="H25" s="360"/>
      <c r="I25" s="360"/>
      <c r="J25" s="360"/>
      <c r="K25" s="360"/>
      <c r="L25" s="683"/>
      <c r="M25" s="367"/>
      <c r="N25" s="874">
        <f t="shared" si="2"/>
        <v>0</v>
      </c>
      <c r="O25" s="875" t="str">
        <f t="shared" si="1"/>
        <v>NO</v>
      </c>
      <c r="P25" s="209"/>
      <c r="Q25" s="193"/>
      <c r="R25" s="193"/>
    </row>
    <row r="26" spans="1:18" ht="14.25" customHeight="1" x14ac:dyDescent="0.3">
      <c r="A26" s="169"/>
      <c r="B26" s="275" t="s">
        <v>1101</v>
      </c>
      <c r="C26" s="169" t="s">
        <v>38</v>
      </c>
      <c r="D26" s="367"/>
      <c r="E26" s="367"/>
      <c r="F26" s="360"/>
      <c r="G26" s="360"/>
      <c r="H26" s="360"/>
      <c r="I26" s="360"/>
      <c r="J26" s="360"/>
      <c r="K26" s="360"/>
      <c r="L26" s="683"/>
      <c r="M26" s="367"/>
      <c r="N26" s="874">
        <f t="shared" si="2"/>
        <v>0</v>
      </c>
      <c r="O26" s="875" t="str">
        <f t="shared" si="1"/>
        <v>NO</v>
      </c>
      <c r="P26" s="209"/>
      <c r="Q26" s="193"/>
      <c r="R26" s="193"/>
    </row>
    <row r="27" spans="1:18" ht="14.25" customHeight="1" x14ac:dyDescent="0.3">
      <c r="A27" s="169"/>
      <c r="B27" s="275"/>
      <c r="C27" s="169"/>
      <c r="D27" s="367"/>
      <c r="E27" s="367"/>
      <c r="F27" s="360"/>
      <c r="G27" s="360"/>
      <c r="H27" s="360"/>
      <c r="I27" s="360"/>
      <c r="J27" s="360"/>
      <c r="K27" s="360"/>
      <c r="L27" s="683"/>
      <c r="M27" s="367"/>
      <c r="N27" s="874">
        <f t="shared" si="2"/>
        <v>0</v>
      </c>
      <c r="O27" s="875" t="str">
        <f t="shared" si="1"/>
        <v>NO</v>
      </c>
      <c r="P27" s="209"/>
      <c r="Q27" s="193"/>
      <c r="R27" s="193"/>
    </row>
    <row r="28" spans="1:18" ht="14.25" customHeight="1" x14ac:dyDescent="0.25"/>
    <row r="29" spans="1:18" ht="14.25" customHeight="1" x14ac:dyDescent="0.25">
      <c r="Q29" s="885" t="s">
        <v>1140</v>
      </c>
      <c r="R29" s="885"/>
    </row>
    <row r="30" spans="1:18" ht="14.25" customHeight="1" x14ac:dyDescent="0.25">
      <c r="Q30" s="889" t="s">
        <v>1141</v>
      </c>
      <c r="R30" s="890">
        <f>COUNTIF($O$7:$O$27,"SI")</f>
        <v>0</v>
      </c>
    </row>
    <row r="31" spans="1:18" ht="14.25" customHeight="1" x14ac:dyDescent="0.25">
      <c r="Q31" s="889" t="s">
        <v>1142</v>
      </c>
      <c r="R31" s="890">
        <f>COUNTIF($O$7:$O$27,"NO")</f>
        <v>19</v>
      </c>
    </row>
    <row r="32" spans="1:18" ht="14.25" customHeight="1" x14ac:dyDescent="0.25">
      <c r="Q32" s="889" t="s">
        <v>1143</v>
      </c>
      <c r="R32" s="890">
        <f>R30+R31</f>
        <v>19</v>
      </c>
    </row>
    <row r="33" spans="16:18" ht="14.25" customHeight="1" x14ac:dyDescent="0.25">
      <c r="Q33" s="891" t="s">
        <v>1144</v>
      </c>
      <c r="R33" s="892">
        <f>R30/R32</f>
        <v>0</v>
      </c>
    </row>
    <row r="34" spans="16:18" ht="14.25" customHeight="1" x14ac:dyDescent="0.25"/>
    <row r="35" spans="16:18" ht="14.25" customHeight="1" x14ac:dyDescent="0.25"/>
    <row r="36" spans="16:18" ht="14.25" customHeight="1" x14ac:dyDescent="0.25"/>
    <row r="37" spans="16:18" ht="14.25" customHeight="1" x14ac:dyDescent="0.25">
      <c r="P37" s="885" t="s">
        <v>1112</v>
      </c>
      <c r="Q37" s="885"/>
      <c r="R37" s="885"/>
    </row>
    <row r="38" spans="16:18" ht="14.25" customHeight="1" x14ac:dyDescent="0.25">
      <c r="P38" s="886" t="s">
        <v>1113</v>
      </c>
      <c r="Q38" s="886" t="s">
        <v>1</v>
      </c>
      <c r="R38" s="886" t="s">
        <v>28</v>
      </c>
    </row>
    <row r="39" spans="16:18" ht="14.25" customHeight="1" x14ac:dyDescent="0.25">
      <c r="P39" s="888" t="s">
        <v>1114</v>
      </c>
      <c r="Q39" s="887" t="s">
        <v>1115</v>
      </c>
      <c r="R39" s="888">
        <f>COUNTIF($V$10:$V$61,P39)</f>
        <v>0</v>
      </c>
    </row>
    <row r="40" spans="16:18" ht="14.25" customHeight="1" x14ac:dyDescent="0.25">
      <c r="P40" s="888" t="s">
        <v>1116</v>
      </c>
      <c r="Q40" s="887" t="s">
        <v>1117</v>
      </c>
      <c r="R40" s="888">
        <f t="shared" ref="R40:R52" si="3">COUNTIF($V$10:$V$61,P40)</f>
        <v>0</v>
      </c>
    </row>
    <row r="41" spans="16:18" ht="14.25" customHeight="1" x14ac:dyDescent="0.25">
      <c r="P41" s="888" t="s">
        <v>1118</v>
      </c>
      <c r="Q41" s="887" t="s">
        <v>1119</v>
      </c>
      <c r="R41" s="888">
        <f t="shared" si="3"/>
        <v>0</v>
      </c>
    </row>
    <row r="42" spans="16:18" ht="14.25" customHeight="1" x14ac:dyDescent="0.25">
      <c r="P42" s="888" t="s">
        <v>1120</v>
      </c>
      <c r="Q42" s="887" t="s">
        <v>1121</v>
      </c>
      <c r="R42" s="888">
        <f t="shared" si="3"/>
        <v>0</v>
      </c>
    </row>
    <row r="43" spans="16:18" ht="14.25" customHeight="1" x14ac:dyDescent="0.25">
      <c r="P43" s="888" t="s">
        <v>1122</v>
      </c>
      <c r="Q43" s="887" t="s">
        <v>116</v>
      </c>
      <c r="R43" s="888">
        <f t="shared" si="3"/>
        <v>0</v>
      </c>
    </row>
    <row r="44" spans="16:18" ht="14.25" customHeight="1" x14ac:dyDescent="0.25">
      <c r="P44" s="888" t="s">
        <v>1123</v>
      </c>
      <c r="Q44" s="887" t="s">
        <v>1124</v>
      </c>
      <c r="R44" s="888">
        <f t="shared" si="3"/>
        <v>0</v>
      </c>
    </row>
    <row r="45" spans="16:18" ht="14.25" customHeight="1" x14ac:dyDescent="0.25">
      <c r="P45" s="888" t="s">
        <v>1125</v>
      </c>
      <c r="Q45" s="887" t="s">
        <v>1126</v>
      </c>
      <c r="R45" s="888">
        <f t="shared" si="3"/>
        <v>0</v>
      </c>
    </row>
    <row r="46" spans="16:18" ht="14.25" customHeight="1" x14ac:dyDescent="0.25">
      <c r="P46" s="888" t="s">
        <v>1127</v>
      </c>
      <c r="Q46" s="887" t="s">
        <v>1128</v>
      </c>
      <c r="R46" s="888">
        <f t="shared" si="3"/>
        <v>0</v>
      </c>
    </row>
    <row r="47" spans="16:18" ht="14.25" customHeight="1" x14ac:dyDescent="0.25">
      <c r="P47" s="888" t="s">
        <v>1129</v>
      </c>
      <c r="Q47" s="887" t="s">
        <v>1130</v>
      </c>
      <c r="R47" s="888">
        <f t="shared" si="3"/>
        <v>0</v>
      </c>
    </row>
    <row r="48" spans="16:18" ht="14.25" customHeight="1" x14ac:dyDescent="0.25">
      <c r="P48" s="888" t="s">
        <v>1131</v>
      </c>
      <c r="Q48" s="887" t="s">
        <v>1132</v>
      </c>
      <c r="R48" s="888">
        <f t="shared" si="3"/>
        <v>0</v>
      </c>
    </row>
    <row r="49" spans="16:18" ht="14.25" customHeight="1" x14ac:dyDescent="0.25">
      <c r="P49" s="888" t="s">
        <v>1133</v>
      </c>
      <c r="Q49" s="887" t="s">
        <v>1134</v>
      </c>
      <c r="R49" s="888">
        <f t="shared" si="3"/>
        <v>0</v>
      </c>
    </row>
    <row r="50" spans="16:18" ht="14.25" customHeight="1" x14ac:dyDescent="0.25">
      <c r="P50" s="888" t="s">
        <v>1135</v>
      </c>
      <c r="Q50" s="887" t="s">
        <v>105</v>
      </c>
      <c r="R50" s="888">
        <f t="shared" si="3"/>
        <v>0</v>
      </c>
    </row>
    <row r="51" spans="16:18" ht="14.25" customHeight="1" x14ac:dyDescent="0.25">
      <c r="P51" s="888" t="s">
        <v>1136</v>
      </c>
      <c r="Q51" s="887" t="s">
        <v>1137</v>
      </c>
      <c r="R51" s="888">
        <f t="shared" si="3"/>
        <v>0</v>
      </c>
    </row>
    <row r="52" spans="16:18" ht="14.25" customHeight="1" x14ac:dyDescent="0.25">
      <c r="P52" s="888" t="s">
        <v>1138</v>
      </c>
      <c r="Q52" s="887" t="s">
        <v>1139</v>
      </c>
      <c r="R52" s="888">
        <f t="shared" si="3"/>
        <v>0</v>
      </c>
    </row>
    <row r="53" spans="16:18" ht="14.25" customHeight="1" x14ac:dyDescent="0.25"/>
    <row r="54" spans="16:18" ht="14.25" customHeight="1" x14ac:dyDescent="0.25"/>
    <row r="55" spans="16:18" ht="14.25" customHeight="1" x14ac:dyDescent="0.25"/>
    <row r="56" spans="16:18" ht="14.25" customHeight="1" x14ac:dyDescent="0.25"/>
    <row r="57" spans="16:18" ht="14.25" customHeight="1" x14ac:dyDescent="0.25"/>
    <row r="58" spans="16:18" ht="14.25" customHeight="1" x14ac:dyDescent="0.25"/>
    <row r="59" spans="16:18" ht="14.25" customHeight="1" x14ac:dyDescent="0.25"/>
    <row r="60" spans="16:18" ht="14.25" customHeight="1" x14ac:dyDescent="0.25"/>
    <row r="61" spans="16:18" ht="14.25" customHeight="1" x14ac:dyDescent="0.25"/>
    <row r="62" spans="16:18" ht="14.25" customHeight="1" x14ac:dyDescent="0.25"/>
    <row r="63" spans="16:18" ht="14.25" customHeight="1" x14ac:dyDescent="0.25"/>
    <row r="64" spans="16:18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</sheetData>
  <mergeCells count="13">
    <mergeCell ref="P37:R37"/>
    <mergeCell ref="Q29:R29"/>
    <mergeCell ref="E3:E4"/>
    <mergeCell ref="M3:M4"/>
    <mergeCell ref="N3:N4"/>
    <mergeCell ref="O3:O4"/>
    <mergeCell ref="P3:R4"/>
    <mergeCell ref="A1:C1"/>
    <mergeCell ref="A3:A4"/>
    <mergeCell ref="B3:B4"/>
    <mergeCell ref="C3:C4"/>
    <mergeCell ref="D3:D4"/>
    <mergeCell ref="F3:L3"/>
  </mergeCells>
  <conditionalFormatting sqref="F7:K8">
    <cfRule type="containsText" dxfId="7" priority="8" operator="containsText" text="X">
      <formula>NOT(ISERROR(SEARCH("X",F7)))</formula>
    </cfRule>
  </conditionalFormatting>
  <conditionalFormatting sqref="F10:K20">
    <cfRule type="containsText" dxfId="6" priority="4" operator="containsText" text="X">
      <formula>NOT(ISERROR(SEARCH("X",F10)))</formula>
    </cfRule>
  </conditionalFormatting>
  <conditionalFormatting sqref="F22:K27">
    <cfRule type="containsText" dxfId="5" priority="6" operator="containsText" text="X">
      <formula>NOT(ISERROR(SEARCH("X",F22)))</formula>
    </cfRule>
  </conditionalFormatting>
  <dataValidations count="1">
    <dataValidation type="list" allowBlank="1" showInputMessage="1" showErrorMessage="1" sqref="P24:P27 P10:P20 P22 P7:P8" xr:uid="{034A45FB-B46F-4B25-887D-99208704A4CB}">
      <formula1>$P$39:$P$52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1D543-7DA1-493D-BA45-4A99802E1440}">
  <dimension ref="B1:X52"/>
  <sheetViews>
    <sheetView showGridLines="0" zoomScale="85" zoomScaleNormal="85" workbookViewId="0">
      <selection activeCell="H3" sqref="H3"/>
    </sheetView>
  </sheetViews>
  <sheetFormatPr baseColWidth="10" defaultRowHeight="13.8" outlineLevelRow="1" x14ac:dyDescent="0.25"/>
  <cols>
    <col min="1" max="1" width="3.88671875" style="893" customWidth="1"/>
    <col min="2" max="2" width="11.5546875" style="893"/>
    <col min="3" max="3" width="19.33203125" style="893" customWidth="1"/>
    <col min="4" max="4" width="14.6640625" style="893" customWidth="1"/>
    <col min="5" max="5" width="18.5546875" style="897" customWidth="1"/>
    <col min="6" max="6" width="21.6640625" style="897" customWidth="1"/>
    <col min="7" max="7" width="11.5546875" style="898" customWidth="1"/>
    <col min="8" max="9" width="11.5546875" style="897" customWidth="1"/>
    <col min="10" max="10" width="16.33203125" style="893" customWidth="1"/>
    <col min="11" max="11" width="14" style="893" customWidth="1"/>
    <col min="12" max="18" width="6.6640625" style="901" customWidth="1"/>
    <col min="19" max="21" width="14" style="897" customWidth="1"/>
    <col min="22" max="22" width="11" style="893" customWidth="1"/>
    <col min="23" max="24" width="44" style="893" customWidth="1"/>
    <col min="25" max="16384" width="11.5546875" style="893"/>
  </cols>
  <sheetData>
    <row r="1" spans="2:24" ht="22.8" x14ac:dyDescent="0.4">
      <c r="C1" s="933" t="s">
        <v>1156</v>
      </c>
      <c r="D1" s="933"/>
      <c r="E1" s="933"/>
    </row>
    <row r="2" spans="2:24" x14ac:dyDescent="0.25">
      <c r="C2" s="894"/>
      <c r="D2" s="895"/>
      <c r="E2" s="896"/>
      <c r="L2" s="899"/>
      <c r="M2" s="899"/>
      <c r="N2" s="899"/>
      <c r="O2" s="899"/>
      <c r="P2" s="899"/>
      <c r="Q2" s="899"/>
      <c r="R2" s="899"/>
      <c r="S2" s="899"/>
      <c r="T2" s="899"/>
      <c r="W2" s="894" t="s">
        <v>1145</v>
      </c>
      <c r="X2" s="900">
        <v>43853</v>
      </c>
    </row>
    <row r="3" spans="2:24" x14ac:dyDescent="0.25">
      <c r="B3" s="893">
        <v>1</v>
      </c>
      <c r="C3" s="893" t="s">
        <v>1146</v>
      </c>
    </row>
    <row r="5" spans="2:24" x14ac:dyDescent="0.25">
      <c r="C5" s="902" t="s">
        <v>1147</v>
      </c>
      <c r="D5" s="903" t="e">
        <f>AVERAGE(F10:F26)</f>
        <v>#DIV/0!</v>
      </c>
    </row>
    <row r="7" spans="2:24" x14ac:dyDescent="0.25">
      <c r="B7" s="893">
        <v>2</v>
      </c>
      <c r="C7" s="893" t="s">
        <v>1148</v>
      </c>
    </row>
    <row r="9" spans="2:24" ht="29.25" customHeight="1" x14ac:dyDescent="0.25">
      <c r="C9" s="904" t="s">
        <v>219</v>
      </c>
      <c r="D9" s="905" t="s">
        <v>1149</v>
      </c>
      <c r="E9" s="905" t="s">
        <v>1150</v>
      </c>
      <c r="F9" s="904" t="s">
        <v>439</v>
      </c>
    </row>
    <row r="10" spans="2:24" x14ac:dyDescent="0.25">
      <c r="C10" s="906">
        <v>1</v>
      </c>
      <c r="D10" s="929">
        <f>'PPC S1'!R32</f>
        <v>19</v>
      </c>
      <c r="E10" s="930">
        <f>'PPC S1'!R30</f>
        <v>0</v>
      </c>
      <c r="F10" s="908">
        <f>E10/D10</f>
        <v>0</v>
      </c>
    </row>
    <row r="11" spans="2:24" x14ac:dyDescent="0.25">
      <c r="C11" s="906">
        <f>C10+1</f>
        <v>2</v>
      </c>
      <c r="D11" s="902"/>
      <c r="E11" s="907"/>
      <c r="F11" s="908" t="e">
        <f t="shared" ref="F11:F26" si="0">E11/D11</f>
        <v>#DIV/0!</v>
      </c>
    </row>
    <row r="12" spans="2:24" x14ac:dyDescent="0.25">
      <c r="C12" s="906">
        <f t="shared" ref="C12:C26" si="1">C11+1</f>
        <v>3</v>
      </c>
      <c r="D12" s="902"/>
      <c r="E12" s="907"/>
      <c r="F12" s="908" t="e">
        <f t="shared" si="0"/>
        <v>#DIV/0!</v>
      </c>
    </row>
    <row r="13" spans="2:24" x14ac:dyDescent="0.25">
      <c r="C13" s="906">
        <f t="shared" si="1"/>
        <v>4</v>
      </c>
      <c r="D13" s="902"/>
      <c r="E13" s="907"/>
      <c r="F13" s="908" t="e">
        <f t="shared" si="0"/>
        <v>#DIV/0!</v>
      </c>
    </row>
    <row r="14" spans="2:24" s="898" customFormat="1" x14ac:dyDescent="0.25">
      <c r="B14" s="893"/>
      <c r="C14" s="906">
        <f t="shared" si="1"/>
        <v>5</v>
      </c>
      <c r="D14" s="902"/>
      <c r="E14" s="907"/>
      <c r="F14" s="908" t="e">
        <f t="shared" si="0"/>
        <v>#DIV/0!</v>
      </c>
      <c r="H14" s="897"/>
      <c r="I14" s="897"/>
      <c r="J14" s="893"/>
      <c r="K14" s="893"/>
      <c r="L14" s="901"/>
      <c r="M14" s="901"/>
      <c r="N14" s="901"/>
      <c r="O14" s="901"/>
      <c r="P14" s="901"/>
      <c r="Q14" s="901"/>
      <c r="R14" s="901"/>
      <c r="S14" s="897"/>
      <c r="T14" s="897"/>
      <c r="U14" s="897"/>
      <c r="V14" s="893"/>
      <c r="W14" s="893"/>
      <c r="X14" s="893"/>
    </row>
    <row r="15" spans="2:24" s="898" customFormat="1" x14ac:dyDescent="0.25">
      <c r="B15" s="893"/>
      <c r="C15" s="906">
        <f t="shared" si="1"/>
        <v>6</v>
      </c>
      <c r="D15" s="902"/>
      <c r="E15" s="907"/>
      <c r="F15" s="908" t="e">
        <f t="shared" si="0"/>
        <v>#DIV/0!</v>
      </c>
      <c r="H15" s="897"/>
      <c r="I15" s="897"/>
      <c r="J15" s="893"/>
      <c r="K15" s="893"/>
      <c r="L15" s="901"/>
      <c r="M15" s="901"/>
      <c r="N15" s="901"/>
      <c r="O15" s="901"/>
      <c r="P15" s="901"/>
      <c r="Q15" s="901"/>
      <c r="R15" s="901"/>
      <c r="S15" s="897"/>
      <c r="T15" s="897"/>
      <c r="U15" s="897"/>
      <c r="V15" s="893"/>
      <c r="W15" s="893"/>
      <c r="X15" s="893"/>
    </row>
    <row r="16" spans="2:24" s="898" customFormat="1" x14ac:dyDescent="0.25">
      <c r="B16" s="893"/>
      <c r="C16" s="906">
        <f t="shared" si="1"/>
        <v>7</v>
      </c>
      <c r="D16" s="902"/>
      <c r="E16" s="907"/>
      <c r="F16" s="908" t="e">
        <f t="shared" si="0"/>
        <v>#DIV/0!</v>
      </c>
      <c r="H16" s="897"/>
      <c r="I16" s="897"/>
      <c r="J16" s="893"/>
      <c r="K16" s="893"/>
      <c r="L16" s="901"/>
      <c r="M16" s="901"/>
      <c r="N16" s="901"/>
      <c r="O16" s="901"/>
      <c r="P16" s="901"/>
      <c r="Q16" s="901"/>
      <c r="R16" s="901"/>
      <c r="S16" s="897"/>
      <c r="T16" s="897"/>
      <c r="U16" s="897"/>
      <c r="V16" s="893"/>
      <c r="W16" s="893"/>
      <c r="X16" s="893"/>
    </row>
    <row r="17" spans="2:24" s="898" customFormat="1" x14ac:dyDescent="0.25">
      <c r="B17" s="893"/>
      <c r="C17" s="906">
        <f t="shared" si="1"/>
        <v>8</v>
      </c>
      <c r="D17" s="902"/>
      <c r="E17" s="907"/>
      <c r="F17" s="908" t="e">
        <f t="shared" si="0"/>
        <v>#DIV/0!</v>
      </c>
      <c r="H17" s="897"/>
      <c r="I17" s="897"/>
      <c r="J17" s="893"/>
      <c r="K17" s="893"/>
      <c r="L17" s="901"/>
      <c r="M17" s="901"/>
      <c r="N17" s="901"/>
      <c r="O17" s="901"/>
      <c r="P17" s="901"/>
      <c r="Q17" s="901"/>
      <c r="R17" s="901"/>
      <c r="S17" s="897"/>
      <c r="T17" s="897"/>
      <c r="U17" s="897"/>
      <c r="V17" s="893"/>
      <c r="W17" s="893"/>
      <c r="X17" s="893"/>
    </row>
    <row r="18" spans="2:24" s="898" customFormat="1" x14ac:dyDescent="0.25">
      <c r="B18" s="893"/>
      <c r="C18" s="906">
        <f t="shared" si="1"/>
        <v>9</v>
      </c>
      <c r="D18" s="902"/>
      <c r="E18" s="907"/>
      <c r="F18" s="908" t="e">
        <f t="shared" si="0"/>
        <v>#DIV/0!</v>
      </c>
      <c r="H18" s="897"/>
      <c r="I18" s="897"/>
      <c r="J18" s="893"/>
      <c r="K18" s="893"/>
      <c r="L18" s="901"/>
      <c r="M18" s="901"/>
      <c r="N18" s="901"/>
      <c r="O18" s="901"/>
      <c r="P18" s="901"/>
      <c r="Q18" s="901"/>
      <c r="R18" s="901"/>
      <c r="S18" s="897"/>
      <c r="T18" s="897"/>
      <c r="U18" s="897"/>
      <c r="V18" s="893"/>
      <c r="W18" s="893"/>
      <c r="X18" s="893"/>
    </row>
    <row r="19" spans="2:24" s="898" customFormat="1" x14ac:dyDescent="0.25">
      <c r="B19" s="893"/>
      <c r="C19" s="906">
        <f t="shared" si="1"/>
        <v>10</v>
      </c>
      <c r="D19" s="902"/>
      <c r="E19" s="907"/>
      <c r="F19" s="908" t="e">
        <f t="shared" si="0"/>
        <v>#DIV/0!</v>
      </c>
      <c r="H19" s="897"/>
      <c r="I19" s="897"/>
      <c r="J19" s="893"/>
      <c r="K19" s="893"/>
      <c r="L19" s="901"/>
      <c r="M19" s="901"/>
      <c r="N19" s="901"/>
      <c r="O19" s="901"/>
      <c r="P19" s="901"/>
      <c r="Q19" s="901"/>
      <c r="R19" s="901"/>
      <c r="S19" s="897"/>
      <c r="T19" s="897"/>
      <c r="U19" s="897"/>
      <c r="V19" s="893"/>
      <c r="W19" s="893"/>
      <c r="X19" s="893"/>
    </row>
    <row r="20" spans="2:24" s="898" customFormat="1" x14ac:dyDescent="0.25">
      <c r="B20" s="893"/>
      <c r="C20" s="906">
        <f t="shared" si="1"/>
        <v>11</v>
      </c>
      <c r="D20" s="902"/>
      <c r="E20" s="907"/>
      <c r="F20" s="908" t="e">
        <f t="shared" si="0"/>
        <v>#DIV/0!</v>
      </c>
      <c r="H20" s="897"/>
      <c r="I20" s="897"/>
      <c r="J20" s="893"/>
      <c r="K20" s="893"/>
      <c r="L20" s="901"/>
      <c r="M20" s="901"/>
      <c r="N20" s="901"/>
      <c r="O20" s="901"/>
      <c r="P20" s="901"/>
      <c r="Q20" s="901"/>
      <c r="R20" s="901"/>
      <c r="S20" s="897"/>
      <c r="T20" s="897"/>
      <c r="U20" s="897"/>
      <c r="V20" s="893"/>
      <c r="W20" s="893"/>
      <c r="X20" s="893"/>
    </row>
    <row r="21" spans="2:24" s="898" customFormat="1" x14ac:dyDescent="0.25">
      <c r="B21" s="893"/>
      <c r="C21" s="906">
        <f t="shared" si="1"/>
        <v>12</v>
      </c>
      <c r="D21" s="902"/>
      <c r="E21" s="907"/>
      <c r="F21" s="908" t="e">
        <f t="shared" si="0"/>
        <v>#DIV/0!</v>
      </c>
      <c r="H21" s="897"/>
      <c r="I21" s="897"/>
      <c r="J21" s="893"/>
      <c r="K21" s="893"/>
      <c r="L21" s="901"/>
      <c r="M21" s="901"/>
      <c r="N21" s="901"/>
      <c r="O21" s="901"/>
      <c r="P21" s="901"/>
      <c r="Q21" s="901"/>
      <c r="R21" s="901"/>
      <c r="S21" s="897"/>
      <c r="T21" s="897"/>
      <c r="U21" s="897"/>
      <c r="V21" s="893"/>
      <c r="W21" s="893"/>
      <c r="X21" s="893"/>
    </row>
    <row r="22" spans="2:24" s="898" customFormat="1" x14ac:dyDescent="0.25">
      <c r="B22" s="893"/>
      <c r="C22" s="906">
        <f t="shared" si="1"/>
        <v>13</v>
      </c>
      <c r="D22" s="902"/>
      <c r="E22" s="907"/>
      <c r="F22" s="908" t="e">
        <f t="shared" si="0"/>
        <v>#DIV/0!</v>
      </c>
      <c r="H22" s="897"/>
      <c r="I22" s="897"/>
      <c r="J22" s="893"/>
      <c r="K22" s="893"/>
      <c r="L22" s="901"/>
      <c r="M22" s="901"/>
      <c r="N22" s="901"/>
      <c r="O22" s="901"/>
      <c r="P22" s="901"/>
      <c r="Q22" s="901"/>
      <c r="R22" s="901"/>
      <c r="S22" s="897"/>
      <c r="T22" s="897"/>
      <c r="U22" s="897"/>
      <c r="V22" s="893"/>
      <c r="W22" s="893"/>
      <c r="X22" s="893"/>
    </row>
    <row r="23" spans="2:24" s="898" customFormat="1" x14ac:dyDescent="0.25">
      <c r="B23" s="893"/>
      <c r="C23" s="906">
        <f t="shared" si="1"/>
        <v>14</v>
      </c>
      <c r="D23" s="902"/>
      <c r="E23" s="907"/>
      <c r="F23" s="908" t="e">
        <f t="shared" si="0"/>
        <v>#DIV/0!</v>
      </c>
      <c r="H23" s="897"/>
      <c r="I23" s="897"/>
      <c r="J23" s="893"/>
      <c r="K23" s="893"/>
      <c r="L23" s="901"/>
      <c r="M23" s="901"/>
      <c r="N23" s="901"/>
      <c r="O23" s="901"/>
      <c r="P23" s="901"/>
      <c r="Q23" s="901"/>
      <c r="R23" s="901"/>
      <c r="S23" s="897"/>
      <c r="T23" s="897"/>
      <c r="U23" s="897"/>
      <c r="V23" s="893"/>
      <c r="W23" s="893"/>
      <c r="X23" s="893"/>
    </row>
    <row r="24" spans="2:24" s="898" customFormat="1" x14ac:dyDescent="0.25">
      <c r="B24" s="893"/>
      <c r="C24" s="906">
        <f t="shared" si="1"/>
        <v>15</v>
      </c>
      <c r="D24" s="902"/>
      <c r="E24" s="907"/>
      <c r="F24" s="908" t="e">
        <f t="shared" si="0"/>
        <v>#DIV/0!</v>
      </c>
      <c r="H24" s="897"/>
      <c r="I24" s="897"/>
      <c r="J24" s="893"/>
      <c r="K24" s="893"/>
      <c r="L24" s="901"/>
      <c r="M24" s="901"/>
      <c r="N24" s="901"/>
      <c r="O24" s="901"/>
      <c r="P24" s="901"/>
      <c r="Q24" s="901"/>
      <c r="R24" s="901"/>
      <c r="S24" s="897"/>
      <c r="T24" s="897"/>
      <c r="U24" s="897"/>
      <c r="V24" s="893"/>
      <c r="W24" s="893"/>
      <c r="X24" s="893"/>
    </row>
    <row r="25" spans="2:24" s="898" customFormat="1" x14ac:dyDescent="0.25">
      <c r="B25" s="893"/>
      <c r="C25" s="906">
        <f t="shared" si="1"/>
        <v>16</v>
      </c>
      <c r="D25" s="902"/>
      <c r="E25" s="907"/>
      <c r="F25" s="908" t="e">
        <f t="shared" si="0"/>
        <v>#DIV/0!</v>
      </c>
      <c r="H25" s="897"/>
      <c r="I25" s="897"/>
      <c r="J25" s="893"/>
      <c r="K25" s="893"/>
      <c r="L25" s="901"/>
      <c r="M25" s="901"/>
      <c r="N25" s="901"/>
      <c r="O25" s="901"/>
      <c r="P25" s="901"/>
      <c r="Q25" s="901"/>
      <c r="R25" s="901"/>
      <c r="S25" s="897"/>
      <c r="T25" s="897"/>
      <c r="U25" s="897"/>
      <c r="V25" s="893"/>
      <c r="W25" s="893"/>
      <c r="X25" s="893"/>
    </row>
    <row r="26" spans="2:24" s="898" customFormat="1" x14ac:dyDescent="0.25">
      <c r="B26" s="893"/>
      <c r="C26" s="906">
        <f t="shared" si="1"/>
        <v>17</v>
      </c>
      <c r="D26" s="902"/>
      <c r="E26" s="907"/>
      <c r="F26" s="908" t="e">
        <f t="shared" si="0"/>
        <v>#DIV/0!</v>
      </c>
      <c r="H26" s="897"/>
      <c r="I26" s="897"/>
      <c r="J26" s="893"/>
      <c r="K26" s="893"/>
      <c r="L26" s="901"/>
      <c r="M26" s="901"/>
      <c r="N26" s="901"/>
      <c r="O26" s="901"/>
      <c r="P26" s="901"/>
      <c r="Q26" s="901"/>
      <c r="R26" s="901"/>
      <c r="S26" s="897"/>
      <c r="T26" s="897"/>
      <c r="U26" s="897"/>
      <c r="V26" s="893"/>
      <c r="W26" s="893"/>
      <c r="X26" s="893"/>
    </row>
    <row r="29" spans="2:24" s="898" customFormat="1" x14ac:dyDescent="0.25">
      <c r="B29" s="893">
        <v>3</v>
      </c>
      <c r="C29" s="893" t="s">
        <v>1151</v>
      </c>
      <c r="D29" s="893"/>
      <c r="E29" s="897"/>
      <c r="F29" s="897"/>
      <c r="H29" s="897"/>
      <c r="I29" s="897"/>
      <c r="J29" s="893"/>
      <c r="K29" s="893"/>
      <c r="L29" s="901"/>
      <c r="M29" s="901"/>
      <c r="N29" s="901"/>
      <c r="O29" s="901"/>
      <c r="P29" s="901"/>
      <c r="Q29" s="901"/>
      <c r="R29" s="901"/>
      <c r="S29" s="897"/>
      <c r="T29" s="897"/>
      <c r="U29" s="897"/>
      <c r="V29" s="893"/>
      <c r="W29" s="893"/>
      <c r="X29" s="893"/>
    </row>
    <row r="31" spans="2:24" s="898" customFormat="1" outlineLevel="1" x14ac:dyDescent="0.25">
      <c r="B31" s="893"/>
      <c r="C31" s="909" t="s">
        <v>1152</v>
      </c>
      <c r="D31" s="909" t="s">
        <v>1109</v>
      </c>
      <c r="E31" s="909" t="s">
        <v>1006</v>
      </c>
      <c r="F31" s="910" t="s">
        <v>1</v>
      </c>
      <c r="H31" s="897"/>
      <c r="I31" s="897"/>
      <c r="J31" s="893"/>
      <c r="K31" s="893"/>
      <c r="L31" s="901"/>
      <c r="M31" s="901"/>
      <c r="N31" s="901"/>
      <c r="O31" s="901"/>
      <c r="P31" s="901"/>
      <c r="Q31" s="901"/>
      <c r="R31" s="901"/>
      <c r="S31" s="897"/>
      <c r="T31" s="897"/>
      <c r="U31" s="897"/>
      <c r="V31" s="893"/>
      <c r="W31" s="893"/>
      <c r="X31" s="893"/>
    </row>
    <row r="32" spans="2:24" s="898" customFormat="1" outlineLevel="1" x14ac:dyDescent="0.25">
      <c r="B32" s="893"/>
      <c r="C32" s="911">
        <v>1</v>
      </c>
      <c r="D32" s="903" t="s">
        <v>1116</v>
      </c>
      <c r="E32" s="903" t="s">
        <v>1153</v>
      </c>
      <c r="F32" s="912" t="str">
        <f>INDEX($D$38:$D$51,MATCH(D32,$C$38:$C$51,0))</f>
        <v xml:space="preserve">CLIENTE - INGENIERÍA </v>
      </c>
      <c r="H32" s="897"/>
      <c r="I32" s="897"/>
      <c r="J32" s="893"/>
      <c r="K32" s="893"/>
      <c r="L32" s="901"/>
      <c r="M32" s="901"/>
      <c r="N32" s="901"/>
      <c r="O32" s="901"/>
      <c r="P32" s="901"/>
      <c r="Q32" s="901"/>
      <c r="R32" s="901"/>
      <c r="S32" s="897"/>
      <c r="T32" s="897"/>
      <c r="U32" s="897"/>
      <c r="V32" s="893"/>
      <c r="W32" s="893"/>
      <c r="X32" s="893"/>
    </row>
    <row r="33" spans="2:24" s="898" customFormat="1" outlineLevel="1" x14ac:dyDescent="0.25">
      <c r="B33" s="893"/>
      <c r="C33" s="911">
        <v>1</v>
      </c>
      <c r="D33" s="902" t="s">
        <v>1116</v>
      </c>
      <c r="E33" s="902" t="s">
        <v>1153</v>
      </c>
      <c r="F33" s="912" t="str">
        <f>INDEX($D$38:$D$51,MATCH(D33,$C$38:$C$51,0))</f>
        <v xml:space="preserve">CLIENTE - INGENIERÍA </v>
      </c>
      <c r="H33" s="897"/>
      <c r="I33" s="897"/>
      <c r="J33" s="893"/>
      <c r="K33" s="893"/>
      <c r="L33" s="901"/>
      <c r="M33" s="901"/>
      <c r="N33" s="901"/>
      <c r="O33" s="901"/>
      <c r="P33" s="901"/>
      <c r="Q33" s="901"/>
      <c r="R33" s="901"/>
      <c r="S33" s="897"/>
      <c r="T33" s="897"/>
      <c r="U33" s="897"/>
      <c r="V33" s="893"/>
      <c r="W33" s="893"/>
      <c r="X33" s="893"/>
    </row>
    <row r="34" spans="2:24" s="898" customFormat="1" outlineLevel="1" x14ac:dyDescent="0.25">
      <c r="B34" s="893"/>
      <c r="C34" s="911">
        <v>4</v>
      </c>
      <c r="D34" s="902" t="s">
        <v>1123</v>
      </c>
      <c r="E34" s="902" t="s">
        <v>1154</v>
      </c>
      <c r="F34" s="912" t="str">
        <f>INDEX($D$38:$D$51,MATCH(D34,$C$38:$C$51,0))</f>
        <v xml:space="preserve">DOCUMENTACION TECNICA  </v>
      </c>
      <c r="H34" s="897"/>
      <c r="I34" s="897"/>
      <c r="J34" s="893"/>
      <c r="K34" s="893"/>
      <c r="L34" s="901"/>
      <c r="M34" s="901"/>
      <c r="N34" s="901"/>
      <c r="O34" s="901"/>
      <c r="P34" s="901"/>
      <c r="Q34" s="901"/>
      <c r="R34" s="901"/>
      <c r="S34" s="897"/>
      <c r="T34" s="897"/>
      <c r="U34" s="897"/>
      <c r="V34" s="893"/>
      <c r="W34" s="893"/>
      <c r="X34" s="893"/>
    </row>
    <row r="35" spans="2:24" s="897" customFormat="1" x14ac:dyDescent="0.25">
      <c r="B35" s="893"/>
      <c r="C35" s="893"/>
      <c r="D35" s="893"/>
      <c r="E35" s="913"/>
      <c r="F35" s="914"/>
      <c r="G35" s="898"/>
      <c r="J35" s="893"/>
      <c r="K35" s="893"/>
      <c r="L35" s="901"/>
      <c r="M35" s="901"/>
      <c r="N35" s="901"/>
      <c r="O35" s="901"/>
      <c r="P35" s="901"/>
      <c r="Q35" s="901"/>
      <c r="R35" s="901"/>
      <c r="V35" s="893"/>
      <c r="W35" s="893"/>
      <c r="X35" s="893"/>
    </row>
    <row r="37" spans="2:24" s="897" customFormat="1" x14ac:dyDescent="0.25">
      <c r="B37" s="893"/>
      <c r="C37" s="915" t="s">
        <v>1113</v>
      </c>
      <c r="D37" s="916" t="s">
        <v>1</v>
      </c>
      <c r="E37" s="916"/>
      <c r="F37" s="917" t="s">
        <v>211</v>
      </c>
      <c r="G37" s="898"/>
      <c r="J37" s="893"/>
      <c r="K37" s="893"/>
      <c r="L37" s="901"/>
      <c r="M37" s="901"/>
      <c r="N37" s="901"/>
      <c r="O37" s="901"/>
      <c r="P37" s="901"/>
      <c r="Q37" s="901"/>
      <c r="R37" s="901"/>
      <c r="V37" s="893"/>
      <c r="W37" s="893"/>
      <c r="X37" s="893"/>
    </row>
    <row r="38" spans="2:24" s="897" customFormat="1" x14ac:dyDescent="0.25">
      <c r="B38" s="893"/>
      <c r="C38" s="918" t="s">
        <v>1114</v>
      </c>
      <c r="D38" s="919" t="s">
        <v>1115</v>
      </c>
      <c r="E38" s="920"/>
      <c r="F38" s="921">
        <f>COUNTIF($D$32:$D$34,C38)</f>
        <v>0</v>
      </c>
      <c r="G38" s="922"/>
      <c r="J38" s="893"/>
      <c r="K38" s="893"/>
      <c r="L38" s="901"/>
      <c r="M38" s="901"/>
      <c r="N38" s="901"/>
      <c r="O38" s="901"/>
      <c r="P38" s="901"/>
      <c r="Q38" s="901"/>
      <c r="R38" s="901"/>
      <c r="V38" s="893"/>
      <c r="W38" s="893"/>
      <c r="X38" s="893"/>
    </row>
    <row r="39" spans="2:24" s="897" customFormat="1" x14ac:dyDescent="0.25">
      <c r="B39" s="893"/>
      <c r="C39" s="918" t="s">
        <v>1116</v>
      </c>
      <c r="D39" s="919" t="s">
        <v>1117</v>
      </c>
      <c r="E39" s="920"/>
      <c r="F39" s="921">
        <f>COUNTIF($D$32:$D$34,C39)</f>
        <v>2</v>
      </c>
      <c r="G39" s="922"/>
      <c r="J39" s="893"/>
      <c r="K39" s="893"/>
      <c r="L39" s="901"/>
      <c r="M39" s="901"/>
      <c r="N39" s="901"/>
      <c r="O39" s="901"/>
      <c r="P39" s="901"/>
      <c r="Q39" s="901"/>
      <c r="R39" s="901"/>
      <c r="V39" s="893"/>
      <c r="W39" s="893"/>
      <c r="X39" s="893"/>
    </row>
    <row r="40" spans="2:24" s="897" customFormat="1" x14ac:dyDescent="0.25">
      <c r="B40" s="893"/>
      <c r="C40" s="923" t="s">
        <v>1118</v>
      </c>
      <c r="D40" s="924" t="s">
        <v>1119</v>
      </c>
      <c r="E40" s="925"/>
      <c r="F40" s="921">
        <f>COUNTIF($D$32:$D$34,C40)</f>
        <v>0</v>
      </c>
      <c r="G40" s="922"/>
      <c r="J40" s="893"/>
      <c r="K40" s="893"/>
      <c r="L40" s="901"/>
      <c r="M40" s="901"/>
      <c r="N40" s="901"/>
      <c r="O40" s="901"/>
      <c r="P40" s="901"/>
      <c r="Q40" s="901"/>
      <c r="R40" s="901"/>
      <c r="V40" s="893"/>
      <c r="W40" s="893"/>
      <c r="X40" s="893"/>
    </row>
    <row r="41" spans="2:24" s="897" customFormat="1" x14ac:dyDescent="0.25">
      <c r="B41" s="893"/>
      <c r="C41" s="918" t="s">
        <v>1120</v>
      </c>
      <c r="D41" s="919" t="s">
        <v>1121</v>
      </c>
      <c r="E41" s="920"/>
      <c r="F41" s="921">
        <f>COUNTIF($D$32:$D$34,C41)</f>
        <v>0</v>
      </c>
      <c r="G41" s="922"/>
      <c r="J41" s="893"/>
      <c r="K41" s="893"/>
      <c r="L41" s="901"/>
      <c r="M41" s="901"/>
      <c r="N41" s="901"/>
      <c r="O41" s="901"/>
      <c r="P41" s="901"/>
      <c r="Q41" s="901"/>
      <c r="R41" s="901"/>
      <c r="V41" s="893"/>
      <c r="W41" s="893"/>
      <c r="X41" s="893"/>
    </row>
    <row r="42" spans="2:24" s="897" customFormat="1" x14ac:dyDescent="0.25">
      <c r="B42" s="893"/>
      <c r="C42" s="918" t="s">
        <v>1122</v>
      </c>
      <c r="D42" s="926" t="s">
        <v>116</v>
      </c>
      <c r="E42" s="925"/>
      <c r="F42" s="921">
        <f>COUNTIF($D$32:$D$34,C42)</f>
        <v>0</v>
      </c>
      <c r="G42" s="922"/>
      <c r="J42" s="893"/>
      <c r="K42" s="893"/>
      <c r="L42" s="901"/>
      <c r="M42" s="901"/>
      <c r="N42" s="901"/>
      <c r="O42" s="901"/>
      <c r="P42" s="901"/>
      <c r="Q42" s="901"/>
      <c r="R42" s="901"/>
      <c r="V42" s="893"/>
      <c r="W42" s="893"/>
      <c r="X42" s="893"/>
    </row>
    <row r="43" spans="2:24" s="897" customFormat="1" x14ac:dyDescent="0.25">
      <c r="B43" s="893"/>
      <c r="C43" s="918" t="s">
        <v>1123</v>
      </c>
      <c r="D43" s="919" t="s">
        <v>1124</v>
      </c>
      <c r="E43" s="920"/>
      <c r="F43" s="921">
        <f>COUNTIF($D$32:$D$34,C43)</f>
        <v>1</v>
      </c>
      <c r="G43" s="922"/>
      <c r="J43" s="893"/>
      <c r="K43" s="893"/>
      <c r="L43" s="901"/>
      <c r="M43" s="901"/>
      <c r="N43" s="901"/>
      <c r="O43" s="901"/>
      <c r="P43" s="901"/>
      <c r="Q43" s="901"/>
      <c r="R43" s="901"/>
      <c r="V43" s="893"/>
      <c r="W43" s="893"/>
      <c r="X43" s="893"/>
    </row>
    <row r="44" spans="2:24" s="897" customFormat="1" x14ac:dyDescent="0.25">
      <c r="B44" s="893"/>
      <c r="C44" s="918" t="s">
        <v>1125</v>
      </c>
      <c r="D44" s="919" t="s">
        <v>1126</v>
      </c>
      <c r="E44" s="920"/>
      <c r="F44" s="921">
        <f>COUNTIF($D$32:$D$34,C44)</f>
        <v>0</v>
      </c>
      <c r="G44" s="922"/>
      <c r="J44" s="893"/>
      <c r="K44" s="893"/>
      <c r="L44" s="901"/>
      <c r="M44" s="901"/>
      <c r="N44" s="901"/>
      <c r="O44" s="901"/>
      <c r="P44" s="901"/>
      <c r="Q44" s="901"/>
      <c r="R44" s="901"/>
      <c r="V44" s="893"/>
      <c r="W44" s="893"/>
      <c r="X44" s="893"/>
    </row>
    <row r="45" spans="2:24" s="897" customFormat="1" x14ac:dyDescent="0.25">
      <c r="B45" s="893"/>
      <c r="C45" s="918" t="s">
        <v>1127</v>
      </c>
      <c r="D45" s="927" t="s">
        <v>1128</v>
      </c>
      <c r="E45" s="920"/>
      <c r="F45" s="921">
        <f>COUNTIF($D$32:$D$34,C45)</f>
        <v>0</v>
      </c>
      <c r="G45" s="922"/>
      <c r="J45" s="893"/>
      <c r="K45" s="893"/>
      <c r="L45" s="901"/>
      <c r="M45" s="901"/>
      <c r="N45" s="901"/>
      <c r="O45" s="901"/>
      <c r="P45" s="901"/>
      <c r="Q45" s="901"/>
      <c r="R45" s="901"/>
      <c r="V45" s="893"/>
      <c r="W45" s="893"/>
      <c r="X45" s="893"/>
    </row>
    <row r="46" spans="2:24" s="897" customFormat="1" x14ac:dyDescent="0.25">
      <c r="B46" s="893"/>
      <c r="C46" s="918" t="s">
        <v>1129</v>
      </c>
      <c r="D46" s="919" t="s">
        <v>1130</v>
      </c>
      <c r="E46" s="920"/>
      <c r="F46" s="921">
        <f>COUNTIF($D$32:$D$34,C46)</f>
        <v>0</v>
      </c>
      <c r="G46" s="922"/>
      <c r="J46" s="893"/>
      <c r="K46" s="893"/>
      <c r="L46" s="901"/>
      <c r="M46" s="901"/>
      <c r="N46" s="901"/>
      <c r="O46" s="901"/>
      <c r="P46" s="901"/>
      <c r="Q46" s="901"/>
      <c r="R46" s="901"/>
      <c r="V46" s="893"/>
      <c r="W46" s="893"/>
      <c r="X46" s="893"/>
    </row>
    <row r="47" spans="2:24" s="897" customFormat="1" x14ac:dyDescent="0.25">
      <c r="B47" s="893"/>
      <c r="C47" s="918" t="s">
        <v>1131</v>
      </c>
      <c r="D47" s="919" t="s">
        <v>1132</v>
      </c>
      <c r="E47" s="920"/>
      <c r="F47" s="921">
        <f>COUNTIF($D$32:$D$34,C47)</f>
        <v>0</v>
      </c>
      <c r="G47" s="922"/>
      <c r="J47" s="893"/>
      <c r="K47" s="893"/>
      <c r="L47" s="901"/>
      <c r="M47" s="901"/>
      <c r="N47" s="901"/>
      <c r="O47" s="901"/>
      <c r="P47" s="901"/>
      <c r="Q47" s="901"/>
      <c r="R47" s="901"/>
      <c r="V47" s="893"/>
      <c r="W47" s="893"/>
      <c r="X47" s="893"/>
    </row>
    <row r="48" spans="2:24" s="897" customFormat="1" x14ac:dyDescent="0.25">
      <c r="B48" s="893"/>
      <c r="C48" s="918" t="s">
        <v>1133</v>
      </c>
      <c r="D48" s="926" t="s">
        <v>1134</v>
      </c>
      <c r="E48" s="925"/>
      <c r="F48" s="921">
        <f>COUNTIF($D$32:$D$34,C48)</f>
        <v>0</v>
      </c>
      <c r="G48" s="922"/>
      <c r="J48" s="893"/>
      <c r="K48" s="893"/>
      <c r="L48" s="901"/>
      <c r="M48" s="901"/>
      <c r="N48" s="901"/>
      <c r="O48" s="901"/>
      <c r="P48" s="901"/>
      <c r="Q48" s="901"/>
      <c r="R48" s="901"/>
      <c r="V48" s="893"/>
      <c r="W48" s="893"/>
      <c r="X48" s="893"/>
    </row>
    <row r="49" spans="2:24" s="897" customFormat="1" x14ac:dyDescent="0.25">
      <c r="B49" s="893"/>
      <c r="C49" s="918" t="s">
        <v>1135</v>
      </c>
      <c r="D49" s="926" t="s">
        <v>105</v>
      </c>
      <c r="E49" s="925"/>
      <c r="F49" s="921">
        <f>COUNTIF($D$32:$D$34,C49)</f>
        <v>0</v>
      </c>
      <c r="G49" s="922"/>
      <c r="J49" s="893"/>
      <c r="K49" s="893"/>
      <c r="L49" s="901"/>
      <c r="M49" s="901"/>
      <c r="N49" s="901"/>
      <c r="O49" s="901"/>
      <c r="P49" s="901"/>
      <c r="Q49" s="901"/>
      <c r="R49" s="901"/>
      <c r="V49" s="893"/>
      <c r="W49" s="893"/>
      <c r="X49" s="893"/>
    </row>
    <row r="50" spans="2:24" s="897" customFormat="1" x14ac:dyDescent="0.25">
      <c r="B50" s="893"/>
      <c r="C50" s="918" t="s">
        <v>1136</v>
      </c>
      <c r="D50" s="926" t="s">
        <v>1137</v>
      </c>
      <c r="E50" s="928"/>
      <c r="F50" s="921">
        <f>COUNTIF($D$32:$D$34,C50)</f>
        <v>0</v>
      </c>
      <c r="G50" s="922"/>
      <c r="J50" s="893"/>
      <c r="K50" s="893"/>
      <c r="L50" s="901"/>
      <c r="M50" s="901"/>
      <c r="N50" s="901"/>
      <c r="O50" s="901"/>
      <c r="P50" s="901"/>
      <c r="Q50" s="901"/>
      <c r="R50" s="901"/>
      <c r="V50" s="893"/>
      <c r="W50" s="893"/>
      <c r="X50" s="893"/>
    </row>
    <row r="51" spans="2:24" s="897" customFormat="1" x14ac:dyDescent="0.25">
      <c r="B51" s="893"/>
      <c r="C51" s="923" t="s">
        <v>1138</v>
      </c>
      <c r="D51" s="924" t="s">
        <v>1139</v>
      </c>
      <c r="E51" s="925"/>
      <c r="F51" s="907">
        <f>COUNTIF($D$32:$D$34,C51)</f>
        <v>0</v>
      </c>
      <c r="G51" s="922"/>
      <c r="J51" s="893"/>
      <c r="K51" s="893"/>
      <c r="L51" s="901"/>
      <c r="M51" s="901"/>
      <c r="N51" s="901"/>
      <c r="O51" s="901"/>
      <c r="P51" s="901"/>
      <c r="Q51" s="901"/>
      <c r="R51" s="901"/>
      <c r="V51" s="893"/>
      <c r="W51" s="893"/>
      <c r="X51" s="893"/>
    </row>
    <row r="52" spans="2:24" s="897" customFormat="1" x14ac:dyDescent="0.25">
      <c r="B52" s="893"/>
      <c r="C52" s="893"/>
      <c r="D52" s="915" t="s">
        <v>31</v>
      </c>
      <c r="E52" s="916"/>
      <c r="F52" s="907">
        <f>SUM(F38:F51)</f>
        <v>3</v>
      </c>
      <c r="G52" s="898"/>
      <c r="J52" s="893"/>
      <c r="K52" s="893"/>
      <c r="L52" s="901"/>
      <c r="M52" s="901"/>
      <c r="N52" s="901"/>
      <c r="O52" s="901"/>
      <c r="P52" s="901"/>
      <c r="Q52" s="901"/>
      <c r="R52" s="901"/>
      <c r="V52" s="893"/>
      <c r="W52" s="893"/>
      <c r="X52" s="893"/>
    </row>
  </sheetData>
  <mergeCells count="2">
    <mergeCell ref="L2:T2"/>
    <mergeCell ref="C1:E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4B09B-ECBE-44A3-920F-A618A3DF1693}">
  <dimension ref="A1:G37"/>
  <sheetViews>
    <sheetView topLeftCell="A16" workbookViewId="0">
      <selection activeCell="B4" sqref="B4"/>
    </sheetView>
  </sheetViews>
  <sheetFormatPr baseColWidth="10" defaultColWidth="11.5546875" defaultRowHeight="13.8" x14ac:dyDescent="0.25"/>
  <cols>
    <col min="1" max="1" width="28.44140625" style="721" customWidth="1"/>
    <col min="2" max="7" width="15.77734375" style="721" customWidth="1"/>
    <col min="8" max="16384" width="11.5546875" style="721"/>
  </cols>
  <sheetData>
    <row r="1" spans="1:7" x14ac:dyDescent="0.25">
      <c r="B1" s="761" t="s">
        <v>1076</v>
      </c>
      <c r="C1" s="761"/>
      <c r="D1" s="761"/>
      <c r="E1" s="761"/>
      <c r="F1" s="761"/>
      <c r="G1" s="761"/>
    </row>
    <row r="2" spans="1:7" x14ac:dyDescent="0.25">
      <c r="B2" s="761"/>
      <c r="C2" s="761"/>
      <c r="D2" s="761"/>
      <c r="E2" s="761"/>
      <c r="F2" s="761"/>
      <c r="G2" s="761"/>
    </row>
    <row r="3" spans="1:7" x14ac:dyDescent="0.25">
      <c r="B3" s="761"/>
      <c r="C3" s="761"/>
      <c r="D3" s="761"/>
      <c r="E3" s="761"/>
      <c r="F3" s="761"/>
      <c r="G3" s="761"/>
    </row>
    <row r="5" spans="1:7" x14ac:dyDescent="0.25">
      <c r="A5" s="722" t="s">
        <v>1048</v>
      </c>
      <c r="B5" s="739">
        <v>370000</v>
      </c>
      <c r="C5" s="722" t="s">
        <v>1075</v>
      </c>
    </row>
    <row r="7" spans="1:7" ht="14.4" customHeight="1" x14ac:dyDescent="0.25">
      <c r="A7" s="762" t="s">
        <v>1049</v>
      </c>
      <c r="B7" s="762" t="s">
        <v>31</v>
      </c>
      <c r="C7" s="723">
        <v>46167</v>
      </c>
      <c r="D7" s="723">
        <f>+C7+7</f>
        <v>46174</v>
      </c>
      <c r="E7" s="723">
        <f t="shared" ref="E7:G7" si="0">+D7+7</f>
        <v>46181</v>
      </c>
      <c r="F7" s="723">
        <f t="shared" si="0"/>
        <v>46188</v>
      </c>
      <c r="G7" s="723">
        <f t="shared" si="0"/>
        <v>46195</v>
      </c>
    </row>
    <row r="8" spans="1:7" x14ac:dyDescent="0.25">
      <c r="A8" s="762"/>
      <c r="B8" s="762"/>
      <c r="C8" s="724">
        <f>+C7+5</f>
        <v>46172</v>
      </c>
      <c r="D8" s="724">
        <f t="shared" ref="D8:G8" si="1">+D7+5</f>
        <v>46179</v>
      </c>
      <c r="E8" s="724">
        <f t="shared" si="1"/>
        <v>46186</v>
      </c>
      <c r="F8" s="724">
        <f t="shared" si="1"/>
        <v>46193</v>
      </c>
      <c r="G8" s="724">
        <f t="shared" si="1"/>
        <v>46200</v>
      </c>
    </row>
    <row r="9" spans="1:7" x14ac:dyDescent="0.25">
      <c r="A9" s="762"/>
      <c r="B9" s="762"/>
      <c r="C9" s="725" t="s">
        <v>1050</v>
      </c>
      <c r="D9" s="725" t="s">
        <v>1051</v>
      </c>
      <c r="E9" s="725" t="s">
        <v>1052</v>
      </c>
      <c r="F9" s="725" t="s">
        <v>1053</v>
      </c>
      <c r="G9" s="725" t="s">
        <v>1054</v>
      </c>
    </row>
    <row r="10" spans="1:7" x14ac:dyDescent="0.25">
      <c r="A10" s="726" t="s">
        <v>1072</v>
      </c>
      <c r="B10" s="738">
        <f t="shared" ref="B10:B11" si="2">SUM(C10:G10)</f>
        <v>0</v>
      </c>
      <c r="C10" s="727"/>
      <c r="D10" s="727"/>
      <c r="E10" s="727"/>
      <c r="F10" s="727"/>
      <c r="G10" s="727"/>
    </row>
    <row r="11" spans="1:7" x14ac:dyDescent="0.25">
      <c r="A11" s="726" t="s">
        <v>1055</v>
      </c>
      <c r="B11" s="738">
        <f t="shared" si="2"/>
        <v>0</v>
      </c>
      <c r="C11" s="727"/>
      <c r="D11" s="727"/>
      <c r="E11" s="727"/>
      <c r="F11" s="727"/>
      <c r="G11" s="727"/>
    </row>
    <row r="12" spans="1:7" x14ac:dyDescent="0.25">
      <c r="A12" s="728" t="s">
        <v>1056</v>
      </c>
      <c r="B12" s="729">
        <f t="shared" ref="B12:G12" si="3">SUM(B10:B11)</f>
        <v>0</v>
      </c>
      <c r="C12" s="729">
        <f t="shared" si="3"/>
        <v>0</v>
      </c>
      <c r="D12" s="729">
        <f t="shared" si="3"/>
        <v>0</v>
      </c>
      <c r="E12" s="729">
        <f t="shared" si="3"/>
        <v>0</v>
      </c>
      <c r="F12" s="729">
        <f t="shared" si="3"/>
        <v>0</v>
      </c>
      <c r="G12" s="729">
        <f t="shared" si="3"/>
        <v>0</v>
      </c>
    </row>
    <row r="14" spans="1:7" ht="14.4" customHeight="1" x14ac:dyDescent="0.25">
      <c r="A14" s="762" t="s">
        <v>1057</v>
      </c>
      <c r="B14" s="762" t="s">
        <v>31</v>
      </c>
      <c r="C14" s="723">
        <f>+C7</f>
        <v>46167</v>
      </c>
      <c r="D14" s="723">
        <f>+C14+7</f>
        <v>46174</v>
      </c>
      <c r="E14" s="723">
        <f t="shared" ref="E14:G14" si="4">+D14+7</f>
        <v>46181</v>
      </c>
      <c r="F14" s="723">
        <f t="shared" si="4"/>
        <v>46188</v>
      </c>
      <c r="G14" s="723">
        <f t="shared" si="4"/>
        <v>46195</v>
      </c>
    </row>
    <row r="15" spans="1:7" x14ac:dyDescent="0.25">
      <c r="A15" s="762"/>
      <c r="B15" s="762"/>
      <c r="C15" s="724">
        <f>+C14+5</f>
        <v>46172</v>
      </c>
      <c r="D15" s="724">
        <f t="shared" ref="D15:G15" si="5">+D14+5</f>
        <v>46179</v>
      </c>
      <c r="E15" s="724">
        <f t="shared" si="5"/>
        <v>46186</v>
      </c>
      <c r="F15" s="724">
        <f t="shared" si="5"/>
        <v>46193</v>
      </c>
      <c r="G15" s="724">
        <f t="shared" si="5"/>
        <v>46200</v>
      </c>
    </row>
    <row r="16" spans="1:7" x14ac:dyDescent="0.25">
      <c r="A16" s="762"/>
      <c r="B16" s="762"/>
      <c r="C16" s="725" t="s">
        <v>1050</v>
      </c>
      <c r="D16" s="725" t="s">
        <v>1051</v>
      </c>
      <c r="E16" s="725" t="s">
        <v>1052</v>
      </c>
      <c r="F16" s="725" t="s">
        <v>1053</v>
      </c>
      <c r="G16" s="725" t="s">
        <v>1054</v>
      </c>
    </row>
    <row r="17" spans="1:7" x14ac:dyDescent="0.25">
      <c r="A17" s="730" t="s">
        <v>316</v>
      </c>
      <c r="B17" s="731"/>
      <c r="C17" s="731"/>
      <c r="D17" s="731"/>
      <c r="E17" s="731"/>
      <c r="F17" s="731"/>
      <c r="G17" s="731"/>
    </row>
    <row r="18" spans="1:7" x14ac:dyDescent="0.25">
      <c r="A18" s="732" t="s">
        <v>1058</v>
      </c>
      <c r="B18" s="738"/>
      <c r="C18" s="727"/>
      <c r="D18" s="727"/>
      <c r="E18" s="727"/>
      <c r="F18" s="727"/>
      <c r="G18" s="727"/>
    </row>
    <row r="19" spans="1:7" x14ac:dyDescent="0.25">
      <c r="A19" s="726" t="s">
        <v>1059</v>
      </c>
      <c r="B19" s="738">
        <f t="shared" ref="B19" si="6">SUM(C19:G19)</f>
        <v>0</v>
      </c>
      <c r="C19" s="727"/>
      <c r="D19" s="727"/>
      <c r="E19" s="727"/>
      <c r="F19" s="727"/>
      <c r="G19" s="727"/>
    </row>
    <row r="20" spans="1:7" x14ac:dyDescent="0.25">
      <c r="A20" s="732" t="s">
        <v>1060</v>
      </c>
      <c r="B20" s="738"/>
      <c r="C20" s="727"/>
      <c r="D20" s="727"/>
      <c r="E20" s="727"/>
      <c r="F20" s="727"/>
      <c r="G20" s="727"/>
    </row>
    <row r="21" spans="1:7" x14ac:dyDescent="0.25">
      <c r="A21" s="726" t="s">
        <v>1073</v>
      </c>
      <c r="B21" s="738">
        <f t="shared" ref="B21" si="7">SUM(C21:G21)</f>
        <v>0</v>
      </c>
      <c r="C21" s="727"/>
      <c r="D21" s="727"/>
      <c r="E21" s="727"/>
      <c r="F21" s="727"/>
      <c r="G21" s="727"/>
    </row>
    <row r="22" spans="1:7" x14ac:dyDescent="0.25">
      <c r="A22" s="732" t="s">
        <v>1061</v>
      </c>
      <c r="B22" s="738"/>
      <c r="C22" s="727"/>
      <c r="D22" s="727"/>
      <c r="E22" s="727"/>
      <c r="F22" s="727"/>
      <c r="G22" s="727"/>
    </row>
    <row r="23" spans="1:7" x14ac:dyDescent="0.25">
      <c r="A23" s="726" t="s">
        <v>1062</v>
      </c>
      <c r="B23" s="738">
        <f t="shared" ref="B23:B24" si="8">SUM(C23:G23)</f>
        <v>0</v>
      </c>
      <c r="C23" s="727"/>
      <c r="D23" s="727"/>
      <c r="E23" s="727"/>
      <c r="F23" s="727"/>
      <c r="G23" s="727"/>
    </row>
    <row r="24" spans="1:7" x14ac:dyDescent="0.25">
      <c r="A24" s="726" t="s">
        <v>1063</v>
      </c>
      <c r="B24" s="738">
        <f t="shared" si="8"/>
        <v>0</v>
      </c>
      <c r="C24" s="727"/>
      <c r="D24" s="727"/>
      <c r="E24" s="727"/>
      <c r="F24" s="727"/>
      <c r="G24" s="727"/>
    </row>
    <row r="25" spans="1:7" x14ac:dyDescent="0.25">
      <c r="A25" s="732" t="s">
        <v>1064</v>
      </c>
      <c r="B25" s="738"/>
      <c r="C25" s="727"/>
      <c r="D25" s="727"/>
      <c r="E25" s="727"/>
      <c r="F25" s="727"/>
      <c r="G25" s="727"/>
    </row>
    <row r="26" spans="1:7" x14ac:dyDescent="0.25">
      <c r="A26" s="726" t="s">
        <v>1074</v>
      </c>
      <c r="B26" s="738">
        <f t="shared" ref="B26:B27" si="9">SUM(C26:G26)</f>
        <v>0</v>
      </c>
      <c r="C26" s="727"/>
      <c r="D26" s="727"/>
      <c r="E26" s="727"/>
      <c r="F26" s="727"/>
      <c r="G26" s="727"/>
    </row>
    <row r="27" spans="1:7" x14ac:dyDescent="0.25">
      <c r="A27" s="726" t="s">
        <v>1063</v>
      </c>
      <c r="B27" s="738">
        <f t="shared" si="9"/>
        <v>0</v>
      </c>
      <c r="C27" s="727"/>
      <c r="D27" s="727"/>
      <c r="E27" s="727"/>
      <c r="F27" s="727"/>
      <c r="G27" s="727"/>
    </row>
    <row r="28" spans="1:7" x14ac:dyDescent="0.25">
      <c r="A28" s="733" t="s">
        <v>1065</v>
      </c>
      <c r="B28" s="734">
        <f t="shared" ref="B28:G28" si="10">SUM(B18:B24)</f>
        <v>0</v>
      </c>
      <c r="C28" s="734">
        <f t="shared" si="10"/>
        <v>0</v>
      </c>
      <c r="D28" s="734">
        <f t="shared" si="10"/>
        <v>0</v>
      </c>
      <c r="E28" s="734">
        <f t="shared" si="10"/>
        <v>0</v>
      </c>
      <c r="F28" s="734">
        <f t="shared" si="10"/>
        <v>0</v>
      </c>
      <c r="G28" s="734">
        <f t="shared" si="10"/>
        <v>0</v>
      </c>
    </row>
    <row r="30" spans="1:7" x14ac:dyDescent="0.25">
      <c r="A30" s="730" t="s">
        <v>1066</v>
      </c>
      <c r="B30" s="731"/>
      <c r="C30" s="731"/>
      <c r="D30" s="731"/>
      <c r="E30" s="731"/>
      <c r="F30" s="731"/>
      <c r="G30" s="731"/>
    </row>
    <row r="31" spans="1:7" x14ac:dyDescent="0.25">
      <c r="A31" s="726" t="s">
        <v>1067</v>
      </c>
      <c r="B31" s="738">
        <f t="shared" ref="B31:B33" si="11">SUM(C31:G31)</f>
        <v>0</v>
      </c>
      <c r="C31" s="727"/>
      <c r="D31" s="727"/>
      <c r="E31" s="727"/>
      <c r="F31" s="727"/>
      <c r="G31" s="727"/>
    </row>
    <row r="32" spans="1:7" x14ac:dyDescent="0.25">
      <c r="A32" s="726" t="s">
        <v>1068</v>
      </c>
      <c r="B32" s="738">
        <f t="shared" si="11"/>
        <v>0</v>
      </c>
      <c r="C32" s="727"/>
      <c r="D32" s="727"/>
      <c r="E32" s="727"/>
      <c r="F32" s="727"/>
      <c r="G32" s="727"/>
    </row>
    <row r="33" spans="1:7" x14ac:dyDescent="0.25">
      <c r="A33" s="726" t="s">
        <v>1069</v>
      </c>
      <c r="B33" s="738">
        <f t="shared" si="11"/>
        <v>0</v>
      </c>
      <c r="C33" s="727"/>
      <c r="D33" s="727"/>
      <c r="E33" s="727"/>
      <c r="F33" s="727"/>
      <c r="G33" s="727"/>
    </row>
    <row r="34" spans="1:7" x14ac:dyDescent="0.25">
      <c r="A34" s="733" t="s">
        <v>316</v>
      </c>
      <c r="B34" s="734">
        <f t="shared" ref="B34:G34" si="12">SUM(B31:B33)</f>
        <v>0</v>
      </c>
      <c r="C34" s="734">
        <f t="shared" si="12"/>
        <v>0</v>
      </c>
      <c r="D34" s="734">
        <f t="shared" si="12"/>
        <v>0</v>
      </c>
      <c r="E34" s="734">
        <f t="shared" si="12"/>
        <v>0</v>
      </c>
      <c r="F34" s="734">
        <f t="shared" si="12"/>
        <v>0</v>
      </c>
      <c r="G34" s="734">
        <f t="shared" si="12"/>
        <v>0</v>
      </c>
    </row>
    <row r="35" spans="1:7" x14ac:dyDescent="0.25">
      <c r="A35" s="728" t="s">
        <v>1070</v>
      </c>
      <c r="B35" s="735">
        <f>+B34+B28</f>
        <v>0</v>
      </c>
      <c r="C35" s="735">
        <f>+C34+C28</f>
        <v>0</v>
      </c>
      <c r="D35" s="729"/>
      <c r="E35" s="735">
        <f>+E34+E28</f>
        <v>0</v>
      </c>
      <c r="F35" s="735">
        <f>+F34+F28</f>
        <v>0</v>
      </c>
      <c r="G35" s="729"/>
    </row>
    <row r="37" spans="1:7" x14ac:dyDescent="0.25">
      <c r="A37" s="736" t="s">
        <v>1071</v>
      </c>
      <c r="B37" s="737">
        <f t="shared" ref="B37:G37" si="13">+B12-B35</f>
        <v>0</v>
      </c>
      <c r="C37" s="737">
        <f t="shared" si="13"/>
        <v>0</v>
      </c>
      <c r="D37" s="737">
        <f t="shared" si="13"/>
        <v>0</v>
      </c>
      <c r="E37" s="737">
        <f t="shared" si="13"/>
        <v>0</v>
      </c>
      <c r="F37" s="737">
        <f t="shared" si="13"/>
        <v>0</v>
      </c>
      <c r="G37" s="737">
        <f t="shared" si="13"/>
        <v>0</v>
      </c>
    </row>
  </sheetData>
  <mergeCells count="5">
    <mergeCell ref="B1:G3"/>
    <mergeCell ref="A7:A9"/>
    <mergeCell ref="B7:B9"/>
    <mergeCell ref="A14:A16"/>
    <mergeCell ref="B14:B1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8DE7A-5D2C-4E8A-9623-080D0E148609}">
  <dimension ref="A1:D39"/>
  <sheetViews>
    <sheetView topLeftCell="A4" workbookViewId="0">
      <selection activeCell="C32" sqref="C32"/>
    </sheetView>
  </sheetViews>
  <sheetFormatPr baseColWidth="10" defaultRowHeight="13.2" x14ac:dyDescent="0.25"/>
  <cols>
    <col min="1" max="1" width="23.88671875" customWidth="1"/>
    <col min="2" max="2" width="14.44140625" customWidth="1"/>
    <col min="3" max="3" width="15.109375" customWidth="1"/>
    <col min="4" max="4" width="29.33203125" customWidth="1"/>
  </cols>
  <sheetData>
    <row r="1" spans="1:4" x14ac:dyDescent="0.25">
      <c r="A1" s="696" t="s">
        <v>1022</v>
      </c>
      <c r="B1" s="697"/>
      <c r="C1" s="698">
        <v>370000</v>
      </c>
      <c r="D1" s="699" t="s">
        <v>1077</v>
      </c>
    </row>
    <row r="2" spans="1:4" x14ac:dyDescent="0.25">
      <c r="C2" s="700"/>
    </row>
    <row r="3" spans="1:4" x14ac:dyDescent="0.25">
      <c r="A3" s="701" t="s">
        <v>447</v>
      </c>
      <c r="B3" s="701" t="s">
        <v>1023</v>
      </c>
      <c r="C3" s="701" t="s">
        <v>1024</v>
      </c>
      <c r="D3" s="701" t="s">
        <v>1025</v>
      </c>
    </row>
    <row r="4" spans="1:4" x14ac:dyDescent="0.25">
      <c r="A4" s="702" t="s">
        <v>1026</v>
      </c>
      <c r="B4" s="703"/>
      <c r="C4" s="704">
        <f>SUM(C5:C5)</f>
        <v>50000</v>
      </c>
      <c r="D4" s="705">
        <f>+C4/C1</f>
        <v>0.13513513513513514</v>
      </c>
    </row>
    <row r="5" spans="1:4" x14ac:dyDescent="0.25">
      <c r="A5" s="706" t="s">
        <v>1027</v>
      </c>
      <c r="B5" s="709">
        <v>46119</v>
      </c>
      <c r="C5" s="707">
        <v>50000</v>
      </c>
      <c r="D5" s="708" t="s">
        <v>1028</v>
      </c>
    </row>
    <row r="6" spans="1:4" x14ac:dyDescent="0.25">
      <c r="A6" s="710" t="s">
        <v>846</v>
      </c>
      <c r="B6" s="711"/>
      <c r="C6" s="712">
        <f>SUM(C7:C11)</f>
        <v>0</v>
      </c>
      <c r="D6" s="713">
        <f>+C6/C1</f>
        <v>0</v>
      </c>
    </row>
    <row r="7" spans="1:4" x14ac:dyDescent="0.25">
      <c r="A7" s="706" t="s">
        <v>1029</v>
      </c>
      <c r="B7" s="709"/>
      <c r="C7" s="707"/>
      <c r="D7" s="708"/>
    </row>
    <row r="8" spans="1:4" s="679" customFormat="1" x14ac:dyDescent="0.25">
      <c r="A8" s="706" t="s">
        <v>1030</v>
      </c>
      <c r="B8" s="709"/>
      <c r="C8" s="707"/>
      <c r="D8" s="708"/>
    </row>
    <row r="9" spans="1:4" s="679" customFormat="1" x14ac:dyDescent="0.25">
      <c r="A9" s="706" t="s">
        <v>1035</v>
      </c>
      <c r="B9" s="709"/>
      <c r="C9" s="707"/>
      <c r="D9" s="708"/>
    </row>
    <row r="10" spans="1:4" s="679" customFormat="1" x14ac:dyDescent="0.25">
      <c r="A10" s="706" t="s">
        <v>1036</v>
      </c>
      <c r="B10" s="709"/>
      <c r="C10" s="707"/>
      <c r="D10" s="708"/>
    </row>
    <row r="11" spans="1:4" x14ac:dyDescent="0.25">
      <c r="A11" s="706" t="s">
        <v>1037</v>
      </c>
      <c r="B11" s="709"/>
      <c r="C11" s="707"/>
      <c r="D11" s="708"/>
    </row>
    <row r="12" spans="1:4" x14ac:dyDescent="0.25">
      <c r="A12" s="763" t="s">
        <v>1031</v>
      </c>
      <c r="B12" s="763"/>
      <c r="C12" s="714">
        <f>+C4+C6</f>
        <v>50000</v>
      </c>
      <c r="D12" s="715">
        <f>+C12/C1</f>
        <v>0.13513513513513514</v>
      </c>
    </row>
    <row r="13" spans="1:4" x14ac:dyDescent="0.25">
      <c r="A13" s="763" t="s">
        <v>1032</v>
      </c>
      <c r="B13" s="763"/>
      <c r="C13" s="714">
        <f>+C1-C12</f>
        <v>320000</v>
      </c>
      <c r="D13" s="715">
        <f>+C13/C1</f>
        <v>0.86486486486486491</v>
      </c>
    </row>
    <row r="14" spans="1:4" x14ac:dyDescent="0.25">
      <c r="A14" s="716"/>
    </row>
    <row r="15" spans="1:4" x14ac:dyDescent="0.25">
      <c r="C15" s="717"/>
    </row>
    <row r="16" spans="1:4" x14ac:dyDescent="0.25">
      <c r="A16" s="696" t="s">
        <v>1033</v>
      </c>
      <c r="B16" s="697"/>
      <c r="C16" s="698">
        <v>100000</v>
      </c>
      <c r="D16" s="699" t="s">
        <v>1034</v>
      </c>
    </row>
    <row r="17" spans="1:4" x14ac:dyDescent="0.25">
      <c r="C17" s="700"/>
    </row>
    <row r="18" spans="1:4" x14ac:dyDescent="0.25">
      <c r="A18" s="701" t="s">
        <v>447</v>
      </c>
      <c r="B18" s="701" t="s">
        <v>1023</v>
      </c>
      <c r="C18" s="701" t="s">
        <v>1024</v>
      </c>
      <c r="D18" s="701" t="s">
        <v>1025</v>
      </c>
    </row>
    <row r="19" spans="1:4" x14ac:dyDescent="0.25">
      <c r="A19" s="702" t="s">
        <v>1026</v>
      </c>
      <c r="B19" s="703"/>
      <c r="C19" s="704">
        <f>SUM(C20:C21)</f>
        <v>0</v>
      </c>
      <c r="D19" s="705">
        <f>+C19/C16</f>
        <v>0</v>
      </c>
    </row>
    <row r="20" spans="1:4" x14ac:dyDescent="0.25">
      <c r="A20" s="706"/>
      <c r="B20" s="709"/>
      <c r="C20" s="707"/>
      <c r="D20" s="708"/>
    </row>
    <row r="21" spans="1:4" ht="13.8" thickBot="1" x14ac:dyDescent="0.3">
      <c r="A21" s="706"/>
      <c r="B21" s="709"/>
      <c r="C21" s="707"/>
      <c r="D21" s="708"/>
    </row>
    <row r="22" spans="1:4" x14ac:dyDescent="0.25">
      <c r="A22" s="718" t="s">
        <v>447</v>
      </c>
      <c r="B22" s="719" t="s">
        <v>1023</v>
      </c>
      <c r="C22" s="719" t="s">
        <v>1024</v>
      </c>
      <c r="D22" s="719" t="s">
        <v>1025</v>
      </c>
    </row>
    <row r="23" spans="1:4" x14ac:dyDescent="0.25">
      <c r="A23" s="710" t="s">
        <v>846</v>
      </c>
      <c r="B23" s="711"/>
      <c r="C23" s="712">
        <f>SUM(C24:C37)</f>
        <v>0</v>
      </c>
      <c r="D23" s="713">
        <f>+C23/C16</f>
        <v>0</v>
      </c>
    </row>
    <row r="24" spans="1:4" x14ac:dyDescent="0.25">
      <c r="A24" s="706" t="s">
        <v>1029</v>
      </c>
      <c r="B24" s="709"/>
      <c r="C24" s="707"/>
      <c r="D24" s="708"/>
    </row>
    <row r="25" spans="1:4" x14ac:dyDescent="0.25">
      <c r="A25" s="706" t="s">
        <v>1030</v>
      </c>
      <c r="B25" s="709"/>
      <c r="C25" s="707"/>
      <c r="D25" s="708"/>
    </row>
    <row r="26" spans="1:4" x14ac:dyDescent="0.25">
      <c r="A26" s="706" t="s">
        <v>1035</v>
      </c>
      <c r="B26" s="709"/>
      <c r="C26" s="707"/>
      <c r="D26" s="708"/>
    </row>
    <row r="27" spans="1:4" x14ac:dyDescent="0.25">
      <c r="A27" s="706" t="s">
        <v>1036</v>
      </c>
      <c r="B27" s="709"/>
      <c r="C27" s="707"/>
      <c r="D27" s="708"/>
    </row>
    <row r="28" spans="1:4" x14ac:dyDescent="0.25">
      <c r="A28" s="706" t="s">
        <v>1037</v>
      </c>
      <c r="B28" s="709"/>
      <c r="C28" s="707"/>
      <c r="D28" s="708"/>
    </row>
    <row r="29" spans="1:4" x14ac:dyDescent="0.25">
      <c r="A29" s="706" t="s">
        <v>1038</v>
      </c>
      <c r="B29" s="709"/>
      <c r="C29" s="707"/>
      <c r="D29" s="708"/>
    </row>
    <row r="30" spans="1:4" x14ac:dyDescent="0.25">
      <c r="A30" s="706" t="s">
        <v>1039</v>
      </c>
      <c r="B30" s="709"/>
      <c r="C30" s="707"/>
      <c r="D30" s="708"/>
    </row>
    <row r="31" spans="1:4" x14ac:dyDescent="0.25">
      <c r="A31" s="706" t="s">
        <v>1040</v>
      </c>
      <c r="B31" s="709"/>
      <c r="C31" s="707"/>
      <c r="D31" s="708"/>
    </row>
    <row r="32" spans="1:4" x14ac:dyDescent="0.25">
      <c r="A32" s="706" t="s">
        <v>1041</v>
      </c>
      <c r="B32" s="709"/>
      <c r="C32" s="707"/>
      <c r="D32" s="708"/>
    </row>
    <row r="33" spans="1:4" x14ac:dyDescent="0.25">
      <c r="A33" s="706" t="s">
        <v>1042</v>
      </c>
      <c r="B33" s="709"/>
      <c r="C33" s="707"/>
      <c r="D33" s="708"/>
    </row>
    <row r="34" spans="1:4" x14ac:dyDescent="0.25">
      <c r="A34" s="706" t="s">
        <v>1043</v>
      </c>
      <c r="B34" s="709"/>
      <c r="C34" s="707"/>
      <c r="D34" s="708"/>
    </row>
    <row r="35" spans="1:4" x14ac:dyDescent="0.25">
      <c r="A35" s="706" t="s">
        <v>1044</v>
      </c>
      <c r="B35" s="709"/>
      <c r="C35" s="707"/>
      <c r="D35" s="708"/>
    </row>
    <row r="36" spans="1:4" x14ac:dyDescent="0.25">
      <c r="A36" s="706" t="s">
        <v>1045</v>
      </c>
      <c r="B36" s="709"/>
      <c r="C36" s="707"/>
      <c r="D36" s="708"/>
    </row>
    <row r="37" spans="1:4" x14ac:dyDescent="0.25">
      <c r="A37" s="706" t="s">
        <v>1046</v>
      </c>
      <c r="B37" s="709"/>
      <c r="C37" s="707"/>
      <c r="D37" s="708"/>
    </row>
    <row r="38" spans="1:4" x14ac:dyDescent="0.25">
      <c r="A38" s="701"/>
      <c r="B38" s="720" t="s">
        <v>1047</v>
      </c>
      <c r="C38" s="714">
        <f>+C23+C19</f>
        <v>0</v>
      </c>
      <c r="D38" s="715">
        <f>+C38/C16</f>
        <v>0</v>
      </c>
    </row>
    <row r="39" spans="1:4" x14ac:dyDescent="0.25">
      <c r="A39" s="701"/>
      <c r="B39" s="701" t="s">
        <v>443</v>
      </c>
      <c r="C39" s="714">
        <f>+C16-C38</f>
        <v>100000</v>
      </c>
      <c r="D39" s="715">
        <f>+C39/C16</f>
        <v>1</v>
      </c>
    </row>
  </sheetData>
  <mergeCells count="2">
    <mergeCell ref="A12:B12"/>
    <mergeCell ref="A13:B13"/>
  </mergeCells>
  <phoneticPr fontId="6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A5340-1674-4710-B27E-71FE819A75CB}">
  <sheetPr>
    <tabColor rgb="FF0070C0"/>
  </sheetPr>
  <dimension ref="A1:M199"/>
  <sheetViews>
    <sheetView view="pageBreakPreview" zoomScale="130" zoomScaleNormal="100" zoomScaleSheetLayoutView="130" workbookViewId="0">
      <pane ySplit="7" topLeftCell="A20" activePane="bottomLeft" state="frozen"/>
      <selection pane="bottomLeft" activeCell="B15" sqref="B15:C17"/>
    </sheetView>
  </sheetViews>
  <sheetFormatPr baseColWidth="10" defaultColWidth="11.5546875" defaultRowHeight="10.199999999999999" outlineLevelRow="1" outlineLevelCol="1" x14ac:dyDescent="0.2"/>
  <cols>
    <col min="1" max="1" width="16.88671875" style="171" customWidth="1"/>
    <col min="2" max="2" width="47.88671875" style="225" customWidth="1"/>
    <col min="3" max="3" width="10" style="171" customWidth="1"/>
    <col min="4" max="4" width="8.6640625" style="171" customWidth="1"/>
    <col min="5" max="5" width="10.33203125" style="210" hidden="1" customWidth="1" outlineLevel="1"/>
    <col min="6" max="6" width="10.6640625" style="171" hidden="1" customWidth="1" outlineLevel="1"/>
    <col min="7" max="7" width="10.6640625" style="210" hidden="1" customWidth="1" outlineLevel="1"/>
    <col min="8" max="8" width="10.6640625" style="171" hidden="1" customWidth="1" outlineLevel="1"/>
    <col min="9" max="9" width="11.33203125" style="171" customWidth="1" collapsed="1"/>
    <col min="10" max="10" width="14.6640625" style="171" customWidth="1"/>
    <col min="11" max="11" width="12.77734375" style="167" customWidth="1"/>
    <col min="12" max="12" width="14.5546875" style="167" bestFit="1" customWidth="1"/>
    <col min="13" max="16384" width="11.5546875" style="167"/>
  </cols>
  <sheetData>
    <row r="1" spans="1:10" ht="28.2" customHeight="1" x14ac:dyDescent="0.2">
      <c r="A1" s="694" t="s">
        <v>995</v>
      </c>
      <c r="B1" s="695"/>
      <c r="C1" s="695"/>
      <c r="D1" s="695"/>
      <c r="E1" s="695"/>
      <c r="F1" s="695"/>
      <c r="G1" s="695"/>
      <c r="H1" s="695"/>
      <c r="I1" s="695"/>
      <c r="J1" s="695"/>
    </row>
    <row r="2" spans="1:10" s="230" customFormat="1" ht="24" hidden="1" customHeight="1" outlineLevel="1" x14ac:dyDescent="0.25">
      <c r="A2" s="266" t="s">
        <v>367</v>
      </c>
      <c r="B2" s="764"/>
      <c r="C2" s="765"/>
      <c r="D2" s="765"/>
      <c r="E2" s="765"/>
      <c r="F2" s="765"/>
      <c r="G2" s="765"/>
      <c r="H2" s="766"/>
      <c r="I2" s="767"/>
      <c r="J2" s="767"/>
    </row>
    <row r="3" spans="1:10" s="230" customFormat="1" ht="27.6" hidden="1" customHeight="1" outlineLevel="1" x14ac:dyDescent="0.25">
      <c r="A3" s="266" t="s">
        <v>433</v>
      </c>
      <c r="B3" s="768"/>
      <c r="C3" s="769"/>
      <c r="D3" s="769"/>
      <c r="E3" s="769"/>
      <c r="F3" s="769"/>
      <c r="G3" s="769"/>
      <c r="H3" s="770"/>
      <c r="I3" s="767"/>
      <c r="J3" s="767"/>
    </row>
    <row r="4" spans="1:10" s="230" customFormat="1" ht="26.4" hidden="1" customHeight="1" outlineLevel="1" x14ac:dyDescent="0.25">
      <c r="A4" s="266" t="s">
        <v>52</v>
      </c>
      <c r="B4" s="768"/>
      <c r="C4" s="769"/>
      <c r="D4" s="769"/>
      <c r="E4" s="769"/>
      <c r="F4" s="769"/>
      <c r="G4" s="769"/>
      <c r="H4" s="770"/>
      <c r="I4" s="767"/>
      <c r="J4" s="767"/>
    </row>
    <row r="5" spans="1:10" s="230" customFormat="1" ht="19.95" hidden="1" customHeight="1" outlineLevel="1" x14ac:dyDescent="0.25">
      <c r="A5" s="771" t="s">
        <v>210</v>
      </c>
      <c r="B5" s="771" t="s">
        <v>437</v>
      </c>
      <c r="C5" s="774" t="s">
        <v>436</v>
      </c>
      <c r="D5" s="775"/>
      <c r="E5" s="775"/>
      <c r="F5" s="775"/>
      <c r="G5" s="775"/>
      <c r="H5" s="775"/>
      <c r="I5" s="775"/>
      <c r="J5" s="776"/>
    </row>
    <row r="6" spans="1:10" ht="19.95" customHeight="1" collapsed="1" x14ac:dyDescent="0.2">
      <c r="A6" s="772"/>
      <c r="B6" s="772"/>
      <c r="C6" s="777" t="s">
        <v>2</v>
      </c>
      <c r="D6" s="777" t="s">
        <v>3</v>
      </c>
      <c r="E6" s="777" t="s">
        <v>245</v>
      </c>
      <c r="F6" s="777" t="s">
        <v>246</v>
      </c>
      <c r="G6" s="777" t="s">
        <v>247</v>
      </c>
      <c r="H6" s="777" t="s">
        <v>248</v>
      </c>
      <c r="I6" s="777" t="s">
        <v>4</v>
      </c>
      <c r="J6" s="777" t="s">
        <v>249</v>
      </c>
    </row>
    <row r="7" spans="1:10" ht="19.95" customHeight="1" x14ac:dyDescent="0.2">
      <c r="A7" s="773"/>
      <c r="B7" s="773"/>
      <c r="C7" s="777"/>
      <c r="D7" s="777" t="s">
        <v>250</v>
      </c>
      <c r="E7" s="777"/>
      <c r="F7" s="777"/>
      <c r="G7" s="777"/>
      <c r="H7" s="777"/>
      <c r="I7" s="777"/>
      <c r="J7" s="777"/>
    </row>
    <row r="8" spans="1:10" ht="21" customHeight="1" x14ac:dyDescent="0.2">
      <c r="A8" s="168" t="str">
        <f>+'O. GRUESA'!A7</f>
        <v>01.00.00.00</v>
      </c>
      <c r="B8" s="221" t="str">
        <f>+'O. GRUESA'!B7</f>
        <v>OBRAS PROVISIONALES, TRABAJOS PRELIMINARES, SEGURIDAD Y SALUD</v>
      </c>
      <c r="C8" s="213"/>
      <c r="D8" s="395"/>
      <c r="E8" s="371"/>
      <c r="F8" s="414">
        <f>+F9+F14+F20</f>
        <v>8112.8420033333332</v>
      </c>
      <c r="G8" s="371"/>
      <c r="H8" s="414">
        <f>+H9+H14+H20</f>
        <v>15358.889500000001</v>
      </c>
      <c r="I8" s="168"/>
      <c r="J8" s="414">
        <f>+J9+J14+J20</f>
        <v>46869.445155343179</v>
      </c>
    </row>
    <row r="9" spans="1:10" ht="12" customHeight="1" x14ac:dyDescent="0.2">
      <c r="A9" s="219" t="str">
        <f>+'O. GRUESA'!A8</f>
        <v>01.01.00.00</v>
      </c>
      <c r="B9" s="223" t="str">
        <f>+'O. GRUESA'!B8</f>
        <v>OBRAS PROVISIONALES</v>
      </c>
      <c r="C9" s="220"/>
      <c r="D9" s="382"/>
      <c r="E9" s="372"/>
      <c r="F9" s="415">
        <f>SUM(F10:F13)</f>
        <v>1167.2650000000001</v>
      </c>
      <c r="G9" s="372"/>
      <c r="H9" s="415">
        <f>SUM(H10:H13)</f>
        <v>9699.3875000000007</v>
      </c>
      <c r="I9" s="219"/>
      <c r="J9" s="415">
        <f>+RESUMEN!C4</f>
        <v>10876.106681283431</v>
      </c>
    </row>
    <row r="10" spans="1:10" ht="12" customHeight="1" outlineLevel="1" x14ac:dyDescent="0.2">
      <c r="A10" s="169" t="s">
        <v>332</v>
      </c>
      <c r="B10" s="222" t="str">
        <f>+'O. GRUESA'!B9</f>
        <v>TRANSPORTE DE EQUIPOS Y HERRAMIENTAS</v>
      </c>
      <c r="C10" s="169" t="str">
        <f>+'O. GRUESA'!D9</f>
        <v>glb</v>
      </c>
      <c r="D10" s="376">
        <f>+'O. GRUESA'!J9</f>
        <v>1</v>
      </c>
      <c r="E10" s="377">
        <v>1000</v>
      </c>
      <c r="F10" s="368">
        <f>D10*E10</f>
        <v>1000</v>
      </c>
      <c r="G10" s="377">
        <v>1000</v>
      </c>
      <c r="H10" s="369">
        <f t="shared" ref="H10:H18" si="0">D10*G10</f>
        <v>1000</v>
      </c>
      <c r="I10" s="370">
        <f>+E10+G10</f>
        <v>2000</v>
      </c>
      <c r="J10" s="417">
        <f>D10*I10</f>
        <v>2000</v>
      </c>
    </row>
    <row r="11" spans="1:10" ht="12" customHeight="1" outlineLevel="1" x14ac:dyDescent="0.2">
      <c r="A11" s="169" t="s">
        <v>333</v>
      </c>
      <c r="B11" s="222" t="str">
        <f>+'O. GRUESA'!B12</f>
        <v>CERCO PERIMETRICO PROVISIONAL</v>
      </c>
      <c r="C11" s="169" t="str">
        <f>+'O. GRUESA'!D12</f>
        <v>ml</v>
      </c>
      <c r="D11" s="376">
        <f>+'O. GRUESA'!J12</f>
        <v>30</v>
      </c>
      <c r="E11" s="377">
        <v>0</v>
      </c>
      <c r="F11" s="368">
        <f>D11*E11</f>
        <v>0</v>
      </c>
      <c r="G11" s="377">
        <f>+'APUs Casco'!F59+'APUs Casco'!F63+'APUs Casco'!F68</f>
        <v>157.89625000000001</v>
      </c>
      <c r="H11" s="369">
        <f>D11*G11</f>
        <v>4736.8875000000007</v>
      </c>
      <c r="I11" s="370">
        <f>+E11+G11</f>
        <v>157.89625000000001</v>
      </c>
      <c r="J11" s="417">
        <f>D11*I11</f>
        <v>4736.8875000000007</v>
      </c>
    </row>
    <row r="12" spans="1:10" ht="12" customHeight="1" outlineLevel="1" x14ac:dyDescent="0.2">
      <c r="A12" s="169" t="s">
        <v>336</v>
      </c>
      <c r="B12" s="275" t="str">
        <f>+'O. GRUESA'!B15</f>
        <v>PROTECCIÓN CON MALLA RASCHELL</v>
      </c>
      <c r="C12" s="169" t="str">
        <f>+'O. GRUESA'!D15</f>
        <v>ml</v>
      </c>
      <c r="D12" s="376">
        <f>+'O. GRUESA'!J15</f>
        <v>180</v>
      </c>
      <c r="E12" s="377">
        <f>+'APUs Casco'!F74+'APUs Casco'!F82</f>
        <v>0.92925000000000002</v>
      </c>
      <c r="F12" s="368">
        <f>D12*E12</f>
        <v>167.26500000000001</v>
      </c>
      <c r="G12" s="377">
        <f>+'APUs Casco'!F78</f>
        <v>13.125</v>
      </c>
      <c r="H12" s="369">
        <f>D12*G12</f>
        <v>2362.5</v>
      </c>
      <c r="I12" s="370">
        <f>+E12+G12</f>
        <v>14.05425</v>
      </c>
      <c r="J12" s="417">
        <f>D12*I12</f>
        <v>2529.7649999999999</v>
      </c>
    </row>
    <row r="13" spans="1:10" ht="12" customHeight="1" outlineLevel="1" x14ac:dyDescent="0.2">
      <c r="A13" s="169" t="s">
        <v>334</v>
      </c>
      <c r="B13" s="222" t="str">
        <f>+'O. GRUESA'!B21</f>
        <v>ALQUILER DE BAÑO PROVISIONAL</v>
      </c>
      <c r="C13" s="169" t="str">
        <f>+'O. GRUESA'!D21</f>
        <v>mes</v>
      </c>
      <c r="D13" s="376">
        <f>+'O. GRUESA'!J21</f>
        <v>4</v>
      </c>
      <c r="E13" s="377">
        <v>0</v>
      </c>
      <c r="F13" s="368">
        <f>D13*E13</f>
        <v>0</v>
      </c>
      <c r="G13" s="377">
        <v>400</v>
      </c>
      <c r="H13" s="369">
        <f>D13*G13</f>
        <v>1600</v>
      </c>
      <c r="I13" s="370">
        <f>+E13+G13</f>
        <v>400</v>
      </c>
      <c r="J13" s="417">
        <f>D13*I13</f>
        <v>1600</v>
      </c>
    </row>
    <row r="14" spans="1:10" ht="12" customHeight="1" x14ac:dyDescent="0.2">
      <c r="A14" s="219" t="str">
        <f>+'O. GRUESA'!A24</f>
        <v>01.02.00.00</v>
      </c>
      <c r="B14" s="223" t="str">
        <f>+'O. GRUESA'!B24</f>
        <v>DEMOLICIÓN Y TRABAJOS PRELIMINARES</v>
      </c>
      <c r="C14" s="220"/>
      <c r="D14" s="382"/>
      <c r="E14" s="372"/>
      <c r="F14" s="415">
        <f>SUM(F15:F19)</f>
        <v>3345.5770033333333</v>
      </c>
      <c r="G14" s="372"/>
      <c r="H14" s="415">
        <f>SUM(H15:H19)</f>
        <v>3209.502</v>
      </c>
      <c r="I14" s="219"/>
      <c r="J14" s="415">
        <f>+RESUMEN!C5</f>
        <v>28571.359991145262</v>
      </c>
    </row>
    <row r="15" spans="1:10" ht="12" customHeight="1" outlineLevel="1" x14ac:dyDescent="0.2">
      <c r="A15" s="169" t="s">
        <v>341</v>
      </c>
      <c r="B15" s="275" t="str">
        <f>+'O. GRUESA'!B25</f>
        <v>DESMONTAJE Y ACARREO DE MATERIAL</v>
      </c>
      <c r="C15" s="169" t="str">
        <f>+'O. GRUESA'!D25</f>
        <v>glb</v>
      </c>
      <c r="D15" s="367">
        <f>+'O. GRUESA'!J25</f>
        <v>1</v>
      </c>
      <c r="E15" s="377">
        <v>1500</v>
      </c>
      <c r="F15" s="368">
        <f>D15*E15</f>
        <v>1500</v>
      </c>
      <c r="G15" s="377">
        <v>0</v>
      </c>
      <c r="H15" s="369">
        <f t="shared" si="0"/>
        <v>0</v>
      </c>
      <c r="I15" s="370">
        <v>3000</v>
      </c>
      <c r="J15" s="417">
        <f>D15*I15</f>
        <v>3000</v>
      </c>
    </row>
    <row r="16" spans="1:10" ht="12" customHeight="1" outlineLevel="1" x14ac:dyDescent="0.2">
      <c r="A16" s="169" t="s">
        <v>342</v>
      </c>
      <c r="B16" s="275" t="s">
        <v>781</v>
      </c>
      <c r="C16" s="169" t="s">
        <v>23</v>
      </c>
      <c r="D16" s="367">
        <v>1</v>
      </c>
      <c r="E16" s="377">
        <v>0</v>
      </c>
      <c r="F16" s="368">
        <f>D16*E16</f>
        <v>0</v>
      </c>
      <c r="G16" s="377">
        <v>0</v>
      </c>
      <c r="H16" s="369">
        <f t="shared" si="0"/>
        <v>0</v>
      </c>
      <c r="I16" s="370">
        <v>2500</v>
      </c>
      <c r="J16" s="417">
        <f>D16*I16</f>
        <v>2500</v>
      </c>
    </row>
    <row r="17" spans="1:10" ht="12" customHeight="1" outlineLevel="1" x14ac:dyDescent="0.2">
      <c r="A17" s="169" t="s">
        <v>343</v>
      </c>
      <c r="B17" s="275" t="s">
        <v>782</v>
      </c>
      <c r="C17" s="169" t="str">
        <f>+'O. GRUESA'!D28</f>
        <v>glb</v>
      </c>
      <c r="D17" s="367">
        <f>+'O. GRUESA'!J28</f>
        <v>1</v>
      </c>
      <c r="E17" s="377">
        <v>0</v>
      </c>
      <c r="F17" s="368">
        <f>D17*E17</f>
        <v>0</v>
      </c>
      <c r="G17" s="377">
        <v>0</v>
      </c>
      <c r="H17" s="369">
        <f>D17*G17</f>
        <v>0</v>
      </c>
      <c r="I17" s="370">
        <v>18000</v>
      </c>
      <c r="J17" s="417">
        <f>D17*I17</f>
        <v>18000</v>
      </c>
    </row>
    <row r="18" spans="1:10" ht="12" customHeight="1" outlineLevel="1" x14ac:dyDescent="0.2">
      <c r="A18" s="169" t="s">
        <v>344</v>
      </c>
      <c r="B18" s="275" t="str">
        <f>+'O. GRUESA'!B34</f>
        <v>ELIMINACIÓN DE ESCOMBROS, DESMONTE</v>
      </c>
      <c r="C18" s="169" t="str">
        <f>+'O. GRUESA'!D34</f>
        <v>glb</v>
      </c>
      <c r="D18" s="367">
        <f>+'O. GRUESA'!J34</f>
        <v>1</v>
      </c>
      <c r="E18" s="377">
        <v>0</v>
      </c>
      <c r="F18" s="368">
        <f>D18*E18</f>
        <v>0</v>
      </c>
      <c r="G18" s="377">
        <v>3000</v>
      </c>
      <c r="H18" s="369">
        <f t="shared" si="0"/>
        <v>3000</v>
      </c>
      <c r="I18" s="370">
        <v>3000</v>
      </c>
      <c r="J18" s="417">
        <f>D18*I18</f>
        <v>3000</v>
      </c>
    </row>
    <row r="19" spans="1:10" ht="12" customHeight="1" outlineLevel="1" x14ac:dyDescent="0.2">
      <c r="A19" s="169" t="s">
        <v>345</v>
      </c>
      <c r="B19" s="275" t="str">
        <f>+'O. GRUESA'!B40</f>
        <v>TRAZADO Y REPLANTEO S/EQUIPO</v>
      </c>
      <c r="C19" s="169" t="str">
        <f>+'O. GRUESA'!D40</f>
        <v>m2</v>
      </c>
      <c r="D19" s="367">
        <v>206</v>
      </c>
      <c r="E19" s="377">
        <f>+'APUs Casco'!F23+'APUs Casco'!F31</f>
        <v>8.9591116666666668</v>
      </c>
      <c r="F19" s="368">
        <f>D19*E19</f>
        <v>1845.5770033333333</v>
      </c>
      <c r="G19" s="377">
        <f>+'APUs Casco'!F27</f>
        <v>1.0170000000000001</v>
      </c>
      <c r="H19" s="369">
        <f>D19*G19</f>
        <v>209.50200000000004</v>
      </c>
      <c r="I19" s="370">
        <f>+J19/D19</f>
        <v>10.055145588083796</v>
      </c>
      <c r="J19" s="417">
        <f>+J14-SUM(J15:J18)</f>
        <v>2071.359991145262</v>
      </c>
    </row>
    <row r="20" spans="1:10" ht="12" customHeight="1" x14ac:dyDescent="0.2">
      <c r="A20" s="219" t="str">
        <f>+'O. GRUESA'!A43</f>
        <v>01.03.00.00</v>
      </c>
      <c r="B20" s="277" t="str">
        <f>+'O. GRUESA'!B43</f>
        <v>SEGURIDAD Y SALUD</v>
      </c>
      <c r="C20" s="219"/>
      <c r="D20" s="219"/>
      <c r="E20" s="372"/>
      <c r="F20" s="415">
        <f>SUM(F21:F24)</f>
        <v>3600</v>
      </c>
      <c r="G20" s="372"/>
      <c r="H20" s="415">
        <f>SUM(H21:H24)</f>
        <v>2450</v>
      </c>
      <c r="I20" s="219"/>
      <c r="J20" s="415">
        <f>+RESUMEN!C7</f>
        <v>7421.9784829144828</v>
      </c>
    </row>
    <row r="21" spans="1:10" ht="12" customHeight="1" outlineLevel="1" x14ac:dyDescent="0.2">
      <c r="A21" s="169" t="str">
        <f>+'O. GRUESA'!A44</f>
        <v>01.03.01.00</v>
      </c>
      <c r="B21" s="275" t="str">
        <f>+'O. GRUESA'!B44</f>
        <v>EQUIPOS DE PROTECCIÓN INDIVIDUAL</v>
      </c>
      <c r="C21" s="169" t="str">
        <f>+'O. GRUESA'!D44</f>
        <v>und</v>
      </c>
      <c r="D21" s="367">
        <v>30</v>
      </c>
      <c r="E21" s="377">
        <v>120</v>
      </c>
      <c r="F21" s="368">
        <f>D21*E21</f>
        <v>3600</v>
      </c>
      <c r="G21" s="377">
        <v>30</v>
      </c>
      <c r="H21" s="369">
        <f>D21*G21</f>
        <v>900</v>
      </c>
      <c r="I21" s="370">
        <f>+E21+G21</f>
        <v>150</v>
      </c>
      <c r="J21" s="417">
        <f>D21*I21</f>
        <v>4500</v>
      </c>
    </row>
    <row r="22" spans="1:10" ht="12" customHeight="1" outlineLevel="1" x14ac:dyDescent="0.2">
      <c r="A22" s="169" t="str">
        <f>+'O. GRUESA'!A47</f>
        <v>01.03.02.00</v>
      </c>
      <c r="B22" s="275" t="str">
        <f>+'O. GRUESA'!B47</f>
        <v>EQUIPOS DE PROTECCIÓN COLECTIVA</v>
      </c>
      <c r="C22" s="169" t="str">
        <f>+'O. GRUESA'!D47</f>
        <v>glb</v>
      </c>
      <c r="D22" s="367">
        <f>+'O. GRUESA'!J47</f>
        <v>1</v>
      </c>
      <c r="E22" s="377">
        <v>0</v>
      </c>
      <c r="F22" s="368">
        <f>D22*E22</f>
        <v>0</v>
      </c>
      <c r="G22" s="377">
        <v>500</v>
      </c>
      <c r="H22" s="369">
        <f>D22*G22</f>
        <v>500</v>
      </c>
      <c r="I22" s="370">
        <f>+J22</f>
        <v>1071.9784829144828</v>
      </c>
      <c r="J22" s="417">
        <f>+J20-J21-J23-J24</f>
        <v>1071.9784829144828</v>
      </c>
    </row>
    <row r="23" spans="1:10" ht="12" customHeight="1" outlineLevel="1" x14ac:dyDescent="0.2">
      <c r="A23" s="169" t="str">
        <f>+'O. GRUESA'!A50</f>
        <v>01.03.03.00</v>
      </c>
      <c r="B23" s="275" t="str">
        <f>+'O. GRUESA'!B50</f>
        <v>SEÑALIZACIÓN TEMPORAL DE SEGURIDAD</v>
      </c>
      <c r="C23" s="169" t="str">
        <f>+'O. GRUESA'!D50</f>
        <v>glb</v>
      </c>
      <c r="D23" s="367">
        <f>+'O. GRUESA'!J50</f>
        <v>1</v>
      </c>
      <c r="E23" s="377">
        <v>0</v>
      </c>
      <c r="F23" s="368">
        <f>D23*E23</f>
        <v>0</v>
      </c>
      <c r="G23" s="377">
        <v>250</v>
      </c>
      <c r="H23" s="369">
        <f>D23*G23</f>
        <v>250</v>
      </c>
      <c r="I23" s="370">
        <f>+E23+G23</f>
        <v>250</v>
      </c>
      <c r="J23" s="417">
        <f>D23*I23</f>
        <v>250</v>
      </c>
    </row>
    <row r="24" spans="1:10" ht="12" customHeight="1" outlineLevel="1" x14ac:dyDescent="0.2">
      <c r="A24" s="169" t="str">
        <f>+'O. GRUESA'!A53</f>
        <v>01.03.04.00</v>
      </c>
      <c r="B24" s="275" t="str">
        <f>+'O. GRUESA'!B53</f>
        <v>SEGURO SCTR</v>
      </c>
      <c r="C24" s="169" t="str">
        <f>+'O. GRUESA'!D53</f>
        <v>mes</v>
      </c>
      <c r="D24" s="367">
        <f>+'O. GRUESA'!J53</f>
        <v>4</v>
      </c>
      <c r="E24" s="377">
        <v>0</v>
      </c>
      <c r="F24" s="368">
        <f>D24*E24</f>
        <v>0</v>
      </c>
      <c r="G24" s="377">
        <v>200</v>
      </c>
      <c r="H24" s="369">
        <f>D24*G24</f>
        <v>800</v>
      </c>
      <c r="I24" s="370">
        <v>400</v>
      </c>
      <c r="J24" s="417">
        <f>D24*I24</f>
        <v>1600</v>
      </c>
    </row>
    <row r="25" spans="1:10" ht="12" customHeight="1" x14ac:dyDescent="0.2">
      <c r="A25" s="168" t="str">
        <f>+'O. GRUESA'!A56</f>
        <v>02.00.00.00</v>
      </c>
      <c r="B25" s="221" t="str">
        <f>+'O. GRUESA'!B56</f>
        <v>MOVIMIENTO DE TIERRAS</v>
      </c>
      <c r="C25" s="213"/>
      <c r="D25" s="395"/>
      <c r="E25" s="371"/>
      <c r="F25" s="414">
        <f>SUM(F26:F30)</f>
        <v>5964.1276866666667</v>
      </c>
      <c r="G25" s="371"/>
      <c r="H25" s="414">
        <f>SUM(H26:H30)</f>
        <v>2253.3181070000001</v>
      </c>
      <c r="I25" s="168"/>
      <c r="J25" s="414">
        <f>+RESUMEN!C6</f>
        <v>7667.9578804386392</v>
      </c>
    </row>
    <row r="26" spans="1:10" ht="12" customHeight="1" outlineLevel="1" x14ac:dyDescent="0.2">
      <c r="A26" s="169" t="s">
        <v>861</v>
      </c>
      <c r="B26" s="222" t="str">
        <f>'O. GRUESA'!$B$57</f>
        <v>EXCAVACIÓN MANUAL P/CIMIENTO Y ZAPATA</v>
      </c>
      <c r="C26" s="169" t="str">
        <f>'O. GRUESA'!$D$57</f>
        <v>m3</v>
      </c>
      <c r="D26" s="376">
        <f>'O. GRUESA'!$J$57</f>
        <v>54.704999999999998</v>
      </c>
      <c r="E26" s="377">
        <f>'APUs Casco'!$F$131</f>
        <v>45.888888888888886</v>
      </c>
      <c r="F26" s="368">
        <f>D26*E26</f>
        <v>2510.3516666666665</v>
      </c>
      <c r="G26" s="377">
        <f>'APUs Casco'!$F$134</f>
        <v>1.3766666666666665</v>
      </c>
      <c r="H26" s="369">
        <f>D26*G26</f>
        <v>75.310549999999992</v>
      </c>
      <c r="I26" s="370">
        <f>+J26/D26</f>
        <v>37.220990831526173</v>
      </c>
      <c r="J26" s="417">
        <f>+J25-SUM(J27:J30)</f>
        <v>2036.1743034386391</v>
      </c>
    </row>
    <row r="27" spans="1:10" ht="12" customHeight="1" outlineLevel="1" x14ac:dyDescent="0.2">
      <c r="A27" s="169" t="s">
        <v>862</v>
      </c>
      <c r="B27" s="275" t="str">
        <f>+'O. GRUESA'!B74</f>
        <v>COMPACTACIÓN MANUAL P/CIMIENTO Y ZAPATA</v>
      </c>
      <c r="C27" s="169" t="str">
        <f>+'O. GRUESA'!D74</f>
        <v>m2</v>
      </c>
      <c r="D27" s="376">
        <f>+'O. GRUESA'!J74</f>
        <v>33.045000000000009</v>
      </c>
      <c r="E27" s="377">
        <f>+'APUs Casco'!F140</f>
        <v>23.993333333333332</v>
      </c>
      <c r="F27" s="368">
        <f>D27*E27</f>
        <v>792.8597000000002</v>
      </c>
      <c r="G27" s="377">
        <f>+'APUs Casco'!F144</f>
        <v>3.1197999999999997</v>
      </c>
      <c r="H27" s="369">
        <f>D27*G27</f>
        <v>103.09379100000001</v>
      </c>
      <c r="I27" s="370">
        <f>+E27+G27</f>
        <v>27.11313333333333</v>
      </c>
      <c r="J27" s="417">
        <f>D27*I27</f>
        <v>895.9534910000001</v>
      </c>
    </row>
    <row r="28" spans="1:10" ht="12" customHeight="1" outlineLevel="1" x14ac:dyDescent="0.2">
      <c r="A28" s="169" t="s">
        <v>729</v>
      </c>
      <c r="B28" s="222" t="str">
        <f>+'O. GRUESA'!B91</f>
        <v>RELLENO COMPACTADO CON MATERIAL PROPIO</v>
      </c>
      <c r="C28" s="169" t="str">
        <f>+'O. GRUESA'!D91</f>
        <v>m3</v>
      </c>
      <c r="D28" s="376">
        <f>+'O. GRUESA'!J91</f>
        <v>28.584</v>
      </c>
      <c r="E28" s="377">
        <f>+'APUs Casco'!F151</f>
        <v>0.68833333333333324</v>
      </c>
      <c r="F28" s="368">
        <f>D28*E28</f>
        <v>19.675319999999996</v>
      </c>
      <c r="G28" s="377">
        <f>+'APUs Casco'!F154</f>
        <v>5.034416666666667</v>
      </c>
      <c r="H28" s="369">
        <f>D28*G28</f>
        <v>143.90376600000002</v>
      </c>
      <c r="I28" s="370">
        <f>+E28+G28</f>
        <v>5.7227500000000004</v>
      </c>
      <c r="J28" s="417">
        <f>D28*I28</f>
        <v>163.57908600000002</v>
      </c>
    </row>
    <row r="29" spans="1:10" ht="12" customHeight="1" outlineLevel="1" x14ac:dyDescent="0.2">
      <c r="A29" s="169" t="s">
        <v>730</v>
      </c>
      <c r="B29" s="222" t="str">
        <f>+'O. GRUESA'!B108</f>
        <v>ELIMINACION DE MATERIAL CON MAQUINARIA</v>
      </c>
      <c r="C29" s="169" t="str">
        <f>+'O. GRUESA'!D108</f>
        <v>m3</v>
      </c>
      <c r="D29" s="376">
        <f>+'O. GRUESA'!J108</f>
        <v>54.704999999999998</v>
      </c>
      <c r="E29" s="377">
        <f>+'APUs Casco'!F184</f>
        <v>7.8666666666666663</v>
      </c>
      <c r="F29" s="368">
        <f>D29*E29</f>
        <v>430.34599999999995</v>
      </c>
      <c r="G29" s="377">
        <v>22</v>
      </c>
      <c r="H29" s="369">
        <f>D29*G29</f>
        <v>1203.51</v>
      </c>
      <c r="I29" s="370">
        <f>+E29+G29</f>
        <v>29.866666666666667</v>
      </c>
      <c r="J29" s="417">
        <f>D29*I29</f>
        <v>1633.856</v>
      </c>
    </row>
    <row r="30" spans="1:10" ht="12" customHeight="1" outlineLevel="1" x14ac:dyDescent="0.2">
      <c r="A30" s="169" t="s">
        <v>731</v>
      </c>
      <c r="B30" s="222" t="str">
        <f>+'O. GRUESA'!B112</f>
        <v>NIVELACION DE TERRENO Y APISONADO C/20 CM.</v>
      </c>
      <c r="C30" s="169" t="str">
        <f>+'O. GRUESA'!D112</f>
        <v>m2</v>
      </c>
      <c r="D30" s="376">
        <f>+'O. GRUESA'!J112</f>
        <v>150</v>
      </c>
      <c r="E30" s="377">
        <f>+'APUs Casco'!F193+'APUs Casco'!F201</f>
        <v>14.7393</v>
      </c>
      <c r="F30" s="368">
        <f>D30*E30</f>
        <v>2210.895</v>
      </c>
      <c r="G30" s="377">
        <f>+'APUs Casco'!F198</f>
        <v>4.8499999999999996</v>
      </c>
      <c r="H30" s="369">
        <f>D30*G30</f>
        <v>727.5</v>
      </c>
      <c r="I30" s="370">
        <f>+E30+G30</f>
        <v>19.589300000000001</v>
      </c>
      <c r="J30" s="417">
        <f>D30*I30</f>
        <v>2938.3950000000004</v>
      </c>
    </row>
    <row r="31" spans="1:10" ht="12" customHeight="1" x14ac:dyDescent="0.2">
      <c r="A31" s="168" t="str">
        <f>+'O. GRUESA'!A116</f>
        <v>03.00.00.00</v>
      </c>
      <c r="B31" s="221" t="str">
        <f>+'O. GRUESA'!B116</f>
        <v>1ER PISO</v>
      </c>
      <c r="C31" s="213"/>
      <c r="D31" s="395"/>
      <c r="E31" s="371"/>
      <c r="F31" s="414">
        <f>+F32+F42+F70+F73</f>
        <v>50087.852741506118</v>
      </c>
      <c r="G31" s="371"/>
      <c r="H31" s="414">
        <f>+H32+H42+H70+H73</f>
        <v>55039.906815905008</v>
      </c>
      <c r="I31" s="168"/>
      <c r="J31" s="414">
        <f>+J32+J42+J70+J73+J82+J90</f>
        <v>129861.17183386424</v>
      </c>
    </row>
    <row r="32" spans="1:10" ht="12" customHeight="1" collapsed="1" x14ac:dyDescent="0.2">
      <c r="A32" s="219" t="s">
        <v>338</v>
      </c>
      <c r="B32" s="277" t="str">
        <f>+'O. GRUESA'!B117</f>
        <v>CONCRETO SIMPLE</v>
      </c>
      <c r="C32" s="219"/>
      <c r="D32" s="219"/>
      <c r="E32" s="372"/>
      <c r="F32" s="415">
        <f>SUM(F33:F41)</f>
        <v>6290.3482344743743</v>
      </c>
      <c r="G32" s="372"/>
      <c r="H32" s="415">
        <f>SUM(H33:H41)</f>
        <v>10936.765394599941</v>
      </c>
      <c r="I32" s="219"/>
      <c r="J32" s="415">
        <f>+RESUMEN!C9</f>
        <v>17227.113629074312</v>
      </c>
    </row>
    <row r="33" spans="1:12" ht="12" customHeight="1" outlineLevel="1" x14ac:dyDescent="0.2">
      <c r="A33" s="272" t="s">
        <v>348</v>
      </c>
      <c r="B33" s="273" t="s">
        <v>340</v>
      </c>
      <c r="C33" s="276"/>
      <c r="D33" s="276"/>
      <c r="E33" s="276"/>
      <c r="F33" s="276"/>
      <c r="G33" s="276"/>
      <c r="H33" s="276"/>
      <c r="I33" s="276"/>
      <c r="J33" s="416"/>
    </row>
    <row r="34" spans="1:12" ht="12" customHeight="1" outlineLevel="1" x14ac:dyDescent="0.2">
      <c r="A34" s="169" t="s">
        <v>349</v>
      </c>
      <c r="B34" s="167" t="str">
        <f>+'O. GRUESA'!B119</f>
        <v>CONCRETO, fc=100 kg/cm²</v>
      </c>
      <c r="C34" s="169" t="str">
        <f>+'O. GRUESA'!D119</f>
        <v>m2</v>
      </c>
      <c r="D34" s="376">
        <f>+'O. GRUESA'!J119</f>
        <v>17.670000000000002</v>
      </c>
      <c r="E34" s="377">
        <f>+'APUs Casco'!F208+'APUs Casco'!F217</f>
        <v>14.642055555555554</v>
      </c>
      <c r="F34" s="368">
        <f t="shared" ref="F34:F39" si="1">D34*E34</f>
        <v>258.72512166666667</v>
      </c>
      <c r="G34" s="377">
        <f>+'APUs Casco'!F214</f>
        <v>28.774999999999999</v>
      </c>
      <c r="H34" s="369">
        <f>D34*G34</f>
        <v>508.45425</v>
      </c>
      <c r="I34" s="370">
        <f>+E34+G34</f>
        <v>43.41705555555555</v>
      </c>
      <c r="J34" s="417">
        <f>D34*I34</f>
        <v>767.17937166666661</v>
      </c>
    </row>
    <row r="35" spans="1:12" ht="12" customHeight="1" outlineLevel="1" x14ac:dyDescent="0.2">
      <c r="A35" s="272" t="s">
        <v>863</v>
      </c>
      <c r="B35" s="273" t="str">
        <f>+'O. GRUESA'!B124</f>
        <v>CIMIENTO CORRIDO</v>
      </c>
      <c r="C35" s="276"/>
      <c r="D35" s="276"/>
      <c r="E35" s="276"/>
      <c r="F35" s="276"/>
      <c r="G35" s="276"/>
      <c r="H35" s="276"/>
      <c r="I35" s="276"/>
      <c r="J35" s="416"/>
    </row>
    <row r="36" spans="1:12" ht="12.6" customHeight="1" outlineLevel="1" x14ac:dyDescent="0.2">
      <c r="A36" s="169" t="s">
        <v>866</v>
      </c>
      <c r="B36" s="222" t="str">
        <f>+'O. GRUESA'!B125</f>
        <v>CONCRETO f'c= 100  kg/cm² +30% P.G.  (Tamaño maximo 6")</v>
      </c>
      <c r="C36" s="169" t="str">
        <f>+'O. GRUESA'!D125</f>
        <v>m3</v>
      </c>
      <c r="D36" s="376">
        <f>+'O. GRUESA'!J125</f>
        <v>18.450000000000003</v>
      </c>
      <c r="E36" s="377">
        <f>+'APUs Casco'!F300+'APUs Casco'!F309</f>
        <v>73.423111111111112</v>
      </c>
      <c r="F36" s="368">
        <f>D36*E36</f>
        <v>1354.6564000000003</v>
      </c>
      <c r="G36" s="377">
        <f>+'APUs Casco'!F305</f>
        <v>312.85000000000002</v>
      </c>
      <c r="H36" s="369">
        <f>D36*G36</f>
        <v>5772.0825000000013</v>
      </c>
      <c r="I36" s="370">
        <f>+E36+G36</f>
        <v>386.27311111111112</v>
      </c>
      <c r="J36" s="417">
        <f>D36*I36</f>
        <v>7126.7389000000012</v>
      </c>
    </row>
    <row r="37" spans="1:12" ht="12" customHeight="1" outlineLevel="1" x14ac:dyDescent="0.2">
      <c r="A37" s="272" t="s">
        <v>864</v>
      </c>
      <c r="B37" s="273" t="str">
        <f>+'O. GRUESA'!B139</f>
        <v>SOBRECIMIENTO</v>
      </c>
      <c r="C37" s="276"/>
      <c r="D37" s="276"/>
      <c r="E37" s="276"/>
      <c r="F37" s="276"/>
      <c r="G37" s="276"/>
      <c r="H37" s="276"/>
      <c r="I37" s="276"/>
      <c r="J37" s="416"/>
    </row>
    <row r="38" spans="1:12" ht="12" customHeight="1" outlineLevel="1" x14ac:dyDescent="0.2">
      <c r="A38" s="169" t="s">
        <v>867</v>
      </c>
      <c r="B38" s="222" t="str">
        <f>+'O. GRUESA'!B140</f>
        <v>CONCRETO, f'c= 140  kg/cm² +25% P.M. (Tamaño maximo 3")</v>
      </c>
      <c r="C38" s="169" t="str">
        <f>+'O. GRUESA'!D140</f>
        <v>m3</v>
      </c>
      <c r="D38" s="376">
        <f>+'O. GRUESA'!J140</f>
        <v>2.7487500000000002</v>
      </c>
      <c r="E38" s="377">
        <f>+'APUs Casco'!F330+'APUs Casco'!F339</f>
        <v>110.13466666666667</v>
      </c>
      <c r="F38" s="368">
        <f t="shared" si="1"/>
        <v>302.73266500000005</v>
      </c>
      <c r="G38" s="377">
        <f>+'APUs Casco'!F335</f>
        <v>250.85000000000002</v>
      </c>
      <c r="H38" s="369">
        <f>D38*G38</f>
        <v>689.5239375000001</v>
      </c>
      <c r="I38" s="370">
        <f>+E38+G38</f>
        <v>360.98466666666673</v>
      </c>
      <c r="J38" s="417">
        <f>D38*I38</f>
        <v>992.25660250000021</v>
      </c>
    </row>
    <row r="39" spans="1:12" ht="12" customHeight="1" outlineLevel="1" x14ac:dyDescent="0.2">
      <c r="A39" s="169" t="s">
        <v>868</v>
      </c>
      <c r="B39" s="222" t="str">
        <f>+'O. GRUESA'!B154</f>
        <v>ENCOFRADO Y DESENCOFRADO</v>
      </c>
      <c r="C39" s="169" t="str">
        <f>+'O. GRUESA'!D154</f>
        <v>m2</v>
      </c>
      <c r="D39" s="376">
        <f>+'O. GRUESA'!J154</f>
        <v>36.650000000000006</v>
      </c>
      <c r="E39" s="377">
        <f>+'APUs Casco'!F316+'APUs Casco'!F324</f>
        <v>35.44916666666667</v>
      </c>
      <c r="F39" s="368">
        <f t="shared" si="1"/>
        <v>1299.2119583333338</v>
      </c>
      <c r="G39" s="377">
        <f>+'APUs Casco'!F321</f>
        <v>2.1</v>
      </c>
      <c r="H39" s="369">
        <f>D39*G39</f>
        <v>76.965000000000018</v>
      </c>
      <c r="I39" s="370">
        <f>+E39+G39</f>
        <v>37.549166666666672</v>
      </c>
      <c r="J39" s="417">
        <f>D39*I39</f>
        <v>1376.1769583333337</v>
      </c>
    </row>
    <row r="40" spans="1:12" ht="12" customHeight="1" outlineLevel="1" x14ac:dyDescent="0.2">
      <c r="A40" s="272" t="s">
        <v>865</v>
      </c>
      <c r="B40" s="308" t="str">
        <f>+'O. GRUESA'!B168</f>
        <v>FALSO PISO</v>
      </c>
      <c r="C40" s="276"/>
      <c r="D40" s="276"/>
      <c r="E40" s="276"/>
      <c r="F40" s="276"/>
      <c r="G40" s="276"/>
      <c r="H40" s="276"/>
      <c r="I40" s="276"/>
      <c r="J40" s="416"/>
    </row>
    <row r="41" spans="1:12" ht="12" customHeight="1" outlineLevel="1" x14ac:dyDescent="0.2">
      <c r="A41" s="169" t="s">
        <v>869</v>
      </c>
      <c r="B41" s="275" t="str">
        <f>+'O. GRUESA'!B169</f>
        <v xml:space="preserve">FALSO PISO </v>
      </c>
      <c r="C41" s="169" t="str">
        <f>+'O. GRUESA'!D169</f>
        <v>m2</v>
      </c>
      <c r="D41" s="376">
        <f>+J41/I41</f>
        <v>142.4813079523787</v>
      </c>
      <c r="E41" s="377">
        <f>+'APUs Casco'!F346+'APUs Casco'!F354</f>
        <v>21.581933333333332</v>
      </c>
      <c r="F41" s="368">
        <f>D41*E41</f>
        <v>3075.0220894743734</v>
      </c>
      <c r="G41" s="377">
        <f>+'APUs Casco'!F352</f>
        <v>27.300000000000004</v>
      </c>
      <c r="H41" s="369">
        <f>D41*G41</f>
        <v>3889.7397070999391</v>
      </c>
      <c r="I41" s="370">
        <f>+E41+G41</f>
        <v>48.881933333333336</v>
      </c>
      <c r="J41" s="417">
        <f>+J32-SUM(J34:J39)</f>
        <v>6964.761796574312</v>
      </c>
    </row>
    <row r="42" spans="1:12" ht="12" customHeight="1" x14ac:dyDescent="0.2">
      <c r="A42" s="219" t="s">
        <v>510</v>
      </c>
      <c r="B42" s="277" t="str">
        <f>+'O. GRUESA'!B172</f>
        <v>CONCRETO ARMADO + MUROS PORTANTES</v>
      </c>
      <c r="C42" s="219"/>
      <c r="D42" s="219"/>
      <c r="E42" s="372"/>
      <c r="F42" s="415">
        <f>+SUM(F43:F67)</f>
        <v>21576.889766376193</v>
      </c>
      <c r="G42" s="372"/>
      <c r="H42" s="415">
        <f>+SUM(H43:H67)</f>
        <v>32077.411687499989</v>
      </c>
      <c r="I42" s="219"/>
      <c r="J42" s="415">
        <f>+RESUMEN!C10</f>
        <v>54821.241322016976</v>
      </c>
      <c r="K42" s="669"/>
      <c r="L42" s="669"/>
    </row>
    <row r="43" spans="1:12" ht="12" customHeight="1" outlineLevel="1" x14ac:dyDescent="0.2">
      <c r="A43" s="272" t="s">
        <v>511</v>
      </c>
      <c r="B43" s="273" t="str">
        <f>+'O. GRUESA'!B173</f>
        <v>ZAPATAS</v>
      </c>
      <c r="C43" s="276"/>
      <c r="D43" s="276"/>
      <c r="E43" s="276"/>
      <c r="F43" s="276"/>
      <c r="G43" s="276"/>
      <c r="H43" s="276"/>
      <c r="I43" s="276"/>
      <c r="J43" s="416"/>
    </row>
    <row r="44" spans="1:12" ht="12" customHeight="1" outlineLevel="1" x14ac:dyDescent="0.2">
      <c r="A44" s="170" t="s">
        <v>907</v>
      </c>
      <c r="B44" s="274" t="str">
        <f>+'O. GRUESA'!B174</f>
        <v>CONCRETO PREMEZCLADO f'c=210kg/cm2</v>
      </c>
      <c r="C44" s="170" t="str">
        <f>+'O. GRUESA'!D174</f>
        <v>m3</v>
      </c>
      <c r="D44" s="365">
        <f>+'O. GRUESA'!J174</f>
        <v>10.602</v>
      </c>
      <c r="E44" s="366">
        <f>'APUs Casco'!$F$540+'APUs Casco'!$F$548</f>
        <v>49.705200000000005</v>
      </c>
      <c r="F44" s="368">
        <f>D44*E44</f>
        <v>526.97453040000005</v>
      </c>
      <c r="G44" s="366">
        <f>'APUs Casco'!$F$545</f>
        <v>330.75</v>
      </c>
      <c r="H44" s="369">
        <f t="shared" ref="H44:H58" si="2">D44*G44</f>
        <v>3506.6115</v>
      </c>
      <c r="I44" s="370">
        <f>+E44+G44</f>
        <v>380.45519999999999</v>
      </c>
      <c r="J44" s="417">
        <f>D44*I44</f>
        <v>4033.5860303999998</v>
      </c>
    </row>
    <row r="45" spans="1:12" ht="12" customHeight="1" outlineLevel="1" x14ac:dyDescent="0.2">
      <c r="A45" s="170" t="s">
        <v>908</v>
      </c>
      <c r="B45" s="274" t="str">
        <f>+'O. GRUESA'!B179</f>
        <v>ENCOFRADO Y DESENCOFRADO</v>
      </c>
      <c r="C45" s="170" t="str">
        <f>+'O. GRUESA'!D179</f>
        <v>m2</v>
      </c>
      <c r="D45" s="365">
        <f>+'O. GRUESA'!J179</f>
        <v>29.819999999999997</v>
      </c>
      <c r="E45" s="366">
        <f>'APUs Casco'!$F$685+'APUs Casco'!$F$694</f>
        <v>44.401583333333335</v>
      </c>
      <c r="F45" s="368">
        <f>D45*E45</f>
        <v>1324.0552149999999</v>
      </c>
      <c r="G45" s="366">
        <f>'APUs Casco'!$F$691</f>
        <v>3</v>
      </c>
      <c r="H45" s="369">
        <f t="shared" si="2"/>
        <v>89.46</v>
      </c>
      <c r="I45" s="370">
        <f t="shared" ref="I45:I58" si="3">+E45+G45</f>
        <v>47.401583333333335</v>
      </c>
      <c r="J45" s="417">
        <f t="shared" ref="J45:J58" si="4">D45*I45</f>
        <v>1413.5152149999999</v>
      </c>
      <c r="K45" s="167">
        <v>25</v>
      </c>
    </row>
    <row r="46" spans="1:12" ht="12" customHeight="1" outlineLevel="1" x14ac:dyDescent="0.2">
      <c r="A46" s="170" t="s">
        <v>909</v>
      </c>
      <c r="B46" s="274" t="str">
        <f>+'O. GRUESA'!B184</f>
        <v>ACERO fy=4200kg/cm2</v>
      </c>
      <c r="C46" s="170" t="str">
        <f>+'O. GRUESA'!D184</f>
        <v>kg</v>
      </c>
      <c r="D46" s="365">
        <f>+'O. GRUESA'!J184</f>
        <v>477.09000000000003</v>
      </c>
      <c r="E46" s="366">
        <f>'APUs Casco'!$F$848+'APUs Casco'!$F$855</f>
        <v>1.5143333333333333</v>
      </c>
      <c r="F46" s="368">
        <f>D46*E46</f>
        <v>722.47329000000002</v>
      </c>
      <c r="G46" s="366">
        <f>'APUs Casco'!$F$852</f>
        <v>5.8500000000000005</v>
      </c>
      <c r="H46" s="369">
        <f t="shared" si="2"/>
        <v>2790.9765000000002</v>
      </c>
      <c r="I46" s="370">
        <f t="shared" si="3"/>
        <v>7.3643333333333336</v>
      </c>
      <c r="J46" s="417">
        <f t="shared" si="4"/>
        <v>3513.4497900000006</v>
      </c>
    </row>
    <row r="47" spans="1:12" ht="12" customHeight="1" outlineLevel="1" x14ac:dyDescent="0.2">
      <c r="A47" s="272" t="s">
        <v>910</v>
      </c>
      <c r="B47" s="273" t="str">
        <f>'O. GRUESA'!B188</f>
        <v>PLACAS</v>
      </c>
      <c r="C47" s="276"/>
      <c r="D47" s="276"/>
      <c r="E47" s="276"/>
      <c r="F47" s="276"/>
      <c r="G47" s="276"/>
      <c r="H47" s="276"/>
      <c r="I47" s="276"/>
      <c r="J47" s="416"/>
    </row>
    <row r="48" spans="1:12" ht="12" customHeight="1" outlineLevel="1" x14ac:dyDescent="0.2">
      <c r="A48" s="169" t="s">
        <v>911</v>
      </c>
      <c r="B48" s="275" t="str">
        <f>'O. GRUESA'!$B$189</f>
        <v>PLACAS - CONCRETO PREMEZCLADO f'c=210kg/cm2</v>
      </c>
      <c r="C48" s="169" t="str">
        <f>'O. GRUESA'!$D$189</f>
        <v>m3</v>
      </c>
      <c r="D48" s="367">
        <f>'O. GRUESA'!$J$189</f>
        <v>12.899999999999999</v>
      </c>
      <c r="E48" s="366">
        <f>'APUs Casco'!$F$627+'APUs Casco'!$F$635</f>
        <v>88.708666666666659</v>
      </c>
      <c r="F48" s="368">
        <f>D48*E48</f>
        <v>1144.3417999999997</v>
      </c>
      <c r="G48" s="366">
        <f>'APUs Casco'!$F$632</f>
        <v>348.75</v>
      </c>
      <c r="H48" s="369">
        <f>D48*G48</f>
        <v>4498.8749999999991</v>
      </c>
      <c r="I48" s="370">
        <f>+E48+G48</f>
        <v>437.45866666666666</v>
      </c>
      <c r="J48" s="417">
        <f>D48*I48</f>
        <v>5643.2167999999992</v>
      </c>
    </row>
    <row r="49" spans="1:10" ht="12" customHeight="1" outlineLevel="1" x14ac:dyDescent="0.2">
      <c r="A49" s="169" t="s">
        <v>912</v>
      </c>
      <c r="B49" s="275" t="str">
        <f>'O. GRUESA'!$B$194</f>
        <v>PLACAS - ENCOFRADO Y DESENCOFRADO</v>
      </c>
      <c r="C49" s="169" t="str">
        <f>'O. GRUESA'!$D$194</f>
        <v>m2</v>
      </c>
      <c r="D49" s="367">
        <f>'O. GRUESA'!$J$194</f>
        <v>123.9</v>
      </c>
      <c r="E49" s="366">
        <f>'APUs Casco'!$F$760+'APUs Casco'!$F$769</f>
        <v>60.478166666666667</v>
      </c>
      <c r="F49" s="368">
        <f>D49*E49</f>
        <v>7493.24485</v>
      </c>
      <c r="G49" s="366">
        <f>'APUs Casco'!$F$766</f>
        <v>2.35</v>
      </c>
      <c r="H49" s="369">
        <f>D49*G49</f>
        <v>291.16500000000002</v>
      </c>
      <c r="I49" s="370">
        <f>+E49+G49</f>
        <v>62.828166666666668</v>
      </c>
      <c r="J49" s="417">
        <f>D49*I49</f>
        <v>7784.4098500000009</v>
      </c>
    </row>
    <row r="50" spans="1:10" ht="12" customHeight="1" outlineLevel="1" x14ac:dyDescent="0.2">
      <c r="A50" s="169" t="s">
        <v>913</v>
      </c>
      <c r="B50" s="275" t="str">
        <f>'O. GRUESA'!$B$199</f>
        <v>PLACAS - ACERO fy=4200kg/cm2</v>
      </c>
      <c r="C50" s="169" t="str">
        <f>'O. GRUESA'!$D$199</f>
        <v>kg</v>
      </c>
      <c r="D50" s="367">
        <f>'O. GRUESA'!$J$199</f>
        <v>1225.4999999999998</v>
      </c>
      <c r="E50" s="366">
        <f>'APUs Casco'!$F$926+'APUs Casco'!$F$933</f>
        <v>2.2715000000000001</v>
      </c>
      <c r="F50" s="368">
        <f>D50*E50</f>
        <v>2783.7232499999996</v>
      </c>
      <c r="G50" s="366">
        <f>'APUs Casco'!$F$930</f>
        <v>5.75</v>
      </c>
      <c r="H50" s="369">
        <f>D50*G50</f>
        <v>7046.6249999999991</v>
      </c>
      <c r="I50" s="370">
        <f>+E50+G50</f>
        <v>8.0214999999999996</v>
      </c>
      <c r="J50" s="417">
        <f>D50*I50</f>
        <v>9830.3482499999973</v>
      </c>
    </row>
    <row r="51" spans="1:10" ht="12" customHeight="1" outlineLevel="1" x14ac:dyDescent="0.2">
      <c r="A51" s="272" t="s">
        <v>914</v>
      </c>
      <c r="B51" s="273" t="str">
        <f>+'O. GRUESA'!B203</f>
        <v>VIGAS</v>
      </c>
      <c r="C51" s="276"/>
      <c r="D51" s="276"/>
      <c r="E51" s="276"/>
      <c r="F51" s="276"/>
      <c r="G51" s="276"/>
      <c r="H51" s="276"/>
      <c r="I51" s="276"/>
      <c r="J51" s="416"/>
    </row>
    <row r="52" spans="1:10" ht="12" customHeight="1" outlineLevel="1" x14ac:dyDescent="0.2">
      <c r="A52" s="169" t="s">
        <v>915</v>
      </c>
      <c r="B52" s="275" t="str">
        <f>+'O. GRUESA'!B204</f>
        <v>VIGAS - CONCRETO PREMEZCLADO f'c=210kg/cm2</v>
      </c>
      <c r="C52" s="169" t="str">
        <f>+'O. GRUESA'!D204</f>
        <v>m3</v>
      </c>
      <c r="D52" s="367">
        <f>+'O. GRUESA'!J204</f>
        <v>4.1165000000000003</v>
      </c>
      <c r="E52" s="366">
        <f>+'APUs Casco'!F480+'APUs Casco'!F488</f>
        <v>57.276533333333333</v>
      </c>
      <c r="F52" s="368">
        <f t="shared" ref="F52:F58" si="5">D52*E52</f>
        <v>235.77884946666668</v>
      </c>
      <c r="G52" s="366">
        <f>+'APUs Casco'!F485</f>
        <v>330.75</v>
      </c>
      <c r="H52" s="369">
        <f t="shared" si="2"/>
        <v>1361.532375</v>
      </c>
      <c r="I52" s="370">
        <f t="shared" si="3"/>
        <v>388.0265333333333</v>
      </c>
      <c r="J52" s="417">
        <f t="shared" si="4"/>
        <v>1597.3112244666665</v>
      </c>
    </row>
    <row r="53" spans="1:10" ht="12" customHeight="1" outlineLevel="1" x14ac:dyDescent="0.2">
      <c r="A53" s="169" t="s">
        <v>916</v>
      </c>
      <c r="B53" s="275" t="str">
        <f>+'O. GRUESA'!B214</f>
        <v>VIGAS - ENCOFRADO Y DESENCOFRADO</v>
      </c>
      <c r="C53" s="169" t="str">
        <f>+'O. GRUESA'!D214</f>
        <v>m2</v>
      </c>
      <c r="D53" s="367">
        <f>+'O. GRUESA'!J214</f>
        <v>30.162499999999998</v>
      </c>
      <c r="E53" s="366">
        <f>+'APUs Casco'!F775+'APUs Casco'!F784</f>
        <v>46.902766666666665</v>
      </c>
      <c r="F53" s="368">
        <f t="shared" si="5"/>
        <v>1414.7046995833332</v>
      </c>
      <c r="G53" s="366">
        <f>+'APUs Casco'!F781</f>
        <v>2.2000000000000002</v>
      </c>
      <c r="H53" s="369">
        <f t="shared" si="2"/>
        <v>66.357500000000002</v>
      </c>
      <c r="I53" s="370">
        <f t="shared" si="3"/>
        <v>49.102766666666668</v>
      </c>
      <c r="J53" s="417">
        <f t="shared" si="4"/>
        <v>1481.0621995833333</v>
      </c>
    </row>
    <row r="54" spans="1:10" ht="12" customHeight="1" outlineLevel="1" x14ac:dyDescent="0.2">
      <c r="A54" s="169" t="s">
        <v>917</v>
      </c>
      <c r="B54" s="275" t="str">
        <f>+'O. GRUESA'!B224</f>
        <v>VIGAS - ACERO fy=4200kg/cm2</v>
      </c>
      <c r="C54" s="169" t="str">
        <f>+'O. GRUESA'!D224</f>
        <v>kg</v>
      </c>
      <c r="D54" s="367">
        <f>+'O. GRUESA'!J224</f>
        <v>1029.125</v>
      </c>
      <c r="E54" s="366">
        <f>+'APUs Casco'!F939+'APUs Casco'!F946</f>
        <v>1.8172000000000001</v>
      </c>
      <c r="F54" s="368">
        <f t="shared" si="5"/>
        <v>1870.1259500000001</v>
      </c>
      <c r="G54" s="366">
        <f>+'APUs Casco'!F943</f>
        <v>5.6000000000000005</v>
      </c>
      <c r="H54" s="369">
        <f t="shared" si="2"/>
        <v>5763.1</v>
      </c>
      <c r="I54" s="370">
        <f t="shared" si="3"/>
        <v>7.4172000000000011</v>
      </c>
      <c r="J54" s="417">
        <f t="shared" si="4"/>
        <v>7633.2259500000009</v>
      </c>
    </row>
    <row r="55" spans="1:10" ht="12" customHeight="1" outlineLevel="1" x14ac:dyDescent="0.2">
      <c r="A55" s="272" t="s">
        <v>918</v>
      </c>
      <c r="B55" s="273" t="str">
        <f>+'O. GRUESA'!B228</f>
        <v>LOSA ALIGERADA</v>
      </c>
      <c r="C55" s="276"/>
      <c r="D55" s="276"/>
      <c r="E55" s="276"/>
      <c r="F55" s="276"/>
      <c r="G55" s="276"/>
      <c r="H55" s="276"/>
      <c r="I55" s="276"/>
      <c r="J55" s="416"/>
    </row>
    <row r="56" spans="1:10" ht="12" customHeight="1" outlineLevel="1" x14ac:dyDescent="0.2">
      <c r="A56" s="169" t="s">
        <v>919</v>
      </c>
      <c r="B56" s="275" t="str">
        <f>+'O. GRUESA'!B229</f>
        <v>LOSA ALIGERADA - CONCRETO PREMEZCLADO f'c=210kg/cm2</v>
      </c>
      <c r="C56" s="169" t="str">
        <f>+'O. GRUESA'!D229</f>
        <v>m3</v>
      </c>
      <c r="D56" s="367">
        <f>+'O. GRUESA'!J229</f>
        <v>2.2927499999999998</v>
      </c>
      <c r="E56" s="366">
        <f>+'APUs Casco'!F495+'APUs Casco'!F503</f>
        <v>57.276533333333333</v>
      </c>
      <c r="F56" s="368">
        <f t="shared" si="5"/>
        <v>131.32077179999999</v>
      </c>
      <c r="G56" s="366">
        <f>+'APUs Casco'!F500</f>
        <v>330.75</v>
      </c>
      <c r="H56" s="369">
        <f t="shared" si="2"/>
        <v>758.3270624999999</v>
      </c>
      <c r="I56" s="370">
        <f t="shared" si="3"/>
        <v>388.0265333333333</v>
      </c>
      <c r="J56" s="417">
        <f t="shared" si="4"/>
        <v>889.64783429999989</v>
      </c>
    </row>
    <row r="57" spans="1:10" ht="12" customHeight="1" outlineLevel="1" x14ac:dyDescent="0.2">
      <c r="A57" s="169" t="s">
        <v>920</v>
      </c>
      <c r="B57" s="275" t="str">
        <f>+'O. GRUESA'!B234</f>
        <v>LOSA ALIGERADA - ENCOFRADO Y DESENCOFRADO</v>
      </c>
      <c r="C57" s="169" t="str">
        <f>+'O. GRUESA'!D234</f>
        <v>m2</v>
      </c>
      <c r="D57" s="367">
        <f>+'O. GRUESA'!J234</f>
        <v>22.927499999999995</v>
      </c>
      <c r="E57" s="366">
        <f>+'APUs Casco'!F790+'APUs Casco'!F799</f>
        <v>31.934904761904765</v>
      </c>
      <c r="F57" s="368">
        <f t="shared" si="5"/>
        <v>732.18752892857128</v>
      </c>
      <c r="G57" s="366">
        <f>+'APUs Casco'!F796</f>
        <v>1.05</v>
      </c>
      <c r="H57" s="369">
        <f t="shared" si="2"/>
        <v>24.073874999999994</v>
      </c>
      <c r="I57" s="370">
        <f t="shared" si="3"/>
        <v>32.984904761904765</v>
      </c>
      <c r="J57" s="417">
        <f t="shared" si="4"/>
        <v>756.26140392857133</v>
      </c>
    </row>
    <row r="58" spans="1:10" ht="12" customHeight="1" outlineLevel="1" x14ac:dyDescent="0.2">
      <c r="A58" s="169" t="s">
        <v>921</v>
      </c>
      <c r="B58" s="275" t="str">
        <f>+'O. GRUESA'!B239</f>
        <v>LOSA ALIGERADA - LADRILLO HUECO DE  0.15X0.30X0.30</v>
      </c>
      <c r="C58" s="169" t="str">
        <f>+'O. GRUESA'!D239</f>
        <v>und</v>
      </c>
      <c r="D58" s="367">
        <f>+'O. GRUESA'!J239</f>
        <v>207</v>
      </c>
      <c r="E58" s="366">
        <f>+'APUs Casco'!F805+'APUs Casco'!F812</f>
        <v>1.0381541666666665</v>
      </c>
      <c r="F58" s="368">
        <f t="shared" si="5"/>
        <v>214.89791249999996</v>
      </c>
      <c r="G58" s="366">
        <f>+'APUs Casco'!F810</f>
        <v>3.6750000000000003</v>
      </c>
      <c r="H58" s="369">
        <f t="shared" si="2"/>
        <v>760.72500000000002</v>
      </c>
      <c r="I58" s="370">
        <f t="shared" si="3"/>
        <v>4.7131541666666665</v>
      </c>
      <c r="J58" s="417">
        <f t="shared" si="4"/>
        <v>975.62291249999998</v>
      </c>
    </row>
    <row r="59" spans="1:10" ht="12" customHeight="1" outlineLevel="1" x14ac:dyDescent="0.2">
      <c r="A59" s="169" t="s">
        <v>922</v>
      </c>
      <c r="B59" s="275" t="str">
        <f>+'O. GRUESA'!B244</f>
        <v>LOSA ALIGERADA - ACERO fy=4200kg/cm2</v>
      </c>
      <c r="C59" s="169" t="str">
        <f>+'O. GRUESA'!D244</f>
        <v>kg</v>
      </c>
      <c r="D59" s="367">
        <f>+'O. GRUESA'!J244</f>
        <v>275.13</v>
      </c>
      <c r="E59" s="366">
        <f>+'APUs Casco'!F952+'APUs Casco'!F959</f>
        <v>1.8172000000000001</v>
      </c>
      <c r="F59" s="368">
        <f>D59*E59</f>
        <v>499.96623600000004</v>
      </c>
      <c r="G59" s="366">
        <f>+'APUs Casco'!F956</f>
        <v>5.6000000000000005</v>
      </c>
      <c r="H59" s="369">
        <f>D59*G59</f>
        <v>1540.7280000000001</v>
      </c>
      <c r="I59" s="370">
        <f>+E59+G59</f>
        <v>7.4172000000000011</v>
      </c>
      <c r="J59" s="417">
        <f>D59*I59</f>
        <v>2040.6942360000003</v>
      </c>
    </row>
    <row r="60" spans="1:10" ht="12" customHeight="1" outlineLevel="1" x14ac:dyDescent="0.2">
      <c r="A60" s="272" t="s">
        <v>923</v>
      </c>
      <c r="B60" s="308" t="str">
        <f>+'O. GRUESA'!B248</f>
        <v>LOSA MACIZA</v>
      </c>
      <c r="C60" s="276"/>
      <c r="D60" s="276"/>
      <c r="E60" s="276"/>
      <c r="F60" s="276"/>
      <c r="G60" s="276"/>
      <c r="H60" s="276"/>
      <c r="I60" s="276"/>
      <c r="J60" s="416"/>
    </row>
    <row r="61" spans="1:10" ht="12" customHeight="1" outlineLevel="1" x14ac:dyDescent="0.2">
      <c r="A61" s="169" t="s">
        <v>924</v>
      </c>
      <c r="B61" s="275" t="str">
        <f>+'O. GRUESA'!B249</f>
        <v>LOSA MACIZA - CONCRETO PREMEZCLADO f'c=210kg/cm2</v>
      </c>
      <c r="C61" s="169" t="str">
        <f>+'O. GRUESA'!D249</f>
        <v>m3</v>
      </c>
      <c r="D61" s="367">
        <f>+'O. GRUESA'!J249</f>
        <v>2.0145</v>
      </c>
      <c r="E61" s="366">
        <f>+'APUs Casco'!F510+'APUs Casco'!F518</f>
        <v>57.276533333333333</v>
      </c>
      <c r="F61" s="368">
        <f>D61*E61</f>
        <v>115.3835764</v>
      </c>
      <c r="G61" s="366">
        <f>+'APUs Casco'!F515</f>
        <v>330.75</v>
      </c>
      <c r="H61" s="369">
        <f>D61*G61</f>
        <v>666.29587500000002</v>
      </c>
      <c r="I61" s="370">
        <f>+E61+G61</f>
        <v>388.0265333333333</v>
      </c>
      <c r="J61" s="417">
        <f>D61*I61</f>
        <v>781.67945139999995</v>
      </c>
    </row>
    <row r="62" spans="1:10" ht="12" customHeight="1" outlineLevel="1" x14ac:dyDescent="0.2">
      <c r="A62" s="169" t="s">
        <v>925</v>
      </c>
      <c r="B62" s="275" t="str">
        <f>+'O. GRUESA'!B252</f>
        <v>LOSA MACIZA - ENCOFRADO Y DESENCOFRADO</v>
      </c>
      <c r="C62" s="169" t="str">
        <f>+'O. GRUESA'!D252</f>
        <v>m2</v>
      </c>
      <c r="D62" s="367">
        <f>+'O. GRUESA'!J252</f>
        <v>10.0725</v>
      </c>
      <c r="E62" s="366">
        <f>+'APUs Casco'!F818+'APUs Casco'!F827</f>
        <v>44.140404761904755</v>
      </c>
      <c r="F62" s="368">
        <f>D62*E62</f>
        <v>444.60422696428566</v>
      </c>
      <c r="G62" s="366">
        <f>+'APUs Casco'!F824</f>
        <v>1.2000000000000002</v>
      </c>
      <c r="H62" s="369">
        <f>D62*G62</f>
        <v>12.087000000000002</v>
      </c>
      <c r="I62" s="370">
        <f>+E62+G62</f>
        <v>45.340404761904757</v>
      </c>
      <c r="J62" s="417">
        <f>D62*I62</f>
        <v>456.69122696428565</v>
      </c>
    </row>
    <row r="63" spans="1:10" ht="12" customHeight="1" outlineLevel="1" x14ac:dyDescent="0.2">
      <c r="A63" s="169" t="s">
        <v>926</v>
      </c>
      <c r="B63" s="275" t="str">
        <f>+'O. GRUESA'!B255</f>
        <v>LOSA MACIZA - ACERO fy=4200kg/cm2</v>
      </c>
      <c r="C63" s="169" t="str">
        <f>+'O. GRUESA'!D255</f>
        <v>kg</v>
      </c>
      <c r="D63" s="367">
        <f>+'O. GRUESA'!J255</f>
        <v>151.08750000000001</v>
      </c>
      <c r="E63" s="366">
        <f>+'APUs Casco'!F978+'APUs Casco'!F985</f>
        <v>1.8172000000000001</v>
      </c>
      <c r="F63" s="368">
        <f>D63*E63</f>
        <v>274.55620500000003</v>
      </c>
      <c r="G63" s="366">
        <f>+'APUs Casco'!F982</f>
        <v>5.6000000000000005</v>
      </c>
      <c r="H63" s="369">
        <f>D63*G63</f>
        <v>846.09000000000015</v>
      </c>
      <c r="I63" s="370">
        <f>+E63+G63</f>
        <v>7.4172000000000011</v>
      </c>
      <c r="J63" s="417">
        <f>D63*I63</f>
        <v>1120.6462050000002</v>
      </c>
    </row>
    <row r="64" spans="1:10" ht="12" customHeight="1" outlineLevel="1" x14ac:dyDescent="0.2">
      <c r="A64" s="272" t="s">
        <v>927</v>
      </c>
      <c r="B64" s="308" t="str">
        <f>+'O. GRUESA'!B259</f>
        <v>ESCALERA</v>
      </c>
      <c r="C64" s="276"/>
      <c r="D64" s="276"/>
      <c r="E64" s="276"/>
      <c r="F64" s="276"/>
      <c r="G64" s="276"/>
      <c r="H64" s="276"/>
      <c r="I64" s="276"/>
      <c r="J64" s="416"/>
    </row>
    <row r="65" spans="1:12" ht="12" customHeight="1" outlineLevel="1" x14ac:dyDescent="0.2">
      <c r="A65" s="169" t="s">
        <v>928</v>
      </c>
      <c r="B65" s="275" t="str">
        <f>+'O. GRUESA'!B260</f>
        <v>ESCALERA -CONCRETO PREMEZCLADO f'c=210kg/cm2</v>
      </c>
      <c r="C65" s="169" t="str">
        <f>+'O. GRUESA'!D260</f>
        <v>m3</v>
      </c>
      <c r="D65" s="367">
        <f>+'O. GRUESA'!J260</f>
        <v>2.9400000000000004</v>
      </c>
      <c r="E65" s="366">
        <f>+'APUs Casco'!F525+'APUs Casco'!F533</f>
        <v>71.595666666666673</v>
      </c>
      <c r="F65" s="368">
        <f>D65*E65</f>
        <v>210.49126000000004</v>
      </c>
      <c r="G65" s="366">
        <f>+'APUs Casco'!F530</f>
        <v>330.75</v>
      </c>
      <c r="H65" s="369">
        <f>D65*G65</f>
        <v>972.40500000000009</v>
      </c>
      <c r="I65" s="370">
        <f>+E65+G65</f>
        <v>402.34566666666666</v>
      </c>
      <c r="J65" s="417">
        <f>D65*I65</f>
        <v>1182.8962600000002</v>
      </c>
    </row>
    <row r="66" spans="1:12" ht="12" customHeight="1" outlineLevel="1" x14ac:dyDescent="0.2">
      <c r="A66" s="169" t="s">
        <v>929</v>
      </c>
      <c r="B66" s="275" t="str">
        <f>+'O. GRUESA'!B264</f>
        <v>ESCALERA - ENCOFRADO Y DESENCOFRADO</v>
      </c>
      <c r="C66" s="169" t="str">
        <f>+'O. GRUESA'!D264</f>
        <v>m2</v>
      </c>
      <c r="D66" s="367">
        <f>+'O. GRUESA'!J264</f>
        <v>15.756</v>
      </c>
      <c r="E66" s="366">
        <f>+'APUs Casco'!F833+'APUs Casco'!F842</f>
        <v>69.230305555555574</v>
      </c>
      <c r="F66" s="368">
        <f>D66*E66</f>
        <v>1090.7926943333337</v>
      </c>
      <c r="G66" s="366">
        <f>+'APUs Casco'!F839</f>
        <v>0.75</v>
      </c>
      <c r="H66" s="369">
        <f>D66*G66</f>
        <v>11.817</v>
      </c>
      <c r="I66" s="370">
        <f>+E66+G66</f>
        <v>69.980305555555574</v>
      </c>
      <c r="J66" s="417">
        <f>D66*I66</f>
        <v>1102.6096943333337</v>
      </c>
    </row>
    <row r="67" spans="1:12" ht="12" customHeight="1" outlineLevel="1" x14ac:dyDescent="0.2">
      <c r="A67" s="169" t="s">
        <v>930</v>
      </c>
      <c r="B67" s="275" t="str">
        <f>+'O. GRUESA'!B270</f>
        <v>ESCALERA - ACERO fy=4200kg/cm2</v>
      </c>
      <c r="C67" s="169" t="str">
        <f>+'O. GRUESA'!D270</f>
        <v>kg</v>
      </c>
      <c r="D67" s="367">
        <f>+'O. GRUESA'!J270</f>
        <v>191.10000000000002</v>
      </c>
      <c r="E67" s="366">
        <f>+'APUs Casco'!F978+'APUs Casco'!F985</f>
        <v>1.8172000000000001</v>
      </c>
      <c r="F67" s="368">
        <f>D67*E67</f>
        <v>347.26692000000008</v>
      </c>
      <c r="G67" s="366">
        <f>+'APUs Casco'!F982</f>
        <v>5.6000000000000005</v>
      </c>
      <c r="H67" s="369">
        <f>D67*G67</f>
        <v>1070.1600000000003</v>
      </c>
      <c r="I67" s="370">
        <f>+E67+G67</f>
        <v>7.4172000000000011</v>
      </c>
      <c r="J67" s="417">
        <f>D67*I67</f>
        <v>1417.4269200000003</v>
      </c>
    </row>
    <row r="68" spans="1:12" ht="12" customHeight="1" outlineLevel="1" x14ac:dyDescent="0.2">
      <c r="A68" s="272" t="s">
        <v>931</v>
      </c>
      <c r="B68" s="308" t="s">
        <v>847</v>
      </c>
      <c r="C68" s="276"/>
      <c r="D68" s="276"/>
      <c r="E68" s="276"/>
      <c r="F68" s="276"/>
      <c r="G68" s="276"/>
      <c r="H68" s="276"/>
      <c r="I68" s="276"/>
      <c r="J68" s="416"/>
    </row>
    <row r="69" spans="1:12" ht="12" customHeight="1" outlineLevel="1" x14ac:dyDescent="0.2">
      <c r="A69" s="169" t="s">
        <v>932</v>
      </c>
      <c r="B69" s="275" t="s">
        <v>848</v>
      </c>
      <c r="C69" s="169" t="s">
        <v>300</v>
      </c>
      <c r="D69" s="367">
        <v>1</v>
      </c>
      <c r="E69" s="366">
        <f>+'APUs Casco'!F529+'APUs Casco'!F537</f>
        <v>409.95520000000005</v>
      </c>
      <c r="F69" s="368">
        <f>D69*E69</f>
        <v>409.95520000000005</v>
      </c>
      <c r="G69" s="366">
        <f>+'APUs Casco'!F534</f>
        <v>1.829</v>
      </c>
      <c r="H69" s="369">
        <f>D69*G69</f>
        <v>1.829</v>
      </c>
      <c r="I69" s="370">
        <f>+J69</f>
        <v>989.49906439078768</v>
      </c>
      <c r="J69" s="417">
        <v>989.49906439078768</v>
      </c>
    </row>
    <row r="70" spans="1:12" ht="12" customHeight="1" x14ac:dyDescent="0.2">
      <c r="A70" s="219" t="s">
        <v>734</v>
      </c>
      <c r="B70" s="277" t="s">
        <v>778</v>
      </c>
      <c r="C70" s="219"/>
      <c r="D70" s="219"/>
      <c r="E70" s="372"/>
      <c r="F70" s="415">
        <f>SUM(F71:F72)</f>
        <v>4520.1001250000008</v>
      </c>
      <c r="G70" s="372"/>
      <c r="H70" s="415">
        <f>SUM(H71:H72)</f>
        <v>6993.5746575000003</v>
      </c>
      <c r="I70" s="219"/>
      <c r="J70" s="415">
        <f>+RESUMEN!C11</f>
        <v>11249.032606216164</v>
      </c>
    </row>
    <row r="71" spans="1:12" ht="12" customHeight="1" outlineLevel="1" x14ac:dyDescent="0.2">
      <c r="A71" s="169" t="s">
        <v>735</v>
      </c>
      <c r="B71" s="275" t="str">
        <f>+'O. HUMEDAD'!B10</f>
        <v>MURO DE LADRILLO SOGA PANDERETA</v>
      </c>
      <c r="C71" s="169" t="s">
        <v>408</v>
      </c>
      <c r="D71" s="367">
        <f>+'O. HUMEDAD'!J10</f>
        <v>92.25</v>
      </c>
      <c r="E71" s="366">
        <f>+'APUs Casco'!F1069+'APUs Casco'!F1077</f>
        <v>34.397833333333338</v>
      </c>
      <c r="F71" s="368">
        <f>+D71*E71</f>
        <v>3173.2001250000003</v>
      </c>
      <c r="G71" s="366">
        <f>+'APUs Casco'!F1073</f>
        <v>60.071269999999998</v>
      </c>
      <c r="H71" s="369">
        <f>+D71*G71</f>
        <v>5541.5746575000003</v>
      </c>
      <c r="I71" s="370">
        <f>+E71+G71</f>
        <v>94.469103333333337</v>
      </c>
      <c r="J71" s="417">
        <f>+D71*I71</f>
        <v>8714.7747825000006</v>
      </c>
    </row>
    <row r="72" spans="1:12" ht="12" customHeight="1" outlineLevel="1" x14ac:dyDescent="0.2">
      <c r="A72" s="169" t="s">
        <v>736</v>
      </c>
      <c r="B72" s="275" t="str">
        <f>+'O. HUMEDAD'!B24</f>
        <v>COLUMNETAS</v>
      </c>
      <c r="C72" s="169" t="s">
        <v>2</v>
      </c>
      <c r="D72" s="367">
        <f>+'O. HUMEDAD'!J24</f>
        <v>12</v>
      </c>
      <c r="E72" s="366">
        <f>+'APUs Casco'!M1024+'APUs Casco'!M1035</f>
        <v>112.24166666666667</v>
      </c>
      <c r="F72" s="368">
        <f>+D72*E72</f>
        <v>1346.9</v>
      </c>
      <c r="G72" s="366">
        <f>+'APUs Casco'!M1029</f>
        <v>121</v>
      </c>
      <c r="H72" s="369">
        <f>+D72*G72</f>
        <v>1452</v>
      </c>
      <c r="I72" s="370">
        <f>+J72/D72</f>
        <v>211.18815197634694</v>
      </c>
      <c r="J72" s="417">
        <f>+J70-J71</f>
        <v>2534.2578237161633</v>
      </c>
    </row>
    <row r="73" spans="1:12" ht="12" customHeight="1" x14ac:dyDescent="0.2">
      <c r="A73" s="219" t="s">
        <v>737</v>
      </c>
      <c r="B73" s="277" t="s">
        <v>500</v>
      </c>
      <c r="C73" s="219"/>
      <c r="D73" s="219"/>
      <c r="E73" s="372"/>
      <c r="F73" s="415">
        <f>SUM(F74:F81)</f>
        <v>17700.514615655549</v>
      </c>
      <c r="G73" s="372"/>
      <c r="H73" s="415">
        <f>SUM(H74:H81)</f>
        <v>5032.1550763050764</v>
      </c>
      <c r="I73" s="219"/>
      <c r="J73" s="415">
        <f>+RESUMEN!C12</f>
        <v>22732.669691960629</v>
      </c>
      <c r="K73" s="669"/>
      <c r="L73" s="669"/>
    </row>
    <row r="74" spans="1:12" ht="12" customHeight="1" outlineLevel="1" x14ac:dyDescent="0.2">
      <c r="A74" s="169" t="s">
        <v>738</v>
      </c>
      <c r="B74" s="275" t="str">
        <f>+'O. HUMEDAD'!B28</f>
        <v>TARRAJEO EN INTERIORES FROTACHADO</v>
      </c>
      <c r="C74" s="169" t="s">
        <v>408</v>
      </c>
      <c r="D74" s="367">
        <f>+'O. HUMEDAD'!J28</f>
        <v>184.5</v>
      </c>
      <c r="E74" s="366">
        <f>+'APUs Casco'!F1101+'APUs Casco'!F1110</f>
        <v>25.612722222222224</v>
      </c>
      <c r="F74" s="368">
        <f t="shared" ref="F74:F81" si="6">+D74*E74</f>
        <v>4725.5472500000005</v>
      </c>
      <c r="G74" s="366">
        <f>+'APUs Casco'!F1106</f>
        <v>7.4074999999999998</v>
      </c>
      <c r="H74" s="369">
        <f t="shared" ref="H74:H81" si="7">+D74*G74</f>
        <v>1366.6837499999999</v>
      </c>
      <c r="I74" s="370">
        <f>+E74+G74</f>
        <v>33.020222222222223</v>
      </c>
      <c r="J74" s="417">
        <f>+D74*I74</f>
        <v>6092.2309999999998</v>
      </c>
    </row>
    <row r="75" spans="1:12" ht="12" customHeight="1" outlineLevel="1" x14ac:dyDescent="0.2">
      <c r="A75" s="169" t="s">
        <v>900</v>
      </c>
      <c r="B75" s="275" t="str">
        <f>+'O. HUMEDAD'!B42</f>
        <v>TARRAJEO EN COLUMNAS Y PLACAS</v>
      </c>
      <c r="C75" s="169" t="s">
        <v>408</v>
      </c>
      <c r="D75" s="367">
        <f>+'O. HUMEDAD'!J42</f>
        <v>96.75200000000001</v>
      </c>
      <c r="E75" s="366">
        <f>+'APUs Casco'!F1149+'APUs Casco'!F1158</f>
        <v>37.002833333333335</v>
      </c>
      <c r="F75" s="368">
        <f t="shared" si="6"/>
        <v>3580.0981306666672</v>
      </c>
      <c r="G75" s="366">
        <f>+'APUs Casco'!F1154</f>
        <v>5.4421000000000008</v>
      </c>
      <c r="H75" s="369">
        <f t="shared" si="7"/>
        <v>526.53405920000012</v>
      </c>
      <c r="I75" s="370">
        <f>+E75+G75</f>
        <v>42.444933333333339</v>
      </c>
      <c r="J75" s="417">
        <f t="shared" ref="J75:J81" si="8">+D75*I75</f>
        <v>4106.6321898666674</v>
      </c>
    </row>
    <row r="76" spans="1:12" ht="12" customHeight="1" outlineLevel="1" x14ac:dyDescent="0.2">
      <c r="A76" s="169" t="s">
        <v>901</v>
      </c>
      <c r="B76" s="275" t="str">
        <f>+'O. HUMEDAD'!B72</f>
        <v>TARRAJEO EN VIGAS</v>
      </c>
      <c r="C76" s="169" t="s">
        <v>408</v>
      </c>
      <c r="D76" s="367">
        <f>+'O. HUMEDAD'!J72</f>
        <v>33.512500000000003</v>
      </c>
      <c r="E76" s="366">
        <f>+'APUs Casco'!F1165+'APUs Casco'!F1174</f>
        <v>35.584166666666668</v>
      </c>
      <c r="F76" s="368">
        <f t="shared" si="6"/>
        <v>1192.5143854166668</v>
      </c>
      <c r="G76" s="366">
        <f>+'APUs Casco'!F1170</f>
        <v>5.5521000000000003</v>
      </c>
      <c r="H76" s="369">
        <f t="shared" si="7"/>
        <v>186.06475125000003</v>
      </c>
      <c r="I76" s="370">
        <f t="shared" ref="I76:I81" si="9">+E76+G76</f>
        <v>41.136266666666671</v>
      </c>
      <c r="J76" s="417">
        <f t="shared" si="8"/>
        <v>1378.579136666667</v>
      </c>
    </row>
    <row r="77" spans="1:12" ht="12" customHeight="1" outlineLevel="1" x14ac:dyDescent="0.2">
      <c r="A77" s="169" t="s">
        <v>902</v>
      </c>
      <c r="B77" s="275" t="str">
        <f>+'O. HUMEDAD'!B93</f>
        <v>VESTIDURA DE DERRAMES</v>
      </c>
      <c r="C77" s="169" t="s">
        <v>416</v>
      </c>
      <c r="D77" s="367">
        <f>+'O. HUMEDAD'!J93</f>
        <v>28.95</v>
      </c>
      <c r="E77" s="366">
        <f>+'APUs Casco'!F1213+'APUs Casco'!F1222</f>
        <v>12.492416800000001</v>
      </c>
      <c r="F77" s="368">
        <f t="shared" si="6"/>
        <v>361.65546635999999</v>
      </c>
      <c r="G77" s="366">
        <f>+'APUs Casco'!F1218</f>
        <v>0.53400000000000003</v>
      </c>
      <c r="H77" s="369">
        <f t="shared" si="7"/>
        <v>15.459300000000001</v>
      </c>
      <c r="I77" s="370">
        <f t="shared" si="9"/>
        <v>13.026416800000002</v>
      </c>
      <c r="J77" s="417">
        <f>+D77*I77</f>
        <v>377.11476636000003</v>
      </c>
    </row>
    <row r="78" spans="1:12" ht="12" customHeight="1" outlineLevel="1" x14ac:dyDescent="0.2">
      <c r="A78" s="169" t="s">
        <v>903</v>
      </c>
      <c r="B78" s="275" t="str">
        <f>+'O. HUMEDAD'!B100</f>
        <v>TARRAJEO EN CIELO RASO</v>
      </c>
      <c r="C78" s="169" t="s">
        <v>408</v>
      </c>
      <c r="D78" s="367">
        <f>+J78/I78</f>
        <v>74.666230793515282</v>
      </c>
      <c r="E78" s="366">
        <f>+'APUs Casco'!F1181+'APUs Casco'!F1190</f>
        <v>34.142693333333334</v>
      </c>
      <c r="F78" s="368">
        <f t="shared" si="6"/>
        <v>2549.3062203388822</v>
      </c>
      <c r="G78" s="366">
        <f>+'APUs Casco'!F1186</f>
        <v>3.5350000000000001</v>
      </c>
      <c r="H78" s="369">
        <f t="shared" si="7"/>
        <v>263.94512585507653</v>
      </c>
      <c r="I78" s="370">
        <f t="shared" si="9"/>
        <v>37.677693333333337</v>
      </c>
      <c r="J78" s="417">
        <f>+J73-SUM(J74:J77)-SUM(J79:J81)</f>
        <v>2813.2513461939589</v>
      </c>
    </row>
    <row r="79" spans="1:12" ht="12" customHeight="1" outlineLevel="1" x14ac:dyDescent="0.2">
      <c r="A79" s="169" t="s">
        <v>904</v>
      </c>
      <c r="B79" s="275" t="str">
        <f>+'O. HUMEDAD'!B111</f>
        <v>CONTRAPISO DE 48mm - TIPO CEMENTO PULIDO</v>
      </c>
      <c r="C79" s="169" t="s">
        <v>408</v>
      </c>
      <c r="D79" s="367">
        <f>+'O. HUMEDAD'!J111</f>
        <v>132.19</v>
      </c>
      <c r="E79" s="366">
        <f>+'APUs Casco'!F1228+'APUs Casco'!F1237</f>
        <v>31.576750000000001</v>
      </c>
      <c r="F79" s="368">
        <f t="shared" si="6"/>
        <v>4174.1305824999999</v>
      </c>
      <c r="G79" s="366">
        <f>+'APUs Casco'!F1234</f>
        <v>18.965000000000003</v>
      </c>
      <c r="H79" s="369">
        <f t="shared" si="7"/>
        <v>2506.9833500000004</v>
      </c>
      <c r="I79" s="370">
        <f t="shared" si="9"/>
        <v>50.541750000000008</v>
      </c>
      <c r="J79" s="417">
        <f>+D79*I79</f>
        <v>6681.1139325000013</v>
      </c>
    </row>
    <row r="80" spans="1:12" ht="12" customHeight="1" outlineLevel="1" x14ac:dyDescent="0.2">
      <c r="A80" s="169" t="s">
        <v>905</v>
      </c>
      <c r="B80" s="275" t="str">
        <f>+'O. HUMEDAD'!B114</f>
        <v>TARRAJEO DE ESCALERA</v>
      </c>
      <c r="C80" s="169" t="s">
        <v>408</v>
      </c>
      <c r="D80" s="367">
        <f>+'O. HUMEDAD'!J114</f>
        <v>15.664</v>
      </c>
      <c r="E80" s="366">
        <f>+'APUs Casco'!F1197+'APUs Casco'!F1206</f>
        <v>33.730693333333335</v>
      </c>
      <c r="F80" s="368">
        <f t="shared" si="6"/>
        <v>528.35758037333335</v>
      </c>
      <c r="G80" s="366">
        <f>+'APUs Casco'!F1202</f>
        <v>3.5350000000000001</v>
      </c>
      <c r="H80" s="369">
        <f t="shared" si="7"/>
        <v>55.372239999999998</v>
      </c>
      <c r="I80" s="370">
        <f t="shared" si="9"/>
        <v>37.265693333333331</v>
      </c>
      <c r="J80" s="417">
        <f t="shared" si="8"/>
        <v>583.72982037333327</v>
      </c>
    </row>
    <row r="81" spans="1:12" ht="12" customHeight="1" outlineLevel="1" x14ac:dyDescent="0.2">
      <c r="A81" s="169" t="s">
        <v>906</v>
      </c>
      <c r="B81" s="275" t="str">
        <f>+'O. HUMEDAD'!B124</f>
        <v>TARRAJEO EN EXTERIORES</v>
      </c>
      <c r="C81" s="169" t="s">
        <v>408</v>
      </c>
      <c r="D81" s="367">
        <v>15</v>
      </c>
      <c r="E81" s="366">
        <f>+'APUs Casco'!F1117+'APUs Casco'!F1126</f>
        <v>39.260333333333335</v>
      </c>
      <c r="F81" s="368">
        <f t="shared" si="6"/>
        <v>588.90499999999997</v>
      </c>
      <c r="G81" s="366">
        <f>+'APUs Casco'!F1122</f>
        <v>7.4074999999999998</v>
      </c>
      <c r="H81" s="369">
        <f t="shared" si="7"/>
        <v>111.1125</v>
      </c>
      <c r="I81" s="370">
        <f t="shared" si="9"/>
        <v>46.667833333333334</v>
      </c>
      <c r="J81" s="417">
        <f t="shared" si="8"/>
        <v>700.01750000000004</v>
      </c>
    </row>
    <row r="82" spans="1:12" ht="12" customHeight="1" x14ac:dyDescent="0.2">
      <c r="A82" s="219" t="s">
        <v>886</v>
      </c>
      <c r="B82" s="277" t="s">
        <v>789</v>
      </c>
      <c r="C82" s="219"/>
      <c r="D82" s="219"/>
      <c r="E82" s="372"/>
      <c r="F82" s="415">
        <f>SUM(F85:F99)</f>
        <v>99240.332431853632</v>
      </c>
      <c r="G82" s="372"/>
      <c r="H82" s="415">
        <f>SUM(H85:H99)</f>
        <v>115636.9748511528</v>
      </c>
      <c r="I82" s="219"/>
      <c r="J82" s="415">
        <f>+RESUMEN!C13</f>
        <v>11915.557292298081</v>
      </c>
      <c r="K82" s="669"/>
      <c r="L82" s="669"/>
    </row>
    <row r="83" spans="1:12" ht="12" customHeight="1" outlineLevel="1" x14ac:dyDescent="0.2">
      <c r="A83" s="169" t="s">
        <v>893</v>
      </c>
      <c r="B83" s="275" t="s">
        <v>850</v>
      </c>
      <c r="C83" s="169" t="s">
        <v>23</v>
      </c>
      <c r="D83" s="367">
        <v>1</v>
      </c>
      <c r="E83" s="366"/>
      <c r="F83" s="670"/>
      <c r="G83" s="366"/>
      <c r="H83" s="671"/>
      <c r="I83" s="370">
        <v>2000</v>
      </c>
      <c r="J83" s="417">
        <f>+I83</f>
        <v>2000</v>
      </c>
    </row>
    <row r="84" spans="1:12" ht="12" customHeight="1" outlineLevel="1" x14ac:dyDescent="0.2">
      <c r="A84" s="169" t="s">
        <v>894</v>
      </c>
      <c r="B84" s="275" t="s">
        <v>851</v>
      </c>
      <c r="C84" s="169" t="s">
        <v>23</v>
      </c>
      <c r="D84" s="367">
        <v>1</v>
      </c>
      <c r="E84" s="366"/>
      <c r="F84" s="670"/>
      <c r="G84" s="366"/>
      <c r="H84" s="671"/>
      <c r="I84" s="370">
        <v>1200</v>
      </c>
      <c r="J84" s="417">
        <f t="shared" ref="J84:J89" si="10">+I84</f>
        <v>1200</v>
      </c>
    </row>
    <row r="85" spans="1:12" ht="12" customHeight="1" outlineLevel="1" x14ac:dyDescent="0.2">
      <c r="A85" s="169" t="s">
        <v>895</v>
      </c>
      <c r="B85" s="275" t="s">
        <v>852</v>
      </c>
      <c r="C85" s="169" t="s">
        <v>23</v>
      </c>
      <c r="D85" s="367">
        <v>1</v>
      </c>
      <c r="E85" s="366"/>
      <c r="F85" s="670"/>
      <c r="G85" s="366"/>
      <c r="H85" s="671"/>
      <c r="I85" s="370">
        <v>1200</v>
      </c>
      <c r="J85" s="417">
        <f t="shared" si="10"/>
        <v>1200</v>
      </c>
    </row>
    <row r="86" spans="1:12" ht="12" customHeight="1" outlineLevel="1" x14ac:dyDescent="0.2">
      <c r="A86" s="169" t="s">
        <v>896</v>
      </c>
      <c r="B86" s="275" t="s">
        <v>853</v>
      </c>
      <c r="C86" s="169" t="s">
        <v>23</v>
      </c>
      <c r="D86" s="367">
        <v>1</v>
      </c>
      <c r="E86" s="366"/>
      <c r="F86" s="670"/>
      <c r="G86" s="366"/>
      <c r="H86" s="671"/>
      <c r="I86" s="370">
        <v>1500</v>
      </c>
      <c r="J86" s="417">
        <f t="shared" si="10"/>
        <v>1500</v>
      </c>
    </row>
    <row r="87" spans="1:12" ht="12" customHeight="1" outlineLevel="1" x14ac:dyDescent="0.2">
      <c r="A87" s="169" t="s">
        <v>897</v>
      </c>
      <c r="B87" s="275" t="s">
        <v>854</v>
      </c>
      <c r="C87" s="169" t="s">
        <v>23</v>
      </c>
      <c r="D87" s="367">
        <v>1</v>
      </c>
      <c r="E87" s="366"/>
      <c r="F87" s="670"/>
      <c r="G87" s="366"/>
      <c r="H87" s="671"/>
      <c r="I87" s="370">
        <v>2000</v>
      </c>
      <c r="J87" s="417">
        <f t="shared" si="10"/>
        <v>2000</v>
      </c>
    </row>
    <row r="88" spans="1:12" ht="12" customHeight="1" outlineLevel="1" x14ac:dyDescent="0.2">
      <c r="A88" s="169" t="s">
        <v>898</v>
      </c>
      <c r="B88" s="275" t="s">
        <v>855</v>
      </c>
      <c r="C88" s="169" t="s">
        <v>23</v>
      </c>
      <c r="D88" s="367">
        <v>1</v>
      </c>
      <c r="E88" s="366"/>
      <c r="F88" s="670"/>
      <c r="G88" s="366"/>
      <c r="H88" s="671"/>
      <c r="I88" s="370">
        <v>1000</v>
      </c>
      <c r="J88" s="417">
        <f t="shared" si="10"/>
        <v>1000</v>
      </c>
    </row>
    <row r="89" spans="1:12" ht="12" customHeight="1" outlineLevel="1" x14ac:dyDescent="0.2">
      <c r="A89" s="169" t="s">
        <v>899</v>
      </c>
      <c r="B89" s="275" t="s">
        <v>849</v>
      </c>
      <c r="C89" s="169" t="s">
        <v>23</v>
      </c>
      <c r="D89" s="367">
        <v>1</v>
      </c>
      <c r="E89" s="366"/>
      <c r="F89" s="670"/>
      <c r="G89" s="366"/>
      <c r="H89" s="671"/>
      <c r="I89" s="370">
        <f>15.56+3000</f>
        <v>3015.56</v>
      </c>
      <c r="J89" s="417">
        <f t="shared" si="10"/>
        <v>3015.56</v>
      </c>
    </row>
    <row r="90" spans="1:12" ht="12" customHeight="1" x14ac:dyDescent="0.2">
      <c r="A90" s="219" t="s">
        <v>887</v>
      </c>
      <c r="B90" s="277" t="s">
        <v>24</v>
      </c>
      <c r="C90" s="219"/>
      <c r="D90" s="219"/>
      <c r="E90" s="372"/>
      <c r="F90" s="415">
        <f>SUM(F93:F107)</f>
        <v>54779.388437185145</v>
      </c>
      <c r="G90" s="372"/>
      <c r="H90" s="415">
        <f>SUM(H93:H107)</f>
        <v>64228.040269326397</v>
      </c>
      <c r="I90" s="219"/>
      <c r="J90" s="415">
        <f>+RESUMEN!C14</f>
        <v>11915.557292298081</v>
      </c>
      <c r="K90" s="669"/>
      <c r="L90" s="669"/>
    </row>
    <row r="91" spans="1:12" ht="12" customHeight="1" outlineLevel="1" x14ac:dyDescent="0.2">
      <c r="A91" s="169" t="s">
        <v>888</v>
      </c>
      <c r="B91" s="275" t="s">
        <v>856</v>
      </c>
      <c r="C91" s="169" t="s">
        <v>23</v>
      </c>
      <c r="D91" s="367">
        <v>1</v>
      </c>
      <c r="E91" s="366"/>
      <c r="F91" s="670"/>
      <c r="G91" s="366"/>
      <c r="H91" s="671"/>
      <c r="I91" s="370">
        <v>1500</v>
      </c>
      <c r="J91" s="417">
        <f>+I91</f>
        <v>1500</v>
      </c>
      <c r="K91" s="669"/>
    </row>
    <row r="92" spans="1:12" ht="12" customHeight="1" outlineLevel="1" x14ac:dyDescent="0.2">
      <c r="A92" s="169" t="s">
        <v>889</v>
      </c>
      <c r="B92" s="275" t="s">
        <v>857</v>
      </c>
      <c r="C92" s="169" t="s">
        <v>23</v>
      </c>
      <c r="D92" s="367">
        <v>1</v>
      </c>
      <c r="E92" s="366"/>
      <c r="F92" s="670"/>
      <c r="G92" s="366"/>
      <c r="H92" s="671"/>
      <c r="I92" s="370">
        <v>1500</v>
      </c>
      <c r="J92" s="417">
        <f t="shared" ref="J92:J93" si="11">+I92</f>
        <v>1500</v>
      </c>
    </row>
    <row r="93" spans="1:12" ht="12" customHeight="1" outlineLevel="1" x14ac:dyDescent="0.2">
      <c r="A93" s="169" t="s">
        <v>890</v>
      </c>
      <c r="B93" s="275" t="s">
        <v>859</v>
      </c>
      <c r="C93" s="169" t="s">
        <v>23</v>
      </c>
      <c r="D93" s="367">
        <v>1</v>
      </c>
      <c r="E93" s="366"/>
      <c r="F93" s="670"/>
      <c r="G93" s="366"/>
      <c r="H93" s="671"/>
      <c r="I93" s="370">
        <v>2500</v>
      </c>
      <c r="J93" s="417">
        <f t="shared" si="11"/>
        <v>2500</v>
      </c>
    </row>
    <row r="94" spans="1:12" ht="12" customHeight="1" outlineLevel="1" x14ac:dyDescent="0.2">
      <c r="A94" s="169" t="s">
        <v>891</v>
      </c>
      <c r="B94" s="275" t="s">
        <v>860</v>
      </c>
      <c r="C94" s="169" t="s">
        <v>23</v>
      </c>
      <c r="D94" s="367">
        <v>1</v>
      </c>
      <c r="E94" s="366"/>
      <c r="F94" s="670"/>
      <c r="G94" s="366"/>
      <c r="H94" s="671"/>
      <c r="I94" s="370">
        <f>+J94</f>
        <v>3427.6672922980811</v>
      </c>
      <c r="J94" s="417">
        <f>+J90-J91-J92-J93-J95</f>
        <v>3427.6672922980811</v>
      </c>
    </row>
    <row r="95" spans="1:12" ht="12" customHeight="1" outlineLevel="1" x14ac:dyDescent="0.2">
      <c r="A95" s="169" t="s">
        <v>892</v>
      </c>
      <c r="B95" s="275" t="s">
        <v>858</v>
      </c>
      <c r="C95" s="169" t="s">
        <v>23</v>
      </c>
      <c r="D95" s="367">
        <v>1</v>
      </c>
      <c r="E95" s="366"/>
      <c r="F95" s="670"/>
      <c r="G95" s="366"/>
      <c r="H95" s="671"/>
      <c r="I95" s="370">
        <v>2987.89</v>
      </c>
      <c r="J95" s="417">
        <f>+I95</f>
        <v>2987.89</v>
      </c>
    </row>
    <row r="96" spans="1:12" ht="12" customHeight="1" x14ac:dyDescent="0.2">
      <c r="A96" s="168" t="s">
        <v>739</v>
      </c>
      <c r="B96" s="221" t="str">
        <f>+'O. GRUESA'!B274</f>
        <v>2DO PISO</v>
      </c>
      <c r="C96" s="213"/>
      <c r="D96" s="395"/>
      <c r="E96" s="371"/>
      <c r="F96" s="414">
        <f>+F97+F115+F118</f>
        <v>30542.668368170955</v>
      </c>
      <c r="G96" s="371"/>
      <c r="H96" s="414">
        <f>+H97+H115+H118</f>
        <v>29384.708509181059</v>
      </c>
      <c r="I96" s="168"/>
      <c r="J96" s="414">
        <f>+J97+J115+J118+J127+J134</f>
        <v>77800.712565177004</v>
      </c>
    </row>
    <row r="97" spans="1:11" ht="12" customHeight="1" collapsed="1" x14ac:dyDescent="0.2">
      <c r="A97" s="219" t="s">
        <v>740</v>
      </c>
      <c r="B97" s="277" t="s">
        <v>933</v>
      </c>
      <c r="C97" s="219"/>
      <c r="D97" s="219"/>
      <c r="E97" s="372"/>
      <c r="F97" s="415">
        <f>+SUM(F98:F114)</f>
        <v>13157.598809830853</v>
      </c>
      <c r="G97" s="372"/>
      <c r="H97" s="415">
        <f>+SUM(H98:H114)</f>
        <v>19033.694822645339</v>
      </c>
      <c r="I97" s="219"/>
      <c r="J97" s="415">
        <f>+RESUMEN!C16</f>
        <v>32191.293381854059</v>
      </c>
      <c r="K97" s="669"/>
    </row>
    <row r="98" spans="1:11" ht="12" customHeight="1" outlineLevel="1" x14ac:dyDescent="0.2">
      <c r="A98" s="272" t="s">
        <v>741</v>
      </c>
      <c r="B98" s="273" t="str">
        <f>+'O. GRUESA'!B276</f>
        <v>PLACAS</v>
      </c>
      <c r="C98" s="276"/>
      <c r="D98" s="276"/>
      <c r="E98" s="276"/>
      <c r="F98" s="276"/>
      <c r="G98" s="276"/>
      <c r="H98" s="276"/>
      <c r="I98" s="276"/>
      <c r="J98" s="416"/>
      <c r="K98" s="669"/>
    </row>
    <row r="99" spans="1:11" ht="12" customHeight="1" outlineLevel="1" x14ac:dyDescent="0.2">
      <c r="A99" s="170" t="s">
        <v>934</v>
      </c>
      <c r="B99" s="275" t="str">
        <f>+'O. GRUESA'!B277</f>
        <v>PLACAS - CONCRETO PREMEZCLADO f'c=210kg/cm2</v>
      </c>
      <c r="C99" s="169" t="str">
        <f>+'O. GRUESA'!D277</f>
        <v>m3</v>
      </c>
      <c r="D99" s="367">
        <f>+'O. GRUESA'!J277</f>
        <v>8.5749999999999993</v>
      </c>
      <c r="E99" s="366">
        <f>'APUs Casco'!$F$627+'APUs Casco'!$F$635</f>
        <v>88.708666666666659</v>
      </c>
      <c r="F99" s="368">
        <f>D99*E99</f>
        <v>760.67681666666658</v>
      </c>
      <c r="G99" s="366">
        <f>'APUs Casco'!$F$632</f>
        <v>348.75</v>
      </c>
      <c r="H99" s="369">
        <f>D99*G99</f>
        <v>2990.5312499999995</v>
      </c>
      <c r="I99" s="370">
        <f>+E99+G99</f>
        <v>437.45866666666666</v>
      </c>
      <c r="J99" s="417">
        <f>D99*I99</f>
        <v>3751.2080666666661</v>
      </c>
    </row>
    <row r="100" spans="1:11" ht="12" customHeight="1" outlineLevel="1" x14ac:dyDescent="0.2">
      <c r="A100" s="170" t="s">
        <v>935</v>
      </c>
      <c r="B100" s="275" t="str">
        <f>+'O. GRUESA'!B282</f>
        <v>PLACAS - ENCOFRADO Y DESENCOFRADO</v>
      </c>
      <c r="C100" s="169" t="str">
        <f>+'O. GRUESA'!D282</f>
        <v>m2</v>
      </c>
      <c r="D100" s="367">
        <f>+'O. GRUESA'!J282</f>
        <v>82.600000000000009</v>
      </c>
      <c r="E100" s="366">
        <f>'APUs Casco'!$F$760+'APUs Casco'!$F$769</f>
        <v>60.478166666666667</v>
      </c>
      <c r="F100" s="368">
        <f>D100*E100</f>
        <v>4995.4965666666676</v>
      </c>
      <c r="G100" s="366">
        <f>'APUs Casco'!$F$766</f>
        <v>2.35</v>
      </c>
      <c r="H100" s="369">
        <f>D100*G100</f>
        <v>194.11</v>
      </c>
      <c r="I100" s="370">
        <f>+E100+G100</f>
        <v>62.828166666666668</v>
      </c>
      <c r="J100" s="417">
        <f>D100*I100</f>
        <v>5189.6065666666673</v>
      </c>
    </row>
    <row r="101" spans="1:11" ht="12" customHeight="1" outlineLevel="1" x14ac:dyDescent="0.2">
      <c r="A101" s="170" t="s">
        <v>936</v>
      </c>
      <c r="B101" s="275" t="str">
        <f>+'O. GRUESA'!B287</f>
        <v>PLACAS - ACERO fy=4200kg/cm2</v>
      </c>
      <c r="C101" s="169" t="str">
        <f>+'O. GRUESA'!D287</f>
        <v>kg</v>
      </c>
      <c r="D101" s="367">
        <f>+'O. GRUESA'!J287</f>
        <v>814.62499999999989</v>
      </c>
      <c r="E101" s="366">
        <f>'APUs Casco'!$F$926+'APUs Casco'!$F$933</f>
        <v>2.2715000000000001</v>
      </c>
      <c r="F101" s="368">
        <f>D101*E101</f>
        <v>1850.4206874999998</v>
      </c>
      <c r="G101" s="366">
        <f>'APUs Casco'!$F$930</f>
        <v>5.75</v>
      </c>
      <c r="H101" s="369">
        <f>D101*G101</f>
        <v>4684.0937499999991</v>
      </c>
      <c r="I101" s="370">
        <f>+E101+G101</f>
        <v>8.0214999999999996</v>
      </c>
      <c r="J101" s="417">
        <f>D101*I101</f>
        <v>6534.5144374999991</v>
      </c>
    </row>
    <row r="102" spans="1:11" ht="12" customHeight="1" outlineLevel="1" x14ac:dyDescent="0.2">
      <c r="A102" s="272" t="s">
        <v>742</v>
      </c>
      <c r="B102" s="273" t="str">
        <f>+'O. GRUESA'!B291</f>
        <v>VIGAS</v>
      </c>
      <c r="C102" s="276"/>
      <c r="D102" s="276"/>
      <c r="E102" s="276"/>
      <c r="F102" s="276"/>
      <c r="G102" s="276"/>
      <c r="H102" s="276"/>
      <c r="I102" s="276"/>
      <c r="J102" s="416"/>
    </row>
    <row r="103" spans="1:11" ht="12" customHeight="1" outlineLevel="1" x14ac:dyDescent="0.2">
      <c r="A103" s="169" t="s">
        <v>940</v>
      </c>
      <c r="B103" s="275" t="str">
        <f>+'O. GRUESA'!B292</f>
        <v>VIGAS - CONCRETO PREMEZCLADO f'c=210kg/cm2</v>
      </c>
      <c r="C103" s="169" t="str">
        <f>+'O. GRUESA'!D292</f>
        <v>m3</v>
      </c>
      <c r="D103" s="367">
        <f>+'O. GRUESA'!J292</f>
        <v>4.1165000000000003</v>
      </c>
      <c r="E103" s="366">
        <f>+'APUs Casco'!F480+'APUs Casco'!F488</f>
        <v>57.276533333333333</v>
      </c>
      <c r="F103" s="368">
        <f>D103*E103</f>
        <v>235.77884946666668</v>
      </c>
      <c r="G103" s="366">
        <f>+'APUs Casco'!F485</f>
        <v>330.75</v>
      </c>
      <c r="H103" s="369">
        <f>D103*G103</f>
        <v>1361.532375</v>
      </c>
      <c r="I103" s="370">
        <f>+E103+G103</f>
        <v>388.0265333333333</v>
      </c>
      <c r="J103" s="417">
        <f>D103*I103</f>
        <v>1597.3112244666665</v>
      </c>
    </row>
    <row r="104" spans="1:11" ht="12" customHeight="1" outlineLevel="1" x14ac:dyDescent="0.2">
      <c r="A104" s="169" t="s">
        <v>941</v>
      </c>
      <c r="B104" s="275" t="str">
        <f>+'O. GRUESA'!B302</f>
        <v>VIGAS - ENCOFRADO Y DESENCOFRADO</v>
      </c>
      <c r="C104" s="169" t="str">
        <f>+'O. GRUESA'!D302</f>
        <v>m2</v>
      </c>
      <c r="D104" s="367">
        <f>+'O. GRUESA'!J302</f>
        <v>26.337499999999999</v>
      </c>
      <c r="E104" s="366">
        <f>+'APUs Casco'!F775+'APUs Casco'!F784</f>
        <v>46.902766666666665</v>
      </c>
      <c r="F104" s="368">
        <f>D104*E104</f>
        <v>1235.3016170833332</v>
      </c>
      <c r="G104" s="366">
        <f>+'APUs Casco'!F781</f>
        <v>2.2000000000000002</v>
      </c>
      <c r="H104" s="369">
        <f>D104*G104</f>
        <v>57.942500000000003</v>
      </c>
      <c r="I104" s="370">
        <f>+E104+G104</f>
        <v>49.102766666666668</v>
      </c>
      <c r="J104" s="417">
        <f>D104*I104</f>
        <v>1293.2441170833333</v>
      </c>
    </row>
    <row r="105" spans="1:11" ht="12" customHeight="1" outlineLevel="1" x14ac:dyDescent="0.2">
      <c r="A105" s="169" t="s">
        <v>943</v>
      </c>
      <c r="B105" s="275" t="str">
        <f>+'O. GRUESA'!B312</f>
        <v>VIGAS - ACERO fy=4200kg/cm2</v>
      </c>
      <c r="C105" s="169" t="str">
        <f>+'O. GRUESA'!D312</f>
        <v>kg</v>
      </c>
      <c r="D105" s="367">
        <f>+'O. GRUESA'!J312</f>
        <v>1029.125</v>
      </c>
      <c r="E105" s="366">
        <f>+'APUs Casco'!F939+'APUs Casco'!F946</f>
        <v>1.8172000000000001</v>
      </c>
      <c r="F105" s="368">
        <f>D105*E105</f>
        <v>1870.1259500000001</v>
      </c>
      <c r="G105" s="366">
        <f>+'APUs Casco'!F943</f>
        <v>5.6000000000000005</v>
      </c>
      <c r="H105" s="369">
        <f>D105*G105</f>
        <v>5763.1</v>
      </c>
      <c r="I105" s="370">
        <f>+E105+G105</f>
        <v>7.4172000000000011</v>
      </c>
      <c r="J105" s="417">
        <f>D105*I105</f>
        <v>7633.2259500000009</v>
      </c>
    </row>
    <row r="106" spans="1:11" ht="12" customHeight="1" outlineLevel="1" x14ac:dyDescent="0.2">
      <c r="A106" s="272" t="s">
        <v>743</v>
      </c>
      <c r="B106" s="273" t="str">
        <f>+'O. GRUESA'!B316</f>
        <v>LOSA ALIGERADA</v>
      </c>
      <c r="C106" s="276"/>
      <c r="D106" s="276"/>
      <c r="E106" s="276"/>
      <c r="F106" s="276"/>
      <c r="G106" s="276"/>
      <c r="H106" s="276"/>
      <c r="I106" s="276"/>
      <c r="J106" s="416"/>
    </row>
    <row r="107" spans="1:11" ht="12" customHeight="1" outlineLevel="1" x14ac:dyDescent="0.2">
      <c r="A107" s="169" t="s">
        <v>944</v>
      </c>
      <c r="B107" s="275" t="str">
        <f>+'O. GRUESA'!B317</f>
        <v>LOSA ALIGERADA - CONCRETO PREMEZCLADO f'c=210kg/cm2</v>
      </c>
      <c r="C107" s="169" t="str">
        <f>+'O. GRUESA'!D317</f>
        <v>m3</v>
      </c>
      <c r="D107" s="367">
        <f>+'O. GRUESA'!J317</f>
        <v>2.2927499999999998</v>
      </c>
      <c r="E107" s="366">
        <f>+'APUs Casco'!F495+'APUs Casco'!F503</f>
        <v>57.276533333333333</v>
      </c>
      <c r="F107" s="368">
        <f>D107*E107</f>
        <v>131.32077179999999</v>
      </c>
      <c r="G107" s="366">
        <f>+'APUs Casco'!F500</f>
        <v>330.75</v>
      </c>
      <c r="H107" s="369">
        <f>D107*G107</f>
        <v>758.3270624999999</v>
      </c>
      <c r="I107" s="370">
        <f>+E107+G107</f>
        <v>388.0265333333333</v>
      </c>
      <c r="J107" s="417">
        <f>D107*I107</f>
        <v>889.64783429999989</v>
      </c>
    </row>
    <row r="108" spans="1:11" ht="12" customHeight="1" outlineLevel="1" x14ac:dyDescent="0.2">
      <c r="A108" s="169" t="s">
        <v>945</v>
      </c>
      <c r="B108" s="275" t="str">
        <f>+'O. GRUESA'!B329</f>
        <v>LOSA ALIGERADA - ENCOFRADO Y DESENCOFRADO</v>
      </c>
      <c r="C108" s="169" t="str">
        <f>+'O. GRUESA'!D302</f>
        <v>m2</v>
      </c>
      <c r="D108" s="367">
        <f>+'O. GRUESA'!J329</f>
        <v>22.927499999999995</v>
      </c>
      <c r="E108" s="366">
        <f>+'APUs Casco'!F790+'APUs Casco'!F799</f>
        <v>31.934904761904765</v>
      </c>
      <c r="F108" s="368">
        <f>D108*E108</f>
        <v>732.18752892857128</v>
      </c>
      <c r="G108" s="366">
        <f>+'APUs Casco'!F796</f>
        <v>1.05</v>
      </c>
      <c r="H108" s="369">
        <f>D108*G108</f>
        <v>24.073874999999994</v>
      </c>
      <c r="I108" s="370">
        <f>+E108+G108</f>
        <v>32.984904761904765</v>
      </c>
      <c r="J108" s="417">
        <f>D108*I108</f>
        <v>756.26140392857133</v>
      </c>
    </row>
    <row r="109" spans="1:11" ht="12" customHeight="1" outlineLevel="1" x14ac:dyDescent="0.2">
      <c r="A109" s="169" t="s">
        <v>946</v>
      </c>
      <c r="B109" s="275" t="str">
        <f>+'O. GRUESA'!B341</f>
        <v>LOSA ALIGERADA - LADRILLO HUECO DE  0.15X0.30X0.30</v>
      </c>
      <c r="C109" s="169" t="str">
        <f>+'O. GRUESA'!D341</f>
        <v>und</v>
      </c>
      <c r="D109" s="367">
        <f>+'O. GRUESA'!J341</f>
        <v>207</v>
      </c>
      <c r="E109" s="366">
        <f>+'APUs Casco'!F805+'APUs Casco'!F812</f>
        <v>1.0381541666666665</v>
      </c>
      <c r="F109" s="368">
        <f>D109*E109</f>
        <v>214.89791249999996</v>
      </c>
      <c r="G109" s="366">
        <f>+'APUs Casco'!F810</f>
        <v>3.6750000000000003</v>
      </c>
      <c r="H109" s="369">
        <f>D109*G109</f>
        <v>760.72500000000002</v>
      </c>
      <c r="I109" s="370">
        <f>+E109+G109</f>
        <v>4.7131541666666665</v>
      </c>
      <c r="J109" s="417">
        <f>D109*I109</f>
        <v>975.62291249999998</v>
      </c>
    </row>
    <row r="110" spans="1:11" ht="12" customHeight="1" outlineLevel="1" x14ac:dyDescent="0.2">
      <c r="A110" s="169" t="s">
        <v>947</v>
      </c>
      <c r="B110" s="275" t="str">
        <f>+'O. GRUESA'!B353</f>
        <v>LOSA ALIGERADA - ACERO fy=4200kg/cm2</v>
      </c>
      <c r="C110" s="169" t="str">
        <f>+'O. GRUESA'!D353</f>
        <v>kg</v>
      </c>
      <c r="D110" s="367">
        <f>+J110/I110</f>
        <v>163.35466699023891</v>
      </c>
      <c r="E110" s="366">
        <f>+'APUs Casco'!F952+'APUs Casco'!F959</f>
        <v>1.8172000000000001</v>
      </c>
      <c r="F110" s="368">
        <f>D110*E110</f>
        <v>296.84810085466216</v>
      </c>
      <c r="G110" s="366">
        <f>+'APUs Casco'!F956</f>
        <v>5.6000000000000005</v>
      </c>
      <c r="H110" s="369">
        <f>D110*G110</f>
        <v>914.78613514533799</v>
      </c>
      <c r="I110" s="370">
        <f>+E110+G110</f>
        <v>7.4172000000000011</v>
      </c>
      <c r="J110" s="417">
        <v>1211.6342360000003</v>
      </c>
    </row>
    <row r="111" spans="1:11" ht="12" customHeight="1" outlineLevel="1" x14ac:dyDescent="0.2">
      <c r="A111" s="272" t="s">
        <v>942</v>
      </c>
      <c r="B111" s="308" t="str">
        <f>+'O. GRUESA'!B357</f>
        <v>LOSA MACIZA</v>
      </c>
      <c r="C111" s="276"/>
      <c r="D111" s="276"/>
      <c r="E111" s="276"/>
      <c r="F111" s="276"/>
      <c r="G111" s="276"/>
      <c r="H111" s="276"/>
      <c r="I111" s="276"/>
      <c r="J111" s="416"/>
    </row>
    <row r="112" spans="1:11" ht="12" customHeight="1" outlineLevel="1" x14ac:dyDescent="0.2">
      <c r="A112" s="169" t="s">
        <v>948</v>
      </c>
      <c r="B112" s="275" t="str">
        <f>+'O. GRUESA'!B358</f>
        <v>LOSA MACIZA - CONCRETO PREMEZCLADO f'c=210kg/cm2</v>
      </c>
      <c r="C112" s="169" t="str">
        <f>+'O. GRUESA'!D358</f>
        <v>m3</v>
      </c>
      <c r="D112" s="367">
        <f>+'O. GRUESA'!J358</f>
        <v>2.0145</v>
      </c>
      <c r="E112" s="366">
        <f>+'APUs Casco'!F510+'APUs Casco'!F518</f>
        <v>57.276533333333333</v>
      </c>
      <c r="F112" s="368">
        <f>D112*E112</f>
        <v>115.3835764</v>
      </c>
      <c r="G112" s="366">
        <f>+'APUs Casco'!F515</f>
        <v>330.75</v>
      </c>
      <c r="H112" s="369">
        <f>D112*G112</f>
        <v>666.29587500000002</v>
      </c>
      <c r="I112" s="370">
        <f>+E112+G112</f>
        <v>388.0265333333333</v>
      </c>
      <c r="J112" s="417">
        <f>D112*I112</f>
        <v>781.67945139999995</v>
      </c>
    </row>
    <row r="113" spans="1:13" ht="12" customHeight="1" outlineLevel="1" x14ac:dyDescent="0.2">
      <c r="A113" s="169" t="s">
        <v>949</v>
      </c>
      <c r="B113" s="275" t="str">
        <f>+'O. GRUESA'!B366</f>
        <v>LOSA MACIZA - ENCOFRADO Y DESENCOFRADO</v>
      </c>
      <c r="C113" s="169" t="str">
        <f>+'O. GRUESA'!D366</f>
        <v>m2</v>
      </c>
      <c r="D113" s="367">
        <f>+'O. GRUESA'!J366</f>
        <v>10.0725</v>
      </c>
      <c r="E113" s="366">
        <f>+'APUs Casco'!F818+'APUs Casco'!F827</f>
        <v>44.140404761904755</v>
      </c>
      <c r="F113" s="368">
        <f>D113*E113</f>
        <v>444.60422696428566</v>
      </c>
      <c r="G113" s="366">
        <f>+'APUs Casco'!F824</f>
        <v>1.2000000000000002</v>
      </c>
      <c r="H113" s="369">
        <f>D113*G113</f>
        <v>12.087000000000002</v>
      </c>
      <c r="I113" s="370">
        <f>+E113+G113</f>
        <v>45.340404761904757</v>
      </c>
      <c r="J113" s="417">
        <f>D113*I113</f>
        <v>456.69122696428565</v>
      </c>
    </row>
    <row r="114" spans="1:13" ht="12" customHeight="1" outlineLevel="1" x14ac:dyDescent="0.2">
      <c r="A114" s="169" t="s">
        <v>950</v>
      </c>
      <c r="B114" s="275" t="str">
        <f>+'O. GRUESA'!B374</f>
        <v>LOSA MACIZA - ACERO fy=4200kg/cm2</v>
      </c>
      <c r="C114" s="169" t="str">
        <f>+'O. GRUESA'!D374</f>
        <v>kg</v>
      </c>
      <c r="D114" s="367">
        <f>+'O. GRUESA'!J374</f>
        <v>151.08750000000001</v>
      </c>
      <c r="E114" s="366">
        <f>+'APUs Casco'!F978+'APUs Casco'!F985</f>
        <v>1.8172000000000001</v>
      </c>
      <c r="F114" s="368">
        <f>D114*E114</f>
        <v>274.55620500000003</v>
      </c>
      <c r="G114" s="366">
        <f>+'APUs Casco'!F982</f>
        <v>5.6000000000000005</v>
      </c>
      <c r="H114" s="369">
        <f>D114*G114</f>
        <v>846.09000000000015</v>
      </c>
      <c r="I114" s="370">
        <f>+E114+G114</f>
        <v>7.4172000000000011</v>
      </c>
      <c r="J114" s="417">
        <f>D114*I114</f>
        <v>1120.6462050000002</v>
      </c>
    </row>
    <row r="115" spans="1:13" ht="12" customHeight="1" x14ac:dyDescent="0.2">
      <c r="A115" s="219" t="s">
        <v>870</v>
      </c>
      <c r="B115" s="277" t="str">
        <f>+'O. HUMEDAD'!B128</f>
        <v>TABIQUE DE LADRILLO</v>
      </c>
      <c r="C115" s="219"/>
      <c r="D115" s="219"/>
      <c r="E115" s="372"/>
      <c r="F115" s="415">
        <f>SUM(F116:F117)</f>
        <v>4109.683596598441</v>
      </c>
      <c r="G115" s="372"/>
      <c r="H115" s="415">
        <f>SUM(H116:H117)</f>
        <v>6576.8973793069135</v>
      </c>
      <c r="I115" s="219"/>
      <c r="J115" s="415">
        <f>+RESUMEN!C17</f>
        <v>10686.580975905354</v>
      </c>
      <c r="K115" s="669"/>
    </row>
    <row r="116" spans="1:13" ht="12" customHeight="1" outlineLevel="1" x14ac:dyDescent="0.2">
      <c r="A116" s="169" t="s">
        <v>871</v>
      </c>
      <c r="B116" s="275" t="str">
        <f>+'O. HUMEDAD'!B154</f>
        <v>MURO DE LADRILLO SOGA PANDERETA</v>
      </c>
      <c r="C116" s="169" t="s">
        <v>408</v>
      </c>
      <c r="D116" s="367">
        <f>+J116/I116</f>
        <v>93.370714141833759</v>
      </c>
      <c r="E116" s="366">
        <f>+'APUs Casco'!F1069+'APUs Casco'!F1077</f>
        <v>34.397833333333338</v>
      </c>
      <c r="F116" s="368">
        <f>+D116*E116</f>
        <v>3211.7502632651076</v>
      </c>
      <c r="G116" s="366">
        <f>+'APUs Casco'!F1073</f>
        <v>60.071269999999998</v>
      </c>
      <c r="H116" s="369">
        <f>+D116*G116</f>
        <v>5608.8973793069135</v>
      </c>
      <c r="I116" s="370">
        <f>+E116+G116</f>
        <v>94.469103333333337</v>
      </c>
      <c r="J116" s="417">
        <f>+J115-J117</f>
        <v>8820.6476425720211</v>
      </c>
    </row>
    <row r="117" spans="1:13" ht="12" customHeight="1" outlineLevel="1" x14ac:dyDescent="0.2">
      <c r="A117" s="169" t="s">
        <v>872</v>
      </c>
      <c r="B117" s="275" t="str">
        <f>+'O. HUMEDAD'!B191</f>
        <v>COLUMNETAS</v>
      </c>
      <c r="C117" s="169" t="s">
        <v>2</v>
      </c>
      <c r="D117" s="367">
        <v>8</v>
      </c>
      <c r="E117" s="366">
        <f>+'APUs Casco'!M1024+'APUs Casco'!M1035</f>
        <v>112.24166666666667</v>
      </c>
      <c r="F117" s="368">
        <f>+D117*E117</f>
        <v>897.93333333333339</v>
      </c>
      <c r="G117" s="366">
        <f>+'APUs Casco'!M1029</f>
        <v>121</v>
      </c>
      <c r="H117" s="369">
        <f>+D117*G117</f>
        <v>968</v>
      </c>
      <c r="I117" s="370">
        <f>+E117+G117</f>
        <v>233.24166666666667</v>
      </c>
      <c r="J117" s="417">
        <f>+D117*I117</f>
        <v>1865.9333333333334</v>
      </c>
    </row>
    <row r="118" spans="1:13" ht="12" customHeight="1" x14ac:dyDescent="0.2">
      <c r="A118" s="219" t="s">
        <v>873</v>
      </c>
      <c r="B118" s="277" t="s">
        <v>500</v>
      </c>
      <c r="C118" s="219"/>
      <c r="D118" s="219"/>
      <c r="E118" s="372"/>
      <c r="F118" s="415">
        <f>SUM(F119:F126)</f>
        <v>13275.38596174166</v>
      </c>
      <c r="G118" s="372"/>
      <c r="H118" s="415">
        <f>SUM(H119:H126)</f>
        <v>3774.1163072288073</v>
      </c>
      <c r="I118" s="219"/>
      <c r="J118" s="415">
        <f>+RESUMEN!C18</f>
        <v>17049.502268970471</v>
      </c>
      <c r="K118" s="669"/>
      <c r="L118" s="669"/>
      <c r="M118" s="669"/>
    </row>
    <row r="119" spans="1:13" ht="12" customHeight="1" outlineLevel="1" x14ac:dyDescent="0.2">
      <c r="A119" s="169" t="s">
        <v>875</v>
      </c>
      <c r="B119" s="275" t="str">
        <f>+'O. HUMEDAD'!B196</f>
        <v>TARRAJEO EN INTERIORES FROTACHADO</v>
      </c>
      <c r="C119" s="169" t="s">
        <v>408</v>
      </c>
      <c r="D119" s="367">
        <v>138.37499999999997</v>
      </c>
      <c r="E119" s="366">
        <f>+'APUs Casco'!F1101+'APUs Casco'!F1110</f>
        <v>25.612722222222224</v>
      </c>
      <c r="F119" s="368">
        <f t="shared" ref="F119:F126" si="12">+D119*E119</f>
        <v>3544.1604374999997</v>
      </c>
      <c r="G119" s="366">
        <f>+'APUs Casco'!F1106</f>
        <v>7.4074999999999998</v>
      </c>
      <c r="H119" s="369">
        <f>+D119*G119</f>
        <v>1025.0128124999997</v>
      </c>
      <c r="I119" s="370">
        <f>+E119+G119</f>
        <v>33.020222222222223</v>
      </c>
      <c r="J119" s="417">
        <f>+D119*I119</f>
        <v>4569.1732499999989</v>
      </c>
      <c r="M119" s="669"/>
    </row>
    <row r="120" spans="1:13" ht="12" customHeight="1" outlineLevel="1" x14ac:dyDescent="0.2">
      <c r="A120" s="169" t="s">
        <v>876</v>
      </c>
      <c r="B120" s="275" t="str">
        <f>+'O. HUMEDAD'!B257</f>
        <v>TARRAJEO EN COLUMNAS Y PLACAS</v>
      </c>
      <c r="C120" s="169" t="s">
        <v>408</v>
      </c>
      <c r="D120" s="367">
        <v>72.563999999999993</v>
      </c>
      <c r="E120" s="366">
        <f>+'APUs Casco'!F1149+'APUs Casco'!F1158</f>
        <v>37.002833333333335</v>
      </c>
      <c r="F120" s="368">
        <f t="shared" si="12"/>
        <v>2685.0735979999999</v>
      </c>
      <c r="G120" s="366">
        <f>+'APUs Casco'!F1154</f>
        <v>5.4421000000000008</v>
      </c>
      <c r="H120" s="369">
        <f t="shared" ref="H120:H126" si="13">+D120*G120</f>
        <v>394.9005444</v>
      </c>
      <c r="I120" s="370">
        <f t="shared" ref="I120:I126" si="14">+E120+G120</f>
        <v>42.444933333333339</v>
      </c>
      <c r="J120" s="417">
        <f t="shared" ref="J120:J126" si="15">+D120*I120</f>
        <v>3079.9741423999999</v>
      </c>
      <c r="M120" s="669"/>
    </row>
    <row r="121" spans="1:13" ht="12" customHeight="1" outlineLevel="1" x14ac:dyDescent="0.2">
      <c r="A121" s="169" t="s">
        <v>877</v>
      </c>
      <c r="B121" s="275" t="str">
        <f>+'O. HUMEDAD'!B284</f>
        <v>TARRAJEO EN VIGAS</v>
      </c>
      <c r="C121" s="169" t="s">
        <v>408</v>
      </c>
      <c r="D121" s="367">
        <v>25.134374999999999</v>
      </c>
      <c r="E121" s="366">
        <f>+'APUs Casco'!F1165+'APUs Casco'!F1174</f>
        <v>35.584166666666668</v>
      </c>
      <c r="F121" s="368">
        <f t="shared" si="12"/>
        <v>894.38578906249995</v>
      </c>
      <c r="G121" s="366">
        <f>+'APUs Casco'!F1170</f>
        <v>5.5521000000000003</v>
      </c>
      <c r="H121" s="369">
        <f t="shared" si="13"/>
        <v>139.54856343750001</v>
      </c>
      <c r="I121" s="370">
        <f t="shared" si="14"/>
        <v>41.136266666666671</v>
      </c>
      <c r="J121" s="417">
        <f t="shared" si="15"/>
        <v>1033.9343525000002</v>
      </c>
      <c r="M121" s="669"/>
    </row>
    <row r="122" spans="1:13" ht="12" customHeight="1" outlineLevel="1" x14ac:dyDescent="0.2">
      <c r="A122" s="169" t="s">
        <v>975</v>
      </c>
      <c r="B122" s="275" t="str">
        <f>+'O. HUMEDAD'!B304</f>
        <v>VESTIDURA DE DERRAMES</v>
      </c>
      <c r="C122" s="169" t="s">
        <v>416</v>
      </c>
      <c r="D122" s="367">
        <v>21.712499999999995</v>
      </c>
      <c r="E122" s="366">
        <f>+'APUs Casco'!F1213+'APUs Casco'!F1222</f>
        <v>12.492416800000001</v>
      </c>
      <c r="F122" s="368">
        <f t="shared" si="12"/>
        <v>271.24159976999994</v>
      </c>
      <c r="G122" s="366">
        <f>+'APUs Casco'!F1218</f>
        <v>0.53400000000000003</v>
      </c>
      <c r="H122" s="369">
        <f t="shared" si="13"/>
        <v>11.594474999999997</v>
      </c>
      <c r="I122" s="370">
        <f t="shared" si="14"/>
        <v>13.026416800000002</v>
      </c>
      <c r="J122" s="417">
        <f t="shared" si="15"/>
        <v>282.83607476999998</v>
      </c>
      <c r="M122" s="669"/>
    </row>
    <row r="123" spans="1:13" ht="12" customHeight="1" outlineLevel="1" x14ac:dyDescent="0.2">
      <c r="A123" s="169" t="s">
        <v>976</v>
      </c>
      <c r="B123" s="275" t="str">
        <f>+'O. HUMEDAD'!B325</f>
        <v>TARRAJEO EN CIELO RASO</v>
      </c>
      <c r="C123" s="169" t="s">
        <v>408</v>
      </c>
      <c r="D123" s="367">
        <v>55.999673095136451</v>
      </c>
      <c r="E123" s="366">
        <f>+'APUs Casco'!F1181+'APUs Casco'!F1190</f>
        <v>34.142693333333334</v>
      </c>
      <c r="F123" s="368">
        <f t="shared" si="12"/>
        <v>1911.9796652541613</v>
      </c>
      <c r="G123" s="366">
        <f>+'APUs Casco'!F1186</f>
        <v>3.5350000000000001</v>
      </c>
      <c r="H123" s="369">
        <f t="shared" si="13"/>
        <v>197.95884439130737</v>
      </c>
      <c r="I123" s="370">
        <f t="shared" si="14"/>
        <v>37.677693333333337</v>
      </c>
      <c r="J123" s="417">
        <f t="shared" si="15"/>
        <v>2109.9385096454689</v>
      </c>
      <c r="M123" s="669"/>
    </row>
    <row r="124" spans="1:13" ht="12" customHeight="1" outlineLevel="1" x14ac:dyDescent="0.2">
      <c r="A124" s="169" t="s">
        <v>977</v>
      </c>
      <c r="B124" s="275" t="str">
        <f>+'O. HUMEDAD'!B335</f>
        <v>CONTRAPISO DE 48mm - TIPO CEMENTO PULIDO</v>
      </c>
      <c r="C124" s="169" t="s">
        <v>408</v>
      </c>
      <c r="D124" s="367">
        <v>99.142499999999984</v>
      </c>
      <c r="E124" s="366">
        <f>+'APUs Casco'!F1228+'APUs Casco'!F1237</f>
        <v>31.576750000000001</v>
      </c>
      <c r="F124" s="368">
        <f t="shared" si="12"/>
        <v>3130.5979368749995</v>
      </c>
      <c r="G124" s="366">
        <f>+'APUs Casco'!F1234</f>
        <v>18.965000000000003</v>
      </c>
      <c r="H124" s="369">
        <f t="shared" si="13"/>
        <v>1880.2375125000001</v>
      </c>
      <c r="I124" s="370">
        <f t="shared" si="14"/>
        <v>50.541750000000008</v>
      </c>
      <c r="J124" s="417">
        <f t="shared" si="15"/>
        <v>5010.8354493750003</v>
      </c>
      <c r="M124" s="669"/>
    </row>
    <row r="125" spans="1:13" ht="12" customHeight="1" outlineLevel="1" x14ac:dyDescent="0.2">
      <c r="A125" s="169" t="s">
        <v>978</v>
      </c>
      <c r="B125" s="275" t="str">
        <f>+'O. HUMEDAD'!B338</f>
        <v>TARRAJEO DE ESCALERA</v>
      </c>
      <c r="C125" s="169" t="s">
        <v>408</v>
      </c>
      <c r="D125" s="367">
        <v>11.747999999999998</v>
      </c>
      <c r="E125" s="366">
        <f>+'APUs Casco'!F1197+'APUs Casco'!F1206</f>
        <v>33.730693333333335</v>
      </c>
      <c r="F125" s="368">
        <f t="shared" si="12"/>
        <v>396.26818527999995</v>
      </c>
      <c r="G125" s="366">
        <f>+'APUs Casco'!F1202</f>
        <v>3.5350000000000001</v>
      </c>
      <c r="H125" s="369">
        <f t="shared" si="13"/>
        <v>41.52917999999999</v>
      </c>
      <c r="I125" s="370">
        <f t="shared" si="14"/>
        <v>37.265693333333331</v>
      </c>
      <c r="J125" s="417">
        <f t="shared" si="15"/>
        <v>437.79736527999989</v>
      </c>
      <c r="M125" s="669"/>
    </row>
    <row r="126" spans="1:13" ht="12" customHeight="1" outlineLevel="1" x14ac:dyDescent="0.2">
      <c r="A126" s="169" t="s">
        <v>979</v>
      </c>
      <c r="B126" s="275" t="str">
        <f>+'O. HUMEDAD'!B348</f>
        <v>TARRAJEO EN EXTERIORES</v>
      </c>
      <c r="C126" s="169" t="s">
        <v>408</v>
      </c>
      <c r="D126" s="367">
        <v>11.249999999999998</v>
      </c>
      <c r="E126" s="366">
        <f>+'APUs Casco'!F1117+'APUs Casco'!F1126</f>
        <v>39.260333333333335</v>
      </c>
      <c r="F126" s="368">
        <f t="shared" si="12"/>
        <v>441.67874999999998</v>
      </c>
      <c r="G126" s="366">
        <f>+'APUs Casco'!F1122</f>
        <v>7.4074999999999998</v>
      </c>
      <c r="H126" s="369">
        <f t="shared" si="13"/>
        <v>83.33437499999998</v>
      </c>
      <c r="I126" s="370">
        <f t="shared" si="14"/>
        <v>46.667833333333334</v>
      </c>
      <c r="J126" s="417">
        <f t="shared" si="15"/>
        <v>525.01312499999995</v>
      </c>
      <c r="M126" s="669"/>
    </row>
    <row r="127" spans="1:13" ht="12" customHeight="1" x14ac:dyDescent="0.2">
      <c r="A127" s="219" t="s">
        <v>874</v>
      </c>
      <c r="B127" s="277" t="s">
        <v>789</v>
      </c>
      <c r="C127" s="219"/>
      <c r="D127" s="219"/>
      <c r="E127" s="372"/>
      <c r="F127" s="415" t="e">
        <f>SUM(F130:F185)</f>
        <v>#VALUE!</v>
      </c>
      <c r="G127" s="372"/>
      <c r="H127" s="415" t="e">
        <f>SUM(H130:H185)</f>
        <v>#VALUE!</v>
      </c>
      <c r="I127" s="219"/>
      <c r="J127" s="415">
        <f>+RESUMEN!C19</f>
        <v>8936.6679692235612</v>
      </c>
      <c r="K127" s="669"/>
      <c r="L127" s="669"/>
    </row>
    <row r="128" spans="1:13" ht="12" customHeight="1" outlineLevel="1" x14ac:dyDescent="0.2">
      <c r="A128" s="169" t="s">
        <v>878</v>
      </c>
      <c r="B128" s="275" t="s">
        <v>850</v>
      </c>
      <c r="C128" s="169" t="s">
        <v>23</v>
      </c>
      <c r="D128" s="367">
        <v>1</v>
      </c>
      <c r="E128" s="366"/>
      <c r="F128" s="670"/>
      <c r="G128" s="366"/>
      <c r="H128" s="671"/>
      <c r="I128" s="370">
        <v>2000</v>
      </c>
      <c r="J128" s="417">
        <f>+I128</f>
        <v>2000</v>
      </c>
    </row>
    <row r="129" spans="1:12" ht="12" customHeight="1" outlineLevel="1" x14ac:dyDescent="0.2">
      <c r="A129" s="169" t="s">
        <v>879</v>
      </c>
      <c r="B129" s="275" t="s">
        <v>851</v>
      </c>
      <c r="C129" s="169" t="s">
        <v>23</v>
      </c>
      <c r="D129" s="367">
        <v>1</v>
      </c>
      <c r="E129" s="366"/>
      <c r="F129" s="670"/>
      <c r="G129" s="366"/>
      <c r="H129" s="671"/>
      <c r="I129" s="370">
        <v>1200</v>
      </c>
      <c r="J129" s="417">
        <f t="shared" ref="J129:J133" si="16">+I129</f>
        <v>1200</v>
      </c>
    </row>
    <row r="130" spans="1:12" ht="12" customHeight="1" outlineLevel="1" x14ac:dyDescent="0.2">
      <c r="A130" s="169" t="s">
        <v>880</v>
      </c>
      <c r="B130" s="275" t="s">
        <v>852</v>
      </c>
      <c r="C130" s="169" t="s">
        <v>23</v>
      </c>
      <c r="D130" s="367">
        <v>1</v>
      </c>
      <c r="E130" s="366"/>
      <c r="F130" s="670"/>
      <c r="G130" s="366"/>
      <c r="H130" s="671"/>
      <c r="I130" s="370">
        <v>1200</v>
      </c>
      <c r="J130" s="417">
        <f t="shared" si="16"/>
        <v>1200</v>
      </c>
    </row>
    <row r="131" spans="1:12" ht="12" customHeight="1" outlineLevel="1" x14ac:dyDescent="0.2">
      <c r="A131" s="169" t="s">
        <v>881</v>
      </c>
      <c r="B131" s="275" t="s">
        <v>853</v>
      </c>
      <c r="C131" s="169" t="s">
        <v>23</v>
      </c>
      <c r="D131" s="367">
        <v>1</v>
      </c>
      <c r="E131" s="366"/>
      <c r="F131" s="670"/>
      <c r="G131" s="366"/>
      <c r="H131" s="671"/>
      <c r="I131" s="370">
        <v>1500</v>
      </c>
      <c r="J131" s="417">
        <f t="shared" si="16"/>
        <v>1500</v>
      </c>
    </row>
    <row r="132" spans="1:12" ht="12" customHeight="1" outlineLevel="1" x14ac:dyDescent="0.2">
      <c r="A132" s="169" t="s">
        <v>951</v>
      </c>
      <c r="B132" s="275" t="s">
        <v>854</v>
      </c>
      <c r="C132" s="169" t="s">
        <v>23</v>
      </c>
      <c r="D132" s="367">
        <v>1</v>
      </c>
      <c r="E132" s="366"/>
      <c r="F132" s="670"/>
      <c r="G132" s="366"/>
      <c r="H132" s="671"/>
      <c r="I132" s="370">
        <v>2036.67</v>
      </c>
      <c r="J132" s="417">
        <f t="shared" si="16"/>
        <v>2036.67</v>
      </c>
    </row>
    <row r="133" spans="1:12" ht="12" customHeight="1" outlineLevel="1" x14ac:dyDescent="0.2">
      <c r="A133" s="169" t="s">
        <v>952</v>
      </c>
      <c r="B133" s="275" t="s">
        <v>855</v>
      </c>
      <c r="C133" s="169" t="s">
        <v>23</v>
      </c>
      <c r="D133" s="367">
        <v>1</v>
      </c>
      <c r="E133" s="366"/>
      <c r="F133" s="670"/>
      <c r="G133" s="366"/>
      <c r="H133" s="671"/>
      <c r="I133" s="370">
        <v>1000</v>
      </c>
      <c r="J133" s="417">
        <f t="shared" si="16"/>
        <v>1000</v>
      </c>
    </row>
    <row r="134" spans="1:12" ht="12" customHeight="1" x14ac:dyDescent="0.2">
      <c r="A134" s="219" t="s">
        <v>744</v>
      </c>
      <c r="B134" s="277" t="s">
        <v>24</v>
      </c>
      <c r="C134" s="219"/>
      <c r="D134" s="219"/>
      <c r="E134" s="372"/>
      <c r="F134" s="415" t="e">
        <f>SUM(F137:F186)</f>
        <v>#VALUE!</v>
      </c>
      <c r="G134" s="372"/>
      <c r="H134" s="415" t="e">
        <f>SUM(H137:H186)</f>
        <v>#VALUE!</v>
      </c>
      <c r="I134" s="219"/>
      <c r="J134" s="415">
        <f>+RESUMEN!C20</f>
        <v>8936.6679692235612</v>
      </c>
      <c r="K134" s="669"/>
      <c r="L134" s="669"/>
    </row>
    <row r="135" spans="1:12" ht="12" customHeight="1" outlineLevel="1" x14ac:dyDescent="0.2">
      <c r="A135" s="169" t="s">
        <v>745</v>
      </c>
      <c r="B135" s="275" t="s">
        <v>856</v>
      </c>
      <c r="C135" s="169" t="s">
        <v>23</v>
      </c>
      <c r="D135" s="367">
        <v>1</v>
      </c>
      <c r="E135" s="366"/>
      <c r="F135" s="670"/>
      <c r="G135" s="366"/>
      <c r="H135" s="671"/>
      <c r="I135" s="370">
        <v>1500</v>
      </c>
      <c r="J135" s="417">
        <f>+I135</f>
        <v>1500</v>
      </c>
      <c r="K135" s="669"/>
    </row>
    <row r="136" spans="1:12" ht="12" customHeight="1" outlineLevel="1" x14ac:dyDescent="0.2">
      <c r="A136" s="169" t="s">
        <v>746</v>
      </c>
      <c r="B136" s="275" t="s">
        <v>857</v>
      </c>
      <c r="C136" s="169" t="s">
        <v>23</v>
      </c>
      <c r="D136" s="367">
        <v>1</v>
      </c>
      <c r="E136" s="366"/>
      <c r="F136" s="670"/>
      <c r="G136" s="366"/>
      <c r="H136" s="671"/>
      <c r="I136" s="370">
        <v>1500</v>
      </c>
      <c r="J136" s="417">
        <f t="shared" ref="J136:J138" si="17">+I136</f>
        <v>1500</v>
      </c>
    </row>
    <row r="137" spans="1:12" ht="12" customHeight="1" outlineLevel="1" x14ac:dyDescent="0.2">
      <c r="A137" s="169" t="s">
        <v>747</v>
      </c>
      <c r="B137" s="275" t="s">
        <v>859</v>
      </c>
      <c r="C137" s="169" t="s">
        <v>23</v>
      </c>
      <c r="D137" s="367">
        <v>1</v>
      </c>
      <c r="E137" s="366"/>
      <c r="F137" s="670"/>
      <c r="G137" s="366"/>
      <c r="H137" s="671"/>
      <c r="I137" s="370">
        <v>2500</v>
      </c>
      <c r="J137" s="417">
        <f t="shared" si="17"/>
        <v>2500</v>
      </c>
    </row>
    <row r="138" spans="1:12" ht="12" customHeight="1" outlineLevel="1" x14ac:dyDescent="0.2">
      <c r="A138" s="169" t="s">
        <v>953</v>
      </c>
      <c r="B138" s="275" t="s">
        <v>860</v>
      </c>
      <c r="C138" s="169" t="s">
        <v>23</v>
      </c>
      <c r="D138" s="367">
        <v>1</v>
      </c>
      <c r="E138" s="366"/>
      <c r="F138" s="670"/>
      <c r="G138" s="366"/>
      <c r="H138" s="671"/>
      <c r="I138" s="370">
        <v>3427.6672922980811</v>
      </c>
      <c r="J138" s="417">
        <f t="shared" si="17"/>
        <v>3427.6672922980811</v>
      </c>
    </row>
    <row r="139" spans="1:12" ht="12" customHeight="1" x14ac:dyDescent="0.2">
      <c r="A139" s="168" t="s">
        <v>882</v>
      </c>
      <c r="B139" s="221" t="s">
        <v>318</v>
      </c>
      <c r="C139" s="213"/>
      <c r="D139" s="395"/>
      <c r="E139" s="371"/>
      <c r="F139" s="414">
        <v>30542.668368170955</v>
      </c>
      <c r="G139" s="371"/>
      <c r="H139" s="414">
        <v>29384.708509181059</v>
      </c>
      <c r="I139" s="168"/>
      <c r="J139" s="414">
        <f>+J140+J158+J161+J170+J177</f>
        <v>77800.712565177004</v>
      </c>
    </row>
    <row r="140" spans="1:12" ht="12" customHeight="1" collapsed="1" x14ac:dyDescent="0.2">
      <c r="A140" s="219" t="s">
        <v>883</v>
      </c>
      <c r="B140" s="277" t="s">
        <v>933</v>
      </c>
      <c r="C140" s="219"/>
      <c r="D140" s="219"/>
      <c r="E140" s="372"/>
      <c r="F140" s="415">
        <v>13157.598809830853</v>
      </c>
      <c r="G140" s="372"/>
      <c r="H140" s="415">
        <v>19033.694822645339</v>
      </c>
      <c r="I140" s="219"/>
      <c r="J140" s="415">
        <f>+RESUMEN!C22</f>
        <v>32191.293381854059</v>
      </c>
      <c r="K140" s="669"/>
    </row>
    <row r="141" spans="1:12" ht="12" customHeight="1" outlineLevel="1" x14ac:dyDescent="0.2">
      <c r="A141" s="272" t="s">
        <v>884</v>
      </c>
      <c r="B141" s="273" t="s">
        <v>387</v>
      </c>
      <c r="C141" s="276"/>
      <c r="D141" s="276"/>
      <c r="E141" s="276"/>
      <c r="F141" s="276"/>
      <c r="G141" s="276"/>
      <c r="H141" s="276"/>
      <c r="I141" s="276"/>
      <c r="J141" s="416"/>
      <c r="K141" s="669"/>
    </row>
    <row r="142" spans="1:12" ht="12" customHeight="1" outlineLevel="1" x14ac:dyDescent="0.2">
      <c r="A142" s="170" t="s">
        <v>937</v>
      </c>
      <c r="B142" s="275" t="s">
        <v>178</v>
      </c>
      <c r="C142" s="169" t="s">
        <v>37</v>
      </c>
      <c r="D142" s="367">
        <v>8.5749999999999993</v>
      </c>
      <c r="E142" s="366">
        <v>88.708666666666659</v>
      </c>
      <c r="F142" s="368">
        <v>760.67681666666658</v>
      </c>
      <c r="G142" s="366">
        <v>348.75</v>
      </c>
      <c r="H142" s="369">
        <v>2990.5312499999995</v>
      </c>
      <c r="I142" s="370">
        <v>437.45866666666666</v>
      </c>
      <c r="J142" s="417">
        <f>D142*I142</f>
        <v>3751.2080666666661</v>
      </c>
    </row>
    <row r="143" spans="1:12" ht="12" customHeight="1" outlineLevel="1" x14ac:dyDescent="0.2">
      <c r="A143" s="170" t="s">
        <v>938</v>
      </c>
      <c r="B143" s="275" t="s">
        <v>179</v>
      </c>
      <c r="C143" s="169" t="s">
        <v>38</v>
      </c>
      <c r="D143" s="367">
        <v>82.600000000000009</v>
      </c>
      <c r="E143" s="366">
        <v>60.478166666666667</v>
      </c>
      <c r="F143" s="368">
        <v>4995.4965666666676</v>
      </c>
      <c r="G143" s="366">
        <v>2.35</v>
      </c>
      <c r="H143" s="369">
        <v>194.11</v>
      </c>
      <c r="I143" s="370">
        <v>62.828166666666668</v>
      </c>
      <c r="J143" s="417">
        <f>D143*I143</f>
        <v>5189.6065666666673</v>
      </c>
    </row>
    <row r="144" spans="1:12" ht="12" customHeight="1" outlineLevel="1" x14ac:dyDescent="0.2">
      <c r="A144" s="170" t="s">
        <v>939</v>
      </c>
      <c r="B144" s="275" t="s">
        <v>180</v>
      </c>
      <c r="C144" s="169" t="s">
        <v>118</v>
      </c>
      <c r="D144" s="367">
        <v>814.62499999999989</v>
      </c>
      <c r="E144" s="366">
        <v>2.2715000000000001</v>
      </c>
      <c r="F144" s="368">
        <v>1850.4206874999998</v>
      </c>
      <c r="G144" s="366">
        <v>5.75</v>
      </c>
      <c r="H144" s="369">
        <v>4684.0937499999991</v>
      </c>
      <c r="I144" s="370">
        <v>8.0214999999999996</v>
      </c>
      <c r="J144" s="417">
        <f>D144*I144</f>
        <v>6534.5144374999991</v>
      </c>
    </row>
    <row r="145" spans="1:11" ht="12" customHeight="1" outlineLevel="1" x14ac:dyDescent="0.2">
      <c r="A145" s="272" t="s">
        <v>885</v>
      </c>
      <c r="B145" s="273" t="s">
        <v>12</v>
      </c>
      <c r="C145" s="276"/>
      <c r="D145" s="276"/>
      <c r="E145" s="276"/>
      <c r="F145" s="276"/>
      <c r="G145" s="276"/>
      <c r="H145" s="276"/>
      <c r="I145" s="276"/>
      <c r="J145" s="416"/>
    </row>
    <row r="146" spans="1:11" ht="12" customHeight="1" outlineLevel="1" x14ac:dyDescent="0.2">
      <c r="A146" s="169" t="s">
        <v>954</v>
      </c>
      <c r="B146" s="275" t="s">
        <v>380</v>
      </c>
      <c r="C146" s="169" t="s">
        <v>37</v>
      </c>
      <c r="D146" s="367">
        <v>4.1165000000000003</v>
      </c>
      <c r="E146" s="366">
        <v>57.276533333333333</v>
      </c>
      <c r="F146" s="368">
        <v>235.77884946666668</v>
      </c>
      <c r="G146" s="366">
        <v>330.75</v>
      </c>
      <c r="H146" s="369">
        <v>1361.532375</v>
      </c>
      <c r="I146" s="370">
        <v>388.0265333333333</v>
      </c>
      <c r="J146" s="417">
        <f>D146*I146</f>
        <v>1597.3112244666665</v>
      </c>
    </row>
    <row r="147" spans="1:11" ht="12" customHeight="1" outlineLevel="1" x14ac:dyDescent="0.2">
      <c r="A147" s="169" t="s">
        <v>955</v>
      </c>
      <c r="B147" s="275" t="s">
        <v>13</v>
      </c>
      <c r="C147" s="169" t="s">
        <v>38</v>
      </c>
      <c r="D147" s="367">
        <v>26.337499999999999</v>
      </c>
      <c r="E147" s="366">
        <v>46.902766666666665</v>
      </c>
      <c r="F147" s="368">
        <v>1235.3016170833332</v>
      </c>
      <c r="G147" s="366">
        <v>2.2000000000000002</v>
      </c>
      <c r="H147" s="369">
        <v>57.942500000000003</v>
      </c>
      <c r="I147" s="370">
        <v>49.102766666666668</v>
      </c>
      <c r="J147" s="417">
        <f>D147*I147</f>
        <v>1293.2441170833333</v>
      </c>
    </row>
    <row r="148" spans="1:11" ht="12" customHeight="1" outlineLevel="1" x14ac:dyDescent="0.2">
      <c r="A148" s="169" t="s">
        <v>956</v>
      </c>
      <c r="B148" s="275" t="s">
        <v>48</v>
      </c>
      <c r="C148" s="169" t="s">
        <v>118</v>
      </c>
      <c r="D148" s="367">
        <v>1029.125</v>
      </c>
      <c r="E148" s="366">
        <v>1.8172000000000001</v>
      </c>
      <c r="F148" s="368">
        <v>1870.1259500000001</v>
      </c>
      <c r="G148" s="366">
        <v>5.6000000000000005</v>
      </c>
      <c r="H148" s="369">
        <v>5763.1</v>
      </c>
      <c r="I148" s="370">
        <v>7.4172000000000011</v>
      </c>
      <c r="J148" s="417">
        <f>D148*I148</f>
        <v>7633.2259500000009</v>
      </c>
    </row>
    <row r="149" spans="1:11" ht="12" customHeight="1" outlineLevel="1" x14ac:dyDescent="0.2">
      <c r="A149" s="272" t="s">
        <v>957</v>
      </c>
      <c r="B149" s="273" t="s">
        <v>14</v>
      </c>
      <c r="C149" s="276"/>
      <c r="D149" s="276"/>
      <c r="E149" s="276"/>
      <c r="F149" s="276"/>
      <c r="G149" s="276"/>
      <c r="H149" s="276"/>
      <c r="I149" s="276"/>
      <c r="J149" s="416"/>
    </row>
    <row r="150" spans="1:11" ht="12" customHeight="1" outlineLevel="1" x14ac:dyDescent="0.2">
      <c r="A150" s="169" t="s">
        <v>958</v>
      </c>
      <c r="B150" s="275" t="s">
        <v>381</v>
      </c>
      <c r="C150" s="169" t="s">
        <v>37</v>
      </c>
      <c r="D150" s="367">
        <v>2.2927499999999998</v>
      </c>
      <c r="E150" s="366">
        <v>57.276533333333333</v>
      </c>
      <c r="F150" s="368">
        <v>131.32077179999999</v>
      </c>
      <c r="G150" s="366">
        <v>330.75</v>
      </c>
      <c r="H150" s="369">
        <v>758.3270624999999</v>
      </c>
      <c r="I150" s="370">
        <v>388.0265333333333</v>
      </c>
      <c r="J150" s="417">
        <f>D150*I150</f>
        <v>889.64783429999989</v>
      </c>
    </row>
    <row r="151" spans="1:11" ht="12" customHeight="1" outlineLevel="1" x14ac:dyDescent="0.2">
      <c r="A151" s="169" t="s">
        <v>959</v>
      </c>
      <c r="B151" s="275" t="s">
        <v>15</v>
      </c>
      <c r="C151" s="169" t="s">
        <v>38</v>
      </c>
      <c r="D151" s="367">
        <v>22.927499999999995</v>
      </c>
      <c r="E151" s="366">
        <v>31.934904761904765</v>
      </c>
      <c r="F151" s="368">
        <v>732.18752892857128</v>
      </c>
      <c r="G151" s="366">
        <v>1.05</v>
      </c>
      <c r="H151" s="369">
        <v>24.073874999999994</v>
      </c>
      <c r="I151" s="370">
        <v>32.984904761904765</v>
      </c>
      <c r="J151" s="417">
        <f>D151*I151</f>
        <v>756.26140392857133</v>
      </c>
    </row>
    <row r="152" spans="1:11" ht="12" customHeight="1" outlineLevel="1" x14ac:dyDescent="0.2">
      <c r="A152" s="169" t="s">
        <v>960</v>
      </c>
      <c r="B152" s="275" t="s">
        <v>50</v>
      </c>
      <c r="C152" s="169" t="s">
        <v>126</v>
      </c>
      <c r="D152" s="367">
        <v>207</v>
      </c>
      <c r="E152" s="366">
        <v>1.0381541666666665</v>
      </c>
      <c r="F152" s="368">
        <v>214.89791249999996</v>
      </c>
      <c r="G152" s="366">
        <v>3.6750000000000003</v>
      </c>
      <c r="H152" s="369">
        <v>760.72500000000002</v>
      </c>
      <c r="I152" s="370">
        <v>4.7131541666666665</v>
      </c>
      <c r="J152" s="417">
        <f>D152*I152</f>
        <v>975.62291249999998</v>
      </c>
    </row>
    <row r="153" spans="1:11" ht="12" customHeight="1" outlineLevel="1" x14ac:dyDescent="0.2">
      <c r="A153" s="169" t="s">
        <v>961</v>
      </c>
      <c r="B153" s="275" t="s">
        <v>16</v>
      </c>
      <c r="C153" s="169" t="s">
        <v>118</v>
      </c>
      <c r="D153" s="367">
        <v>163.35466699023891</v>
      </c>
      <c r="E153" s="366">
        <v>1.8172000000000001</v>
      </c>
      <c r="F153" s="368">
        <v>296.84810085466216</v>
      </c>
      <c r="G153" s="366">
        <v>5.6000000000000005</v>
      </c>
      <c r="H153" s="369">
        <v>914.78613514533799</v>
      </c>
      <c r="I153" s="370">
        <v>7.4172000000000011</v>
      </c>
      <c r="J153" s="417">
        <v>1211.6342360000003</v>
      </c>
    </row>
    <row r="154" spans="1:11" ht="12" customHeight="1" outlineLevel="1" x14ac:dyDescent="0.2">
      <c r="A154" s="272" t="s">
        <v>962</v>
      </c>
      <c r="B154" s="308" t="s">
        <v>17</v>
      </c>
      <c r="C154" s="276"/>
      <c r="D154" s="276"/>
      <c r="E154" s="276"/>
      <c r="F154" s="276"/>
      <c r="G154" s="276"/>
      <c r="H154" s="276"/>
      <c r="I154" s="276"/>
      <c r="J154" s="416"/>
    </row>
    <row r="155" spans="1:11" ht="12" customHeight="1" outlineLevel="1" x14ac:dyDescent="0.2">
      <c r="A155" s="169" t="s">
        <v>972</v>
      </c>
      <c r="B155" s="275" t="s">
        <v>382</v>
      </c>
      <c r="C155" s="169" t="s">
        <v>37</v>
      </c>
      <c r="D155" s="367">
        <v>2.0145</v>
      </c>
      <c r="E155" s="366">
        <v>57.276533333333333</v>
      </c>
      <c r="F155" s="368">
        <v>115.3835764</v>
      </c>
      <c r="G155" s="366">
        <v>330.75</v>
      </c>
      <c r="H155" s="369">
        <v>666.29587500000002</v>
      </c>
      <c r="I155" s="370">
        <v>388.0265333333333</v>
      </c>
      <c r="J155" s="417">
        <f>D155*I155</f>
        <v>781.67945139999995</v>
      </c>
    </row>
    <row r="156" spans="1:11" ht="12" customHeight="1" outlineLevel="1" x14ac:dyDescent="0.2">
      <c r="A156" s="169" t="s">
        <v>973</v>
      </c>
      <c r="B156" s="275" t="s">
        <v>18</v>
      </c>
      <c r="C156" s="169" t="s">
        <v>38</v>
      </c>
      <c r="D156" s="367">
        <v>10.0725</v>
      </c>
      <c r="E156" s="366">
        <v>44.140404761904755</v>
      </c>
      <c r="F156" s="368">
        <v>444.60422696428566</v>
      </c>
      <c r="G156" s="366">
        <v>1.2000000000000002</v>
      </c>
      <c r="H156" s="369">
        <v>12.087000000000002</v>
      </c>
      <c r="I156" s="370">
        <v>45.340404761904757</v>
      </c>
      <c r="J156" s="417">
        <f>D156*I156</f>
        <v>456.69122696428565</v>
      </c>
    </row>
    <row r="157" spans="1:11" ht="12" customHeight="1" outlineLevel="1" x14ac:dyDescent="0.2">
      <c r="A157" s="169" t="s">
        <v>974</v>
      </c>
      <c r="B157" s="275" t="s">
        <v>19</v>
      </c>
      <c r="C157" s="169" t="s">
        <v>118</v>
      </c>
      <c r="D157" s="367">
        <v>151.08750000000001</v>
      </c>
      <c r="E157" s="366">
        <v>1.8172000000000001</v>
      </c>
      <c r="F157" s="368">
        <v>274.55620500000003</v>
      </c>
      <c r="G157" s="366">
        <v>5.6000000000000005</v>
      </c>
      <c r="H157" s="369">
        <v>846.09000000000015</v>
      </c>
      <c r="I157" s="370">
        <v>7.4172000000000011</v>
      </c>
      <c r="J157" s="417">
        <f>D157*I157</f>
        <v>1120.6462050000002</v>
      </c>
    </row>
    <row r="158" spans="1:11" ht="12" customHeight="1" x14ac:dyDescent="0.2">
      <c r="A158" s="219" t="s">
        <v>963</v>
      </c>
      <c r="B158" s="277" t="s">
        <v>418</v>
      </c>
      <c r="C158" s="219"/>
      <c r="D158" s="219"/>
      <c r="E158" s="372"/>
      <c r="F158" s="415">
        <v>4109.683596598441</v>
      </c>
      <c r="G158" s="372"/>
      <c r="H158" s="415">
        <v>6576.8973793069135</v>
      </c>
      <c r="I158" s="219"/>
      <c r="J158" s="415">
        <f>+RESUMEN!C23</f>
        <v>10686.580975905354</v>
      </c>
      <c r="K158" s="669"/>
    </row>
    <row r="159" spans="1:11" ht="12" customHeight="1" outlineLevel="1" x14ac:dyDescent="0.2">
      <c r="A159" s="169" t="s">
        <v>964</v>
      </c>
      <c r="B159" s="275" t="s">
        <v>189</v>
      </c>
      <c r="C159" s="169" t="s">
        <v>408</v>
      </c>
      <c r="D159" s="367">
        <v>93.370714141833759</v>
      </c>
      <c r="E159" s="366">
        <v>34.397833333333338</v>
      </c>
      <c r="F159" s="368">
        <v>3211.7502632651076</v>
      </c>
      <c r="G159" s="366">
        <v>60.071269999999998</v>
      </c>
      <c r="H159" s="369">
        <v>5608.8973793069135</v>
      </c>
      <c r="I159" s="370">
        <v>94.469103333333337</v>
      </c>
      <c r="J159" s="417">
        <f>+J158-J160</f>
        <v>8820.6476425720211</v>
      </c>
    </row>
    <row r="160" spans="1:11" ht="12" customHeight="1" outlineLevel="1" x14ac:dyDescent="0.2">
      <c r="A160" s="169" t="s">
        <v>965</v>
      </c>
      <c r="B160" s="275" t="s">
        <v>650</v>
      </c>
      <c r="C160" s="169" t="s">
        <v>2</v>
      </c>
      <c r="D160" s="367">
        <v>8</v>
      </c>
      <c r="E160" s="366">
        <v>112.24166666666667</v>
      </c>
      <c r="F160" s="368">
        <v>897.93333333333339</v>
      </c>
      <c r="G160" s="366">
        <v>121</v>
      </c>
      <c r="H160" s="369">
        <v>968</v>
      </c>
      <c r="I160" s="370">
        <v>233.24166666666667</v>
      </c>
      <c r="J160" s="417">
        <f>+D160*I160</f>
        <v>1865.9333333333334</v>
      </c>
    </row>
    <row r="161" spans="1:13" ht="12" customHeight="1" x14ac:dyDescent="0.2">
      <c r="A161" s="219" t="s">
        <v>966</v>
      </c>
      <c r="B161" s="277" t="s">
        <v>500</v>
      </c>
      <c r="C161" s="219"/>
      <c r="D161" s="219"/>
      <c r="E161" s="372"/>
      <c r="F161" s="415">
        <v>13275.38596174166</v>
      </c>
      <c r="G161" s="372"/>
      <c r="H161" s="415">
        <v>3774.1163072288073</v>
      </c>
      <c r="I161" s="219"/>
      <c r="J161" s="415">
        <f>+RESUMEN!C24</f>
        <v>17049.502268970471</v>
      </c>
      <c r="K161" s="669"/>
      <c r="L161" s="669"/>
      <c r="M161" s="669"/>
    </row>
    <row r="162" spans="1:13" ht="12" customHeight="1" outlineLevel="1" x14ac:dyDescent="0.2">
      <c r="A162" s="169" t="s">
        <v>967</v>
      </c>
      <c r="B162" s="275" t="s">
        <v>410</v>
      </c>
      <c r="C162" s="169" t="s">
        <v>408</v>
      </c>
      <c r="D162" s="367">
        <v>138.37499999999997</v>
      </c>
      <c r="E162" s="366">
        <v>25.612722222222224</v>
      </c>
      <c r="F162" s="368">
        <v>3544.1604374999997</v>
      </c>
      <c r="G162" s="366">
        <v>7.4074999999999998</v>
      </c>
      <c r="H162" s="369">
        <v>1025.0128124999997</v>
      </c>
      <c r="I162" s="370">
        <v>33.020222222222223</v>
      </c>
      <c r="J162" s="417">
        <f>+D162*I162</f>
        <v>4569.1732499999989</v>
      </c>
      <c r="M162" s="669"/>
    </row>
    <row r="163" spans="1:13" ht="12" customHeight="1" outlineLevel="1" x14ac:dyDescent="0.2">
      <c r="A163" s="169" t="s">
        <v>980</v>
      </c>
      <c r="B163" s="275" t="s">
        <v>630</v>
      </c>
      <c r="C163" s="169" t="s">
        <v>408</v>
      </c>
      <c r="D163" s="367">
        <v>72.563999999999993</v>
      </c>
      <c r="E163" s="366">
        <v>37.002833333333335</v>
      </c>
      <c r="F163" s="368">
        <v>2685.0735979999999</v>
      </c>
      <c r="G163" s="366">
        <v>5.4421000000000008</v>
      </c>
      <c r="H163" s="369">
        <v>394.9005444</v>
      </c>
      <c r="I163" s="370">
        <v>42.444933333333339</v>
      </c>
      <c r="J163" s="417">
        <f t="shared" ref="J163:J169" si="18">+D163*I163</f>
        <v>3079.9741423999999</v>
      </c>
      <c r="M163" s="669"/>
    </row>
    <row r="164" spans="1:13" ht="12" customHeight="1" outlineLevel="1" x14ac:dyDescent="0.2">
      <c r="A164" s="169" t="s">
        <v>981</v>
      </c>
      <c r="B164" s="275" t="s">
        <v>412</v>
      </c>
      <c r="C164" s="169" t="s">
        <v>408</v>
      </c>
      <c r="D164" s="367">
        <v>25.134374999999999</v>
      </c>
      <c r="E164" s="366">
        <v>35.584166666666668</v>
      </c>
      <c r="F164" s="368">
        <v>894.38578906249995</v>
      </c>
      <c r="G164" s="366">
        <v>5.5521000000000003</v>
      </c>
      <c r="H164" s="369">
        <v>139.54856343750001</v>
      </c>
      <c r="I164" s="370">
        <v>41.136266666666671</v>
      </c>
      <c r="J164" s="417">
        <f t="shared" si="18"/>
        <v>1033.9343525000002</v>
      </c>
      <c r="M164" s="669"/>
    </row>
    <row r="165" spans="1:13" ht="12" customHeight="1" outlineLevel="1" x14ac:dyDescent="0.2">
      <c r="A165" s="169" t="s">
        <v>982</v>
      </c>
      <c r="B165" s="275" t="s">
        <v>415</v>
      </c>
      <c r="C165" s="169" t="s">
        <v>416</v>
      </c>
      <c r="D165" s="367">
        <v>21.712499999999995</v>
      </c>
      <c r="E165" s="366">
        <v>12.492416800000001</v>
      </c>
      <c r="F165" s="368">
        <v>271.24159976999994</v>
      </c>
      <c r="G165" s="366">
        <v>0.53400000000000003</v>
      </c>
      <c r="H165" s="369">
        <v>11.594474999999997</v>
      </c>
      <c r="I165" s="370">
        <v>13.026416800000002</v>
      </c>
      <c r="J165" s="417">
        <f t="shared" si="18"/>
        <v>282.83607476999998</v>
      </c>
      <c r="M165" s="669"/>
    </row>
    <row r="166" spans="1:13" ht="12" customHeight="1" outlineLevel="1" x14ac:dyDescent="0.2">
      <c r="A166" s="169" t="s">
        <v>983</v>
      </c>
      <c r="B166" s="275" t="s">
        <v>413</v>
      </c>
      <c r="C166" s="169" t="s">
        <v>408</v>
      </c>
      <c r="D166" s="367">
        <v>55.999673095136451</v>
      </c>
      <c r="E166" s="366">
        <v>34.142693333333334</v>
      </c>
      <c r="F166" s="368">
        <v>1911.9796652541613</v>
      </c>
      <c r="G166" s="366">
        <v>3.5350000000000001</v>
      </c>
      <c r="H166" s="369">
        <v>197.95884439130737</v>
      </c>
      <c r="I166" s="370">
        <v>37.677693333333337</v>
      </c>
      <c r="J166" s="417">
        <f t="shared" si="18"/>
        <v>2109.9385096454689</v>
      </c>
      <c r="M166" s="669"/>
    </row>
    <row r="167" spans="1:13" ht="12" customHeight="1" outlineLevel="1" x14ac:dyDescent="0.2">
      <c r="A167" s="169" t="s">
        <v>984</v>
      </c>
      <c r="B167" s="275" t="s">
        <v>428</v>
      </c>
      <c r="C167" s="169" t="s">
        <v>408</v>
      </c>
      <c r="D167" s="367">
        <v>99.142499999999984</v>
      </c>
      <c r="E167" s="366">
        <v>31.576750000000001</v>
      </c>
      <c r="F167" s="368">
        <v>3130.5979368749995</v>
      </c>
      <c r="G167" s="366">
        <v>18.965000000000003</v>
      </c>
      <c r="H167" s="369">
        <v>1880.2375125000001</v>
      </c>
      <c r="I167" s="370">
        <v>50.541750000000008</v>
      </c>
      <c r="J167" s="417">
        <f t="shared" si="18"/>
        <v>5010.8354493750003</v>
      </c>
      <c r="M167" s="669"/>
    </row>
    <row r="168" spans="1:13" ht="12" customHeight="1" outlineLevel="1" x14ac:dyDescent="0.2">
      <c r="A168" s="169" t="s">
        <v>985</v>
      </c>
      <c r="B168" s="275" t="s">
        <v>414</v>
      </c>
      <c r="C168" s="169" t="s">
        <v>408</v>
      </c>
      <c r="D168" s="367">
        <v>11.747999999999998</v>
      </c>
      <c r="E168" s="366">
        <v>33.730693333333335</v>
      </c>
      <c r="F168" s="368">
        <v>396.26818527999995</v>
      </c>
      <c r="G168" s="366">
        <v>3.5350000000000001</v>
      </c>
      <c r="H168" s="369">
        <v>41.52917999999999</v>
      </c>
      <c r="I168" s="370">
        <v>37.265693333333331</v>
      </c>
      <c r="J168" s="417">
        <f t="shared" si="18"/>
        <v>437.79736527999989</v>
      </c>
      <c r="M168" s="669"/>
    </row>
    <row r="169" spans="1:13" ht="12" customHeight="1" outlineLevel="1" x14ac:dyDescent="0.2">
      <c r="A169" s="169" t="s">
        <v>986</v>
      </c>
      <c r="B169" s="275" t="s">
        <v>411</v>
      </c>
      <c r="C169" s="169" t="s">
        <v>408</v>
      </c>
      <c r="D169" s="367">
        <v>11.249999999999998</v>
      </c>
      <c r="E169" s="366">
        <v>39.260333333333335</v>
      </c>
      <c r="F169" s="368">
        <v>441.67874999999998</v>
      </c>
      <c r="G169" s="366">
        <v>7.4074999999999998</v>
      </c>
      <c r="H169" s="369">
        <v>83.33437499999998</v>
      </c>
      <c r="I169" s="370">
        <v>46.667833333333334</v>
      </c>
      <c r="J169" s="417">
        <f t="shared" si="18"/>
        <v>525.01312499999995</v>
      </c>
      <c r="M169" s="669"/>
    </row>
    <row r="170" spans="1:13" ht="12" customHeight="1" x14ac:dyDescent="0.2">
      <c r="A170" s="219" t="s">
        <v>987</v>
      </c>
      <c r="B170" s="277" t="s">
        <v>789</v>
      </c>
      <c r="C170" s="219"/>
      <c r="D170" s="219"/>
      <c r="E170" s="372"/>
      <c r="F170" s="415" t="e">
        <v>#VALUE!</v>
      </c>
      <c r="G170" s="372"/>
      <c r="H170" s="415" t="e">
        <v>#VALUE!</v>
      </c>
      <c r="I170" s="219"/>
      <c r="J170" s="415">
        <f>+RESUMEN!C25</f>
        <v>8936.6679692235612</v>
      </c>
      <c r="K170" s="669"/>
      <c r="L170" s="669"/>
    </row>
    <row r="171" spans="1:13" ht="12" customHeight="1" outlineLevel="1" x14ac:dyDescent="0.2">
      <c r="A171" s="169" t="s">
        <v>988</v>
      </c>
      <c r="B171" s="275" t="s">
        <v>850</v>
      </c>
      <c r="C171" s="169" t="s">
        <v>23</v>
      </c>
      <c r="D171" s="367">
        <v>1</v>
      </c>
      <c r="E171" s="366"/>
      <c r="F171" s="670"/>
      <c r="G171" s="366"/>
      <c r="H171" s="671"/>
      <c r="I171" s="370">
        <v>2000</v>
      </c>
      <c r="J171" s="417">
        <f>+I171</f>
        <v>2000</v>
      </c>
    </row>
    <row r="172" spans="1:13" ht="12" customHeight="1" outlineLevel="1" x14ac:dyDescent="0.2">
      <c r="A172" s="169" t="s">
        <v>989</v>
      </c>
      <c r="B172" s="275" t="s">
        <v>851</v>
      </c>
      <c r="C172" s="169" t="s">
        <v>23</v>
      </c>
      <c r="D172" s="367">
        <v>1</v>
      </c>
      <c r="E172" s="366"/>
      <c r="F172" s="670"/>
      <c r="G172" s="366"/>
      <c r="H172" s="671"/>
      <c r="I172" s="370">
        <v>1200</v>
      </c>
      <c r="J172" s="417">
        <f t="shared" ref="J172:J176" si="19">+I172</f>
        <v>1200</v>
      </c>
    </row>
    <row r="173" spans="1:13" ht="12" customHeight="1" outlineLevel="1" x14ac:dyDescent="0.2">
      <c r="A173" s="169" t="s">
        <v>990</v>
      </c>
      <c r="B173" s="275" t="s">
        <v>852</v>
      </c>
      <c r="C173" s="169" t="s">
        <v>23</v>
      </c>
      <c r="D173" s="367">
        <v>1</v>
      </c>
      <c r="E173" s="366"/>
      <c r="F173" s="670"/>
      <c r="G173" s="366"/>
      <c r="H173" s="671"/>
      <c r="I173" s="370">
        <v>1200</v>
      </c>
      <c r="J173" s="417">
        <f t="shared" si="19"/>
        <v>1200</v>
      </c>
    </row>
    <row r="174" spans="1:13" ht="12" customHeight="1" outlineLevel="1" x14ac:dyDescent="0.2">
      <c r="A174" s="169" t="s">
        <v>993</v>
      </c>
      <c r="B174" s="275" t="s">
        <v>853</v>
      </c>
      <c r="C174" s="169" t="s">
        <v>23</v>
      </c>
      <c r="D174" s="367">
        <v>1</v>
      </c>
      <c r="E174" s="366"/>
      <c r="F174" s="670"/>
      <c r="G174" s="366"/>
      <c r="H174" s="671"/>
      <c r="I174" s="370">
        <v>1500</v>
      </c>
      <c r="J174" s="417">
        <f t="shared" si="19"/>
        <v>1500</v>
      </c>
    </row>
    <row r="175" spans="1:13" ht="12" customHeight="1" outlineLevel="1" x14ac:dyDescent="0.2">
      <c r="A175" s="169" t="s">
        <v>991</v>
      </c>
      <c r="B175" s="275" t="s">
        <v>854</v>
      </c>
      <c r="C175" s="169" t="s">
        <v>23</v>
      </c>
      <c r="D175" s="367">
        <v>1</v>
      </c>
      <c r="E175" s="366"/>
      <c r="F175" s="670"/>
      <c r="G175" s="366"/>
      <c r="H175" s="671"/>
      <c r="I175" s="370">
        <v>2036.67</v>
      </c>
      <c r="J175" s="417">
        <f t="shared" si="19"/>
        <v>2036.67</v>
      </c>
    </row>
    <row r="176" spans="1:13" ht="12" customHeight="1" outlineLevel="1" x14ac:dyDescent="0.2">
      <c r="A176" s="169" t="s">
        <v>992</v>
      </c>
      <c r="B176" s="275" t="s">
        <v>855</v>
      </c>
      <c r="C176" s="169" t="s">
        <v>23</v>
      </c>
      <c r="D176" s="367">
        <v>1</v>
      </c>
      <c r="E176" s="366"/>
      <c r="F176" s="670"/>
      <c r="G176" s="366"/>
      <c r="H176" s="671"/>
      <c r="I176" s="370">
        <v>1000</v>
      </c>
      <c r="J176" s="417">
        <f t="shared" si="19"/>
        <v>1000</v>
      </c>
    </row>
    <row r="177" spans="1:12" ht="12" customHeight="1" x14ac:dyDescent="0.2">
      <c r="A177" s="219" t="s">
        <v>968</v>
      </c>
      <c r="B177" s="277" t="s">
        <v>24</v>
      </c>
      <c r="C177" s="219"/>
      <c r="D177" s="219"/>
      <c r="E177" s="372"/>
      <c r="F177" s="415" t="e">
        <v>#VALUE!</v>
      </c>
      <c r="G177" s="372"/>
      <c r="H177" s="415" t="e">
        <v>#VALUE!</v>
      </c>
      <c r="I177" s="219"/>
      <c r="J177" s="415">
        <f>+RESUMEN!C26</f>
        <v>8936.6679692235612</v>
      </c>
      <c r="K177" s="669"/>
      <c r="L177" s="669"/>
    </row>
    <row r="178" spans="1:12" ht="12" customHeight="1" outlineLevel="1" x14ac:dyDescent="0.2">
      <c r="A178" s="169" t="s">
        <v>969</v>
      </c>
      <c r="B178" s="275" t="s">
        <v>856</v>
      </c>
      <c r="C178" s="169" t="s">
        <v>23</v>
      </c>
      <c r="D178" s="367">
        <v>1</v>
      </c>
      <c r="E178" s="366"/>
      <c r="F178" s="670"/>
      <c r="G178" s="366"/>
      <c r="H178" s="671"/>
      <c r="I178" s="370">
        <v>1500</v>
      </c>
      <c r="J178" s="417">
        <f>+I178</f>
        <v>1500</v>
      </c>
      <c r="K178" s="669"/>
    </row>
    <row r="179" spans="1:12" ht="12" customHeight="1" outlineLevel="1" x14ac:dyDescent="0.2">
      <c r="A179" s="169" t="s">
        <v>970</v>
      </c>
      <c r="B179" s="275" t="s">
        <v>857</v>
      </c>
      <c r="C179" s="169" t="s">
        <v>23</v>
      </c>
      <c r="D179" s="367">
        <v>1</v>
      </c>
      <c r="E179" s="366"/>
      <c r="F179" s="670"/>
      <c r="G179" s="366"/>
      <c r="H179" s="671"/>
      <c r="I179" s="370">
        <v>1500</v>
      </c>
      <c r="J179" s="417">
        <f t="shared" ref="J179:J181" si="20">+I179</f>
        <v>1500</v>
      </c>
    </row>
    <row r="180" spans="1:12" ht="12" customHeight="1" outlineLevel="1" x14ac:dyDescent="0.2">
      <c r="A180" s="169" t="s">
        <v>971</v>
      </c>
      <c r="B180" s="275" t="s">
        <v>859</v>
      </c>
      <c r="C180" s="169" t="s">
        <v>23</v>
      </c>
      <c r="D180" s="367">
        <v>1</v>
      </c>
      <c r="E180" s="366"/>
      <c r="F180" s="670"/>
      <c r="G180" s="366"/>
      <c r="H180" s="671"/>
      <c r="I180" s="370">
        <v>2500</v>
      </c>
      <c r="J180" s="417">
        <f t="shared" si="20"/>
        <v>2500</v>
      </c>
    </row>
    <row r="181" spans="1:12" ht="12" customHeight="1" outlineLevel="1" x14ac:dyDescent="0.2">
      <c r="A181" s="169" t="s">
        <v>994</v>
      </c>
      <c r="B181" s="275" t="s">
        <v>860</v>
      </c>
      <c r="C181" s="169" t="s">
        <v>23</v>
      </c>
      <c r="D181" s="367">
        <v>1</v>
      </c>
      <c r="E181" s="366"/>
      <c r="F181" s="670"/>
      <c r="G181" s="366"/>
      <c r="H181" s="671"/>
      <c r="I181" s="370">
        <v>3427.6672922980811</v>
      </c>
      <c r="J181" s="417">
        <f t="shared" si="20"/>
        <v>3427.6672922980811</v>
      </c>
    </row>
    <row r="182" spans="1:12" ht="13.8" x14ac:dyDescent="0.2">
      <c r="A182" s="214"/>
      <c r="B182" s="224"/>
      <c r="C182" s="620"/>
      <c r="D182" s="621"/>
      <c r="E182" s="622"/>
      <c r="F182" s="623" t="s">
        <v>251</v>
      </c>
      <c r="G182" s="622"/>
      <c r="H182" s="623" t="s">
        <v>251</v>
      </c>
      <c r="I182" s="621"/>
      <c r="J182" s="386" t="s">
        <v>251</v>
      </c>
    </row>
    <row r="183" spans="1:12" ht="13.8" x14ac:dyDescent="0.2">
      <c r="A183" s="215"/>
      <c r="B183" s="224" t="s">
        <v>316</v>
      </c>
      <c r="C183" s="216"/>
      <c r="D183" s="394"/>
      <c r="E183" s="217"/>
      <c r="F183" s="633">
        <f>+F8+F25+F31+F96</f>
        <v>94707.490799677063</v>
      </c>
      <c r="G183" s="634"/>
      <c r="H183" s="633">
        <f>+H8+H25+H31+H96</f>
        <v>102036.82293208607</v>
      </c>
      <c r="I183" s="621"/>
      <c r="J183" s="411">
        <f>+J139+J96+J31+J25+J8</f>
        <v>340000.00000000006</v>
      </c>
    </row>
    <row r="184" spans="1:12" ht="13.8" x14ac:dyDescent="0.2">
      <c r="A184" s="215"/>
      <c r="B184" s="224" t="s">
        <v>26</v>
      </c>
      <c r="C184" s="218">
        <f>+J184/J186</f>
        <v>8.1081081081081072E-2</v>
      </c>
      <c r="D184" s="394"/>
      <c r="E184" s="217"/>
      <c r="F184" s="633"/>
      <c r="G184" s="634"/>
      <c r="H184" s="633"/>
      <c r="I184" s="621"/>
      <c r="J184" s="411">
        <f>+RESUMEN!C28</f>
        <v>30000</v>
      </c>
    </row>
    <row r="185" spans="1:12" ht="13.8" x14ac:dyDescent="0.2">
      <c r="A185" s="215"/>
      <c r="B185" s="224"/>
      <c r="C185" s="216"/>
      <c r="D185" s="394"/>
      <c r="E185" s="217"/>
      <c r="F185" s="623" t="s">
        <v>251</v>
      </c>
      <c r="G185" s="634"/>
      <c r="H185" s="623" t="s">
        <v>251</v>
      </c>
      <c r="I185" s="621"/>
      <c r="J185" s="412" t="s">
        <v>251</v>
      </c>
    </row>
    <row r="186" spans="1:12" ht="13.8" x14ac:dyDescent="0.2">
      <c r="A186" s="215"/>
      <c r="B186" s="224" t="s">
        <v>25</v>
      </c>
      <c r="C186" s="216"/>
      <c r="D186" s="394"/>
      <c r="E186" s="217"/>
      <c r="F186" s="397"/>
      <c r="G186" s="217"/>
      <c r="H186" s="397"/>
      <c r="I186" s="394"/>
      <c r="J186" s="413">
        <f>+RESUMEN!C30</f>
        <v>370000.00000000006</v>
      </c>
    </row>
    <row r="187" spans="1:12" ht="13.8" x14ac:dyDescent="0.2">
      <c r="D187" s="630"/>
      <c r="E187" s="631"/>
      <c r="F187" s="630"/>
      <c r="G187" s="632"/>
      <c r="H187" s="630"/>
      <c r="J187" s="167"/>
    </row>
    <row r="188" spans="1:12" ht="13.8" x14ac:dyDescent="0.2">
      <c r="D188" s="630"/>
      <c r="E188" s="632"/>
      <c r="F188" s="630"/>
      <c r="G188" s="632"/>
      <c r="H188" s="630"/>
      <c r="J188" s="167"/>
    </row>
    <row r="189" spans="1:12" ht="13.8" x14ac:dyDescent="0.2">
      <c r="D189" s="630"/>
      <c r="E189" s="632"/>
      <c r="F189" s="632"/>
      <c r="G189" s="632"/>
      <c r="H189" s="630"/>
    </row>
    <row r="190" spans="1:12" ht="13.8" x14ac:dyDescent="0.2">
      <c r="D190" s="630"/>
      <c r="E190" s="632"/>
      <c r="F190" s="632"/>
      <c r="G190" s="632"/>
      <c r="H190" s="630"/>
    </row>
    <row r="191" spans="1:12" ht="13.8" x14ac:dyDescent="0.2">
      <c r="E191" s="632"/>
      <c r="F191" s="632"/>
    </row>
    <row r="192" spans="1:12" ht="13.8" x14ac:dyDescent="0.2">
      <c r="E192" s="632"/>
      <c r="F192" s="632"/>
    </row>
    <row r="193" spans="5:6" ht="13.8" x14ac:dyDescent="0.2">
      <c r="E193" s="632"/>
      <c r="F193" s="632"/>
    </row>
    <row r="194" spans="5:6" ht="13.8" x14ac:dyDescent="0.2">
      <c r="E194" s="632"/>
      <c r="F194" s="632"/>
    </row>
    <row r="195" spans="5:6" ht="13.8" x14ac:dyDescent="0.2">
      <c r="E195" s="632"/>
      <c r="F195" s="632"/>
    </row>
    <row r="196" spans="5:6" ht="13.8" x14ac:dyDescent="0.2">
      <c r="E196" s="632"/>
      <c r="F196" s="632"/>
    </row>
    <row r="197" spans="5:6" ht="13.8" x14ac:dyDescent="0.2">
      <c r="E197" s="632"/>
      <c r="F197" s="632"/>
    </row>
    <row r="198" spans="5:6" ht="13.8" x14ac:dyDescent="0.2">
      <c r="E198" s="632"/>
      <c r="F198" s="632"/>
    </row>
    <row r="199" spans="5:6" ht="13.8" x14ac:dyDescent="0.2">
      <c r="E199" s="632"/>
      <c r="F199" s="632"/>
    </row>
  </sheetData>
  <mergeCells count="15">
    <mergeCell ref="B2:H2"/>
    <mergeCell ref="I2:J4"/>
    <mergeCell ref="B3:H3"/>
    <mergeCell ref="B4:H4"/>
    <mergeCell ref="A5:A7"/>
    <mergeCell ref="B5:B7"/>
    <mergeCell ref="C5:J5"/>
    <mergeCell ref="I6:I7"/>
    <mergeCell ref="J6:J7"/>
    <mergeCell ref="C6:C7"/>
    <mergeCell ref="D6:D7"/>
    <mergeCell ref="E6:E7"/>
    <mergeCell ref="F6:F7"/>
    <mergeCell ref="G6:G7"/>
    <mergeCell ref="H6:H7"/>
  </mergeCells>
  <printOptions horizontalCentered="1"/>
  <pageMargins left="0.70866141732283472" right="0.31496062992125984" top="0.63" bottom="0.55118110236220474" header="0.31496062992125984" footer="0.31496062992125984"/>
  <pageSetup paperSize="9" scale="65" orientation="portrait" r:id="rId1"/>
  <rowBreaks count="1" manualBreakCount="1">
    <brk id="95" max="17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U206"/>
  <sheetViews>
    <sheetView view="pageBreakPreview" zoomScale="85" zoomScaleNormal="100" zoomScaleSheetLayoutView="85" workbookViewId="0">
      <pane ySplit="7" topLeftCell="A127" activePane="bottomLeft" state="frozen"/>
      <selection pane="bottomLeft" activeCell="B17" sqref="B17"/>
    </sheetView>
  </sheetViews>
  <sheetFormatPr baseColWidth="10" defaultColWidth="11.5546875" defaultRowHeight="10.199999999999999" outlineLevelRow="2" outlineLevelCol="1" x14ac:dyDescent="0.2"/>
  <cols>
    <col min="1" max="1" width="16.88671875" style="171" customWidth="1"/>
    <col min="2" max="2" width="47.88671875" style="225" customWidth="1"/>
    <col min="3" max="3" width="10" style="171" customWidth="1"/>
    <col min="4" max="4" width="8.6640625" style="171" customWidth="1"/>
    <col min="5" max="5" width="10.33203125" style="210" hidden="1" customWidth="1" outlineLevel="1"/>
    <col min="6" max="6" width="10.6640625" style="171" hidden="1" customWidth="1" outlineLevel="1"/>
    <col min="7" max="7" width="10.6640625" style="210" hidden="1" customWidth="1" outlineLevel="1"/>
    <col min="8" max="8" width="10.6640625" style="171" hidden="1" customWidth="1" outlineLevel="1"/>
    <col min="9" max="9" width="11.33203125" style="171" customWidth="1" collapsed="1"/>
    <col min="10" max="10" width="14.6640625" style="171" customWidth="1"/>
    <col min="11" max="11" width="6.77734375" style="167" customWidth="1" outlineLevel="1"/>
    <col min="12" max="12" width="12.77734375" style="167" customWidth="1" outlineLevel="1"/>
    <col min="13" max="13" width="6.77734375" style="167" customWidth="1" outlineLevel="1"/>
    <col min="14" max="14" width="12.77734375" style="167" customWidth="1" outlineLevel="1"/>
    <col min="15" max="15" width="6.77734375" style="167" customWidth="1" outlineLevel="1"/>
    <col min="16" max="16" width="12.77734375" style="167" customWidth="1" outlineLevel="1"/>
    <col min="17" max="17" width="6.77734375" style="167" customWidth="1" outlineLevel="1"/>
    <col min="18" max="18" width="12.77734375" style="167" customWidth="1" outlineLevel="1"/>
    <col min="19" max="19" width="12.77734375" style="167" customWidth="1"/>
    <col min="20" max="20" width="14.5546875" style="167" bestFit="1" customWidth="1"/>
    <col min="21" max="16384" width="11.5546875" style="167"/>
  </cols>
  <sheetData>
    <row r="1" spans="1:18" ht="28.2" customHeight="1" x14ac:dyDescent="0.2">
      <c r="A1" s="778" t="s">
        <v>995</v>
      </c>
      <c r="B1" s="779"/>
      <c r="C1" s="779"/>
      <c r="D1" s="779"/>
      <c r="E1" s="779"/>
      <c r="F1" s="779"/>
      <c r="G1" s="779"/>
      <c r="H1" s="779"/>
      <c r="I1" s="779"/>
      <c r="J1" s="779"/>
      <c r="K1" s="779"/>
      <c r="L1" s="779"/>
      <c r="M1" s="779"/>
      <c r="N1" s="779"/>
      <c r="O1" s="779"/>
      <c r="P1" s="779"/>
      <c r="Q1" s="779"/>
      <c r="R1" s="779"/>
    </row>
    <row r="2" spans="1:18" s="230" customFormat="1" ht="24" customHeight="1" outlineLevel="1" x14ac:dyDescent="0.25">
      <c r="A2" s="266" t="s">
        <v>367</v>
      </c>
      <c r="B2" s="764"/>
      <c r="C2" s="765"/>
      <c r="D2" s="765"/>
      <c r="E2" s="765"/>
      <c r="F2" s="765"/>
      <c r="G2" s="765"/>
      <c r="H2" s="766"/>
      <c r="I2" s="767"/>
      <c r="J2" s="767"/>
    </row>
    <row r="3" spans="1:18" s="230" customFormat="1" ht="27.6" customHeight="1" outlineLevel="1" x14ac:dyDescent="0.25">
      <c r="A3" s="266" t="s">
        <v>433</v>
      </c>
      <c r="B3" s="768"/>
      <c r="C3" s="769"/>
      <c r="D3" s="769"/>
      <c r="E3" s="769"/>
      <c r="F3" s="769"/>
      <c r="G3" s="769"/>
      <c r="H3" s="770"/>
      <c r="I3" s="767"/>
      <c r="J3" s="767"/>
    </row>
    <row r="4" spans="1:18" s="230" customFormat="1" ht="26.4" customHeight="1" outlineLevel="1" x14ac:dyDescent="0.25">
      <c r="A4" s="266" t="s">
        <v>52</v>
      </c>
      <c r="B4" s="768"/>
      <c r="C4" s="769"/>
      <c r="D4" s="769"/>
      <c r="E4" s="769"/>
      <c r="F4" s="769"/>
      <c r="G4" s="769"/>
      <c r="H4" s="770"/>
      <c r="I4" s="767"/>
      <c r="J4" s="767"/>
    </row>
    <row r="5" spans="1:18" s="230" customFormat="1" ht="19.95" customHeight="1" outlineLevel="1" x14ac:dyDescent="0.25">
      <c r="A5" s="771" t="s">
        <v>210</v>
      </c>
      <c r="B5" s="771" t="s">
        <v>437</v>
      </c>
      <c r="C5" s="774" t="s">
        <v>436</v>
      </c>
      <c r="D5" s="775"/>
      <c r="E5" s="775"/>
      <c r="F5" s="775"/>
      <c r="G5" s="775"/>
      <c r="H5" s="775"/>
      <c r="I5" s="775"/>
      <c r="J5" s="776"/>
      <c r="K5" s="774" t="s">
        <v>446</v>
      </c>
      <c r="L5" s="775"/>
      <c r="M5" s="775"/>
      <c r="N5" s="775"/>
      <c r="O5" s="775"/>
      <c r="P5" s="776"/>
      <c r="Q5" s="780" t="s">
        <v>443</v>
      </c>
      <c r="R5" s="781"/>
    </row>
    <row r="6" spans="1:18" ht="19.95" customHeight="1" x14ac:dyDescent="0.2">
      <c r="A6" s="772"/>
      <c r="B6" s="772"/>
      <c r="C6" s="777" t="s">
        <v>2</v>
      </c>
      <c r="D6" s="777" t="s">
        <v>3</v>
      </c>
      <c r="E6" s="777" t="s">
        <v>245</v>
      </c>
      <c r="F6" s="777" t="s">
        <v>246</v>
      </c>
      <c r="G6" s="777" t="s">
        <v>247</v>
      </c>
      <c r="H6" s="777" t="s">
        <v>248</v>
      </c>
      <c r="I6" s="777" t="s">
        <v>4</v>
      </c>
      <c r="J6" s="777" t="s">
        <v>249</v>
      </c>
      <c r="K6" s="774" t="s">
        <v>438</v>
      </c>
      <c r="L6" s="776"/>
      <c r="M6" s="774" t="s">
        <v>445</v>
      </c>
      <c r="N6" s="776"/>
      <c r="O6" s="774" t="s">
        <v>444</v>
      </c>
      <c r="P6" s="776"/>
      <c r="Q6" s="782"/>
      <c r="R6" s="783"/>
    </row>
    <row r="7" spans="1:18" ht="19.95" customHeight="1" x14ac:dyDescent="0.2">
      <c r="A7" s="773"/>
      <c r="B7" s="773"/>
      <c r="C7" s="777"/>
      <c r="D7" s="777" t="s">
        <v>250</v>
      </c>
      <c r="E7" s="777"/>
      <c r="F7" s="777"/>
      <c r="G7" s="777"/>
      <c r="H7" s="777"/>
      <c r="I7" s="777"/>
      <c r="J7" s="777"/>
      <c r="K7" s="402" t="s">
        <v>439</v>
      </c>
      <c r="L7" s="402" t="s">
        <v>440</v>
      </c>
      <c r="M7" s="402" t="s">
        <v>439</v>
      </c>
      <c r="N7" s="402" t="s">
        <v>440</v>
      </c>
      <c r="O7" s="402" t="s">
        <v>439</v>
      </c>
      <c r="P7" s="402" t="s">
        <v>440</v>
      </c>
      <c r="Q7" s="402" t="s">
        <v>439</v>
      </c>
      <c r="R7" s="402" t="s">
        <v>440</v>
      </c>
    </row>
    <row r="8" spans="1:18" ht="21" customHeight="1" x14ac:dyDescent="0.2">
      <c r="A8" s="168" t="str">
        <f>+'O. GRUESA'!A7</f>
        <v>01.00.00.00</v>
      </c>
      <c r="B8" s="221" t="str">
        <f>+'O. GRUESA'!B7</f>
        <v>OBRAS PROVISIONALES, TRABAJOS PRELIMINARES, SEGURIDAD Y SALUD</v>
      </c>
      <c r="C8" s="213"/>
      <c r="D8" s="395"/>
      <c r="E8" s="371"/>
      <c r="F8" s="414">
        <f>+F9+F14+F20</f>
        <v>8112.8420033333332</v>
      </c>
      <c r="G8" s="371"/>
      <c r="H8" s="414">
        <f>+H9+H14+H20</f>
        <v>15358.889500000001</v>
      </c>
      <c r="I8" s="168"/>
      <c r="J8" s="414">
        <f>+J9+J14+J20</f>
        <v>46869.445155343179</v>
      </c>
      <c r="K8" s="414"/>
      <c r="L8" s="414">
        <f>+L9+L14+L20</f>
        <v>0</v>
      </c>
      <c r="M8" s="414"/>
      <c r="N8" s="414">
        <f>+N9+N14+N20</f>
        <v>14338.630982914483</v>
      </c>
      <c r="O8" s="414"/>
      <c r="P8" s="414">
        <f>+P9+P14+P20</f>
        <v>14338.630982914483</v>
      </c>
      <c r="Q8" s="414"/>
      <c r="R8" s="414">
        <f>+R9+R14+R20</f>
        <v>32521.359991145262</v>
      </c>
    </row>
    <row r="9" spans="1:18" ht="12" customHeight="1" x14ac:dyDescent="0.2">
      <c r="A9" s="219" t="str">
        <f>+'O. GRUESA'!A8</f>
        <v>01.01.00.00</v>
      </c>
      <c r="B9" s="223" t="str">
        <f>+'O. GRUESA'!B8</f>
        <v>OBRAS PROVISIONALES</v>
      </c>
      <c r="C9" s="220"/>
      <c r="D9" s="382"/>
      <c r="E9" s="372"/>
      <c r="F9" s="415">
        <f>SUM(F10:F13)</f>
        <v>1167.2650000000001</v>
      </c>
      <c r="G9" s="372"/>
      <c r="H9" s="415">
        <f>SUM(H10:H13)</f>
        <v>9699.3875000000007</v>
      </c>
      <c r="I9" s="219"/>
      <c r="J9" s="415">
        <f>+RESUMEN!C4</f>
        <v>10876.106681283431</v>
      </c>
      <c r="K9" s="415"/>
      <c r="L9" s="415">
        <f>SUM(L10:L13)</f>
        <v>0</v>
      </c>
      <c r="M9" s="415"/>
      <c r="N9" s="415">
        <f>SUM(N10:N13)</f>
        <v>8266.6525000000001</v>
      </c>
      <c r="O9" s="415"/>
      <c r="P9" s="415">
        <f>SUM(P10:P13)</f>
        <v>8266.6525000000001</v>
      </c>
      <c r="Q9" s="415"/>
      <c r="R9" s="415">
        <f>SUM(R10:R13)</f>
        <v>2600</v>
      </c>
    </row>
    <row r="10" spans="1:18" ht="12" customHeight="1" outlineLevel="1" x14ac:dyDescent="0.2">
      <c r="A10" s="169" t="s">
        <v>332</v>
      </c>
      <c r="B10" s="222" t="str">
        <f>+'O. GRUESA'!B9</f>
        <v>TRANSPORTE DE EQUIPOS Y HERRAMIENTAS</v>
      </c>
      <c r="C10" s="169" t="str">
        <f>+'O. GRUESA'!D9</f>
        <v>glb</v>
      </c>
      <c r="D10" s="376">
        <f>+'O. GRUESA'!J9</f>
        <v>1</v>
      </c>
      <c r="E10" s="377">
        <v>1000</v>
      </c>
      <c r="F10" s="368">
        <f>D10*E10</f>
        <v>1000</v>
      </c>
      <c r="G10" s="377">
        <v>1000</v>
      </c>
      <c r="H10" s="369">
        <f t="shared" ref="H10:H18" si="0">D10*G10</f>
        <v>1000</v>
      </c>
      <c r="I10" s="370">
        <f>+E10+G10</f>
        <v>2000</v>
      </c>
      <c r="J10" s="417">
        <f>D10*I10</f>
        <v>2000</v>
      </c>
      <c r="K10" s="418"/>
      <c r="L10" s="427">
        <f>+J10*K10</f>
        <v>0</v>
      </c>
      <c r="M10" s="419">
        <v>0.5</v>
      </c>
      <c r="N10" s="420">
        <f>+M10*J10</f>
        <v>1000</v>
      </c>
      <c r="O10" s="425">
        <f>+K10+M10</f>
        <v>0.5</v>
      </c>
      <c r="P10" s="426">
        <f>+N10+L10</f>
        <v>1000</v>
      </c>
      <c r="Q10" s="421">
        <f>100%-O10</f>
        <v>0.5</v>
      </c>
      <c r="R10" s="420">
        <f>+J10-P10</f>
        <v>1000</v>
      </c>
    </row>
    <row r="11" spans="1:18" ht="12" customHeight="1" outlineLevel="1" x14ac:dyDescent="0.2">
      <c r="A11" s="169" t="s">
        <v>333</v>
      </c>
      <c r="B11" s="222" t="str">
        <f>+'O. GRUESA'!B12</f>
        <v>CERCO PERIMETRICO PROVISIONAL</v>
      </c>
      <c r="C11" s="169" t="str">
        <f>+'O. GRUESA'!D12</f>
        <v>ml</v>
      </c>
      <c r="D11" s="376">
        <f>+'O. GRUESA'!J12</f>
        <v>30</v>
      </c>
      <c r="E11" s="377">
        <v>0</v>
      </c>
      <c r="F11" s="368">
        <f>D11*E11</f>
        <v>0</v>
      </c>
      <c r="G11" s="377">
        <v>157.89625000000001</v>
      </c>
      <c r="H11" s="369">
        <f>D11*G11</f>
        <v>4736.8875000000007</v>
      </c>
      <c r="I11" s="370">
        <f>+E11+G11</f>
        <v>157.89625000000001</v>
      </c>
      <c r="J11" s="417">
        <f>D11*I11</f>
        <v>4736.8875000000007</v>
      </c>
      <c r="K11" s="418"/>
      <c r="L11" s="427">
        <f>+J11*K11</f>
        <v>0</v>
      </c>
      <c r="M11" s="419">
        <v>1</v>
      </c>
      <c r="N11" s="420">
        <f>+M11*J11</f>
        <v>4736.8875000000007</v>
      </c>
      <c r="O11" s="425">
        <f>+K11+M11</f>
        <v>1</v>
      </c>
      <c r="P11" s="426">
        <f>+N11+L11</f>
        <v>4736.8875000000007</v>
      </c>
      <c r="Q11" s="421">
        <f>100%-O11</f>
        <v>0</v>
      </c>
      <c r="R11" s="420">
        <f>+J11-P11</f>
        <v>0</v>
      </c>
    </row>
    <row r="12" spans="1:18" ht="12" customHeight="1" outlineLevel="1" x14ac:dyDescent="0.2">
      <c r="A12" s="169" t="s">
        <v>336</v>
      </c>
      <c r="B12" s="275" t="str">
        <f>+'O. GRUESA'!B15</f>
        <v>PROTECCIÓN CON MALLA RASCHELL</v>
      </c>
      <c r="C12" s="169" t="str">
        <f>+'O. GRUESA'!D15</f>
        <v>ml</v>
      </c>
      <c r="D12" s="376">
        <f>+'O. GRUESA'!J15</f>
        <v>180</v>
      </c>
      <c r="E12" s="377">
        <v>0.92925000000000002</v>
      </c>
      <c r="F12" s="368">
        <f>D12*E12</f>
        <v>167.26500000000001</v>
      </c>
      <c r="G12" s="377">
        <v>13.125</v>
      </c>
      <c r="H12" s="369">
        <f>D12*G12</f>
        <v>2362.5</v>
      </c>
      <c r="I12" s="370">
        <f>+E12+G12</f>
        <v>14.05425</v>
      </c>
      <c r="J12" s="417">
        <f>D12*I12</f>
        <v>2529.7649999999999</v>
      </c>
      <c r="K12" s="418"/>
      <c r="L12" s="427">
        <f>+J12*K12</f>
        <v>0</v>
      </c>
      <c r="M12" s="419">
        <v>1</v>
      </c>
      <c r="N12" s="420">
        <f>+M12*J12</f>
        <v>2529.7649999999999</v>
      </c>
      <c r="O12" s="425">
        <f>+K12+M12</f>
        <v>1</v>
      </c>
      <c r="P12" s="426">
        <f>+N12+L12</f>
        <v>2529.7649999999999</v>
      </c>
      <c r="Q12" s="421">
        <f>100%-O12</f>
        <v>0</v>
      </c>
      <c r="R12" s="420">
        <f>+J12-P12</f>
        <v>0</v>
      </c>
    </row>
    <row r="13" spans="1:18" ht="12" customHeight="1" outlineLevel="1" x14ac:dyDescent="0.2">
      <c r="A13" s="169" t="s">
        <v>334</v>
      </c>
      <c r="B13" s="222" t="str">
        <f>+'O. GRUESA'!B21</f>
        <v>ALQUILER DE BAÑO PROVISIONAL</v>
      </c>
      <c r="C13" s="169" t="str">
        <f>+'O. GRUESA'!D21</f>
        <v>mes</v>
      </c>
      <c r="D13" s="376">
        <f>+'O. GRUESA'!J21</f>
        <v>4</v>
      </c>
      <c r="E13" s="377">
        <v>0</v>
      </c>
      <c r="F13" s="368">
        <f>D13*E13</f>
        <v>0</v>
      </c>
      <c r="G13" s="377">
        <v>400</v>
      </c>
      <c r="H13" s="369">
        <f>D13*G13</f>
        <v>1600</v>
      </c>
      <c r="I13" s="370">
        <f>+E13+G13</f>
        <v>400</v>
      </c>
      <c r="J13" s="417">
        <f>D13*I13</f>
        <v>1600</v>
      </c>
      <c r="K13" s="418"/>
      <c r="L13" s="427">
        <f>+J13*K13</f>
        <v>0</v>
      </c>
      <c r="M13" s="419"/>
      <c r="N13" s="420">
        <f>+M13*J13</f>
        <v>0</v>
      </c>
      <c r="O13" s="425">
        <f>+K13+M13</f>
        <v>0</v>
      </c>
      <c r="P13" s="426">
        <f>+N13+L13</f>
        <v>0</v>
      </c>
      <c r="Q13" s="421">
        <f>100%-O13</f>
        <v>1</v>
      </c>
      <c r="R13" s="420">
        <f>+J13-P13</f>
        <v>1600</v>
      </c>
    </row>
    <row r="14" spans="1:18" ht="12" customHeight="1" x14ac:dyDescent="0.2">
      <c r="A14" s="219" t="str">
        <f>+'O. GRUESA'!A24</f>
        <v>01.02.00.00</v>
      </c>
      <c r="B14" s="223" t="str">
        <f>+'O. GRUESA'!B24</f>
        <v>DEMOLICIÓN Y TRABAJOS PRELIMINARES</v>
      </c>
      <c r="C14" s="220"/>
      <c r="D14" s="382"/>
      <c r="E14" s="372"/>
      <c r="F14" s="415">
        <f>SUM(F15:F19)</f>
        <v>3345.5770033333333</v>
      </c>
      <c r="G14" s="372"/>
      <c r="H14" s="415">
        <f>SUM(H15:H19)</f>
        <v>3209.502</v>
      </c>
      <c r="I14" s="219"/>
      <c r="J14" s="415">
        <f>+RESUMEN!C5</f>
        <v>28571.359991145262</v>
      </c>
      <c r="K14" s="415"/>
      <c r="L14" s="415">
        <f>SUM(L15:L19)</f>
        <v>0</v>
      </c>
      <c r="M14" s="415"/>
      <c r="N14" s="415">
        <f>SUM(N15:N19)</f>
        <v>3000</v>
      </c>
      <c r="O14" s="415"/>
      <c r="P14" s="415">
        <f>SUM(P15:P19)</f>
        <v>3000</v>
      </c>
      <c r="Q14" s="415"/>
      <c r="R14" s="415">
        <f>SUM(R15:R19)</f>
        <v>25571.359991145262</v>
      </c>
    </row>
    <row r="15" spans="1:18" ht="12" customHeight="1" outlineLevel="1" x14ac:dyDescent="0.2">
      <c r="A15" s="169" t="s">
        <v>341</v>
      </c>
      <c r="B15" s="275" t="str">
        <f>+'O. GRUESA'!B25</f>
        <v>DESMONTAJE Y ACARREO DE MATERIAL</v>
      </c>
      <c r="C15" s="169" t="str">
        <f>+'O. GRUESA'!D25</f>
        <v>glb</v>
      </c>
      <c r="D15" s="367">
        <f>+'O. GRUESA'!J25</f>
        <v>1</v>
      </c>
      <c r="E15" s="377">
        <v>1500</v>
      </c>
      <c r="F15" s="368">
        <f>D15*E15</f>
        <v>1500</v>
      </c>
      <c r="G15" s="377">
        <v>0</v>
      </c>
      <c r="H15" s="369">
        <f t="shared" si="0"/>
        <v>0</v>
      </c>
      <c r="I15" s="370">
        <v>3000</v>
      </c>
      <c r="J15" s="417">
        <f>D15*I15</f>
        <v>3000</v>
      </c>
      <c r="K15" s="418"/>
      <c r="L15" s="427">
        <f>+J15*K15</f>
        <v>0</v>
      </c>
      <c r="M15" s="419">
        <v>1</v>
      </c>
      <c r="N15" s="420">
        <f>+M15*J15</f>
        <v>3000</v>
      </c>
      <c r="O15" s="425">
        <f>+K15+M15</f>
        <v>1</v>
      </c>
      <c r="P15" s="426">
        <f>+N15+L15</f>
        <v>3000</v>
      </c>
      <c r="Q15" s="421">
        <f t="shared" ref="Q15:Q30" si="1">100%-O15</f>
        <v>0</v>
      </c>
      <c r="R15" s="420">
        <f>+J15-P15</f>
        <v>0</v>
      </c>
    </row>
    <row r="16" spans="1:18" ht="12" customHeight="1" outlineLevel="1" x14ac:dyDescent="0.2">
      <c r="A16" s="169" t="s">
        <v>342</v>
      </c>
      <c r="B16" s="275" t="s">
        <v>781</v>
      </c>
      <c r="C16" s="169" t="s">
        <v>23</v>
      </c>
      <c r="D16" s="367">
        <v>1</v>
      </c>
      <c r="E16" s="377">
        <v>0</v>
      </c>
      <c r="F16" s="368">
        <f>D16*E16</f>
        <v>0</v>
      </c>
      <c r="G16" s="377">
        <v>0</v>
      </c>
      <c r="H16" s="369">
        <f t="shared" si="0"/>
        <v>0</v>
      </c>
      <c r="I16" s="370">
        <v>2500</v>
      </c>
      <c r="J16" s="417">
        <f>D16*I16</f>
        <v>2500</v>
      </c>
      <c r="K16" s="418"/>
      <c r="L16" s="427">
        <f>+J16*K16</f>
        <v>0</v>
      </c>
      <c r="M16" s="419"/>
      <c r="N16" s="420">
        <f>+M16*J16</f>
        <v>0</v>
      </c>
      <c r="O16" s="425">
        <f>+K16+M16</f>
        <v>0</v>
      </c>
      <c r="P16" s="426">
        <f>+N16+L16</f>
        <v>0</v>
      </c>
      <c r="Q16" s="421">
        <f t="shared" si="1"/>
        <v>1</v>
      </c>
      <c r="R16" s="420">
        <f>+J16-P16</f>
        <v>2500</v>
      </c>
    </row>
    <row r="17" spans="1:18" ht="12" customHeight="1" outlineLevel="1" x14ac:dyDescent="0.2">
      <c r="A17" s="169" t="s">
        <v>343</v>
      </c>
      <c r="B17" s="275" t="s">
        <v>782</v>
      </c>
      <c r="C17" s="169" t="str">
        <f>+'O. GRUESA'!D28</f>
        <v>glb</v>
      </c>
      <c r="D17" s="367">
        <f>+'O. GRUESA'!J28</f>
        <v>1</v>
      </c>
      <c r="E17" s="377">
        <v>0</v>
      </c>
      <c r="F17" s="368">
        <f>D17*E17</f>
        <v>0</v>
      </c>
      <c r="G17" s="377">
        <v>0</v>
      </c>
      <c r="H17" s="369">
        <f>D17*G17</f>
        <v>0</v>
      </c>
      <c r="I17" s="370">
        <v>18000</v>
      </c>
      <c r="J17" s="417">
        <f>D17*I17</f>
        <v>18000</v>
      </c>
      <c r="K17" s="418"/>
      <c r="L17" s="427">
        <f>+J17*K17</f>
        <v>0</v>
      </c>
      <c r="M17" s="419"/>
      <c r="N17" s="420">
        <f>+M17*J17</f>
        <v>0</v>
      </c>
      <c r="O17" s="425">
        <f>+K17+M17</f>
        <v>0</v>
      </c>
      <c r="P17" s="426">
        <f>+N17+L17</f>
        <v>0</v>
      </c>
      <c r="Q17" s="421">
        <f>100%-O17</f>
        <v>1</v>
      </c>
      <c r="R17" s="420">
        <f>+J17-P17</f>
        <v>18000</v>
      </c>
    </row>
    <row r="18" spans="1:18" ht="12" customHeight="1" outlineLevel="1" x14ac:dyDescent="0.2">
      <c r="A18" s="169" t="s">
        <v>344</v>
      </c>
      <c r="B18" s="275" t="str">
        <f>+'O. GRUESA'!B34</f>
        <v>ELIMINACIÓN DE ESCOMBROS, DESMONTE</v>
      </c>
      <c r="C18" s="169" t="str">
        <f>+'O. GRUESA'!D34</f>
        <v>glb</v>
      </c>
      <c r="D18" s="367">
        <f>+'O. GRUESA'!J34</f>
        <v>1</v>
      </c>
      <c r="E18" s="377">
        <v>0</v>
      </c>
      <c r="F18" s="368">
        <f>D18*E18</f>
        <v>0</v>
      </c>
      <c r="G18" s="377">
        <v>3000</v>
      </c>
      <c r="H18" s="369">
        <f t="shared" si="0"/>
        <v>3000</v>
      </c>
      <c r="I18" s="370">
        <v>3000</v>
      </c>
      <c r="J18" s="417">
        <f>D18*I18</f>
        <v>3000</v>
      </c>
      <c r="K18" s="418"/>
      <c r="L18" s="427">
        <f>+J18*K18</f>
        <v>0</v>
      </c>
      <c r="M18" s="419"/>
      <c r="N18" s="420">
        <f>+M18*J18</f>
        <v>0</v>
      </c>
      <c r="O18" s="425">
        <f>+K18+M18</f>
        <v>0</v>
      </c>
      <c r="P18" s="426">
        <f>+N18+L18</f>
        <v>0</v>
      </c>
      <c r="Q18" s="421">
        <f t="shared" si="1"/>
        <v>1</v>
      </c>
      <c r="R18" s="420">
        <f>+J18-P18</f>
        <v>3000</v>
      </c>
    </row>
    <row r="19" spans="1:18" ht="12" customHeight="1" outlineLevel="1" x14ac:dyDescent="0.2">
      <c r="A19" s="169" t="s">
        <v>345</v>
      </c>
      <c r="B19" s="275" t="str">
        <f>+'O. GRUESA'!B40</f>
        <v>TRAZADO Y REPLANTEO S/EQUIPO</v>
      </c>
      <c r="C19" s="169" t="str">
        <f>+'O. GRUESA'!D40</f>
        <v>m2</v>
      </c>
      <c r="D19" s="367">
        <v>206</v>
      </c>
      <c r="E19" s="377">
        <v>8.9591116666666668</v>
      </c>
      <c r="F19" s="368">
        <f>D19*E19</f>
        <v>1845.5770033333333</v>
      </c>
      <c r="G19" s="377">
        <v>1.0170000000000001</v>
      </c>
      <c r="H19" s="369">
        <f>D19*G19</f>
        <v>209.50200000000004</v>
      </c>
      <c r="I19" s="370">
        <f>+J19/D19</f>
        <v>10.055145588083796</v>
      </c>
      <c r="J19" s="417">
        <f>+J14-SUM(J15:J18)</f>
        <v>2071.359991145262</v>
      </c>
      <c r="K19" s="418"/>
      <c r="L19" s="427">
        <f>+J19*K19</f>
        <v>0</v>
      </c>
      <c r="M19" s="419"/>
      <c r="N19" s="420">
        <f>+M19*J19</f>
        <v>0</v>
      </c>
      <c r="O19" s="425">
        <f>+K19+M19</f>
        <v>0</v>
      </c>
      <c r="P19" s="426">
        <f>+N19+L19</f>
        <v>0</v>
      </c>
      <c r="Q19" s="421">
        <f>100%-O19</f>
        <v>1</v>
      </c>
      <c r="R19" s="420">
        <f>+J19-P19</f>
        <v>2071.359991145262</v>
      </c>
    </row>
    <row r="20" spans="1:18" ht="12" customHeight="1" x14ac:dyDescent="0.2">
      <c r="A20" s="219" t="str">
        <f>+'O. GRUESA'!A43</f>
        <v>01.03.00.00</v>
      </c>
      <c r="B20" s="277" t="str">
        <f>+'O. GRUESA'!B43</f>
        <v>SEGURIDAD Y SALUD</v>
      </c>
      <c r="C20" s="219"/>
      <c r="D20" s="219"/>
      <c r="E20" s="372"/>
      <c r="F20" s="415">
        <f>SUM(F21:F24)</f>
        <v>3600</v>
      </c>
      <c r="G20" s="372"/>
      <c r="H20" s="415">
        <f>SUM(H21:H24)</f>
        <v>2450</v>
      </c>
      <c r="I20" s="219"/>
      <c r="J20" s="415">
        <f>+RESUMEN!C7</f>
        <v>7421.9784829144828</v>
      </c>
      <c r="K20" s="415"/>
      <c r="L20" s="415">
        <f>SUM(L21:L24)</f>
        <v>0</v>
      </c>
      <c r="M20" s="415"/>
      <c r="N20" s="415">
        <f>SUM(N21:N24)</f>
        <v>3071.9784829144828</v>
      </c>
      <c r="O20" s="415"/>
      <c r="P20" s="415">
        <f>SUM(P21:P24)</f>
        <v>3071.9784829144828</v>
      </c>
      <c r="Q20" s="415"/>
      <c r="R20" s="415">
        <f>SUM(R21:R24)</f>
        <v>4350</v>
      </c>
    </row>
    <row r="21" spans="1:18" ht="12" customHeight="1" outlineLevel="1" x14ac:dyDescent="0.2">
      <c r="A21" s="169" t="str">
        <f>+'O. GRUESA'!A44</f>
        <v>01.03.01.00</v>
      </c>
      <c r="B21" s="275" t="str">
        <f>+'O. GRUESA'!B44</f>
        <v>EQUIPOS DE PROTECCIÓN INDIVIDUAL</v>
      </c>
      <c r="C21" s="169" t="str">
        <f>+'O. GRUESA'!D44</f>
        <v>und</v>
      </c>
      <c r="D21" s="367">
        <v>30</v>
      </c>
      <c r="E21" s="377">
        <v>120</v>
      </c>
      <c r="F21" s="368">
        <f>D21*E21</f>
        <v>3600</v>
      </c>
      <c r="G21" s="377">
        <v>30</v>
      </c>
      <c r="H21" s="369">
        <f>D21*G21</f>
        <v>900</v>
      </c>
      <c r="I21" s="370">
        <f>+E21+G21</f>
        <v>150</v>
      </c>
      <c r="J21" s="417">
        <f>D21*I21</f>
        <v>4500</v>
      </c>
      <c r="K21" s="418"/>
      <c r="L21" s="427">
        <f>+J21*K21</f>
        <v>0</v>
      </c>
      <c r="M21" s="419">
        <v>0.3</v>
      </c>
      <c r="N21" s="420">
        <f>+M21*J21</f>
        <v>1350</v>
      </c>
      <c r="O21" s="425">
        <f>+K21+M21</f>
        <v>0.3</v>
      </c>
      <c r="P21" s="426">
        <f>+N21+L21</f>
        <v>1350</v>
      </c>
      <c r="Q21" s="421">
        <f>100%-O21</f>
        <v>0.7</v>
      </c>
      <c r="R21" s="420">
        <f>+J21-P21</f>
        <v>3150</v>
      </c>
    </row>
    <row r="22" spans="1:18" ht="12" customHeight="1" outlineLevel="1" x14ac:dyDescent="0.2">
      <c r="A22" s="169" t="str">
        <f>+'O. GRUESA'!A47</f>
        <v>01.03.02.00</v>
      </c>
      <c r="B22" s="275" t="str">
        <f>+'O. GRUESA'!B47</f>
        <v>EQUIPOS DE PROTECCIÓN COLECTIVA</v>
      </c>
      <c r="C22" s="169" t="str">
        <f>+'O. GRUESA'!D47</f>
        <v>glb</v>
      </c>
      <c r="D22" s="367">
        <f>+'O. GRUESA'!J47</f>
        <v>1</v>
      </c>
      <c r="E22" s="377">
        <v>0</v>
      </c>
      <c r="F22" s="368">
        <f>D22*E22</f>
        <v>0</v>
      </c>
      <c r="G22" s="377">
        <v>500</v>
      </c>
      <c r="H22" s="369">
        <f>D22*G22</f>
        <v>500</v>
      </c>
      <c r="I22" s="370">
        <f>+J22</f>
        <v>1071.9784829144828</v>
      </c>
      <c r="J22" s="417">
        <f>+J20-J21-J23-J24</f>
        <v>1071.9784829144828</v>
      </c>
      <c r="K22" s="418"/>
      <c r="L22" s="427">
        <f>+J22*K22</f>
        <v>0</v>
      </c>
      <c r="M22" s="419">
        <v>1</v>
      </c>
      <c r="N22" s="420">
        <f>+M22*J22</f>
        <v>1071.9784829144828</v>
      </c>
      <c r="O22" s="425">
        <f>+K22+M22</f>
        <v>1</v>
      </c>
      <c r="P22" s="426">
        <f>+N22+L22</f>
        <v>1071.9784829144828</v>
      </c>
      <c r="Q22" s="421">
        <f>100%-O22</f>
        <v>0</v>
      </c>
      <c r="R22" s="420">
        <f>+J22-P22</f>
        <v>0</v>
      </c>
    </row>
    <row r="23" spans="1:18" ht="12" customHeight="1" outlineLevel="1" x14ac:dyDescent="0.2">
      <c r="A23" s="169" t="str">
        <f>+'O. GRUESA'!A50</f>
        <v>01.03.03.00</v>
      </c>
      <c r="B23" s="275" t="str">
        <f>+'O. GRUESA'!B50</f>
        <v>SEÑALIZACIÓN TEMPORAL DE SEGURIDAD</v>
      </c>
      <c r="C23" s="169" t="str">
        <f>+'O. GRUESA'!D50</f>
        <v>glb</v>
      </c>
      <c r="D23" s="367">
        <f>+'O. GRUESA'!J50</f>
        <v>1</v>
      </c>
      <c r="E23" s="377">
        <v>0</v>
      </c>
      <c r="F23" s="368">
        <f>D23*E23</f>
        <v>0</v>
      </c>
      <c r="G23" s="377">
        <v>250</v>
      </c>
      <c r="H23" s="369">
        <f>D23*G23</f>
        <v>250</v>
      </c>
      <c r="I23" s="370">
        <f>+E23+G23</f>
        <v>250</v>
      </c>
      <c r="J23" s="417">
        <f>D23*I23</f>
        <v>250</v>
      </c>
      <c r="K23" s="418"/>
      <c r="L23" s="427">
        <f>+J23*K23</f>
        <v>0</v>
      </c>
      <c r="M23" s="419">
        <v>1</v>
      </c>
      <c r="N23" s="420">
        <f>+M23*J23</f>
        <v>250</v>
      </c>
      <c r="O23" s="425">
        <f>+K23+M23</f>
        <v>1</v>
      </c>
      <c r="P23" s="426">
        <f>+N23+L23</f>
        <v>250</v>
      </c>
      <c r="Q23" s="421">
        <f>100%-O23</f>
        <v>0</v>
      </c>
      <c r="R23" s="420">
        <f>+J23-P23</f>
        <v>0</v>
      </c>
    </row>
    <row r="24" spans="1:18" ht="12" customHeight="1" outlineLevel="1" x14ac:dyDescent="0.2">
      <c r="A24" s="169" t="str">
        <f>+'O. GRUESA'!A53</f>
        <v>01.03.04.00</v>
      </c>
      <c r="B24" s="275" t="str">
        <f>+'O. GRUESA'!B53</f>
        <v>SEGURO SCTR</v>
      </c>
      <c r="C24" s="169" t="str">
        <f>+'O. GRUESA'!D53</f>
        <v>mes</v>
      </c>
      <c r="D24" s="367">
        <f>+'O. GRUESA'!J53</f>
        <v>4</v>
      </c>
      <c r="E24" s="377">
        <v>0</v>
      </c>
      <c r="F24" s="368">
        <f>D24*E24</f>
        <v>0</v>
      </c>
      <c r="G24" s="377">
        <v>200</v>
      </c>
      <c r="H24" s="369">
        <f>D24*G24</f>
        <v>800</v>
      </c>
      <c r="I24" s="370">
        <v>400</v>
      </c>
      <c r="J24" s="417">
        <f>D24*I24</f>
        <v>1600</v>
      </c>
      <c r="K24" s="418"/>
      <c r="L24" s="427">
        <f>+J24*K24</f>
        <v>0</v>
      </c>
      <c r="M24" s="419">
        <v>0.25</v>
      </c>
      <c r="N24" s="420">
        <f>+M24*J24</f>
        <v>400</v>
      </c>
      <c r="O24" s="425">
        <f>+K24+M24</f>
        <v>0.25</v>
      </c>
      <c r="P24" s="426">
        <f>+N24+L24</f>
        <v>400</v>
      </c>
      <c r="Q24" s="421">
        <f>100%-O24</f>
        <v>0.75</v>
      </c>
      <c r="R24" s="420">
        <f>+J24-P24</f>
        <v>1200</v>
      </c>
    </row>
    <row r="25" spans="1:18" ht="12" customHeight="1" x14ac:dyDescent="0.2">
      <c r="A25" s="168" t="str">
        <f>+'O. GRUESA'!A56</f>
        <v>02.00.00.00</v>
      </c>
      <c r="B25" s="221" t="str">
        <f>+'O. GRUESA'!B56</f>
        <v>MOVIMIENTO DE TIERRAS</v>
      </c>
      <c r="C25" s="213"/>
      <c r="D25" s="395"/>
      <c r="E25" s="371"/>
      <c r="F25" s="414">
        <f>SUM(F26:F30)</f>
        <v>5964.1276866666667</v>
      </c>
      <c r="G25" s="371"/>
      <c r="H25" s="414">
        <f>SUM(H26:H30)</f>
        <v>2253.3181070000001</v>
      </c>
      <c r="I25" s="168"/>
      <c r="J25" s="414">
        <f>+RESUMEN!C6</f>
        <v>7667.9578804386392</v>
      </c>
      <c r="K25" s="414"/>
      <c r="L25" s="414">
        <f>SUM(L26:L30)</f>
        <v>0</v>
      </c>
      <c r="M25" s="414"/>
      <c r="N25" s="414">
        <f>SUM(N26:N30)</f>
        <v>0</v>
      </c>
      <c r="O25" s="414"/>
      <c r="P25" s="414">
        <f>SUM(P26:P30)</f>
        <v>0</v>
      </c>
      <c r="Q25" s="414"/>
      <c r="R25" s="414">
        <f>SUM(R26:R30)</f>
        <v>7667.9578804386401</v>
      </c>
    </row>
    <row r="26" spans="1:18" ht="12" customHeight="1" outlineLevel="1" x14ac:dyDescent="0.2">
      <c r="A26" s="169" t="s">
        <v>861</v>
      </c>
      <c r="B26" s="222" t="str">
        <f>'O. GRUESA'!$B$57</f>
        <v>EXCAVACIÓN MANUAL P/CIMIENTO Y ZAPATA</v>
      </c>
      <c r="C26" s="169" t="str">
        <f>'O. GRUESA'!$D$57</f>
        <v>m3</v>
      </c>
      <c r="D26" s="376">
        <f>'O. GRUESA'!$J$57</f>
        <v>54.704999999999998</v>
      </c>
      <c r="E26" s="377">
        <v>45.888888888888886</v>
      </c>
      <c r="F26" s="368">
        <f>D26*E26</f>
        <v>2510.3516666666665</v>
      </c>
      <c r="G26" s="377">
        <v>1.3766666666666665</v>
      </c>
      <c r="H26" s="369">
        <f>D26*G26</f>
        <v>75.310549999999992</v>
      </c>
      <c r="I26" s="370">
        <f>+J26/D26</f>
        <v>37.220990831526173</v>
      </c>
      <c r="J26" s="417">
        <f>+J25-SUM(J27:J30)</f>
        <v>2036.1743034386391</v>
      </c>
      <c r="K26" s="418"/>
      <c r="L26" s="427">
        <f>+J26*K26</f>
        <v>0</v>
      </c>
      <c r="M26" s="419"/>
      <c r="N26" s="420">
        <f>+M26*J26</f>
        <v>0</v>
      </c>
      <c r="O26" s="425">
        <f>+K26+M26</f>
        <v>0</v>
      </c>
      <c r="P26" s="426">
        <f>+N26+L26</f>
        <v>0</v>
      </c>
      <c r="Q26" s="421">
        <f t="shared" si="1"/>
        <v>1</v>
      </c>
      <c r="R26" s="420">
        <f t="shared" ref="R26:R31" si="2">+J26-P26</f>
        <v>2036.1743034386391</v>
      </c>
    </row>
    <row r="27" spans="1:18" ht="12" customHeight="1" outlineLevel="1" x14ac:dyDescent="0.2">
      <c r="A27" s="169" t="s">
        <v>862</v>
      </c>
      <c r="B27" s="275" t="str">
        <f>+'O. GRUESA'!B74</f>
        <v>COMPACTACIÓN MANUAL P/CIMIENTO Y ZAPATA</v>
      </c>
      <c r="C27" s="169" t="str">
        <f>+'O. GRUESA'!D74</f>
        <v>m2</v>
      </c>
      <c r="D27" s="376">
        <f>+'O. GRUESA'!J74</f>
        <v>33.045000000000009</v>
      </c>
      <c r="E27" s="377">
        <v>23.993333333333332</v>
      </c>
      <c r="F27" s="368">
        <f>D27*E27</f>
        <v>792.8597000000002</v>
      </c>
      <c r="G27" s="377">
        <v>3.1197999999999997</v>
      </c>
      <c r="H27" s="369">
        <f>D27*G27</f>
        <v>103.09379100000001</v>
      </c>
      <c r="I27" s="370">
        <f>+E27+G27</f>
        <v>27.11313333333333</v>
      </c>
      <c r="J27" s="417">
        <f>D27*I27</f>
        <v>895.9534910000001</v>
      </c>
      <c r="K27" s="418"/>
      <c r="L27" s="427">
        <f>+J27*K27</f>
        <v>0</v>
      </c>
      <c r="M27" s="419"/>
      <c r="N27" s="420">
        <f>+M27*J27</f>
        <v>0</v>
      </c>
      <c r="O27" s="425">
        <f>+K27+M27</f>
        <v>0</v>
      </c>
      <c r="P27" s="426">
        <f>+N27+L27</f>
        <v>0</v>
      </c>
      <c r="Q27" s="421">
        <f t="shared" si="1"/>
        <v>1</v>
      </c>
      <c r="R27" s="420">
        <f t="shared" si="2"/>
        <v>895.9534910000001</v>
      </c>
    </row>
    <row r="28" spans="1:18" ht="12" customHeight="1" outlineLevel="1" x14ac:dyDescent="0.2">
      <c r="A28" s="169" t="s">
        <v>729</v>
      </c>
      <c r="B28" s="222" t="str">
        <f>+'O. GRUESA'!B91</f>
        <v>RELLENO COMPACTADO CON MATERIAL PROPIO</v>
      </c>
      <c r="C28" s="169" t="str">
        <f>+'O. GRUESA'!D91</f>
        <v>m3</v>
      </c>
      <c r="D28" s="376">
        <f>+'O. GRUESA'!J91</f>
        <v>28.584</v>
      </c>
      <c r="E28" s="377">
        <v>0.68833333333333324</v>
      </c>
      <c r="F28" s="368">
        <f>D28*E28</f>
        <v>19.675319999999996</v>
      </c>
      <c r="G28" s="377">
        <v>5.034416666666667</v>
      </c>
      <c r="H28" s="369">
        <f>D28*G28</f>
        <v>143.90376600000002</v>
      </c>
      <c r="I28" s="370">
        <f>+E28+G28</f>
        <v>5.7227500000000004</v>
      </c>
      <c r="J28" s="417">
        <f>D28*I28</f>
        <v>163.57908600000002</v>
      </c>
      <c r="K28" s="418"/>
      <c r="L28" s="427">
        <f>+J28*K28</f>
        <v>0</v>
      </c>
      <c r="M28" s="419"/>
      <c r="N28" s="420">
        <f>+M28*J28</f>
        <v>0</v>
      </c>
      <c r="O28" s="425">
        <f>+K28+M28</f>
        <v>0</v>
      </c>
      <c r="P28" s="426">
        <f>+N28+L28</f>
        <v>0</v>
      </c>
      <c r="Q28" s="421">
        <f t="shared" si="1"/>
        <v>1</v>
      </c>
      <c r="R28" s="420">
        <f t="shared" si="2"/>
        <v>163.57908600000002</v>
      </c>
    </row>
    <row r="29" spans="1:18" ht="12" customHeight="1" outlineLevel="1" x14ac:dyDescent="0.2">
      <c r="A29" s="169" t="s">
        <v>730</v>
      </c>
      <c r="B29" s="222" t="str">
        <f>+'O. GRUESA'!B108</f>
        <v>ELIMINACION DE MATERIAL CON MAQUINARIA</v>
      </c>
      <c r="C29" s="169" t="str">
        <f>+'O. GRUESA'!D108</f>
        <v>m3</v>
      </c>
      <c r="D29" s="376">
        <f>+'O. GRUESA'!J108</f>
        <v>54.704999999999998</v>
      </c>
      <c r="E29" s="377">
        <v>7.8666666666666663</v>
      </c>
      <c r="F29" s="368">
        <f>D29*E29</f>
        <v>430.34599999999995</v>
      </c>
      <c r="G29" s="377">
        <v>22</v>
      </c>
      <c r="H29" s="369">
        <f>D29*G29</f>
        <v>1203.51</v>
      </c>
      <c r="I29" s="370">
        <f>+E29+G29</f>
        <v>29.866666666666667</v>
      </c>
      <c r="J29" s="417">
        <f>D29*I29</f>
        <v>1633.856</v>
      </c>
      <c r="K29" s="418"/>
      <c r="L29" s="427">
        <f>+J29*K29</f>
        <v>0</v>
      </c>
      <c r="M29" s="419"/>
      <c r="N29" s="420">
        <f>+M29*J29</f>
        <v>0</v>
      </c>
      <c r="O29" s="425">
        <f>+K29+M29</f>
        <v>0</v>
      </c>
      <c r="P29" s="426">
        <f>+N29+L29</f>
        <v>0</v>
      </c>
      <c r="Q29" s="421">
        <f t="shared" si="1"/>
        <v>1</v>
      </c>
      <c r="R29" s="420">
        <f t="shared" si="2"/>
        <v>1633.856</v>
      </c>
    </row>
    <row r="30" spans="1:18" ht="12" customHeight="1" outlineLevel="1" x14ac:dyDescent="0.2">
      <c r="A30" s="169" t="s">
        <v>731</v>
      </c>
      <c r="B30" s="222" t="str">
        <f>+'O. GRUESA'!B112</f>
        <v>NIVELACION DE TERRENO Y APISONADO C/20 CM.</v>
      </c>
      <c r="C30" s="169" t="str">
        <f>+'O. GRUESA'!D112</f>
        <v>m2</v>
      </c>
      <c r="D30" s="376">
        <f>+'O. GRUESA'!J112</f>
        <v>150</v>
      </c>
      <c r="E30" s="377">
        <v>14.7393</v>
      </c>
      <c r="F30" s="368">
        <f>D30*E30</f>
        <v>2210.895</v>
      </c>
      <c r="G30" s="377">
        <v>4.8499999999999996</v>
      </c>
      <c r="H30" s="369">
        <f>D30*G30</f>
        <v>727.5</v>
      </c>
      <c r="I30" s="370">
        <f>+E30+G30</f>
        <v>19.589300000000001</v>
      </c>
      <c r="J30" s="417">
        <f>D30*I30</f>
        <v>2938.3950000000004</v>
      </c>
      <c r="K30" s="422"/>
      <c r="L30" s="427">
        <f>+J30*K30</f>
        <v>0</v>
      </c>
      <c r="M30" s="419"/>
      <c r="N30" s="420">
        <f>+M30*J30</f>
        <v>0</v>
      </c>
      <c r="O30" s="425">
        <f>+K30+M30</f>
        <v>0</v>
      </c>
      <c r="P30" s="426">
        <f>+N30+L30</f>
        <v>0</v>
      </c>
      <c r="Q30" s="421">
        <f t="shared" si="1"/>
        <v>1</v>
      </c>
      <c r="R30" s="420">
        <f t="shared" si="2"/>
        <v>2938.3950000000004</v>
      </c>
    </row>
    <row r="31" spans="1:18" ht="12" customHeight="1" outlineLevel="1" x14ac:dyDescent="0.2">
      <c r="A31" s="168" t="str">
        <f>+'O. GRUESA'!A116</f>
        <v>03.00.00.00</v>
      </c>
      <c r="B31" s="221" t="str">
        <f>+'O. GRUESA'!B116</f>
        <v>1ER PISO</v>
      </c>
      <c r="C31" s="213"/>
      <c r="D31" s="395"/>
      <c r="E31" s="371"/>
      <c r="F31" s="414">
        <f>+F32+F42+F70+F73</f>
        <v>50087.852741506118</v>
      </c>
      <c r="G31" s="371"/>
      <c r="H31" s="414">
        <f>+H32+H42+H70+H73</f>
        <v>55039.906815905008</v>
      </c>
      <c r="I31" s="168"/>
      <c r="J31" s="414">
        <f>+J32+J42+J70+J73+J82+J90</f>
        <v>129861.17183386424</v>
      </c>
      <c r="K31" s="423"/>
      <c r="L31" s="414">
        <f>SUM(L33:L41)</f>
        <v>0</v>
      </c>
      <c r="M31" s="414"/>
      <c r="N31" s="414">
        <f>SUM(N33:N41)</f>
        <v>0</v>
      </c>
      <c r="O31" s="414"/>
      <c r="P31" s="414">
        <f>SUM(P33:P41)</f>
        <v>0</v>
      </c>
      <c r="Q31" s="414"/>
      <c r="R31" s="414">
        <f t="shared" si="2"/>
        <v>129861.17183386424</v>
      </c>
    </row>
    <row r="32" spans="1:18" ht="12" customHeight="1" outlineLevel="1" collapsed="1" x14ac:dyDescent="0.2">
      <c r="A32" s="219" t="s">
        <v>338</v>
      </c>
      <c r="B32" s="277" t="str">
        <f>+'O. GRUESA'!B117</f>
        <v>CONCRETO SIMPLE</v>
      </c>
      <c r="C32" s="219"/>
      <c r="D32" s="219"/>
      <c r="E32" s="372"/>
      <c r="F32" s="415">
        <f>SUM(F33:F41)</f>
        <v>6290.3482344743743</v>
      </c>
      <c r="G32" s="372"/>
      <c r="H32" s="415">
        <f>SUM(H33:H41)</f>
        <v>10936.765394599941</v>
      </c>
      <c r="I32" s="219"/>
      <c r="J32" s="415">
        <f>+RESUMEN!C9</f>
        <v>17227.113629074312</v>
      </c>
      <c r="K32" s="415"/>
      <c r="L32" s="415">
        <f>+RESUMEN!E9</f>
        <v>0</v>
      </c>
      <c r="M32" s="415"/>
      <c r="N32" s="415"/>
      <c r="O32" s="415"/>
      <c r="P32" s="415"/>
      <c r="Q32" s="415"/>
      <c r="R32" s="415"/>
    </row>
    <row r="33" spans="1:20" ht="12" hidden="1" customHeight="1" outlineLevel="2" x14ac:dyDescent="0.2">
      <c r="A33" s="272" t="s">
        <v>348</v>
      </c>
      <c r="B33" s="273" t="s">
        <v>340</v>
      </c>
      <c r="C33" s="276"/>
      <c r="D33" s="276"/>
      <c r="E33" s="276"/>
      <c r="F33" s="276"/>
      <c r="G33" s="276"/>
      <c r="H33" s="276"/>
      <c r="I33" s="276"/>
      <c r="J33" s="416"/>
      <c r="K33" s="424"/>
      <c r="L33" s="416"/>
      <c r="M33" s="416"/>
      <c r="N33" s="416"/>
      <c r="O33" s="416"/>
      <c r="P33" s="416"/>
      <c r="Q33" s="416"/>
      <c r="R33" s="416">
        <f t="shared" ref="R33:R67" si="3">+J33-P33</f>
        <v>0</v>
      </c>
    </row>
    <row r="34" spans="1:20" ht="12" hidden="1" customHeight="1" outlineLevel="2" x14ac:dyDescent="0.2">
      <c r="A34" s="169" t="s">
        <v>349</v>
      </c>
      <c r="B34" s="167" t="str">
        <f>+'O. GRUESA'!B119</f>
        <v>CONCRETO, fc=100 kg/cm²</v>
      </c>
      <c r="C34" s="169" t="str">
        <f>+'O. GRUESA'!D119</f>
        <v>m2</v>
      </c>
      <c r="D34" s="376">
        <f>+'O. GRUESA'!J119</f>
        <v>17.670000000000002</v>
      </c>
      <c r="E34" s="377">
        <v>14.642055555555554</v>
      </c>
      <c r="F34" s="368">
        <f t="shared" ref="F34:F39" si="4">D34*E34</f>
        <v>258.72512166666667</v>
      </c>
      <c r="G34" s="377">
        <v>28.774999999999999</v>
      </c>
      <c r="H34" s="369">
        <f>D34*G34</f>
        <v>508.45425</v>
      </c>
      <c r="I34" s="370">
        <f>+E34+G34</f>
        <v>43.41705555555555</v>
      </c>
      <c r="J34" s="417">
        <f>D34*I34</f>
        <v>767.17937166666661</v>
      </c>
      <c r="K34" s="422"/>
      <c r="L34" s="427">
        <f>+J34*K34</f>
        <v>0</v>
      </c>
      <c r="M34" s="419"/>
      <c r="N34" s="420">
        <f>+M34*J34</f>
        <v>0</v>
      </c>
      <c r="O34" s="425">
        <f>+K34+M34</f>
        <v>0</v>
      </c>
      <c r="P34" s="426">
        <f>+N34+L34</f>
        <v>0</v>
      </c>
      <c r="Q34" s="421">
        <f>100%-O34</f>
        <v>1</v>
      </c>
      <c r="R34" s="420">
        <f t="shared" si="3"/>
        <v>767.17937166666661</v>
      </c>
    </row>
    <row r="35" spans="1:20" ht="12" hidden="1" customHeight="1" outlineLevel="2" x14ac:dyDescent="0.2">
      <c r="A35" s="272" t="s">
        <v>863</v>
      </c>
      <c r="B35" s="273" t="str">
        <f>+'O. GRUESA'!B124</f>
        <v>CIMIENTO CORRIDO</v>
      </c>
      <c r="C35" s="276"/>
      <c r="D35" s="276"/>
      <c r="E35" s="276"/>
      <c r="F35" s="276"/>
      <c r="G35" s="276"/>
      <c r="H35" s="276"/>
      <c r="I35" s="276"/>
      <c r="J35" s="416"/>
      <c r="K35" s="424"/>
      <c r="L35" s="416"/>
      <c r="M35" s="416"/>
      <c r="N35" s="416"/>
      <c r="O35" s="416"/>
      <c r="P35" s="416"/>
      <c r="Q35" s="416"/>
      <c r="R35" s="416">
        <f t="shared" si="3"/>
        <v>0</v>
      </c>
    </row>
    <row r="36" spans="1:20" ht="12.6" hidden="1" customHeight="1" outlineLevel="2" x14ac:dyDescent="0.2">
      <c r="A36" s="169" t="s">
        <v>866</v>
      </c>
      <c r="B36" s="222" t="str">
        <f>+'O. GRUESA'!B125</f>
        <v>CONCRETO f'c= 100  kg/cm² +30% P.G.  (Tamaño maximo 6")</v>
      </c>
      <c r="C36" s="169" t="str">
        <f>+'O. GRUESA'!D125</f>
        <v>m3</v>
      </c>
      <c r="D36" s="376">
        <f>+'O. GRUESA'!J125</f>
        <v>18.450000000000003</v>
      </c>
      <c r="E36" s="377">
        <v>73.423111111111112</v>
      </c>
      <c r="F36" s="368">
        <f>D36*E36</f>
        <v>1354.6564000000003</v>
      </c>
      <c r="G36" s="377">
        <v>312.85000000000002</v>
      </c>
      <c r="H36" s="369">
        <f>D36*G36</f>
        <v>5772.0825000000013</v>
      </c>
      <c r="I36" s="370">
        <f>+E36+G36</f>
        <v>386.27311111111112</v>
      </c>
      <c r="J36" s="417">
        <f>D36*I36</f>
        <v>7126.7389000000012</v>
      </c>
      <c r="K36" s="422"/>
      <c r="L36" s="427">
        <f>+J36*K36</f>
        <v>0</v>
      </c>
      <c r="M36" s="419"/>
      <c r="N36" s="420">
        <f>+M36*J36</f>
        <v>0</v>
      </c>
      <c r="O36" s="425">
        <f>+K36+M36</f>
        <v>0</v>
      </c>
      <c r="P36" s="426">
        <f>+N36+L36</f>
        <v>0</v>
      </c>
      <c r="Q36" s="421">
        <f>100%-O36</f>
        <v>1</v>
      </c>
      <c r="R36" s="420">
        <f t="shared" si="3"/>
        <v>7126.7389000000012</v>
      </c>
    </row>
    <row r="37" spans="1:20" ht="12" hidden="1" customHeight="1" outlineLevel="2" x14ac:dyDescent="0.2">
      <c r="A37" s="272" t="s">
        <v>864</v>
      </c>
      <c r="B37" s="273" t="str">
        <f>+'O. GRUESA'!B139</f>
        <v>SOBRECIMIENTO</v>
      </c>
      <c r="C37" s="276"/>
      <c r="D37" s="276"/>
      <c r="E37" s="276"/>
      <c r="F37" s="276"/>
      <c r="G37" s="276"/>
      <c r="H37" s="276"/>
      <c r="I37" s="276"/>
      <c r="J37" s="416"/>
      <c r="K37" s="424"/>
      <c r="L37" s="416"/>
      <c r="M37" s="416"/>
      <c r="N37" s="416"/>
      <c r="O37" s="416"/>
      <c r="P37" s="416"/>
      <c r="Q37" s="416"/>
      <c r="R37" s="416">
        <f t="shared" si="3"/>
        <v>0</v>
      </c>
    </row>
    <row r="38" spans="1:20" ht="12" hidden="1" customHeight="1" outlineLevel="2" x14ac:dyDescent="0.2">
      <c r="A38" s="169" t="s">
        <v>867</v>
      </c>
      <c r="B38" s="222" t="str">
        <f>+'O. GRUESA'!B140</f>
        <v>CONCRETO, f'c= 140  kg/cm² +25% P.M. (Tamaño maximo 3")</v>
      </c>
      <c r="C38" s="169" t="str">
        <f>+'O. GRUESA'!D140</f>
        <v>m3</v>
      </c>
      <c r="D38" s="376">
        <f>+'O. GRUESA'!J140</f>
        <v>2.7487500000000002</v>
      </c>
      <c r="E38" s="377">
        <v>110.13466666666667</v>
      </c>
      <c r="F38" s="368">
        <f t="shared" si="4"/>
        <v>302.73266500000005</v>
      </c>
      <c r="G38" s="377">
        <v>250.85000000000002</v>
      </c>
      <c r="H38" s="369">
        <f>D38*G38</f>
        <v>689.5239375000001</v>
      </c>
      <c r="I38" s="370">
        <f>+E38+G38</f>
        <v>360.98466666666673</v>
      </c>
      <c r="J38" s="417">
        <f>D38*I38</f>
        <v>992.25660250000021</v>
      </c>
      <c r="K38" s="422"/>
      <c r="L38" s="427">
        <f>+J38*K38</f>
        <v>0</v>
      </c>
      <c r="M38" s="419"/>
      <c r="N38" s="420">
        <f>+M38*J38</f>
        <v>0</v>
      </c>
      <c r="O38" s="425">
        <f>+K38+M38</f>
        <v>0</v>
      </c>
      <c r="P38" s="426">
        <f>+N38+L38</f>
        <v>0</v>
      </c>
      <c r="Q38" s="421">
        <f>100%-O38</f>
        <v>1</v>
      </c>
      <c r="R38" s="420">
        <f t="shared" si="3"/>
        <v>992.25660250000021</v>
      </c>
    </row>
    <row r="39" spans="1:20" ht="12" hidden="1" customHeight="1" outlineLevel="2" x14ac:dyDescent="0.2">
      <c r="A39" s="169" t="s">
        <v>868</v>
      </c>
      <c r="B39" s="222" t="str">
        <f>+'O. GRUESA'!B154</f>
        <v>ENCOFRADO Y DESENCOFRADO</v>
      </c>
      <c r="C39" s="169" t="str">
        <f>+'O. GRUESA'!D154</f>
        <v>m2</v>
      </c>
      <c r="D39" s="376">
        <f>+'O. GRUESA'!J154</f>
        <v>36.650000000000006</v>
      </c>
      <c r="E39" s="377">
        <v>35.44916666666667</v>
      </c>
      <c r="F39" s="368">
        <f t="shared" si="4"/>
        <v>1299.2119583333338</v>
      </c>
      <c r="G39" s="377">
        <v>2.1</v>
      </c>
      <c r="H39" s="369">
        <f>D39*G39</f>
        <v>76.965000000000018</v>
      </c>
      <c r="I39" s="370">
        <f>+E39+G39</f>
        <v>37.549166666666672</v>
      </c>
      <c r="J39" s="417">
        <f>D39*I39</f>
        <v>1376.1769583333337</v>
      </c>
      <c r="K39" s="422"/>
      <c r="L39" s="427">
        <f>+J39*K39</f>
        <v>0</v>
      </c>
      <c r="M39" s="419"/>
      <c r="N39" s="420">
        <f>+M39*J39</f>
        <v>0</v>
      </c>
      <c r="O39" s="425">
        <f>+K39+M39</f>
        <v>0</v>
      </c>
      <c r="P39" s="426">
        <f>+N39+L39</f>
        <v>0</v>
      </c>
      <c r="Q39" s="421">
        <f>100%-O39</f>
        <v>1</v>
      </c>
      <c r="R39" s="420">
        <f t="shared" si="3"/>
        <v>1376.1769583333337</v>
      </c>
    </row>
    <row r="40" spans="1:20" ht="12" hidden="1" customHeight="1" outlineLevel="2" x14ac:dyDescent="0.2">
      <c r="A40" s="272" t="s">
        <v>865</v>
      </c>
      <c r="B40" s="308" t="str">
        <f>+'O. GRUESA'!B168</f>
        <v>FALSO PISO</v>
      </c>
      <c r="C40" s="276"/>
      <c r="D40" s="276"/>
      <c r="E40" s="276"/>
      <c r="F40" s="276"/>
      <c r="G40" s="276"/>
      <c r="H40" s="276"/>
      <c r="I40" s="276"/>
      <c r="J40" s="416"/>
      <c r="K40" s="424"/>
      <c r="L40" s="416"/>
      <c r="M40" s="416"/>
      <c r="N40" s="416"/>
      <c r="O40" s="416"/>
      <c r="P40" s="416"/>
      <c r="Q40" s="416"/>
      <c r="R40" s="416">
        <f t="shared" si="3"/>
        <v>0</v>
      </c>
    </row>
    <row r="41" spans="1:20" ht="12" hidden="1" customHeight="1" outlineLevel="2" x14ac:dyDescent="0.2">
      <c r="A41" s="169" t="s">
        <v>869</v>
      </c>
      <c r="B41" s="275" t="str">
        <f>+'O. GRUESA'!B169</f>
        <v xml:space="preserve">FALSO PISO </v>
      </c>
      <c r="C41" s="169" t="str">
        <f>+'O. GRUESA'!D169</f>
        <v>m2</v>
      </c>
      <c r="D41" s="376">
        <f>+J41/I41</f>
        <v>142.4813079523787</v>
      </c>
      <c r="E41" s="377">
        <v>21.581933333333332</v>
      </c>
      <c r="F41" s="368">
        <f>D41*E41</f>
        <v>3075.0220894743734</v>
      </c>
      <c r="G41" s="377">
        <v>27.300000000000004</v>
      </c>
      <c r="H41" s="369">
        <f>D41*G41</f>
        <v>3889.7397070999391</v>
      </c>
      <c r="I41" s="370">
        <f>+E41+G41</f>
        <v>48.881933333333336</v>
      </c>
      <c r="J41" s="417">
        <f>+J32-SUM(J34:J39)</f>
        <v>6964.761796574312</v>
      </c>
      <c r="K41" s="422"/>
      <c r="L41" s="427">
        <f>+J41*K41</f>
        <v>0</v>
      </c>
      <c r="M41" s="419"/>
      <c r="N41" s="420">
        <f>+M41*J41</f>
        <v>0</v>
      </c>
      <c r="O41" s="425">
        <f>+K41+M41</f>
        <v>0</v>
      </c>
      <c r="P41" s="426">
        <f>+N41+L41</f>
        <v>0</v>
      </c>
      <c r="Q41" s="421">
        <f>100%-O41</f>
        <v>1</v>
      </c>
      <c r="R41" s="420">
        <f t="shared" si="3"/>
        <v>6964.761796574312</v>
      </c>
    </row>
    <row r="42" spans="1:20" ht="12" customHeight="1" outlineLevel="1" collapsed="1" x14ac:dyDescent="0.2">
      <c r="A42" s="219" t="s">
        <v>510</v>
      </c>
      <c r="B42" s="277" t="str">
        <f>+'O. GRUESA'!B172</f>
        <v>CONCRETO ARMADO + MUROS PORTANTES</v>
      </c>
      <c r="C42" s="219"/>
      <c r="D42" s="219"/>
      <c r="E42" s="372"/>
      <c r="F42" s="415">
        <f>+SUM(F43:F67)</f>
        <v>21576.889766376193</v>
      </c>
      <c r="G42" s="372"/>
      <c r="H42" s="415">
        <f>+SUM(H43:H67)</f>
        <v>32077.411687499989</v>
      </c>
      <c r="I42" s="219"/>
      <c r="J42" s="415">
        <f>+RESUMEN!C10</f>
        <v>54821.241322016976</v>
      </c>
      <c r="K42" s="415"/>
      <c r="L42" s="415">
        <f>+RESUMEN!E10</f>
        <v>0</v>
      </c>
      <c r="M42" s="415"/>
      <c r="N42" s="415">
        <f>+SUM(N43:N67)</f>
        <v>0</v>
      </c>
      <c r="O42" s="415"/>
      <c r="P42" s="415">
        <f>+SUM(P43:P67)</f>
        <v>0</v>
      </c>
      <c r="Q42" s="415"/>
      <c r="R42" s="415">
        <f t="shared" si="3"/>
        <v>54821.241322016976</v>
      </c>
      <c r="S42" s="669"/>
      <c r="T42" s="669"/>
    </row>
    <row r="43" spans="1:20" ht="12" hidden="1" customHeight="1" outlineLevel="2" x14ac:dyDescent="0.2">
      <c r="A43" s="272" t="s">
        <v>511</v>
      </c>
      <c r="B43" s="273" t="str">
        <f>+'O. GRUESA'!B173</f>
        <v>ZAPATAS</v>
      </c>
      <c r="C43" s="276"/>
      <c r="D43" s="276"/>
      <c r="E43" s="276"/>
      <c r="F43" s="276"/>
      <c r="G43" s="276"/>
      <c r="H43" s="276"/>
      <c r="I43" s="276"/>
      <c r="J43" s="416"/>
      <c r="K43" s="424"/>
      <c r="L43" s="416"/>
      <c r="M43" s="416"/>
      <c r="N43" s="416"/>
      <c r="O43" s="416"/>
      <c r="P43" s="416"/>
      <c r="Q43" s="416"/>
      <c r="R43" s="416">
        <f t="shared" si="3"/>
        <v>0</v>
      </c>
    </row>
    <row r="44" spans="1:20" ht="12" hidden="1" customHeight="1" outlineLevel="2" x14ac:dyDescent="0.2">
      <c r="A44" s="170" t="s">
        <v>907</v>
      </c>
      <c r="B44" s="274" t="str">
        <f>+'O. GRUESA'!B174</f>
        <v>CONCRETO PREMEZCLADO f'c=210kg/cm2</v>
      </c>
      <c r="C44" s="170" t="str">
        <f>+'O. GRUESA'!D174</f>
        <v>m3</v>
      </c>
      <c r="D44" s="365">
        <f>+'O. GRUESA'!J174</f>
        <v>10.602</v>
      </c>
      <c r="E44" s="366">
        <v>49.705200000000005</v>
      </c>
      <c r="F44" s="368">
        <f>D44*E44</f>
        <v>526.97453040000005</v>
      </c>
      <c r="G44" s="366">
        <v>330.75</v>
      </c>
      <c r="H44" s="369">
        <f t="shared" ref="H44:H58" si="5">D44*G44</f>
        <v>3506.6115</v>
      </c>
      <c r="I44" s="370">
        <f>+E44+G44</f>
        <v>380.45519999999999</v>
      </c>
      <c r="J44" s="417">
        <f>D44*I44</f>
        <v>4033.5860303999998</v>
      </c>
      <c r="K44" s="422"/>
      <c r="L44" s="427">
        <f>+J44*K44</f>
        <v>0</v>
      </c>
      <c r="M44" s="419"/>
      <c r="N44" s="420">
        <f>+M44*J44</f>
        <v>0</v>
      </c>
      <c r="O44" s="425">
        <f>+K44+M44</f>
        <v>0</v>
      </c>
      <c r="P44" s="426">
        <f>+N44+L44</f>
        <v>0</v>
      </c>
      <c r="Q44" s="421">
        <f>100%-O44</f>
        <v>1</v>
      </c>
      <c r="R44" s="420">
        <f t="shared" si="3"/>
        <v>4033.5860303999998</v>
      </c>
    </row>
    <row r="45" spans="1:20" ht="12" hidden="1" customHeight="1" outlineLevel="2" x14ac:dyDescent="0.2">
      <c r="A45" s="170" t="s">
        <v>908</v>
      </c>
      <c r="B45" s="274" t="str">
        <f>+'O. GRUESA'!B179</f>
        <v>ENCOFRADO Y DESENCOFRADO</v>
      </c>
      <c r="C45" s="170" t="str">
        <f>+'O. GRUESA'!D179</f>
        <v>m2</v>
      </c>
      <c r="D45" s="365">
        <f>+'O. GRUESA'!J179</f>
        <v>29.819999999999997</v>
      </c>
      <c r="E45" s="366">
        <v>44.401583333333335</v>
      </c>
      <c r="F45" s="368">
        <f>D45*E45</f>
        <v>1324.0552149999999</v>
      </c>
      <c r="G45" s="366">
        <v>3</v>
      </c>
      <c r="H45" s="369">
        <f t="shared" si="5"/>
        <v>89.46</v>
      </c>
      <c r="I45" s="370">
        <f t="shared" ref="I45:I58" si="6">+E45+G45</f>
        <v>47.401583333333335</v>
      </c>
      <c r="J45" s="417">
        <f t="shared" ref="J45:J58" si="7">D45*I45</f>
        <v>1413.5152149999999</v>
      </c>
      <c r="K45" s="422"/>
      <c r="L45" s="427">
        <f>+J45*K45</f>
        <v>0</v>
      </c>
      <c r="M45" s="419"/>
      <c r="N45" s="420">
        <f>+M45*J45</f>
        <v>0</v>
      </c>
      <c r="O45" s="425">
        <f>+K45+M45</f>
        <v>0</v>
      </c>
      <c r="P45" s="426">
        <f>+N45+L45</f>
        <v>0</v>
      </c>
      <c r="Q45" s="421">
        <f>100%-O45</f>
        <v>1</v>
      </c>
      <c r="R45" s="420">
        <f t="shared" si="3"/>
        <v>1413.5152149999999</v>
      </c>
      <c r="S45" s="167">
        <v>25</v>
      </c>
    </row>
    <row r="46" spans="1:20" ht="12" hidden="1" customHeight="1" outlineLevel="2" x14ac:dyDescent="0.2">
      <c r="A46" s="170" t="s">
        <v>909</v>
      </c>
      <c r="B46" s="274" t="str">
        <f>+'O. GRUESA'!B184</f>
        <v>ACERO fy=4200kg/cm2</v>
      </c>
      <c r="C46" s="170" t="str">
        <f>+'O. GRUESA'!D184</f>
        <v>kg</v>
      </c>
      <c r="D46" s="365">
        <f>+'O. GRUESA'!J184</f>
        <v>477.09000000000003</v>
      </c>
      <c r="E46" s="366">
        <v>1.5143333333333333</v>
      </c>
      <c r="F46" s="368">
        <f>D46*E46</f>
        <v>722.47329000000002</v>
      </c>
      <c r="G46" s="366">
        <v>5.8500000000000005</v>
      </c>
      <c r="H46" s="369">
        <f t="shared" si="5"/>
        <v>2790.9765000000002</v>
      </c>
      <c r="I46" s="370">
        <f t="shared" si="6"/>
        <v>7.3643333333333336</v>
      </c>
      <c r="J46" s="417">
        <f t="shared" si="7"/>
        <v>3513.4497900000006</v>
      </c>
      <c r="K46" s="422"/>
      <c r="L46" s="427">
        <f>+J46*K46</f>
        <v>0</v>
      </c>
      <c r="M46" s="419"/>
      <c r="N46" s="420">
        <f>+M46*J46</f>
        <v>0</v>
      </c>
      <c r="O46" s="425">
        <f>+K46+M46</f>
        <v>0</v>
      </c>
      <c r="P46" s="426">
        <f>+N46+L46</f>
        <v>0</v>
      </c>
      <c r="Q46" s="421">
        <f>100%-O46</f>
        <v>1</v>
      </c>
      <c r="R46" s="420">
        <f t="shared" si="3"/>
        <v>3513.4497900000006</v>
      </c>
    </row>
    <row r="47" spans="1:20" ht="12" hidden="1" customHeight="1" outlineLevel="2" x14ac:dyDescent="0.2">
      <c r="A47" s="272" t="s">
        <v>910</v>
      </c>
      <c r="B47" s="273" t="str">
        <f>'O. GRUESA'!B188</f>
        <v>PLACAS</v>
      </c>
      <c r="C47" s="276"/>
      <c r="D47" s="276"/>
      <c r="E47" s="276"/>
      <c r="F47" s="276"/>
      <c r="G47" s="276"/>
      <c r="H47" s="276"/>
      <c r="I47" s="276"/>
      <c r="J47" s="416"/>
      <c r="K47" s="424"/>
      <c r="L47" s="416"/>
      <c r="M47" s="416"/>
      <c r="N47" s="416"/>
      <c r="O47" s="416"/>
      <c r="P47" s="416"/>
      <c r="Q47" s="416"/>
      <c r="R47" s="416">
        <f t="shared" si="3"/>
        <v>0</v>
      </c>
    </row>
    <row r="48" spans="1:20" ht="12" hidden="1" customHeight="1" outlineLevel="2" x14ac:dyDescent="0.2">
      <c r="A48" s="169" t="s">
        <v>911</v>
      </c>
      <c r="B48" s="275" t="str">
        <f>'O. GRUESA'!$B$189</f>
        <v>PLACAS - CONCRETO PREMEZCLADO f'c=210kg/cm2</v>
      </c>
      <c r="C48" s="169" t="str">
        <f>'O. GRUESA'!$D$189</f>
        <v>m3</v>
      </c>
      <c r="D48" s="367">
        <f>'O. GRUESA'!$J$189</f>
        <v>12.899999999999999</v>
      </c>
      <c r="E48" s="366">
        <v>88.708666666666659</v>
      </c>
      <c r="F48" s="368">
        <f>D48*E48</f>
        <v>1144.3417999999997</v>
      </c>
      <c r="G48" s="366">
        <v>348.75</v>
      </c>
      <c r="H48" s="369">
        <f>D48*G48</f>
        <v>4498.8749999999991</v>
      </c>
      <c r="I48" s="370">
        <f>+E48+G48</f>
        <v>437.45866666666666</v>
      </c>
      <c r="J48" s="417">
        <f>D48*I48</f>
        <v>5643.2167999999992</v>
      </c>
      <c r="K48" s="422"/>
      <c r="L48" s="427">
        <f>+J48*K48</f>
        <v>0</v>
      </c>
      <c r="M48" s="419"/>
      <c r="N48" s="420">
        <f>+M48*J48</f>
        <v>0</v>
      </c>
      <c r="O48" s="425">
        <f>+K48+M48</f>
        <v>0</v>
      </c>
      <c r="P48" s="426">
        <f>+N48+L48</f>
        <v>0</v>
      </c>
      <c r="Q48" s="421">
        <f>100%-O48</f>
        <v>1</v>
      </c>
      <c r="R48" s="420">
        <f t="shared" si="3"/>
        <v>5643.2167999999992</v>
      </c>
    </row>
    <row r="49" spans="1:18" ht="12" hidden="1" customHeight="1" outlineLevel="2" x14ac:dyDescent="0.2">
      <c r="A49" s="169" t="s">
        <v>912</v>
      </c>
      <c r="B49" s="275" t="str">
        <f>'O. GRUESA'!$B$194</f>
        <v>PLACAS - ENCOFRADO Y DESENCOFRADO</v>
      </c>
      <c r="C49" s="169" t="str">
        <f>'O. GRUESA'!$D$194</f>
        <v>m2</v>
      </c>
      <c r="D49" s="367">
        <f>'O. GRUESA'!$J$194</f>
        <v>123.9</v>
      </c>
      <c r="E49" s="366">
        <v>60.478166666666667</v>
      </c>
      <c r="F49" s="368">
        <f>D49*E49</f>
        <v>7493.24485</v>
      </c>
      <c r="G49" s="366">
        <v>2.35</v>
      </c>
      <c r="H49" s="369">
        <f>D49*G49</f>
        <v>291.16500000000002</v>
      </c>
      <c r="I49" s="370">
        <f>+E49+G49</f>
        <v>62.828166666666668</v>
      </c>
      <c r="J49" s="417">
        <f>D49*I49</f>
        <v>7784.4098500000009</v>
      </c>
      <c r="K49" s="422"/>
      <c r="L49" s="427">
        <f>+J49*K49</f>
        <v>0</v>
      </c>
      <c r="M49" s="419"/>
      <c r="N49" s="420">
        <f>+M49*J49</f>
        <v>0</v>
      </c>
      <c r="O49" s="425">
        <f>+K49+M49</f>
        <v>0</v>
      </c>
      <c r="P49" s="426">
        <f>+N49+L49</f>
        <v>0</v>
      </c>
      <c r="Q49" s="421">
        <f>100%-O49</f>
        <v>1</v>
      </c>
      <c r="R49" s="420">
        <f t="shared" si="3"/>
        <v>7784.4098500000009</v>
      </c>
    </row>
    <row r="50" spans="1:18" ht="12" hidden="1" customHeight="1" outlineLevel="2" x14ac:dyDescent="0.2">
      <c r="A50" s="169" t="s">
        <v>913</v>
      </c>
      <c r="B50" s="275" t="str">
        <f>'O. GRUESA'!$B$199</f>
        <v>PLACAS - ACERO fy=4200kg/cm2</v>
      </c>
      <c r="C50" s="169" t="str">
        <f>'O. GRUESA'!$D$199</f>
        <v>kg</v>
      </c>
      <c r="D50" s="367">
        <f>'O. GRUESA'!$J$199</f>
        <v>1225.4999999999998</v>
      </c>
      <c r="E50" s="366">
        <v>2.2715000000000001</v>
      </c>
      <c r="F50" s="368">
        <f>D50*E50</f>
        <v>2783.7232499999996</v>
      </c>
      <c r="G50" s="366">
        <v>5.75</v>
      </c>
      <c r="H50" s="369">
        <f>D50*G50</f>
        <v>7046.6249999999991</v>
      </c>
      <c r="I50" s="370">
        <f>+E50+G50</f>
        <v>8.0214999999999996</v>
      </c>
      <c r="J50" s="417">
        <f>D50*I50</f>
        <v>9830.3482499999973</v>
      </c>
      <c r="K50" s="422"/>
      <c r="L50" s="427">
        <f>+J50*K50</f>
        <v>0</v>
      </c>
      <c r="M50" s="419"/>
      <c r="N50" s="420">
        <f>+M50*J50</f>
        <v>0</v>
      </c>
      <c r="O50" s="425">
        <f>+K50+M50</f>
        <v>0</v>
      </c>
      <c r="P50" s="426">
        <f>+N50+L50</f>
        <v>0</v>
      </c>
      <c r="Q50" s="421">
        <f>100%-O50</f>
        <v>1</v>
      </c>
      <c r="R50" s="420">
        <f t="shared" si="3"/>
        <v>9830.3482499999973</v>
      </c>
    </row>
    <row r="51" spans="1:18" ht="12" hidden="1" customHeight="1" outlineLevel="2" x14ac:dyDescent="0.2">
      <c r="A51" s="272" t="s">
        <v>914</v>
      </c>
      <c r="B51" s="273" t="str">
        <f>+'O. GRUESA'!B203</f>
        <v>VIGAS</v>
      </c>
      <c r="C51" s="276"/>
      <c r="D51" s="276"/>
      <c r="E51" s="276"/>
      <c r="F51" s="276"/>
      <c r="G51" s="276"/>
      <c r="H51" s="276"/>
      <c r="I51" s="276"/>
      <c r="J51" s="416"/>
      <c r="K51" s="424"/>
      <c r="L51" s="416"/>
      <c r="M51" s="416"/>
      <c r="N51" s="416"/>
      <c r="O51" s="416"/>
      <c r="P51" s="416"/>
      <c r="Q51" s="416"/>
      <c r="R51" s="416">
        <f t="shared" si="3"/>
        <v>0</v>
      </c>
    </row>
    <row r="52" spans="1:18" ht="12" hidden="1" customHeight="1" outlineLevel="2" x14ac:dyDescent="0.2">
      <c r="A52" s="169" t="s">
        <v>915</v>
      </c>
      <c r="B52" s="275" t="str">
        <f>+'O. GRUESA'!B204</f>
        <v>VIGAS - CONCRETO PREMEZCLADO f'c=210kg/cm2</v>
      </c>
      <c r="C52" s="169" t="str">
        <f>+'O. GRUESA'!D204</f>
        <v>m3</v>
      </c>
      <c r="D52" s="367">
        <f>+'O. GRUESA'!J204</f>
        <v>4.1165000000000003</v>
      </c>
      <c r="E52" s="366">
        <v>57.276533333333333</v>
      </c>
      <c r="F52" s="368">
        <f t="shared" ref="F52:F58" si="8">D52*E52</f>
        <v>235.77884946666668</v>
      </c>
      <c r="G52" s="366">
        <v>330.75</v>
      </c>
      <c r="H52" s="369">
        <f t="shared" si="5"/>
        <v>1361.532375</v>
      </c>
      <c r="I52" s="370">
        <f t="shared" si="6"/>
        <v>388.0265333333333</v>
      </c>
      <c r="J52" s="417">
        <f t="shared" si="7"/>
        <v>1597.3112244666665</v>
      </c>
      <c r="K52" s="422"/>
      <c r="L52" s="427">
        <f>+J52*K52</f>
        <v>0</v>
      </c>
      <c r="M52" s="419"/>
      <c r="N52" s="420">
        <f>+M52*J52</f>
        <v>0</v>
      </c>
      <c r="O52" s="425">
        <f>+K52+M52</f>
        <v>0</v>
      </c>
      <c r="P52" s="426">
        <f>+N52+L52</f>
        <v>0</v>
      </c>
      <c r="Q52" s="421">
        <f>100%-O52</f>
        <v>1</v>
      </c>
      <c r="R52" s="420">
        <f t="shared" si="3"/>
        <v>1597.3112244666665</v>
      </c>
    </row>
    <row r="53" spans="1:18" ht="12" hidden="1" customHeight="1" outlineLevel="2" x14ac:dyDescent="0.2">
      <c r="A53" s="169" t="s">
        <v>916</v>
      </c>
      <c r="B53" s="275" t="str">
        <f>+'O. GRUESA'!B214</f>
        <v>VIGAS - ENCOFRADO Y DESENCOFRADO</v>
      </c>
      <c r="C53" s="169" t="str">
        <f>+'O. GRUESA'!D214</f>
        <v>m2</v>
      </c>
      <c r="D53" s="367">
        <f>+'O. GRUESA'!J214</f>
        <v>30.162499999999998</v>
      </c>
      <c r="E53" s="366">
        <v>46.902766666666665</v>
      </c>
      <c r="F53" s="368">
        <f t="shared" si="8"/>
        <v>1414.7046995833332</v>
      </c>
      <c r="G53" s="366">
        <v>2.2000000000000002</v>
      </c>
      <c r="H53" s="369">
        <f t="shared" si="5"/>
        <v>66.357500000000002</v>
      </c>
      <c r="I53" s="370">
        <f t="shared" si="6"/>
        <v>49.102766666666668</v>
      </c>
      <c r="J53" s="417">
        <f t="shared" si="7"/>
        <v>1481.0621995833333</v>
      </c>
      <c r="K53" s="422"/>
      <c r="L53" s="427">
        <f>+J53*K53</f>
        <v>0</v>
      </c>
      <c r="M53" s="419"/>
      <c r="N53" s="420">
        <f>+M53*J53</f>
        <v>0</v>
      </c>
      <c r="O53" s="425">
        <f>+K53+M53</f>
        <v>0</v>
      </c>
      <c r="P53" s="426">
        <f>+N53+L53</f>
        <v>0</v>
      </c>
      <c r="Q53" s="421">
        <f>100%-O53</f>
        <v>1</v>
      </c>
      <c r="R53" s="420">
        <f t="shared" si="3"/>
        <v>1481.0621995833333</v>
      </c>
    </row>
    <row r="54" spans="1:18" ht="12" hidden="1" customHeight="1" outlineLevel="2" x14ac:dyDescent="0.2">
      <c r="A54" s="169" t="s">
        <v>917</v>
      </c>
      <c r="B54" s="275" t="str">
        <f>+'O. GRUESA'!B224</f>
        <v>VIGAS - ACERO fy=4200kg/cm2</v>
      </c>
      <c r="C54" s="169" t="str">
        <f>+'O. GRUESA'!D224</f>
        <v>kg</v>
      </c>
      <c r="D54" s="367">
        <f>+'O. GRUESA'!J224</f>
        <v>1029.125</v>
      </c>
      <c r="E54" s="366">
        <v>1.8172000000000001</v>
      </c>
      <c r="F54" s="368">
        <f t="shared" si="8"/>
        <v>1870.1259500000001</v>
      </c>
      <c r="G54" s="366">
        <v>5.6000000000000005</v>
      </c>
      <c r="H54" s="369">
        <f t="shared" si="5"/>
        <v>5763.1</v>
      </c>
      <c r="I54" s="370">
        <f t="shared" si="6"/>
        <v>7.4172000000000011</v>
      </c>
      <c r="J54" s="417">
        <f t="shared" si="7"/>
        <v>7633.2259500000009</v>
      </c>
      <c r="K54" s="422"/>
      <c r="L54" s="427">
        <f>+J54*K54</f>
        <v>0</v>
      </c>
      <c r="M54" s="419"/>
      <c r="N54" s="420">
        <f>+M54*J54</f>
        <v>0</v>
      </c>
      <c r="O54" s="425">
        <f>+K54+M54</f>
        <v>0</v>
      </c>
      <c r="P54" s="426">
        <f>+N54+L54</f>
        <v>0</v>
      </c>
      <c r="Q54" s="421">
        <f>100%-O54</f>
        <v>1</v>
      </c>
      <c r="R54" s="420">
        <f t="shared" si="3"/>
        <v>7633.2259500000009</v>
      </c>
    </row>
    <row r="55" spans="1:18" ht="12" hidden="1" customHeight="1" outlineLevel="2" x14ac:dyDescent="0.2">
      <c r="A55" s="272" t="s">
        <v>918</v>
      </c>
      <c r="B55" s="273" t="str">
        <f>+'O. GRUESA'!B228</f>
        <v>LOSA ALIGERADA</v>
      </c>
      <c r="C55" s="276"/>
      <c r="D55" s="276"/>
      <c r="E55" s="276"/>
      <c r="F55" s="276"/>
      <c r="G55" s="276"/>
      <c r="H55" s="276"/>
      <c r="I55" s="276"/>
      <c r="J55" s="416"/>
      <c r="K55" s="424"/>
      <c r="L55" s="416"/>
      <c r="M55" s="416"/>
      <c r="N55" s="416"/>
      <c r="O55" s="416"/>
      <c r="P55" s="416"/>
      <c r="Q55" s="416"/>
      <c r="R55" s="416">
        <f t="shared" si="3"/>
        <v>0</v>
      </c>
    </row>
    <row r="56" spans="1:18" ht="12" hidden="1" customHeight="1" outlineLevel="2" x14ac:dyDescent="0.2">
      <c r="A56" s="169" t="s">
        <v>919</v>
      </c>
      <c r="B56" s="275" t="str">
        <f>+'O. GRUESA'!B229</f>
        <v>LOSA ALIGERADA - CONCRETO PREMEZCLADO f'c=210kg/cm2</v>
      </c>
      <c r="C56" s="169" t="str">
        <f>+'O. GRUESA'!D229</f>
        <v>m3</v>
      </c>
      <c r="D56" s="367">
        <f>+'O. GRUESA'!J229</f>
        <v>2.2927499999999998</v>
      </c>
      <c r="E56" s="366">
        <v>57.276533333333333</v>
      </c>
      <c r="F56" s="368">
        <f t="shared" si="8"/>
        <v>131.32077179999999</v>
      </c>
      <c r="G56" s="366">
        <v>330.75</v>
      </c>
      <c r="H56" s="369">
        <f t="shared" si="5"/>
        <v>758.3270624999999</v>
      </c>
      <c r="I56" s="370">
        <f t="shared" si="6"/>
        <v>388.0265333333333</v>
      </c>
      <c r="J56" s="417">
        <f t="shared" si="7"/>
        <v>889.64783429999989</v>
      </c>
      <c r="K56" s="422"/>
      <c r="L56" s="427">
        <f>+J56*K56</f>
        <v>0</v>
      </c>
      <c r="M56" s="419"/>
      <c r="N56" s="420">
        <f>+M56*J56</f>
        <v>0</v>
      </c>
      <c r="O56" s="425">
        <f>+K56+M56</f>
        <v>0</v>
      </c>
      <c r="P56" s="426">
        <f>+N56+L56</f>
        <v>0</v>
      </c>
      <c r="Q56" s="421">
        <f>100%-O56</f>
        <v>1</v>
      </c>
      <c r="R56" s="420">
        <f t="shared" si="3"/>
        <v>889.64783429999989</v>
      </c>
    </row>
    <row r="57" spans="1:18" ht="12" hidden="1" customHeight="1" outlineLevel="2" x14ac:dyDescent="0.2">
      <c r="A57" s="169" t="s">
        <v>920</v>
      </c>
      <c r="B57" s="275" t="str">
        <f>+'O. GRUESA'!B234</f>
        <v>LOSA ALIGERADA - ENCOFRADO Y DESENCOFRADO</v>
      </c>
      <c r="C57" s="169" t="str">
        <f>+'O. GRUESA'!D234</f>
        <v>m2</v>
      </c>
      <c r="D57" s="367">
        <f>+'O. GRUESA'!J234</f>
        <v>22.927499999999995</v>
      </c>
      <c r="E57" s="366">
        <v>31.934904761904765</v>
      </c>
      <c r="F57" s="368">
        <f t="shared" si="8"/>
        <v>732.18752892857128</v>
      </c>
      <c r="G57" s="366">
        <v>1.05</v>
      </c>
      <c r="H57" s="369">
        <f t="shared" si="5"/>
        <v>24.073874999999994</v>
      </c>
      <c r="I57" s="370">
        <f t="shared" si="6"/>
        <v>32.984904761904765</v>
      </c>
      <c r="J57" s="417">
        <f t="shared" si="7"/>
        <v>756.26140392857133</v>
      </c>
      <c r="K57" s="422"/>
      <c r="L57" s="427">
        <f>+J57*K57</f>
        <v>0</v>
      </c>
      <c r="M57" s="419"/>
      <c r="N57" s="420">
        <f>+M57*J57</f>
        <v>0</v>
      </c>
      <c r="O57" s="425">
        <f>+K57+M57</f>
        <v>0</v>
      </c>
      <c r="P57" s="426">
        <f>+N57+L57</f>
        <v>0</v>
      </c>
      <c r="Q57" s="421">
        <f>100%-O57</f>
        <v>1</v>
      </c>
      <c r="R57" s="420">
        <f t="shared" si="3"/>
        <v>756.26140392857133</v>
      </c>
    </row>
    <row r="58" spans="1:18" ht="12" hidden="1" customHeight="1" outlineLevel="2" x14ac:dyDescent="0.2">
      <c r="A58" s="169" t="s">
        <v>921</v>
      </c>
      <c r="B58" s="275" t="str">
        <f>+'O. GRUESA'!B239</f>
        <v>LOSA ALIGERADA - LADRILLO HUECO DE  0.15X0.30X0.30</v>
      </c>
      <c r="C58" s="169" t="str">
        <f>+'O. GRUESA'!D239</f>
        <v>und</v>
      </c>
      <c r="D58" s="367">
        <f>+'O. GRUESA'!J239</f>
        <v>207</v>
      </c>
      <c r="E58" s="366">
        <v>1.0381541666666665</v>
      </c>
      <c r="F58" s="368">
        <f t="shared" si="8"/>
        <v>214.89791249999996</v>
      </c>
      <c r="G58" s="366">
        <v>3.6750000000000003</v>
      </c>
      <c r="H58" s="369">
        <f t="shared" si="5"/>
        <v>760.72500000000002</v>
      </c>
      <c r="I58" s="370">
        <f t="shared" si="6"/>
        <v>4.7131541666666665</v>
      </c>
      <c r="J58" s="417">
        <f t="shared" si="7"/>
        <v>975.62291249999998</v>
      </c>
      <c r="K58" s="422"/>
      <c r="L58" s="427">
        <f>+J58*K58</f>
        <v>0</v>
      </c>
      <c r="M58" s="419"/>
      <c r="N58" s="420">
        <f>+M58*J58</f>
        <v>0</v>
      </c>
      <c r="O58" s="425">
        <f>+K58+M58</f>
        <v>0</v>
      </c>
      <c r="P58" s="426">
        <f>+N58+L58</f>
        <v>0</v>
      </c>
      <c r="Q58" s="421">
        <f>100%-O58</f>
        <v>1</v>
      </c>
      <c r="R58" s="420">
        <f t="shared" si="3"/>
        <v>975.62291249999998</v>
      </c>
    </row>
    <row r="59" spans="1:18" ht="12" hidden="1" customHeight="1" outlineLevel="2" x14ac:dyDescent="0.2">
      <c r="A59" s="169" t="s">
        <v>922</v>
      </c>
      <c r="B59" s="275" t="str">
        <f>+'O. GRUESA'!B244</f>
        <v>LOSA ALIGERADA - ACERO fy=4200kg/cm2</v>
      </c>
      <c r="C59" s="169" t="str">
        <f>+'O. GRUESA'!D244</f>
        <v>kg</v>
      </c>
      <c r="D59" s="367">
        <f>+'O. GRUESA'!J244</f>
        <v>275.13</v>
      </c>
      <c r="E59" s="366">
        <v>1.8172000000000001</v>
      </c>
      <c r="F59" s="368">
        <f>D59*E59</f>
        <v>499.96623600000004</v>
      </c>
      <c r="G59" s="366">
        <v>5.6000000000000005</v>
      </c>
      <c r="H59" s="369">
        <f>D59*G59</f>
        <v>1540.7280000000001</v>
      </c>
      <c r="I59" s="370">
        <f>+E59+G59</f>
        <v>7.4172000000000011</v>
      </c>
      <c r="J59" s="417">
        <f>D59*I59</f>
        <v>2040.6942360000003</v>
      </c>
      <c r="K59" s="422"/>
      <c r="L59" s="427">
        <f>+J59*K59</f>
        <v>0</v>
      </c>
      <c r="M59" s="419"/>
      <c r="N59" s="420">
        <f>+M59*J59</f>
        <v>0</v>
      </c>
      <c r="O59" s="425">
        <f>+K59+M59</f>
        <v>0</v>
      </c>
      <c r="P59" s="426">
        <f>+N59+L59</f>
        <v>0</v>
      </c>
      <c r="Q59" s="421">
        <f>100%-O59</f>
        <v>1</v>
      </c>
      <c r="R59" s="420">
        <f t="shared" si="3"/>
        <v>2040.6942360000003</v>
      </c>
    </row>
    <row r="60" spans="1:18" ht="12" hidden="1" customHeight="1" outlineLevel="2" x14ac:dyDescent="0.2">
      <c r="A60" s="272" t="s">
        <v>923</v>
      </c>
      <c r="B60" s="308" t="str">
        <f>+'O. GRUESA'!B248</f>
        <v>LOSA MACIZA</v>
      </c>
      <c r="C60" s="276"/>
      <c r="D60" s="276"/>
      <c r="E60" s="276"/>
      <c r="F60" s="276"/>
      <c r="G60" s="276"/>
      <c r="H60" s="276"/>
      <c r="I60" s="276"/>
      <c r="J60" s="416"/>
      <c r="K60" s="424"/>
      <c r="L60" s="416"/>
      <c r="M60" s="416"/>
      <c r="N60" s="416"/>
      <c r="O60" s="416"/>
      <c r="P60" s="416"/>
      <c r="Q60" s="416"/>
      <c r="R60" s="416">
        <f t="shared" si="3"/>
        <v>0</v>
      </c>
    </row>
    <row r="61" spans="1:18" ht="12" hidden="1" customHeight="1" outlineLevel="2" x14ac:dyDescent="0.2">
      <c r="A61" s="169" t="s">
        <v>924</v>
      </c>
      <c r="B61" s="275" t="str">
        <f>+'O. GRUESA'!B249</f>
        <v>LOSA MACIZA - CONCRETO PREMEZCLADO f'c=210kg/cm2</v>
      </c>
      <c r="C61" s="169" t="str">
        <f>+'O. GRUESA'!D249</f>
        <v>m3</v>
      </c>
      <c r="D61" s="367">
        <f>+'O. GRUESA'!J249</f>
        <v>2.0145</v>
      </c>
      <c r="E61" s="366">
        <v>57.276533333333333</v>
      </c>
      <c r="F61" s="368">
        <f>D61*E61</f>
        <v>115.3835764</v>
      </c>
      <c r="G61" s="366">
        <v>330.75</v>
      </c>
      <c r="H61" s="369">
        <f>D61*G61</f>
        <v>666.29587500000002</v>
      </c>
      <c r="I61" s="370">
        <f>+E61+G61</f>
        <v>388.0265333333333</v>
      </c>
      <c r="J61" s="417">
        <f>D61*I61</f>
        <v>781.67945139999995</v>
      </c>
      <c r="K61" s="422"/>
      <c r="L61" s="427">
        <f>+J61*K61</f>
        <v>0</v>
      </c>
      <c r="M61" s="419"/>
      <c r="N61" s="420">
        <f>+M61*J61</f>
        <v>0</v>
      </c>
      <c r="O61" s="425">
        <f>+K61+M61</f>
        <v>0</v>
      </c>
      <c r="P61" s="426">
        <f>+N61+L61</f>
        <v>0</v>
      </c>
      <c r="Q61" s="421">
        <f>100%-O61</f>
        <v>1</v>
      </c>
      <c r="R61" s="420">
        <f t="shared" si="3"/>
        <v>781.67945139999995</v>
      </c>
    </row>
    <row r="62" spans="1:18" ht="12" hidden="1" customHeight="1" outlineLevel="2" x14ac:dyDescent="0.2">
      <c r="A62" s="169" t="s">
        <v>925</v>
      </c>
      <c r="B62" s="275" t="str">
        <f>+'O. GRUESA'!B252</f>
        <v>LOSA MACIZA - ENCOFRADO Y DESENCOFRADO</v>
      </c>
      <c r="C62" s="169" t="str">
        <f>+'O. GRUESA'!D252</f>
        <v>m2</v>
      </c>
      <c r="D62" s="367">
        <f>+'O. GRUESA'!J252</f>
        <v>10.0725</v>
      </c>
      <c r="E62" s="366">
        <v>44.140404761904755</v>
      </c>
      <c r="F62" s="368">
        <f>D62*E62</f>
        <v>444.60422696428566</v>
      </c>
      <c r="G62" s="366">
        <v>1.2000000000000002</v>
      </c>
      <c r="H62" s="369">
        <f>D62*G62</f>
        <v>12.087000000000002</v>
      </c>
      <c r="I62" s="370">
        <f>+E62+G62</f>
        <v>45.340404761904757</v>
      </c>
      <c r="J62" s="417">
        <f>D62*I62</f>
        <v>456.69122696428565</v>
      </c>
      <c r="K62" s="422"/>
      <c r="L62" s="427">
        <f>+J62*K62</f>
        <v>0</v>
      </c>
      <c r="M62" s="419"/>
      <c r="N62" s="420">
        <f>+M62*J62</f>
        <v>0</v>
      </c>
      <c r="O62" s="425">
        <f>+K62+M62</f>
        <v>0</v>
      </c>
      <c r="P62" s="426">
        <f>+N62+L62</f>
        <v>0</v>
      </c>
      <c r="Q62" s="421">
        <f>100%-O62</f>
        <v>1</v>
      </c>
      <c r="R62" s="420">
        <f t="shared" si="3"/>
        <v>456.69122696428565</v>
      </c>
    </row>
    <row r="63" spans="1:18" ht="12" hidden="1" customHeight="1" outlineLevel="2" x14ac:dyDescent="0.2">
      <c r="A63" s="169" t="s">
        <v>926</v>
      </c>
      <c r="B63" s="275" t="str">
        <f>+'O. GRUESA'!B255</f>
        <v>LOSA MACIZA - ACERO fy=4200kg/cm2</v>
      </c>
      <c r="C63" s="169" t="str">
        <f>+'O. GRUESA'!D255</f>
        <v>kg</v>
      </c>
      <c r="D63" s="367">
        <f>+'O. GRUESA'!J255</f>
        <v>151.08750000000001</v>
      </c>
      <c r="E63" s="366">
        <v>1.8172000000000001</v>
      </c>
      <c r="F63" s="368">
        <f>D63*E63</f>
        <v>274.55620500000003</v>
      </c>
      <c r="G63" s="366">
        <v>5.6000000000000005</v>
      </c>
      <c r="H63" s="369">
        <f>D63*G63</f>
        <v>846.09000000000015</v>
      </c>
      <c r="I63" s="370">
        <f>+E63+G63</f>
        <v>7.4172000000000011</v>
      </c>
      <c r="J63" s="417">
        <f>D63*I63</f>
        <v>1120.6462050000002</v>
      </c>
      <c r="K63" s="422"/>
      <c r="L63" s="427">
        <f>+J63*K63</f>
        <v>0</v>
      </c>
      <c r="M63" s="419"/>
      <c r="N63" s="420">
        <f>+M63*J63</f>
        <v>0</v>
      </c>
      <c r="O63" s="425">
        <f>+K63+M63</f>
        <v>0</v>
      </c>
      <c r="P63" s="426">
        <f>+N63+L63</f>
        <v>0</v>
      </c>
      <c r="Q63" s="421">
        <f>100%-O63</f>
        <v>1</v>
      </c>
      <c r="R63" s="420">
        <f t="shared" si="3"/>
        <v>1120.6462050000002</v>
      </c>
    </row>
    <row r="64" spans="1:18" ht="12" hidden="1" customHeight="1" outlineLevel="2" x14ac:dyDescent="0.2">
      <c r="A64" s="272" t="s">
        <v>927</v>
      </c>
      <c r="B64" s="308" t="str">
        <f>+'O. GRUESA'!B259</f>
        <v>ESCALERA</v>
      </c>
      <c r="C64" s="276"/>
      <c r="D64" s="276"/>
      <c r="E64" s="276"/>
      <c r="F64" s="276"/>
      <c r="G64" s="276"/>
      <c r="H64" s="276"/>
      <c r="I64" s="276"/>
      <c r="J64" s="416"/>
      <c r="K64" s="424"/>
      <c r="L64" s="416"/>
      <c r="M64" s="416"/>
      <c r="N64" s="416"/>
      <c r="O64" s="416"/>
      <c r="P64" s="416"/>
      <c r="Q64" s="416"/>
      <c r="R64" s="416">
        <f t="shared" si="3"/>
        <v>0</v>
      </c>
    </row>
    <row r="65" spans="1:20" ht="12" hidden="1" customHeight="1" outlineLevel="2" x14ac:dyDescent="0.2">
      <c r="A65" s="169" t="s">
        <v>928</v>
      </c>
      <c r="B65" s="275" t="str">
        <f>+'O. GRUESA'!B260</f>
        <v>ESCALERA -CONCRETO PREMEZCLADO f'c=210kg/cm2</v>
      </c>
      <c r="C65" s="169" t="str">
        <f>+'O. GRUESA'!D260</f>
        <v>m3</v>
      </c>
      <c r="D65" s="367">
        <f>+'O. GRUESA'!J260</f>
        <v>2.9400000000000004</v>
      </c>
      <c r="E65" s="366">
        <v>71.595666666666673</v>
      </c>
      <c r="F65" s="368">
        <f>D65*E65</f>
        <v>210.49126000000004</v>
      </c>
      <c r="G65" s="366">
        <v>330.75</v>
      </c>
      <c r="H65" s="369">
        <f>D65*G65</f>
        <v>972.40500000000009</v>
      </c>
      <c r="I65" s="370">
        <f>+E65+G65</f>
        <v>402.34566666666666</v>
      </c>
      <c r="J65" s="417">
        <f>D65*I65</f>
        <v>1182.8962600000002</v>
      </c>
      <c r="K65" s="422"/>
      <c r="L65" s="427">
        <f>+J65*K65</f>
        <v>0</v>
      </c>
      <c r="M65" s="419"/>
      <c r="N65" s="420">
        <f>+M65*J65</f>
        <v>0</v>
      </c>
      <c r="O65" s="425">
        <f>+K65+M65</f>
        <v>0</v>
      </c>
      <c r="P65" s="426">
        <f>+N65+L65</f>
        <v>0</v>
      </c>
      <c r="Q65" s="421">
        <f>100%-O65</f>
        <v>1</v>
      </c>
      <c r="R65" s="420">
        <f t="shared" si="3"/>
        <v>1182.8962600000002</v>
      </c>
    </row>
    <row r="66" spans="1:20" ht="12" hidden="1" customHeight="1" outlineLevel="2" x14ac:dyDescent="0.2">
      <c r="A66" s="169" t="s">
        <v>929</v>
      </c>
      <c r="B66" s="275" t="str">
        <f>+'O. GRUESA'!B264</f>
        <v>ESCALERA - ENCOFRADO Y DESENCOFRADO</v>
      </c>
      <c r="C66" s="169" t="str">
        <f>+'O. GRUESA'!D264</f>
        <v>m2</v>
      </c>
      <c r="D66" s="367">
        <f>+'O. GRUESA'!J264</f>
        <v>15.756</v>
      </c>
      <c r="E66" s="366">
        <v>69.230305555555574</v>
      </c>
      <c r="F66" s="368">
        <f>D66*E66</f>
        <v>1090.7926943333337</v>
      </c>
      <c r="G66" s="366">
        <v>0.75</v>
      </c>
      <c r="H66" s="369">
        <f>D66*G66</f>
        <v>11.817</v>
      </c>
      <c r="I66" s="370">
        <f>+E66+G66</f>
        <v>69.980305555555574</v>
      </c>
      <c r="J66" s="417">
        <f>D66*I66</f>
        <v>1102.6096943333337</v>
      </c>
      <c r="K66" s="422"/>
      <c r="L66" s="427">
        <f>+J66*K66</f>
        <v>0</v>
      </c>
      <c r="M66" s="419"/>
      <c r="N66" s="420">
        <f>+M66*J66</f>
        <v>0</v>
      </c>
      <c r="O66" s="425">
        <f>+K66+M66</f>
        <v>0</v>
      </c>
      <c r="P66" s="426">
        <f>+N66+L66</f>
        <v>0</v>
      </c>
      <c r="Q66" s="421">
        <f>100%-O66</f>
        <v>1</v>
      </c>
      <c r="R66" s="420">
        <f t="shared" si="3"/>
        <v>1102.6096943333337</v>
      </c>
    </row>
    <row r="67" spans="1:20" ht="12" hidden="1" customHeight="1" outlineLevel="2" x14ac:dyDescent="0.2">
      <c r="A67" s="169" t="s">
        <v>930</v>
      </c>
      <c r="B67" s="275" t="str">
        <f>+'O. GRUESA'!B270</f>
        <v>ESCALERA - ACERO fy=4200kg/cm2</v>
      </c>
      <c r="C67" s="169" t="str">
        <f>+'O. GRUESA'!D270</f>
        <v>kg</v>
      </c>
      <c r="D67" s="367">
        <f>+'O. GRUESA'!J270</f>
        <v>191.10000000000002</v>
      </c>
      <c r="E67" s="366">
        <v>1.8172000000000001</v>
      </c>
      <c r="F67" s="368">
        <f>D67*E67</f>
        <v>347.26692000000008</v>
      </c>
      <c r="G67" s="366">
        <v>5.6000000000000005</v>
      </c>
      <c r="H67" s="369">
        <f>D67*G67</f>
        <v>1070.1600000000003</v>
      </c>
      <c r="I67" s="370">
        <f>+E67+G67</f>
        <v>7.4172000000000011</v>
      </c>
      <c r="J67" s="417">
        <f>D67*I67</f>
        <v>1417.4269200000003</v>
      </c>
      <c r="K67" s="422"/>
      <c r="L67" s="427">
        <f>+J67*K67</f>
        <v>0</v>
      </c>
      <c r="M67" s="419"/>
      <c r="N67" s="420">
        <f>+M67*J67</f>
        <v>0</v>
      </c>
      <c r="O67" s="425">
        <f>+K67+M67</f>
        <v>0</v>
      </c>
      <c r="P67" s="426">
        <f>+N67+L67</f>
        <v>0</v>
      </c>
      <c r="Q67" s="421">
        <f>100%-O67</f>
        <v>1</v>
      </c>
      <c r="R67" s="420">
        <f t="shared" si="3"/>
        <v>1417.4269200000003</v>
      </c>
    </row>
    <row r="68" spans="1:20" ht="12" hidden="1" customHeight="1" outlineLevel="2" x14ac:dyDescent="0.2">
      <c r="A68" s="272" t="s">
        <v>931</v>
      </c>
      <c r="B68" s="308" t="s">
        <v>847</v>
      </c>
      <c r="C68" s="276"/>
      <c r="D68" s="276"/>
      <c r="E68" s="276"/>
      <c r="F68" s="276"/>
      <c r="G68" s="276"/>
      <c r="H68" s="276"/>
      <c r="I68" s="276"/>
      <c r="J68" s="416"/>
      <c r="K68" s="424"/>
      <c r="L68" s="416"/>
      <c r="M68" s="416"/>
      <c r="N68" s="416"/>
      <c r="O68" s="416"/>
      <c r="P68" s="416"/>
      <c r="Q68" s="416"/>
      <c r="R68" s="416">
        <f t="shared" ref="R68:R69" si="9">+J68-P68</f>
        <v>0</v>
      </c>
    </row>
    <row r="69" spans="1:20" ht="12" hidden="1" customHeight="1" outlineLevel="2" x14ac:dyDescent="0.2">
      <c r="A69" s="169" t="s">
        <v>932</v>
      </c>
      <c r="B69" s="275" t="s">
        <v>848</v>
      </c>
      <c r="C69" s="169" t="s">
        <v>300</v>
      </c>
      <c r="D69" s="367">
        <v>1</v>
      </c>
      <c r="E69" s="366">
        <v>409.95520000000005</v>
      </c>
      <c r="F69" s="368">
        <f>D69*E69</f>
        <v>409.95520000000005</v>
      </c>
      <c r="G69" s="366">
        <v>1.829</v>
      </c>
      <c r="H69" s="369">
        <f>D69*G69</f>
        <v>1.829</v>
      </c>
      <c r="I69" s="370">
        <f>+J69</f>
        <v>989.49906439078768</v>
      </c>
      <c r="J69" s="417">
        <v>989.49906439078768</v>
      </c>
      <c r="K69" s="422"/>
      <c r="L69" s="427">
        <f>+J69*K69</f>
        <v>0</v>
      </c>
      <c r="M69" s="419"/>
      <c r="N69" s="420">
        <f>+M69*J69</f>
        <v>0</v>
      </c>
      <c r="O69" s="425">
        <f>+K69+M69</f>
        <v>0</v>
      </c>
      <c r="P69" s="426">
        <f>+N69+L69</f>
        <v>0</v>
      </c>
      <c r="Q69" s="421">
        <f>100%-O69</f>
        <v>1</v>
      </c>
      <c r="R69" s="420">
        <f t="shared" si="9"/>
        <v>989.49906439078768</v>
      </c>
    </row>
    <row r="70" spans="1:20" ht="12" customHeight="1" outlineLevel="1" collapsed="1" x14ac:dyDescent="0.2">
      <c r="A70" s="219" t="s">
        <v>734</v>
      </c>
      <c r="B70" s="277" t="s">
        <v>778</v>
      </c>
      <c r="C70" s="219"/>
      <c r="D70" s="219"/>
      <c r="E70" s="372"/>
      <c r="F70" s="415">
        <f>SUM(F71:F72)</f>
        <v>4520.1001250000008</v>
      </c>
      <c r="G70" s="372"/>
      <c r="H70" s="415">
        <f>SUM(H71:H72)</f>
        <v>6993.5746575000003</v>
      </c>
      <c r="I70" s="219"/>
      <c r="J70" s="415">
        <f>+RESUMEN!C11</f>
        <v>11249.032606216164</v>
      </c>
      <c r="K70" s="415"/>
      <c r="L70" s="415">
        <f>+RESUMEN!E11</f>
        <v>0</v>
      </c>
      <c r="M70" s="415"/>
      <c r="N70" s="415" t="e">
        <f>+#REF!+#REF!</f>
        <v>#REF!</v>
      </c>
      <c r="O70" s="415"/>
      <c r="P70" s="415" t="e">
        <f>+#REF!+#REF!</f>
        <v>#REF!</v>
      </c>
      <c r="Q70" s="415"/>
      <c r="R70" s="415" t="e">
        <f>+#REF!+#REF!</f>
        <v>#REF!</v>
      </c>
    </row>
    <row r="71" spans="1:20" ht="12" hidden="1" customHeight="1" outlineLevel="2" x14ac:dyDescent="0.2">
      <c r="A71" s="169" t="s">
        <v>735</v>
      </c>
      <c r="B71" s="275" t="str">
        <f>+'O. HUMEDAD'!B10</f>
        <v>MURO DE LADRILLO SOGA PANDERETA</v>
      </c>
      <c r="C71" s="169" t="s">
        <v>408</v>
      </c>
      <c r="D71" s="367">
        <f>+'O. HUMEDAD'!J10</f>
        <v>92.25</v>
      </c>
      <c r="E71" s="366">
        <v>34.397833333333338</v>
      </c>
      <c r="F71" s="368">
        <f>+D71*E71</f>
        <v>3173.2001250000003</v>
      </c>
      <c r="G71" s="366">
        <v>60.071269999999998</v>
      </c>
      <c r="H71" s="369">
        <f>+D71*G71</f>
        <v>5541.5746575000003</v>
      </c>
      <c r="I71" s="370">
        <f>+E71+G71</f>
        <v>94.469103333333337</v>
      </c>
      <c r="J71" s="417">
        <f>+D71*I71</f>
        <v>8714.7747825000006</v>
      </c>
      <c r="K71" s="422"/>
      <c r="L71" s="427">
        <f>+J71*K71</f>
        <v>0</v>
      </c>
      <c r="M71" s="419"/>
      <c r="N71" s="420">
        <f>+J71*M71</f>
        <v>0</v>
      </c>
      <c r="O71" s="425">
        <f>+K71+M71</f>
        <v>0</v>
      </c>
      <c r="P71" s="426">
        <f>+N71+L71</f>
        <v>0</v>
      </c>
      <c r="Q71" s="421">
        <f>100%-O71</f>
        <v>1</v>
      </c>
      <c r="R71" s="420">
        <f>+J71-P71</f>
        <v>8714.7747825000006</v>
      </c>
    </row>
    <row r="72" spans="1:20" ht="12" hidden="1" customHeight="1" outlineLevel="2" x14ac:dyDescent="0.2">
      <c r="A72" s="169" t="s">
        <v>736</v>
      </c>
      <c r="B72" s="275" t="str">
        <f>+'O. HUMEDAD'!B24</f>
        <v>COLUMNETAS</v>
      </c>
      <c r="C72" s="169" t="s">
        <v>2</v>
      </c>
      <c r="D72" s="367">
        <f>+'O. HUMEDAD'!J24</f>
        <v>12</v>
      </c>
      <c r="E72" s="366">
        <v>112.24166666666667</v>
      </c>
      <c r="F72" s="368">
        <f>+D72*E72</f>
        <v>1346.9</v>
      </c>
      <c r="G72" s="366">
        <v>121</v>
      </c>
      <c r="H72" s="369">
        <f>+D72*G72</f>
        <v>1452</v>
      </c>
      <c r="I72" s="370">
        <f>+J72/D72</f>
        <v>211.18815197634694</v>
      </c>
      <c r="J72" s="417">
        <f>+J70-J71</f>
        <v>2534.2578237161633</v>
      </c>
      <c r="K72" s="422"/>
      <c r="L72" s="427">
        <f>+J72*K72</f>
        <v>0</v>
      </c>
      <c r="M72" s="419"/>
      <c r="N72" s="420">
        <f>+J72*M72</f>
        <v>0</v>
      </c>
      <c r="O72" s="425">
        <f>+K72+M72</f>
        <v>0</v>
      </c>
      <c r="P72" s="426">
        <f>+N72+L72</f>
        <v>0</v>
      </c>
      <c r="Q72" s="421">
        <f>100%-O72</f>
        <v>1</v>
      </c>
      <c r="R72" s="420">
        <f>+J72-P72</f>
        <v>2534.2578237161633</v>
      </c>
    </row>
    <row r="73" spans="1:20" ht="12" customHeight="1" outlineLevel="1" collapsed="1" x14ac:dyDescent="0.2">
      <c r="A73" s="219" t="s">
        <v>737</v>
      </c>
      <c r="B73" s="277" t="s">
        <v>500</v>
      </c>
      <c r="C73" s="219"/>
      <c r="D73" s="219"/>
      <c r="E73" s="372"/>
      <c r="F73" s="415">
        <f>SUM(F74:F81)</f>
        <v>17700.514615655549</v>
      </c>
      <c r="G73" s="372"/>
      <c r="H73" s="415">
        <f>SUM(H74:H81)</f>
        <v>5032.1550763050764</v>
      </c>
      <c r="I73" s="219"/>
      <c r="J73" s="415">
        <f>+RESUMEN!C12</f>
        <v>22732.669691960629</v>
      </c>
      <c r="K73" s="415"/>
      <c r="L73" s="415">
        <f>+RESUMEN!E12</f>
        <v>0</v>
      </c>
      <c r="M73" s="415"/>
      <c r="N73" s="415" t="e">
        <f>+#REF!+N117</f>
        <v>#REF!</v>
      </c>
      <c r="O73" s="415"/>
      <c r="P73" s="415" t="e">
        <f>+#REF!+P117</f>
        <v>#REF!</v>
      </c>
      <c r="Q73" s="415"/>
      <c r="R73" s="415" t="e">
        <f>+#REF!+R117</f>
        <v>#REF!</v>
      </c>
      <c r="S73" s="669"/>
      <c r="T73" s="669"/>
    </row>
    <row r="74" spans="1:20" ht="12" hidden="1" customHeight="1" outlineLevel="2" x14ac:dyDescent="0.2">
      <c r="A74" s="169" t="s">
        <v>738</v>
      </c>
      <c r="B74" s="275" t="str">
        <f>+'O. HUMEDAD'!B28</f>
        <v>TARRAJEO EN INTERIORES FROTACHADO</v>
      </c>
      <c r="C74" s="169" t="s">
        <v>408</v>
      </c>
      <c r="D74" s="367">
        <f>+'O. HUMEDAD'!J28</f>
        <v>184.5</v>
      </c>
      <c r="E74" s="366">
        <v>25.612722222222224</v>
      </c>
      <c r="F74" s="368">
        <f t="shared" ref="F74:F81" si="10">+D74*E74</f>
        <v>4725.5472500000005</v>
      </c>
      <c r="G74" s="366">
        <v>7.4074999999999998</v>
      </c>
      <c r="H74" s="369">
        <f t="shared" ref="H74:H81" si="11">+D74*G74</f>
        <v>1366.6837499999999</v>
      </c>
      <c r="I74" s="370">
        <f>+E74+G74</f>
        <v>33.020222222222223</v>
      </c>
      <c r="J74" s="417">
        <f>+D74*I74</f>
        <v>6092.2309999999998</v>
      </c>
      <c r="K74" s="422"/>
      <c r="L74" s="427">
        <f>+J74*K74</f>
        <v>0</v>
      </c>
      <c r="M74" s="419"/>
      <c r="N74" s="420">
        <f>+J74*M74</f>
        <v>0</v>
      </c>
      <c r="O74" s="425">
        <f>+K74+M74</f>
        <v>0</v>
      </c>
      <c r="P74" s="426">
        <f>+N74+L74</f>
        <v>0</v>
      </c>
      <c r="Q74" s="421">
        <f>100%-O74</f>
        <v>1</v>
      </c>
      <c r="R74" s="420">
        <f>+J74-P74</f>
        <v>6092.2309999999998</v>
      </c>
    </row>
    <row r="75" spans="1:20" ht="12" hidden="1" customHeight="1" outlineLevel="2" x14ac:dyDescent="0.2">
      <c r="A75" s="169" t="s">
        <v>900</v>
      </c>
      <c r="B75" s="275" t="str">
        <f>+'O. HUMEDAD'!B42</f>
        <v>TARRAJEO EN COLUMNAS Y PLACAS</v>
      </c>
      <c r="C75" s="169" t="s">
        <v>408</v>
      </c>
      <c r="D75" s="367">
        <f>+'O. HUMEDAD'!J42</f>
        <v>96.75200000000001</v>
      </c>
      <c r="E75" s="366">
        <v>37.002833333333335</v>
      </c>
      <c r="F75" s="368">
        <f t="shared" si="10"/>
        <v>3580.0981306666672</v>
      </c>
      <c r="G75" s="366">
        <v>5.4421000000000008</v>
      </c>
      <c r="H75" s="369">
        <f t="shared" si="11"/>
        <v>526.53405920000012</v>
      </c>
      <c r="I75" s="370">
        <f>+E75+G75</f>
        <v>42.444933333333339</v>
      </c>
      <c r="J75" s="417">
        <f t="shared" ref="J75:J81" si="12">+D75*I75</f>
        <v>4106.6321898666674</v>
      </c>
      <c r="K75" s="422"/>
      <c r="L75" s="427">
        <f>+J75*K75</f>
        <v>0</v>
      </c>
      <c r="M75" s="419"/>
      <c r="N75" s="420">
        <f t="shared" ref="N75:N81" si="13">+J75*M75</f>
        <v>0</v>
      </c>
      <c r="O75" s="425">
        <f t="shared" ref="O75:O81" si="14">+K75+M75</f>
        <v>0</v>
      </c>
      <c r="P75" s="426">
        <f t="shared" ref="P75:P81" si="15">+N75+L75</f>
        <v>0</v>
      </c>
      <c r="Q75" s="421">
        <f t="shared" ref="Q75:Q81" si="16">100%-O75</f>
        <v>1</v>
      </c>
      <c r="R75" s="420">
        <f t="shared" ref="R75:R97" si="17">+J75-P75</f>
        <v>4106.6321898666674</v>
      </c>
    </row>
    <row r="76" spans="1:20" ht="12" hidden="1" customHeight="1" outlineLevel="2" x14ac:dyDescent="0.2">
      <c r="A76" s="169" t="s">
        <v>901</v>
      </c>
      <c r="B76" s="275" t="str">
        <f>+'O. HUMEDAD'!B72</f>
        <v>TARRAJEO EN VIGAS</v>
      </c>
      <c r="C76" s="169" t="s">
        <v>408</v>
      </c>
      <c r="D76" s="367">
        <f>+'O. HUMEDAD'!J72</f>
        <v>33.512500000000003</v>
      </c>
      <c r="E76" s="366">
        <v>35.584166666666668</v>
      </c>
      <c r="F76" s="368">
        <f t="shared" si="10"/>
        <v>1192.5143854166668</v>
      </c>
      <c r="G76" s="366">
        <v>5.5521000000000003</v>
      </c>
      <c r="H76" s="369">
        <f t="shared" si="11"/>
        <v>186.06475125000003</v>
      </c>
      <c r="I76" s="370">
        <f t="shared" ref="I76:I81" si="18">+E76+G76</f>
        <v>41.136266666666671</v>
      </c>
      <c r="J76" s="417">
        <f t="shared" si="12"/>
        <v>1378.579136666667</v>
      </c>
      <c r="K76" s="422"/>
      <c r="L76" s="427">
        <f t="shared" ref="L76:L81" si="19">+J76*K76</f>
        <v>0</v>
      </c>
      <c r="M76" s="419"/>
      <c r="N76" s="420">
        <f t="shared" si="13"/>
        <v>0</v>
      </c>
      <c r="O76" s="425">
        <f t="shared" si="14"/>
        <v>0</v>
      </c>
      <c r="P76" s="426">
        <f t="shared" si="15"/>
        <v>0</v>
      </c>
      <c r="Q76" s="421">
        <f t="shared" si="16"/>
        <v>1</v>
      </c>
      <c r="R76" s="420">
        <f t="shared" si="17"/>
        <v>1378.579136666667</v>
      </c>
    </row>
    <row r="77" spans="1:20" ht="12" hidden="1" customHeight="1" outlineLevel="2" x14ac:dyDescent="0.2">
      <c r="A77" s="169" t="s">
        <v>902</v>
      </c>
      <c r="B77" s="275" t="str">
        <f>+'O. HUMEDAD'!B93</f>
        <v>VESTIDURA DE DERRAMES</v>
      </c>
      <c r="C77" s="169" t="s">
        <v>416</v>
      </c>
      <c r="D77" s="367">
        <f>+'O. HUMEDAD'!J93</f>
        <v>28.95</v>
      </c>
      <c r="E77" s="366">
        <v>12.492416800000001</v>
      </c>
      <c r="F77" s="368">
        <f t="shared" si="10"/>
        <v>361.65546635999999</v>
      </c>
      <c r="G77" s="366">
        <v>0.53400000000000003</v>
      </c>
      <c r="H77" s="369">
        <f t="shared" si="11"/>
        <v>15.459300000000001</v>
      </c>
      <c r="I77" s="370">
        <f t="shared" si="18"/>
        <v>13.026416800000002</v>
      </c>
      <c r="J77" s="417">
        <f>+D77*I77</f>
        <v>377.11476636000003</v>
      </c>
      <c r="K77" s="422"/>
      <c r="L77" s="427">
        <f t="shared" si="19"/>
        <v>0</v>
      </c>
      <c r="M77" s="419"/>
      <c r="N77" s="420">
        <f t="shared" si="13"/>
        <v>0</v>
      </c>
      <c r="O77" s="425">
        <f t="shared" si="14"/>
        <v>0</v>
      </c>
      <c r="P77" s="426">
        <f t="shared" si="15"/>
        <v>0</v>
      </c>
      <c r="Q77" s="421">
        <f t="shared" si="16"/>
        <v>1</v>
      </c>
      <c r="R77" s="420">
        <f t="shared" si="17"/>
        <v>377.11476636000003</v>
      </c>
    </row>
    <row r="78" spans="1:20" ht="12" hidden="1" customHeight="1" outlineLevel="2" x14ac:dyDescent="0.2">
      <c r="A78" s="169" t="s">
        <v>903</v>
      </c>
      <c r="B78" s="275" t="str">
        <f>+'O. HUMEDAD'!B100</f>
        <v>TARRAJEO EN CIELO RASO</v>
      </c>
      <c r="C78" s="169" t="s">
        <v>408</v>
      </c>
      <c r="D78" s="367">
        <f>+J78/I78</f>
        <v>74.666230793515282</v>
      </c>
      <c r="E78" s="366">
        <v>34.142693333333334</v>
      </c>
      <c r="F78" s="368">
        <f t="shared" si="10"/>
        <v>2549.3062203388822</v>
      </c>
      <c r="G78" s="366">
        <v>3.5350000000000001</v>
      </c>
      <c r="H78" s="369">
        <f t="shared" si="11"/>
        <v>263.94512585507653</v>
      </c>
      <c r="I78" s="370">
        <f t="shared" si="18"/>
        <v>37.677693333333337</v>
      </c>
      <c r="J78" s="417">
        <f>+J73-SUM(J74:J77)-SUM(J79:J81)</f>
        <v>2813.2513461939589</v>
      </c>
      <c r="K78" s="422"/>
      <c r="L78" s="427">
        <f t="shared" si="19"/>
        <v>0</v>
      </c>
      <c r="M78" s="419"/>
      <c r="N78" s="420">
        <f t="shared" si="13"/>
        <v>0</v>
      </c>
      <c r="O78" s="425">
        <f t="shared" si="14"/>
        <v>0</v>
      </c>
      <c r="P78" s="426">
        <f t="shared" si="15"/>
        <v>0</v>
      </c>
      <c r="Q78" s="421">
        <f t="shared" si="16"/>
        <v>1</v>
      </c>
      <c r="R78" s="420">
        <f t="shared" si="17"/>
        <v>2813.2513461939589</v>
      </c>
    </row>
    <row r="79" spans="1:20" ht="12" hidden="1" customHeight="1" outlineLevel="2" x14ac:dyDescent="0.2">
      <c r="A79" s="169" t="s">
        <v>904</v>
      </c>
      <c r="B79" s="275" t="str">
        <f>+'O. HUMEDAD'!B111</f>
        <v>CONTRAPISO DE 48mm - TIPO CEMENTO PULIDO</v>
      </c>
      <c r="C79" s="169" t="s">
        <v>408</v>
      </c>
      <c r="D79" s="367">
        <f>+'O. HUMEDAD'!J111</f>
        <v>132.19</v>
      </c>
      <c r="E79" s="366">
        <v>31.576750000000001</v>
      </c>
      <c r="F79" s="368">
        <f t="shared" si="10"/>
        <v>4174.1305824999999</v>
      </c>
      <c r="G79" s="366">
        <v>18.965000000000003</v>
      </c>
      <c r="H79" s="369">
        <f t="shared" si="11"/>
        <v>2506.9833500000004</v>
      </c>
      <c r="I79" s="370">
        <f t="shared" si="18"/>
        <v>50.541750000000008</v>
      </c>
      <c r="J79" s="417">
        <f>+D79*I79</f>
        <v>6681.1139325000013</v>
      </c>
      <c r="K79" s="422"/>
      <c r="L79" s="427">
        <f t="shared" si="19"/>
        <v>0</v>
      </c>
      <c r="M79" s="419"/>
      <c r="N79" s="420">
        <f t="shared" si="13"/>
        <v>0</v>
      </c>
      <c r="O79" s="425">
        <f t="shared" si="14"/>
        <v>0</v>
      </c>
      <c r="P79" s="426">
        <f t="shared" si="15"/>
        <v>0</v>
      </c>
      <c r="Q79" s="421">
        <f t="shared" si="16"/>
        <v>1</v>
      </c>
      <c r="R79" s="420">
        <f t="shared" si="17"/>
        <v>6681.1139325000013</v>
      </c>
    </row>
    <row r="80" spans="1:20" ht="12" hidden="1" customHeight="1" outlineLevel="2" x14ac:dyDescent="0.2">
      <c r="A80" s="169" t="s">
        <v>905</v>
      </c>
      <c r="B80" s="275" t="str">
        <f>+'O. HUMEDAD'!B114</f>
        <v>TARRAJEO DE ESCALERA</v>
      </c>
      <c r="C80" s="169" t="s">
        <v>408</v>
      </c>
      <c r="D80" s="367">
        <f>+'O. HUMEDAD'!J114</f>
        <v>15.664</v>
      </c>
      <c r="E80" s="366">
        <v>33.730693333333335</v>
      </c>
      <c r="F80" s="368">
        <f t="shared" si="10"/>
        <v>528.35758037333335</v>
      </c>
      <c r="G80" s="366">
        <v>3.5350000000000001</v>
      </c>
      <c r="H80" s="369">
        <f t="shared" si="11"/>
        <v>55.372239999999998</v>
      </c>
      <c r="I80" s="370">
        <f t="shared" si="18"/>
        <v>37.265693333333331</v>
      </c>
      <c r="J80" s="417">
        <f t="shared" si="12"/>
        <v>583.72982037333327</v>
      </c>
      <c r="K80" s="422"/>
      <c r="L80" s="427">
        <f t="shared" si="19"/>
        <v>0</v>
      </c>
      <c r="M80" s="419"/>
      <c r="N80" s="420">
        <f t="shared" si="13"/>
        <v>0</v>
      </c>
      <c r="O80" s="425">
        <f t="shared" si="14"/>
        <v>0</v>
      </c>
      <c r="P80" s="426">
        <f t="shared" si="15"/>
        <v>0</v>
      </c>
      <c r="Q80" s="421">
        <f t="shared" si="16"/>
        <v>1</v>
      </c>
      <c r="R80" s="420">
        <f t="shared" si="17"/>
        <v>583.72982037333327</v>
      </c>
    </row>
    <row r="81" spans="1:20" ht="12" hidden="1" customHeight="1" outlineLevel="2" x14ac:dyDescent="0.2">
      <c r="A81" s="169" t="s">
        <v>906</v>
      </c>
      <c r="B81" s="275" t="str">
        <f>+'O. HUMEDAD'!B124</f>
        <v>TARRAJEO EN EXTERIORES</v>
      </c>
      <c r="C81" s="169" t="s">
        <v>408</v>
      </c>
      <c r="D81" s="367">
        <v>15</v>
      </c>
      <c r="E81" s="366">
        <v>39.260333333333335</v>
      </c>
      <c r="F81" s="368">
        <f t="shared" si="10"/>
        <v>588.90499999999997</v>
      </c>
      <c r="G81" s="366">
        <v>7.4074999999999998</v>
      </c>
      <c r="H81" s="369">
        <f t="shared" si="11"/>
        <v>111.1125</v>
      </c>
      <c r="I81" s="370">
        <f t="shared" si="18"/>
        <v>46.667833333333334</v>
      </c>
      <c r="J81" s="417">
        <f t="shared" si="12"/>
        <v>700.01750000000004</v>
      </c>
      <c r="K81" s="422"/>
      <c r="L81" s="427">
        <f t="shared" si="19"/>
        <v>0</v>
      </c>
      <c r="M81" s="419"/>
      <c r="N81" s="420">
        <f t="shared" si="13"/>
        <v>0</v>
      </c>
      <c r="O81" s="425">
        <f t="shared" si="14"/>
        <v>0</v>
      </c>
      <c r="P81" s="426">
        <f t="shared" si="15"/>
        <v>0</v>
      </c>
      <c r="Q81" s="421">
        <f t="shared" si="16"/>
        <v>1</v>
      </c>
      <c r="R81" s="420">
        <f t="shared" si="17"/>
        <v>700.01750000000004</v>
      </c>
    </row>
    <row r="82" spans="1:20" ht="12" customHeight="1" outlineLevel="1" collapsed="1" x14ac:dyDescent="0.2">
      <c r="A82" s="219" t="s">
        <v>886</v>
      </c>
      <c r="B82" s="277" t="s">
        <v>789</v>
      </c>
      <c r="C82" s="219"/>
      <c r="D82" s="219"/>
      <c r="E82" s="372"/>
      <c r="F82" s="415">
        <f>SUM(F85:F99)</f>
        <v>99240.332431853632</v>
      </c>
      <c r="G82" s="372"/>
      <c r="H82" s="415">
        <f>SUM(H85:H99)</f>
        <v>115636.9748511528</v>
      </c>
      <c r="I82" s="219"/>
      <c r="J82" s="415">
        <f>+RESUMEN!C13</f>
        <v>11915.557292298081</v>
      </c>
      <c r="K82" s="415"/>
      <c r="L82" s="415">
        <f>+RESUMEN!E13</f>
        <v>0</v>
      </c>
      <c r="M82" s="415"/>
      <c r="N82" s="415" t="e">
        <f>+#REF!+#REF!</f>
        <v>#REF!</v>
      </c>
      <c r="O82" s="415"/>
      <c r="P82" s="415" t="e">
        <f>+#REF!+#REF!</f>
        <v>#REF!</v>
      </c>
      <c r="Q82" s="415"/>
      <c r="R82" s="415" t="e">
        <f>+#REF!+#REF!</f>
        <v>#REF!</v>
      </c>
      <c r="S82" s="669"/>
      <c r="T82" s="669"/>
    </row>
    <row r="83" spans="1:20" ht="12" hidden="1" customHeight="1" outlineLevel="2" x14ac:dyDescent="0.2">
      <c r="A83" s="169" t="s">
        <v>893</v>
      </c>
      <c r="B83" s="275" t="s">
        <v>850</v>
      </c>
      <c r="C83" s="169" t="s">
        <v>23</v>
      </c>
      <c r="D83" s="367">
        <v>1</v>
      </c>
      <c r="E83" s="366"/>
      <c r="F83" s="670"/>
      <c r="G83" s="366"/>
      <c r="H83" s="671"/>
      <c r="I83" s="370">
        <v>2000</v>
      </c>
      <c r="J83" s="417">
        <f>+I83</f>
        <v>2000</v>
      </c>
      <c r="K83" s="672"/>
      <c r="L83" s="673"/>
      <c r="M83" s="674"/>
      <c r="N83" s="675"/>
      <c r="O83" s="676"/>
      <c r="P83" s="677"/>
      <c r="Q83" s="678"/>
      <c r="R83" s="675"/>
    </row>
    <row r="84" spans="1:20" ht="12" hidden="1" customHeight="1" outlineLevel="2" x14ac:dyDescent="0.2">
      <c r="A84" s="169" t="s">
        <v>894</v>
      </c>
      <c r="B84" s="275" t="s">
        <v>851</v>
      </c>
      <c r="C84" s="169" t="s">
        <v>23</v>
      </c>
      <c r="D84" s="367">
        <v>1</v>
      </c>
      <c r="E84" s="366"/>
      <c r="F84" s="670"/>
      <c r="G84" s="366"/>
      <c r="H84" s="671"/>
      <c r="I84" s="370">
        <v>1200</v>
      </c>
      <c r="J84" s="417">
        <f t="shared" ref="J84:J89" si="20">+I84</f>
        <v>1200</v>
      </c>
      <c r="K84" s="672"/>
      <c r="L84" s="673"/>
      <c r="M84" s="674"/>
      <c r="N84" s="675"/>
      <c r="O84" s="676"/>
      <c r="P84" s="677"/>
      <c r="Q84" s="678"/>
      <c r="R84" s="675"/>
    </row>
    <row r="85" spans="1:20" ht="12" hidden="1" customHeight="1" outlineLevel="2" x14ac:dyDescent="0.2">
      <c r="A85" s="169" t="s">
        <v>895</v>
      </c>
      <c r="B85" s="275" t="s">
        <v>852</v>
      </c>
      <c r="C85" s="169" t="s">
        <v>23</v>
      </c>
      <c r="D85" s="367">
        <v>1</v>
      </c>
      <c r="E85" s="366"/>
      <c r="F85" s="670"/>
      <c r="G85" s="366"/>
      <c r="H85" s="671"/>
      <c r="I85" s="370">
        <v>1200</v>
      </c>
      <c r="J85" s="417">
        <f t="shared" si="20"/>
        <v>1200</v>
      </c>
      <c r="K85" s="672"/>
      <c r="L85" s="673"/>
      <c r="M85" s="674"/>
      <c r="N85" s="675"/>
      <c r="O85" s="676"/>
      <c r="P85" s="677"/>
      <c r="Q85" s="678"/>
      <c r="R85" s="675"/>
    </row>
    <row r="86" spans="1:20" ht="12" hidden="1" customHeight="1" outlineLevel="2" x14ac:dyDescent="0.2">
      <c r="A86" s="169" t="s">
        <v>896</v>
      </c>
      <c r="B86" s="275" t="s">
        <v>853</v>
      </c>
      <c r="C86" s="169" t="s">
        <v>23</v>
      </c>
      <c r="D86" s="367">
        <v>1</v>
      </c>
      <c r="E86" s="366"/>
      <c r="F86" s="670"/>
      <c r="G86" s="366"/>
      <c r="H86" s="671"/>
      <c r="I86" s="370">
        <v>1500</v>
      </c>
      <c r="J86" s="417">
        <f t="shared" si="20"/>
        <v>1500</v>
      </c>
      <c r="K86" s="672"/>
      <c r="L86" s="673"/>
      <c r="M86" s="674"/>
      <c r="N86" s="675"/>
      <c r="O86" s="676"/>
      <c r="P86" s="677"/>
      <c r="Q86" s="678"/>
      <c r="R86" s="675"/>
    </row>
    <row r="87" spans="1:20" ht="12" hidden="1" customHeight="1" outlineLevel="2" x14ac:dyDescent="0.2">
      <c r="A87" s="169" t="s">
        <v>897</v>
      </c>
      <c r="B87" s="275" t="s">
        <v>854</v>
      </c>
      <c r="C87" s="169" t="s">
        <v>23</v>
      </c>
      <c r="D87" s="367">
        <v>1</v>
      </c>
      <c r="E87" s="366"/>
      <c r="F87" s="670"/>
      <c r="G87" s="366"/>
      <c r="H87" s="671"/>
      <c r="I87" s="370">
        <v>2000</v>
      </c>
      <c r="J87" s="417">
        <f t="shared" si="20"/>
        <v>2000</v>
      </c>
      <c r="K87" s="672"/>
      <c r="L87" s="673"/>
      <c r="M87" s="674"/>
      <c r="N87" s="675"/>
      <c r="O87" s="676"/>
      <c r="P87" s="677"/>
      <c r="Q87" s="678"/>
      <c r="R87" s="675"/>
    </row>
    <row r="88" spans="1:20" ht="12" hidden="1" customHeight="1" outlineLevel="2" x14ac:dyDescent="0.2">
      <c r="A88" s="169" t="s">
        <v>898</v>
      </c>
      <c r="B88" s="275" t="s">
        <v>855</v>
      </c>
      <c r="C88" s="169" t="s">
        <v>23</v>
      </c>
      <c r="D88" s="367">
        <v>1</v>
      </c>
      <c r="E88" s="366"/>
      <c r="F88" s="670"/>
      <c r="G88" s="366"/>
      <c r="H88" s="671"/>
      <c r="I88" s="370">
        <v>1000</v>
      </c>
      <c r="J88" s="417">
        <f t="shared" si="20"/>
        <v>1000</v>
      </c>
      <c r="K88" s="672"/>
      <c r="L88" s="673"/>
      <c r="M88" s="674"/>
      <c r="N88" s="675"/>
      <c r="O88" s="676"/>
      <c r="P88" s="677"/>
      <c r="Q88" s="678"/>
      <c r="R88" s="675"/>
    </row>
    <row r="89" spans="1:20" ht="12" hidden="1" customHeight="1" outlineLevel="2" x14ac:dyDescent="0.2">
      <c r="A89" s="169" t="s">
        <v>899</v>
      </c>
      <c r="B89" s="275" t="s">
        <v>849</v>
      </c>
      <c r="C89" s="169" t="s">
        <v>23</v>
      </c>
      <c r="D89" s="367">
        <v>1</v>
      </c>
      <c r="E89" s="366"/>
      <c r="F89" s="670"/>
      <c r="G89" s="366"/>
      <c r="H89" s="671"/>
      <c r="I89" s="370">
        <f>15.56+3000</f>
        <v>3015.56</v>
      </c>
      <c r="J89" s="417">
        <f t="shared" si="20"/>
        <v>3015.56</v>
      </c>
      <c r="K89" s="672"/>
      <c r="L89" s="673"/>
      <c r="M89" s="674"/>
      <c r="N89" s="675"/>
      <c r="O89" s="676"/>
      <c r="P89" s="677"/>
      <c r="Q89" s="678"/>
      <c r="R89" s="675"/>
    </row>
    <row r="90" spans="1:20" ht="12" customHeight="1" outlineLevel="1" collapsed="1" x14ac:dyDescent="0.2">
      <c r="A90" s="219" t="s">
        <v>887</v>
      </c>
      <c r="B90" s="277" t="s">
        <v>24</v>
      </c>
      <c r="C90" s="219"/>
      <c r="D90" s="219"/>
      <c r="E90" s="372"/>
      <c r="F90" s="415">
        <f>SUM(F93:F107)</f>
        <v>54779.388437185145</v>
      </c>
      <c r="G90" s="372"/>
      <c r="H90" s="415">
        <f>SUM(H93:H107)</f>
        <v>64228.040269326397</v>
      </c>
      <c r="I90" s="219"/>
      <c r="J90" s="415">
        <f>+RESUMEN!C14</f>
        <v>11915.557292298081</v>
      </c>
      <c r="K90" s="415"/>
      <c r="L90" s="415">
        <f>+RESUMEN!E14</f>
        <v>0</v>
      </c>
      <c r="M90" s="415"/>
      <c r="N90" s="415" t="e">
        <f>+#REF!+#REF!</f>
        <v>#REF!</v>
      </c>
      <c r="O90" s="415"/>
      <c r="P90" s="415" t="e">
        <f>+#REF!+#REF!</f>
        <v>#REF!</v>
      </c>
      <c r="Q90" s="415"/>
      <c r="R90" s="415" t="e">
        <f>+#REF!+#REF!</f>
        <v>#REF!</v>
      </c>
      <c r="S90" s="669"/>
      <c r="T90" s="669"/>
    </row>
    <row r="91" spans="1:20" ht="12" hidden="1" customHeight="1" outlineLevel="2" x14ac:dyDescent="0.2">
      <c r="A91" s="169" t="s">
        <v>888</v>
      </c>
      <c r="B91" s="275" t="s">
        <v>856</v>
      </c>
      <c r="C91" s="169" t="s">
        <v>23</v>
      </c>
      <c r="D91" s="367">
        <v>1</v>
      </c>
      <c r="E91" s="366"/>
      <c r="F91" s="670"/>
      <c r="G91" s="366"/>
      <c r="H91" s="671"/>
      <c r="I91" s="370">
        <v>1500</v>
      </c>
      <c r="J91" s="417">
        <f>+I91</f>
        <v>1500</v>
      </c>
      <c r="K91" s="672"/>
      <c r="L91" s="673"/>
      <c r="M91" s="674"/>
      <c r="N91" s="675"/>
      <c r="O91" s="676"/>
      <c r="P91" s="677"/>
      <c r="Q91" s="678"/>
      <c r="R91" s="675"/>
      <c r="S91" s="669"/>
    </row>
    <row r="92" spans="1:20" ht="12" hidden="1" customHeight="1" outlineLevel="2" x14ac:dyDescent="0.2">
      <c r="A92" s="169" t="s">
        <v>889</v>
      </c>
      <c r="B92" s="275" t="s">
        <v>857</v>
      </c>
      <c r="C92" s="169" t="s">
        <v>23</v>
      </c>
      <c r="D92" s="367">
        <v>1</v>
      </c>
      <c r="E92" s="366"/>
      <c r="F92" s="670"/>
      <c r="G92" s="366"/>
      <c r="H92" s="671"/>
      <c r="I92" s="370">
        <v>1500</v>
      </c>
      <c r="J92" s="417">
        <f t="shared" ref="J92:J93" si="21">+I92</f>
        <v>1500</v>
      </c>
      <c r="K92" s="672"/>
      <c r="L92" s="673"/>
      <c r="M92" s="674"/>
      <c r="N92" s="675"/>
      <c r="O92" s="676"/>
      <c r="P92" s="677"/>
      <c r="Q92" s="678"/>
      <c r="R92" s="675"/>
    </row>
    <row r="93" spans="1:20" ht="12" hidden="1" customHeight="1" outlineLevel="2" x14ac:dyDescent="0.2">
      <c r="A93" s="169" t="s">
        <v>890</v>
      </c>
      <c r="B93" s="275" t="s">
        <v>859</v>
      </c>
      <c r="C93" s="169" t="s">
        <v>23</v>
      </c>
      <c r="D93" s="367">
        <v>1</v>
      </c>
      <c r="E93" s="366"/>
      <c r="F93" s="670"/>
      <c r="G93" s="366"/>
      <c r="H93" s="671"/>
      <c r="I93" s="370">
        <v>2500</v>
      </c>
      <c r="J93" s="417">
        <f t="shared" si="21"/>
        <v>2500</v>
      </c>
      <c r="K93" s="672"/>
      <c r="L93" s="673"/>
      <c r="M93" s="674"/>
      <c r="N93" s="675"/>
      <c r="O93" s="676"/>
      <c r="P93" s="677"/>
      <c r="Q93" s="678"/>
      <c r="R93" s="675"/>
    </row>
    <row r="94" spans="1:20" ht="12" hidden="1" customHeight="1" outlineLevel="2" x14ac:dyDescent="0.2">
      <c r="A94" s="169" t="s">
        <v>891</v>
      </c>
      <c r="B94" s="275" t="s">
        <v>860</v>
      </c>
      <c r="C94" s="169" t="s">
        <v>23</v>
      </c>
      <c r="D94" s="367">
        <v>1</v>
      </c>
      <c r="E94" s="366"/>
      <c r="F94" s="670"/>
      <c r="G94" s="366"/>
      <c r="H94" s="671"/>
      <c r="I94" s="370">
        <f>+J94</f>
        <v>3427.6672922980811</v>
      </c>
      <c r="J94" s="417">
        <f>+J90-J91-J92-J93-J95</f>
        <v>3427.6672922980811</v>
      </c>
      <c r="K94" s="672"/>
      <c r="L94" s="673"/>
      <c r="M94" s="674"/>
      <c r="N94" s="675"/>
      <c r="O94" s="676"/>
      <c r="P94" s="677"/>
      <c r="Q94" s="678"/>
      <c r="R94" s="675"/>
    </row>
    <row r="95" spans="1:20" ht="12" hidden="1" customHeight="1" outlineLevel="2" x14ac:dyDescent="0.2">
      <c r="A95" s="169" t="s">
        <v>892</v>
      </c>
      <c r="B95" s="275" t="s">
        <v>858</v>
      </c>
      <c r="C95" s="169" t="s">
        <v>23</v>
      </c>
      <c r="D95" s="367">
        <v>1</v>
      </c>
      <c r="E95" s="366"/>
      <c r="F95" s="670"/>
      <c r="G95" s="366"/>
      <c r="H95" s="671"/>
      <c r="I95" s="370">
        <v>2987.89</v>
      </c>
      <c r="J95" s="417">
        <f>+I95</f>
        <v>2987.89</v>
      </c>
      <c r="K95" s="672"/>
      <c r="L95" s="673"/>
      <c r="M95" s="674"/>
      <c r="N95" s="675"/>
      <c r="O95" s="676"/>
      <c r="P95" s="677"/>
      <c r="Q95" s="678"/>
      <c r="R95" s="675"/>
    </row>
    <row r="96" spans="1:20" ht="12" customHeight="1" outlineLevel="1" collapsed="1" x14ac:dyDescent="0.2">
      <c r="A96" s="168" t="s">
        <v>739</v>
      </c>
      <c r="B96" s="221" t="str">
        <f>+'O. GRUESA'!B274</f>
        <v>2DO PISO</v>
      </c>
      <c r="C96" s="213"/>
      <c r="D96" s="395"/>
      <c r="E96" s="371"/>
      <c r="F96" s="414">
        <f>+F97+F115+F118</f>
        <v>30542.668368170955</v>
      </c>
      <c r="G96" s="371"/>
      <c r="H96" s="414">
        <f>+H97+H115+H118</f>
        <v>29384.708509181059</v>
      </c>
      <c r="I96" s="168"/>
      <c r="J96" s="414">
        <f>+J97+J115+J118+J127+J134</f>
        <v>77800.712565177004</v>
      </c>
      <c r="K96" s="423"/>
      <c r="L96" s="414">
        <f>+L97+L115+L118+L127+L134</f>
        <v>0</v>
      </c>
      <c r="M96" s="414"/>
      <c r="N96" s="414">
        <f>SUM(N98:N103)</f>
        <v>0</v>
      </c>
      <c r="O96" s="414"/>
      <c r="P96" s="414">
        <f>SUM(P98:P103)</f>
        <v>0</v>
      </c>
      <c r="Q96" s="414"/>
      <c r="R96" s="414">
        <f t="shared" si="17"/>
        <v>77800.712565177004</v>
      </c>
    </row>
    <row r="97" spans="1:19" ht="12" customHeight="1" outlineLevel="1" collapsed="1" x14ac:dyDescent="0.2">
      <c r="A97" s="219" t="s">
        <v>740</v>
      </c>
      <c r="B97" s="277" t="s">
        <v>933</v>
      </c>
      <c r="C97" s="219"/>
      <c r="D97" s="219"/>
      <c r="E97" s="372"/>
      <c r="F97" s="415">
        <f>+SUM(F98:F114)</f>
        <v>13157.598809830853</v>
      </c>
      <c r="G97" s="372"/>
      <c r="H97" s="415">
        <f>+SUM(H98:H114)</f>
        <v>19033.694822645339</v>
      </c>
      <c r="I97" s="219"/>
      <c r="J97" s="415">
        <f>+RESUMEN!C16</f>
        <v>32191.293381854059</v>
      </c>
      <c r="K97" s="415"/>
      <c r="L97" s="415">
        <f>+RESUMEN!E16</f>
        <v>0</v>
      </c>
      <c r="M97" s="415"/>
      <c r="N97" s="415">
        <f>+SUM(N98:N114)</f>
        <v>0</v>
      </c>
      <c r="O97" s="415"/>
      <c r="P97" s="415">
        <f>+SUM(P98:P114)</f>
        <v>0</v>
      </c>
      <c r="Q97" s="415"/>
      <c r="R97" s="415">
        <f t="shared" si="17"/>
        <v>32191.293381854059</v>
      </c>
      <c r="S97" s="669"/>
    </row>
    <row r="98" spans="1:19" ht="12" hidden="1" customHeight="1" outlineLevel="2" x14ac:dyDescent="0.2">
      <c r="A98" s="272" t="s">
        <v>741</v>
      </c>
      <c r="B98" s="273" t="str">
        <f>+'O. GRUESA'!B276</f>
        <v>PLACAS</v>
      </c>
      <c r="C98" s="276"/>
      <c r="D98" s="276"/>
      <c r="E98" s="276"/>
      <c r="F98" s="276"/>
      <c r="G98" s="276"/>
      <c r="H98" s="276"/>
      <c r="I98" s="276"/>
      <c r="J98" s="416"/>
      <c r="K98" s="424"/>
      <c r="L98" s="416"/>
      <c r="M98" s="416"/>
      <c r="N98" s="416"/>
      <c r="O98" s="416"/>
      <c r="P98" s="416"/>
      <c r="Q98" s="416"/>
      <c r="R98" s="416">
        <f t="shared" ref="R98:R114" si="22">+J98-P98</f>
        <v>0</v>
      </c>
      <c r="S98" s="669"/>
    </row>
    <row r="99" spans="1:19" ht="12" hidden="1" customHeight="1" outlineLevel="2" x14ac:dyDescent="0.2">
      <c r="A99" s="170" t="s">
        <v>934</v>
      </c>
      <c r="B99" s="275" t="str">
        <f>+'O. GRUESA'!B277</f>
        <v>PLACAS - CONCRETO PREMEZCLADO f'c=210kg/cm2</v>
      </c>
      <c r="C99" s="169" t="str">
        <f>+'O. GRUESA'!D277</f>
        <v>m3</v>
      </c>
      <c r="D99" s="367">
        <f>+'O. GRUESA'!J277</f>
        <v>8.5749999999999993</v>
      </c>
      <c r="E99" s="366">
        <v>88.708666666666659</v>
      </c>
      <c r="F99" s="368">
        <f>D99*E99</f>
        <v>760.67681666666658</v>
      </c>
      <c r="G99" s="366">
        <v>348.75</v>
      </c>
      <c r="H99" s="369">
        <f>D99*G99</f>
        <v>2990.5312499999995</v>
      </c>
      <c r="I99" s="370">
        <f>+E99+G99</f>
        <v>437.45866666666666</v>
      </c>
      <c r="J99" s="417">
        <f>D99*I99</f>
        <v>3751.2080666666661</v>
      </c>
      <c r="K99" s="422"/>
      <c r="L99" s="427">
        <f>+J99*K99</f>
        <v>0</v>
      </c>
      <c r="M99" s="419"/>
      <c r="N99" s="420">
        <f>+M99*J99</f>
        <v>0</v>
      </c>
      <c r="O99" s="425">
        <f>+K99+M99</f>
        <v>0</v>
      </c>
      <c r="P99" s="426">
        <f>+N99+L99</f>
        <v>0</v>
      </c>
      <c r="Q99" s="421">
        <f>100%-O99</f>
        <v>1</v>
      </c>
      <c r="R99" s="420">
        <f t="shared" si="22"/>
        <v>3751.2080666666661</v>
      </c>
    </row>
    <row r="100" spans="1:19" ht="12" hidden="1" customHeight="1" outlineLevel="2" x14ac:dyDescent="0.2">
      <c r="A100" s="170" t="s">
        <v>935</v>
      </c>
      <c r="B100" s="275" t="str">
        <f>+'O. GRUESA'!B282</f>
        <v>PLACAS - ENCOFRADO Y DESENCOFRADO</v>
      </c>
      <c r="C100" s="169" t="str">
        <f>+'O. GRUESA'!D282</f>
        <v>m2</v>
      </c>
      <c r="D100" s="367">
        <f>+'O. GRUESA'!J282</f>
        <v>82.600000000000009</v>
      </c>
      <c r="E100" s="366">
        <v>60.478166666666667</v>
      </c>
      <c r="F100" s="368">
        <f>D100*E100</f>
        <v>4995.4965666666676</v>
      </c>
      <c r="G100" s="366">
        <v>2.35</v>
      </c>
      <c r="H100" s="369">
        <f>D100*G100</f>
        <v>194.11</v>
      </c>
      <c r="I100" s="370">
        <f>+E100+G100</f>
        <v>62.828166666666668</v>
      </c>
      <c r="J100" s="417">
        <f>D100*I100</f>
        <v>5189.6065666666673</v>
      </c>
      <c r="K100" s="422"/>
      <c r="L100" s="427">
        <f>+J100*K100</f>
        <v>0</v>
      </c>
      <c r="M100" s="419"/>
      <c r="N100" s="420">
        <f>+M100*J100</f>
        <v>0</v>
      </c>
      <c r="O100" s="425">
        <f>+K100+M100</f>
        <v>0</v>
      </c>
      <c r="P100" s="426">
        <f>+N100+L100</f>
        <v>0</v>
      </c>
      <c r="Q100" s="421">
        <f>100%-O100</f>
        <v>1</v>
      </c>
      <c r="R100" s="420">
        <f t="shared" si="22"/>
        <v>5189.6065666666673</v>
      </c>
    </row>
    <row r="101" spans="1:19" ht="12" hidden="1" customHeight="1" outlineLevel="2" x14ac:dyDescent="0.2">
      <c r="A101" s="170" t="s">
        <v>936</v>
      </c>
      <c r="B101" s="275" t="str">
        <f>+'O. GRUESA'!B287</f>
        <v>PLACAS - ACERO fy=4200kg/cm2</v>
      </c>
      <c r="C101" s="169" t="str">
        <f>+'O. GRUESA'!D287</f>
        <v>kg</v>
      </c>
      <c r="D101" s="367">
        <f>+'O. GRUESA'!J287</f>
        <v>814.62499999999989</v>
      </c>
      <c r="E101" s="366">
        <v>2.2715000000000001</v>
      </c>
      <c r="F101" s="368">
        <f>D101*E101</f>
        <v>1850.4206874999998</v>
      </c>
      <c r="G101" s="366">
        <v>5.75</v>
      </c>
      <c r="H101" s="369">
        <f>D101*G101</f>
        <v>4684.0937499999991</v>
      </c>
      <c r="I101" s="370">
        <f>+E101+G101</f>
        <v>8.0214999999999996</v>
      </c>
      <c r="J101" s="417">
        <f>D101*I101</f>
        <v>6534.5144374999991</v>
      </c>
      <c r="K101" s="422"/>
      <c r="L101" s="427">
        <f>+J101*K101</f>
        <v>0</v>
      </c>
      <c r="M101" s="419"/>
      <c r="N101" s="420">
        <f>+M101*J101</f>
        <v>0</v>
      </c>
      <c r="O101" s="425">
        <f>+K101+M101</f>
        <v>0</v>
      </c>
      <c r="P101" s="426">
        <f>+N101+L101</f>
        <v>0</v>
      </c>
      <c r="Q101" s="421">
        <f>100%-O101</f>
        <v>1</v>
      </c>
      <c r="R101" s="420">
        <f t="shared" si="22"/>
        <v>6534.5144374999991</v>
      </c>
    </row>
    <row r="102" spans="1:19" ht="12" hidden="1" customHeight="1" outlineLevel="2" x14ac:dyDescent="0.2">
      <c r="A102" s="272" t="s">
        <v>742</v>
      </c>
      <c r="B102" s="273" t="str">
        <f>+'O. GRUESA'!B291</f>
        <v>VIGAS</v>
      </c>
      <c r="C102" s="276"/>
      <c r="D102" s="276"/>
      <c r="E102" s="276"/>
      <c r="F102" s="276"/>
      <c r="G102" s="276"/>
      <c r="H102" s="276"/>
      <c r="I102" s="276"/>
      <c r="J102" s="416"/>
      <c r="K102" s="424"/>
      <c r="L102" s="416"/>
      <c r="M102" s="416"/>
      <c r="N102" s="416"/>
      <c r="O102" s="416"/>
      <c r="P102" s="416"/>
      <c r="Q102" s="416"/>
      <c r="R102" s="416">
        <f t="shared" si="22"/>
        <v>0</v>
      </c>
    </row>
    <row r="103" spans="1:19" ht="12" hidden="1" customHeight="1" outlineLevel="2" x14ac:dyDescent="0.2">
      <c r="A103" s="169" t="s">
        <v>940</v>
      </c>
      <c r="B103" s="275" t="str">
        <f>+'O. GRUESA'!B292</f>
        <v>VIGAS - CONCRETO PREMEZCLADO f'c=210kg/cm2</v>
      </c>
      <c r="C103" s="169" t="str">
        <f>+'O. GRUESA'!D292</f>
        <v>m3</v>
      </c>
      <c r="D103" s="367">
        <f>+'O. GRUESA'!J292</f>
        <v>4.1165000000000003</v>
      </c>
      <c r="E103" s="366">
        <v>57.276533333333333</v>
      </c>
      <c r="F103" s="368">
        <f>D103*E103</f>
        <v>235.77884946666668</v>
      </c>
      <c r="G103" s="366">
        <v>330.75</v>
      </c>
      <c r="H103" s="369">
        <f>D103*G103</f>
        <v>1361.532375</v>
      </c>
      <c r="I103" s="370">
        <f>+E103+G103</f>
        <v>388.0265333333333</v>
      </c>
      <c r="J103" s="417">
        <f>D103*I103</f>
        <v>1597.3112244666665</v>
      </c>
      <c r="K103" s="422"/>
      <c r="L103" s="427">
        <f>+J103*K103</f>
        <v>0</v>
      </c>
      <c r="M103" s="419"/>
      <c r="N103" s="420">
        <f>+M103*J103</f>
        <v>0</v>
      </c>
      <c r="O103" s="425">
        <f>+K103+M103</f>
        <v>0</v>
      </c>
      <c r="P103" s="426">
        <f>+N103+L103</f>
        <v>0</v>
      </c>
      <c r="Q103" s="421">
        <f>100%-O103</f>
        <v>1</v>
      </c>
      <c r="R103" s="420">
        <f t="shared" si="22"/>
        <v>1597.3112244666665</v>
      </c>
    </row>
    <row r="104" spans="1:19" ht="12" hidden="1" customHeight="1" outlineLevel="2" x14ac:dyDescent="0.2">
      <c r="A104" s="169" t="s">
        <v>941</v>
      </c>
      <c r="B104" s="275" t="str">
        <f>+'O. GRUESA'!B302</f>
        <v>VIGAS - ENCOFRADO Y DESENCOFRADO</v>
      </c>
      <c r="C104" s="169" t="str">
        <f>+'O. GRUESA'!D302</f>
        <v>m2</v>
      </c>
      <c r="D104" s="367">
        <f>+'O. GRUESA'!J302</f>
        <v>26.337499999999999</v>
      </c>
      <c r="E104" s="366">
        <v>46.902766666666665</v>
      </c>
      <c r="F104" s="368">
        <f>D104*E104</f>
        <v>1235.3016170833332</v>
      </c>
      <c r="G104" s="366">
        <v>2.2000000000000002</v>
      </c>
      <c r="H104" s="369">
        <f>D104*G104</f>
        <v>57.942500000000003</v>
      </c>
      <c r="I104" s="370">
        <f>+E104+G104</f>
        <v>49.102766666666668</v>
      </c>
      <c r="J104" s="417">
        <f>D104*I104</f>
        <v>1293.2441170833333</v>
      </c>
      <c r="K104" s="422"/>
      <c r="L104" s="427">
        <f>+J104*K104</f>
        <v>0</v>
      </c>
      <c r="M104" s="419"/>
      <c r="N104" s="420">
        <f>+M104*J104</f>
        <v>0</v>
      </c>
      <c r="O104" s="425">
        <f>+K104+M104</f>
        <v>0</v>
      </c>
      <c r="P104" s="426">
        <f>+N104+L104</f>
        <v>0</v>
      </c>
      <c r="Q104" s="421">
        <f>100%-O104</f>
        <v>1</v>
      </c>
      <c r="R104" s="420">
        <f t="shared" si="22"/>
        <v>1293.2441170833333</v>
      </c>
    </row>
    <row r="105" spans="1:19" ht="12" hidden="1" customHeight="1" outlineLevel="2" x14ac:dyDescent="0.2">
      <c r="A105" s="169" t="s">
        <v>943</v>
      </c>
      <c r="B105" s="275" t="str">
        <f>+'O. GRUESA'!B312</f>
        <v>VIGAS - ACERO fy=4200kg/cm2</v>
      </c>
      <c r="C105" s="169" t="str">
        <f>+'O. GRUESA'!D312</f>
        <v>kg</v>
      </c>
      <c r="D105" s="367">
        <f>+'O. GRUESA'!J312</f>
        <v>1029.125</v>
      </c>
      <c r="E105" s="366">
        <v>1.8172000000000001</v>
      </c>
      <c r="F105" s="368">
        <f>D105*E105</f>
        <v>1870.1259500000001</v>
      </c>
      <c r="G105" s="366">
        <v>5.6000000000000005</v>
      </c>
      <c r="H105" s="369">
        <f>D105*G105</f>
        <v>5763.1</v>
      </c>
      <c r="I105" s="370">
        <f>+E105+G105</f>
        <v>7.4172000000000011</v>
      </c>
      <c r="J105" s="417">
        <f>D105*I105</f>
        <v>7633.2259500000009</v>
      </c>
      <c r="K105" s="422"/>
      <c r="L105" s="427">
        <f>+J105*K105</f>
        <v>0</v>
      </c>
      <c r="M105" s="419"/>
      <c r="N105" s="420">
        <f>+M105*J105</f>
        <v>0</v>
      </c>
      <c r="O105" s="425">
        <f>+K105+M105</f>
        <v>0</v>
      </c>
      <c r="P105" s="426">
        <f>+N105+L105</f>
        <v>0</v>
      </c>
      <c r="Q105" s="421">
        <f>100%-O105</f>
        <v>1</v>
      </c>
      <c r="R105" s="420">
        <f t="shared" si="22"/>
        <v>7633.2259500000009</v>
      </c>
    </row>
    <row r="106" spans="1:19" ht="12" hidden="1" customHeight="1" outlineLevel="2" x14ac:dyDescent="0.2">
      <c r="A106" s="272" t="s">
        <v>743</v>
      </c>
      <c r="B106" s="273" t="str">
        <f>+'O. GRUESA'!B316</f>
        <v>LOSA ALIGERADA</v>
      </c>
      <c r="C106" s="276"/>
      <c r="D106" s="276"/>
      <c r="E106" s="276"/>
      <c r="F106" s="276"/>
      <c r="G106" s="276"/>
      <c r="H106" s="276"/>
      <c r="I106" s="276"/>
      <c r="J106" s="416"/>
      <c r="K106" s="424"/>
      <c r="L106" s="416"/>
      <c r="M106" s="416"/>
      <c r="N106" s="416"/>
      <c r="O106" s="416"/>
      <c r="P106" s="416"/>
      <c r="Q106" s="416"/>
      <c r="R106" s="416">
        <f t="shared" si="22"/>
        <v>0</v>
      </c>
    </row>
    <row r="107" spans="1:19" ht="12" hidden="1" customHeight="1" outlineLevel="2" x14ac:dyDescent="0.2">
      <c r="A107" s="169" t="s">
        <v>944</v>
      </c>
      <c r="B107" s="275" t="str">
        <f>+'O. GRUESA'!B317</f>
        <v>LOSA ALIGERADA - CONCRETO PREMEZCLADO f'c=210kg/cm2</v>
      </c>
      <c r="C107" s="169" t="str">
        <f>+'O. GRUESA'!D317</f>
        <v>m3</v>
      </c>
      <c r="D107" s="367">
        <f>+'O. GRUESA'!J317</f>
        <v>2.2927499999999998</v>
      </c>
      <c r="E107" s="366">
        <v>57.276533333333333</v>
      </c>
      <c r="F107" s="368">
        <f>D107*E107</f>
        <v>131.32077179999999</v>
      </c>
      <c r="G107" s="366">
        <v>330.75</v>
      </c>
      <c r="H107" s="369">
        <f>D107*G107</f>
        <v>758.3270624999999</v>
      </c>
      <c r="I107" s="370">
        <f>+E107+G107</f>
        <v>388.0265333333333</v>
      </c>
      <c r="J107" s="417">
        <f>D107*I107</f>
        <v>889.64783429999989</v>
      </c>
      <c r="K107" s="422"/>
      <c r="L107" s="427">
        <f>+J107*K107</f>
        <v>0</v>
      </c>
      <c r="M107" s="419"/>
      <c r="N107" s="420">
        <f>+M107*J107</f>
        <v>0</v>
      </c>
      <c r="O107" s="425">
        <f>+K107+M107</f>
        <v>0</v>
      </c>
      <c r="P107" s="426">
        <f>+N107+L107</f>
        <v>0</v>
      </c>
      <c r="Q107" s="421">
        <f>100%-O107</f>
        <v>1</v>
      </c>
      <c r="R107" s="420">
        <f t="shared" si="22"/>
        <v>889.64783429999989</v>
      </c>
    </row>
    <row r="108" spans="1:19" ht="12" hidden="1" customHeight="1" outlineLevel="2" x14ac:dyDescent="0.2">
      <c r="A108" s="169" t="s">
        <v>945</v>
      </c>
      <c r="B108" s="275" t="str">
        <f>+'O. GRUESA'!B329</f>
        <v>LOSA ALIGERADA - ENCOFRADO Y DESENCOFRADO</v>
      </c>
      <c r="C108" s="169" t="str">
        <f>+'O. GRUESA'!D302</f>
        <v>m2</v>
      </c>
      <c r="D108" s="367">
        <f>+'O. GRUESA'!J329</f>
        <v>22.927499999999995</v>
      </c>
      <c r="E108" s="366">
        <v>31.934904761904765</v>
      </c>
      <c r="F108" s="368">
        <f>D108*E108</f>
        <v>732.18752892857128</v>
      </c>
      <c r="G108" s="366">
        <v>1.05</v>
      </c>
      <c r="H108" s="369">
        <f>D108*G108</f>
        <v>24.073874999999994</v>
      </c>
      <c r="I108" s="370">
        <f>+E108+G108</f>
        <v>32.984904761904765</v>
      </c>
      <c r="J108" s="417">
        <f>D108*I108</f>
        <v>756.26140392857133</v>
      </c>
      <c r="K108" s="422"/>
      <c r="L108" s="427">
        <f>+J108*K108</f>
        <v>0</v>
      </c>
      <c r="M108" s="419"/>
      <c r="N108" s="420">
        <f>+M108*J108</f>
        <v>0</v>
      </c>
      <c r="O108" s="425">
        <f>+K108+M108</f>
        <v>0</v>
      </c>
      <c r="P108" s="426">
        <f>+N108+L108</f>
        <v>0</v>
      </c>
      <c r="Q108" s="421">
        <f>100%-O108</f>
        <v>1</v>
      </c>
      <c r="R108" s="420">
        <f t="shared" si="22"/>
        <v>756.26140392857133</v>
      </c>
    </row>
    <row r="109" spans="1:19" ht="12" hidden="1" customHeight="1" outlineLevel="2" x14ac:dyDescent="0.2">
      <c r="A109" s="169" t="s">
        <v>946</v>
      </c>
      <c r="B109" s="275" t="str">
        <f>+'O. GRUESA'!B341</f>
        <v>LOSA ALIGERADA - LADRILLO HUECO DE  0.15X0.30X0.30</v>
      </c>
      <c r="C109" s="169" t="str">
        <f>+'O. GRUESA'!D341</f>
        <v>und</v>
      </c>
      <c r="D109" s="367">
        <f>+'O. GRUESA'!J341</f>
        <v>207</v>
      </c>
      <c r="E109" s="366">
        <v>1.0381541666666665</v>
      </c>
      <c r="F109" s="368">
        <f>D109*E109</f>
        <v>214.89791249999996</v>
      </c>
      <c r="G109" s="366">
        <v>3.6750000000000003</v>
      </c>
      <c r="H109" s="369">
        <f>D109*G109</f>
        <v>760.72500000000002</v>
      </c>
      <c r="I109" s="370">
        <f>+E109+G109</f>
        <v>4.7131541666666665</v>
      </c>
      <c r="J109" s="417">
        <f>D109*I109</f>
        <v>975.62291249999998</v>
      </c>
      <c r="K109" s="422"/>
      <c r="L109" s="427">
        <f>+J109*K109</f>
        <v>0</v>
      </c>
      <c r="M109" s="419"/>
      <c r="N109" s="420">
        <f>+M109*J109</f>
        <v>0</v>
      </c>
      <c r="O109" s="425">
        <f>+K109+M109</f>
        <v>0</v>
      </c>
      <c r="P109" s="426">
        <f>+N109+L109</f>
        <v>0</v>
      </c>
      <c r="Q109" s="421">
        <f>100%-O109</f>
        <v>1</v>
      </c>
      <c r="R109" s="420">
        <f t="shared" si="22"/>
        <v>975.62291249999998</v>
      </c>
    </row>
    <row r="110" spans="1:19" ht="12" hidden="1" customHeight="1" outlineLevel="2" x14ac:dyDescent="0.2">
      <c r="A110" s="169" t="s">
        <v>947</v>
      </c>
      <c r="B110" s="275" t="str">
        <f>+'O. GRUESA'!B353</f>
        <v>LOSA ALIGERADA - ACERO fy=4200kg/cm2</v>
      </c>
      <c r="C110" s="169" t="str">
        <f>+'O. GRUESA'!D353</f>
        <v>kg</v>
      </c>
      <c r="D110" s="367">
        <f>+J110/I110</f>
        <v>163.35466699023891</v>
      </c>
      <c r="E110" s="366">
        <v>1.8172000000000001</v>
      </c>
      <c r="F110" s="368">
        <f>D110*E110</f>
        <v>296.84810085466216</v>
      </c>
      <c r="G110" s="366">
        <v>5.6000000000000005</v>
      </c>
      <c r="H110" s="369">
        <f>D110*G110</f>
        <v>914.78613514533799</v>
      </c>
      <c r="I110" s="370">
        <f>+E110+G110</f>
        <v>7.4172000000000011</v>
      </c>
      <c r="J110" s="417">
        <v>1211.6342360000003</v>
      </c>
      <c r="K110" s="422"/>
      <c r="L110" s="427">
        <f>+J110*K110</f>
        <v>0</v>
      </c>
      <c r="M110" s="419"/>
      <c r="N110" s="420">
        <f>+M110*J110</f>
        <v>0</v>
      </c>
      <c r="O110" s="425">
        <f>+K110+M110</f>
        <v>0</v>
      </c>
      <c r="P110" s="426">
        <f>+N110+L110</f>
        <v>0</v>
      </c>
      <c r="Q110" s="421">
        <f>100%-O110</f>
        <v>1</v>
      </c>
      <c r="R110" s="420">
        <f t="shared" si="22"/>
        <v>1211.6342360000003</v>
      </c>
    </row>
    <row r="111" spans="1:19" ht="12" hidden="1" customHeight="1" outlineLevel="2" x14ac:dyDescent="0.2">
      <c r="A111" s="272" t="s">
        <v>942</v>
      </c>
      <c r="B111" s="308" t="str">
        <f>+'O. GRUESA'!B357</f>
        <v>LOSA MACIZA</v>
      </c>
      <c r="C111" s="276"/>
      <c r="D111" s="276"/>
      <c r="E111" s="276"/>
      <c r="F111" s="276"/>
      <c r="G111" s="276"/>
      <c r="H111" s="276"/>
      <c r="I111" s="276"/>
      <c r="J111" s="416"/>
      <c r="K111" s="424"/>
      <c r="L111" s="416"/>
      <c r="M111" s="416"/>
      <c r="N111" s="416"/>
      <c r="O111" s="416"/>
      <c r="P111" s="416"/>
      <c r="Q111" s="416"/>
      <c r="R111" s="416">
        <f t="shared" si="22"/>
        <v>0</v>
      </c>
    </row>
    <row r="112" spans="1:19" ht="12" hidden="1" customHeight="1" outlineLevel="2" x14ac:dyDescent="0.2">
      <c r="A112" s="169" t="s">
        <v>948</v>
      </c>
      <c r="B112" s="275" t="str">
        <f>+'O. GRUESA'!B358</f>
        <v>LOSA MACIZA - CONCRETO PREMEZCLADO f'c=210kg/cm2</v>
      </c>
      <c r="C112" s="169" t="str">
        <f>+'O. GRUESA'!D358</f>
        <v>m3</v>
      </c>
      <c r="D112" s="367">
        <f>+'O. GRUESA'!J358</f>
        <v>2.0145</v>
      </c>
      <c r="E112" s="366">
        <v>57.276533333333333</v>
      </c>
      <c r="F112" s="368">
        <f>D112*E112</f>
        <v>115.3835764</v>
      </c>
      <c r="G112" s="366">
        <v>330.75</v>
      </c>
      <c r="H112" s="369">
        <f>D112*G112</f>
        <v>666.29587500000002</v>
      </c>
      <c r="I112" s="370">
        <f>+E112+G112</f>
        <v>388.0265333333333</v>
      </c>
      <c r="J112" s="417">
        <f>D112*I112</f>
        <v>781.67945139999995</v>
      </c>
      <c r="K112" s="422"/>
      <c r="L112" s="427">
        <f>+J112*K112</f>
        <v>0</v>
      </c>
      <c r="M112" s="419"/>
      <c r="N112" s="420">
        <f>+M112*J112</f>
        <v>0</v>
      </c>
      <c r="O112" s="425">
        <f>+K112+M112</f>
        <v>0</v>
      </c>
      <c r="P112" s="426">
        <f>+N112+L112</f>
        <v>0</v>
      </c>
      <c r="Q112" s="421">
        <f>100%-O112</f>
        <v>1</v>
      </c>
      <c r="R112" s="420">
        <f t="shared" si="22"/>
        <v>781.67945139999995</v>
      </c>
    </row>
    <row r="113" spans="1:21" ht="12" hidden="1" customHeight="1" outlineLevel="2" x14ac:dyDescent="0.2">
      <c r="A113" s="169" t="s">
        <v>949</v>
      </c>
      <c r="B113" s="275" t="str">
        <f>+'O. GRUESA'!B366</f>
        <v>LOSA MACIZA - ENCOFRADO Y DESENCOFRADO</v>
      </c>
      <c r="C113" s="169" t="str">
        <f>+'O. GRUESA'!D366</f>
        <v>m2</v>
      </c>
      <c r="D113" s="367">
        <f>+'O. GRUESA'!J366</f>
        <v>10.0725</v>
      </c>
      <c r="E113" s="366">
        <v>44.140404761904755</v>
      </c>
      <c r="F113" s="368">
        <f>D113*E113</f>
        <v>444.60422696428566</v>
      </c>
      <c r="G113" s="366">
        <v>1.2000000000000002</v>
      </c>
      <c r="H113" s="369">
        <f>D113*G113</f>
        <v>12.087000000000002</v>
      </c>
      <c r="I113" s="370">
        <f>+E113+G113</f>
        <v>45.340404761904757</v>
      </c>
      <c r="J113" s="417">
        <f>D113*I113</f>
        <v>456.69122696428565</v>
      </c>
      <c r="K113" s="422"/>
      <c r="L113" s="427">
        <f>+J113*K113</f>
        <v>0</v>
      </c>
      <c r="M113" s="419"/>
      <c r="N113" s="420">
        <f>+M113*J113</f>
        <v>0</v>
      </c>
      <c r="O113" s="425">
        <f>+K113+M113</f>
        <v>0</v>
      </c>
      <c r="P113" s="426">
        <f>+N113+L113</f>
        <v>0</v>
      </c>
      <c r="Q113" s="421">
        <f>100%-O113</f>
        <v>1</v>
      </c>
      <c r="R113" s="420">
        <f t="shared" si="22"/>
        <v>456.69122696428565</v>
      </c>
    </row>
    <row r="114" spans="1:21" ht="12" hidden="1" customHeight="1" outlineLevel="2" x14ac:dyDescent="0.2">
      <c r="A114" s="169" t="s">
        <v>950</v>
      </c>
      <c r="B114" s="275" t="str">
        <f>+'O. GRUESA'!B374</f>
        <v>LOSA MACIZA - ACERO fy=4200kg/cm2</v>
      </c>
      <c r="C114" s="169" t="str">
        <f>+'O. GRUESA'!D374</f>
        <v>kg</v>
      </c>
      <c r="D114" s="367">
        <f>+'O. GRUESA'!J374</f>
        <v>151.08750000000001</v>
      </c>
      <c r="E114" s="366">
        <v>1.8172000000000001</v>
      </c>
      <c r="F114" s="368">
        <f>D114*E114</f>
        <v>274.55620500000003</v>
      </c>
      <c r="G114" s="366">
        <v>5.6000000000000005</v>
      </c>
      <c r="H114" s="369">
        <f>D114*G114</f>
        <v>846.09000000000015</v>
      </c>
      <c r="I114" s="370">
        <f>+E114+G114</f>
        <v>7.4172000000000011</v>
      </c>
      <c r="J114" s="417">
        <f>D114*I114</f>
        <v>1120.6462050000002</v>
      </c>
      <c r="K114" s="422"/>
      <c r="L114" s="427">
        <f>+J114*K114</f>
        <v>0</v>
      </c>
      <c r="M114" s="419"/>
      <c r="N114" s="420">
        <f>+M114*J114</f>
        <v>0</v>
      </c>
      <c r="O114" s="425">
        <f>+K114+M114</f>
        <v>0</v>
      </c>
      <c r="P114" s="426">
        <f>+N114+L114</f>
        <v>0</v>
      </c>
      <c r="Q114" s="421">
        <f>100%-O114</f>
        <v>1</v>
      </c>
      <c r="R114" s="420">
        <f t="shared" si="22"/>
        <v>1120.6462050000002</v>
      </c>
    </row>
    <row r="115" spans="1:21" ht="12" customHeight="1" outlineLevel="1" collapsed="1" x14ac:dyDescent="0.2">
      <c r="A115" s="219" t="s">
        <v>870</v>
      </c>
      <c r="B115" s="277" t="str">
        <f>+'O. HUMEDAD'!B128</f>
        <v>TABIQUE DE LADRILLO</v>
      </c>
      <c r="C115" s="219"/>
      <c r="D115" s="219"/>
      <c r="E115" s="372"/>
      <c r="F115" s="415">
        <f>SUM(F116:F117)</f>
        <v>4109.683596598441</v>
      </c>
      <c r="G115" s="372"/>
      <c r="H115" s="415">
        <f>SUM(H116:H117)</f>
        <v>6576.8973793069135</v>
      </c>
      <c r="I115" s="219"/>
      <c r="J115" s="415">
        <f>+RESUMEN!C17</f>
        <v>10686.580975905354</v>
      </c>
      <c r="K115" s="415"/>
      <c r="L115" s="415">
        <f>+RESUMEN!E17</f>
        <v>0</v>
      </c>
      <c r="M115" s="415"/>
      <c r="N115" s="415"/>
      <c r="O115" s="415"/>
      <c r="P115" s="415"/>
      <c r="Q115" s="415"/>
      <c r="R115" s="415"/>
      <c r="S115" s="669"/>
    </row>
    <row r="116" spans="1:21" ht="12" hidden="1" customHeight="1" outlineLevel="2" x14ac:dyDescent="0.2">
      <c r="A116" s="169" t="s">
        <v>871</v>
      </c>
      <c r="B116" s="275" t="str">
        <f>+'O. HUMEDAD'!B154</f>
        <v>MURO DE LADRILLO SOGA PANDERETA</v>
      </c>
      <c r="C116" s="169" t="s">
        <v>408</v>
      </c>
      <c r="D116" s="367">
        <f>+J116/I116</f>
        <v>93.370714141833759</v>
      </c>
      <c r="E116" s="366">
        <v>34.397833333333338</v>
      </c>
      <c r="F116" s="368">
        <f>+D116*E116</f>
        <v>3211.7502632651076</v>
      </c>
      <c r="G116" s="366">
        <v>60.071269999999998</v>
      </c>
      <c r="H116" s="369">
        <f>+D116*G116</f>
        <v>5608.8973793069135</v>
      </c>
      <c r="I116" s="370">
        <f>+E116+G116</f>
        <v>94.469103333333337</v>
      </c>
      <c r="J116" s="417">
        <f>+J115-J117</f>
        <v>8820.6476425720211</v>
      </c>
      <c r="K116" s="422"/>
      <c r="L116" s="427">
        <f>+J116*K116</f>
        <v>0</v>
      </c>
      <c r="M116" s="419"/>
      <c r="N116" s="420">
        <f>+J116*M116</f>
        <v>0</v>
      </c>
      <c r="O116" s="425">
        <f>+K116+M116</f>
        <v>0</v>
      </c>
      <c r="P116" s="426">
        <f>+N116+L116</f>
        <v>0</v>
      </c>
      <c r="Q116" s="421">
        <f>100%-O116</f>
        <v>1</v>
      </c>
      <c r="R116" s="420">
        <f>+J116-P116</f>
        <v>8820.6476425720211</v>
      </c>
    </row>
    <row r="117" spans="1:21" ht="12" hidden="1" customHeight="1" outlineLevel="2" x14ac:dyDescent="0.2">
      <c r="A117" s="169" t="s">
        <v>872</v>
      </c>
      <c r="B117" s="275" t="str">
        <f>+'O. HUMEDAD'!B191</f>
        <v>COLUMNETAS</v>
      </c>
      <c r="C117" s="169" t="s">
        <v>2</v>
      </c>
      <c r="D117" s="367">
        <v>8</v>
      </c>
      <c r="E117" s="366">
        <v>112.24166666666667</v>
      </c>
      <c r="F117" s="368">
        <f>+D117*E117</f>
        <v>897.93333333333339</v>
      </c>
      <c r="G117" s="366">
        <v>121</v>
      </c>
      <c r="H117" s="369">
        <f>+D117*G117</f>
        <v>968</v>
      </c>
      <c r="I117" s="370">
        <f>+E117+G117</f>
        <v>233.24166666666667</v>
      </c>
      <c r="J117" s="417">
        <f>+D117*I117</f>
        <v>1865.9333333333334</v>
      </c>
      <c r="K117" s="422"/>
      <c r="L117" s="427">
        <f>+J117*K117</f>
        <v>0</v>
      </c>
      <c r="M117" s="419"/>
      <c r="N117" s="420">
        <f>+J117*M117</f>
        <v>0</v>
      </c>
      <c r="O117" s="425">
        <f>+K117+M117</f>
        <v>0</v>
      </c>
      <c r="P117" s="426">
        <f>+N117+L117</f>
        <v>0</v>
      </c>
      <c r="Q117" s="421">
        <f>100%-O117</f>
        <v>1</v>
      </c>
      <c r="R117" s="420">
        <f>+J117-P117</f>
        <v>1865.9333333333334</v>
      </c>
    </row>
    <row r="118" spans="1:21" ht="12" customHeight="1" outlineLevel="1" collapsed="1" x14ac:dyDescent="0.2">
      <c r="A118" s="219" t="s">
        <v>873</v>
      </c>
      <c r="B118" s="277" t="s">
        <v>500</v>
      </c>
      <c r="C118" s="219"/>
      <c r="D118" s="219"/>
      <c r="E118" s="372"/>
      <c r="F118" s="415">
        <f>SUM(F119:F126)</f>
        <v>13275.38596174166</v>
      </c>
      <c r="G118" s="372"/>
      <c r="H118" s="415">
        <f>SUM(H119:H126)</f>
        <v>3774.1163072288073</v>
      </c>
      <c r="I118" s="219"/>
      <c r="J118" s="415">
        <f>+RESUMEN!C18</f>
        <v>17049.502268970471</v>
      </c>
      <c r="K118" s="415"/>
      <c r="L118" s="415">
        <f>+RESUMEN!E18</f>
        <v>0</v>
      </c>
      <c r="M118" s="415"/>
      <c r="N118" s="415"/>
      <c r="O118" s="415"/>
      <c r="P118" s="415"/>
      <c r="Q118" s="415"/>
      <c r="R118" s="415"/>
      <c r="S118" s="669"/>
      <c r="T118" s="669"/>
      <c r="U118" s="669"/>
    </row>
    <row r="119" spans="1:21" ht="12" hidden="1" customHeight="1" outlineLevel="2" x14ac:dyDescent="0.2">
      <c r="A119" s="169" t="s">
        <v>875</v>
      </c>
      <c r="B119" s="275" t="str">
        <f>+'O. HUMEDAD'!B196</f>
        <v>TARRAJEO EN INTERIORES FROTACHADO</v>
      </c>
      <c r="C119" s="169" t="s">
        <v>408</v>
      </c>
      <c r="D119" s="367">
        <v>138.37499999999997</v>
      </c>
      <c r="E119" s="366">
        <v>25.612722222222224</v>
      </c>
      <c r="F119" s="368">
        <f t="shared" ref="F119:F126" si="23">+D119*E119</f>
        <v>3544.1604374999997</v>
      </c>
      <c r="G119" s="366">
        <v>7.4074999999999998</v>
      </c>
      <c r="H119" s="369">
        <f>+D119*G119</f>
        <v>1025.0128124999997</v>
      </c>
      <c r="I119" s="370">
        <f>+E119+G119</f>
        <v>33.020222222222223</v>
      </c>
      <c r="J119" s="417">
        <f>+D119*I119</f>
        <v>4569.1732499999989</v>
      </c>
      <c r="K119" s="422"/>
      <c r="L119" s="427">
        <f>+J119*K119</f>
        <v>0</v>
      </c>
      <c r="M119" s="419"/>
      <c r="N119" s="420">
        <f>+J119*M119</f>
        <v>0</v>
      </c>
      <c r="O119" s="425">
        <f>+K119+M119</f>
        <v>0</v>
      </c>
      <c r="P119" s="426">
        <f>+N119+L119</f>
        <v>0</v>
      </c>
      <c r="Q119" s="421">
        <f>100%-O119</f>
        <v>1</v>
      </c>
      <c r="R119" s="420">
        <f>+J119-P119</f>
        <v>4569.1732499999989</v>
      </c>
      <c r="U119" s="669"/>
    </row>
    <row r="120" spans="1:21" ht="12" hidden="1" customHeight="1" outlineLevel="2" x14ac:dyDescent="0.2">
      <c r="A120" s="169" t="s">
        <v>876</v>
      </c>
      <c r="B120" s="275" t="str">
        <f>+'O. HUMEDAD'!B257</f>
        <v>TARRAJEO EN COLUMNAS Y PLACAS</v>
      </c>
      <c r="C120" s="169" t="s">
        <v>408</v>
      </c>
      <c r="D120" s="367">
        <v>72.563999999999993</v>
      </c>
      <c r="E120" s="366">
        <v>37.002833333333335</v>
      </c>
      <c r="F120" s="368">
        <f t="shared" si="23"/>
        <v>2685.0735979999999</v>
      </c>
      <c r="G120" s="366">
        <v>5.4421000000000008</v>
      </c>
      <c r="H120" s="369">
        <f t="shared" ref="H120:H126" si="24">+D120*G120</f>
        <v>394.9005444</v>
      </c>
      <c r="I120" s="370">
        <f t="shared" ref="I120:I126" si="25">+E120+G120</f>
        <v>42.444933333333339</v>
      </c>
      <c r="J120" s="417">
        <f t="shared" ref="J120:J126" si="26">+D120*I120</f>
        <v>3079.9741423999999</v>
      </c>
      <c r="K120" s="422"/>
      <c r="L120" s="427">
        <f t="shared" ref="L120:L126" si="27">+J120*K120</f>
        <v>0</v>
      </c>
      <c r="M120" s="419"/>
      <c r="N120" s="420">
        <f t="shared" ref="N120:N126" si="28">+J120*M120</f>
        <v>0</v>
      </c>
      <c r="O120" s="425">
        <f t="shared" ref="O120:O126" si="29">+K120+M120</f>
        <v>0</v>
      </c>
      <c r="P120" s="426">
        <f t="shared" ref="P120:P126" si="30">+N120+L120</f>
        <v>0</v>
      </c>
      <c r="Q120" s="421">
        <f t="shared" ref="Q120:Q125" si="31">100%-O120</f>
        <v>1</v>
      </c>
      <c r="R120" s="420">
        <f t="shared" ref="R120:R126" si="32">+J120-P120</f>
        <v>3079.9741423999999</v>
      </c>
      <c r="U120" s="669"/>
    </row>
    <row r="121" spans="1:21" ht="12" hidden="1" customHeight="1" outlineLevel="2" x14ac:dyDescent="0.2">
      <c r="A121" s="169" t="s">
        <v>877</v>
      </c>
      <c r="B121" s="275" t="str">
        <f>+'O. HUMEDAD'!B284</f>
        <v>TARRAJEO EN VIGAS</v>
      </c>
      <c r="C121" s="169" t="s">
        <v>408</v>
      </c>
      <c r="D121" s="367">
        <v>25.134374999999999</v>
      </c>
      <c r="E121" s="366">
        <v>35.584166666666668</v>
      </c>
      <c r="F121" s="368">
        <f t="shared" si="23"/>
        <v>894.38578906249995</v>
      </c>
      <c r="G121" s="366">
        <v>5.5521000000000003</v>
      </c>
      <c r="H121" s="369">
        <f t="shared" si="24"/>
        <v>139.54856343750001</v>
      </c>
      <c r="I121" s="370">
        <f t="shared" si="25"/>
        <v>41.136266666666671</v>
      </c>
      <c r="J121" s="417">
        <f t="shared" si="26"/>
        <v>1033.9343525000002</v>
      </c>
      <c r="K121" s="422"/>
      <c r="L121" s="427">
        <f t="shared" si="27"/>
        <v>0</v>
      </c>
      <c r="M121" s="419"/>
      <c r="N121" s="420">
        <f t="shared" si="28"/>
        <v>0</v>
      </c>
      <c r="O121" s="425">
        <f t="shared" si="29"/>
        <v>0</v>
      </c>
      <c r="P121" s="426">
        <f t="shared" si="30"/>
        <v>0</v>
      </c>
      <c r="Q121" s="421">
        <f t="shared" si="31"/>
        <v>1</v>
      </c>
      <c r="R121" s="420">
        <f t="shared" si="32"/>
        <v>1033.9343525000002</v>
      </c>
      <c r="U121" s="669"/>
    </row>
    <row r="122" spans="1:21" ht="12" hidden="1" customHeight="1" outlineLevel="2" x14ac:dyDescent="0.2">
      <c r="A122" s="169" t="s">
        <v>975</v>
      </c>
      <c r="B122" s="275" t="str">
        <f>+'O. HUMEDAD'!B304</f>
        <v>VESTIDURA DE DERRAMES</v>
      </c>
      <c r="C122" s="169" t="s">
        <v>416</v>
      </c>
      <c r="D122" s="367">
        <v>21.712499999999995</v>
      </c>
      <c r="E122" s="366">
        <v>12.492416800000001</v>
      </c>
      <c r="F122" s="368">
        <f t="shared" si="23"/>
        <v>271.24159976999994</v>
      </c>
      <c r="G122" s="366">
        <v>0.53400000000000003</v>
      </c>
      <c r="H122" s="369">
        <f t="shared" si="24"/>
        <v>11.594474999999997</v>
      </c>
      <c r="I122" s="370">
        <f t="shared" si="25"/>
        <v>13.026416800000002</v>
      </c>
      <c r="J122" s="417">
        <f t="shared" si="26"/>
        <v>282.83607476999998</v>
      </c>
      <c r="K122" s="422"/>
      <c r="L122" s="427">
        <f t="shared" si="27"/>
        <v>0</v>
      </c>
      <c r="M122" s="419"/>
      <c r="N122" s="420">
        <f t="shared" si="28"/>
        <v>0</v>
      </c>
      <c r="O122" s="425">
        <f t="shared" si="29"/>
        <v>0</v>
      </c>
      <c r="P122" s="426">
        <f t="shared" si="30"/>
        <v>0</v>
      </c>
      <c r="Q122" s="421">
        <f t="shared" si="31"/>
        <v>1</v>
      </c>
      <c r="R122" s="420">
        <f t="shared" si="32"/>
        <v>282.83607476999998</v>
      </c>
      <c r="U122" s="669"/>
    </row>
    <row r="123" spans="1:21" ht="12" hidden="1" customHeight="1" outlineLevel="2" x14ac:dyDescent="0.2">
      <c r="A123" s="169" t="s">
        <v>976</v>
      </c>
      <c r="B123" s="275" t="str">
        <f>+'O. HUMEDAD'!B325</f>
        <v>TARRAJEO EN CIELO RASO</v>
      </c>
      <c r="C123" s="169" t="s">
        <v>408</v>
      </c>
      <c r="D123" s="367">
        <v>55.999673095136451</v>
      </c>
      <c r="E123" s="366">
        <v>34.142693333333334</v>
      </c>
      <c r="F123" s="368">
        <f t="shared" si="23"/>
        <v>1911.9796652541613</v>
      </c>
      <c r="G123" s="366">
        <v>3.5350000000000001</v>
      </c>
      <c r="H123" s="369">
        <f t="shared" si="24"/>
        <v>197.95884439130737</v>
      </c>
      <c r="I123" s="370">
        <f t="shared" si="25"/>
        <v>37.677693333333337</v>
      </c>
      <c r="J123" s="417">
        <f t="shared" si="26"/>
        <v>2109.9385096454689</v>
      </c>
      <c r="K123" s="422"/>
      <c r="L123" s="427">
        <f t="shared" si="27"/>
        <v>0</v>
      </c>
      <c r="M123" s="419"/>
      <c r="N123" s="420">
        <f t="shared" si="28"/>
        <v>0</v>
      </c>
      <c r="O123" s="425">
        <f t="shared" si="29"/>
        <v>0</v>
      </c>
      <c r="P123" s="426">
        <f t="shared" si="30"/>
        <v>0</v>
      </c>
      <c r="Q123" s="421">
        <f t="shared" si="31"/>
        <v>1</v>
      </c>
      <c r="R123" s="420">
        <f t="shared" si="32"/>
        <v>2109.9385096454689</v>
      </c>
      <c r="U123" s="669"/>
    </row>
    <row r="124" spans="1:21" ht="12" hidden="1" customHeight="1" outlineLevel="2" x14ac:dyDescent="0.2">
      <c r="A124" s="169" t="s">
        <v>977</v>
      </c>
      <c r="B124" s="275" t="str">
        <f>+'O. HUMEDAD'!B335</f>
        <v>CONTRAPISO DE 48mm - TIPO CEMENTO PULIDO</v>
      </c>
      <c r="C124" s="169" t="s">
        <v>408</v>
      </c>
      <c r="D124" s="367">
        <v>99.142499999999984</v>
      </c>
      <c r="E124" s="366">
        <v>31.576750000000001</v>
      </c>
      <c r="F124" s="368">
        <f t="shared" si="23"/>
        <v>3130.5979368749995</v>
      </c>
      <c r="G124" s="366">
        <v>18.965000000000003</v>
      </c>
      <c r="H124" s="369">
        <f t="shared" si="24"/>
        <v>1880.2375125000001</v>
      </c>
      <c r="I124" s="370">
        <f t="shared" si="25"/>
        <v>50.541750000000008</v>
      </c>
      <c r="J124" s="417">
        <f t="shared" si="26"/>
        <v>5010.8354493750003</v>
      </c>
      <c r="K124" s="422"/>
      <c r="L124" s="427">
        <f t="shared" si="27"/>
        <v>0</v>
      </c>
      <c r="M124" s="419"/>
      <c r="N124" s="420">
        <f t="shared" si="28"/>
        <v>0</v>
      </c>
      <c r="O124" s="425">
        <f t="shared" si="29"/>
        <v>0</v>
      </c>
      <c r="P124" s="426">
        <f t="shared" si="30"/>
        <v>0</v>
      </c>
      <c r="Q124" s="421">
        <f t="shared" si="31"/>
        <v>1</v>
      </c>
      <c r="R124" s="420">
        <f t="shared" si="32"/>
        <v>5010.8354493750003</v>
      </c>
      <c r="U124" s="669"/>
    </row>
    <row r="125" spans="1:21" ht="12" hidden="1" customHeight="1" outlineLevel="2" x14ac:dyDescent="0.2">
      <c r="A125" s="169" t="s">
        <v>978</v>
      </c>
      <c r="B125" s="275" t="str">
        <f>+'O. HUMEDAD'!B338</f>
        <v>TARRAJEO DE ESCALERA</v>
      </c>
      <c r="C125" s="169" t="s">
        <v>408</v>
      </c>
      <c r="D125" s="367">
        <v>11.747999999999998</v>
      </c>
      <c r="E125" s="366">
        <v>33.730693333333335</v>
      </c>
      <c r="F125" s="368">
        <f t="shared" si="23"/>
        <v>396.26818527999995</v>
      </c>
      <c r="G125" s="366">
        <v>3.5350000000000001</v>
      </c>
      <c r="H125" s="369">
        <f t="shared" si="24"/>
        <v>41.52917999999999</v>
      </c>
      <c r="I125" s="370">
        <f t="shared" si="25"/>
        <v>37.265693333333331</v>
      </c>
      <c r="J125" s="417">
        <f t="shared" si="26"/>
        <v>437.79736527999989</v>
      </c>
      <c r="K125" s="422"/>
      <c r="L125" s="427">
        <f t="shared" si="27"/>
        <v>0</v>
      </c>
      <c r="M125" s="419"/>
      <c r="N125" s="420">
        <f t="shared" si="28"/>
        <v>0</v>
      </c>
      <c r="O125" s="425">
        <f t="shared" si="29"/>
        <v>0</v>
      </c>
      <c r="P125" s="426">
        <f t="shared" si="30"/>
        <v>0</v>
      </c>
      <c r="Q125" s="421">
        <f t="shared" si="31"/>
        <v>1</v>
      </c>
      <c r="R125" s="420">
        <f t="shared" si="32"/>
        <v>437.79736527999989</v>
      </c>
      <c r="U125" s="669"/>
    </row>
    <row r="126" spans="1:21" ht="12" hidden="1" customHeight="1" outlineLevel="2" x14ac:dyDescent="0.2">
      <c r="A126" s="169" t="s">
        <v>979</v>
      </c>
      <c r="B126" s="275" t="str">
        <f>+'O. HUMEDAD'!B348</f>
        <v>TARRAJEO EN EXTERIORES</v>
      </c>
      <c r="C126" s="169" t="s">
        <v>408</v>
      </c>
      <c r="D126" s="367">
        <v>11.249999999999998</v>
      </c>
      <c r="E126" s="366">
        <v>39.260333333333335</v>
      </c>
      <c r="F126" s="368">
        <f t="shared" si="23"/>
        <v>441.67874999999998</v>
      </c>
      <c r="G126" s="366">
        <v>7.4074999999999998</v>
      </c>
      <c r="H126" s="369">
        <f t="shared" si="24"/>
        <v>83.33437499999998</v>
      </c>
      <c r="I126" s="370">
        <f t="shared" si="25"/>
        <v>46.667833333333334</v>
      </c>
      <c r="J126" s="417">
        <f t="shared" si="26"/>
        <v>525.01312499999995</v>
      </c>
      <c r="K126" s="422"/>
      <c r="L126" s="427">
        <f t="shared" si="27"/>
        <v>0</v>
      </c>
      <c r="M126" s="419"/>
      <c r="N126" s="420">
        <f t="shared" si="28"/>
        <v>0</v>
      </c>
      <c r="O126" s="425">
        <f t="shared" si="29"/>
        <v>0</v>
      </c>
      <c r="P126" s="426">
        <f t="shared" si="30"/>
        <v>0</v>
      </c>
      <c r="Q126" s="421">
        <f>100%-O126</f>
        <v>1</v>
      </c>
      <c r="R126" s="420">
        <f t="shared" si="32"/>
        <v>525.01312499999995</v>
      </c>
      <c r="U126" s="669"/>
    </row>
    <row r="127" spans="1:21" ht="12" customHeight="1" outlineLevel="1" collapsed="1" x14ac:dyDescent="0.2">
      <c r="A127" s="219" t="s">
        <v>874</v>
      </c>
      <c r="B127" s="277" t="s">
        <v>789</v>
      </c>
      <c r="C127" s="219"/>
      <c r="D127" s="219"/>
      <c r="E127" s="372"/>
      <c r="F127" s="415" t="e">
        <f>SUM(F130:F185)</f>
        <v>#VALUE!</v>
      </c>
      <c r="G127" s="372"/>
      <c r="H127" s="415" t="e">
        <f>SUM(H130:H185)</f>
        <v>#VALUE!</v>
      </c>
      <c r="I127" s="219"/>
      <c r="J127" s="415">
        <f>+RESUMEN!C19</f>
        <v>8936.6679692235612</v>
      </c>
      <c r="K127" s="415"/>
      <c r="L127" s="415">
        <f>+RESUMEN!E19</f>
        <v>0</v>
      </c>
      <c r="M127" s="415"/>
      <c r="N127" s="415" t="e">
        <f>+#REF!+#REF!</f>
        <v>#REF!</v>
      </c>
      <c r="O127" s="415"/>
      <c r="P127" s="415" t="e">
        <f>+#REF!+#REF!</f>
        <v>#REF!</v>
      </c>
      <c r="Q127" s="415"/>
      <c r="R127" s="415" t="e">
        <f>+#REF!+#REF!</f>
        <v>#REF!</v>
      </c>
      <c r="S127" s="669"/>
      <c r="T127" s="669"/>
    </row>
    <row r="128" spans="1:21" ht="12" hidden="1" customHeight="1" outlineLevel="2" x14ac:dyDescent="0.2">
      <c r="A128" s="169" t="s">
        <v>878</v>
      </c>
      <c r="B128" s="275" t="s">
        <v>850</v>
      </c>
      <c r="C128" s="169" t="s">
        <v>23</v>
      </c>
      <c r="D128" s="367">
        <v>1</v>
      </c>
      <c r="E128" s="366"/>
      <c r="F128" s="670"/>
      <c r="G128" s="366"/>
      <c r="H128" s="671"/>
      <c r="I128" s="370">
        <v>2000</v>
      </c>
      <c r="J128" s="417">
        <f>+I128</f>
        <v>2000</v>
      </c>
      <c r="K128" s="672"/>
      <c r="L128" s="673"/>
      <c r="M128" s="674"/>
      <c r="N128" s="675"/>
      <c r="O128" s="676"/>
      <c r="P128" s="677"/>
      <c r="Q128" s="678"/>
      <c r="R128" s="675"/>
    </row>
    <row r="129" spans="1:20" ht="12" hidden="1" customHeight="1" outlineLevel="2" x14ac:dyDescent="0.2">
      <c r="A129" s="169" t="s">
        <v>879</v>
      </c>
      <c r="B129" s="275" t="s">
        <v>851</v>
      </c>
      <c r="C129" s="169" t="s">
        <v>23</v>
      </c>
      <c r="D129" s="367">
        <v>1</v>
      </c>
      <c r="E129" s="366"/>
      <c r="F129" s="670"/>
      <c r="G129" s="366"/>
      <c r="H129" s="671"/>
      <c r="I129" s="370">
        <v>1200</v>
      </c>
      <c r="J129" s="417">
        <f t="shared" ref="J129:J133" si="33">+I129</f>
        <v>1200</v>
      </c>
      <c r="K129" s="672"/>
      <c r="L129" s="673"/>
      <c r="M129" s="674"/>
      <c r="N129" s="675"/>
      <c r="O129" s="676"/>
      <c r="P129" s="677"/>
      <c r="Q129" s="678"/>
      <c r="R129" s="675"/>
    </row>
    <row r="130" spans="1:20" ht="12" hidden="1" customHeight="1" outlineLevel="2" x14ac:dyDescent="0.2">
      <c r="A130" s="169" t="s">
        <v>880</v>
      </c>
      <c r="B130" s="275" t="s">
        <v>852</v>
      </c>
      <c r="C130" s="169" t="s">
        <v>23</v>
      </c>
      <c r="D130" s="367">
        <v>1</v>
      </c>
      <c r="E130" s="366"/>
      <c r="F130" s="670"/>
      <c r="G130" s="366"/>
      <c r="H130" s="671"/>
      <c r="I130" s="370">
        <v>1200</v>
      </c>
      <c r="J130" s="417">
        <f t="shared" si="33"/>
        <v>1200</v>
      </c>
      <c r="K130" s="672"/>
      <c r="L130" s="673"/>
      <c r="M130" s="674"/>
      <c r="N130" s="675"/>
      <c r="O130" s="676"/>
      <c r="P130" s="677"/>
      <c r="Q130" s="678"/>
      <c r="R130" s="675"/>
    </row>
    <row r="131" spans="1:20" ht="12" hidden="1" customHeight="1" outlineLevel="2" x14ac:dyDescent="0.2">
      <c r="A131" s="169" t="s">
        <v>881</v>
      </c>
      <c r="B131" s="275" t="s">
        <v>853</v>
      </c>
      <c r="C131" s="169" t="s">
        <v>23</v>
      </c>
      <c r="D131" s="367">
        <v>1</v>
      </c>
      <c r="E131" s="366"/>
      <c r="F131" s="670"/>
      <c r="G131" s="366"/>
      <c r="H131" s="671"/>
      <c r="I131" s="370">
        <v>1500</v>
      </c>
      <c r="J131" s="417">
        <f t="shared" si="33"/>
        <v>1500</v>
      </c>
      <c r="K131" s="672"/>
      <c r="L131" s="673"/>
      <c r="M131" s="674"/>
      <c r="N131" s="675"/>
      <c r="O131" s="676"/>
      <c r="P131" s="677"/>
      <c r="Q131" s="678"/>
      <c r="R131" s="675"/>
    </row>
    <row r="132" spans="1:20" ht="12" hidden="1" customHeight="1" outlineLevel="2" x14ac:dyDescent="0.2">
      <c r="A132" s="169" t="s">
        <v>951</v>
      </c>
      <c r="B132" s="275" t="s">
        <v>854</v>
      </c>
      <c r="C132" s="169" t="s">
        <v>23</v>
      </c>
      <c r="D132" s="367">
        <v>1</v>
      </c>
      <c r="E132" s="366"/>
      <c r="F132" s="670"/>
      <c r="G132" s="366"/>
      <c r="H132" s="671"/>
      <c r="I132" s="370">
        <v>2036.67</v>
      </c>
      <c r="J132" s="417">
        <f t="shared" si="33"/>
        <v>2036.67</v>
      </c>
      <c r="K132" s="672"/>
      <c r="L132" s="673"/>
      <c r="M132" s="674"/>
      <c r="N132" s="675"/>
      <c r="O132" s="676"/>
      <c r="P132" s="677"/>
      <c r="Q132" s="678"/>
      <c r="R132" s="675"/>
    </row>
    <row r="133" spans="1:20" ht="12" hidden="1" customHeight="1" outlineLevel="2" x14ac:dyDescent="0.2">
      <c r="A133" s="169" t="s">
        <v>952</v>
      </c>
      <c r="B133" s="275" t="s">
        <v>855</v>
      </c>
      <c r="C133" s="169" t="s">
        <v>23</v>
      </c>
      <c r="D133" s="367">
        <v>1</v>
      </c>
      <c r="E133" s="366"/>
      <c r="F133" s="670"/>
      <c r="G133" s="366"/>
      <c r="H133" s="671"/>
      <c r="I133" s="370">
        <v>1000</v>
      </c>
      <c r="J133" s="417">
        <f t="shared" si="33"/>
        <v>1000</v>
      </c>
      <c r="K133" s="672"/>
      <c r="L133" s="673"/>
      <c r="M133" s="674"/>
      <c r="N133" s="675"/>
      <c r="O133" s="676"/>
      <c r="P133" s="677"/>
      <c r="Q133" s="678"/>
      <c r="R133" s="675"/>
    </row>
    <row r="134" spans="1:20" ht="12" customHeight="1" outlineLevel="1" collapsed="1" x14ac:dyDescent="0.2">
      <c r="A134" s="219" t="s">
        <v>744</v>
      </c>
      <c r="B134" s="277" t="s">
        <v>24</v>
      </c>
      <c r="C134" s="219"/>
      <c r="D134" s="219"/>
      <c r="E134" s="372"/>
      <c r="F134" s="415" t="e">
        <f>SUM(F137:F193)</f>
        <v>#VALUE!</v>
      </c>
      <c r="G134" s="372"/>
      <c r="H134" s="415" t="e">
        <f>SUM(H137:H193)</f>
        <v>#VALUE!</v>
      </c>
      <c r="I134" s="219"/>
      <c r="J134" s="415">
        <f>+RESUMEN!C20</f>
        <v>8936.6679692235612</v>
      </c>
      <c r="K134" s="415"/>
      <c r="L134" s="415">
        <f>+RESUMEN!E20</f>
        <v>0</v>
      </c>
      <c r="M134" s="415"/>
      <c r="N134" s="415" t="e">
        <f>+#REF!+#REF!</f>
        <v>#REF!</v>
      </c>
      <c r="O134" s="415"/>
      <c r="P134" s="415" t="e">
        <f>+#REF!+#REF!</f>
        <v>#REF!</v>
      </c>
      <c r="Q134" s="415"/>
      <c r="R134" s="415" t="e">
        <f>+#REF!+#REF!</f>
        <v>#REF!</v>
      </c>
      <c r="S134" s="669"/>
      <c r="T134" s="669"/>
    </row>
    <row r="135" spans="1:20" ht="12" hidden="1" customHeight="1" outlineLevel="2" x14ac:dyDescent="0.2">
      <c r="A135" s="169" t="s">
        <v>745</v>
      </c>
      <c r="B135" s="275" t="s">
        <v>856</v>
      </c>
      <c r="C135" s="169" t="s">
        <v>23</v>
      </c>
      <c r="D135" s="367">
        <v>1</v>
      </c>
      <c r="E135" s="366"/>
      <c r="F135" s="670"/>
      <c r="G135" s="366"/>
      <c r="H135" s="671"/>
      <c r="I135" s="370">
        <v>1500</v>
      </c>
      <c r="J135" s="417">
        <f>+I135</f>
        <v>1500</v>
      </c>
      <c r="K135" s="672"/>
      <c r="L135" s="673"/>
      <c r="M135" s="674"/>
      <c r="N135" s="675"/>
      <c r="O135" s="676"/>
      <c r="P135" s="677"/>
      <c r="Q135" s="678"/>
      <c r="R135" s="675"/>
      <c r="S135" s="669"/>
    </row>
    <row r="136" spans="1:20" ht="12" hidden="1" customHeight="1" outlineLevel="2" x14ac:dyDescent="0.2">
      <c r="A136" s="169" t="s">
        <v>746</v>
      </c>
      <c r="B136" s="275" t="s">
        <v>857</v>
      </c>
      <c r="C136" s="169" t="s">
        <v>23</v>
      </c>
      <c r="D136" s="367">
        <v>1</v>
      </c>
      <c r="E136" s="366"/>
      <c r="F136" s="670"/>
      <c r="G136" s="366"/>
      <c r="H136" s="671"/>
      <c r="I136" s="370">
        <v>1500</v>
      </c>
      <c r="J136" s="417">
        <f t="shared" ref="J136:J138" si="34">+I136</f>
        <v>1500</v>
      </c>
      <c r="K136" s="672"/>
      <c r="L136" s="673"/>
      <c r="M136" s="674"/>
      <c r="N136" s="675"/>
      <c r="O136" s="676"/>
      <c r="P136" s="677"/>
      <c r="Q136" s="678"/>
      <c r="R136" s="675"/>
    </row>
    <row r="137" spans="1:20" ht="12" hidden="1" customHeight="1" outlineLevel="2" x14ac:dyDescent="0.2">
      <c r="A137" s="169" t="s">
        <v>747</v>
      </c>
      <c r="B137" s="275" t="s">
        <v>859</v>
      </c>
      <c r="C137" s="169" t="s">
        <v>23</v>
      </c>
      <c r="D137" s="367">
        <v>1</v>
      </c>
      <c r="E137" s="366"/>
      <c r="F137" s="670"/>
      <c r="G137" s="366"/>
      <c r="H137" s="671"/>
      <c r="I137" s="370">
        <v>2500</v>
      </c>
      <c r="J137" s="417">
        <f t="shared" si="34"/>
        <v>2500</v>
      </c>
      <c r="K137" s="672"/>
      <c r="L137" s="673"/>
      <c r="M137" s="674"/>
      <c r="N137" s="675"/>
      <c r="O137" s="676"/>
      <c r="P137" s="677"/>
      <c r="Q137" s="678"/>
      <c r="R137" s="675"/>
    </row>
    <row r="138" spans="1:20" ht="12" hidden="1" customHeight="1" outlineLevel="2" x14ac:dyDescent="0.2">
      <c r="A138" s="169" t="s">
        <v>953</v>
      </c>
      <c r="B138" s="275" t="s">
        <v>860</v>
      </c>
      <c r="C138" s="169" t="s">
        <v>23</v>
      </c>
      <c r="D138" s="367">
        <v>1</v>
      </c>
      <c r="E138" s="366"/>
      <c r="F138" s="670"/>
      <c r="G138" s="366"/>
      <c r="H138" s="671"/>
      <c r="I138" s="370">
        <v>3427.6672922980811</v>
      </c>
      <c r="J138" s="417">
        <f t="shared" si="34"/>
        <v>3427.6672922980811</v>
      </c>
      <c r="K138" s="672"/>
      <c r="L138" s="673"/>
      <c r="M138" s="674"/>
      <c r="N138" s="675"/>
      <c r="O138" s="676"/>
      <c r="P138" s="677"/>
      <c r="Q138" s="678"/>
      <c r="R138" s="675"/>
    </row>
    <row r="139" spans="1:20" ht="12" customHeight="1" outlineLevel="1" collapsed="1" x14ac:dyDescent="0.2">
      <c r="A139" s="168" t="s">
        <v>882</v>
      </c>
      <c r="B139" s="221" t="s">
        <v>318</v>
      </c>
      <c r="C139" s="213"/>
      <c r="D139" s="395"/>
      <c r="E139" s="371"/>
      <c r="F139" s="414">
        <v>30542.668368170955</v>
      </c>
      <c r="G139" s="371"/>
      <c r="H139" s="414">
        <v>29384.708509181059</v>
      </c>
      <c r="I139" s="168"/>
      <c r="J139" s="414">
        <f>+J140+J158+J161+J170+J177</f>
        <v>77800.712565177004</v>
      </c>
      <c r="K139" s="423"/>
      <c r="L139" s="414">
        <f>SUM(L141:L146)</f>
        <v>0</v>
      </c>
      <c r="M139" s="414"/>
      <c r="N139" s="414">
        <f>SUM(N141:N146)</f>
        <v>0</v>
      </c>
      <c r="O139" s="414"/>
      <c r="P139" s="414">
        <f>SUM(P141:P146)</f>
        <v>0</v>
      </c>
      <c r="Q139" s="414"/>
      <c r="R139" s="414">
        <f t="shared" ref="R139:R157" si="35">+J139-P139</f>
        <v>77800.712565177004</v>
      </c>
    </row>
    <row r="140" spans="1:20" ht="12" customHeight="1" outlineLevel="1" collapsed="1" x14ac:dyDescent="0.2">
      <c r="A140" s="219" t="s">
        <v>883</v>
      </c>
      <c r="B140" s="277" t="s">
        <v>933</v>
      </c>
      <c r="C140" s="219"/>
      <c r="D140" s="219"/>
      <c r="E140" s="372"/>
      <c r="F140" s="415">
        <v>13157.598809830853</v>
      </c>
      <c r="G140" s="372"/>
      <c r="H140" s="415">
        <v>19033.694822645339</v>
      </c>
      <c r="I140" s="219"/>
      <c r="J140" s="415">
        <f>+RESUMEN!C22</f>
        <v>32191.293381854059</v>
      </c>
      <c r="K140" s="415"/>
      <c r="L140" s="415">
        <f>+RESUMEN!E22</f>
        <v>0</v>
      </c>
      <c r="M140" s="415"/>
      <c r="N140" s="415">
        <f>+SUM(N141:N157)</f>
        <v>0</v>
      </c>
      <c r="O140" s="415"/>
      <c r="P140" s="415">
        <f>+SUM(P141:P157)</f>
        <v>0</v>
      </c>
      <c r="Q140" s="415"/>
      <c r="R140" s="415">
        <f t="shared" si="35"/>
        <v>32191.293381854059</v>
      </c>
      <c r="S140" s="669"/>
    </row>
    <row r="141" spans="1:20" ht="12" hidden="1" customHeight="1" outlineLevel="2" x14ac:dyDescent="0.2">
      <c r="A141" s="272" t="s">
        <v>884</v>
      </c>
      <c r="B141" s="273" t="s">
        <v>387</v>
      </c>
      <c r="C141" s="276"/>
      <c r="D141" s="276"/>
      <c r="E141" s="276"/>
      <c r="F141" s="276"/>
      <c r="G141" s="276"/>
      <c r="H141" s="276"/>
      <c r="I141" s="276"/>
      <c r="J141" s="416"/>
      <c r="K141" s="424"/>
      <c r="L141" s="416"/>
      <c r="M141" s="416"/>
      <c r="N141" s="416"/>
      <c r="O141" s="416"/>
      <c r="P141" s="416"/>
      <c r="Q141" s="416"/>
      <c r="R141" s="416">
        <f t="shared" si="35"/>
        <v>0</v>
      </c>
      <c r="S141" s="669"/>
    </row>
    <row r="142" spans="1:20" ht="12" hidden="1" customHeight="1" outlineLevel="2" x14ac:dyDescent="0.2">
      <c r="A142" s="170" t="s">
        <v>937</v>
      </c>
      <c r="B142" s="275" t="s">
        <v>178</v>
      </c>
      <c r="C142" s="169" t="s">
        <v>37</v>
      </c>
      <c r="D142" s="367">
        <v>8.5749999999999993</v>
      </c>
      <c r="E142" s="366">
        <v>88.708666666666659</v>
      </c>
      <c r="F142" s="368">
        <v>760.67681666666658</v>
      </c>
      <c r="G142" s="366">
        <v>348.75</v>
      </c>
      <c r="H142" s="369">
        <v>2990.5312499999995</v>
      </c>
      <c r="I142" s="370">
        <v>437.45866666666666</v>
      </c>
      <c r="J142" s="417">
        <f>D142*I142</f>
        <v>3751.2080666666661</v>
      </c>
      <c r="K142" s="422"/>
      <c r="L142" s="427">
        <f>+J142*K142</f>
        <v>0</v>
      </c>
      <c r="M142" s="419"/>
      <c r="N142" s="420">
        <f>+M142*J142</f>
        <v>0</v>
      </c>
      <c r="O142" s="425">
        <f>+K142+M142</f>
        <v>0</v>
      </c>
      <c r="P142" s="426">
        <f>+N142+L142</f>
        <v>0</v>
      </c>
      <c r="Q142" s="421">
        <f>100%-O142</f>
        <v>1</v>
      </c>
      <c r="R142" s="420">
        <f t="shared" si="35"/>
        <v>3751.2080666666661</v>
      </c>
    </row>
    <row r="143" spans="1:20" ht="12" hidden="1" customHeight="1" outlineLevel="2" x14ac:dyDescent="0.2">
      <c r="A143" s="170" t="s">
        <v>938</v>
      </c>
      <c r="B143" s="275" t="s">
        <v>179</v>
      </c>
      <c r="C143" s="169" t="s">
        <v>38</v>
      </c>
      <c r="D143" s="367">
        <v>82.600000000000009</v>
      </c>
      <c r="E143" s="366">
        <v>60.478166666666667</v>
      </c>
      <c r="F143" s="368">
        <v>4995.4965666666676</v>
      </c>
      <c r="G143" s="366">
        <v>2.35</v>
      </c>
      <c r="H143" s="369">
        <v>194.11</v>
      </c>
      <c r="I143" s="370">
        <v>62.828166666666668</v>
      </c>
      <c r="J143" s="417">
        <f>D143*I143</f>
        <v>5189.6065666666673</v>
      </c>
      <c r="K143" s="422"/>
      <c r="L143" s="427">
        <f>+J143*K143</f>
        <v>0</v>
      </c>
      <c r="M143" s="419"/>
      <c r="N143" s="420">
        <f>+M143*J143</f>
        <v>0</v>
      </c>
      <c r="O143" s="425">
        <f>+K143+M143</f>
        <v>0</v>
      </c>
      <c r="P143" s="426">
        <f>+N143+L143</f>
        <v>0</v>
      </c>
      <c r="Q143" s="421">
        <f>100%-O143</f>
        <v>1</v>
      </c>
      <c r="R143" s="420">
        <f t="shared" si="35"/>
        <v>5189.6065666666673</v>
      </c>
    </row>
    <row r="144" spans="1:20" ht="12" hidden="1" customHeight="1" outlineLevel="2" x14ac:dyDescent="0.2">
      <c r="A144" s="170" t="s">
        <v>939</v>
      </c>
      <c r="B144" s="275" t="s">
        <v>180</v>
      </c>
      <c r="C144" s="169" t="s">
        <v>118</v>
      </c>
      <c r="D144" s="367">
        <v>814.62499999999989</v>
      </c>
      <c r="E144" s="366">
        <v>2.2715000000000001</v>
      </c>
      <c r="F144" s="368">
        <v>1850.4206874999998</v>
      </c>
      <c r="G144" s="366">
        <v>5.75</v>
      </c>
      <c r="H144" s="369">
        <v>4684.0937499999991</v>
      </c>
      <c r="I144" s="370">
        <v>8.0214999999999996</v>
      </c>
      <c r="J144" s="417">
        <f>D144*I144</f>
        <v>6534.5144374999991</v>
      </c>
      <c r="K144" s="422"/>
      <c r="L144" s="427">
        <f>+J144*K144</f>
        <v>0</v>
      </c>
      <c r="M144" s="419"/>
      <c r="N144" s="420">
        <f>+M144*J144</f>
        <v>0</v>
      </c>
      <c r="O144" s="425">
        <f>+K144+M144</f>
        <v>0</v>
      </c>
      <c r="P144" s="426">
        <f>+N144+L144</f>
        <v>0</v>
      </c>
      <c r="Q144" s="421">
        <f>100%-O144</f>
        <v>1</v>
      </c>
      <c r="R144" s="420">
        <f t="shared" si="35"/>
        <v>6534.5144374999991</v>
      </c>
    </row>
    <row r="145" spans="1:19" ht="12" hidden="1" customHeight="1" outlineLevel="2" x14ac:dyDescent="0.2">
      <c r="A145" s="272" t="s">
        <v>885</v>
      </c>
      <c r="B145" s="273" t="s">
        <v>12</v>
      </c>
      <c r="C145" s="276"/>
      <c r="D145" s="276"/>
      <c r="E145" s="276"/>
      <c r="F145" s="276"/>
      <c r="G145" s="276"/>
      <c r="H145" s="276"/>
      <c r="I145" s="276"/>
      <c r="J145" s="416"/>
      <c r="K145" s="424"/>
      <c r="L145" s="416"/>
      <c r="M145" s="416"/>
      <c r="N145" s="416"/>
      <c r="O145" s="416"/>
      <c r="P145" s="416"/>
      <c r="Q145" s="416"/>
      <c r="R145" s="416">
        <f t="shared" si="35"/>
        <v>0</v>
      </c>
    </row>
    <row r="146" spans="1:19" ht="12" hidden="1" customHeight="1" outlineLevel="2" x14ac:dyDescent="0.2">
      <c r="A146" s="169" t="s">
        <v>954</v>
      </c>
      <c r="B146" s="275" t="s">
        <v>380</v>
      </c>
      <c r="C146" s="169" t="s">
        <v>37</v>
      </c>
      <c r="D146" s="367">
        <v>4.1165000000000003</v>
      </c>
      <c r="E146" s="366">
        <v>57.276533333333333</v>
      </c>
      <c r="F146" s="368">
        <v>235.77884946666668</v>
      </c>
      <c r="G146" s="366">
        <v>330.75</v>
      </c>
      <c r="H146" s="369">
        <v>1361.532375</v>
      </c>
      <c r="I146" s="370">
        <v>388.0265333333333</v>
      </c>
      <c r="J146" s="417">
        <f>D146*I146</f>
        <v>1597.3112244666665</v>
      </c>
      <c r="K146" s="422"/>
      <c r="L146" s="427">
        <f>+J146*K146</f>
        <v>0</v>
      </c>
      <c r="M146" s="419"/>
      <c r="N146" s="420">
        <f>+M146*J146</f>
        <v>0</v>
      </c>
      <c r="O146" s="425">
        <f>+K146+M146</f>
        <v>0</v>
      </c>
      <c r="P146" s="426">
        <f>+N146+L146</f>
        <v>0</v>
      </c>
      <c r="Q146" s="421">
        <f>100%-O146</f>
        <v>1</v>
      </c>
      <c r="R146" s="420">
        <f t="shared" si="35"/>
        <v>1597.3112244666665</v>
      </c>
    </row>
    <row r="147" spans="1:19" ht="12" hidden="1" customHeight="1" outlineLevel="2" x14ac:dyDescent="0.2">
      <c r="A147" s="169" t="s">
        <v>955</v>
      </c>
      <c r="B147" s="275" t="s">
        <v>13</v>
      </c>
      <c r="C147" s="169" t="s">
        <v>38</v>
      </c>
      <c r="D147" s="367">
        <v>26.337499999999999</v>
      </c>
      <c r="E147" s="366">
        <v>46.902766666666665</v>
      </c>
      <c r="F147" s="368">
        <v>1235.3016170833332</v>
      </c>
      <c r="G147" s="366">
        <v>2.2000000000000002</v>
      </c>
      <c r="H147" s="369">
        <v>57.942500000000003</v>
      </c>
      <c r="I147" s="370">
        <v>49.102766666666668</v>
      </c>
      <c r="J147" s="417">
        <f>D147*I147</f>
        <v>1293.2441170833333</v>
      </c>
      <c r="K147" s="422"/>
      <c r="L147" s="427">
        <f>+J147*K147</f>
        <v>0</v>
      </c>
      <c r="M147" s="419"/>
      <c r="N147" s="420">
        <f>+M147*J147</f>
        <v>0</v>
      </c>
      <c r="O147" s="425">
        <f>+K147+M147</f>
        <v>0</v>
      </c>
      <c r="P147" s="426">
        <f>+N147+L147</f>
        <v>0</v>
      </c>
      <c r="Q147" s="421">
        <f>100%-O147</f>
        <v>1</v>
      </c>
      <c r="R147" s="420">
        <f t="shared" si="35"/>
        <v>1293.2441170833333</v>
      </c>
    </row>
    <row r="148" spans="1:19" ht="12" hidden="1" customHeight="1" outlineLevel="2" x14ac:dyDescent="0.2">
      <c r="A148" s="169" t="s">
        <v>956</v>
      </c>
      <c r="B148" s="275" t="s">
        <v>48</v>
      </c>
      <c r="C148" s="169" t="s">
        <v>118</v>
      </c>
      <c r="D148" s="367">
        <v>1029.125</v>
      </c>
      <c r="E148" s="366">
        <v>1.8172000000000001</v>
      </c>
      <c r="F148" s="368">
        <v>1870.1259500000001</v>
      </c>
      <c r="G148" s="366">
        <v>5.6000000000000005</v>
      </c>
      <c r="H148" s="369">
        <v>5763.1</v>
      </c>
      <c r="I148" s="370">
        <v>7.4172000000000011</v>
      </c>
      <c r="J148" s="417">
        <f>D148*I148</f>
        <v>7633.2259500000009</v>
      </c>
      <c r="K148" s="422"/>
      <c r="L148" s="427">
        <f>+J148*K148</f>
        <v>0</v>
      </c>
      <c r="M148" s="419"/>
      <c r="N148" s="420">
        <f>+M148*J148</f>
        <v>0</v>
      </c>
      <c r="O148" s="425">
        <f>+K148+M148</f>
        <v>0</v>
      </c>
      <c r="P148" s="426">
        <f>+N148+L148</f>
        <v>0</v>
      </c>
      <c r="Q148" s="421">
        <f>100%-O148</f>
        <v>1</v>
      </c>
      <c r="R148" s="420">
        <f t="shared" si="35"/>
        <v>7633.2259500000009</v>
      </c>
    </row>
    <row r="149" spans="1:19" ht="12" hidden="1" customHeight="1" outlineLevel="2" x14ac:dyDescent="0.2">
      <c r="A149" s="272" t="s">
        <v>957</v>
      </c>
      <c r="B149" s="273" t="s">
        <v>14</v>
      </c>
      <c r="C149" s="276"/>
      <c r="D149" s="276"/>
      <c r="E149" s="276"/>
      <c r="F149" s="276"/>
      <c r="G149" s="276"/>
      <c r="H149" s="276"/>
      <c r="I149" s="276"/>
      <c r="J149" s="416"/>
      <c r="K149" s="424"/>
      <c r="L149" s="416"/>
      <c r="M149" s="416"/>
      <c r="N149" s="416"/>
      <c r="O149" s="416"/>
      <c r="P149" s="416"/>
      <c r="Q149" s="416"/>
      <c r="R149" s="416">
        <f t="shared" si="35"/>
        <v>0</v>
      </c>
    </row>
    <row r="150" spans="1:19" ht="12" hidden="1" customHeight="1" outlineLevel="2" x14ac:dyDescent="0.2">
      <c r="A150" s="169" t="s">
        <v>958</v>
      </c>
      <c r="B150" s="275" t="s">
        <v>381</v>
      </c>
      <c r="C150" s="169" t="s">
        <v>37</v>
      </c>
      <c r="D150" s="367">
        <v>2.2927499999999998</v>
      </c>
      <c r="E150" s="366">
        <v>57.276533333333333</v>
      </c>
      <c r="F150" s="368">
        <v>131.32077179999999</v>
      </c>
      <c r="G150" s="366">
        <v>330.75</v>
      </c>
      <c r="H150" s="369">
        <v>758.3270624999999</v>
      </c>
      <c r="I150" s="370">
        <v>388.0265333333333</v>
      </c>
      <c r="J150" s="417">
        <f>D150*I150</f>
        <v>889.64783429999989</v>
      </c>
      <c r="K150" s="422"/>
      <c r="L150" s="427">
        <f>+J150*K150</f>
        <v>0</v>
      </c>
      <c r="M150" s="419"/>
      <c r="N150" s="420">
        <f>+M150*J150</f>
        <v>0</v>
      </c>
      <c r="O150" s="425">
        <f>+K150+M150</f>
        <v>0</v>
      </c>
      <c r="P150" s="426">
        <f>+N150+L150</f>
        <v>0</v>
      </c>
      <c r="Q150" s="421">
        <f>100%-O150</f>
        <v>1</v>
      </c>
      <c r="R150" s="420">
        <f t="shared" si="35"/>
        <v>889.64783429999989</v>
      </c>
    </row>
    <row r="151" spans="1:19" ht="12" hidden="1" customHeight="1" outlineLevel="2" x14ac:dyDescent="0.2">
      <c r="A151" s="169" t="s">
        <v>959</v>
      </c>
      <c r="B151" s="275" t="s">
        <v>15</v>
      </c>
      <c r="C151" s="169" t="s">
        <v>38</v>
      </c>
      <c r="D151" s="367">
        <v>22.927499999999995</v>
      </c>
      <c r="E151" s="366">
        <v>31.934904761904765</v>
      </c>
      <c r="F151" s="368">
        <v>732.18752892857128</v>
      </c>
      <c r="G151" s="366">
        <v>1.05</v>
      </c>
      <c r="H151" s="369">
        <v>24.073874999999994</v>
      </c>
      <c r="I151" s="370">
        <v>32.984904761904765</v>
      </c>
      <c r="J151" s="417">
        <f>D151*I151</f>
        <v>756.26140392857133</v>
      </c>
      <c r="K151" s="422"/>
      <c r="L151" s="427">
        <f>+J151*K151</f>
        <v>0</v>
      </c>
      <c r="M151" s="419"/>
      <c r="N151" s="420">
        <f>+M151*J151</f>
        <v>0</v>
      </c>
      <c r="O151" s="425">
        <f>+K151+M151</f>
        <v>0</v>
      </c>
      <c r="P151" s="426">
        <f>+N151+L151</f>
        <v>0</v>
      </c>
      <c r="Q151" s="421">
        <f>100%-O151</f>
        <v>1</v>
      </c>
      <c r="R151" s="420">
        <f t="shared" si="35"/>
        <v>756.26140392857133</v>
      </c>
    </row>
    <row r="152" spans="1:19" ht="12" hidden="1" customHeight="1" outlineLevel="2" x14ac:dyDescent="0.2">
      <c r="A152" s="169" t="s">
        <v>960</v>
      </c>
      <c r="B152" s="275" t="s">
        <v>50</v>
      </c>
      <c r="C152" s="169" t="s">
        <v>126</v>
      </c>
      <c r="D152" s="367">
        <v>207</v>
      </c>
      <c r="E152" s="366">
        <v>1.0381541666666665</v>
      </c>
      <c r="F152" s="368">
        <v>214.89791249999996</v>
      </c>
      <c r="G152" s="366">
        <v>3.6750000000000003</v>
      </c>
      <c r="H152" s="369">
        <v>760.72500000000002</v>
      </c>
      <c r="I152" s="370">
        <v>4.7131541666666665</v>
      </c>
      <c r="J152" s="417">
        <f>D152*I152</f>
        <v>975.62291249999998</v>
      </c>
      <c r="K152" s="422"/>
      <c r="L152" s="427">
        <f>+J152*K152</f>
        <v>0</v>
      </c>
      <c r="M152" s="419"/>
      <c r="N152" s="420">
        <f>+M152*J152</f>
        <v>0</v>
      </c>
      <c r="O152" s="425">
        <f>+K152+M152</f>
        <v>0</v>
      </c>
      <c r="P152" s="426">
        <f>+N152+L152</f>
        <v>0</v>
      </c>
      <c r="Q152" s="421">
        <f>100%-O152</f>
        <v>1</v>
      </c>
      <c r="R152" s="420">
        <f t="shared" si="35"/>
        <v>975.62291249999998</v>
      </c>
    </row>
    <row r="153" spans="1:19" ht="12" hidden="1" customHeight="1" outlineLevel="2" x14ac:dyDescent="0.2">
      <c r="A153" s="169" t="s">
        <v>961</v>
      </c>
      <c r="B153" s="275" t="s">
        <v>16</v>
      </c>
      <c r="C153" s="169" t="s">
        <v>118</v>
      </c>
      <c r="D153" s="367">
        <v>163.35466699023891</v>
      </c>
      <c r="E153" s="366">
        <v>1.8172000000000001</v>
      </c>
      <c r="F153" s="368">
        <v>296.84810085466216</v>
      </c>
      <c r="G153" s="366">
        <v>5.6000000000000005</v>
      </c>
      <c r="H153" s="369">
        <v>914.78613514533799</v>
      </c>
      <c r="I153" s="370">
        <v>7.4172000000000011</v>
      </c>
      <c r="J153" s="417">
        <v>1211.6342360000003</v>
      </c>
      <c r="K153" s="422"/>
      <c r="L153" s="427">
        <f>+J153*K153</f>
        <v>0</v>
      </c>
      <c r="M153" s="419"/>
      <c r="N153" s="420">
        <f>+M153*J153</f>
        <v>0</v>
      </c>
      <c r="O153" s="425">
        <f>+K153+M153</f>
        <v>0</v>
      </c>
      <c r="P153" s="426">
        <f>+N153+L153</f>
        <v>0</v>
      </c>
      <c r="Q153" s="421">
        <f>100%-O153</f>
        <v>1</v>
      </c>
      <c r="R153" s="420">
        <f t="shared" si="35"/>
        <v>1211.6342360000003</v>
      </c>
    </row>
    <row r="154" spans="1:19" ht="12" hidden="1" customHeight="1" outlineLevel="2" x14ac:dyDescent="0.2">
      <c r="A154" s="272" t="s">
        <v>962</v>
      </c>
      <c r="B154" s="308" t="s">
        <v>17</v>
      </c>
      <c r="C154" s="276"/>
      <c r="D154" s="276"/>
      <c r="E154" s="276"/>
      <c r="F154" s="276"/>
      <c r="G154" s="276"/>
      <c r="H154" s="276"/>
      <c r="I154" s="276"/>
      <c r="J154" s="416"/>
      <c r="K154" s="424"/>
      <c r="L154" s="416"/>
      <c r="M154" s="416"/>
      <c r="N154" s="416"/>
      <c r="O154" s="416"/>
      <c r="P154" s="416"/>
      <c r="Q154" s="416"/>
      <c r="R154" s="416">
        <f t="shared" si="35"/>
        <v>0</v>
      </c>
    </row>
    <row r="155" spans="1:19" ht="12" hidden="1" customHeight="1" outlineLevel="2" x14ac:dyDescent="0.2">
      <c r="A155" s="169" t="s">
        <v>972</v>
      </c>
      <c r="B155" s="275" t="s">
        <v>382</v>
      </c>
      <c r="C155" s="169" t="s">
        <v>37</v>
      </c>
      <c r="D155" s="367">
        <v>2.0145</v>
      </c>
      <c r="E155" s="366">
        <v>57.276533333333333</v>
      </c>
      <c r="F155" s="368">
        <v>115.3835764</v>
      </c>
      <c r="G155" s="366">
        <v>330.75</v>
      </c>
      <c r="H155" s="369">
        <v>666.29587500000002</v>
      </c>
      <c r="I155" s="370">
        <v>388.0265333333333</v>
      </c>
      <c r="J155" s="417">
        <f>D155*I155</f>
        <v>781.67945139999995</v>
      </c>
      <c r="K155" s="422"/>
      <c r="L155" s="427">
        <f>+J155*K155</f>
        <v>0</v>
      </c>
      <c r="M155" s="419"/>
      <c r="N155" s="420">
        <f>+M155*J155</f>
        <v>0</v>
      </c>
      <c r="O155" s="425">
        <f>+K155+M155</f>
        <v>0</v>
      </c>
      <c r="P155" s="426">
        <f>+N155+L155</f>
        <v>0</v>
      </c>
      <c r="Q155" s="421">
        <f>100%-O155</f>
        <v>1</v>
      </c>
      <c r="R155" s="420">
        <f t="shared" si="35"/>
        <v>781.67945139999995</v>
      </c>
    </row>
    <row r="156" spans="1:19" ht="12" hidden="1" customHeight="1" outlineLevel="2" x14ac:dyDescent="0.2">
      <c r="A156" s="169" t="s">
        <v>973</v>
      </c>
      <c r="B156" s="275" t="s">
        <v>18</v>
      </c>
      <c r="C156" s="169" t="s">
        <v>38</v>
      </c>
      <c r="D156" s="367">
        <v>10.0725</v>
      </c>
      <c r="E156" s="366">
        <v>44.140404761904755</v>
      </c>
      <c r="F156" s="368">
        <v>444.60422696428566</v>
      </c>
      <c r="G156" s="366">
        <v>1.2000000000000002</v>
      </c>
      <c r="H156" s="369">
        <v>12.087000000000002</v>
      </c>
      <c r="I156" s="370">
        <v>45.340404761904757</v>
      </c>
      <c r="J156" s="417">
        <f>D156*I156</f>
        <v>456.69122696428565</v>
      </c>
      <c r="K156" s="422"/>
      <c r="L156" s="427">
        <f>+J156*K156</f>
        <v>0</v>
      </c>
      <c r="M156" s="419"/>
      <c r="N156" s="420">
        <f>+M156*J156</f>
        <v>0</v>
      </c>
      <c r="O156" s="425">
        <f>+K156+M156</f>
        <v>0</v>
      </c>
      <c r="P156" s="426">
        <f>+N156+L156</f>
        <v>0</v>
      </c>
      <c r="Q156" s="421">
        <f>100%-O156</f>
        <v>1</v>
      </c>
      <c r="R156" s="420">
        <f t="shared" si="35"/>
        <v>456.69122696428565</v>
      </c>
    </row>
    <row r="157" spans="1:19" ht="12" hidden="1" customHeight="1" outlineLevel="2" x14ac:dyDescent="0.2">
      <c r="A157" s="169" t="s">
        <v>974</v>
      </c>
      <c r="B157" s="275" t="s">
        <v>19</v>
      </c>
      <c r="C157" s="169" t="s">
        <v>118</v>
      </c>
      <c r="D157" s="367">
        <v>151.08750000000001</v>
      </c>
      <c r="E157" s="366">
        <v>1.8172000000000001</v>
      </c>
      <c r="F157" s="368">
        <v>274.55620500000003</v>
      </c>
      <c r="G157" s="366">
        <v>5.6000000000000005</v>
      </c>
      <c r="H157" s="369">
        <v>846.09000000000015</v>
      </c>
      <c r="I157" s="370">
        <v>7.4172000000000011</v>
      </c>
      <c r="J157" s="417">
        <f>D157*I157</f>
        <v>1120.6462050000002</v>
      </c>
      <c r="K157" s="422"/>
      <c r="L157" s="427">
        <f>+J157*K157</f>
        <v>0</v>
      </c>
      <c r="M157" s="419"/>
      <c r="N157" s="420">
        <f>+M157*J157</f>
        <v>0</v>
      </c>
      <c r="O157" s="425">
        <f>+K157+M157</f>
        <v>0</v>
      </c>
      <c r="P157" s="426">
        <f>+N157+L157</f>
        <v>0</v>
      </c>
      <c r="Q157" s="421">
        <f>100%-O157</f>
        <v>1</v>
      </c>
      <c r="R157" s="420">
        <f t="shared" si="35"/>
        <v>1120.6462050000002</v>
      </c>
    </row>
    <row r="158" spans="1:19" ht="12" customHeight="1" outlineLevel="1" collapsed="1" x14ac:dyDescent="0.2">
      <c r="A158" s="219" t="s">
        <v>963</v>
      </c>
      <c r="B158" s="277" t="s">
        <v>418</v>
      </c>
      <c r="C158" s="219"/>
      <c r="D158" s="219"/>
      <c r="E158" s="372"/>
      <c r="F158" s="415">
        <v>4109.683596598441</v>
      </c>
      <c r="G158" s="372"/>
      <c r="H158" s="415">
        <v>6576.8973793069135</v>
      </c>
      <c r="I158" s="219"/>
      <c r="J158" s="415">
        <f>+RESUMEN!C23</f>
        <v>10686.580975905354</v>
      </c>
      <c r="K158" s="415"/>
      <c r="L158" s="415">
        <f>+RESUMEN!E23</f>
        <v>0</v>
      </c>
      <c r="M158" s="415"/>
      <c r="N158" s="415"/>
      <c r="O158" s="415"/>
      <c r="P158" s="415"/>
      <c r="Q158" s="415"/>
      <c r="R158" s="415"/>
      <c r="S158" s="669"/>
    </row>
    <row r="159" spans="1:19" ht="12" hidden="1" customHeight="1" outlineLevel="2" x14ac:dyDescent="0.2">
      <c r="A159" s="169" t="s">
        <v>964</v>
      </c>
      <c r="B159" s="275" t="s">
        <v>189</v>
      </c>
      <c r="C159" s="169" t="s">
        <v>408</v>
      </c>
      <c r="D159" s="367">
        <v>93.370714141833759</v>
      </c>
      <c r="E159" s="366">
        <v>34.397833333333338</v>
      </c>
      <c r="F159" s="368">
        <v>3211.7502632651076</v>
      </c>
      <c r="G159" s="366">
        <v>60.071269999999998</v>
      </c>
      <c r="H159" s="369">
        <v>5608.8973793069135</v>
      </c>
      <c r="I159" s="370">
        <v>94.469103333333337</v>
      </c>
      <c r="J159" s="417">
        <f>+J158-J160</f>
        <v>8820.6476425720211</v>
      </c>
      <c r="K159" s="422"/>
      <c r="L159" s="427">
        <f>+J159*K159</f>
        <v>0</v>
      </c>
      <c r="M159" s="419"/>
      <c r="N159" s="420">
        <f>+J159*M159</f>
        <v>0</v>
      </c>
      <c r="O159" s="425">
        <f>+K159+M159</f>
        <v>0</v>
      </c>
      <c r="P159" s="426">
        <f>+N159+L159</f>
        <v>0</v>
      </c>
      <c r="Q159" s="421">
        <f>100%-O159</f>
        <v>1</v>
      </c>
      <c r="R159" s="420">
        <f>+J159-P159</f>
        <v>8820.6476425720211</v>
      </c>
    </row>
    <row r="160" spans="1:19" ht="12" hidden="1" customHeight="1" outlineLevel="2" x14ac:dyDescent="0.2">
      <c r="A160" s="169" t="s">
        <v>965</v>
      </c>
      <c r="B160" s="275" t="s">
        <v>650</v>
      </c>
      <c r="C160" s="169" t="s">
        <v>2</v>
      </c>
      <c r="D160" s="367">
        <v>8</v>
      </c>
      <c r="E160" s="366">
        <v>112.24166666666667</v>
      </c>
      <c r="F160" s="368">
        <v>897.93333333333339</v>
      </c>
      <c r="G160" s="366">
        <v>121</v>
      </c>
      <c r="H160" s="369">
        <v>968</v>
      </c>
      <c r="I160" s="370">
        <v>233.24166666666667</v>
      </c>
      <c r="J160" s="417">
        <f>+D160*I160</f>
        <v>1865.9333333333334</v>
      </c>
      <c r="K160" s="422"/>
      <c r="L160" s="427">
        <f>+J160*K160</f>
        <v>0</v>
      </c>
      <c r="M160" s="419"/>
      <c r="N160" s="420">
        <f>+J160*M160</f>
        <v>0</v>
      </c>
      <c r="O160" s="425">
        <f>+K160+M160</f>
        <v>0</v>
      </c>
      <c r="P160" s="426">
        <f>+N160+L160</f>
        <v>0</v>
      </c>
      <c r="Q160" s="421">
        <f>100%-O160</f>
        <v>1</v>
      </c>
      <c r="R160" s="420">
        <f>+J160-P160</f>
        <v>1865.9333333333334</v>
      </c>
    </row>
    <row r="161" spans="1:21" ht="12" customHeight="1" outlineLevel="1" collapsed="1" x14ac:dyDescent="0.2">
      <c r="A161" s="219" t="s">
        <v>966</v>
      </c>
      <c r="B161" s="277" t="s">
        <v>500</v>
      </c>
      <c r="C161" s="219"/>
      <c r="D161" s="219"/>
      <c r="E161" s="372"/>
      <c r="F161" s="415">
        <v>13275.38596174166</v>
      </c>
      <c r="G161" s="372"/>
      <c r="H161" s="415">
        <v>3774.1163072288073</v>
      </c>
      <c r="I161" s="219"/>
      <c r="J161" s="415">
        <f>+RESUMEN!C24</f>
        <v>17049.502268970471</v>
      </c>
      <c r="K161" s="415"/>
      <c r="L161" s="415">
        <f>+RESUMEN!E24</f>
        <v>0</v>
      </c>
      <c r="M161" s="415"/>
      <c r="N161" s="415"/>
      <c r="O161" s="415"/>
      <c r="P161" s="415"/>
      <c r="Q161" s="415"/>
      <c r="R161" s="415"/>
      <c r="S161" s="669"/>
      <c r="T161" s="669"/>
      <c r="U161" s="669"/>
    </row>
    <row r="162" spans="1:21" ht="12" hidden="1" customHeight="1" outlineLevel="2" x14ac:dyDescent="0.2">
      <c r="A162" s="169" t="s">
        <v>967</v>
      </c>
      <c r="B162" s="275" t="s">
        <v>410</v>
      </c>
      <c r="C162" s="169" t="s">
        <v>408</v>
      </c>
      <c r="D162" s="367">
        <v>138.37499999999997</v>
      </c>
      <c r="E162" s="366">
        <v>25.612722222222224</v>
      </c>
      <c r="F162" s="368">
        <v>3544.1604374999997</v>
      </c>
      <c r="G162" s="366">
        <v>7.4074999999999998</v>
      </c>
      <c r="H162" s="369">
        <v>1025.0128124999997</v>
      </c>
      <c r="I162" s="370">
        <v>33.020222222222223</v>
      </c>
      <c r="J162" s="417">
        <f>+D162*I162</f>
        <v>4569.1732499999989</v>
      </c>
      <c r="K162" s="422"/>
      <c r="L162" s="427">
        <f>+J162*K162</f>
        <v>0</v>
      </c>
      <c r="M162" s="419"/>
      <c r="N162" s="420">
        <f>+J162*M162</f>
        <v>0</v>
      </c>
      <c r="O162" s="425">
        <f>+K162+M162</f>
        <v>0</v>
      </c>
      <c r="P162" s="426">
        <f>+N162+L162</f>
        <v>0</v>
      </c>
      <c r="Q162" s="421">
        <f>100%-O162</f>
        <v>1</v>
      </c>
      <c r="R162" s="420">
        <f>+J162-P162</f>
        <v>4569.1732499999989</v>
      </c>
      <c r="U162" s="669"/>
    </row>
    <row r="163" spans="1:21" ht="12" hidden="1" customHeight="1" outlineLevel="2" x14ac:dyDescent="0.2">
      <c r="A163" s="169" t="s">
        <v>980</v>
      </c>
      <c r="B163" s="275" t="s">
        <v>630</v>
      </c>
      <c r="C163" s="169" t="s">
        <v>408</v>
      </c>
      <c r="D163" s="367">
        <v>72.563999999999993</v>
      </c>
      <c r="E163" s="366">
        <v>37.002833333333335</v>
      </c>
      <c r="F163" s="368">
        <v>2685.0735979999999</v>
      </c>
      <c r="G163" s="366">
        <v>5.4421000000000008</v>
      </c>
      <c r="H163" s="369">
        <v>394.9005444</v>
      </c>
      <c r="I163" s="370">
        <v>42.444933333333339</v>
      </c>
      <c r="J163" s="417">
        <f t="shared" ref="J163:J169" si="36">+D163*I163</f>
        <v>3079.9741423999999</v>
      </c>
      <c r="K163" s="422"/>
      <c r="L163" s="427">
        <f t="shared" ref="L163:L169" si="37">+J163*K163</f>
        <v>0</v>
      </c>
      <c r="M163" s="419"/>
      <c r="N163" s="420">
        <f t="shared" ref="N163:N169" si="38">+J163*M163</f>
        <v>0</v>
      </c>
      <c r="O163" s="425">
        <f t="shared" ref="O163:O169" si="39">+K163+M163</f>
        <v>0</v>
      </c>
      <c r="P163" s="426">
        <f t="shared" ref="P163:P169" si="40">+N163+L163</f>
        <v>0</v>
      </c>
      <c r="Q163" s="421">
        <f t="shared" ref="Q163:Q168" si="41">100%-O163</f>
        <v>1</v>
      </c>
      <c r="R163" s="420">
        <f t="shared" ref="R163:R169" si="42">+J163-P163</f>
        <v>3079.9741423999999</v>
      </c>
      <c r="U163" s="669"/>
    </row>
    <row r="164" spans="1:21" ht="12" hidden="1" customHeight="1" outlineLevel="2" x14ac:dyDescent="0.2">
      <c r="A164" s="169" t="s">
        <v>981</v>
      </c>
      <c r="B164" s="275" t="s">
        <v>412</v>
      </c>
      <c r="C164" s="169" t="s">
        <v>408</v>
      </c>
      <c r="D164" s="367">
        <v>25.134374999999999</v>
      </c>
      <c r="E164" s="366">
        <v>35.584166666666668</v>
      </c>
      <c r="F164" s="368">
        <v>894.38578906249995</v>
      </c>
      <c r="G164" s="366">
        <v>5.5521000000000003</v>
      </c>
      <c r="H164" s="369">
        <v>139.54856343750001</v>
      </c>
      <c r="I164" s="370">
        <v>41.136266666666671</v>
      </c>
      <c r="J164" s="417">
        <f t="shared" si="36"/>
        <v>1033.9343525000002</v>
      </c>
      <c r="K164" s="422"/>
      <c r="L164" s="427">
        <f t="shared" si="37"/>
        <v>0</v>
      </c>
      <c r="M164" s="419"/>
      <c r="N164" s="420">
        <f t="shared" si="38"/>
        <v>0</v>
      </c>
      <c r="O164" s="425">
        <f t="shared" si="39"/>
        <v>0</v>
      </c>
      <c r="P164" s="426">
        <f t="shared" si="40"/>
        <v>0</v>
      </c>
      <c r="Q164" s="421">
        <f t="shared" si="41"/>
        <v>1</v>
      </c>
      <c r="R164" s="420">
        <f t="shared" si="42"/>
        <v>1033.9343525000002</v>
      </c>
      <c r="U164" s="669"/>
    </row>
    <row r="165" spans="1:21" ht="12" hidden="1" customHeight="1" outlineLevel="2" x14ac:dyDescent="0.2">
      <c r="A165" s="169" t="s">
        <v>982</v>
      </c>
      <c r="B165" s="275" t="s">
        <v>415</v>
      </c>
      <c r="C165" s="169" t="s">
        <v>416</v>
      </c>
      <c r="D165" s="367">
        <v>21.712499999999995</v>
      </c>
      <c r="E165" s="366">
        <v>12.492416800000001</v>
      </c>
      <c r="F165" s="368">
        <v>271.24159976999994</v>
      </c>
      <c r="G165" s="366">
        <v>0.53400000000000003</v>
      </c>
      <c r="H165" s="369">
        <v>11.594474999999997</v>
      </c>
      <c r="I165" s="370">
        <v>13.026416800000002</v>
      </c>
      <c r="J165" s="417">
        <f t="shared" si="36"/>
        <v>282.83607476999998</v>
      </c>
      <c r="K165" s="422"/>
      <c r="L165" s="427">
        <f t="shared" si="37"/>
        <v>0</v>
      </c>
      <c r="M165" s="419"/>
      <c r="N165" s="420">
        <f t="shared" si="38"/>
        <v>0</v>
      </c>
      <c r="O165" s="425">
        <f t="shared" si="39"/>
        <v>0</v>
      </c>
      <c r="P165" s="426">
        <f t="shared" si="40"/>
        <v>0</v>
      </c>
      <c r="Q165" s="421">
        <f t="shared" si="41"/>
        <v>1</v>
      </c>
      <c r="R165" s="420">
        <f t="shared" si="42"/>
        <v>282.83607476999998</v>
      </c>
      <c r="U165" s="669"/>
    </row>
    <row r="166" spans="1:21" ht="12" hidden="1" customHeight="1" outlineLevel="2" x14ac:dyDescent="0.2">
      <c r="A166" s="169" t="s">
        <v>983</v>
      </c>
      <c r="B166" s="275" t="s">
        <v>413</v>
      </c>
      <c r="C166" s="169" t="s">
        <v>408</v>
      </c>
      <c r="D166" s="367">
        <v>55.999673095136451</v>
      </c>
      <c r="E166" s="366">
        <v>34.142693333333334</v>
      </c>
      <c r="F166" s="368">
        <v>1911.9796652541613</v>
      </c>
      <c r="G166" s="366">
        <v>3.5350000000000001</v>
      </c>
      <c r="H166" s="369">
        <v>197.95884439130737</v>
      </c>
      <c r="I166" s="370">
        <v>37.677693333333337</v>
      </c>
      <c r="J166" s="417">
        <f t="shared" si="36"/>
        <v>2109.9385096454689</v>
      </c>
      <c r="K166" s="422"/>
      <c r="L166" s="427">
        <f t="shared" si="37"/>
        <v>0</v>
      </c>
      <c r="M166" s="419"/>
      <c r="N166" s="420">
        <f t="shared" si="38"/>
        <v>0</v>
      </c>
      <c r="O166" s="425">
        <f t="shared" si="39"/>
        <v>0</v>
      </c>
      <c r="P166" s="426">
        <f t="shared" si="40"/>
        <v>0</v>
      </c>
      <c r="Q166" s="421">
        <f t="shared" si="41"/>
        <v>1</v>
      </c>
      <c r="R166" s="420">
        <f t="shared" si="42"/>
        <v>2109.9385096454689</v>
      </c>
      <c r="U166" s="669"/>
    </row>
    <row r="167" spans="1:21" ht="12" hidden="1" customHeight="1" outlineLevel="2" x14ac:dyDescent="0.2">
      <c r="A167" s="169" t="s">
        <v>984</v>
      </c>
      <c r="B167" s="275" t="s">
        <v>428</v>
      </c>
      <c r="C167" s="169" t="s">
        <v>408</v>
      </c>
      <c r="D167" s="367">
        <v>99.142499999999984</v>
      </c>
      <c r="E167" s="366">
        <v>31.576750000000001</v>
      </c>
      <c r="F167" s="368">
        <v>3130.5979368749995</v>
      </c>
      <c r="G167" s="366">
        <v>18.965000000000003</v>
      </c>
      <c r="H167" s="369">
        <v>1880.2375125000001</v>
      </c>
      <c r="I167" s="370">
        <v>50.541750000000008</v>
      </c>
      <c r="J167" s="417">
        <f t="shared" si="36"/>
        <v>5010.8354493750003</v>
      </c>
      <c r="K167" s="422"/>
      <c r="L167" s="427">
        <f t="shared" si="37"/>
        <v>0</v>
      </c>
      <c r="M167" s="419"/>
      <c r="N167" s="420">
        <f t="shared" si="38"/>
        <v>0</v>
      </c>
      <c r="O167" s="425">
        <f t="shared" si="39"/>
        <v>0</v>
      </c>
      <c r="P167" s="426">
        <f t="shared" si="40"/>
        <v>0</v>
      </c>
      <c r="Q167" s="421">
        <f t="shared" si="41"/>
        <v>1</v>
      </c>
      <c r="R167" s="420">
        <f t="shared" si="42"/>
        <v>5010.8354493750003</v>
      </c>
      <c r="U167" s="669"/>
    </row>
    <row r="168" spans="1:21" ht="12" hidden="1" customHeight="1" outlineLevel="2" x14ac:dyDescent="0.2">
      <c r="A168" s="169" t="s">
        <v>985</v>
      </c>
      <c r="B168" s="275" t="s">
        <v>414</v>
      </c>
      <c r="C168" s="169" t="s">
        <v>408</v>
      </c>
      <c r="D168" s="367">
        <v>11.747999999999998</v>
      </c>
      <c r="E168" s="366">
        <v>33.730693333333335</v>
      </c>
      <c r="F168" s="368">
        <v>396.26818527999995</v>
      </c>
      <c r="G168" s="366">
        <v>3.5350000000000001</v>
      </c>
      <c r="H168" s="369">
        <v>41.52917999999999</v>
      </c>
      <c r="I168" s="370">
        <v>37.265693333333331</v>
      </c>
      <c r="J168" s="417">
        <f t="shared" si="36"/>
        <v>437.79736527999989</v>
      </c>
      <c r="K168" s="422"/>
      <c r="L168" s="427">
        <f t="shared" si="37"/>
        <v>0</v>
      </c>
      <c r="M168" s="419"/>
      <c r="N168" s="420">
        <f t="shared" si="38"/>
        <v>0</v>
      </c>
      <c r="O168" s="425">
        <f t="shared" si="39"/>
        <v>0</v>
      </c>
      <c r="P168" s="426">
        <f t="shared" si="40"/>
        <v>0</v>
      </c>
      <c r="Q168" s="421">
        <f t="shared" si="41"/>
        <v>1</v>
      </c>
      <c r="R168" s="420">
        <f t="shared" si="42"/>
        <v>437.79736527999989</v>
      </c>
      <c r="U168" s="669"/>
    </row>
    <row r="169" spans="1:21" ht="12" hidden="1" customHeight="1" outlineLevel="2" x14ac:dyDescent="0.2">
      <c r="A169" s="169" t="s">
        <v>986</v>
      </c>
      <c r="B169" s="275" t="s">
        <v>411</v>
      </c>
      <c r="C169" s="169" t="s">
        <v>408</v>
      </c>
      <c r="D169" s="367">
        <v>11.249999999999998</v>
      </c>
      <c r="E169" s="366">
        <v>39.260333333333335</v>
      </c>
      <c r="F169" s="368">
        <v>441.67874999999998</v>
      </c>
      <c r="G169" s="366">
        <v>7.4074999999999998</v>
      </c>
      <c r="H169" s="369">
        <v>83.33437499999998</v>
      </c>
      <c r="I169" s="370">
        <v>46.667833333333334</v>
      </c>
      <c r="J169" s="417">
        <f t="shared" si="36"/>
        <v>525.01312499999995</v>
      </c>
      <c r="K169" s="422"/>
      <c r="L169" s="427">
        <f t="shared" si="37"/>
        <v>0</v>
      </c>
      <c r="M169" s="419"/>
      <c r="N169" s="420">
        <f t="shared" si="38"/>
        <v>0</v>
      </c>
      <c r="O169" s="425">
        <f t="shared" si="39"/>
        <v>0</v>
      </c>
      <c r="P169" s="426">
        <f t="shared" si="40"/>
        <v>0</v>
      </c>
      <c r="Q169" s="421">
        <f>100%-O169</f>
        <v>1</v>
      </c>
      <c r="R169" s="420">
        <f t="shared" si="42"/>
        <v>525.01312499999995</v>
      </c>
      <c r="U169" s="669"/>
    </row>
    <row r="170" spans="1:21" ht="12" customHeight="1" outlineLevel="1" collapsed="1" x14ac:dyDescent="0.2">
      <c r="A170" s="219" t="s">
        <v>987</v>
      </c>
      <c r="B170" s="277" t="s">
        <v>789</v>
      </c>
      <c r="C170" s="219"/>
      <c r="D170" s="219"/>
      <c r="E170" s="372"/>
      <c r="F170" s="415" t="e">
        <v>#VALUE!</v>
      </c>
      <c r="G170" s="372"/>
      <c r="H170" s="415" t="e">
        <v>#VALUE!</v>
      </c>
      <c r="I170" s="219"/>
      <c r="J170" s="415">
        <f>+RESUMEN!C25</f>
        <v>8936.6679692235612</v>
      </c>
      <c r="K170" s="415"/>
      <c r="L170" s="415">
        <f>+RESUMEN!E25</f>
        <v>0</v>
      </c>
      <c r="M170" s="415"/>
      <c r="N170" s="415" t="e">
        <f>+#REF!+#REF!</f>
        <v>#REF!</v>
      </c>
      <c r="O170" s="415"/>
      <c r="P170" s="415" t="e">
        <f>+#REF!+#REF!</f>
        <v>#REF!</v>
      </c>
      <c r="Q170" s="415"/>
      <c r="R170" s="415" t="e">
        <f>+#REF!+#REF!</f>
        <v>#REF!</v>
      </c>
      <c r="S170" s="669"/>
      <c r="T170" s="669"/>
    </row>
    <row r="171" spans="1:21" ht="12" hidden="1" customHeight="1" outlineLevel="2" x14ac:dyDescent="0.2">
      <c r="A171" s="169" t="s">
        <v>988</v>
      </c>
      <c r="B171" s="275" t="s">
        <v>850</v>
      </c>
      <c r="C171" s="169" t="s">
        <v>23</v>
      </c>
      <c r="D171" s="367">
        <v>1</v>
      </c>
      <c r="E171" s="366"/>
      <c r="F171" s="670"/>
      <c r="G171" s="366"/>
      <c r="H171" s="671"/>
      <c r="I171" s="370">
        <v>2000</v>
      </c>
      <c r="J171" s="417">
        <f>+I171</f>
        <v>2000</v>
      </c>
      <c r="K171" s="672"/>
      <c r="L171" s="673"/>
      <c r="M171" s="674"/>
      <c r="N171" s="675"/>
      <c r="O171" s="676"/>
      <c r="P171" s="677"/>
      <c r="Q171" s="678"/>
      <c r="R171" s="675"/>
    </row>
    <row r="172" spans="1:21" ht="12" hidden="1" customHeight="1" outlineLevel="2" x14ac:dyDescent="0.2">
      <c r="A172" s="169" t="s">
        <v>989</v>
      </c>
      <c r="B172" s="275" t="s">
        <v>851</v>
      </c>
      <c r="C172" s="169" t="s">
        <v>23</v>
      </c>
      <c r="D172" s="367">
        <v>1</v>
      </c>
      <c r="E172" s="366"/>
      <c r="F172" s="670"/>
      <c r="G172" s="366"/>
      <c r="H172" s="671"/>
      <c r="I172" s="370">
        <v>1200</v>
      </c>
      <c r="J172" s="417">
        <f t="shared" ref="J172:J176" si="43">+I172</f>
        <v>1200</v>
      </c>
      <c r="K172" s="672"/>
      <c r="L172" s="673"/>
      <c r="M172" s="674"/>
      <c r="N172" s="675"/>
      <c r="O172" s="676"/>
      <c r="P172" s="677"/>
      <c r="Q172" s="678"/>
      <c r="R172" s="675"/>
    </row>
    <row r="173" spans="1:21" ht="12" hidden="1" customHeight="1" outlineLevel="2" x14ac:dyDescent="0.2">
      <c r="A173" s="169" t="s">
        <v>990</v>
      </c>
      <c r="B173" s="275" t="s">
        <v>852</v>
      </c>
      <c r="C173" s="169" t="s">
        <v>23</v>
      </c>
      <c r="D173" s="367">
        <v>1</v>
      </c>
      <c r="E173" s="366"/>
      <c r="F173" s="670"/>
      <c r="G173" s="366"/>
      <c r="H173" s="671"/>
      <c r="I173" s="370">
        <v>1200</v>
      </c>
      <c r="J173" s="417">
        <f t="shared" si="43"/>
        <v>1200</v>
      </c>
      <c r="K173" s="672"/>
      <c r="L173" s="673"/>
      <c r="M173" s="674"/>
      <c r="N173" s="675"/>
      <c r="O173" s="676"/>
      <c r="P173" s="677"/>
      <c r="Q173" s="678"/>
      <c r="R173" s="675"/>
    </row>
    <row r="174" spans="1:21" ht="12" hidden="1" customHeight="1" outlineLevel="2" x14ac:dyDescent="0.2">
      <c r="A174" s="169" t="s">
        <v>993</v>
      </c>
      <c r="B174" s="275" t="s">
        <v>853</v>
      </c>
      <c r="C174" s="169" t="s">
        <v>23</v>
      </c>
      <c r="D174" s="367">
        <v>1</v>
      </c>
      <c r="E174" s="366"/>
      <c r="F174" s="670"/>
      <c r="G174" s="366"/>
      <c r="H174" s="671"/>
      <c r="I174" s="370">
        <v>1500</v>
      </c>
      <c r="J174" s="417">
        <f t="shared" si="43"/>
        <v>1500</v>
      </c>
      <c r="K174" s="672"/>
      <c r="L174" s="673"/>
      <c r="M174" s="674"/>
      <c r="N174" s="675"/>
      <c r="O174" s="676"/>
      <c r="P174" s="677"/>
      <c r="Q174" s="678"/>
      <c r="R174" s="675"/>
    </row>
    <row r="175" spans="1:21" ht="12" hidden="1" customHeight="1" outlineLevel="2" x14ac:dyDescent="0.2">
      <c r="A175" s="169" t="s">
        <v>991</v>
      </c>
      <c r="B175" s="275" t="s">
        <v>854</v>
      </c>
      <c r="C175" s="169" t="s">
        <v>23</v>
      </c>
      <c r="D175" s="367">
        <v>1</v>
      </c>
      <c r="E175" s="366"/>
      <c r="F175" s="670"/>
      <c r="G175" s="366"/>
      <c r="H175" s="671"/>
      <c r="I175" s="370">
        <v>2036.67</v>
      </c>
      <c r="J175" s="417">
        <f t="shared" si="43"/>
        <v>2036.67</v>
      </c>
      <c r="K175" s="672"/>
      <c r="L175" s="673"/>
      <c r="M175" s="674"/>
      <c r="N175" s="675"/>
      <c r="O175" s="676"/>
      <c r="P175" s="677"/>
      <c r="Q175" s="678"/>
      <c r="R175" s="675"/>
    </row>
    <row r="176" spans="1:21" ht="12" hidden="1" customHeight="1" outlineLevel="2" x14ac:dyDescent="0.2">
      <c r="A176" s="169" t="s">
        <v>992</v>
      </c>
      <c r="B176" s="275" t="s">
        <v>855</v>
      </c>
      <c r="C176" s="169" t="s">
        <v>23</v>
      </c>
      <c r="D176" s="367">
        <v>1</v>
      </c>
      <c r="E176" s="366"/>
      <c r="F176" s="670"/>
      <c r="G176" s="366"/>
      <c r="H176" s="671"/>
      <c r="I176" s="370">
        <v>1000</v>
      </c>
      <c r="J176" s="417">
        <f t="shared" si="43"/>
        <v>1000</v>
      </c>
      <c r="K176" s="672"/>
      <c r="L176" s="673"/>
      <c r="M176" s="674"/>
      <c r="N176" s="675"/>
      <c r="O176" s="676"/>
      <c r="P176" s="677"/>
      <c r="Q176" s="678"/>
      <c r="R176" s="675"/>
    </row>
    <row r="177" spans="1:20" ht="12" customHeight="1" outlineLevel="1" collapsed="1" x14ac:dyDescent="0.2">
      <c r="A177" s="219" t="s">
        <v>968</v>
      </c>
      <c r="B177" s="277" t="s">
        <v>24</v>
      </c>
      <c r="C177" s="219"/>
      <c r="D177" s="219"/>
      <c r="E177" s="372"/>
      <c r="F177" s="415" t="e">
        <v>#VALUE!</v>
      </c>
      <c r="G177" s="372"/>
      <c r="H177" s="415" t="e">
        <v>#VALUE!</v>
      </c>
      <c r="I177" s="219"/>
      <c r="J177" s="415">
        <f>+RESUMEN!C26</f>
        <v>8936.6679692235612</v>
      </c>
      <c r="K177" s="415"/>
      <c r="L177" s="415">
        <f>+RESUMEN!E26</f>
        <v>0</v>
      </c>
      <c r="M177" s="415"/>
      <c r="N177" s="415" t="e">
        <f>+#REF!+#REF!</f>
        <v>#REF!</v>
      </c>
      <c r="O177" s="415"/>
      <c r="P177" s="415" t="e">
        <f>+#REF!+#REF!</f>
        <v>#REF!</v>
      </c>
      <c r="Q177" s="415"/>
      <c r="R177" s="415" t="e">
        <f>+#REF!+#REF!</f>
        <v>#REF!</v>
      </c>
      <c r="S177" s="669"/>
      <c r="T177" s="669"/>
    </row>
    <row r="178" spans="1:20" ht="12" hidden="1" customHeight="1" outlineLevel="2" x14ac:dyDescent="0.2">
      <c r="A178" s="169" t="s">
        <v>969</v>
      </c>
      <c r="B178" s="275" t="s">
        <v>856</v>
      </c>
      <c r="C178" s="169" t="s">
        <v>23</v>
      </c>
      <c r="D178" s="367">
        <v>1</v>
      </c>
      <c r="E178" s="366"/>
      <c r="F178" s="670"/>
      <c r="G178" s="366"/>
      <c r="H178" s="671"/>
      <c r="I178" s="370">
        <v>1500</v>
      </c>
      <c r="J178" s="417">
        <f>+I178</f>
        <v>1500</v>
      </c>
      <c r="K178" s="672"/>
      <c r="L178" s="673"/>
      <c r="M178" s="674"/>
      <c r="N178" s="675"/>
      <c r="O178" s="676"/>
      <c r="P178" s="677"/>
      <c r="Q178" s="678"/>
      <c r="R178" s="675"/>
      <c r="S178" s="669"/>
    </row>
    <row r="179" spans="1:20" ht="12" hidden="1" customHeight="1" outlineLevel="2" x14ac:dyDescent="0.2">
      <c r="A179" s="169" t="s">
        <v>970</v>
      </c>
      <c r="B179" s="275" t="s">
        <v>857</v>
      </c>
      <c r="C179" s="169" t="s">
        <v>23</v>
      </c>
      <c r="D179" s="367">
        <v>1</v>
      </c>
      <c r="E179" s="366"/>
      <c r="F179" s="670"/>
      <c r="G179" s="366"/>
      <c r="H179" s="671"/>
      <c r="I179" s="370">
        <v>1500</v>
      </c>
      <c r="J179" s="417">
        <f t="shared" ref="J179:J181" si="44">+I179</f>
        <v>1500</v>
      </c>
      <c r="K179" s="672"/>
      <c r="L179" s="673"/>
      <c r="M179" s="674"/>
      <c r="N179" s="675"/>
      <c r="O179" s="676"/>
      <c r="P179" s="677"/>
      <c r="Q179" s="678"/>
      <c r="R179" s="675"/>
    </row>
    <row r="180" spans="1:20" ht="12" hidden="1" customHeight="1" outlineLevel="2" x14ac:dyDescent="0.2">
      <c r="A180" s="169" t="s">
        <v>971</v>
      </c>
      <c r="B180" s="275" t="s">
        <v>859</v>
      </c>
      <c r="C180" s="169" t="s">
        <v>23</v>
      </c>
      <c r="D180" s="367">
        <v>1</v>
      </c>
      <c r="E180" s="366"/>
      <c r="F180" s="670"/>
      <c r="G180" s="366"/>
      <c r="H180" s="671"/>
      <c r="I180" s="370">
        <v>2500</v>
      </c>
      <c r="J180" s="417">
        <f t="shared" si="44"/>
        <v>2500</v>
      </c>
      <c r="K180" s="672"/>
      <c r="L180" s="673"/>
      <c r="M180" s="674"/>
      <c r="N180" s="675"/>
      <c r="O180" s="676"/>
      <c r="P180" s="677"/>
      <c r="Q180" s="678"/>
      <c r="R180" s="675"/>
    </row>
    <row r="181" spans="1:20" ht="12" hidden="1" customHeight="1" outlineLevel="2" x14ac:dyDescent="0.2">
      <c r="A181" s="169" t="s">
        <v>994</v>
      </c>
      <c r="B181" s="275" t="s">
        <v>860</v>
      </c>
      <c r="C181" s="169" t="s">
        <v>23</v>
      </c>
      <c r="D181" s="367">
        <v>1</v>
      </c>
      <c r="E181" s="366"/>
      <c r="F181" s="670"/>
      <c r="G181" s="366"/>
      <c r="H181" s="671"/>
      <c r="I181" s="370">
        <v>3427.6672922980811</v>
      </c>
      <c r="J181" s="417">
        <f t="shared" si="44"/>
        <v>3427.6672922980811</v>
      </c>
      <c r="K181" s="672"/>
      <c r="L181" s="673"/>
      <c r="M181" s="674"/>
      <c r="N181" s="675"/>
      <c r="O181" s="676"/>
      <c r="P181" s="677"/>
      <c r="Q181" s="678"/>
      <c r="R181" s="675"/>
    </row>
    <row r="182" spans="1:20" ht="13.8" x14ac:dyDescent="0.2">
      <c r="A182" s="214"/>
      <c r="B182" s="224"/>
      <c r="C182" s="620"/>
      <c r="D182" s="621"/>
      <c r="E182" s="622"/>
      <c r="F182" s="623" t="s">
        <v>251</v>
      </c>
      <c r="G182" s="622"/>
      <c r="H182" s="623" t="s">
        <v>251</v>
      </c>
      <c r="I182" s="621"/>
      <c r="J182" s="386" t="s">
        <v>251</v>
      </c>
      <c r="K182" s="403"/>
      <c r="L182" s="386" t="s">
        <v>251</v>
      </c>
      <c r="M182" s="404"/>
      <c r="N182" s="386" t="s">
        <v>251</v>
      </c>
      <c r="O182" s="404"/>
      <c r="P182" s="386" t="s">
        <v>251</v>
      </c>
      <c r="Q182" s="404"/>
      <c r="R182" s="386" t="s">
        <v>251</v>
      </c>
    </row>
    <row r="183" spans="1:20" ht="13.8" x14ac:dyDescent="0.2">
      <c r="A183" s="215"/>
      <c r="B183" s="224" t="s">
        <v>316</v>
      </c>
      <c r="C183" s="216"/>
      <c r="D183" s="394"/>
      <c r="E183" s="217"/>
      <c r="F183" s="633">
        <f>+F8+F25+F31+F96</f>
        <v>94707.490799677063</v>
      </c>
      <c r="G183" s="634"/>
      <c r="H183" s="633">
        <f>+H8+H25+H31+H96</f>
        <v>102036.82293208607</v>
      </c>
      <c r="I183" s="621"/>
      <c r="J183" s="411">
        <f>+J139+J96+J31+J25+J8</f>
        <v>340000.00000000006</v>
      </c>
      <c r="K183" s="405"/>
      <c r="L183" s="411">
        <f>+L139+L96+L31+L25+L8</f>
        <v>0</v>
      </c>
      <c r="M183" s="407"/>
      <c r="N183" s="411">
        <f>+N139+N96+N31+N25+N8</f>
        <v>14338.630982914483</v>
      </c>
      <c r="O183" s="407"/>
      <c r="P183" s="411">
        <f>+P139+P96+P31+P25+P8</f>
        <v>14338.630982914483</v>
      </c>
      <c r="Q183" s="407"/>
      <c r="R183" s="411">
        <f>+R8+R25+R31+R96</f>
        <v>247851.20227062516</v>
      </c>
    </row>
    <row r="184" spans="1:20" ht="13.8" x14ac:dyDescent="0.2">
      <c r="A184" s="215"/>
      <c r="B184" s="224" t="s">
        <v>26</v>
      </c>
      <c r="C184" s="218">
        <f>+J184/J186</f>
        <v>8.1081081081081072E-2</v>
      </c>
      <c r="D184" s="394"/>
      <c r="E184" s="217"/>
      <c r="F184" s="633"/>
      <c r="G184" s="634"/>
      <c r="H184" s="633"/>
      <c r="I184" s="621"/>
      <c r="J184" s="411">
        <f>+RESUMEN!C28</f>
        <v>30000</v>
      </c>
      <c r="K184" s="404"/>
      <c r="L184" s="406">
        <f>L183*C184</f>
        <v>0</v>
      </c>
      <c r="M184" s="407"/>
      <c r="N184" s="406">
        <f>N183*C184</f>
        <v>1162.5917013173903</v>
      </c>
      <c r="O184" s="407"/>
      <c r="P184" s="406">
        <f>P183*C184</f>
        <v>1162.5917013173903</v>
      </c>
      <c r="Q184" s="407"/>
      <c r="R184" s="406">
        <f>R183*C184</f>
        <v>20096.043427347984</v>
      </c>
    </row>
    <row r="185" spans="1:20" ht="13.8" x14ac:dyDescent="0.2">
      <c r="A185" s="215"/>
      <c r="B185" s="224"/>
      <c r="C185" s="216"/>
      <c r="D185" s="394"/>
      <c r="E185" s="217"/>
      <c r="F185" s="623" t="s">
        <v>251</v>
      </c>
      <c r="G185" s="634"/>
      <c r="H185" s="623" t="s">
        <v>251</v>
      </c>
      <c r="I185" s="621"/>
      <c r="J185" s="412" t="s">
        <v>251</v>
      </c>
      <c r="K185" s="404"/>
      <c r="L185" s="408" t="s">
        <v>251</v>
      </c>
      <c r="M185" s="407"/>
      <c r="N185" s="408" t="s">
        <v>251</v>
      </c>
      <c r="O185" s="407"/>
      <c r="P185" s="408" t="s">
        <v>251</v>
      </c>
      <c r="Q185" s="407"/>
      <c r="R185" s="408" t="s">
        <v>251</v>
      </c>
    </row>
    <row r="186" spans="1:20" ht="13.8" x14ac:dyDescent="0.2">
      <c r="A186" s="215"/>
      <c r="B186" s="224" t="s">
        <v>25</v>
      </c>
      <c r="C186" s="216"/>
      <c r="D186" s="394"/>
      <c r="E186" s="217"/>
      <c r="F186" s="397"/>
      <c r="G186" s="217"/>
      <c r="H186" s="397"/>
      <c r="I186" s="394"/>
      <c r="J186" s="413">
        <f>+RESUMEN!C30</f>
        <v>370000.00000000006</v>
      </c>
      <c r="K186" s="404"/>
      <c r="L186" s="409">
        <f>SUM(L183:L184)</f>
        <v>0</v>
      </c>
      <c r="M186" s="407"/>
      <c r="N186" s="409">
        <f>SUM(N183:N184)</f>
        <v>15501.222684231874</v>
      </c>
      <c r="O186" s="407"/>
      <c r="P186" s="409">
        <f>SUM(P183:P184)</f>
        <v>15501.222684231874</v>
      </c>
      <c r="Q186" s="407"/>
      <c r="R186" s="409">
        <f>SUM(R183:R184)</f>
        <v>267947.24569797312</v>
      </c>
    </row>
    <row r="187" spans="1:20" ht="13.8" x14ac:dyDescent="0.2">
      <c r="A187" s="215"/>
      <c r="B187" s="224" t="s">
        <v>441</v>
      </c>
      <c r="C187" s="216"/>
      <c r="D187" s="394"/>
      <c r="E187" s="217"/>
      <c r="F187" s="445"/>
      <c r="G187" s="217"/>
      <c r="H187" s="445"/>
      <c r="I187" s="394"/>
      <c r="J187" s="413"/>
      <c r="K187" s="404"/>
      <c r="L187" s="410">
        <f>+L186/J186</f>
        <v>0</v>
      </c>
      <c r="M187" s="407"/>
      <c r="N187" s="410">
        <f>+N186/J186</f>
        <v>4.1895196443869923E-2</v>
      </c>
      <c r="O187" s="407"/>
      <c r="P187" s="410">
        <f>+P186/J186</f>
        <v>4.1895196443869923E-2</v>
      </c>
      <c r="Q187" s="407"/>
      <c r="R187" s="410">
        <f>+R186/J186</f>
        <v>0.72418174512965694</v>
      </c>
    </row>
    <row r="188" spans="1:20" ht="13.8" x14ac:dyDescent="0.2">
      <c r="A188" s="215"/>
      <c r="B188" s="224" t="s">
        <v>442</v>
      </c>
      <c r="C188" s="444">
        <f>+J188/J186</f>
        <v>-0.13513513513513511</v>
      </c>
      <c r="D188" s="394"/>
      <c r="E188" s="217"/>
      <c r="F188" s="397"/>
      <c r="G188" s="217"/>
      <c r="H188" s="397"/>
      <c r="I188" s="394"/>
      <c r="J188" s="413">
        <v>-50000</v>
      </c>
      <c r="K188" s="404"/>
      <c r="L188" s="409"/>
      <c r="M188" s="407"/>
      <c r="N188" s="409">
        <f>N187*J188</f>
        <v>-2094.7598221934963</v>
      </c>
      <c r="O188" s="407"/>
      <c r="P188" s="409">
        <f>P187*J188</f>
        <v>-2094.7598221934963</v>
      </c>
      <c r="Q188" s="407"/>
      <c r="R188" s="409"/>
    </row>
    <row r="189" spans="1:20" ht="13.8" x14ac:dyDescent="0.2">
      <c r="A189" s="215"/>
      <c r="B189" s="224"/>
      <c r="C189" s="216"/>
      <c r="D189" s="394"/>
      <c r="E189" s="217"/>
      <c r="F189" s="396"/>
      <c r="G189" s="217"/>
      <c r="H189" s="396"/>
      <c r="I189" s="394"/>
      <c r="J189" s="413"/>
      <c r="K189" s="404"/>
      <c r="L189" s="408"/>
      <c r="M189" s="407"/>
      <c r="N189" s="408" t="s">
        <v>251</v>
      </c>
      <c r="O189" s="407"/>
      <c r="P189" s="408" t="s">
        <v>251</v>
      </c>
      <c r="Q189" s="407"/>
      <c r="R189" s="408"/>
    </row>
    <row r="190" spans="1:20" ht="13.8" x14ac:dyDescent="0.2">
      <c r="A190" s="215"/>
      <c r="B190" s="224" t="s">
        <v>481</v>
      </c>
      <c r="C190" s="216"/>
      <c r="D190" s="394"/>
      <c r="E190" s="217"/>
      <c r="F190" s="397"/>
      <c r="G190" s="217"/>
      <c r="H190" s="397"/>
      <c r="I190" s="394"/>
      <c r="J190" s="413"/>
      <c r="K190" s="404"/>
      <c r="L190" s="409"/>
      <c r="M190" s="407"/>
      <c r="N190" s="409">
        <f>+N186+N188</f>
        <v>13406.462862038377</v>
      </c>
      <c r="O190" s="407"/>
      <c r="P190" s="409">
        <f>+P186+P188</f>
        <v>13406.462862038377</v>
      </c>
      <c r="Q190" s="407"/>
      <c r="R190" s="409"/>
    </row>
    <row r="191" spans="1:20" x14ac:dyDescent="0.2">
      <c r="E191" s="211"/>
    </row>
    <row r="192" spans="1:20" x14ac:dyDescent="0.2">
      <c r="E192" s="211"/>
      <c r="J192" s="167"/>
    </row>
    <row r="193" spans="4:10" x14ac:dyDescent="0.2">
      <c r="E193" s="211"/>
      <c r="J193" s="167"/>
    </row>
    <row r="194" spans="4:10" ht="13.8" x14ac:dyDescent="0.2">
      <c r="D194" s="630"/>
      <c r="E194" s="631"/>
      <c r="F194" s="630"/>
      <c r="G194" s="632"/>
      <c r="H194" s="630"/>
      <c r="J194" s="167"/>
    </row>
    <row r="195" spans="4:10" ht="13.8" x14ac:dyDescent="0.2">
      <c r="D195" s="630"/>
      <c r="E195" s="632"/>
      <c r="F195" s="630"/>
      <c r="G195" s="632"/>
      <c r="H195" s="630"/>
      <c r="J195" s="167"/>
    </row>
    <row r="196" spans="4:10" ht="13.8" x14ac:dyDescent="0.2">
      <c r="D196" s="630"/>
      <c r="E196" s="632"/>
      <c r="F196" s="632"/>
      <c r="G196" s="632"/>
      <c r="H196" s="630"/>
    </row>
    <row r="197" spans="4:10" ht="13.8" x14ac:dyDescent="0.2">
      <c r="D197" s="630"/>
      <c r="E197" s="632"/>
      <c r="F197" s="632"/>
      <c r="G197" s="632"/>
      <c r="H197" s="630"/>
    </row>
    <row r="198" spans="4:10" ht="13.8" x14ac:dyDescent="0.2">
      <c r="E198" s="632"/>
      <c r="F198" s="632"/>
    </row>
    <row r="199" spans="4:10" ht="13.8" x14ac:dyDescent="0.2">
      <c r="E199" s="632"/>
      <c r="F199" s="632"/>
    </row>
    <row r="200" spans="4:10" ht="13.8" x14ac:dyDescent="0.2">
      <c r="E200" s="632"/>
      <c r="F200" s="632"/>
    </row>
    <row r="201" spans="4:10" ht="13.8" x14ac:dyDescent="0.2">
      <c r="E201" s="632"/>
      <c r="F201" s="632"/>
    </row>
    <row r="202" spans="4:10" ht="13.8" x14ac:dyDescent="0.2">
      <c r="E202" s="632"/>
      <c r="F202" s="632"/>
    </row>
    <row r="203" spans="4:10" ht="13.8" x14ac:dyDescent="0.2">
      <c r="E203" s="632"/>
      <c r="F203" s="632"/>
    </row>
    <row r="204" spans="4:10" ht="13.8" x14ac:dyDescent="0.2">
      <c r="E204" s="632"/>
      <c r="F204" s="632"/>
    </row>
    <row r="205" spans="4:10" ht="13.8" x14ac:dyDescent="0.2">
      <c r="E205" s="632"/>
      <c r="F205" s="632"/>
    </row>
    <row r="206" spans="4:10" ht="13.8" x14ac:dyDescent="0.2">
      <c r="E206" s="632"/>
      <c r="F206" s="632"/>
    </row>
  </sheetData>
  <mergeCells count="21">
    <mergeCell ref="A1:R1"/>
    <mergeCell ref="K5:P5"/>
    <mergeCell ref="K6:L6"/>
    <mergeCell ref="M6:N6"/>
    <mergeCell ref="O6:P6"/>
    <mergeCell ref="Q5:R6"/>
    <mergeCell ref="B5:B7"/>
    <mergeCell ref="A5:A7"/>
    <mergeCell ref="B3:H3"/>
    <mergeCell ref="B4:H4"/>
    <mergeCell ref="I2:J4"/>
    <mergeCell ref="C6:C7"/>
    <mergeCell ref="D6:D7"/>
    <mergeCell ref="E6:E7"/>
    <mergeCell ref="F6:F7"/>
    <mergeCell ref="G6:G7"/>
    <mergeCell ref="H6:H7"/>
    <mergeCell ref="I6:I7"/>
    <mergeCell ref="J6:J7"/>
    <mergeCell ref="B2:H2"/>
    <mergeCell ref="C5:J5"/>
  </mergeCells>
  <phoneticPr fontId="60" type="noConversion"/>
  <printOptions horizontalCentered="1"/>
  <pageMargins left="0.70866141732283472" right="0.31496062992125984" top="0.63" bottom="0.55118110236220474" header="0.31496062992125984" footer="0.31496062992125984"/>
  <pageSetup paperSize="9" scale="50" orientation="portrait" r:id="rId1"/>
  <rowBreaks count="1" manualBreakCount="1">
    <brk id="95" max="17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  <pageSetUpPr fitToPage="1"/>
  </sheetPr>
  <dimension ref="A1:Z378"/>
  <sheetViews>
    <sheetView zoomScale="70" zoomScaleNormal="70" zoomScaleSheetLayoutView="85" workbookViewId="0">
      <pane ySplit="6" topLeftCell="A7" activePane="bottomLeft" state="frozen"/>
      <selection pane="bottomLeft" activeCell="F187" sqref="F187"/>
    </sheetView>
  </sheetViews>
  <sheetFormatPr baseColWidth="10" defaultColWidth="12.6640625" defaultRowHeight="15" customHeight="1" outlineLevelRow="1" outlineLevelCol="1" x14ac:dyDescent="0.25"/>
  <cols>
    <col min="1" max="1" width="16.77734375" style="151" customWidth="1"/>
    <col min="2" max="2" width="19.33203125" style="129" customWidth="1"/>
    <col min="3" max="3" width="37.44140625" style="129" customWidth="1"/>
    <col min="4" max="4" width="8.6640625" customWidth="1"/>
    <col min="5" max="5" width="8.6640625" customWidth="1" outlineLevel="1"/>
    <col min="6" max="6" width="9" customWidth="1" outlineLevel="1"/>
    <col min="7" max="8" width="8.6640625" customWidth="1" outlineLevel="1"/>
    <col min="9" max="9" width="9.6640625" customWidth="1" outlineLevel="1"/>
    <col min="10" max="10" width="13" style="151" customWidth="1"/>
    <col min="11" max="12" width="11.44140625" customWidth="1"/>
    <col min="13" max="13" width="27.109375" customWidth="1"/>
    <col min="14" max="26" width="11.44140625" customWidth="1"/>
  </cols>
  <sheetData>
    <row r="1" spans="1:26" ht="47.25" customHeight="1" x14ac:dyDescent="0.25">
      <c r="A1" s="792" t="s">
        <v>355</v>
      </c>
      <c r="B1" s="793"/>
      <c r="C1" s="793"/>
      <c r="D1" s="793"/>
      <c r="E1" s="793"/>
      <c r="F1" s="793"/>
      <c r="G1" s="793"/>
      <c r="H1" s="793"/>
      <c r="I1" s="793"/>
      <c r="J1" s="79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s="230" customFormat="1" ht="23.4" hidden="1" customHeight="1" outlineLevel="1" x14ac:dyDescent="0.25">
      <c r="A2" s="266" t="s">
        <v>367</v>
      </c>
      <c r="B2" s="764">
        <f>Valorización!B2</f>
        <v>0</v>
      </c>
      <c r="C2" s="765"/>
      <c r="D2" s="765"/>
      <c r="E2" s="765"/>
      <c r="F2" s="765"/>
      <c r="G2" s="765"/>
      <c r="H2" s="766"/>
      <c r="I2" s="767"/>
      <c r="J2" s="767"/>
    </row>
    <row r="3" spans="1:26" s="230" customFormat="1" ht="24.6" hidden="1" customHeight="1" outlineLevel="1" x14ac:dyDescent="0.25">
      <c r="A3" s="266" t="s">
        <v>433</v>
      </c>
      <c r="B3" s="764">
        <f>Valorización!B3</f>
        <v>0</v>
      </c>
      <c r="C3" s="765"/>
      <c r="D3" s="765"/>
      <c r="E3" s="765"/>
      <c r="F3" s="765"/>
      <c r="G3" s="765"/>
      <c r="H3" s="766"/>
      <c r="I3" s="767"/>
      <c r="J3" s="767"/>
    </row>
    <row r="4" spans="1:26" s="230" customFormat="1" ht="34.200000000000003" hidden="1" customHeight="1" outlineLevel="1" x14ac:dyDescent="0.25">
      <c r="A4" s="266" t="s">
        <v>52</v>
      </c>
      <c r="B4" s="768" t="s">
        <v>434</v>
      </c>
      <c r="C4" s="769"/>
      <c r="D4" s="769"/>
      <c r="E4" s="769"/>
      <c r="F4" s="769"/>
      <c r="G4" s="769"/>
      <c r="H4" s="770"/>
      <c r="I4" s="767"/>
      <c r="J4" s="767"/>
    </row>
    <row r="5" spans="1:26" ht="15" customHeight="1" collapsed="1" x14ac:dyDescent="0.25">
      <c r="A5" s="794" t="s">
        <v>0</v>
      </c>
      <c r="B5" s="796" t="s">
        <v>1</v>
      </c>
      <c r="C5" s="797"/>
      <c r="D5" s="794" t="s">
        <v>126</v>
      </c>
      <c r="E5" s="794" t="s">
        <v>28</v>
      </c>
      <c r="F5" s="801" t="s">
        <v>29</v>
      </c>
      <c r="G5" s="802"/>
      <c r="H5" s="803"/>
      <c r="I5" s="794" t="s">
        <v>30</v>
      </c>
      <c r="J5" s="794" t="s">
        <v>31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 x14ac:dyDescent="0.25">
      <c r="A6" s="795"/>
      <c r="B6" s="798"/>
      <c r="C6" s="799"/>
      <c r="D6" s="800"/>
      <c r="E6" s="800"/>
      <c r="F6" s="4" t="s">
        <v>32</v>
      </c>
      <c r="G6" s="4" t="s">
        <v>33</v>
      </c>
      <c r="H6" s="4" t="s">
        <v>34</v>
      </c>
      <c r="I6" s="800"/>
      <c r="J6" s="795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 x14ac:dyDescent="0.25">
      <c r="A7" s="5" t="s">
        <v>330</v>
      </c>
      <c r="B7" s="227" t="s">
        <v>464</v>
      </c>
      <c r="C7" s="126"/>
      <c r="D7" s="6"/>
      <c r="E7" s="263"/>
      <c r="F7" s="263"/>
      <c r="G7" s="263"/>
      <c r="H7" s="263"/>
      <c r="I7" s="263"/>
      <c r="J7" s="314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 x14ac:dyDescent="0.25">
      <c r="A8" s="241" t="s">
        <v>331</v>
      </c>
      <c r="B8" s="242" t="s">
        <v>463</v>
      </c>
      <c r="C8" s="243"/>
      <c r="D8" s="244"/>
      <c r="E8" s="264"/>
      <c r="F8" s="264"/>
      <c r="G8" s="264"/>
      <c r="H8" s="264"/>
      <c r="I8" s="264"/>
      <c r="J8" s="315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s="230" customFormat="1" ht="15" customHeight="1" x14ac:dyDescent="0.25">
      <c r="A9" s="231" t="s">
        <v>332</v>
      </c>
      <c r="B9" s="232" t="s">
        <v>77</v>
      </c>
      <c r="C9" s="233"/>
      <c r="D9" s="231" t="s">
        <v>300</v>
      </c>
      <c r="E9" s="265"/>
      <c r="F9" s="265"/>
      <c r="G9" s="265"/>
      <c r="H9" s="265"/>
      <c r="I9" s="265"/>
      <c r="J9" s="312">
        <f>SUM(I10:I11)</f>
        <v>1</v>
      </c>
      <c r="K9" s="230" t="s">
        <v>470</v>
      </c>
    </row>
    <row r="10" spans="1:26" s="230" customFormat="1" ht="15" hidden="1" customHeight="1" outlineLevel="1" x14ac:dyDescent="0.25">
      <c r="A10" s="234"/>
      <c r="B10" s="788"/>
      <c r="C10" s="789"/>
      <c r="D10" s="237"/>
      <c r="E10" s="237">
        <v>1</v>
      </c>
      <c r="F10" s="237"/>
      <c r="G10" s="237"/>
      <c r="H10" s="237"/>
      <c r="I10" s="237">
        <f>PRODUCT(E10:H10)</f>
        <v>1</v>
      </c>
      <c r="J10" s="234"/>
    </row>
    <row r="11" spans="1:26" s="230" customFormat="1" ht="15" hidden="1" customHeight="1" outlineLevel="1" x14ac:dyDescent="0.25">
      <c r="A11" s="234"/>
      <c r="B11" s="788"/>
      <c r="C11" s="789"/>
      <c r="D11" s="237"/>
      <c r="E11" s="237"/>
      <c r="F11" s="237"/>
      <c r="G11" s="237"/>
      <c r="H11" s="237"/>
      <c r="I11" s="237"/>
      <c r="J11" s="234"/>
    </row>
    <row r="12" spans="1:26" s="230" customFormat="1" ht="15" customHeight="1" collapsed="1" x14ac:dyDescent="0.25">
      <c r="A12" s="231" t="s">
        <v>333</v>
      </c>
      <c r="B12" s="232" t="s">
        <v>80</v>
      </c>
      <c r="C12" s="233"/>
      <c r="D12" s="231" t="s">
        <v>236</v>
      </c>
      <c r="E12" s="265"/>
      <c r="F12" s="265"/>
      <c r="G12" s="265"/>
      <c r="H12" s="265"/>
      <c r="I12" s="265"/>
      <c r="J12" s="312">
        <f>SUM(I13:I14)</f>
        <v>30</v>
      </c>
      <c r="K12" s="230" t="s">
        <v>470</v>
      </c>
    </row>
    <row r="13" spans="1:26" s="230" customFormat="1" ht="15" customHeight="1" outlineLevel="1" x14ac:dyDescent="0.25">
      <c r="A13" s="234"/>
      <c r="B13" s="788"/>
      <c r="C13" s="789"/>
      <c r="D13" s="237"/>
      <c r="E13" s="237">
        <v>1</v>
      </c>
      <c r="F13" s="237" t="s">
        <v>44</v>
      </c>
      <c r="G13" s="237">
        <v>30</v>
      </c>
      <c r="H13" s="237"/>
      <c r="I13" s="237">
        <f>PRODUCT(E13:H13)</f>
        <v>30</v>
      </c>
      <c r="J13" s="234"/>
    </row>
    <row r="14" spans="1:26" s="230" customFormat="1" ht="15" customHeight="1" outlineLevel="1" x14ac:dyDescent="0.25">
      <c r="A14" s="234"/>
      <c r="B14" s="788"/>
      <c r="C14" s="789"/>
      <c r="D14" s="237"/>
      <c r="E14" s="237"/>
      <c r="F14" s="237"/>
      <c r="G14" s="237"/>
      <c r="H14" s="237"/>
      <c r="I14" s="237"/>
      <c r="J14" s="234"/>
    </row>
    <row r="15" spans="1:26" s="230" customFormat="1" ht="15" customHeight="1" x14ac:dyDescent="0.25">
      <c r="A15" s="231" t="s">
        <v>336</v>
      </c>
      <c r="B15" s="232" t="s">
        <v>462</v>
      </c>
      <c r="C15" s="233"/>
      <c r="D15" s="231" t="s">
        <v>236</v>
      </c>
      <c r="E15" s="265"/>
      <c r="F15" s="265"/>
      <c r="G15" s="265"/>
      <c r="H15" s="265"/>
      <c r="I15" s="265"/>
      <c r="J15" s="312">
        <f>SUM(I16:I17)</f>
        <v>180</v>
      </c>
      <c r="K15" s="230" t="s">
        <v>470</v>
      </c>
    </row>
    <row r="16" spans="1:26" s="230" customFormat="1" ht="15" customHeight="1" outlineLevel="1" x14ac:dyDescent="0.25">
      <c r="A16" s="234"/>
      <c r="B16" s="788"/>
      <c r="C16" s="789"/>
      <c r="D16" s="237"/>
      <c r="E16" s="237">
        <v>6</v>
      </c>
      <c r="F16" s="237" t="s">
        <v>44</v>
      </c>
      <c r="G16" s="237">
        <v>30</v>
      </c>
      <c r="H16" s="237"/>
      <c r="I16" s="237">
        <f>PRODUCT(E16:H16)</f>
        <v>180</v>
      </c>
      <c r="J16" s="234"/>
    </row>
    <row r="17" spans="1:26" s="230" customFormat="1" ht="15" customHeight="1" outlineLevel="1" x14ac:dyDescent="0.25">
      <c r="A17" s="234"/>
      <c r="B17" s="788"/>
      <c r="C17" s="789"/>
      <c r="D17" s="237"/>
      <c r="E17" s="237"/>
      <c r="F17" s="237"/>
      <c r="G17" s="237"/>
      <c r="H17" s="237"/>
      <c r="I17" s="237"/>
      <c r="J17" s="234"/>
    </row>
    <row r="18" spans="1:26" s="230" customFormat="1" ht="15" customHeight="1" x14ac:dyDescent="0.25">
      <c r="A18" s="231" t="s">
        <v>334</v>
      </c>
      <c r="B18" s="232" t="s">
        <v>465</v>
      </c>
      <c r="C18" s="233"/>
      <c r="D18" s="231" t="s">
        <v>300</v>
      </c>
      <c r="E18" s="265"/>
      <c r="F18" s="265"/>
      <c r="G18" s="265"/>
      <c r="H18" s="265"/>
      <c r="I18" s="265"/>
      <c r="J18" s="312">
        <f>SUM(I19:I20)</f>
        <v>1</v>
      </c>
      <c r="K18" s="230" t="s">
        <v>470</v>
      </c>
    </row>
    <row r="19" spans="1:26" s="230" customFormat="1" ht="15" hidden="1" customHeight="1" outlineLevel="1" x14ac:dyDescent="0.25">
      <c r="A19" s="234"/>
      <c r="B19" s="788"/>
      <c r="C19" s="789"/>
      <c r="D19" s="237"/>
      <c r="E19" s="237">
        <v>1</v>
      </c>
      <c r="F19" s="237"/>
      <c r="G19" s="237"/>
      <c r="H19" s="237"/>
      <c r="I19" s="237">
        <f>PRODUCT(E19:H19)</f>
        <v>1</v>
      </c>
      <c r="J19" s="234"/>
    </row>
    <row r="20" spans="1:26" s="230" customFormat="1" ht="15" hidden="1" customHeight="1" outlineLevel="1" x14ac:dyDescent="0.25">
      <c r="A20" s="234"/>
      <c r="B20" s="788"/>
      <c r="C20" s="789"/>
      <c r="D20" s="237"/>
      <c r="E20" s="237"/>
      <c r="F20" s="237"/>
      <c r="G20" s="237"/>
      <c r="H20" s="237"/>
      <c r="I20" s="237"/>
      <c r="J20" s="234"/>
    </row>
    <row r="21" spans="1:26" s="230" customFormat="1" ht="15" customHeight="1" collapsed="1" x14ac:dyDescent="0.25">
      <c r="A21" s="231" t="s">
        <v>335</v>
      </c>
      <c r="B21" s="232" t="s">
        <v>328</v>
      </c>
      <c r="C21" s="233"/>
      <c r="D21" s="231" t="s">
        <v>329</v>
      </c>
      <c r="E21" s="265"/>
      <c r="F21" s="265"/>
      <c r="G21" s="265"/>
      <c r="H21" s="265"/>
      <c r="I21" s="265"/>
      <c r="J21" s="312">
        <f>SUM(I22:I23)</f>
        <v>4</v>
      </c>
      <c r="K21" s="230" t="s">
        <v>470</v>
      </c>
    </row>
    <row r="22" spans="1:26" s="230" customFormat="1" ht="15" hidden="1" customHeight="1" outlineLevel="1" x14ac:dyDescent="0.25">
      <c r="A22" s="234"/>
      <c r="B22" s="788"/>
      <c r="C22" s="789"/>
      <c r="D22" s="237"/>
      <c r="E22" s="237">
        <v>4</v>
      </c>
      <c r="F22" s="237">
        <v>1</v>
      </c>
      <c r="G22" s="237"/>
      <c r="H22" s="237"/>
      <c r="I22" s="237">
        <f>PRODUCT(E22:H22)</f>
        <v>4</v>
      </c>
      <c r="J22" s="234"/>
    </row>
    <row r="23" spans="1:26" s="230" customFormat="1" ht="15" hidden="1" customHeight="1" outlineLevel="1" x14ac:dyDescent="0.25">
      <c r="A23" s="234"/>
      <c r="B23" s="788"/>
      <c r="C23" s="789"/>
      <c r="D23" s="237"/>
      <c r="E23" s="237"/>
      <c r="F23" s="237"/>
      <c r="G23" s="237"/>
      <c r="H23" s="237"/>
      <c r="I23" s="237"/>
      <c r="J23" s="234"/>
    </row>
    <row r="24" spans="1:26" ht="15" customHeight="1" collapsed="1" x14ac:dyDescent="0.25">
      <c r="A24" s="241" t="s">
        <v>337</v>
      </c>
      <c r="B24" s="242" t="s">
        <v>469</v>
      </c>
      <c r="C24" s="243"/>
      <c r="D24" s="244"/>
      <c r="E24" s="264"/>
      <c r="F24" s="264"/>
      <c r="G24" s="264"/>
      <c r="H24" s="264"/>
      <c r="I24" s="264"/>
      <c r="J24" s="315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s="230" customFormat="1" ht="15" customHeight="1" x14ac:dyDescent="0.25">
      <c r="A25" s="231" t="s">
        <v>341</v>
      </c>
      <c r="B25" s="232" t="s">
        <v>466</v>
      </c>
      <c r="C25" s="233"/>
      <c r="D25" s="231" t="s">
        <v>300</v>
      </c>
      <c r="E25" s="265"/>
      <c r="F25" s="265"/>
      <c r="G25" s="265"/>
      <c r="H25" s="265"/>
      <c r="I25" s="265"/>
      <c r="J25" s="312">
        <f>SUM(I26:I27)</f>
        <v>1</v>
      </c>
      <c r="K25" s="230" t="s">
        <v>470</v>
      </c>
    </row>
    <row r="26" spans="1:26" s="230" customFormat="1" ht="15" hidden="1" customHeight="1" outlineLevel="1" x14ac:dyDescent="0.25">
      <c r="A26" s="234"/>
      <c r="B26" s="788"/>
      <c r="C26" s="789"/>
      <c r="D26" s="237"/>
      <c r="E26" s="237">
        <v>1</v>
      </c>
      <c r="F26" s="237"/>
      <c r="G26" s="237"/>
      <c r="H26" s="237"/>
      <c r="I26" s="237">
        <f>PRODUCT(E26:H26)</f>
        <v>1</v>
      </c>
      <c r="J26" s="234"/>
    </row>
    <row r="27" spans="1:26" s="230" customFormat="1" ht="15" hidden="1" customHeight="1" outlineLevel="1" x14ac:dyDescent="0.25">
      <c r="A27" s="234"/>
      <c r="B27" s="788"/>
      <c r="C27" s="789"/>
      <c r="D27" s="237"/>
      <c r="E27" s="237"/>
      <c r="F27" s="237"/>
      <c r="G27" s="237"/>
      <c r="H27" s="237"/>
      <c r="I27" s="237"/>
      <c r="J27" s="234"/>
    </row>
    <row r="28" spans="1:26" s="230" customFormat="1" ht="15" customHeight="1" collapsed="1" x14ac:dyDescent="0.25">
      <c r="A28" s="231" t="s">
        <v>342</v>
      </c>
      <c r="B28" s="232" t="s">
        <v>467</v>
      </c>
      <c r="C28" s="233"/>
      <c r="D28" s="231" t="s">
        <v>300</v>
      </c>
      <c r="E28" s="265"/>
      <c r="F28" s="265"/>
      <c r="G28" s="265"/>
      <c r="H28" s="265"/>
      <c r="I28" s="265"/>
      <c r="J28" s="312">
        <f>SUM(I29:I30)</f>
        <v>1</v>
      </c>
      <c r="K28" s="230" t="s">
        <v>470</v>
      </c>
    </row>
    <row r="29" spans="1:26" s="230" customFormat="1" ht="15" hidden="1" customHeight="1" outlineLevel="1" x14ac:dyDescent="0.25">
      <c r="A29" s="234"/>
      <c r="B29" s="788"/>
      <c r="C29" s="789"/>
      <c r="D29" s="237"/>
      <c r="E29" s="237">
        <v>1</v>
      </c>
      <c r="F29" s="237"/>
      <c r="G29" s="237"/>
      <c r="H29" s="237"/>
      <c r="I29" s="237">
        <f>PRODUCT(E29:H29)</f>
        <v>1</v>
      </c>
      <c r="J29" s="234"/>
    </row>
    <row r="30" spans="1:26" s="230" customFormat="1" ht="15" hidden="1" customHeight="1" outlineLevel="1" x14ac:dyDescent="0.25">
      <c r="A30" s="234"/>
      <c r="B30" s="788"/>
      <c r="C30" s="789"/>
      <c r="D30" s="237"/>
      <c r="E30" s="237"/>
      <c r="F30" s="237"/>
      <c r="G30" s="237"/>
      <c r="H30" s="237"/>
      <c r="I30" s="237"/>
      <c r="J30" s="234"/>
    </row>
    <row r="31" spans="1:26" s="230" customFormat="1" ht="15" customHeight="1" collapsed="1" x14ac:dyDescent="0.25">
      <c r="A31" s="231" t="s">
        <v>343</v>
      </c>
      <c r="B31" s="232" t="s">
        <v>461</v>
      </c>
      <c r="C31" s="233"/>
      <c r="D31" s="231" t="s">
        <v>300</v>
      </c>
      <c r="E31" s="265"/>
      <c r="F31" s="265"/>
      <c r="G31" s="265"/>
      <c r="H31" s="265"/>
      <c r="I31" s="265"/>
      <c r="J31" s="312">
        <f>SUM(I32:I33)</f>
        <v>1</v>
      </c>
      <c r="K31" s="230" t="s">
        <v>470</v>
      </c>
    </row>
    <row r="32" spans="1:26" s="230" customFormat="1" ht="15" hidden="1" customHeight="1" outlineLevel="1" x14ac:dyDescent="0.25">
      <c r="A32" s="234"/>
      <c r="B32" s="788"/>
      <c r="C32" s="789"/>
      <c r="D32" s="237"/>
      <c r="E32" s="237">
        <v>1</v>
      </c>
      <c r="F32" s="237"/>
      <c r="G32" s="237"/>
      <c r="H32" s="237"/>
      <c r="I32" s="237">
        <f>PRODUCT(E32:H32)</f>
        <v>1</v>
      </c>
      <c r="J32" s="234"/>
    </row>
    <row r="33" spans="1:26" s="230" customFormat="1" ht="15" hidden="1" customHeight="1" outlineLevel="1" x14ac:dyDescent="0.25">
      <c r="A33" s="234"/>
      <c r="B33" s="788"/>
      <c r="C33" s="789"/>
      <c r="D33" s="237"/>
      <c r="E33" s="237"/>
      <c r="F33" s="237"/>
      <c r="G33" s="237"/>
      <c r="H33" s="237"/>
      <c r="I33" s="237"/>
      <c r="J33" s="234"/>
    </row>
    <row r="34" spans="1:26" s="230" customFormat="1" ht="15" customHeight="1" collapsed="1" x14ac:dyDescent="0.25">
      <c r="A34" s="231" t="s">
        <v>344</v>
      </c>
      <c r="B34" s="232" t="s">
        <v>468</v>
      </c>
      <c r="C34" s="233"/>
      <c r="D34" s="231" t="s">
        <v>300</v>
      </c>
      <c r="E34" s="265"/>
      <c r="F34" s="265"/>
      <c r="G34" s="265"/>
      <c r="H34" s="265"/>
      <c r="I34" s="265"/>
      <c r="J34" s="312">
        <f>SUM(I35:I36)</f>
        <v>1</v>
      </c>
      <c r="K34" s="230" t="s">
        <v>470</v>
      </c>
    </row>
    <row r="35" spans="1:26" s="230" customFormat="1" ht="15" hidden="1" customHeight="1" outlineLevel="1" x14ac:dyDescent="0.25">
      <c r="A35" s="234"/>
      <c r="B35" s="788"/>
      <c r="C35" s="789"/>
      <c r="D35" s="237"/>
      <c r="E35" s="237">
        <v>1</v>
      </c>
      <c r="F35" s="237"/>
      <c r="G35" s="237"/>
      <c r="H35" s="237"/>
      <c r="I35" s="237">
        <f>PRODUCT(E35:H35)</f>
        <v>1</v>
      </c>
      <c r="J35" s="234"/>
    </row>
    <row r="36" spans="1:26" s="230" customFormat="1" ht="15" hidden="1" customHeight="1" outlineLevel="1" x14ac:dyDescent="0.25">
      <c r="A36" s="234"/>
      <c r="B36" s="788"/>
      <c r="C36" s="789"/>
      <c r="D36" s="237"/>
      <c r="E36" s="237"/>
      <c r="F36" s="237"/>
      <c r="G36" s="237"/>
      <c r="H36" s="237"/>
      <c r="I36" s="237"/>
      <c r="J36" s="234"/>
    </row>
    <row r="37" spans="1:26" s="230" customFormat="1" ht="15" customHeight="1" collapsed="1" x14ac:dyDescent="0.25">
      <c r="A37" s="231" t="s">
        <v>345</v>
      </c>
      <c r="B37" s="232" t="s">
        <v>78</v>
      </c>
      <c r="C37" s="233"/>
      <c r="D37" s="231" t="s">
        <v>38</v>
      </c>
      <c r="E37" s="265"/>
      <c r="F37" s="265"/>
      <c r="G37" s="265"/>
      <c r="H37" s="265"/>
      <c r="I37" s="265"/>
      <c r="J37" s="312">
        <f>SUM(I38:I39)</f>
        <v>150</v>
      </c>
      <c r="K37" s="230" t="s">
        <v>470</v>
      </c>
    </row>
    <row r="38" spans="1:26" s="230" customFormat="1" ht="15" hidden="1" customHeight="1" outlineLevel="1" x14ac:dyDescent="0.25">
      <c r="A38" s="234"/>
      <c r="B38" s="790" t="s">
        <v>369</v>
      </c>
      <c r="C38" s="791"/>
      <c r="D38" s="237" t="s">
        <v>38</v>
      </c>
      <c r="E38" s="237">
        <v>1</v>
      </c>
      <c r="F38" s="237">
        <v>5</v>
      </c>
      <c r="G38" s="237">
        <v>30</v>
      </c>
      <c r="H38" s="237"/>
      <c r="I38" s="237">
        <f>PRODUCT(E38:H38)</f>
        <v>150</v>
      </c>
      <c r="J38" s="234"/>
    </row>
    <row r="39" spans="1:26" s="230" customFormat="1" ht="15" hidden="1" customHeight="1" outlineLevel="1" x14ac:dyDescent="0.25">
      <c r="A39" s="234"/>
      <c r="B39" s="788"/>
      <c r="C39" s="789"/>
      <c r="D39" s="237"/>
      <c r="E39" s="237"/>
      <c r="F39" s="237"/>
      <c r="G39" s="237"/>
      <c r="H39" s="237"/>
      <c r="I39" s="237"/>
      <c r="J39" s="234"/>
    </row>
    <row r="40" spans="1:26" s="230" customFormat="1" ht="15" customHeight="1" collapsed="1" x14ac:dyDescent="0.25">
      <c r="A40" s="231" t="s">
        <v>346</v>
      </c>
      <c r="B40" s="232" t="s">
        <v>79</v>
      </c>
      <c r="C40" s="233"/>
      <c r="D40" s="231" t="s">
        <v>38</v>
      </c>
      <c r="E40" s="265"/>
      <c r="F40" s="265"/>
      <c r="G40" s="265"/>
      <c r="H40" s="265"/>
      <c r="I40" s="265"/>
      <c r="J40" s="312">
        <f>SUM(I41:I42)</f>
        <v>150</v>
      </c>
      <c r="K40" s="230" t="s">
        <v>470</v>
      </c>
    </row>
    <row r="41" spans="1:26" s="230" customFormat="1" ht="15" hidden="1" customHeight="1" outlineLevel="1" x14ac:dyDescent="0.25">
      <c r="A41" s="234"/>
      <c r="B41" s="788"/>
      <c r="C41" s="789"/>
      <c r="D41" s="237" t="s">
        <v>38</v>
      </c>
      <c r="E41" s="237">
        <f>+E38</f>
        <v>1</v>
      </c>
      <c r="F41" s="237">
        <v>5</v>
      </c>
      <c r="G41" s="237">
        <v>30</v>
      </c>
      <c r="H41" s="237"/>
      <c r="I41" s="237">
        <f>PRODUCT(E41:H41)</f>
        <v>150</v>
      </c>
      <c r="J41" s="234"/>
    </row>
    <row r="42" spans="1:26" s="230" customFormat="1" ht="15" hidden="1" customHeight="1" outlineLevel="1" x14ac:dyDescent="0.25">
      <c r="A42" s="234"/>
      <c r="B42" s="788"/>
      <c r="C42" s="789"/>
      <c r="D42" s="237"/>
      <c r="E42" s="237"/>
      <c r="F42" s="237"/>
      <c r="G42" s="237"/>
      <c r="H42" s="237"/>
      <c r="I42" s="237"/>
      <c r="J42" s="234"/>
    </row>
    <row r="43" spans="1:26" ht="15" customHeight="1" collapsed="1" x14ac:dyDescent="0.25">
      <c r="A43" s="241" t="s">
        <v>476</v>
      </c>
      <c r="B43" s="242" t="s">
        <v>471</v>
      </c>
      <c r="C43" s="243"/>
      <c r="D43" s="244"/>
      <c r="E43" s="264"/>
      <c r="F43" s="264"/>
      <c r="G43" s="264"/>
      <c r="H43" s="264"/>
      <c r="I43" s="264"/>
      <c r="J43" s="315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s="230" customFormat="1" ht="15" customHeight="1" x14ac:dyDescent="0.25">
      <c r="A44" s="231" t="s">
        <v>477</v>
      </c>
      <c r="B44" s="232" t="s">
        <v>472</v>
      </c>
      <c r="C44" s="233"/>
      <c r="D44" s="231" t="s">
        <v>126</v>
      </c>
      <c r="E44" s="265"/>
      <c r="F44" s="265"/>
      <c r="G44" s="265"/>
      <c r="H44" s="265"/>
      <c r="I44" s="265"/>
      <c r="J44" s="312">
        <f>SUM(I45:I46)</f>
        <v>30</v>
      </c>
      <c r="K44" s="230" t="s">
        <v>470</v>
      </c>
    </row>
    <row r="45" spans="1:26" s="230" customFormat="1" ht="15" hidden="1" customHeight="1" outlineLevel="1" x14ac:dyDescent="0.25">
      <c r="A45" s="234"/>
      <c r="B45" s="788"/>
      <c r="C45" s="789"/>
      <c r="D45" s="237"/>
      <c r="E45" s="237">
        <v>30</v>
      </c>
      <c r="F45" s="237"/>
      <c r="G45" s="237"/>
      <c r="H45" s="237"/>
      <c r="I45" s="237">
        <f>PRODUCT(E45:H45)</f>
        <v>30</v>
      </c>
      <c r="J45" s="234"/>
    </row>
    <row r="46" spans="1:26" s="230" customFormat="1" ht="15" hidden="1" customHeight="1" outlineLevel="1" x14ac:dyDescent="0.25">
      <c r="A46" s="234"/>
      <c r="B46" s="788"/>
      <c r="C46" s="789"/>
      <c r="D46" s="237"/>
      <c r="E46" s="237"/>
      <c r="F46" s="237"/>
      <c r="G46" s="237"/>
      <c r="H46" s="237"/>
      <c r="I46" s="237"/>
      <c r="J46" s="234"/>
    </row>
    <row r="47" spans="1:26" s="230" customFormat="1" ht="15" customHeight="1" collapsed="1" x14ac:dyDescent="0.25">
      <c r="A47" s="231" t="s">
        <v>478</v>
      </c>
      <c r="B47" s="232" t="s">
        <v>473</v>
      </c>
      <c r="C47" s="233"/>
      <c r="D47" s="231" t="s">
        <v>300</v>
      </c>
      <c r="E47" s="265"/>
      <c r="F47" s="265"/>
      <c r="G47" s="265"/>
      <c r="H47" s="265"/>
      <c r="I47" s="265"/>
      <c r="J47" s="312">
        <f>SUM(I48:I49)</f>
        <v>1</v>
      </c>
      <c r="K47" s="230" t="s">
        <v>470</v>
      </c>
    </row>
    <row r="48" spans="1:26" s="230" customFormat="1" ht="15" hidden="1" customHeight="1" outlineLevel="1" x14ac:dyDescent="0.25">
      <c r="A48" s="234"/>
      <c r="B48" s="788"/>
      <c r="C48" s="789"/>
      <c r="D48" s="237"/>
      <c r="E48" s="237">
        <v>1</v>
      </c>
      <c r="F48" s="237"/>
      <c r="G48" s="237"/>
      <c r="H48" s="237"/>
      <c r="I48" s="237">
        <f>PRODUCT(E48:H48)</f>
        <v>1</v>
      </c>
      <c r="J48" s="234"/>
    </row>
    <row r="49" spans="1:26" s="230" customFormat="1" ht="15" hidden="1" customHeight="1" outlineLevel="1" x14ac:dyDescent="0.25">
      <c r="A49" s="234"/>
      <c r="B49" s="788"/>
      <c r="C49" s="789"/>
      <c r="D49" s="237"/>
      <c r="E49" s="237"/>
      <c r="F49" s="237"/>
      <c r="G49" s="237"/>
      <c r="H49" s="237"/>
      <c r="I49" s="237"/>
      <c r="J49" s="234"/>
    </row>
    <row r="50" spans="1:26" s="230" customFormat="1" ht="15" customHeight="1" collapsed="1" x14ac:dyDescent="0.25">
      <c r="A50" s="231" t="s">
        <v>479</v>
      </c>
      <c r="B50" s="232" t="s">
        <v>474</v>
      </c>
      <c r="C50" s="233"/>
      <c r="D50" s="231" t="s">
        <v>300</v>
      </c>
      <c r="E50" s="265"/>
      <c r="F50" s="265"/>
      <c r="G50" s="265"/>
      <c r="H50" s="265"/>
      <c r="I50" s="265"/>
      <c r="J50" s="312">
        <f>SUM(I51:I52)</f>
        <v>1</v>
      </c>
      <c r="K50" s="230" t="s">
        <v>470</v>
      </c>
    </row>
    <row r="51" spans="1:26" s="230" customFormat="1" ht="15" hidden="1" customHeight="1" outlineLevel="1" x14ac:dyDescent="0.25">
      <c r="A51" s="234"/>
      <c r="B51" s="788"/>
      <c r="C51" s="789"/>
      <c r="D51" s="237"/>
      <c r="E51" s="237">
        <v>1</v>
      </c>
      <c r="F51" s="237"/>
      <c r="G51" s="237"/>
      <c r="H51" s="237"/>
      <c r="I51" s="237">
        <f>PRODUCT(E51:H51)</f>
        <v>1</v>
      </c>
      <c r="J51" s="234"/>
    </row>
    <row r="52" spans="1:26" s="230" customFormat="1" ht="15" hidden="1" customHeight="1" outlineLevel="1" x14ac:dyDescent="0.25">
      <c r="A52" s="234"/>
      <c r="B52" s="788"/>
      <c r="C52" s="789"/>
      <c r="D52" s="237"/>
      <c r="E52" s="237"/>
      <c r="F52" s="237"/>
      <c r="G52" s="237"/>
      <c r="H52" s="237"/>
      <c r="I52" s="237"/>
      <c r="J52" s="234"/>
    </row>
    <row r="53" spans="1:26" s="230" customFormat="1" ht="15" customHeight="1" collapsed="1" x14ac:dyDescent="0.25">
      <c r="A53" s="231" t="s">
        <v>480</v>
      </c>
      <c r="B53" s="232" t="s">
        <v>475</v>
      </c>
      <c r="C53" s="233"/>
      <c r="D53" s="231" t="s">
        <v>329</v>
      </c>
      <c r="E53" s="265"/>
      <c r="F53" s="265"/>
      <c r="G53" s="265"/>
      <c r="H53" s="265"/>
      <c r="I53" s="265"/>
      <c r="J53" s="312">
        <f>SUM(I54:I55)</f>
        <v>4</v>
      </c>
      <c r="K53" s="230" t="s">
        <v>470</v>
      </c>
    </row>
    <row r="54" spans="1:26" s="230" customFormat="1" ht="15" hidden="1" customHeight="1" outlineLevel="1" x14ac:dyDescent="0.25">
      <c r="A54" s="234"/>
      <c r="B54" s="788"/>
      <c r="C54" s="789"/>
      <c r="D54" s="237"/>
      <c r="E54" s="237">
        <v>4</v>
      </c>
      <c r="F54" s="237"/>
      <c r="G54" s="237"/>
      <c r="H54" s="237"/>
      <c r="I54" s="237">
        <f>PRODUCT(E54:H54)</f>
        <v>4</v>
      </c>
      <c r="J54" s="234"/>
    </row>
    <row r="55" spans="1:26" s="230" customFormat="1" ht="15" hidden="1" customHeight="1" outlineLevel="1" x14ac:dyDescent="0.25">
      <c r="A55" s="234"/>
      <c r="B55" s="788"/>
      <c r="C55" s="789"/>
      <c r="D55" s="237"/>
      <c r="E55" s="237"/>
      <c r="F55" s="237"/>
      <c r="G55" s="237"/>
      <c r="H55" s="237"/>
      <c r="I55" s="237"/>
      <c r="J55" s="234"/>
    </row>
    <row r="56" spans="1:26" ht="15" customHeight="1" collapsed="1" x14ac:dyDescent="0.25">
      <c r="A56" s="5" t="s">
        <v>339</v>
      </c>
      <c r="B56" s="227" t="s">
        <v>35</v>
      </c>
      <c r="C56" s="126"/>
      <c r="D56" s="6"/>
      <c r="E56" s="263"/>
      <c r="F56" s="263"/>
      <c r="G56" s="263"/>
      <c r="H56" s="263"/>
      <c r="I56" s="263"/>
      <c r="J56" s="314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s="230" customFormat="1" ht="15" customHeight="1" x14ac:dyDescent="0.25">
      <c r="A57" s="231" t="s">
        <v>729</v>
      </c>
      <c r="B57" s="232" t="s">
        <v>356</v>
      </c>
      <c r="C57" s="233"/>
      <c r="D57" s="231" t="s">
        <v>37</v>
      </c>
      <c r="E57" s="265"/>
      <c r="F57" s="265"/>
      <c r="G57" s="265"/>
      <c r="H57" s="265"/>
      <c r="I57" s="265"/>
      <c r="J57" s="312">
        <f>SUM(I58:I73)</f>
        <v>54.704999999999998</v>
      </c>
    </row>
    <row r="58" spans="1:26" ht="15" customHeight="1" outlineLevel="1" x14ac:dyDescent="0.25">
      <c r="A58" s="8"/>
      <c r="B58" s="238" t="s">
        <v>391</v>
      </c>
      <c r="C58" s="251"/>
      <c r="D58" s="10" t="s">
        <v>37</v>
      </c>
      <c r="E58" s="237">
        <v>1</v>
      </c>
      <c r="F58" s="237">
        <v>3</v>
      </c>
      <c r="G58" s="237">
        <v>3.25</v>
      </c>
      <c r="H58" s="131">
        <v>2.5</v>
      </c>
      <c r="I58" s="10">
        <f>PRODUCT(E58:H58)</f>
        <v>24.375</v>
      </c>
      <c r="J58" s="8"/>
      <c r="K58" s="455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" customHeight="1" outlineLevel="1" x14ac:dyDescent="0.25">
      <c r="A59" s="8"/>
      <c r="B59" s="238" t="s">
        <v>392</v>
      </c>
      <c r="C59" s="251"/>
      <c r="D59" s="10" t="s">
        <v>37</v>
      </c>
      <c r="E59" s="237">
        <v>1</v>
      </c>
      <c r="F59" s="237">
        <v>3</v>
      </c>
      <c r="G59" s="237">
        <v>1.2</v>
      </c>
      <c r="H59" s="131">
        <v>1.5</v>
      </c>
      <c r="I59" s="10">
        <f t="shared" ref="I59:I72" si="0">PRODUCT(E59:H59)</f>
        <v>5.3999999999999995</v>
      </c>
      <c r="J59" s="8"/>
      <c r="K59" s="455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" customHeight="1" outlineLevel="1" x14ac:dyDescent="0.25">
      <c r="A60" s="8"/>
      <c r="B60" s="238" t="s">
        <v>393</v>
      </c>
      <c r="C60" s="251"/>
      <c r="D60" s="10" t="s">
        <v>37</v>
      </c>
      <c r="E60" s="237">
        <v>1</v>
      </c>
      <c r="F60" s="237">
        <v>3.6</v>
      </c>
      <c r="G60" s="237">
        <v>1.2</v>
      </c>
      <c r="H60" s="131">
        <v>1.5</v>
      </c>
      <c r="I60" s="10">
        <f t="shared" si="0"/>
        <v>6.48</v>
      </c>
      <c r="J60" s="8"/>
      <c r="K60" s="455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s="230" customFormat="1" ht="15" customHeight="1" outlineLevel="1" x14ac:dyDescent="0.25">
      <c r="A61" s="140"/>
      <c r="B61" s="452" t="s">
        <v>527</v>
      </c>
      <c r="C61" s="453"/>
      <c r="D61" s="140" t="s">
        <v>37</v>
      </c>
      <c r="E61" s="140">
        <v>1</v>
      </c>
      <c r="F61" s="313">
        <v>2.2000000000000002</v>
      </c>
      <c r="G61" s="140">
        <v>0.5</v>
      </c>
      <c r="H61" s="140">
        <v>1.2</v>
      </c>
      <c r="I61" s="140">
        <f t="shared" si="0"/>
        <v>1.32</v>
      </c>
      <c r="J61" s="454"/>
    </row>
    <row r="62" spans="1:26" s="230" customFormat="1" ht="15" customHeight="1" outlineLevel="1" x14ac:dyDescent="0.25">
      <c r="A62" s="141"/>
      <c r="B62" s="453" t="s">
        <v>528</v>
      </c>
      <c r="C62" s="453"/>
      <c r="D62" s="140" t="s">
        <v>37</v>
      </c>
      <c r="E62" s="140">
        <v>1</v>
      </c>
      <c r="F62" s="141">
        <v>3.95</v>
      </c>
      <c r="G62" s="141">
        <v>0.5</v>
      </c>
      <c r="H62" s="140">
        <v>1.2</v>
      </c>
      <c r="I62" s="140">
        <f t="shared" si="0"/>
        <v>2.37</v>
      </c>
      <c r="J62" s="156"/>
      <c r="K62" s="483"/>
    </row>
    <row r="63" spans="1:26" s="230" customFormat="1" ht="15" customHeight="1" outlineLevel="1" x14ac:dyDescent="0.25">
      <c r="A63" s="141"/>
      <c r="B63" s="453" t="s">
        <v>529</v>
      </c>
      <c r="C63" s="453"/>
      <c r="D63" s="140" t="s">
        <v>37</v>
      </c>
      <c r="E63" s="140">
        <v>1</v>
      </c>
      <c r="F63" s="141">
        <v>2.2000000000000002</v>
      </c>
      <c r="G63" s="141">
        <v>0.5</v>
      </c>
      <c r="H63" s="140">
        <v>1.2</v>
      </c>
      <c r="I63" s="140">
        <f t="shared" si="0"/>
        <v>1.32</v>
      </c>
      <c r="J63" s="156"/>
      <c r="K63" s="483"/>
    </row>
    <row r="64" spans="1:26" s="230" customFormat="1" ht="15" customHeight="1" outlineLevel="1" x14ac:dyDescent="0.25">
      <c r="A64" s="141"/>
      <c r="B64" s="453" t="s">
        <v>530</v>
      </c>
      <c r="C64" s="453"/>
      <c r="D64" s="140" t="s">
        <v>37</v>
      </c>
      <c r="E64" s="140">
        <v>1</v>
      </c>
      <c r="F64" s="141">
        <v>1.8</v>
      </c>
      <c r="G64" s="140">
        <v>0.5</v>
      </c>
      <c r="H64" s="140">
        <v>1.2</v>
      </c>
      <c r="I64" s="140">
        <f t="shared" si="0"/>
        <v>1.08</v>
      </c>
      <c r="J64" s="156"/>
      <c r="K64" s="483"/>
    </row>
    <row r="65" spans="1:26" s="230" customFormat="1" ht="15" customHeight="1" outlineLevel="1" x14ac:dyDescent="0.25">
      <c r="A65" s="141"/>
      <c r="B65" s="453" t="s">
        <v>531</v>
      </c>
      <c r="C65" s="453"/>
      <c r="D65" s="140" t="s">
        <v>37</v>
      </c>
      <c r="E65" s="140">
        <v>1</v>
      </c>
      <c r="F65" s="141">
        <v>1.2</v>
      </c>
      <c r="G65" s="141">
        <v>0.5</v>
      </c>
      <c r="H65" s="140">
        <v>1.2</v>
      </c>
      <c r="I65" s="140">
        <f t="shared" si="0"/>
        <v>0.72</v>
      </c>
      <c r="J65" s="156"/>
      <c r="K65" s="483"/>
    </row>
    <row r="66" spans="1:26" s="230" customFormat="1" ht="15" customHeight="1" outlineLevel="1" x14ac:dyDescent="0.25">
      <c r="A66" s="141"/>
      <c r="B66" s="453" t="s">
        <v>532</v>
      </c>
      <c r="C66" s="453"/>
      <c r="D66" s="140" t="s">
        <v>37</v>
      </c>
      <c r="E66" s="140">
        <v>1</v>
      </c>
      <c r="F66" s="141">
        <v>0.65</v>
      </c>
      <c r="G66" s="141">
        <v>0.5</v>
      </c>
      <c r="H66" s="140">
        <v>1.2</v>
      </c>
      <c r="I66" s="140">
        <f t="shared" si="0"/>
        <v>0.39</v>
      </c>
      <c r="J66" s="156"/>
      <c r="K66" s="483"/>
    </row>
    <row r="67" spans="1:26" s="230" customFormat="1" ht="15" customHeight="1" outlineLevel="1" x14ac:dyDescent="0.25">
      <c r="A67" s="141"/>
      <c r="B67" s="453" t="s">
        <v>533</v>
      </c>
      <c r="C67" s="453"/>
      <c r="D67" s="140" t="s">
        <v>37</v>
      </c>
      <c r="E67" s="140">
        <v>1</v>
      </c>
      <c r="F67" s="141">
        <v>2.4</v>
      </c>
      <c r="G67" s="140">
        <v>0.5</v>
      </c>
      <c r="H67" s="140">
        <v>1.2</v>
      </c>
      <c r="I67" s="140">
        <f t="shared" si="0"/>
        <v>1.44</v>
      </c>
      <c r="J67" s="156"/>
      <c r="K67" s="483"/>
    </row>
    <row r="68" spans="1:26" s="230" customFormat="1" ht="15" customHeight="1" outlineLevel="1" x14ac:dyDescent="0.25">
      <c r="A68" s="141"/>
      <c r="B68" s="453" t="s">
        <v>534</v>
      </c>
      <c r="C68" s="453"/>
      <c r="D68" s="140" t="s">
        <v>37</v>
      </c>
      <c r="E68" s="140">
        <v>1</v>
      </c>
      <c r="F68" s="141">
        <v>2.95</v>
      </c>
      <c r="G68" s="141">
        <v>0.5</v>
      </c>
      <c r="H68" s="140">
        <v>1.2</v>
      </c>
      <c r="I68" s="140">
        <f t="shared" si="0"/>
        <v>1.77</v>
      </c>
      <c r="J68" s="156"/>
      <c r="K68" s="483"/>
    </row>
    <row r="69" spans="1:26" s="230" customFormat="1" ht="15" customHeight="1" outlineLevel="1" x14ac:dyDescent="0.25">
      <c r="A69" s="141"/>
      <c r="B69" s="453" t="s">
        <v>535</v>
      </c>
      <c r="C69" s="453"/>
      <c r="D69" s="141" t="s">
        <v>37</v>
      </c>
      <c r="E69" s="140">
        <v>1</v>
      </c>
      <c r="F69" s="141">
        <v>3.2</v>
      </c>
      <c r="G69" s="141">
        <v>0.5</v>
      </c>
      <c r="H69" s="140">
        <v>1.2</v>
      </c>
      <c r="I69" s="140">
        <f t="shared" si="0"/>
        <v>1.92</v>
      </c>
      <c r="J69" s="156"/>
      <c r="K69" s="483"/>
    </row>
    <row r="70" spans="1:26" s="230" customFormat="1" ht="15" customHeight="1" outlineLevel="1" x14ac:dyDescent="0.25">
      <c r="A70" s="141"/>
      <c r="B70" s="453" t="s">
        <v>536</v>
      </c>
      <c r="C70" s="453"/>
      <c r="D70" s="140" t="s">
        <v>37</v>
      </c>
      <c r="E70" s="140">
        <v>1</v>
      </c>
      <c r="F70" s="313">
        <v>5.45</v>
      </c>
      <c r="G70" s="140">
        <v>0.5</v>
      </c>
      <c r="H70" s="140">
        <v>1.2</v>
      </c>
      <c r="I70" s="140">
        <f t="shared" si="0"/>
        <v>3.27</v>
      </c>
      <c r="J70" s="484"/>
      <c r="K70" s="483"/>
    </row>
    <row r="71" spans="1:26" s="230" customFormat="1" ht="15" customHeight="1" outlineLevel="1" x14ac:dyDescent="0.25">
      <c r="A71" s="141"/>
      <c r="B71" s="453" t="s">
        <v>536</v>
      </c>
      <c r="C71" s="453"/>
      <c r="D71" s="140" t="s">
        <v>37</v>
      </c>
      <c r="E71" s="140">
        <v>1</v>
      </c>
      <c r="F71" s="313">
        <v>1.25</v>
      </c>
      <c r="G71" s="140">
        <v>0.5</v>
      </c>
      <c r="H71" s="140">
        <v>1.2</v>
      </c>
      <c r="I71" s="140">
        <f t="shared" si="0"/>
        <v>0.75</v>
      </c>
      <c r="J71" s="484"/>
      <c r="K71" s="483"/>
    </row>
    <row r="72" spans="1:26" s="230" customFormat="1" ht="15" customHeight="1" outlineLevel="1" x14ac:dyDescent="0.25">
      <c r="A72" s="141"/>
      <c r="B72" s="453" t="s">
        <v>536</v>
      </c>
      <c r="C72" s="453"/>
      <c r="D72" s="140" t="s">
        <v>37</v>
      </c>
      <c r="E72" s="140">
        <v>1</v>
      </c>
      <c r="F72" s="313">
        <v>3.5</v>
      </c>
      <c r="G72" s="140">
        <v>0.5</v>
      </c>
      <c r="H72" s="140">
        <v>1.2</v>
      </c>
      <c r="I72" s="140">
        <f t="shared" si="0"/>
        <v>2.1</v>
      </c>
      <c r="J72" s="484"/>
      <c r="K72" s="483"/>
    </row>
    <row r="73" spans="1:26" s="230" customFormat="1" ht="15" customHeight="1" outlineLevel="1" x14ac:dyDescent="0.25">
      <c r="A73" s="234"/>
      <c r="B73" s="163"/>
      <c r="C73" s="132"/>
      <c r="D73" s="10"/>
      <c r="E73" s="10"/>
      <c r="F73" s="10"/>
      <c r="G73" s="141"/>
      <c r="H73" s="141"/>
      <c r="I73" s="237"/>
      <c r="J73" s="234"/>
    </row>
    <row r="74" spans="1:26" s="230" customFormat="1" ht="15" customHeight="1" x14ac:dyDescent="0.25">
      <c r="A74" s="231" t="s">
        <v>730</v>
      </c>
      <c r="B74" s="232" t="s">
        <v>357</v>
      </c>
      <c r="C74" s="233"/>
      <c r="D74" s="231" t="s">
        <v>38</v>
      </c>
      <c r="E74" s="265"/>
      <c r="F74" s="265"/>
      <c r="G74" s="265"/>
      <c r="H74" s="265"/>
      <c r="I74" s="265"/>
      <c r="J74" s="312">
        <f>SUM(I75:I90)</f>
        <v>33.045000000000009</v>
      </c>
    </row>
    <row r="75" spans="1:26" ht="15" customHeight="1" outlineLevel="1" x14ac:dyDescent="0.25">
      <c r="A75" s="8"/>
      <c r="B75" s="238" t="s">
        <v>391</v>
      </c>
      <c r="C75" s="251"/>
      <c r="D75" s="10" t="s">
        <v>38</v>
      </c>
      <c r="E75" s="237">
        <v>1</v>
      </c>
      <c r="F75" s="237">
        <v>3</v>
      </c>
      <c r="G75" s="237">
        <v>3.25</v>
      </c>
      <c r="H75" s="131"/>
      <c r="I75" s="10">
        <f>PRODUCT(E75:H75)</f>
        <v>9.75</v>
      </c>
      <c r="J75" s="8"/>
      <c r="K75" s="455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" customHeight="1" outlineLevel="1" x14ac:dyDescent="0.25">
      <c r="A76" s="8"/>
      <c r="B76" s="238" t="s">
        <v>392</v>
      </c>
      <c r="C76" s="251"/>
      <c r="D76" s="10" t="s">
        <v>38</v>
      </c>
      <c r="E76" s="237">
        <v>1</v>
      </c>
      <c r="F76" s="237">
        <v>3</v>
      </c>
      <c r="G76" s="237">
        <v>1.2</v>
      </c>
      <c r="H76" s="131"/>
      <c r="I76" s="10">
        <f t="shared" ref="I76:I89" si="1">PRODUCT(E76:H76)</f>
        <v>3.5999999999999996</v>
      </c>
      <c r="J76" s="8"/>
      <c r="K76" s="455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" customHeight="1" outlineLevel="1" x14ac:dyDescent="0.25">
      <c r="A77" s="8"/>
      <c r="B77" s="238" t="s">
        <v>393</v>
      </c>
      <c r="C77" s="251"/>
      <c r="D77" s="10" t="s">
        <v>38</v>
      </c>
      <c r="E77" s="237">
        <v>1</v>
      </c>
      <c r="F77" s="237">
        <v>3.6</v>
      </c>
      <c r="G77" s="237">
        <v>1.2</v>
      </c>
      <c r="H77" s="131"/>
      <c r="I77" s="10">
        <f t="shared" si="1"/>
        <v>4.32</v>
      </c>
      <c r="J77" s="8"/>
      <c r="K77" s="455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s="230" customFormat="1" ht="15" customHeight="1" outlineLevel="1" x14ac:dyDescent="0.25">
      <c r="A78" s="140"/>
      <c r="B78" s="452" t="s">
        <v>527</v>
      </c>
      <c r="C78" s="453"/>
      <c r="D78" s="10" t="s">
        <v>38</v>
      </c>
      <c r="E78" s="140">
        <v>1</v>
      </c>
      <c r="F78" s="313">
        <v>2.2000000000000002</v>
      </c>
      <c r="G78" s="140">
        <v>0.5</v>
      </c>
      <c r="H78" s="140"/>
      <c r="I78" s="140">
        <f t="shared" si="1"/>
        <v>1.1000000000000001</v>
      </c>
      <c r="J78" s="454"/>
    </row>
    <row r="79" spans="1:26" s="230" customFormat="1" ht="15" customHeight="1" outlineLevel="1" x14ac:dyDescent="0.25">
      <c r="A79" s="141"/>
      <c r="B79" s="453" t="s">
        <v>528</v>
      </c>
      <c r="C79" s="453"/>
      <c r="D79" s="10" t="s">
        <v>38</v>
      </c>
      <c r="E79" s="140">
        <v>1</v>
      </c>
      <c r="F79" s="141">
        <v>3.95</v>
      </c>
      <c r="G79" s="141">
        <v>0.5</v>
      </c>
      <c r="H79" s="140"/>
      <c r="I79" s="140">
        <f t="shared" si="1"/>
        <v>1.9750000000000001</v>
      </c>
      <c r="J79" s="156"/>
      <c r="K79" s="483"/>
    </row>
    <row r="80" spans="1:26" s="230" customFormat="1" ht="15" customHeight="1" outlineLevel="1" x14ac:dyDescent="0.25">
      <c r="A80" s="141"/>
      <c r="B80" s="453" t="s">
        <v>529</v>
      </c>
      <c r="C80" s="453"/>
      <c r="D80" s="10" t="s">
        <v>38</v>
      </c>
      <c r="E80" s="140">
        <v>1</v>
      </c>
      <c r="F80" s="141">
        <v>2.2000000000000002</v>
      </c>
      <c r="G80" s="141">
        <v>0.5</v>
      </c>
      <c r="H80" s="140"/>
      <c r="I80" s="140">
        <f t="shared" si="1"/>
        <v>1.1000000000000001</v>
      </c>
      <c r="J80" s="156"/>
      <c r="K80" s="483"/>
    </row>
    <row r="81" spans="1:26" s="230" customFormat="1" ht="15" customHeight="1" outlineLevel="1" x14ac:dyDescent="0.25">
      <c r="A81" s="141"/>
      <c r="B81" s="453" t="s">
        <v>530</v>
      </c>
      <c r="C81" s="453"/>
      <c r="D81" s="10" t="s">
        <v>38</v>
      </c>
      <c r="E81" s="140">
        <v>1</v>
      </c>
      <c r="F81" s="141">
        <v>1.8</v>
      </c>
      <c r="G81" s="140">
        <v>0.5</v>
      </c>
      <c r="H81" s="140"/>
      <c r="I81" s="140">
        <f t="shared" si="1"/>
        <v>0.9</v>
      </c>
      <c r="J81" s="156"/>
      <c r="K81" s="483"/>
    </row>
    <row r="82" spans="1:26" s="230" customFormat="1" ht="15" customHeight="1" outlineLevel="1" x14ac:dyDescent="0.25">
      <c r="A82" s="141"/>
      <c r="B82" s="453" t="s">
        <v>531</v>
      </c>
      <c r="C82" s="453"/>
      <c r="D82" s="10" t="s">
        <v>38</v>
      </c>
      <c r="E82" s="140">
        <v>1</v>
      </c>
      <c r="F82" s="141">
        <v>1.2</v>
      </c>
      <c r="G82" s="141">
        <v>0.5</v>
      </c>
      <c r="H82" s="140"/>
      <c r="I82" s="140">
        <f t="shared" si="1"/>
        <v>0.6</v>
      </c>
      <c r="J82" s="156"/>
      <c r="K82" s="483"/>
    </row>
    <row r="83" spans="1:26" s="230" customFormat="1" ht="15" customHeight="1" outlineLevel="1" x14ac:dyDescent="0.25">
      <c r="A83" s="141"/>
      <c r="B83" s="453" t="s">
        <v>532</v>
      </c>
      <c r="C83" s="453"/>
      <c r="D83" s="10" t="s">
        <v>38</v>
      </c>
      <c r="E83" s="140">
        <v>1</v>
      </c>
      <c r="F83" s="141">
        <v>0.65</v>
      </c>
      <c r="G83" s="141">
        <v>0.5</v>
      </c>
      <c r="H83" s="140"/>
      <c r="I83" s="140">
        <f t="shared" si="1"/>
        <v>0.32500000000000001</v>
      </c>
      <c r="J83" s="156"/>
      <c r="K83" s="483"/>
    </row>
    <row r="84" spans="1:26" s="230" customFormat="1" ht="15" customHeight="1" outlineLevel="1" x14ac:dyDescent="0.25">
      <c r="A84" s="141"/>
      <c r="B84" s="453" t="s">
        <v>533</v>
      </c>
      <c r="C84" s="453"/>
      <c r="D84" s="10" t="s">
        <v>38</v>
      </c>
      <c r="E84" s="140">
        <v>1</v>
      </c>
      <c r="F84" s="141">
        <v>2.4</v>
      </c>
      <c r="G84" s="140">
        <v>0.5</v>
      </c>
      <c r="H84" s="140"/>
      <c r="I84" s="140">
        <f t="shared" si="1"/>
        <v>1.2</v>
      </c>
      <c r="J84" s="156"/>
      <c r="K84" s="483"/>
    </row>
    <row r="85" spans="1:26" s="230" customFormat="1" ht="15" customHeight="1" outlineLevel="1" x14ac:dyDescent="0.25">
      <c r="A85" s="141"/>
      <c r="B85" s="453" t="s">
        <v>534</v>
      </c>
      <c r="C85" s="453"/>
      <c r="D85" s="10" t="s">
        <v>38</v>
      </c>
      <c r="E85" s="140">
        <v>1</v>
      </c>
      <c r="F85" s="141">
        <v>2.95</v>
      </c>
      <c r="G85" s="141">
        <v>0.5</v>
      </c>
      <c r="H85" s="140"/>
      <c r="I85" s="140">
        <f t="shared" si="1"/>
        <v>1.4750000000000001</v>
      </c>
      <c r="J85" s="156"/>
      <c r="K85" s="483"/>
    </row>
    <row r="86" spans="1:26" s="230" customFormat="1" ht="15" customHeight="1" outlineLevel="1" x14ac:dyDescent="0.25">
      <c r="A86" s="141"/>
      <c r="B86" s="453" t="s">
        <v>535</v>
      </c>
      <c r="C86" s="453"/>
      <c r="D86" s="10" t="s">
        <v>38</v>
      </c>
      <c r="E86" s="140">
        <v>1</v>
      </c>
      <c r="F86" s="141">
        <v>3.2</v>
      </c>
      <c r="G86" s="141">
        <v>0.5</v>
      </c>
      <c r="H86" s="140"/>
      <c r="I86" s="140">
        <f t="shared" si="1"/>
        <v>1.6</v>
      </c>
      <c r="J86" s="156"/>
      <c r="K86" s="483"/>
    </row>
    <row r="87" spans="1:26" s="230" customFormat="1" ht="15" customHeight="1" outlineLevel="1" x14ac:dyDescent="0.25">
      <c r="A87" s="141"/>
      <c r="B87" s="453" t="s">
        <v>536</v>
      </c>
      <c r="C87" s="453"/>
      <c r="D87" s="10" t="s">
        <v>38</v>
      </c>
      <c r="E87" s="140">
        <v>1</v>
      </c>
      <c r="F87" s="313">
        <v>5.45</v>
      </c>
      <c r="G87" s="140">
        <v>0.5</v>
      </c>
      <c r="H87" s="140"/>
      <c r="I87" s="140">
        <f t="shared" si="1"/>
        <v>2.7250000000000001</v>
      </c>
      <c r="J87" s="484"/>
      <c r="K87" s="483"/>
    </row>
    <row r="88" spans="1:26" s="230" customFormat="1" ht="15" customHeight="1" outlineLevel="1" x14ac:dyDescent="0.25">
      <c r="A88" s="141"/>
      <c r="B88" s="453" t="s">
        <v>536</v>
      </c>
      <c r="C88" s="453"/>
      <c r="D88" s="10" t="s">
        <v>38</v>
      </c>
      <c r="E88" s="140">
        <v>1</v>
      </c>
      <c r="F88" s="313">
        <v>1.25</v>
      </c>
      <c r="G88" s="140">
        <v>0.5</v>
      </c>
      <c r="H88" s="140"/>
      <c r="I88" s="140">
        <f t="shared" si="1"/>
        <v>0.625</v>
      </c>
      <c r="J88" s="484"/>
      <c r="K88" s="483"/>
    </row>
    <row r="89" spans="1:26" s="230" customFormat="1" ht="15" customHeight="1" outlineLevel="1" x14ac:dyDescent="0.25">
      <c r="A89" s="141"/>
      <c r="B89" s="453" t="s">
        <v>536</v>
      </c>
      <c r="C89" s="453"/>
      <c r="D89" s="10" t="s">
        <v>38</v>
      </c>
      <c r="E89" s="140">
        <v>1</v>
      </c>
      <c r="F89" s="313">
        <v>3.5</v>
      </c>
      <c r="G89" s="140">
        <v>0.5</v>
      </c>
      <c r="H89" s="140"/>
      <c r="I89" s="140">
        <f t="shared" si="1"/>
        <v>1.75</v>
      </c>
      <c r="J89" s="484"/>
      <c r="K89" s="483"/>
    </row>
    <row r="90" spans="1:26" s="230" customFormat="1" ht="15" customHeight="1" outlineLevel="1" x14ac:dyDescent="0.25">
      <c r="A90" s="10"/>
      <c r="B90" s="238"/>
      <c r="C90" s="236"/>
      <c r="D90" s="237"/>
      <c r="E90" s="237"/>
      <c r="F90" s="237"/>
      <c r="G90" s="239"/>
      <c r="H90" s="237"/>
      <c r="I90" s="237"/>
      <c r="J90" s="234"/>
    </row>
    <row r="91" spans="1:26" s="230" customFormat="1" ht="15" customHeight="1" x14ac:dyDescent="0.25">
      <c r="A91" s="231" t="s">
        <v>731</v>
      </c>
      <c r="B91" s="232" t="str">
        <f>+'[1]APUs Casco'!A110</f>
        <v>RELLENO COMPACTADO CON MATERIAL PROPIO</v>
      </c>
      <c r="C91" s="233"/>
      <c r="D91" s="231" t="s">
        <v>37</v>
      </c>
      <c r="E91" s="265"/>
      <c r="F91" s="265"/>
      <c r="G91" s="265"/>
      <c r="H91" s="265"/>
      <c r="I91" s="265"/>
      <c r="J91" s="312">
        <f>SUM(I92:I107)*1.2</f>
        <v>28.584</v>
      </c>
    </row>
    <row r="92" spans="1:26" ht="15" customHeight="1" outlineLevel="1" x14ac:dyDescent="0.25">
      <c r="A92" s="8"/>
      <c r="B92" s="238" t="s">
        <v>391</v>
      </c>
      <c r="C92" s="251"/>
      <c r="D92" s="10" t="s">
        <v>37</v>
      </c>
      <c r="E92" s="237">
        <v>1</v>
      </c>
      <c r="F92" s="237">
        <v>3</v>
      </c>
      <c r="G92" s="237">
        <v>3.25</v>
      </c>
      <c r="H92" s="131">
        <v>1</v>
      </c>
      <c r="I92" s="10">
        <f>PRODUCT(E92:H92)</f>
        <v>9.75</v>
      </c>
      <c r="J92" s="8"/>
      <c r="K92" s="455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" customHeight="1" outlineLevel="1" x14ac:dyDescent="0.25">
      <c r="A93" s="8"/>
      <c r="B93" s="238" t="s">
        <v>392</v>
      </c>
      <c r="C93" s="251"/>
      <c r="D93" s="10" t="s">
        <v>37</v>
      </c>
      <c r="E93" s="237">
        <v>1</v>
      </c>
      <c r="F93" s="237">
        <v>3</v>
      </c>
      <c r="G93" s="237">
        <v>1.2</v>
      </c>
      <c r="H93" s="131">
        <v>1</v>
      </c>
      <c r="I93" s="10">
        <f t="shared" ref="I93:I106" si="2">PRODUCT(E93:H93)</f>
        <v>3.5999999999999996</v>
      </c>
      <c r="J93" s="8"/>
      <c r="K93" s="455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" customHeight="1" outlineLevel="1" x14ac:dyDescent="0.25">
      <c r="A94" s="8"/>
      <c r="B94" s="238" t="s">
        <v>393</v>
      </c>
      <c r="C94" s="251"/>
      <c r="D94" s="10" t="s">
        <v>37</v>
      </c>
      <c r="E94" s="237">
        <v>1</v>
      </c>
      <c r="F94" s="237">
        <v>3.6</v>
      </c>
      <c r="G94" s="237">
        <v>1.2</v>
      </c>
      <c r="H94" s="131">
        <v>1</v>
      </c>
      <c r="I94" s="10">
        <f t="shared" si="2"/>
        <v>4.32</v>
      </c>
      <c r="J94" s="8"/>
      <c r="K94" s="455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s="230" customFormat="1" ht="15" customHeight="1" outlineLevel="1" x14ac:dyDescent="0.25">
      <c r="A95" s="140"/>
      <c r="B95" s="452" t="s">
        <v>527</v>
      </c>
      <c r="C95" s="453"/>
      <c r="D95" s="140" t="s">
        <v>37</v>
      </c>
      <c r="E95" s="140">
        <v>1</v>
      </c>
      <c r="F95" s="313">
        <v>2.2000000000000002</v>
      </c>
      <c r="G95" s="140">
        <v>0.5</v>
      </c>
      <c r="H95" s="140">
        <v>0.4</v>
      </c>
      <c r="I95" s="140">
        <f t="shared" si="2"/>
        <v>0.44000000000000006</v>
      </c>
      <c r="J95" s="454"/>
    </row>
    <row r="96" spans="1:26" s="230" customFormat="1" ht="15" customHeight="1" outlineLevel="1" x14ac:dyDescent="0.25">
      <c r="A96" s="141"/>
      <c r="B96" s="453" t="s">
        <v>528</v>
      </c>
      <c r="C96" s="453"/>
      <c r="D96" s="140" t="s">
        <v>37</v>
      </c>
      <c r="E96" s="140">
        <v>1</v>
      </c>
      <c r="F96" s="141">
        <v>3.95</v>
      </c>
      <c r="G96" s="141">
        <v>0.5</v>
      </c>
      <c r="H96" s="140">
        <v>0.4</v>
      </c>
      <c r="I96" s="140">
        <f t="shared" si="2"/>
        <v>0.79</v>
      </c>
      <c r="J96" s="156"/>
      <c r="K96" s="483"/>
    </row>
    <row r="97" spans="1:11" s="230" customFormat="1" ht="15" customHeight="1" outlineLevel="1" x14ac:dyDescent="0.25">
      <c r="A97" s="141"/>
      <c r="B97" s="453" t="s">
        <v>529</v>
      </c>
      <c r="C97" s="453"/>
      <c r="D97" s="140" t="s">
        <v>37</v>
      </c>
      <c r="E97" s="140">
        <v>1</v>
      </c>
      <c r="F97" s="141">
        <v>2.2000000000000002</v>
      </c>
      <c r="G97" s="141">
        <v>0.5</v>
      </c>
      <c r="H97" s="140">
        <v>0.4</v>
      </c>
      <c r="I97" s="140">
        <f t="shared" si="2"/>
        <v>0.44000000000000006</v>
      </c>
      <c r="J97" s="156"/>
      <c r="K97" s="483"/>
    </row>
    <row r="98" spans="1:11" s="230" customFormat="1" ht="15" customHeight="1" outlineLevel="1" x14ac:dyDescent="0.25">
      <c r="A98" s="141"/>
      <c r="B98" s="453" t="s">
        <v>530</v>
      </c>
      <c r="C98" s="453"/>
      <c r="D98" s="140" t="s">
        <v>37</v>
      </c>
      <c r="E98" s="140">
        <v>1</v>
      </c>
      <c r="F98" s="141">
        <v>1.8</v>
      </c>
      <c r="G98" s="140">
        <v>0.5</v>
      </c>
      <c r="H98" s="140">
        <v>0.4</v>
      </c>
      <c r="I98" s="140">
        <f t="shared" si="2"/>
        <v>0.36000000000000004</v>
      </c>
      <c r="J98" s="156"/>
      <c r="K98" s="483"/>
    </row>
    <row r="99" spans="1:11" s="230" customFormat="1" ht="15" customHeight="1" outlineLevel="1" x14ac:dyDescent="0.25">
      <c r="A99" s="141"/>
      <c r="B99" s="453" t="s">
        <v>531</v>
      </c>
      <c r="C99" s="453"/>
      <c r="D99" s="140" t="s">
        <v>37</v>
      </c>
      <c r="E99" s="140">
        <v>1</v>
      </c>
      <c r="F99" s="141">
        <v>1.2</v>
      </c>
      <c r="G99" s="141">
        <v>0.5</v>
      </c>
      <c r="H99" s="140">
        <v>0.4</v>
      </c>
      <c r="I99" s="140">
        <f t="shared" si="2"/>
        <v>0.24</v>
      </c>
      <c r="J99" s="156"/>
      <c r="K99" s="483"/>
    </row>
    <row r="100" spans="1:11" s="230" customFormat="1" ht="15" customHeight="1" outlineLevel="1" x14ac:dyDescent="0.25">
      <c r="A100" s="141"/>
      <c r="B100" s="453" t="s">
        <v>532</v>
      </c>
      <c r="C100" s="453"/>
      <c r="D100" s="140" t="s">
        <v>37</v>
      </c>
      <c r="E100" s="140">
        <v>1</v>
      </c>
      <c r="F100" s="141">
        <v>0.65</v>
      </c>
      <c r="G100" s="141">
        <v>0.5</v>
      </c>
      <c r="H100" s="140">
        <v>0.4</v>
      </c>
      <c r="I100" s="140">
        <f t="shared" si="2"/>
        <v>0.13</v>
      </c>
      <c r="J100" s="156"/>
      <c r="K100" s="483"/>
    </row>
    <row r="101" spans="1:11" s="230" customFormat="1" ht="15" customHeight="1" outlineLevel="1" x14ac:dyDescent="0.25">
      <c r="A101" s="141"/>
      <c r="B101" s="453" t="s">
        <v>533</v>
      </c>
      <c r="C101" s="453"/>
      <c r="D101" s="140" t="s">
        <v>37</v>
      </c>
      <c r="E101" s="140">
        <v>1</v>
      </c>
      <c r="F101" s="141">
        <v>2.4</v>
      </c>
      <c r="G101" s="140">
        <v>0.5</v>
      </c>
      <c r="H101" s="140">
        <v>0.4</v>
      </c>
      <c r="I101" s="140">
        <f t="shared" si="2"/>
        <v>0.48</v>
      </c>
      <c r="J101" s="156"/>
      <c r="K101" s="483"/>
    </row>
    <row r="102" spans="1:11" s="230" customFormat="1" ht="15" customHeight="1" outlineLevel="1" x14ac:dyDescent="0.25">
      <c r="A102" s="141"/>
      <c r="B102" s="453" t="s">
        <v>534</v>
      </c>
      <c r="C102" s="453"/>
      <c r="D102" s="140" t="s">
        <v>37</v>
      </c>
      <c r="E102" s="140">
        <v>1</v>
      </c>
      <c r="F102" s="141">
        <v>2.95</v>
      </c>
      <c r="G102" s="141">
        <v>0.5</v>
      </c>
      <c r="H102" s="140">
        <v>0.4</v>
      </c>
      <c r="I102" s="140">
        <f t="shared" si="2"/>
        <v>0.59000000000000008</v>
      </c>
      <c r="J102" s="156"/>
      <c r="K102" s="483"/>
    </row>
    <row r="103" spans="1:11" s="230" customFormat="1" ht="15" customHeight="1" outlineLevel="1" x14ac:dyDescent="0.25">
      <c r="A103" s="141"/>
      <c r="B103" s="453" t="s">
        <v>535</v>
      </c>
      <c r="C103" s="453"/>
      <c r="D103" s="141" t="s">
        <v>37</v>
      </c>
      <c r="E103" s="140">
        <v>1</v>
      </c>
      <c r="F103" s="141">
        <v>3.2</v>
      </c>
      <c r="G103" s="141">
        <v>0.5</v>
      </c>
      <c r="H103" s="140">
        <v>0.4</v>
      </c>
      <c r="I103" s="140">
        <f t="shared" si="2"/>
        <v>0.64000000000000012</v>
      </c>
      <c r="J103" s="156"/>
      <c r="K103" s="483"/>
    </row>
    <row r="104" spans="1:11" s="230" customFormat="1" ht="15" customHeight="1" outlineLevel="1" x14ac:dyDescent="0.25">
      <c r="A104" s="141"/>
      <c r="B104" s="453" t="s">
        <v>536</v>
      </c>
      <c r="C104" s="453"/>
      <c r="D104" s="140" t="s">
        <v>37</v>
      </c>
      <c r="E104" s="140">
        <v>1</v>
      </c>
      <c r="F104" s="313">
        <v>5.45</v>
      </c>
      <c r="G104" s="140">
        <v>0.5</v>
      </c>
      <c r="H104" s="140">
        <v>0.4</v>
      </c>
      <c r="I104" s="140">
        <f t="shared" si="2"/>
        <v>1.0900000000000001</v>
      </c>
      <c r="J104" s="484"/>
      <c r="K104" s="483"/>
    </row>
    <row r="105" spans="1:11" s="230" customFormat="1" ht="15" customHeight="1" outlineLevel="1" x14ac:dyDescent="0.25">
      <c r="A105" s="141"/>
      <c r="B105" s="453" t="s">
        <v>536</v>
      </c>
      <c r="C105" s="453"/>
      <c r="D105" s="140" t="s">
        <v>37</v>
      </c>
      <c r="E105" s="140">
        <v>1</v>
      </c>
      <c r="F105" s="313">
        <v>1.25</v>
      </c>
      <c r="G105" s="140">
        <v>0.5</v>
      </c>
      <c r="H105" s="140">
        <v>0.4</v>
      </c>
      <c r="I105" s="140">
        <f t="shared" si="2"/>
        <v>0.25</v>
      </c>
      <c r="J105" s="484"/>
      <c r="K105" s="483"/>
    </row>
    <row r="106" spans="1:11" s="230" customFormat="1" ht="15" customHeight="1" outlineLevel="1" x14ac:dyDescent="0.25">
      <c r="A106" s="141"/>
      <c r="B106" s="453" t="s">
        <v>536</v>
      </c>
      <c r="C106" s="453"/>
      <c r="D106" s="140" t="s">
        <v>37</v>
      </c>
      <c r="E106" s="140">
        <v>1</v>
      </c>
      <c r="F106" s="313">
        <v>3.5</v>
      </c>
      <c r="G106" s="140">
        <v>0.5</v>
      </c>
      <c r="H106" s="140">
        <v>0.4</v>
      </c>
      <c r="I106" s="140">
        <f t="shared" si="2"/>
        <v>0.70000000000000007</v>
      </c>
      <c r="J106" s="484"/>
      <c r="K106" s="483"/>
    </row>
    <row r="107" spans="1:11" s="230" customFormat="1" ht="15" customHeight="1" outlineLevel="1" x14ac:dyDescent="0.25">
      <c r="A107" s="234"/>
      <c r="B107" s="238"/>
      <c r="C107" s="236"/>
      <c r="D107" s="141"/>
      <c r="E107" s="237"/>
      <c r="F107" s="141"/>
      <c r="G107" s="237"/>
      <c r="H107" s="237"/>
      <c r="I107" s="10"/>
      <c r="J107" s="234"/>
    </row>
    <row r="108" spans="1:11" s="230" customFormat="1" ht="15" customHeight="1" x14ac:dyDescent="0.25">
      <c r="A108" s="231" t="s">
        <v>732</v>
      </c>
      <c r="B108" s="232" t="str">
        <f>+'[1]APUs Casco'!A144</f>
        <v>ELIMINACION DE MATERIAL CON MAQUINARIA</v>
      </c>
      <c r="C108" s="233"/>
      <c r="D108" s="231" t="s">
        <v>37</v>
      </c>
      <c r="E108" s="265"/>
      <c r="F108" s="265"/>
      <c r="G108" s="265"/>
      <c r="H108" s="265"/>
      <c r="I108" s="265"/>
      <c r="J108" s="312">
        <f>+G110</f>
        <v>54.704999999999998</v>
      </c>
    </row>
    <row r="109" spans="1:11" s="230" customFormat="1" ht="15" hidden="1" customHeight="1" outlineLevel="1" x14ac:dyDescent="0.25">
      <c r="A109" s="10"/>
      <c r="B109" s="238" t="s">
        <v>370</v>
      </c>
      <c r="C109" s="236"/>
      <c r="D109" s="237"/>
      <c r="E109" s="237"/>
      <c r="F109" s="237"/>
      <c r="G109" s="237"/>
      <c r="H109" s="237"/>
      <c r="I109" s="237"/>
      <c r="J109" s="234"/>
    </row>
    <row r="110" spans="1:11" s="230" customFormat="1" ht="15" hidden="1" customHeight="1" outlineLevel="1" x14ac:dyDescent="0.25">
      <c r="A110" s="10"/>
      <c r="B110" s="236" t="s">
        <v>39</v>
      </c>
      <c r="C110" s="236"/>
      <c r="D110" s="237" t="s">
        <v>37</v>
      </c>
      <c r="E110" s="237">
        <v>1</v>
      </c>
      <c r="F110" s="237" t="s">
        <v>372</v>
      </c>
      <c r="G110" s="237">
        <f>+J57</f>
        <v>54.704999999999998</v>
      </c>
      <c r="H110" s="237">
        <v>1.5</v>
      </c>
      <c r="I110" s="10">
        <f>PRODUCT(E110:H110)</f>
        <v>82.057500000000005</v>
      </c>
      <c r="J110" s="234"/>
    </row>
    <row r="111" spans="1:11" s="230" customFormat="1" ht="15" hidden="1" customHeight="1" outlineLevel="1" x14ac:dyDescent="0.25">
      <c r="A111" s="10"/>
      <c r="B111" s="236"/>
      <c r="C111" s="236"/>
      <c r="D111" s="237"/>
      <c r="E111" s="237"/>
      <c r="F111" s="237"/>
      <c r="G111" s="237"/>
      <c r="H111" s="237"/>
      <c r="I111" s="237"/>
      <c r="J111" s="234"/>
    </row>
    <row r="112" spans="1:11" s="230" customFormat="1" ht="15" customHeight="1" collapsed="1" x14ac:dyDescent="0.25">
      <c r="A112" s="231" t="s">
        <v>733</v>
      </c>
      <c r="B112" s="232" t="str">
        <f>+'[1]APUs Casco'!A153</f>
        <v>NIVELACION DE TERRENO Y APISONADO C/20 CM.</v>
      </c>
      <c r="C112" s="233"/>
      <c r="D112" s="231" t="s">
        <v>38</v>
      </c>
      <c r="E112" s="265"/>
      <c r="F112" s="265"/>
      <c r="G112" s="265"/>
      <c r="H112" s="265"/>
      <c r="I112" s="265"/>
      <c r="J112" s="312">
        <f>SUM(I113:I115)</f>
        <v>150</v>
      </c>
    </row>
    <row r="113" spans="1:26" s="230" customFormat="1" ht="15" hidden="1" customHeight="1" outlineLevel="1" x14ac:dyDescent="0.25">
      <c r="A113" s="234"/>
      <c r="B113" s="238" t="s">
        <v>373</v>
      </c>
      <c r="C113" s="236"/>
      <c r="D113" s="237"/>
      <c r="E113" s="237"/>
      <c r="F113" s="237"/>
      <c r="G113" s="237"/>
      <c r="H113" s="237"/>
      <c r="I113" s="237"/>
      <c r="J113" s="234"/>
    </row>
    <row r="114" spans="1:26" s="230" customFormat="1" ht="15" hidden="1" customHeight="1" outlineLevel="1" x14ac:dyDescent="0.25">
      <c r="A114" s="240"/>
      <c r="B114" s="235"/>
      <c r="C114" s="236" t="s">
        <v>374</v>
      </c>
      <c r="D114" s="237" t="s">
        <v>38</v>
      </c>
      <c r="E114" s="237">
        <v>1</v>
      </c>
      <c r="F114" s="313" t="s">
        <v>55</v>
      </c>
      <c r="G114" s="237">
        <v>150</v>
      </c>
      <c r="H114" s="266"/>
      <c r="I114" s="237">
        <f>PRODUCT(E114:H114)</f>
        <v>150</v>
      </c>
      <c r="J114" s="234"/>
    </row>
    <row r="115" spans="1:26" s="230" customFormat="1" ht="15" hidden="1" customHeight="1" outlineLevel="1" x14ac:dyDescent="0.25">
      <c r="A115" s="234"/>
      <c r="B115" s="238"/>
      <c r="C115" s="236"/>
      <c r="D115" s="237"/>
      <c r="E115" s="237"/>
      <c r="F115" s="237"/>
      <c r="G115" s="237"/>
      <c r="H115" s="237"/>
      <c r="I115" s="237"/>
      <c r="J115" s="234"/>
    </row>
    <row r="116" spans="1:26" ht="15" customHeight="1" collapsed="1" x14ac:dyDescent="0.25">
      <c r="A116" s="5" t="s">
        <v>347</v>
      </c>
      <c r="B116" s="489" t="s">
        <v>317</v>
      </c>
      <c r="C116" s="126"/>
      <c r="D116" s="6"/>
      <c r="E116" s="263"/>
      <c r="F116" s="263"/>
      <c r="G116" s="263"/>
      <c r="H116" s="263"/>
      <c r="I116" s="263"/>
      <c r="J116" s="314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" customHeight="1" collapsed="1" x14ac:dyDescent="0.25">
      <c r="A117" s="241" t="s">
        <v>476</v>
      </c>
      <c r="B117" s="242" t="s">
        <v>776</v>
      </c>
      <c r="C117" s="243"/>
      <c r="D117" s="244"/>
      <c r="E117" s="264"/>
      <c r="F117" s="264"/>
      <c r="G117" s="264"/>
      <c r="H117" s="264"/>
      <c r="I117" s="264"/>
      <c r="J117" s="315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" customHeight="1" x14ac:dyDescent="0.25">
      <c r="A118" s="259" t="s">
        <v>338</v>
      </c>
      <c r="B118" s="260" t="s">
        <v>340</v>
      </c>
      <c r="C118" s="261"/>
      <c r="D118" s="262"/>
      <c r="E118" s="267"/>
      <c r="F118" s="267"/>
      <c r="G118" s="267"/>
      <c r="H118" s="267"/>
      <c r="I118" s="267"/>
      <c r="J118" s="316"/>
      <c r="K118" s="455"/>
      <c r="L118" s="455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s="230" customFormat="1" ht="15" customHeight="1" collapsed="1" x14ac:dyDescent="0.25">
      <c r="A119" s="231" t="s">
        <v>348</v>
      </c>
      <c r="B119" s="232" t="s">
        <v>512</v>
      </c>
      <c r="C119" s="233"/>
      <c r="D119" s="231" t="s">
        <v>38</v>
      </c>
      <c r="E119" s="265"/>
      <c r="F119" s="265"/>
      <c r="G119" s="265"/>
      <c r="H119" s="265"/>
      <c r="I119" s="265"/>
      <c r="J119" s="312">
        <f>SUM(I120:I123)</f>
        <v>17.670000000000002</v>
      </c>
      <c r="K119" s="449" t="s">
        <v>470</v>
      </c>
      <c r="L119" s="456"/>
    </row>
    <row r="120" spans="1:26" s="230" customFormat="1" ht="15" hidden="1" customHeight="1" outlineLevel="1" x14ac:dyDescent="0.25">
      <c r="A120" s="237"/>
      <c r="B120" s="238" t="s">
        <v>391</v>
      </c>
      <c r="C120" s="251"/>
      <c r="D120" s="10" t="s">
        <v>38</v>
      </c>
      <c r="E120" s="237">
        <v>1</v>
      </c>
      <c r="F120" s="237">
        <v>3</v>
      </c>
      <c r="G120" s="237">
        <v>3.25</v>
      </c>
      <c r="H120" s="131"/>
      <c r="I120" s="10">
        <f>PRODUCT(E120:H120)</f>
        <v>9.75</v>
      </c>
      <c r="J120" s="234"/>
      <c r="K120" s="456"/>
      <c r="L120" s="456"/>
    </row>
    <row r="121" spans="1:26" ht="15" hidden="1" customHeight="1" outlineLevel="1" x14ac:dyDescent="0.25">
      <c r="A121" s="10"/>
      <c r="B121" s="238" t="s">
        <v>392</v>
      </c>
      <c r="C121" s="251"/>
      <c r="D121" s="10" t="s">
        <v>38</v>
      </c>
      <c r="E121" s="237">
        <v>1</v>
      </c>
      <c r="F121" s="237">
        <v>3</v>
      </c>
      <c r="G121" s="237">
        <v>1.2</v>
      </c>
      <c r="H121" s="131"/>
      <c r="I121" s="10">
        <f>PRODUCT(E121:H121)</f>
        <v>3.5999999999999996</v>
      </c>
      <c r="J121" s="8"/>
      <c r="K121" s="455"/>
      <c r="L121" s="455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" hidden="1" customHeight="1" outlineLevel="1" x14ac:dyDescent="0.25">
      <c r="A122" s="10"/>
      <c r="B122" s="238" t="s">
        <v>393</v>
      </c>
      <c r="C122" s="251"/>
      <c r="D122" s="10" t="s">
        <v>38</v>
      </c>
      <c r="E122" s="237">
        <v>1</v>
      </c>
      <c r="F122" s="237">
        <v>3.6</v>
      </c>
      <c r="G122" s="237">
        <v>1.2</v>
      </c>
      <c r="H122" s="131"/>
      <c r="I122" s="10">
        <f>PRODUCT(E122:H122)</f>
        <v>4.32</v>
      </c>
      <c r="J122" s="8"/>
      <c r="K122" s="455"/>
      <c r="L122" s="455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" hidden="1" customHeight="1" outlineLevel="1" x14ac:dyDescent="0.25">
      <c r="A123" s="10"/>
      <c r="B123" s="238"/>
      <c r="C123" s="251"/>
      <c r="D123" s="10"/>
      <c r="E123" s="237"/>
      <c r="F123" s="237"/>
      <c r="G123" s="237"/>
      <c r="H123" s="131"/>
      <c r="I123" s="10"/>
      <c r="J123" s="8"/>
      <c r="K123" s="455"/>
      <c r="L123" s="455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s="230" customFormat="1" ht="15" customHeight="1" collapsed="1" x14ac:dyDescent="0.25">
      <c r="A124" s="259" t="s">
        <v>510</v>
      </c>
      <c r="B124" s="806" t="s">
        <v>244</v>
      </c>
      <c r="C124" s="807"/>
      <c r="D124" s="379"/>
      <c r="E124" s="380"/>
      <c r="F124" s="380"/>
      <c r="G124" s="380"/>
      <c r="H124" s="380"/>
      <c r="I124" s="267"/>
      <c r="J124" s="316"/>
      <c r="L124" s="456"/>
    </row>
    <row r="125" spans="1:26" ht="15" customHeight="1" x14ac:dyDescent="0.25">
      <c r="A125" s="231" t="s">
        <v>511</v>
      </c>
      <c r="B125" s="804" t="s">
        <v>403</v>
      </c>
      <c r="C125" s="805"/>
      <c r="D125" s="231" t="s">
        <v>37</v>
      </c>
      <c r="E125" s="265"/>
      <c r="F125" s="265"/>
      <c r="G125" s="265"/>
      <c r="H125" s="265"/>
      <c r="I125" s="265"/>
      <c r="J125" s="312">
        <f>SUM(I126:I138)</f>
        <v>18.450000000000003</v>
      </c>
      <c r="K125" s="449" t="s">
        <v>470</v>
      </c>
      <c r="L125" s="455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s="230" customFormat="1" ht="15" customHeight="1" outlineLevel="1" x14ac:dyDescent="0.25">
      <c r="A126" s="140"/>
      <c r="B126" s="452" t="s">
        <v>527</v>
      </c>
      <c r="C126" s="453"/>
      <c r="D126" s="140" t="s">
        <v>37</v>
      </c>
      <c r="E126" s="140">
        <v>1</v>
      </c>
      <c r="F126" s="313">
        <v>2.2000000000000002</v>
      </c>
      <c r="G126" s="140">
        <v>0.5</v>
      </c>
      <c r="H126" s="140">
        <v>1.2</v>
      </c>
      <c r="I126" s="140">
        <f t="shared" ref="I126:I132" si="3">PRODUCT(E126:H126)</f>
        <v>1.32</v>
      </c>
      <c r="J126" s="454"/>
    </row>
    <row r="127" spans="1:26" s="230" customFormat="1" ht="15" customHeight="1" outlineLevel="1" x14ac:dyDescent="0.25">
      <c r="A127" s="141"/>
      <c r="B127" s="453" t="s">
        <v>528</v>
      </c>
      <c r="C127" s="453"/>
      <c r="D127" s="140" t="s">
        <v>37</v>
      </c>
      <c r="E127" s="140">
        <v>1</v>
      </c>
      <c r="F127" s="141">
        <v>3.95</v>
      </c>
      <c r="G127" s="141">
        <v>0.5</v>
      </c>
      <c r="H127" s="140">
        <v>1.2</v>
      </c>
      <c r="I127" s="140">
        <f t="shared" si="3"/>
        <v>2.37</v>
      </c>
      <c r="J127" s="156"/>
      <c r="K127" s="483"/>
    </row>
    <row r="128" spans="1:26" s="230" customFormat="1" ht="15" customHeight="1" outlineLevel="1" x14ac:dyDescent="0.25">
      <c r="A128" s="141"/>
      <c r="B128" s="452" t="s">
        <v>529</v>
      </c>
      <c r="C128" s="453"/>
      <c r="D128" s="140" t="s">
        <v>37</v>
      </c>
      <c r="E128" s="140">
        <v>1</v>
      </c>
      <c r="F128" s="141">
        <v>2.2000000000000002</v>
      </c>
      <c r="G128" s="141">
        <v>0.5</v>
      </c>
      <c r="H128" s="140">
        <v>1.2</v>
      </c>
      <c r="I128" s="140">
        <f t="shared" si="3"/>
        <v>1.32</v>
      </c>
      <c r="J128" s="156"/>
      <c r="K128" s="483"/>
    </row>
    <row r="129" spans="1:26" s="230" customFormat="1" ht="15" customHeight="1" outlineLevel="1" x14ac:dyDescent="0.25">
      <c r="A129" s="141"/>
      <c r="B129" s="453" t="s">
        <v>530</v>
      </c>
      <c r="C129" s="453"/>
      <c r="D129" s="140" t="s">
        <v>37</v>
      </c>
      <c r="E129" s="140">
        <v>1</v>
      </c>
      <c r="F129" s="141">
        <v>1.8</v>
      </c>
      <c r="G129" s="140">
        <v>0.5</v>
      </c>
      <c r="H129" s="140">
        <v>1.2</v>
      </c>
      <c r="I129" s="140">
        <f t="shared" si="3"/>
        <v>1.08</v>
      </c>
      <c r="J129" s="156"/>
      <c r="K129" s="483"/>
    </row>
    <row r="130" spans="1:26" s="230" customFormat="1" ht="15" customHeight="1" outlineLevel="1" x14ac:dyDescent="0.25">
      <c r="A130" s="141"/>
      <c r="B130" s="452" t="s">
        <v>531</v>
      </c>
      <c r="C130" s="453"/>
      <c r="D130" s="140" t="s">
        <v>37</v>
      </c>
      <c r="E130" s="140">
        <v>1</v>
      </c>
      <c r="F130" s="141">
        <v>1.2</v>
      </c>
      <c r="G130" s="141">
        <v>0.5</v>
      </c>
      <c r="H130" s="140">
        <v>1.2</v>
      </c>
      <c r="I130" s="140">
        <f t="shared" si="3"/>
        <v>0.72</v>
      </c>
      <c r="J130" s="156"/>
      <c r="K130" s="483"/>
    </row>
    <row r="131" spans="1:26" s="230" customFormat="1" ht="15" customHeight="1" outlineLevel="1" x14ac:dyDescent="0.25">
      <c r="A131" s="141"/>
      <c r="B131" s="453" t="s">
        <v>532</v>
      </c>
      <c r="C131" s="453"/>
      <c r="D131" s="140" t="s">
        <v>37</v>
      </c>
      <c r="E131" s="140">
        <v>1</v>
      </c>
      <c r="F131" s="141">
        <v>0.65</v>
      </c>
      <c r="G131" s="141">
        <v>0.5</v>
      </c>
      <c r="H131" s="140">
        <v>1.2</v>
      </c>
      <c r="I131" s="140">
        <f t="shared" si="3"/>
        <v>0.39</v>
      </c>
      <c r="J131" s="156"/>
      <c r="K131" s="483"/>
    </row>
    <row r="132" spans="1:26" s="230" customFormat="1" ht="15" customHeight="1" outlineLevel="1" x14ac:dyDescent="0.25">
      <c r="A132" s="141"/>
      <c r="B132" s="452" t="s">
        <v>533</v>
      </c>
      <c r="C132" s="453"/>
      <c r="D132" s="140" t="s">
        <v>37</v>
      </c>
      <c r="E132" s="140">
        <v>1</v>
      </c>
      <c r="F132" s="141">
        <v>2.4</v>
      </c>
      <c r="G132" s="140">
        <v>0.5</v>
      </c>
      <c r="H132" s="140">
        <v>1.2</v>
      </c>
      <c r="I132" s="140">
        <f t="shared" si="3"/>
        <v>1.44</v>
      </c>
      <c r="J132" s="156"/>
      <c r="K132" s="483"/>
    </row>
    <row r="133" spans="1:26" s="230" customFormat="1" ht="15" customHeight="1" outlineLevel="1" x14ac:dyDescent="0.25">
      <c r="A133" s="141"/>
      <c r="B133" s="453" t="s">
        <v>534</v>
      </c>
      <c r="C133" s="453"/>
      <c r="D133" s="140" t="s">
        <v>37</v>
      </c>
      <c r="E133" s="140">
        <v>1</v>
      </c>
      <c r="F133" s="141">
        <v>2.95</v>
      </c>
      <c r="G133" s="141">
        <v>0.5</v>
      </c>
      <c r="H133" s="140">
        <v>1.2</v>
      </c>
      <c r="I133" s="140">
        <f>PRODUCT(E133:H133)</f>
        <v>1.77</v>
      </c>
      <c r="J133" s="156"/>
      <c r="K133" s="483"/>
    </row>
    <row r="134" spans="1:26" s="230" customFormat="1" ht="15" customHeight="1" outlineLevel="1" x14ac:dyDescent="0.25">
      <c r="A134" s="141"/>
      <c r="B134" s="452" t="s">
        <v>535</v>
      </c>
      <c r="C134" s="453"/>
      <c r="D134" s="141" t="s">
        <v>37</v>
      </c>
      <c r="E134" s="140">
        <v>1</v>
      </c>
      <c r="F134" s="141">
        <v>3.2</v>
      </c>
      <c r="G134" s="141">
        <v>0.5</v>
      </c>
      <c r="H134" s="140">
        <v>1.2</v>
      </c>
      <c r="I134" s="140">
        <f>PRODUCT(E134:H134)</f>
        <v>1.92</v>
      </c>
      <c r="J134" s="156"/>
      <c r="K134" s="483"/>
    </row>
    <row r="135" spans="1:26" s="230" customFormat="1" ht="15" customHeight="1" outlineLevel="1" x14ac:dyDescent="0.25">
      <c r="A135" s="141"/>
      <c r="B135" s="453" t="s">
        <v>536</v>
      </c>
      <c r="C135" s="453"/>
      <c r="D135" s="140" t="s">
        <v>37</v>
      </c>
      <c r="E135" s="140">
        <v>1</v>
      </c>
      <c r="F135" s="313">
        <v>5.45</v>
      </c>
      <c r="G135" s="140">
        <v>0.5</v>
      </c>
      <c r="H135" s="140">
        <v>1.2</v>
      </c>
      <c r="I135" s="140">
        <f>PRODUCT(E135:H135)</f>
        <v>3.27</v>
      </c>
      <c r="J135" s="484"/>
      <c r="K135" s="483"/>
    </row>
    <row r="136" spans="1:26" s="230" customFormat="1" ht="15" customHeight="1" outlineLevel="1" x14ac:dyDescent="0.25">
      <c r="A136" s="141"/>
      <c r="B136" s="452" t="s">
        <v>783</v>
      </c>
      <c r="C136" s="453"/>
      <c r="D136" s="140" t="s">
        <v>37</v>
      </c>
      <c r="E136" s="140">
        <v>1</v>
      </c>
      <c r="F136" s="313">
        <v>1.25</v>
      </c>
      <c r="G136" s="140">
        <v>0.5</v>
      </c>
      <c r="H136" s="140">
        <v>1.2</v>
      </c>
      <c r="I136" s="140">
        <f>PRODUCT(E136:H136)</f>
        <v>0.75</v>
      </c>
      <c r="J136" s="484"/>
      <c r="K136" s="483"/>
    </row>
    <row r="137" spans="1:26" s="230" customFormat="1" ht="15" customHeight="1" outlineLevel="1" x14ac:dyDescent="0.25">
      <c r="A137" s="141"/>
      <c r="B137" s="453" t="s">
        <v>784</v>
      </c>
      <c r="C137" s="453"/>
      <c r="D137" s="140" t="s">
        <v>37</v>
      </c>
      <c r="E137" s="140">
        <v>1</v>
      </c>
      <c r="F137" s="313">
        <v>3.5</v>
      </c>
      <c r="G137" s="140">
        <v>0.5</v>
      </c>
      <c r="H137" s="140">
        <v>1.2</v>
      </c>
      <c r="I137" s="140">
        <f>PRODUCT(E137:H137)</f>
        <v>2.1</v>
      </c>
      <c r="J137" s="484"/>
      <c r="K137" s="483"/>
    </row>
    <row r="138" spans="1:26" s="230" customFormat="1" ht="15" customHeight="1" outlineLevel="1" x14ac:dyDescent="0.25">
      <c r="A138" s="172"/>
      <c r="B138" s="238"/>
      <c r="C138" s="485"/>
      <c r="D138" s="141"/>
      <c r="E138" s="141"/>
      <c r="F138" s="141"/>
      <c r="G138" s="141"/>
      <c r="H138" s="141"/>
      <c r="I138" s="141"/>
      <c r="J138" s="156"/>
    </row>
    <row r="139" spans="1:26" s="230" customFormat="1" ht="15" customHeight="1" x14ac:dyDescent="0.25">
      <c r="A139" s="259" t="s">
        <v>734</v>
      </c>
      <c r="B139" s="260" t="s">
        <v>243</v>
      </c>
      <c r="C139" s="261"/>
      <c r="D139" s="262"/>
      <c r="E139" s="267"/>
      <c r="F139" s="267"/>
      <c r="G139" s="267"/>
      <c r="H139" s="267"/>
      <c r="I139" s="267"/>
      <c r="J139" s="316"/>
    </row>
    <row r="140" spans="1:26" ht="15" customHeight="1" x14ac:dyDescent="0.25">
      <c r="A140" s="231" t="s">
        <v>735</v>
      </c>
      <c r="B140" s="232" t="s">
        <v>407</v>
      </c>
      <c r="C140" s="233"/>
      <c r="D140" s="231" t="s">
        <v>37</v>
      </c>
      <c r="E140" s="265"/>
      <c r="F140" s="265"/>
      <c r="G140" s="265"/>
      <c r="H140" s="265"/>
      <c r="I140" s="265"/>
      <c r="J140" s="312">
        <f>SUM(I141:I153)</f>
        <v>2.7487500000000002</v>
      </c>
      <c r="K140" s="449" t="s">
        <v>470</v>
      </c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s="230" customFormat="1" ht="15" hidden="1" customHeight="1" outlineLevel="1" x14ac:dyDescent="0.25">
      <c r="A141" s="140"/>
      <c r="B141" s="452" t="s">
        <v>527</v>
      </c>
      <c r="C141" s="453"/>
      <c r="D141" s="140" t="s">
        <v>37</v>
      </c>
      <c r="E141" s="140">
        <v>1</v>
      </c>
      <c r="F141" s="313">
        <f>+F126</f>
        <v>2.2000000000000002</v>
      </c>
      <c r="G141" s="140">
        <v>0.15</v>
      </c>
      <c r="H141" s="140">
        <v>0.65</v>
      </c>
      <c r="I141" s="140">
        <f t="shared" ref="I141:I147" si="4">PRODUCT(E141:H141)</f>
        <v>0.21450000000000002</v>
      </c>
      <c r="J141" s="454"/>
    </row>
    <row r="142" spans="1:26" s="230" customFormat="1" ht="15" hidden="1" customHeight="1" outlineLevel="1" x14ac:dyDescent="0.25">
      <c r="A142" s="141"/>
      <c r="B142" s="453" t="s">
        <v>528</v>
      </c>
      <c r="C142" s="453"/>
      <c r="D142" s="140" t="s">
        <v>37</v>
      </c>
      <c r="E142" s="140">
        <v>1</v>
      </c>
      <c r="F142" s="313">
        <f t="shared" ref="F142:F152" si="5">+F127</f>
        <v>3.95</v>
      </c>
      <c r="G142" s="141">
        <v>0.15</v>
      </c>
      <c r="H142" s="141">
        <v>0.65</v>
      </c>
      <c r="I142" s="140">
        <f t="shared" si="4"/>
        <v>0.38512500000000005</v>
      </c>
      <c r="J142" s="156"/>
      <c r="K142" s="483"/>
    </row>
    <row r="143" spans="1:26" s="230" customFormat="1" ht="15" hidden="1" customHeight="1" outlineLevel="1" x14ac:dyDescent="0.25">
      <c r="A143" s="141"/>
      <c r="B143" s="452" t="s">
        <v>529</v>
      </c>
      <c r="C143" s="453"/>
      <c r="D143" s="140" t="s">
        <v>37</v>
      </c>
      <c r="E143" s="140">
        <v>1</v>
      </c>
      <c r="F143" s="313">
        <f t="shared" si="5"/>
        <v>2.2000000000000002</v>
      </c>
      <c r="G143" s="141">
        <v>0.15</v>
      </c>
      <c r="H143" s="141">
        <v>0.65</v>
      </c>
      <c r="I143" s="140">
        <f t="shared" si="4"/>
        <v>0.21450000000000002</v>
      </c>
      <c r="J143" s="156"/>
      <c r="K143" s="483"/>
    </row>
    <row r="144" spans="1:26" s="230" customFormat="1" ht="15" hidden="1" customHeight="1" outlineLevel="1" x14ac:dyDescent="0.25">
      <c r="A144" s="141"/>
      <c r="B144" s="453" t="s">
        <v>530</v>
      </c>
      <c r="C144" s="453"/>
      <c r="D144" s="140" t="s">
        <v>37</v>
      </c>
      <c r="E144" s="140">
        <v>1</v>
      </c>
      <c r="F144" s="313">
        <f t="shared" si="5"/>
        <v>1.8</v>
      </c>
      <c r="G144" s="140">
        <v>0.15</v>
      </c>
      <c r="H144" s="140">
        <v>0.65</v>
      </c>
      <c r="I144" s="140">
        <f t="shared" si="4"/>
        <v>0.17550000000000002</v>
      </c>
      <c r="J144" s="156"/>
      <c r="K144" s="483"/>
    </row>
    <row r="145" spans="1:26" s="230" customFormat="1" ht="15" hidden="1" customHeight="1" outlineLevel="1" x14ac:dyDescent="0.25">
      <c r="A145" s="141"/>
      <c r="B145" s="452" t="s">
        <v>531</v>
      </c>
      <c r="C145" s="453"/>
      <c r="D145" s="140" t="s">
        <v>37</v>
      </c>
      <c r="E145" s="140">
        <v>1</v>
      </c>
      <c r="F145" s="313">
        <f t="shared" si="5"/>
        <v>1.2</v>
      </c>
      <c r="G145" s="141">
        <v>0.15</v>
      </c>
      <c r="H145" s="141">
        <v>0.65</v>
      </c>
      <c r="I145" s="140">
        <f t="shared" si="4"/>
        <v>0.11699999999999999</v>
      </c>
      <c r="J145" s="156"/>
      <c r="K145" s="483"/>
    </row>
    <row r="146" spans="1:26" s="230" customFormat="1" ht="15" hidden="1" customHeight="1" outlineLevel="1" x14ac:dyDescent="0.25">
      <c r="A146" s="141"/>
      <c r="B146" s="453" t="s">
        <v>532</v>
      </c>
      <c r="C146" s="453"/>
      <c r="D146" s="140" t="s">
        <v>37</v>
      </c>
      <c r="E146" s="140">
        <v>1</v>
      </c>
      <c r="F146" s="313">
        <f t="shared" si="5"/>
        <v>0.65</v>
      </c>
      <c r="G146" s="141">
        <v>0.15</v>
      </c>
      <c r="H146" s="141">
        <v>0.65</v>
      </c>
      <c r="I146" s="140">
        <f t="shared" si="4"/>
        <v>6.3375000000000001E-2</v>
      </c>
      <c r="J146" s="156"/>
      <c r="K146" s="483"/>
    </row>
    <row r="147" spans="1:26" s="230" customFormat="1" ht="15" hidden="1" customHeight="1" outlineLevel="1" x14ac:dyDescent="0.25">
      <c r="A147" s="141"/>
      <c r="B147" s="452" t="s">
        <v>533</v>
      </c>
      <c r="C147" s="453"/>
      <c r="D147" s="140" t="s">
        <v>37</v>
      </c>
      <c r="E147" s="140">
        <v>1</v>
      </c>
      <c r="F147" s="313">
        <f t="shared" si="5"/>
        <v>2.4</v>
      </c>
      <c r="G147" s="140">
        <v>0.15</v>
      </c>
      <c r="H147" s="140">
        <v>0.65</v>
      </c>
      <c r="I147" s="140">
        <f t="shared" si="4"/>
        <v>0.23399999999999999</v>
      </c>
      <c r="J147" s="156"/>
      <c r="K147" s="483"/>
    </row>
    <row r="148" spans="1:26" s="230" customFormat="1" ht="15" hidden="1" customHeight="1" outlineLevel="1" x14ac:dyDescent="0.25">
      <c r="A148" s="141"/>
      <c r="B148" s="453" t="s">
        <v>534</v>
      </c>
      <c r="C148" s="453"/>
      <c r="D148" s="140" t="s">
        <v>37</v>
      </c>
      <c r="E148" s="140">
        <v>1</v>
      </c>
      <c r="F148" s="313">
        <f t="shared" si="5"/>
        <v>2.95</v>
      </c>
      <c r="G148" s="141">
        <v>0.15</v>
      </c>
      <c r="H148" s="141">
        <v>0.65</v>
      </c>
      <c r="I148" s="140">
        <f>PRODUCT(E148:H148)</f>
        <v>0.28762500000000002</v>
      </c>
      <c r="J148" s="156"/>
      <c r="K148" s="483"/>
    </row>
    <row r="149" spans="1:26" s="230" customFormat="1" ht="15" hidden="1" customHeight="1" outlineLevel="1" x14ac:dyDescent="0.25">
      <c r="A149" s="141"/>
      <c r="B149" s="452" t="s">
        <v>535</v>
      </c>
      <c r="C149" s="453"/>
      <c r="D149" s="141" t="s">
        <v>37</v>
      </c>
      <c r="E149" s="140">
        <v>1</v>
      </c>
      <c r="F149" s="313">
        <f t="shared" si="5"/>
        <v>3.2</v>
      </c>
      <c r="G149" s="141">
        <v>0.15</v>
      </c>
      <c r="H149" s="141">
        <v>0.65</v>
      </c>
      <c r="I149" s="140">
        <f>PRODUCT(E149:H149)</f>
        <v>0.312</v>
      </c>
      <c r="J149" s="156"/>
      <c r="K149" s="483"/>
    </row>
    <row r="150" spans="1:26" s="230" customFormat="1" ht="15" hidden="1" customHeight="1" outlineLevel="1" x14ac:dyDescent="0.25">
      <c r="A150" s="141"/>
      <c r="B150" s="453" t="s">
        <v>536</v>
      </c>
      <c r="C150" s="453"/>
      <c r="D150" s="313" t="s">
        <v>37</v>
      </c>
      <c r="E150" s="140">
        <v>1</v>
      </c>
      <c r="F150" s="313">
        <f t="shared" si="5"/>
        <v>5.45</v>
      </c>
      <c r="G150" s="140">
        <v>0.15</v>
      </c>
      <c r="H150" s="140">
        <v>0.65</v>
      </c>
      <c r="I150" s="140">
        <f>PRODUCT(E150:H150)</f>
        <v>0.53137500000000004</v>
      </c>
      <c r="J150" s="484"/>
      <c r="K150" s="483"/>
    </row>
    <row r="151" spans="1:26" s="230" customFormat="1" ht="15" hidden="1" customHeight="1" outlineLevel="1" x14ac:dyDescent="0.25">
      <c r="A151" s="141"/>
      <c r="B151" s="452" t="s">
        <v>783</v>
      </c>
      <c r="C151" s="453"/>
      <c r="D151" s="140" t="s">
        <v>37</v>
      </c>
      <c r="E151" s="141">
        <v>1</v>
      </c>
      <c r="F151" s="313">
        <f t="shared" si="5"/>
        <v>1.25</v>
      </c>
      <c r="G151" s="141">
        <v>0.15</v>
      </c>
      <c r="H151" s="141">
        <v>0.3</v>
      </c>
      <c r="I151" s="140">
        <f>PRODUCT(E151:H151)</f>
        <v>5.6249999999999994E-2</v>
      </c>
      <c r="J151" s="156"/>
      <c r="K151" s="483"/>
    </row>
    <row r="152" spans="1:26" s="230" customFormat="1" ht="15" hidden="1" customHeight="1" outlineLevel="1" x14ac:dyDescent="0.25">
      <c r="A152" s="141"/>
      <c r="B152" s="453" t="s">
        <v>784</v>
      </c>
      <c r="C152" s="453"/>
      <c r="D152" s="140" t="s">
        <v>37</v>
      </c>
      <c r="E152" s="141">
        <v>1</v>
      </c>
      <c r="F152" s="313">
        <f t="shared" si="5"/>
        <v>3.5</v>
      </c>
      <c r="G152" s="141">
        <v>0.15</v>
      </c>
      <c r="H152" s="141">
        <v>0.3</v>
      </c>
      <c r="I152" s="141">
        <f>PRODUCT(E152:H152)</f>
        <v>0.1575</v>
      </c>
      <c r="J152" s="156"/>
      <c r="K152" s="483"/>
    </row>
    <row r="153" spans="1:26" s="230" customFormat="1" ht="15" hidden="1" customHeight="1" outlineLevel="1" x14ac:dyDescent="0.25">
      <c r="A153" s="172"/>
      <c r="B153" s="238"/>
      <c r="C153" s="485"/>
      <c r="D153" s="141"/>
      <c r="E153" s="141"/>
      <c r="F153" s="141"/>
      <c r="G153" s="141"/>
      <c r="H153" s="141"/>
      <c r="I153" s="141"/>
      <c r="J153" s="156"/>
    </row>
    <row r="154" spans="1:26" s="76" customFormat="1" ht="15" customHeight="1" collapsed="1" x14ac:dyDescent="0.25">
      <c r="A154" s="231" t="s">
        <v>736</v>
      </c>
      <c r="B154" s="232" t="s">
        <v>404</v>
      </c>
      <c r="C154" s="233"/>
      <c r="D154" s="231" t="s">
        <v>38</v>
      </c>
      <c r="E154" s="265"/>
      <c r="F154" s="265"/>
      <c r="G154" s="265"/>
      <c r="H154" s="265"/>
      <c r="I154" s="265"/>
      <c r="J154" s="312">
        <f>SUM(I155:I167)</f>
        <v>36.650000000000006</v>
      </c>
      <c r="K154" s="449" t="s">
        <v>470</v>
      </c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s="230" customFormat="1" ht="15" hidden="1" customHeight="1" outlineLevel="1" x14ac:dyDescent="0.25">
      <c r="A155" s="140"/>
      <c r="B155" s="452" t="s">
        <v>527</v>
      </c>
      <c r="C155" s="453"/>
      <c r="D155" s="140" t="s">
        <v>37</v>
      </c>
      <c r="E155" s="140">
        <v>1</v>
      </c>
      <c r="F155" s="141" t="s">
        <v>44</v>
      </c>
      <c r="G155" s="140">
        <f>+F141*2</f>
        <v>4.4000000000000004</v>
      </c>
      <c r="H155" s="140">
        <v>0.65</v>
      </c>
      <c r="I155" s="140">
        <f t="shared" ref="I155:I161" si="6">PRODUCT(E155:H155)</f>
        <v>2.8600000000000003</v>
      </c>
      <c r="J155" s="454"/>
    </row>
    <row r="156" spans="1:26" s="230" customFormat="1" ht="15" hidden="1" customHeight="1" outlineLevel="1" x14ac:dyDescent="0.25">
      <c r="A156" s="141"/>
      <c r="B156" s="453" t="s">
        <v>528</v>
      </c>
      <c r="C156" s="453"/>
      <c r="D156" s="140" t="s">
        <v>37</v>
      </c>
      <c r="E156" s="140">
        <v>1</v>
      </c>
      <c r="F156" s="141" t="s">
        <v>44</v>
      </c>
      <c r="G156" s="140">
        <f t="shared" ref="G156:G166" si="7">+F142*2</f>
        <v>7.9</v>
      </c>
      <c r="H156" s="141">
        <v>0.65</v>
      </c>
      <c r="I156" s="140">
        <f t="shared" si="6"/>
        <v>5.1350000000000007</v>
      </c>
      <c r="J156" s="156"/>
      <c r="K156" s="483"/>
    </row>
    <row r="157" spans="1:26" s="230" customFormat="1" ht="15" hidden="1" customHeight="1" outlineLevel="1" x14ac:dyDescent="0.25">
      <c r="A157" s="141"/>
      <c r="B157" s="452" t="s">
        <v>529</v>
      </c>
      <c r="C157" s="453"/>
      <c r="D157" s="140" t="s">
        <v>37</v>
      </c>
      <c r="E157" s="140">
        <v>1</v>
      </c>
      <c r="F157" s="141" t="s">
        <v>44</v>
      </c>
      <c r="G157" s="140">
        <f t="shared" si="7"/>
        <v>4.4000000000000004</v>
      </c>
      <c r="H157" s="141">
        <v>0.65</v>
      </c>
      <c r="I157" s="140">
        <f t="shared" si="6"/>
        <v>2.8600000000000003</v>
      </c>
      <c r="J157" s="156"/>
      <c r="K157" s="483"/>
    </row>
    <row r="158" spans="1:26" s="230" customFormat="1" ht="15" hidden="1" customHeight="1" outlineLevel="1" x14ac:dyDescent="0.25">
      <c r="A158" s="141"/>
      <c r="B158" s="453" t="s">
        <v>530</v>
      </c>
      <c r="C158" s="453"/>
      <c r="D158" s="140" t="s">
        <v>37</v>
      </c>
      <c r="E158" s="140">
        <v>1</v>
      </c>
      <c r="F158" s="141" t="s">
        <v>44</v>
      </c>
      <c r="G158" s="140">
        <f t="shared" si="7"/>
        <v>3.6</v>
      </c>
      <c r="H158" s="140">
        <v>0.65</v>
      </c>
      <c r="I158" s="140">
        <f t="shared" si="6"/>
        <v>2.3400000000000003</v>
      </c>
      <c r="J158" s="156"/>
      <c r="K158" s="483"/>
    </row>
    <row r="159" spans="1:26" s="230" customFormat="1" ht="15" hidden="1" customHeight="1" outlineLevel="1" x14ac:dyDescent="0.25">
      <c r="A159" s="141"/>
      <c r="B159" s="452" t="s">
        <v>531</v>
      </c>
      <c r="C159" s="453"/>
      <c r="D159" s="140" t="s">
        <v>37</v>
      </c>
      <c r="E159" s="140">
        <v>1</v>
      </c>
      <c r="F159" s="141" t="s">
        <v>44</v>
      </c>
      <c r="G159" s="140">
        <f t="shared" si="7"/>
        <v>2.4</v>
      </c>
      <c r="H159" s="141">
        <v>0.65</v>
      </c>
      <c r="I159" s="140">
        <f t="shared" si="6"/>
        <v>1.56</v>
      </c>
      <c r="J159" s="156"/>
      <c r="K159" s="483"/>
    </row>
    <row r="160" spans="1:26" s="230" customFormat="1" ht="15" hidden="1" customHeight="1" outlineLevel="1" x14ac:dyDescent="0.25">
      <c r="A160" s="141"/>
      <c r="B160" s="453" t="s">
        <v>532</v>
      </c>
      <c r="C160" s="453"/>
      <c r="D160" s="140" t="s">
        <v>37</v>
      </c>
      <c r="E160" s="140">
        <v>1</v>
      </c>
      <c r="F160" s="141" t="s">
        <v>44</v>
      </c>
      <c r="G160" s="140">
        <f t="shared" si="7"/>
        <v>1.3</v>
      </c>
      <c r="H160" s="141">
        <v>0.65</v>
      </c>
      <c r="I160" s="140">
        <f t="shared" si="6"/>
        <v>0.84500000000000008</v>
      </c>
      <c r="J160" s="156"/>
      <c r="K160" s="483"/>
    </row>
    <row r="161" spans="1:26" s="230" customFormat="1" ht="15" hidden="1" customHeight="1" outlineLevel="1" x14ac:dyDescent="0.25">
      <c r="A161" s="141"/>
      <c r="B161" s="452" t="s">
        <v>533</v>
      </c>
      <c r="C161" s="453"/>
      <c r="D161" s="140" t="s">
        <v>37</v>
      </c>
      <c r="E161" s="140">
        <v>1</v>
      </c>
      <c r="F161" s="141" t="s">
        <v>44</v>
      </c>
      <c r="G161" s="140">
        <f t="shared" si="7"/>
        <v>4.8</v>
      </c>
      <c r="H161" s="140">
        <v>0.65</v>
      </c>
      <c r="I161" s="140">
        <f t="shared" si="6"/>
        <v>3.12</v>
      </c>
      <c r="J161" s="156"/>
      <c r="K161" s="483"/>
    </row>
    <row r="162" spans="1:26" s="230" customFormat="1" ht="15" hidden="1" customHeight="1" outlineLevel="1" x14ac:dyDescent="0.25">
      <c r="A162" s="141"/>
      <c r="B162" s="453" t="s">
        <v>534</v>
      </c>
      <c r="C162" s="453"/>
      <c r="D162" s="140" t="s">
        <v>37</v>
      </c>
      <c r="E162" s="140">
        <v>1</v>
      </c>
      <c r="F162" s="141" t="s">
        <v>44</v>
      </c>
      <c r="G162" s="140">
        <f t="shared" si="7"/>
        <v>5.9</v>
      </c>
      <c r="H162" s="141">
        <v>0.65</v>
      </c>
      <c r="I162" s="140">
        <f>PRODUCT(E162:H162)</f>
        <v>3.8350000000000004</v>
      </c>
      <c r="J162" s="156"/>
      <c r="K162" s="483"/>
    </row>
    <row r="163" spans="1:26" s="230" customFormat="1" ht="15" hidden="1" customHeight="1" outlineLevel="1" x14ac:dyDescent="0.25">
      <c r="A163" s="141"/>
      <c r="B163" s="452" t="s">
        <v>535</v>
      </c>
      <c r="C163" s="453"/>
      <c r="D163" s="141" t="s">
        <v>37</v>
      </c>
      <c r="E163" s="140">
        <v>1</v>
      </c>
      <c r="F163" s="141" t="s">
        <v>44</v>
      </c>
      <c r="G163" s="140">
        <f t="shared" si="7"/>
        <v>6.4</v>
      </c>
      <c r="H163" s="141">
        <v>0.65</v>
      </c>
      <c r="I163" s="140">
        <f>PRODUCT(E163:H163)</f>
        <v>4.16</v>
      </c>
      <c r="J163" s="156"/>
      <c r="K163" s="483"/>
    </row>
    <row r="164" spans="1:26" s="230" customFormat="1" ht="15" hidden="1" customHeight="1" outlineLevel="1" x14ac:dyDescent="0.25">
      <c r="A164" s="141"/>
      <c r="B164" s="453" t="s">
        <v>536</v>
      </c>
      <c r="C164" s="453"/>
      <c r="D164" s="313" t="s">
        <v>37</v>
      </c>
      <c r="E164" s="140">
        <v>1</v>
      </c>
      <c r="F164" s="141" t="s">
        <v>44</v>
      </c>
      <c r="G164" s="140">
        <f t="shared" si="7"/>
        <v>10.9</v>
      </c>
      <c r="H164" s="140">
        <v>0.65</v>
      </c>
      <c r="I164" s="140">
        <f>PRODUCT(E164:H164)</f>
        <v>7.0850000000000009</v>
      </c>
      <c r="J164" s="484"/>
      <c r="K164" s="483"/>
    </row>
    <row r="165" spans="1:26" s="230" customFormat="1" ht="15" hidden="1" customHeight="1" outlineLevel="1" x14ac:dyDescent="0.25">
      <c r="A165" s="141"/>
      <c r="B165" s="452" t="s">
        <v>783</v>
      </c>
      <c r="C165" s="453"/>
      <c r="D165" s="140" t="s">
        <v>37</v>
      </c>
      <c r="E165" s="141">
        <v>1</v>
      </c>
      <c r="F165" s="141" t="s">
        <v>44</v>
      </c>
      <c r="G165" s="140">
        <f t="shared" si="7"/>
        <v>2.5</v>
      </c>
      <c r="H165" s="141">
        <v>0.3</v>
      </c>
      <c r="I165" s="140">
        <f>PRODUCT(E165:H165)</f>
        <v>0.75</v>
      </c>
      <c r="J165" s="156"/>
      <c r="K165" s="483"/>
    </row>
    <row r="166" spans="1:26" s="230" customFormat="1" ht="15" hidden="1" customHeight="1" outlineLevel="1" x14ac:dyDescent="0.25">
      <c r="A166" s="141"/>
      <c r="B166" s="453" t="s">
        <v>784</v>
      </c>
      <c r="C166" s="453"/>
      <c r="D166" s="140" t="s">
        <v>37</v>
      </c>
      <c r="E166" s="141">
        <v>1</v>
      </c>
      <c r="F166" s="141" t="s">
        <v>44</v>
      </c>
      <c r="G166" s="140">
        <f t="shared" si="7"/>
        <v>7</v>
      </c>
      <c r="H166" s="141">
        <v>0.3</v>
      </c>
      <c r="I166" s="141">
        <f>PRODUCT(E166:H166)</f>
        <v>2.1</v>
      </c>
      <c r="J166" s="156"/>
      <c r="K166" s="483"/>
    </row>
    <row r="167" spans="1:26" ht="15" hidden="1" customHeight="1" outlineLevel="1" x14ac:dyDescent="0.25">
      <c r="A167" s="157"/>
      <c r="B167" s="238"/>
      <c r="C167" s="132"/>
      <c r="D167" s="17"/>
      <c r="E167" s="10"/>
      <c r="F167" s="10"/>
      <c r="G167" s="10"/>
      <c r="H167" s="10"/>
      <c r="I167" s="10"/>
      <c r="J167" s="10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s="230" customFormat="1" ht="15" customHeight="1" collapsed="1" x14ac:dyDescent="0.25">
      <c r="A168" s="259" t="s">
        <v>737</v>
      </c>
      <c r="B168" s="260" t="s">
        <v>358</v>
      </c>
      <c r="C168" s="261"/>
      <c r="D168" s="262"/>
      <c r="E168" s="267"/>
      <c r="F168" s="267"/>
      <c r="G168" s="267"/>
      <c r="H168" s="267"/>
      <c r="I168" s="267"/>
      <c r="J168" s="316"/>
      <c r="K168" s="456"/>
    </row>
    <row r="169" spans="1:26" ht="15" customHeight="1" x14ac:dyDescent="0.25">
      <c r="A169" s="231" t="s">
        <v>738</v>
      </c>
      <c r="B169" s="232" t="s">
        <v>513</v>
      </c>
      <c r="C169" s="233"/>
      <c r="D169" s="231" t="s">
        <v>38</v>
      </c>
      <c r="E169" s="265"/>
      <c r="F169" s="265"/>
      <c r="G169" s="265"/>
      <c r="H169" s="447" t="s">
        <v>537</v>
      </c>
      <c r="I169" s="265"/>
      <c r="J169" s="312">
        <f>SUM(I170:I171)</f>
        <v>150</v>
      </c>
      <c r="K169" s="449" t="s">
        <v>470</v>
      </c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" hidden="1" customHeight="1" outlineLevel="1" x14ac:dyDescent="0.25">
      <c r="A170" s="157"/>
      <c r="B170" s="163" t="s">
        <v>358</v>
      </c>
      <c r="C170" s="132"/>
      <c r="D170" s="10" t="s">
        <v>38</v>
      </c>
      <c r="E170" s="10">
        <v>1</v>
      </c>
      <c r="F170" s="141" t="s">
        <v>49</v>
      </c>
      <c r="G170" s="10">
        <v>150</v>
      </c>
      <c r="H170" s="10"/>
      <c r="I170" s="10">
        <f>PRODUCT(E170:H170)</f>
        <v>150</v>
      </c>
      <c r="J170" s="8"/>
      <c r="K170" s="455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" hidden="1" customHeight="1" outlineLevel="1" x14ac:dyDescent="0.25">
      <c r="A171" s="157"/>
      <c r="B171" s="163"/>
      <c r="C171" s="132"/>
      <c r="D171" s="10"/>
      <c r="E171" s="10"/>
      <c r="F171" s="141"/>
      <c r="G171" s="10"/>
      <c r="H171" s="10"/>
      <c r="I171" s="10"/>
      <c r="J171" s="8"/>
      <c r="K171" s="455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" customHeight="1" collapsed="1" x14ac:dyDescent="0.25">
      <c r="A172" s="241" t="s">
        <v>739</v>
      </c>
      <c r="B172" s="242" t="s">
        <v>777</v>
      </c>
      <c r="C172" s="243"/>
      <c r="D172" s="244"/>
      <c r="E172" s="264"/>
      <c r="F172" s="264"/>
      <c r="G172" s="264"/>
      <c r="H172" s="264"/>
      <c r="I172" s="264"/>
      <c r="J172" s="315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s="230" customFormat="1" ht="15" customHeight="1" collapsed="1" x14ac:dyDescent="0.25">
      <c r="A173" s="259" t="s">
        <v>740</v>
      </c>
      <c r="B173" s="260" t="s">
        <v>36</v>
      </c>
      <c r="C173" s="261"/>
      <c r="D173" s="262"/>
      <c r="E173" s="267"/>
      <c r="F173" s="267"/>
      <c r="G173" s="267"/>
      <c r="H173" s="267"/>
      <c r="I173" s="267"/>
      <c r="J173" s="316"/>
      <c r="K173" s="456"/>
    </row>
    <row r="174" spans="1:26" ht="15" customHeight="1" x14ac:dyDescent="0.25">
      <c r="A174" s="231" t="s">
        <v>741</v>
      </c>
      <c r="B174" s="232" t="s">
        <v>405</v>
      </c>
      <c r="C174" s="233"/>
      <c r="D174" s="231" t="s">
        <v>37</v>
      </c>
      <c r="E174" s="265"/>
      <c r="F174" s="265"/>
      <c r="G174" s="265"/>
      <c r="H174" s="265"/>
      <c r="I174" s="265"/>
      <c r="J174" s="312">
        <f>SUM(I175:I178)</f>
        <v>10.602</v>
      </c>
      <c r="K174" s="449" t="s">
        <v>470</v>
      </c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" customHeight="1" outlineLevel="1" x14ac:dyDescent="0.25">
      <c r="A175" s="8"/>
      <c r="B175" s="238" t="s">
        <v>391</v>
      </c>
      <c r="C175" s="251"/>
      <c r="D175" s="10" t="s">
        <v>37</v>
      </c>
      <c r="E175" s="237">
        <v>1</v>
      </c>
      <c r="F175" s="237">
        <v>3</v>
      </c>
      <c r="G175" s="237">
        <v>3.25</v>
      </c>
      <c r="H175" s="131">
        <v>0.6</v>
      </c>
      <c r="I175" s="10">
        <f>PRODUCT(E175:H175)</f>
        <v>5.85</v>
      </c>
      <c r="J175" s="8"/>
      <c r="K175" s="455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" customHeight="1" outlineLevel="1" x14ac:dyDescent="0.25">
      <c r="A176" s="8"/>
      <c r="B176" s="238" t="s">
        <v>392</v>
      </c>
      <c r="C176" s="251"/>
      <c r="D176" s="10" t="s">
        <v>37</v>
      </c>
      <c r="E176" s="237">
        <v>1</v>
      </c>
      <c r="F176" s="237">
        <v>3</v>
      </c>
      <c r="G176" s="237">
        <v>1.2</v>
      </c>
      <c r="H176" s="131">
        <v>0.6</v>
      </c>
      <c r="I176" s="10">
        <f>PRODUCT(E176:H176)</f>
        <v>2.1599999999999997</v>
      </c>
      <c r="J176" s="8"/>
      <c r="K176" s="455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" customHeight="1" outlineLevel="1" x14ac:dyDescent="0.25">
      <c r="A177" s="8"/>
      <c r="B177" s="238" t="s">
        <v>393</v>
      </c>
      <c r="C177" s="251"/>
      <c r="D177" s="10" t="s">
        <v>37</v>
      </c>
      <c r="E177" s="237">
        <v>1</v>
      </c>
      <c r="F177" s="237">
        <v>3.6</v>
      </c>
      <c r="G177" s="237">
        <v>1.2</v>
      </c>
      <c r="H177" s="131">
        <v>0.6</v>
      </c>
      <c r="I177" s="10">
        <f>PRODUCT(E177:H177)</f>
        <v>2.5920000000000001</v>
      </c>
      <c r="J177" s="8"/>
      <c r="K177" s="455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s="230" customFormat="1" ht="15" customHeight="1" outlineLevel="1" x14ac:dyDescent="0.25">
      <c r="A178" s="8"/>
      <c r="B178" s="238"/>
      <c r="C178" s="251"/>
      <c r="D178" s="10"/>
      <c r="E178" s="131"/>
      <c r="F178" s="237"/>
      <c r="G178" s="237"/>
      <c r="H178" s="131"/>
      <c r="I178" s="10"/>
      <c r="J178" s="8"/>
      <c r="K178" s="456"/>
    </row>
    <row r="179" spans="1:26" ht="15" customHeight="1" x14ac:dyDescent="0.25">
      <c r="A179" s="231" t="s">
        <v>742</v>
      </c>
      <c r="B179" s="232" t="s">
        <v>404</v>
      </c>
      <c r="C179" s="233"/>
      <c r="D179" s="231" t="s">
        <v>38</v>
      </c>
      <c r="E179" s="265"/>
      <c r="F179" s="265"/>
      <c r="G179" s="265"/>
      <c r="H179" s="265"/>
      <c r="I179" s="265"/>
      <c r="J179" s="312">
        <f>SUM(I180:I183)</f>
        <v>29.819999999999997</v>
      </c>
      <c r="K179" s="449" t="s">
        <v>470</v>
      </c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" customHeight="1" outlineLevel="1" x14ac:dyDescent="0.25">
      <c r="A180" s="12"/>
      <c r="B180" s="238" t="s">
        <v>391</v>
      </c>
      <c r="C180" s="152"/>
      <c r="D180" s="10" t="s">
        <v>38</v>
      </c>
      <c r="E180" s="237">
        <v>1</v>
      </c>
      <c r="F180" s="237" t="s">
        <v>44</v>
      </c>
      <c r="G180" s="237">
        <f>2*(F175+G175)</f>
        <v>12.5</v>
      </c>
      <c r="H180" s="131">
        <f>H175</f>
        <v>0.6</v>
      </c>
      <c r="I180" s="10">
        <f>PRODUCT(E180:H180)</f>
        <v>7.5</v>
      </c>
      <c r="J180" s="317"/>
      <c r="K180" s="456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" customHeight="1" outlineLevel="1" x14ac:dyDescent="0.25">
      <c r="A181" s="8"/>
      <c r="B181" s="238" t="s">
        <v>392</v>
      </c>
      <c r="C181" s="251"/>
      <c r="D181" s="10" t="s">
        <v>38</v>
      </c>
      <c r="E181" s="237">
        <v>1</v>
      </c>
      <c r="F181" s="237" t="s">
        <v>44</v>
      </c>
      <c r="G181" s="237">
        <f>F176*2+G176*2</f>
        <v>8.4</v>
      </c>
      <c r="H181" s="131">
        <f>H176</f>
        <v>0.6</v>
      </c>
      <c r="I181" s="10">
        <f>PRODUCT(E181:H181)</f>
        <v>5.04</v>
      </c>
      <c r="J181" s="8"/>
      <c r="K181" s="455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" customHeight="1" outlineLevel="1" x14ac:dyDescent="0.25">
      <c r="A182" s="8"/>
      <c r="B182" s="238" t="s">
        <v>393</v>
      </c>
      <c r="C182" s="251"/>
      <c r="D182" s="10" t="s">
        <v>38</v>
      </c>
      <c r="E182" s="237">
        <v>3</v>
      </c>
      <c r="F182" s="237" t="s">
        <v>44</v>
      </c>
      <c r="G182" s="237">
        <f>F177*2+G177*2</f>
        <v>9.6</v>
      </c>
      <c r="H182" s="131">
        <f>H177</f>
        <v>0.6</v>
      </c>
      <c r="I182" s="10">
        <f>PRODUCT(E182:H182)</f>
        <v>17.279999999999998</v>
      </c>
      <c r="J182" s="8"/>
      <c r="K182" s="455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s="230" customFormat="1" ht="15" customHeight="1" outlineLevel="1" x14ac:dyDescent="0.25">
      <c r="A183" s="8"/>
      <c r="B183" s="238"/>
      <c r="C183" s="490"/>
      <c r="D183" s="141"/>
      <c r="E183" s="131"/>
      <c r="F183" s="237"/>
      <c r="G183" s="237"/>
      <c r="H183" s="131"/>
      <c r="I183" s="141"/>
      <c r="J183" s="156"/>
      <c r="K183" s="456"/>
    </row>
    <row r="184" spans="1:26" ht="15" customHeight="1" x14ac:dyDescent="0.25">
      <c r="A184" s="231" t="s">
        <v>743</v>
      </c>
      <c r="B184" s="232" t="s">
        <v>406</v>
      </c>
      <c r="C184" s="233"/>
      <c r="D184" s="231" t="s">
        <v>118</v>
      </c>
      <c r="E184" s="265"/>
      <c r="F184" s="265"/>
      <c r="G184" s="265"/>
      <c r="H184" s="265"/>
      <c r="I184" s="265"/>
      <c r="J184" s="312">
        <f>SUM(I185:I187)</f>
        <v>477.09000000000003</v>
      </c>
      <c r="K184" s="449" t="s">
        <v>470</v>
      </c>
      <c r="L184" s="511" t="s">
        <v>590</v>
      </c>
      <c r="M184" s="18">
        <f>+J184/J174</f>
        <v>45</v>
      </c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" customHeight="1" outlineLevel="1" x14ac:dyDescent="0.25">
      <c r="A185" s="8"/>
      <c r="B185" s="162"/>
      <c r="C185" s="236"/>
      <c r="D185" s="237"/>
      <c r="E185" s="237"/>
      <c r="F185" s="237"/>
      <c r="G185" s="237" t="s">
        <v>351</v>
      </c>
      <c r="H185" s="237"/>
      <c r="I185" s="237"/>
      <c r="J185" s="8"/>
      <c r="K185" s="455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" customHeight="1" outlineLevel="1" x14ac:dyDescent="0.25">
      <c r="A186" s="8"/>
      <c r="B186" s="784" t="s">
        <v>352</v>
      </c>
      <c r="C186" s="785"/>
      <c r="D186" s="237" t="s">
        <v>118</v>
      </c>
      <c r="E186" s="448" t="s">
        <v>353</v>
      </c>
      <c r="F186" s="448">
        <f>+J174*45</f>
        <v>477.09000000000003</v>
      </c>
      <c r="G186" s="448">
        <v>1</v>
      </c>
      <c r="H186" s="448"/>
      <c r="I186" s="448">
        <f>PRODUCT(E186:H186)</f>
        <v>477.09000000000003</v>
      </c>
      <c r="J186" s="459"/>
      <c r="K186" s="455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" customHeight="1" outlineLevel="1" x14ac:dyDescent="0.25">
      <c r="A187" s="8"/>
      <c r="B187" s="163"/>
      <c r="C187" s="303"/>
      <c r="D187" s="304"/>
      <c r="E187" s="304"/>
      <c r="F187" s="304"/>
      <c r="G187" s="304"/>
      <c r="H187" s="304"/>
      <c r="I187" s="304"/>
      <c r="J187" s="8"/>
      <c r="K187" s="455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" customHeight="1" x14ac:dyDescent="0.25">
      <c r="A188" s="259" t="s">
        <v>744</v>
      </c>
      <c r="B188" s="260" t="s">
        <v>387</v>
      </c>
      <c r="C188" s="261"/>
      <c r="D188" s="262"/>
      <c r="E188" s="267"/>
      <c r="F188" s="267"/>
      <c r="G188" s="267"/>
      <c r="H188" s="267"/>
      <c r="I188" s="267"/>
      <c r="J188" s="316"/>
      <c r="K188" s="482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" customHeight="1" x14ac:dyDescent="0.25">
      <c r="A189" s="231" t="s">
        <v>745</v>
      </c>
      <c r="B189" s="232" t="s">
        <v>178</v>
      </c>
      <c r="C189" s="233"/>
      <c r="D189" s="231" t="s">
        <v>37</v>
      </c>
      <c r="E189" s="265"/>
      <c r="F189" s="265"/>
      <c r="G189" s="265"/>
      <c r="H189" s="265"/>
      <c r="I189" s="265"/>
      <c r="J189" s="312">
        <f>SUM(I190:I193)</f>
        <v>12.899999999999999</v>
      </c>
      <c r="K189" s="449" t="s">
        <v>470</v>
      </c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" customHeight="1" outlineLevel="1" x14ac:dyDescent="0.25">
      <c r="A190" s="360"/>
      <c r="B190" s="163" t="s">
        <v>45</v>
      </c>
      <c r="C190" s="155"/>
      <c r="D190" s="141" t="s">
        <v>37</v>
      </c>
      <c r="E190" s="10">
        <v>1</v>
      </c>
      <c r="F190" s="10" t="s">
        <v>55</v>
      </c>
      <c r="G190" s="10">
        <v>1.25</v>
      </c>
      <c r="H190" s="10">
        <v>6</v>
      </c>
      <c r="I190" s="140">
        <f>PRODUCT(E190:H190)</f>
        <v>7.5</v>
      </c>
      <c r="J190" s="318"/>
      <c r="K190" s="456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" customHeight="1" outlineLevel="1" x14ac:dyDescent="0.25">
      <c r="A191" s="360"/>
      <c r="B191" s="163" t="s">
        <v>46</v>
      </c>
      <c r="C191" s="155"/>
      <c r="D191" s="141" t="s">
        <v>37</v>
      </c>
      <c r="E191" s="10">
        <v>1</v>
      </c>
      <c r="F191" s="10" t="s">
        <v>55</v>
      </c>
      <c r="G191" s="10">
        <v>0.6</v>
      </c>
      <c r="H191" s="10">
        <v>4.5</v>
      </c>
      <c r="I191" s="140">
        <f>PRODUCT(E191:H191)</f>
        <v>2.6999999999999997</v>
      </c>
      <c r="J191" s="318"/>
      <c r="K191" s="456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" customHeight="1" outlineLevel="1" x14ac:dyDescent="0.25">
      <c r="A192" s="360"/>
      <c r="B192" s="163" t="s">
        <v>504</v>
      </c>
      <c r="C192" s="155"/>
      <c r="D192" s="141" t="s">
        <v>37</v>
      </c>
      <c r="E192" s="10">
        <v>1</v>
      </c>
      <c r="F192" s="10" t="s">
        <v>55</v>
      </c>
      <c r="G192" s="10">
        <v>0.6</v>
      </c>
      <c r="H192" s="10">
        <v>4.5</v>
      </c>
      <c r="I192" s="140">
        <f>PRODUCT(E192:H192)</f>
        <v>2.6999999999999997</v>
      </c>
      <c r="J192" s="318"/>
      <c r="K192" s="456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" customHeight="1" outlineLevel="1" x14ac:dyDescent="0.25">
      <c r="A193" s="360"/>
      <c r="B193" s="486"/>
      <c r="C193" s="486"/>
      <c r="D193" s="141"/>
      <c r="E193" s="141"/>
      <c r="F193" s="141"/>
      <c r="G193" s="141"/>
      <c r="H193" s="141"/>
      <c r="I193" s="141"/>
      <c r="J193" s="156"/>
      <c r="K193" s="456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" customHeight="1" x14ac:dyDescent="0.25">
      <c r="A194" s="231" t="s">
        <v>746</v>
      </c>
      <c r="B194" s="232" t="s">
        <v>179</v>
      </c>
      <c r="C194" s="233"/>
      <c r="D194" s="231" t="s">
        <v>38</v>
      </c>
      <c r="E194" s="265"/>
      <c r="F194" s="265"/>
      <c r="G194" s="265"/>
      <c r="H194" s="265"/>
      <c r="I194" s="265"/>
      <c r="J194" s="312">
        <f>SUM(I195:I198)</f>
        <v>123.9</v>
      </c>
      <c r="K194" s="449" t="s">
        <v>470</v>
      </c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" customHeight="1" outlineLevel="1" x14ac:dyDescent="0.25">
      <c r="A195" s="360"/>
      <c r="B195" s="163" t="s">
        <v>45</v>
      </c>
      <c r="C195" s="155"/>
      <c r="D195" s="141" t="s">
        <v>38</v>
      </c>
      <c r="E195" s="10">
        <v>1</v>
      </c>
      <c r="F195" s="10" t="s">
        <v>542</v>
      </c>
      <c r="G195" s="10">
        <v>11.8</v>
      </c>
      <c r="H195" s="10">
        <v>6</v>
      </c>
      <c r="I195" s="140">
        <f>PRODUCT(E195:H195)</f>
        <v>70.800000000000011</v>
      </c>
      <c r="J195" s="318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" customHeight="1" outlineLevel="1" x14ac:dyDescent="0.25">
      <c r="A196" s="360"/>
      <c r="B196" s="163" t="s">
        <v>46</v>
      </c>
      <c r="C196" s="155"/>
      <c r="D196" s="141" t="s">
        <v>38</v>
      </c>
      <c r="E196" s="10">
        <v>1</v>
      </c>
      <c r="F196" s="10" t="s">
        <v>542</v>
      </c>
      <c r="G196" s="10">
        <v>6.8</v>
      </c>
      <c r="H196" s="10">
        <v>4.5</v>
      </c>
      <c r="I196" s="140">
        <f>PRODUCT(E196:H196)</f>
        <v>30.599999999999998</v>
      </c>
      <c r="J196" s="318"/>
      <c r="K196" s="456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" customHeight="1" outlineLevel="1" x14ac:dyDescent="0.25">
      <c r="A197" s="360"/>
      <c r="B197" s="163" t="s">
        <v>504</v>
      </c>
      <c r="C197" s="155"/>
      <c r="D197" s="141" t="s">
        <v>38</v>
      </c>
      <c r="E197" s="10">
        <v>1</v>
      </c>
      <c r="F197" s="10" t="s">
        <v>542</v>
      </c>
      <c r="G197" s="10">
        <v>5</v>
      </c>
      <c r="H197" s="10">
        <v>4.5</v>
      </c>
      <c r="I197" s="140">
        <f>PRODUCT(E197:H197)</f>
        <v>22.5</v>
      </c>
      <c r="J197" s="318"/>
      <c r="K197" s="456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" customHeight="1" outlineLevel="1" x14ac:dyDescent="0.25">
      <c r="A198" s="360"/>
      <c r="B198" s="163"/>
      <c r="C198" s="270"/>
      <c r="D198" s="141"/>
      <c r="E198" s="10"/>
      <c r="F198" s="141"/>
      <c r="G198" s="140"/>
      <c r="H198" s="10"/>
      <c r="I198" s="140"/>
      <c r="J198" s="8"/>
      <c r="K198" s="456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" customHeight="1" x14ac:dyDescent="0.25">
      <c r="A199" s="231" t="s">
        <v>747</v>
      </c>
      <c r="B199" s="232" t="s">
        <v>180</v>
      </c>
      <c r="C199" s="233"/>
      <c r="D199" s="231" t="s">
        <v>118</v>
      </c>
      <c r="E199" s="265"/>
      <c r="F199" s="265"/>
      <c r="G199" s="265"/>
      <c r="H199" s="265"/>
      <c r="I199" s="265"/>
      <c r="J199" s="312">
        <f>SUM(I200:I202)</f>
        <v>1225.4999999999998</v>
      </c>
      <c r="K199" s="449" t="s">
        <v>470</v>
      </c>
      <c r="L199" s="511" t="s">
        <v>590</v>
      </c>
      <c r="M199" s="18">
        <f>+J199/J189</f>
        <v>94.999999999999986</v>
      </c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" customHeight="1" outlineLevel="1" x14ac:dyDescent="0.25">
      <c r="A200" s="459"/>
      <c r="B200" s="460"/>
      <c r="C200" s="446"/>
      <c r="D200" s="448"/>
      <c r="E200" s="448"/>
      <c r="F200" s="448"/>
      <c r="G200" s="448"/>
      <c r="H200" s="448"/>
      <c r="I200" s="448"/>
      <c r="J200" s="459"/>
      <c r="K200" s="455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" customHeight="1" outlineLevel="1" x14ac:dyDescent="0.25">
      <c r="A201" s="459"/>
      <c r="B201" s="786" t="s">
        <v>352</v>
      </c>
      <c r="C201" s="787"/>
      <c r="D201" s="448" t="s">
        <v>118</v>
      </c>
      <c r="E201" s="448" t="s">
        <v>353</v>
      </c>
      <c r="F201" s="448">
        <f>+J189</f>
        <v>12.899999999999999</v>
      </c>
      <c r="G201" s="448">
        <v>95</v>
      </c>
      <c r="H201" s="448"/>
      <c r="I201" s="448">
        <f>PRODUCT(E201:H201)</f>
        <v>1225.4999999999998</v>
      </c>
      <c r="J201" s="459"/>
      <c r="K201" s="455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" customHeight="1" outlineLevel="1" x14ac:dyDescent="0.25">
      <c r="A202" s="461"/>
      <c r="B202" s="462"/>
      <c r="C202" s="463"/>
      <c r="D202" s="464"/>
      <c r="E202" s="464"/>
      <c r="F202" s="464"/>
      <c r="G202" s="464"/>
      <c r="H202" s="464"/>
      <c r="I202" s="464"/>
      <c r="J202" s="465"/>
      <c r="K202" s="455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" customHeight="1" x14ac:dyDescent="0.25">
      <c r="A203" s="259" t="s">
        <v>748</v>
      </c>
      <c r="B203" s="260" t="s">
        <v>12</v>
      </c>
      <c r="C203" s="261"/>
      <c r="D203" s="262"/>
      <c r="E203" s="267"/>
      <c r="F203" s="267"/>
      <c r="G203" s="267"/>
      <c r="H203" s="267"/>
      <c r="I203" s="267"/>
      <c r="J203" s="316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" customHeight="1" x14ac:dyDescent="0.25">
      <c r="A204" s="231" t="s">
        <v>749</v>
      </c>
      <c r="B204" s="232" t="s">
        <v>380</v>
      </c>
      <c r="C204" s="233"/>
      <c r="D204" s="231" t="s">
        <v>37</v>
      </c>
      <c r="E204" s="265"/>
      <c r="F204" s="265"/>
      <c r="G204" s="265"/>
      <c r="H204" s="265"/>
      <c r="I204" s="265"/>
      <c r="J204" s="312">
        <f>SUM(I205:I213)</f>
        <v>4.1165000000000003</v>
      </c>
      <c r="K204" s="449" t="s">
        <v>470</v>
      </c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" customHeight="1" outlineLevel="1" x14ac:dyDescent="0.3">
      <c r="A205" s="361"/>
      <c r="B205" s="362"/>
      <c r="C205" s="132"/>
      <c r="D205" s="142" t="s">
        <v>37</v>
      </c>
      <c r="E205" s="10">
        <v>1</v>
      </c>
      <c r="F205" s="10">
        <v>4.5</v>
      </c>
      <c r="G205" s="10">
        <v>0.25</v>
      </c>
      <c r="H205" s="10">
        <v>0.5</v>
      </c>
      <c r="I205" s="10">
        <f t="shared" ref="I205:I212" si="8">PRODUCT(E205:H205)</f>
        <v>0.5625</v>
      </c>
      <c r="J205" s="8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" customHeight="1" outlineLevel="1" x14ac:dyDescent="0.3">
      <c r="A206" s="361"/>
      <c r="B206" s="362"/>
      <c r="C206" s="132"/>
      <c r="D206" s="142" t="s">
        <v>37</v>
      </c>
      <c r="E206" s="10">
        <v>1</v>
      </c>
      <c r="F206" s="10">
        <v>2.2999999999999998</v>
      </c>
      <c r="G206" s="10">
        <v>0.25</v>
      </c>
      <c r="H206" s="10">
        <v>0.5</v>
      </c>
      <c r="I206" s="10">
        <f t="shared" si="8"/>
        <v>0.28749999999999998</v>
      </c>
      <c r="J206" s="8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" customHeight="1" outlineLevel="1" x14ac:dyDescent="0.3">
      <c r="A207" s="361"/>
      <c r="B207" s="362"/>
      <c r="C207" s="132"/>
      <c r="D207" s="142" t="s">
        <v>37</v>
      </c>
      <c r="E207" s="10">
        <v>1</v>
      </c>
      <c r="F207" s="10">
        <v>9.5500000000000007</v>
      </c>
      <c r="G207" s="10">
        <v>0.25</v>
      </c>
      <c r="H207" s="10">
        <v>0.5</v>
      </c>
      <c r="I207" s="10">
        <f t="shared" si="8"/>
        <v>1.1937500000000001</v>
      </c>
      <c r="J207" s="8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" customHeight="1" outlineLevel="1" x14ac:dyDescent="0.3">
      <c r="A208" s="361"/>
      <c r="B208" s="362"/>
      <c r="C208" s="132"/>
      <c r="D208" s="142" t="s">
        <v>37</v>
      </c>
      <c r="E208" s="10">
        <v>1</v>
      </c>
      <c r="F208" s="10">
        <v>2.4500000000000002</v>
      </c>
      <c r="G208" s="10">
        <v>0.25</v>
      </c>
      <c r="H208" s="10">
        <v>0.5</v>
      </c>
      <c r="I208" s="10">
        <f t="shared" si="8"/>
        <v>0.30625000000000002</v>
      </c>
      <c r="J208" s="8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" customHeight="1" outlineLevel="1" x14ac:dyDescent="0.3">
      <c r="A209" s="361"/>
      <c r="B209" s="362"/>
      <c r="C209" s="132"/>
      <c r="D209" s="142" t="s">
        <v>37</v>
      </c>
      <c r="E209" s="10">
        <v>1</v>
      </c>
      <c r="F209" s="10">
        <v>8.15</v>
      </c>
      <c r="G209" s="10">
        <v>0.25</v>
      </c>
      <c r="H209" s="10">
        <v>0.5</v>
      </c>
      <c r="I209" s="10">
        <f t="shared" si="8"/>
        <v>1.01875</v>
      </c>
      <c r="J209" s="8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" customHeight="1" outlineLevel="1" x14ac:dyDescent="0.3">
      <c r="A210" s="361"/>
      <c r="B210" s="362"/>
      <c r="C210" s="132"/>
      <c r="D210" s="142" t="s">
        <v>37</v>
      </c>
      <c r="E210" s="10">
        <v>1</v>
      </c>
      <c r="F210" s="10">
        <v>3.05</v>
      </c>
      <c r="G210" s="10">
        <v>0.25</v>
      </c>
      <c r="H210" s="10">
        <v>0.5</v>
      </c>
      <c r="I210" s="10">
        <f t="shared" si="8"/>
        <v>0.38124999999999998</v>
      </c>
      <c r="J210" s="8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" customHeight="1" outlineLevel="1" x14ac:dyDescent="0.3">
      <c r="A211" s="361"/>
      <c r="B211" s="362"/>
      <c r="C211" s="132"/>
      <c r="D211" s="142" t="s">
        <v>37</v>
      </c>
      <c r="E211" s="10">
        <v>2</v>
      </c>
      <c r="F211" s="10">
        <v>2.9</v>
      </c>
      <c r="G211" s="10">
        <v>0.25</v>
      </c>
      <c r="H211" s="10">
        <v>0.2</v>
      </c>
      <c r="I211" s="10">
        <f t="shared" si="8"/>
        <v>0.28999999999999998</v>
      </c>
      <c r="J211" s="8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s="230" customFormat="1" ht="15" customHeight="1" outlineLevel="1" x14ac:dyDescent="0.3">
      <c r="A212" s="361"/>
      <c r="B212" s="362"/>
      <c r="C212" s="132"/>
      <c r="D212" s="142" t="s">
        <v>37</v>
      </c>
      <c r="E212" s="10">
        <v>1</v>
      </c>
      <c r="F212" s="10">
        <v>2.5499999999999998</v>
      </c>
      <c r="G212" s="10">
        <v>0.15</v>
      </c>
      <c r="H212" s="10">
        <v>0.2</v>
      </c>
      <c r="I212" s="10">
        <f t="shared" si="8"/>
        <v>7.6499999999999999E-2</v>
      </c>
      <c r="J212" s="8"/>
    </row>
    <row r="213" spans="1:26" s="230" customFormat="1" ht="15" customHeight="1" outlineLevel="1" x14ac:dyDescent="0.3">
      <c r="A213" s="361"/>
      <c r="B213" s="362"/>
      <c r="C213" s="132"/>
      <c r="D213" s="142"/>
      <c r="E213" s="10"/>
      <c r="F213" s="10"/>
      <c r="G213" s="10"/>
      <c r="H213" s="10"/>
      <c r="I213" s="10"/>
      <c r="J213" s="8"/>
    </row>
    <row r="214" spans="1:26" ht="15" customHeight="1" x14ac:dyDescent="0.25">
      <c r="A214" s="231" t="s">
        <v>750</v>
      </c>
      <c r="B214" s="232" t="s">
        <v>13</v>
      </c>
      <c r="C214" s="233"/>
      <c r="D214" s="231" t="s">
        <v>38</v>
      </c>
      <c r="E214" s="265"/>
      <c r="F214" s="265"/>
      <c r="G214" s="265"/>
      <c r="H214" s="265"/>
      <c r="I214" s="265"/>
      <c r="J214" s="312">
        <f>SUM(I215:I223)</f>
        <v>30.162499999999998</v>
      </c>
      <c r="K214" s="449" t="s">
        <v>470</v>
      </c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" customHeight="1" outlineLevel="1" x14ac:dyDescent="0.3">
      <c r="A215" s="361"/>
      <c r="B215" s="362"/>
      <c r="C215" s="132"/>
      <c r="D215" s="142" t="s">
        <v>38</v>
      </c>
      <c r="E215" s="10">
        <v>1</v>
      </c>
      <c r="F215" s="10">
        <v>4.5</v>
      </c>
      <c r="G215" s="10">
        <v>0.85</v>
      </c>
      <c r="H215" s="10"/>
      <c r="I215" s="10">
        <f t="shared" ref="I215:I222" si="9">PRODUCT(E215:H215)</f>
        <v>3.8249999999999997</v>
      </c>
      <c r="J215" s="8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" customHeight="1" outlineLevel="1" x14ac:dyDescent="0.3">
      <c r="A216" s="361"/>
      <c r="B216" s="362"/>
      <c r="C216" s="132"/>
      <c r="D216" s="142" t="s">
        <v>38</v>
      </c>
      <c r="E216" s="10">
        <v>1</v>
      </c>
      <c r="F216" s="10">
        <v>2.2999999999999998</v>
      </c>
      <c r="G216" s="10">
        <v>0.85</v>
      </c>
      <c r="H216" s="10"/>
      <c r="I216" s="10">
        <f t="shared" si="9"/>
        <v>1.9549999999999998</v>
      </c>
      <c r="J216" s="8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" customHeight="1" outlineLevel="1" x14ac:dyDescent="0.3">
      <c r="A217" s="361"/>
      <c r="B217" s="362"/>
      <c r="C217" s="132"/>
      <c r="D217" s="142" t="s">
        <v>38</v>
      </c>
      <c r="E217" s="10">
        <v>1</v>
      </c>
      <c r="F217" s="10">
        <v>9.5500000000000007</v>
      </c>
      <c r="G217" s="10">
        <v>0.85</v>
      </c>
      <c r="H217" s="10"/>
      <c r="I217" s="10">
        <f t="shared" si="9"/>
        <v>8.1174999999999997</v>
      </c>
      <c r="J217" s="8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" customHeight="1" outlineLevel="1" x14ac:dyDescent="0.3">
      <c r="A218" s="361"/>
      <c r="B218" s="362"/>
      <c r="C218" s="132"/>
      <c r="D218" s="142" t="s">
        <v>38</v>
      </c>
      <c r="E218" s="10">
        <v>1</v>
      </c>
      <c r="F218" s="10">
        <v>2.4500000000000002</v>
      </c>
      <c r="G218" s="10">
        <v>0.85</v>
      </c>
      <c r="H218" s="10"/>
      <c r="I218" s="10">
        <f t="shared" si="9"/>
        <v>2.0825</v>
      </c>
      <c r="J218" s="8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" customHeight="1" outlineLevel="1" x14ac:dyDescent="0.3">
      <c r="A219" s="361"/>
      <c r="B219" s="362"/>
      <c r="C219" s="132"/>
      <c r="D219" s="142" t="s">
        <v>38</v>
      </c>
      <c r="E219" s="10">
        <v>1</v>
      </c>
      <c r="F219" s="10">
        <v>8.15</v>
      </c>
      <c r="G219" s="10">
        <v>0.85</v>
      </c>
      <c r="H219" s="10"/>
      <c r="I219" s="10">
        <f t="shared" si="9"/>
        <v>6.9275000000000002</v>
      </c>
      <c r="J219" s="8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" customHeight="1" outlineLevel="1" x14ac:dyDescent="0.3">
      <c r="A220" s="361"/>
      <c r="B220" s="362"/>
      <c r="C220" s="132"/>
      <c r="D220" s="142" t="s">
        <v>38</v>
      </c>
      <c r="E220" s="10">
        <v>1</v>
      </c>
      <c r="F220" s="10">
        <v>3.05</v>
      </c>
      <c r="G220" s="10">
        <v>0.85</v>
      </c>
      <c r="H220" s="10"/>
      <c r="I220" s="10">
        <f t="shared" si="9"/>
        <v>2.5924999999999998</v>
      </c>
      <c r="J220" s="8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" customHeight="1" outlineLevel="1" x14ac:dyDescent="0.3">
      <c r="A221" s="361"/>
      <c r="B221" s="362"/>
      <c r="C221" s="132"/>
      <c r="D221" s="142" t="s">
        <v>38</v>
      </c>
      <c r="E221" s="10">
        <v>2</v>
      </c>
      <c r="F221" s="10">
        <v>2.9</v>
      </c>
      <c r="G221" s="10">
        <v>0.65</v>
      </c>
      <c r="H221" s="10"/>
      <c r="I221" s="10">
        <f t="shared" si="9"/>
        <v>3.77</v>
      </c>
      <c r="J221" s="8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" customHeight="1" outlineLevel="1" x14ac:dyDescent="0.3">
      <c r="A222" s="361"/>
      <c r="B222" s="362"/>
      <c r="C222" s="132"/>
      <c r="D222" s="142" t="s">
        <v>38</v>
      </c>
      <c r="E222" s="10">
        <v>1</v>
      </c>
      <c r="F222" s="10">
        <v>2.5499999999999998</v>
      </c>
      <c r="G222" s="10">
        <v>0.35</v>
      </c>
      <c r="H222" s="10"/>
      <c r="I222" s="10">
        <f t="shared" si="9"/>
        <v>0.89249999999999985</v>
      </c>
      <c r="J222" s="8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" customHeight="1" outlineLevel="1" x14ac:dyDescent="0.3">
      <c r="A223" s="361"/>
      <c r="B223" s="362"/>
      <c r="C223" s="132"/>
      <c r="D223" s="142"/>
      <c r="E223" s="10"/>
      <c r="F223" s="10"/>
      <c r="G223" s="10"/>
      <c r="H223" s="10"/>
      <c r="I223" s="10"/>
      <c r="J223" s="8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" customHeight="1" x14ac:dyDescent="0.25">
      <c r="A224" s="231" t="s">
        <v>751</v>
      </c>
      <c r="B224" s="212" t="s">
        <v>48</v>
      </c>
      <c r="C224" s="127"/>
      <c r="D224" s="7" t="s">
        <v>118</v>
      </c>
      <c r="E224" s="160"/>
      <c r="F224" s="160"/>
      <c r="G224" s="160"/>
      <c r="H224" s="160"/>
      <c r="I224" s="160"/>
      <c r="J224" s="312">
        <f>SUM(I225:I227)</f>
        <v>1029.125</v>
      </c>
      <c r="K224" s="449" t="s">
        <v>470</v>
      </c>
      <c r="L224" s="511" t="s">
        <v>590</v>
      </c>
      <c r="M224" s="18">
        <f>+J224/J204</f>
        <v>249.99999999999997</v>
      </c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" customHeight="1" outlineLevel="1" x14ac:dyDescent="0.25">
      <c r="A225" s="8"/>
      <c r="B225" s="162"/>
      <c r="C225" s="236"/>
      <c r="D225" s="237"/>
      <c r="E225" s="237"/>
      <c r="F225" s="237"/>
      <c r="G225" s="237" t="s">
        <v>351</v>
      </c>
      <c r="H225" s="237"/>
      <c r="I225" s="237"/>
      <c r="J225" s="8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" customHeight="1" outlineLevel="1" x14ac:dyDescent="0.25">
      <c r="A226" s="8"/>
      <c r="B226" s="784" t="s">
        <v>352</v>
      </c>
      <c r="C226" s="785"/>
      <c r="D226" s="237" t="s">
        <v>118</v>
      </c>
      <c r="E226" s="237" t="s">
        <v>353</v>
      </c>
      <c r="F226" s="237">
        <f>+J204</f>
        <v>4.1165000000000003</v>
      </c>
      <c r="G226" s="237">
        <v>250</v>
      </c>
      <c r="H226" s="237"/>
      <c r="I226" s="237">
        <f>PRODUCT(E226:H226)</f>
        <v>1029.125</v>
      </c>
      <c r="J226" s="8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s="230" customFormat="1" ht="15" customHeight="1" outlineLevel="1" x14ac:dyDescent="0.25">
      <c r="A227" s="14"/>
      <c r="B227" s="228"/>
      <c r="C227" s="303"/>
      <c r="D227" s="304"/>
      <c r="E227" s="304"/>
      <c r="F227" s="304"/>
      <c r="G227" s="304"/>
      <c r="H227" s="304"/>
      <c r="I227" s="304"/>
      <c r="J227" s="319"/>
    </row>
    <row r="228" spans="1:26" ht="15" customHeight="1" x14ac:dyDescent="0.25">
      <c r="A228" s="259" t="s">
        <v>752</v>
      </c>
      <c r="B228" s="260" t="s">
        <v>14</v>
      </c>
      <c r="C228" s="261"/>
      <c r="D228" s="262"/>
      <c r="E228" s="267"/>
      <c r="F228" s="267"/>
      <c r="G228" s="267"/>
      <c r="H228" s="267"/>
      <c r="I228" s="267"/>
      <c r="J228" s="316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" customHeight="1" x14ac:dyDescent="0.25">
      <c r="A229" s="231" t="s">
        <v>753</v>
      </c>
      <c r="B229" s="232" t="s">
        <v>381</v>
      </c>
      <c r="C229" s="233"/>
      <c r="D229" s="231" t="s">
        <v>37</v>
      </c>
      <c r="E229" s="265"/>
      <c r="F229" s="265"/>
      <c r="G229" s="265"/>
      <c r="H229" s="265" t="s">
        <v>371</v>
      </c>
      <c r="I229" s="265"/>
      <c r="J229" s="312">
        <f>+SUM(I230:I233)</f>
        <v>2.2927499999999998</v>
      </c>
      <c r="K229" s="449" t="s">
        <v>470</v>
      </c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s="230" customFormat="1" ht="15" customHeight="1" outlineLevel="1" x14ac:dyDescent="0.25">
      <c r="A230" s="8"/>
      <c r="B230" s="477" t="s">
        <v>505</v>
      </c>
      <c r="C230" s="321"/>
      <c r="D230" s="10" t="s">
        <v>37</v>
      </c>
      <c r="E230" s="10">
        <v>1</v>
      </c>
      <c r="F230" s="10">
        <v>2.5499999999999998</v>
      </c>
      <c r="G230" s="10">
        <v>3.95</v>
      </c>
      <c r="H230" s="450">
        <v>0.1</v>
      </c>
      <c r="I230" s="141">
        <f>PRODUCT(E230:H230)</f>
        <v>1.00725</v>
      </c>
      <c r="J230" s="8"/>
      <c r="K230" s="456"/>
    </row>
    <row r="231" spans="1:26" s="230" customFormat="1" ht="15" customHeight="1" outlineLevel="1" x14ac:dyDescent="0.25">
      <c r="A231" s="8"/>
      <c r="B231" s="477" t="s">
        <v>506</v>
      </c>
      <c r="C231" s="152"/>
      <c r="D231" s="10" t="s">
        <v>37</v>
      </c>
      <c r="E231" s="10">
        <v>1</v>
      </c>
      <c r="F231" s="10">
        <v>3.55</v>
      </c>
      <c r="G231" s="10">
        <v>3</v>
      </c>
      <c r="H231" s="450">
        <v>0.1</v>
      </c>
      <c r="I231" s="141">
        <f>PRODUCT(E231:H231)</f>
        <v>1.0649999999999999</v>
      </c>
      <c r="J231" s="318"/>
      <c r="K231" s="456"/>
    </row>
    <row r="232" spans="1:26" s="230" customFormat="1" ht="15" customHeight="1" outlineLevel="1" x14ac:dyDescent="0.25">
      <c r="A232" s="8"/>
      <c r="B232" s="477" t="s">
        <v>507</v>
      </c>
      <c r="C232" s="152"/>
      <c r="D232" s="10" t="s">
        <v>37</v>
      </c>
      <c r="E232" s="10">
        <v>1</v>
      </c>
      <c r="F232" s="10">
        <v>2.4500000000000002</v>
      </c>
      <c r="G232" s="10">
        <v>0.9</v>
      </c>
      <c r="H232" s="450">
        <v>0.1</v>
      </c>
      <c r="I232" s="141">
        <f>PRODUCT(E232:H232)</f>
        <v>0.22050000000000003</v>
      </c>
      <c r="J232" s="318"/>
      <c r="K232" s="456"/>
    </row>
    <row r="233" spans="1:26" ht="15" customHeight="1" outlineLevel="1" x14ac:dyDescent="0.25">
      <c r="A233" s="156"/>
      <c r="B233" s="229"/>
      <c r="C233" s="271"/>
      <c r="D233" s="137"/>
      <c r="E233" s="10"/>
      <c r="F233" s="10"/>
      <c r="G233" s="10"/>
      <c r="H233" s="10"/>
      <c r="I233" s="10"/>
      <c r="J233" s="8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" customHeight="1" x14ac:dyDescent="0.25">
      <c r="A234" s="231" t="s">
        <v>754</v>
      </c>
      <c r="B234" s="232" t="s">
        <v>15</v>
      </c>
      <c r="C234" s="233"/>
      <c r="D234" s="231" t="s">
        <v>38</v>
      </c>
      <c r="E234" s="265"/>
      <c r="F234" s="265"/>
      <c r="G234" s="265"/>
      <c r="H234" s="265"/>
      <c r="I234" s="265"/>
      <c r="J234" s="312">
        <f>SUM(I235:I238)</f>
        <v>22.927499999999995</v>
      </c>
      <c r="K234" s="449" t="s">
        <v>470</v>
      </c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" customHeight="1" outlineLevel="1" x14ac:dyDescent="0.25">
      <c r="A235" s="138"/>
      <c r="B235" s="477" t="s">
        <v>505</v>
      </c>
      <c r="C235" s="355"/>
      <c r="D235" s="130" t="s">
        <v>38</v>
      </c>
      <c r="E235" s="10">
        <v>1</v>
      </c>
      <c r="F235" s="10">
        <v>2.5499999999999998</v>
      </c>
      <c r="G235" s="10">
        <v>3.95</v>
      </c>
      <c r="H235" s="141"/>
      <c r="I235" s="141">
        <f>PRODUCT(E235:H235)</f>
        <v>10.0725</v>
      </c>
      <c r="J235" s="320"/>
      <c r="K235" s="455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" customHeight="1" outlineLevel="1" x14ac:dyDescent="0.25">
      <c r="A236" s="138"/>
      <c r="B236" s="477" t="s">
        <v>506</v>
      </c>
      <c r="C236" s="355"/>
      <c r="D236" s="487" t="s">
        <v>38</v>
      </c>
      <c r="E236" s="10">
        <v>1</v>
      </c>
      <c r="F236" s="10">
        <v>3.55</v>
      </c>
      <c r="G236" s="10">
        <v>3</v>
      </c>
      <c r="H236" s="141"/>
      <c r="I236" s="141">
        <f>PRODUCT(E236:H236)</f>
        <v>10.649999999999999</v>
      </c>
      <c r="J236" s="320"/>
      <c r="K236" s="455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" customHeight="1" outlineLevel="1" x14ac:dyDescent="0.25">
      <c r="A237" s="138"/>
      <c r="B237" s="477" t="s">
        <v>507</v>
      </c>
      <c r="C237" s="355"/>
      <c r="D237" s="130" t="s">
        <v>38</v>
      </c>
      <c r="E237" s="10">
        <v>1</v>
      </c>
      <c r="F237" s="10">
        <v>2.4500000000000002</v>
      </c>
      <c r="G237" s="10">
        <v>0.9</v>
      </c>
      <c r="H237" s="141"/>
      <c r="I237" s="141">
        <f>PRODUCT(E237:H237)</f>
        <v>2.2050000000000001</v>
      </c>
      <c r="J237" s="320"/>
      <c r="K237" s="455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" customHeight="1" outlineLevel="1" x14ac:dyDescent="0.25">
      <c r="A238" s="138"/>
      <c r="B238" s="356"/>
      <c r="C238" s="357"/>
      <c r="D238" s="130"/>
      <c r="E238" s="141"/>
      <c r="F238" s="141"/>
      <c r="G238" s="141"/>
      <c r="H238" s="141"/>
      <c r="I238" s="141"/>
      <c r="J238" s="156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" customHeight="1" x14ac:dyDescent="0.25">
      <c r="A239" s="231" t="s">
        <v>755</v>
      </c>
      <c r="B239" s="232" t="s">
        <v>50</v>
      </c>
      <c r="C239" s="233"/>
      <c r="D239" s="231" t="s">
        <v>126</v>
      </c>
      <c r="E239" s="265"/>
      <c r="F239" s="265"/>
      <c r="G239" s="265"/>
      <c r="H239" s="265" t="s">
        <v>371</v>
      </c>
      <c r="I239" s="265"/>
      <c r="J239" s="332">
        <f>ROUNDUP(+SUM(I240:I243),0)</f>
        <v>207</v>
      </c>
      <c r="K239" s="449" t="s">
        <v>470</v>
      </c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s="230" customFormat="1" ht="15" customHeight="1" outlineLevel="1" x14ac:dyDescent="0.25">
      <c r="A240" s="8"/>
      <c r="B240" s="635" t="s">
        <v>505</v>
      </c>
      <c r="C240" s="321"/>
      <c r="D240" s="10" t="s">
        <v>546</v>
      </c>
      <c r="E240" s="10">
        <v>1</v>
      </c>
      <c r="F240" s="10">
        <v>2.5499999999999998</v>
      </c>
      <c r="G240" s="10">
        <v>3.95</v>
      </c>
      <c r="H240" s="10">
        <v>9</v>
      </c>
      <c r="I240" s="141">
        <f>PRODUCT(E240:H240)</f>
        <v>90.652500000000003</v>
      </c>
      <c r="J240" s="8"/>
      <c r="K240" s="456"/>
    </row>
    <row r="241" spans="1:26" s="230" customFormat="1" ht="15" customHeight="1" outlineLevel="1" x14ac:dyDescent="0.25">
      <c r="A241" s="8"/>
      <c r="B241" s="635" t="s">
        <v>506</v>
      </c>
      <c r="C241" s="152"/>
      <c r="D241" s="10" t="s">
        <v>546</v>
      </c>
      <c r="E241" s="10">
        <v>1</v>
      </c>
      <c r="F241" s="10">
        <v>3.55</v>
      </c>
      <c r="G241" s="10">
        <v>3</v>
      </c>
      <c r="H241" s="10">
        <v>9</v>
      </c>
      <c r="I241" s="141">
        <f>PRODUCT(E241:H241)</f>
        <v>95.85</v>
      </c>
      <c r="J241" s="8"/>
      <c r="K241" s="456"/>
    </row>
    <row r="242" spans="1:26" s="230" customFormat="1" ht="15" customHeight="1" outlineLevel="1" x14ac:dyDescent="0.25">
      <c r="A242" s="8"/>
      <c r="B242" s="635" t="s">
        <v>507</v>
      </c>
      <c r="C242" s="152"/>
      <c r="D242" s="10" t="s">
        <v>546</v>
      </c>
      <c r="E242" s="10">
        <v>1</v>
      </c>
      <c r="F242" s="10">
        <v>2.4500000000000002</v>
      </c>
      <c r="G242" s="10">
        <v>0.9</v>
      </c>
      <c r="H242" s="10">
        <v>9</v>
      </c>
      <c r="I242" s="141">
        <f>PRODUCT(E242:H242)</f>
        <v>19.844999999999999</v>
      </c>
      <c r="J242" s="8"/>
      <c r="K242" s="456"/>
    </row>
    <row r="243" spans="1:26" ht="15" customHeight="1" outlineLevel="1" x14ac:dyDescent="0.25">
      <c r="A243" s="8"/>
      <c r="B243" s="163"/>
      <c r="C243" s="132"/>
      <c r="D243" s="10"/>
      <c r="E243" s="10"/>
      <c r="F243" s="10"/>
      <c r="G243" s="10"/>
      <c r="H243" s="10"/>
      <c r="I243" s="10"/>
      <c r="J243" s="8"/>
      <c r="K243" s="456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" customHeight="1" x14ac:dyDescent="0.25">
      <c r="A244" s="231" t="s">
        <v>756</v>
      </c>
      <c r="B244" s="212" t="s">
        <v>16</v>
      </c>
      <c r="C244" s="127"/>
      <c r="D244" s="7" t="s">
        <v>118</v>
      </c>
      <c r="E244" s="160"/>
      <c r="F244" s="160"/>
      <c r="G244" s="160"/>
      <c r="H244" s="160"/>
      <c r="I244" s="160"/>
      <c r="J244" s="312">
        <f>SUM(I245:I247)</f>
        <v>275.13</v>
      </c>
      <c r="K244" s="449" t="s">
        <v>470</v>
      </c>
      <c r="L244" s="511" t="s">
        <v>590</v>
      </c>
      <c r="M244" s="18">
        <f>+J244/J229</f>
        <v>120</v>
      </c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" customHeight="1" outlineLevel="1" x14ac:dyDescent="0.25">
      <c r="A245" s="8"/>
      <c r="B245" s="162"/>
      <c r="C245" s="236"/>
      <c r="D245" s="237"/>
      <c r="E245" s="237"/>
      <c r="F245" s="237"/>
      <c r="G245" s="237" t="s">
        <v>351</v>
      </c>
      <c r="H245" s="237"/>
      <c r="I245" s="237"/>
      <c r="J245" s="8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" customHeight="1" outlineLevel="1" x14ac:dyDescent="0.25">
      <c r="A246" s="8"/>
      <c r="B246" s="784" t="s">
        <v>352</v>
      </c>
      <c r="C246" s="785"/>
      <c r="D246" s="237" t="s">
        <v>118</v>
      </c>
      <c r="E246" s="237" t="s">
        <v>353</v>
      </c>
      <c r="F246" s="237">
        <f>+J229*120</f>
        <v>275.13</v>
      </c>
      <c r="G246" s="237">
        <v>1</v>
      </c>
      <c r="H246" s="237"/>
      <c r="I246" s="237">
        <f>PRODUCT(E246:H246)</f>
        <v>275.13</v>
      </c>
      <c r="J246" s="8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" customHeight="1" outlineLevel="1" x14ac:dyDescent="0.25">
      <c r="A247" s="14"/>
      <c r="B247" s="228"/>
      <c r="C247" s="303"/>
      <c r="D247" s="304"/>
      <c r="E247" s="304"/>
      <c r="F247" s="304"/>
      <c r="G247" s="304"/>
      <c r="H247" s="304"/>
      <c r="I247" s="304"/>
      <c r="J247" s="319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" customHeight="1" x14ac:dyDescent="0.25">
      <c r="A248" s="259" t="s">
        <v>757</v>
      </c>
      <c r="B248" s="260" t="s">
        <v>17</v>
      </c>
      <c r="C248" s="261"/>
      <c r="D248" s="262"/>
      <c r="E248" s="267"/>
      <c r="F248" s="267"/>
      <c r="G248" s="267"/>
      <c r="H248" s="267"/>
      <c r="I248" s="267"/>
      <c r="J248" s="316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" customHeight="1" x14ac:dyDescent="0.25">
      <c r="A249" s="231" t="s">
        <v>758</v>
      </c>
      <c r="B249" s="232" t="s">
        <v>382</v>
      </c>
      <c r="C249" s="233"/>
      <c r="D249" s="231" t="s">
        <v>37</v>
      </c>
      <c r="E249" s="265"/>
      <c r="F249" s="265"/>
      <c r="G249" s="265"/>
      <c r="H249" s="265"/>
      <c r="I249" s="265"/>
      <c r="J249" s="312">
        <f>+SUM(I250:I251)</f>
        <v>2.0145</v>
      </c>
      <c r="K249" s="449" t="s">
        <v>470</v>
      </c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" customHeight="1" outlineLevel="1" x14ac:dyDescent="0.25">
      <c r="A250" s="138"/>
      <c r="B250" s="354" t="s">
        <v>586</v>
      </c>
      <c r="C250" s="352"/>
      <c r="D250" s="158" t="s">
        <v>37</v>
      </c>
      <c r="E250" s="131">
        <v>1</v>
      </c>
      <c r="F250" s="10">
        <v>3.95</v>
      </c>
      <c r="G250" s="131">
        <v>2.5499999999999998</v>
      </c>
      <c r="H250" s="10">
        <v>0.2</v>
      </c>
      <c r="I250" s="10">
        <f>PRODUCT(E250:H250)</f>
        <v>2.0145</v>
      </c>
      <c r="J250" s="8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" customHeight="1" outlineLevel="1" x14ac:dyDescent="0.25">
      <c r="A251" s="138"/>
      <c r="B251" s="162"/>
      <c r="C251" s="353"/>
      <c r="D251" s="158"/>
      <c r="E251" s="131"/>
      <c r="F251" s="10"/>
      <c r="G251" s="141"/>
      <c r="H251" s="10"/>
      <c r="I251" s="10"/>
      <c r="J251" s="8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" customHeight="1" x14ac:dyDescent="0.25">
      <c r="A252" s="231" t="s">
        <v>759</v>
      </c>
      <c r="B252" s="232" t="s">
        <v>18</v>
      </c>
      <c r="C252" s="233"/>
      <c r="D252" s="231" t="s">
        <v>38</v>
      </c>
      <c r="E252" s="265"/>
      <c r="F252" s="265"/>
      <c r="G252" s="265"/>
      <c r="H252" s="265"/>
      <c r="I252" s="265"/>
      <c r="J252" s="312">
        <f>+SUM(I253:I254)</f>
        <v>10.0725</v>
      </c>
      <c r="K252" s="449" t="s">
        <v>470</v>
      </c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" customHeight="1" outlineLevel="1" x14ac:dyDescent="0.25">
      <c r="A253" s="12"/>
      <c r="B253" s="354" t="s">
        <v>552</v>
      </c>
      <c r="C253" s="352"/>
      <c r="D253" s="10" t="s">
        <v>38</v>
      </c>
      <c r="E253" s="10">
        <f>E250</f>
        <v>1</v>
      </c>
      <c r="F253" s="10">
        <v>3.95</v>
      </c>
      <c r="G253" s="131">
        <v>2.5499999999999998</v>
      </c>
      <c r="H253" s="10"/>
      <c r="I253" s="10">
        <f>PRODUCT(E253:H253)</f>
        <v>10.0725</v>
      </c>
      <c r="J253" s="10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" customHeight="1" outlineLevel="1" x14ac:dyDescent="0.25">
      <c r="A254" s="12"/>
      <c r="B254" s="162"/>
      <c r="C254" s="353"/>
      <c r="D254" s="10"/>
      <c r="E254" s="10"/>
      <c r="F254" s="10"/>
      <c r="G254" s="131"/>
      <c r="H254" s="10"/>
      <c r="I254" s="10"/>
      <c r="J254" s="10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" customHeight="1" x14ac:dyDescent="0.25">
      <c r="A255" s="231" t="s">
        <v>760</v>
      </c>
      <c r="B255" s="232" t="s">
        <v>19</v>
      </c>
      <c r="C255" s="233"/>
      <c r="D255" s="231" t="s">
        <v>118</v>
      </c>
      <c r="E255" s="265"/>
      <c r="F255" s="265"/>
      <c r="G255" s="265"/>
      <c r="H255" s="265"/>
      <c r="I255" s="265"/>
      <c r="J255" s="312">
        <f>SUM(I256:I258)</f>
        <v>151.08750000000001</v>
      </c>
      <c r="K255" s="449" t="s">
        <v>470</v>
      </c>
      <c r="L255" s="511" t="s">
        <v>590</v>
      </c>
      <c r="M255" s="18">
        <f>+J255/J249</f>
        <v>75</v>
      </c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" customHeight="1" outlineLevel="1" x14ac:dyDescent="0.25">
      <c r="A256" s="8"/>
      <c r="B256" s="162"/>
      <c r="C256" s="236"/>
      <c r="D256" s="237"/>
      <c r="E256" s="237"/>
      <c r="F256" s="237"/>
      <c r="G256" s="237" t="s">
        <v>351</v>
      </c>
      <c r="H256" s="237"/>
      <c r="I256" s="237"/>
      <c r="J256" s="8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" customHeight="1" outlineLevel="1" x14ac:dyDescent="0.25">
      <c r="A257" s="8"/>
      <c r="B257" s="784" t="s">
        <v>352</v>
      </c>
      <c r="C257" s="785"/>
      <c r="D257" s="237" t="s">
        <v>118</v>
      </c>
      <c r="E257" s="237" t="s">
        <v>353</v>
      </c>
      <c r="F257" s="237">
        <f>+J249*75</f>
        <v>151.08750000000001</v>
      </c>
      <c r="G257" s="237">
        <v>1</v>
      </c>
      <c r="H257" s="237"/>
      <c r="I257" s="237">
        <f>PRODUCT(E257:H257)</f>
        <v>151.08750000000001</v>
      </c>
      <c r="J257" s="8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" customHeight="1" outlineLevel="1" x14ac:dyDescent="0.25">
      <c r="A258" s="14"/>
      <c r="B258" s="228"/>
      <c r="C258" s="303"/>
      <c r="D258" s="304"/>
      <c r="E258" s="304"/>
      <c r="F258" s="304"/>
      <c r="G258" s="304"/>
      <c r="H258" s="304"/>
      <c r="I258" s="304"/>
      <c r="J258" s="319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" customHeight="1" x14ac:dyDescent="0.25">
      <c r="A259" s="259" t="s">
        <v>761</v>
      </c>
      <c r="B259" s="260" t="s">
        <v>20</v>
      </c>
      <c r="C259" s="261"/>
      <c r="D259" s="262"/>
      <c r="E259" s="267"/>
      <c r="F259" s="267"/>
      <c r="G259" s="267"/>
      <c r="H259" s="267"/>
      <c r="I259" s="267"/>
      <c r="J259" s="316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" customHeight="1" x14ac:dyDescent="0.25">
      <c r="A260" s="231" t="s">
        <v>762</v>
      </c>
      <c r="B260" s="232" t="s">
        <v>383</v>
      </c>
      <c r="C260" s="233"/>
      <c r="D260" s="231" t="s">
        <v>37</v>
      </c>
      <c r="E260" s="265"/>
      <c r="F260" s="265"/>
      <c r="G260" s="265"/>
      <c r="H260" s="265"/>
      <c r="I260" s="265"/>
      <c r="J260" s="312">
        <f>SUM(I261:I263)</f>
        <v>2.9400000000000004</v>
      </c>
      <c r="K260" s="449" t="s">
        <v>470</v>
      </c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" customHeight="1" outlineLevel="1" x14ac:dyDescent="0.25">
      <c r="A261" s="13" t="s">
        <v>240</v>
      </c>
      <c r="B261" s="163" t="s">
        <v>430</v>
      </c>
      <c r="C261" s="132"/>
      <c r="D261" s="10" t="s">
        <v>37</v>
      </c>
      <c r="E261" s="10">
        <v>1</v>
      </c>
      <c r="F261" s="10">
        <v>1.2</v>
      </c>
      <c r="G261" s="268">
        <v>0.6</v>
      </c>
      <c r="H261" s="268">
        <v>1</v>
      </c>
      <c r="I261" s="10">
        <f>PRODUCT(E261:H261)</f>
        <v>0.72</v>
      </c>
      <c r="J261" s="8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" customHeight="1" outlineLevel="1" x14ac:dyDescent="0.25">
      <c r="A262" s="139"/>
      <c r="B262" s="163" t="s">
        <v>613</v>
      </c>
      <c r="C262" s="132"/>
      <c r="D262" s="10" t="s">
        <v>37</v>
      </c>
      <c r="E262" s="10">
        <v>1</v>
      </c>
      <c r="F262" s="268">
        <v>1.2</v>
      </c>
      <c r="G262" s="268" t="s">
        <v>49</v>
      </c>
      <c r="H262" s="268">
        <v>1.85</v>
      </c>
      <c r="I262" s="10">
        <f>PRODUCT(E262:H262)</f>
        <v>2.2200000000000002</v>
      </c>
      <c r="J262" s="8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s="230" customFormat="1" ht="15" customHeight="1" outlineLevel="1" x14ac:dyDescent="0.25">
      <c r="A263" s="157"/>
      <c r="B263" s="162"/>
      <c r="C263" s="132"/>
      <c r="D263" s="10"/>
      <c r="E263" s="10"/>
      <c r="F263" s="10"/>
      <c r="G263" s="10"/>
      <c r="H263" s="268"/>
      <c r="I263" s="10"/>
      <c r="J263" s="8"/>
    </row>
    <row r="264" spans="1:26" ht="15" customHeight="1" x14ac:dyDescent="0.25">
      <c r="A264" s="231" t="s">
        <v>763</v>
      </c>
      <c r="B264" s="232" t="s">
        <v>21</v>
      </c>
      <c r="C264" s="233"/>
      <c r="D264" s="231" t="s">
        <v>38</v>
      </c>
      <c r="E264" s="265"/>
      <c r="F264" s="265"/>
      <c r="G264" s="265"/>
      <c r="H264" s="265"/>
      <c r="I264" s="265"/>
      <c r="J264" s="312">
        <f>SUM(I265:I269)</f>
        <v>15.756</v>
      </c>
      <c r="K264" s="449" t="s">
        <v>470</v>
      </c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" customHeight="1" outlineLevel="1" x14ac:dyDescent="0.25">
      <c r="A265" s="13" t="s">
        <v>240</v>
      </c>
      <c r="B265" s="163" t="s">
        <v>430</v>
      </c>
      <c r="C265" s="152"/>
      <c r="D265" s="10" t="s">
        <v>38</v>
      </c>
      <c r="E265" s="268">
        <v>1</v>
      </c>
      <c r="F265" s="237" t="s">
        <v>44</v>
      </c>
      <c r="G265" s="10">
        <f>2*(F261+G261)</f>
        <v>3.5999999999999996</v>
      </c>
      <c r="H265" s="268">
        <v>0.75</v>
      </c>
      <c r="I265" s="10">
        <f>PRODUCT(E265:H265)</f>
        <v>2.6999999999999997</v>
      </c>
      <c r="J265" s="8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s="230" customFormat="1" ht="15" customHeight="1" outlineLevel="1" x14ac:dyDescent="0.25">
      <c r="A266" s="138"/>
      <c r="B266" s="163" t="s">
        <v>614</v>
      </c>
      <c r="C266" s="152"/>
      <c r="D266" s="10" t="s">
        <v>38</v>
      </c>
      <c r="E266" s="268">
        <v>1</v>
      </c>
      <c r="F266" s="514">
        <v>1.2</v>
      </c>
      <c r="G266" s="268">
        <v>5.62</v>
      </c>
      <c r="H266" s="268"/>
      <c r="I266" s="10">
        <f>PRODUCT(E266:H266)</f>
        <v>6.7439999999999998</v>
      </c>
      <c r="J266" s="8"/>
    </row>
    <row r="267" spans="1:26" ht="15" customHeight="1" outlineLevel="1" x14ac:dyDescent="0.25">
      <c r="A267" s="138"/>
      <c r="B267" s="163" t="s">
        <v>613</v>
      </c>
      <c r="C267" s="152"/>
      <c r="D267" s="10" t="s">
        <v>38</v>
      </c>
      <c r="E267" s="268">
        <v>2</v>
      </c>
      <c r="F267" s="268"/>
      <c r="G267" s="268" t="s">
        <v>49</v>
      </c>
      <c r="H267" s="268">
        <v>1.32</v>
      </c>
      <c r="I267" s="10">
        <f>PRODUCT(E267:H267)</f>
        <v>2.64</v>
      </c>
      <c r="J267" s="8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" customHeight="1" outlineLevel="1" x14ac:dyDescent="0.25">
      <c r="A268" s="138"/>
      <c r="B268" s="163" t="s">
        <v>429</v>
      </c>
      <c r="C268" s="152"/>
      <c r="D268" s="10" t="s">
        <v>38</v>
      </c>
      <c r="E268" s="268">
        <v>18</v>
      </c>
      <c r="F268" s="268">
        <v>1.2</v>
      </c>
      <c r="G268" s="268">
        <v>0.17</v>
      </c>
      <c r="H268" s="268"/>
      <c r="I268" s="10">
        <f>PRODUCT(E268:H268)</f>
        <v>3.6719999999999997</v>
      </c>
      <c r="J268" s="8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" customHeight="1" outlineLevel="1" x14ac:dyDescent="0.25">
      <c r="A269" s="13"/>
      <c r="B269" s="163"/>
      <c r="C269" s="152"/>
      <c r="D269" s="10"/>
      <c r="E269" s="268"/>
      <c r="F269" s="268"/>
      <c r="G269" s="10"/>
      <c r="H269" s="268"/>
      <c r="I269" s="10"/>
      <c r="J269" s="8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" customHeight="1" x14ac:dyDescent="0.25">
      <c r="A270" s="231" t="s">
        <v>764</v>
      </c>
      <c r="B270" s="128" t="s">
        <v>22</v>
      </c>
      <c r="C270" s="128"/>
      <c r="D270" s="7" t="s">
        <v>118</v>
      </c>
      <c r="E270" s="269"/>
      <c r="F270" s="269"/>
      <c r="G270" s="269"/>
      <c r="H270" s="269"/>
      <c r="I270" s="269"/>
      <c r="J270" s="312">
        <f>SUM(I271:I272)</f>
        <v>191.10000000000002</v>
      </c>
      <c r="K270" s="449" t="s">
        <v>470</v>
      </c>
      <c r="L270" s="511" t="s">
        <v>590</v>
      </c>
      <c r="M270" s="18">
        <f>+J270/J260</f>
        <v>65</v>
      </c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s="230" customFormat="1" ht="15" customHeight="1" outlineLevel="1" x14ac:dyDescent="0.25">
      <c r="A271" s="8"/>
      <c r="B271" s="162"/>
      <c r="C271" s="236"/>
      <c r="D271" s="237"/>
      <c r="E271" s="237"/>
      <c r="F271" s="237"/>
      <c r="G271" s="237" t="s">
        <v>351</v>
      </c>
      <c r="H271" s="237"/>
      <c r="I271" s="237"/>
      <c r="J271" s="8"/>
    </row>
    <row r="272" spans="1:26" ht="15" customHeight="1" outlineLevel="1" x14ac:dyDescent="0.25">
      <c r="A272" s="8"/>
      <c r="B272" s="784" t="s">
        <v>352</v>
      </c>
      <c r="C272" s="785"/>
      <c r="D272" s="237" t="s">
        <v>118</v>
      </c>
      <c r="E272" s="237" t="s">
        <v>353</v>
      </c>
      <c r="F272" s="237">
        <f>+J260*65</f>
        <v>191.10000000000002</v>
      </c>
      <c r="G272" s="237">
        <v>1</v>
      </c>
      <c r="H272" s="491"/>
      <c r="I272" s="491">
        <f>PRODUCT(E272:H272)</f>
        <v>191.10000000000002</v>
      </c>
      <c r="J272" s="454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" customHeight="1" outlineLevel="1" x14ac:dyDescent="0.25">
      <c r="A273" s="8"/>
      <c r="B273" s="163"/>
      <c r="C273" s="236"/>
      <c r="D273" s="237"/>
      <c r="E273" s="237"/>
      <c r="F273" s="237"/>
      <c r="G273" s="237"/>
      <c r="H273" s="237"/>
      <c r="I273" s="237"/>
      <c r="J273" s="156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" customHeight="1" x14ac:dyDescent="0.25">
      <c r="A274" s="5" t="s">
        <v>347</v>
      </c>
      <c r="B274" s="489" t="s">
        <v>318</v>
      </c>
      <c r="C274" s="126"/>
      <c r="D274" s="6"/>
      <c r="E274" s="263"/>
      <c r="F274" s="263"/>
      <c r="G274" s="263"/>
      <c r="H274" s="263"/>
      <c r="I274" s="263"/>
      <c r="J274" s="314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" customHeight="1" collapsed="1" x14ac:dyDescent="0.25">
      <c r="A275" s="241" t="s">
        <v>739</v>
      </c>
      <c r="B275" s="242" t="s">
        <v>777</v>
      </c>
      <c r="C275" s="243"/>
      <c r="D275" s="244"/>
      <c r="E275" s="264"/>
      <c r="F275" s="264"/>
      <c r="G275" s="264"/>
      <c r="H275" s="264"/>
      <c r="I275" s="264"/>
      <c r="J275" s="315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" customHeight="1" x14ac:dyDescent="0.25">
      <c r="A276" s="259" t="s">
        <v>744</v>
      </c>
      <c r="B276" s="488" t="s">
        <v>387</v>
      </c>
      <c r="C276" s="261"/>
      <c r="D276" s="262"/>
      <c r="E276" s="267"/>
      <c r="F276" s="267"/>
      <c r="G276" s="267"/>
      <c r="H276" s="267"/>
      <c r="I276" s="267"/>
      <c r="J276" s="316"/>
      <c r="K276" s="482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" customHeight="1" x14ac:dyDescent="0.25">
      <c r="A277" s="231" t="s">
        <v>745</v>
      </c>
      <c r="B277" s="232" t="s">
        <v>178</v>
      </c>
      <c r="C277" s="233"/>
      <c r="D277" s="231" t="s">
        <v>37</v>
      </c>
      <c r="E277" s="265"/>
      <c r="F277" s="265"/>
      <c r="G277" s="265"/>
      <c r="H277" s="265"/>
      <c r="I277" s="265"/>
      <c r="J277" s="312">
        <f>SUM(I278:I281)</f>
        <v>8.5749999999999993</v>
      </c>
      <c r="K277" s="449" t="s">
        <v>470</v>
      </c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" hidden="1" customHeight="1" outlineLevel="1" x14ac:dyDescent="0.25">
      <c r="A278" s="360"/>
      <c r="B278" s="163" t="s">
        <v>45</v>
      </c>
      <c r="C278" s="155"/>
      <c r="D278" s="141" t="s">
        <v>37</v>
      </c>
      <c r="E278" s="10">
        <v>1</v>
      </c>
      <c r="F278" s="10" t="s">
        <v>55</v>
      </c>
      <c r="G278" s="10">
        <v>1.25</v>
      </c>
      <c r="H278" s="10">
        <v>3.5</v>
      </c>
      <c r="I278" s="140">
        <f>PRODUCT(E278:H278)</f>
        <v>4.375</v>
      </c>
      <c r="J278" s="318"/>
      <c r="K278" s="456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" hidden="1" customHeight="1" outlineLevel="1" x14ac:dyDescent="0.25">
      <c r="A279" s="360"/>
      <c r="B279" s="163" t="s">
        <v>46</v>
      </c>
      <c r="C279" s="155"/>
      <c r="D279" s="141" t="s">
        <v>37</v>
      </c>
      <c r="E279" s="10">
        <v>1</v>
      </c>
      <c r="F279" s="10" t="s">
        <v>55</v>
      </c>
      <c r="G279" s="10">
        <v>0.6</v>
      </c>
      <c r="H279" s="10">
        <v>3.5</v>
      </c>
      <c r="I279" s="140">
        <f>PRODUCT(E279:H279)</f>
        <v>2.1</v>
      </c>
      <c r="J279" s="318"/>
      <c r="K279" s="456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" hidden="1" customHeight="1" outlineLevel="1" x14ac:dyDescent="0.25">
      <c r="A280" s="360"/>
      <c r="B280" s="163" t="s">
        <v>504</v>
      </c>
      <c r="C280" s="155"/>
      <c r="D280" s="141" t="s">
        <v>37</v>
      </c>
      <c r="E280" s="10">
        <v>1</v>
      </c>
      <c r="F280" s="10" t="s">
        <v>55</v>
      </c>
      <c r="G280" s="10">
        <v>0.6</v>
      </c>
      <c r="H280" s="10">
        <v>3.5</v>
      </c>
      <c r="I280" s="140">
        <f>PRODUCT(E280:H280)</f>
        <v>2.1</v>
      </c>
      <c r="J280" s="318"/>
      <c r="K280" s="456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" hidden="1" customHeight="1" outlineLevel="1" x14ac:dyDescent="0.25">
      <c r="A281" s="360"/>
      <c r="B281" s="486"/>
      <c r="C281" s="486"/>
      <c r="D281" s="141"/>
      <c r="E281" s="141"/>
      <c r="F281" s="141"/>
      <c r="G281" s="141"/>
      <c r="H281" s="141"/>
      <c r="I281" s="141"/>
      <c r="J281" s="156"/>
      <c r="K281" s="456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" customHeight="1" collapsed="1" x14ac:dyDescent="0.25">
      <c r="A282" s="231" t="s">
        <v>746</v>
      </c>
      <c r="B282" s="232" t="s">
        <v>179</v>
      </c>
      <c r="C282" s="233"/>
      <c r="D282" s="231" t="s">
        <v>38</v>
      </c>
      <c r="E282" s="265"/>
      <c r="F282" s="265"/>
      <c r="G282" s="265"/>
      <c r="H282" s="265"/>
      <c r="I282" s="265"/>
      <c r="J282" s="312">
        <f>SUM(I283:I286)</f>
        <v>82.600000000000009</v>
      </c>
      <c r="K282" s="449" t="s">
        <v>470</v>
      </c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" hidden="1" customHeight="1" outlineLevel="1" x14ac:dyDescent="0.25">
      <c r="A283" s="360"/>
      <c r="B283" s="163" t="s">
        <v>45</v>
      </c>
      <c r="C283" s="155"/>
      <c r="D283" s="141" t="s">
        <v>38</v>
      </c>
      <c r="E283" s="10">
        <v>1</v>
      </c>
      <c r="F283" s="10" t="s">
        <v>542</v>
      </c>
      <c r="G283" s="10">
        <v>11.8</v>
      </c>
      <c r="H283" s="10">
        <v>3.5</v>
      </c>
      <c r="I283" s="140">
        <f>PRODUCT(E283:H283)</f>
        <v>41.300000000000004</v>
      </c>
      <c r="J283" s="318"/>
      <c r="K283" s="482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" hidden="1" customHeight="1" outlineLevel="1" x14ac:dyDescent="0.25">
      <c r="A284" s="360"/>
      <c r="B284" s="163" t="s">
        <v>46</v>
      </c>
      <c r="C284" s="155"/>
      <c r="D284" s="141" t="s">
        <v>38</v>
      </c>
      <c r="E284" s="10">
        <v>1</v>
      </c>
      <c r="F284" s="10" t="s">
        <v>542</v>
      </c>
      <c r="G284" s="10">
        <v>6.8</v>
      </c>
      <c r="H284" s="10">
        <v>3.5</v>
      </c>
      <c r="I284" s="140">
        <f>PRODUCT(E284:H284)</f>
        <v>23.8</v>
      </c>
      <c r="J284" s="318"/>
      <c r="K284" s="456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" hidden="1" customHeight="1" outlineLevel="1" x14ac:dyDescent="0.25">
      <c r="A285" s="360"/>
      <c r="B285" s="163" t="s">
        <v>504</v>
      </c>
      <c r="C285" s="155"/>
      <c r="D285" s="141" t="s">
        <v>38</v>
      </c>
      <c r="E285" s="10">
        <v>1</v>
      </c>
      <c r="F285" s="10" t="s">
        <v>542</v>
      </c>
      <c r="G285" s="10">
        <v>5</v>
      </c>
      <c r="H285" s="10">
        <v>3.5</v>
      </c>
      <c r="I285" s="140">
        <f>PRODUCT(E285:H285)</f>
        <v>17.5</v>
      </c>
      <c r="J285" s="318"/>
      <c r="K285" s="456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" hidden="1" customHeight="1" outlineLevel="1" x14ac:dyDescent="0.25">
      <c r="A286" s="360"/>
      <c r="B286" s="163"/>
      <c r="C286" s="270"/>
      <c r="D286" s="141"/>
      <c r="E286" s="10"/>
      <c r="F286" s="141"/>
      <c r="G286" s="140"/>
      <c r="H286" s="10"/>
      <c r="I286" s="140"/>
      <c r="J286" s="8"/>
      <c r="K286" s="456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" customHeight="1" collapsed="1" x14ac:dyDescent="0.25">
      <c r="A287" s="231" t="s">
        <v>747</v>
      </c>
      <c r="B287" s="232" t="s">
        <v>180</v>
      </c>
      <c r="C287" s="233"/>
      <c r="D287" s="231" t="s">
        <v>118</v>
      </c>
      <c r="E287" s="265"/>
      <c r="F287" s="265"/>
      <c r="G287" s="265"/>
      <c r="H287" s="265"/>
      <c r="I287" s="265"/>
      <c r="J287" s="312">
        <f>SUM(I288:I290)</f>
        <v>814.62499999999989</v>
      </c>
      <c r="K287" s="449" t="s">
        <v>470</v>
      </c>
      <c r="L287" s="511" t="s">
        <v>590</v>
      </c>
      <c r="M287" s="18">
        <f>+J287/J277</f>
        <v>95</v>
      </c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" hidden="1" customHeight="1" outlineLevel="1" x14ac:dyDescent="0.25">
      <c r="A288" s="459"/>
      <c r="B288" s="460"/>
      <c r="C288" s="446"/>
      <c r="D288" s="448"/>
      <c r="E288" s="448"/>
      <c r="F288" s="448"/>
      <c r="G288" s="448"/>
      <c r="H288" s="448"/>
      <c r="I288" s="448"/>
      <c r="J288" s="459"/>
      <c r="K288" s="455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" hidden="1" customHeight="1" outlineLevel="1" x14ac:dyDescent="0.25">
      <c r="A289" s="459"/>
      <c r="B289" s="786" t="s">
        <v>352</v>
      </c>
      <c r="C289" s="787"/>
      <c r="D289" s="448" t="s">
        <v>118</v>
      </c>
      <c r="E289" s="448" t="s">
        <v>353</v>
      </c>
      <c r="F289" s="448">
        <f>+J277</f>
        <v>8.5749999999999993</v>
      </c>
      <c r="G289" s="448">
        <v>95</v>
      </c>
      <c r="H289" s="448"/>
      <c r="I289" s="448">
        <f>PRODUCT(E289:H289)</f>
        <v>814.62499999999989</v>
      </c>
      <c r="J289" s="459"/>
      <c r="K289" s="455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" hidden="1" customHeight="1" outlineLevel="1" x14ac:dyDescent="0.25">
      <c r="A290" s="461"/>
      <c r="B290" s="462"/>
      <c r="C290" s="463"/>
      <c r="D290" s="464"/>
      <c r="E290" s="464"/>
      <c r="F290" s="464"/>
      <c r="G290" s="464"/>
      <c r="H290" s="464"/>
      <c r="I290" s="464"/>
      <c r="J290" s="465"/>
      <c r="K290" s="455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" customHeight="1" collapsed="1" x14ac:dyDescent="0.25">
      <c r="A291" s="259" t="s">
        <v>748</v>
      </c>
      <c r="B291" s="488" t="s">
        <v>12</v>
      </c>
      <c r="C291" s="261"/>
      <c r="D291" s="262"/>
      <c r="E291" s="267"/>
      <c r="F291" s="267"/>
      <c r="G291" s="267"/>
      <c r="H291" s="267"/>
      <c r="I291" s="267"/>
      <c r="J291" s="316"/>
      <c r="K291" s="455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" customHeight="1" x14ac:dyDescent="0.25">
      <c r="A292" s="231" t="s">
        <v>749</v>
      </c>
      <c r="B292" s="232" t="s">
        <v>380</v>
      </c>
      <c r="C292" s="233"/>
      <c r="D292" s="231" t="s">
        <v>37</v>
      </c>
      <c r="E292" s="265"/>
      <c r="F292" s="265"/>
      <c r="G292" s="265"/>
      <c r="H292" s="265"/>
      <c r="I292" s="265"/>
      <c r="J292" s="312">
        <f>SUM(I293:I301)</f>
        <v>4.1165000000000003</v>
      </c>
      <c r="K292" s="449" t="s">
        <v>470</v>
      </c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" hidden="1" customHeight="1" outlineLevel="1" x14ac:dyDescent="0.3">
      <c r="A293" s="361"/>
      <c r="B293" s="362"/>
      <c r="C293" s="132"/>
      <c r="D293" s="142" t="s">
        <v>37</v>
      </c>
      <c r="E293" s="10">
        <v>1</v>
      </c>
      <c r="F293" s="10">
        <v>4.5</v>
      </c>
      <c r="G293" s="10">
        <v>0.25</v>
      </c>
      <c r="H293" s="10">
        <v>0.5</v>
      </c>
      <c r="I293" s="10">
        <f t="shared" ref="I293:I300" si="10">PRODUCT(E293:H293)</f>
        <v>0.5625</v>
      </c>
      <c r="J293" s="8"/>
      <c r="K293" s="455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" hidden="1" customHeight="1" outlineLevel="1" x14ac:dyDescent="0.3">
      <c r="A294" s="361"/>
      <c r="B294" s="362"/>
      <c r="C294" s="132"/>
      <c r="D294" s="142" t="s">
        <v>37</v>
      </c>
      <c r="E294" s="10">
        <v>1</v>
      </c>
      <c r="F294" s="10">
        <v>2.2999999999999998</v>
      </c>
      <c r="G294" s="10">
        <v>0.25</v>
      </c>
      <c r="H294" s="10">
        <v>0.5</v>
      </c>
      <c r="I294" s="10">
        <f t="shared" si="10"/>
        <v>0.28749999999999998</v>
      </c>
      <c r="J294" s="8"/>
      <c r="K294" s="455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" hidden="1" customHeight="1" outlineLevel="1" x14ac:dyDescent="0.3">
      <c r="A295" s="361"/>
      <c r="B295" s="362"/>
      <c r="C295" s="132"/>
      <c r="D295" s="142" t="s">
        <v>37</v>
      </c>
      <c r="E295" s="10">
        <v>1</v>
      </c>
      <c r="F295" s="10">
        <v>9.5500000000000007</v>
      </c>
      <c r="G295" s="10">
        <v>0.25</v>
      </c>
      <c r="H295" s="10">
        <v>0.5</v>
      </c>
      <c r="I295" s="10">
        <f t="shared" si="10"/>
        <v>1.1937500000000001</v>
      </c>
      <c r="J295" s="8"/>
      <c r="K295" s="455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" hidden="1" customHeight="1" outlineLevel="1" x14ac:dyDescent="0.3">
      <c r="A296" s="361"/>
      <c r="B296" s="362"/>
      <c r="C296" s="132"/>
      <c r="D296" s="142" t="s">
        <v>37</v>
      </c>
      <c r="E296" s="10">
        <v>1</v>
      </c>
      <c r="F296" s="10">
        <v>2.4500000000000002</v>
      </c>
      <c r="G296" s="10">
        <v>0.25</v>
      </c>
      <c r="H296" s="10">
        <v>0.5</v>
      </c>
      <c r="I296" s="10">
        <f t="shared" si="10"/>
        <v>0.30625000000000002</v>
      </c>
      <c r="J296" s="8"/>
      <c r="K296" s="455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" hidden="1" customHeight="1" outlineLevel="1" x14ac:dyDescent="0.3">
      <c r="A297" s="361"/>
      <c r="B297" s="362"/>
      <c r="C297" s="132"/>
      <c r="D297" s="142" t="s">
        <v>37</v>
      </c>
      <c r="E297" s="10">
        <v>1</v>
      </c>
      <c r="F297" s="10">
        <v>8.15</v>
      </c>
      <c r="G297" s="10">
        <v>0.25</v>
      </c>
      <c r="H297" s="10">
        <v>0.5</v>
      </c>
      <c r="I297" s="10">
        <f t="shared" si="10"/>
        <v>1.01875</v>
      </c>
      <c r="J297" s="8"/>
      <c r="K297" s="455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" hidden="1" customHeight="1" outlineLevel="1" x14ac:dyDescent="0.3">
      <c r="A298" s="361"/>
      <c r="B298" s="362"/>
      <c r="C298" s="132"/>
      <c r="D298" s="142" t="s">
        <v>37</v>
      </c>
      <c r="E298" s="10">
        <v>1</v>
      </c>
      <c r="F298" s="10">
        <v>3.05</v>
      </c>
      <c r="G298" s="10">
        <v>0.25</v>
      </c>
      <c r="H298" s="10">
        <v>0.5</v>
      </c>
      <c r="I298" s="10">
        <f t="shared" si="10"/>
        <v>0.38124999999999998</v>
      </c>
      <c r="J298" s="8"/>
      <c r="K298" s="455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" hidden="1" customHeight="1" outlineLevel="1" x14ac:dyDescent="0.3">
      <c r="A299" s="361"/>
      <c r="B299" s="362"/>
      <c r="C299" s="132"/>
      <c r="D299" s="142" t="s">
        <v>37</v>
      </c>
      <c r="E299" s="10">
        <v>2</v>
      </c>
      <c r="F299" s="10">
        <v>2.9</v>
      </c>
      <c r="G299" s="10">
        <v>0.25</v>
      </c>
      <c r="H299" s="10">
        <v>0.2</v>
      </c>
      <c r="I299" s="10">
        <f t="shared" si="10"/>
        <v>0.28999999999999998</v>
      </c>
      <c r="J299" s="8"/>
      <c r="K299" s="455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" hidden="1" customHeight="1" outlineLevel="1" x14ac:dyDescent="0.3">
      <c r="A300" s="361"/>
      <c r="B300" s="362"/>
      <c r="C300" s="132"/>
      <c r="D300" s="142" t="s">
        <v>37</v>
      </c>
      <c r="E300" s="10">
        <v>1</v>
      </c>
      <c r="F300" s="10">
        <v>2.5499999999999998</v>
      </c>
      <c r="G300" s="10">
        <v>0.15</v>
      </c>
      <c r="H300" s="10">
        <v>0.2</v>
      </c>
      <c r="I300" s="10">
        <f t="shared" si="10"/>
        <v>7.6499999999999999E-2</v>
      </c>
      <c r="J300" s="8"/>
      <c r="K300" s="455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s="230" customFormat="1" ht="15" hidden="1" customHeight="1" outlineLevel="1" x14ac:dyDescent="0.3">
      <c r="A301" s="361"/>
      <c r="B301" s="362"/>
      <c r="C301" s="132"/>
      <c r="D301" s="142"/>
      <c r="E301" s="10"/>
      <c r="F301" s="10"/>
      <c r="G301" s="10"/>
      <c r="H301" s="10"/>
      <c r="I301" s="10"/>
      <c r="J301" s="8"/>
      <c r="K301" s="456"/>
    </row>
    <row r="302" spans="1:26" ht="15" customHeight="1" collapsed="1" x14ac:dyDescent="0.25">
      <c r="A302" s="231" t="s">
        <v>750</v>
      </c>
      <c r="B302" s="232" t="s">
        <v>13</v>
      </c>
      <c r="C302" s="233"/>
      <c r="D302" s="231" t="s">
        <v>38</v>
      </c>
      <c r="E302" s="265"/>
      <c r="F302" s="265"/>
      <c r="G302" s="265"/>
      <c r="H302" s="265"/>
      <c r="I302" s="265"/>
      <c r="J302" s="312">
        <f>SUM(I304:I311)</f>
        <v>26.337499999999999</v>
      </c>
      <c r="K302" s="449" t="s">
        <v>470</v>
      </c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" hidden="1" customHeight="1" outlineLevel="1" x14ac:dyDescent="0.3">
      <c r="A303" s="361"/>
      <c r="B303" s="362"/>
      <c r="C303" s="132"/>
      <c r="D303" s="142" t="s">
        <v>38</v>
      </c>
      <c r="E303" s="10">
        <v>1</v>
      </c>
      <c r="F303" s="10">
        <v>4.5</v>
      </c>
      <c r="G303" s="10">
        <v>0.85</v>
      </c>
      <c r="H303" s="10"/>
      <c r="I303" s="10">
        <f>PRODUCT(E303:H303)</f>
        <v>3.8249999999999997</v>
      </c>
      <c r="J303" s="8"/>
      <c r="K303" s="455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" hidden="1" customHeight="1" outlineLevel="1" x14ac:dyDescent="0.3">
      <c r="A304" s="361"/>
      <c r="B304" s="362"/>
      <c r="C304" s="132"/>
      <c r="D304" s="142" t="s">
        <v>38</v>
      </c>
      <c r="E304" s="10">
        <v>1</v>
      </c>
      <c r="F304" s="10">
        <v>2.2999999999999998</v>
      </c>
      <c r="G304" s="10">
        <v>0.85</v>
      </c>
      <c r="H304" s="10"/>
      <c r="I304" s="10">
        <f>PRODUCT(E304:H304)</f>
        <v>1.9549999999999998</v>
      </c>
      <c r="J304" s="8"/>
      <c r="K304" s="455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" hidden="1" customHeight="1" outlineLevel="1" x14ac:dyDescent="0.3">
      <c r="A305" s="361"/>
      <c r="B305" s="362"/>
      <c r="C305" s="132"/>
      <c r="D305" s="142" t="s">
        <v>38</v>
      </c>
      <c r="E305" s="10">
        <v>1</v>
      </c>
      <c r="F305" s="10">
        <v>9.5500000000000007</v>
      </c>
      <c r="G305" s="10">
        <v>0.85</v>
      </c>
      <c r="H305" s="10"/>
      <c r="I305" s="10">
        <f t="shared" ref="I305:I310" si="11">PRODUCT(E305:H305)</f>
        <v>8.1174999999999997</v>
      </c>
      <c r="J305" s="8"/>
      <c r="K305" s="455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" hidden="1" customHeight="1" outlineLevel="1" x14ac:dyDescent="0.3">
      <c r="A306" s="361"/>
      <c r="B306" s="362"/>
      <c r="C306" s="132"/>
      <c r="D306" s="142" t="s">
        <v>38</v>
      </c>
      <c r="E306" s="10">
        <v>1</v>
      </c>
      <c r="F306" s="10">
        <v>2.4500000000000002</v>
      </c>
      <c r="G306" s="10">
        <v>0.85</v>
      </c>
      <c r="H306" s="10"/>
      <c r="I306" s="10">
        <f t="shared" si="11"/>
        <v>2.0825</v>
      </c>
      <c r="J306" s="8"/>
      <c r="K306" s="455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" hidden="1" customHeight="1" outlineLevel="1" x14ac:dyDescent="0.3">
      <c r="A307" s="361"/>
      <c r="B307" s="362"/>
      <c r="C307" s="132"/>
      <c r="D307" s="142" t="s">
        <v>38</v>
      </c>
      <c r="E307" s="10">
        <v>1</v>
      </c>
      <c r="F307" s="10">
        <v>8.15</v>
      </c>
      <c r="G307" s="10">
        <v>0.85</v>
      </c>
      <c r="H307" s="10"/>
      <c r="I307" s="10">
        <f t="shared" si="11"/>
        <v>6.9275000000000002</v>
      </c>
      <c r="J307" s="8"/>
      <c r="K307" s="455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" hidden="1" customHeight="1" outlineLevel="1" x14ac:dyDescent="0.3">
      <c r="A308" s="361"/>
      <c r="B308" s="362"/>
      <c r="C308" s="132"/>
      <c r="D308" s="142" t="s">
        <v>38</v>
      </c>
      <c r="E308" s="10">
        <v>1</v>
      </c>
      <c r="F308" s="10">
        <v>3.05</v>
      </c>
      <c r="G308" s="10">
        <v>0.85</v>
      </c>
      <c r="H308" s="10"/>
      <c r="I308" s="10">
        <f t="shared" si="11"/>
        <v>2.5924999999999998</v>
      </c>
      <c r="J308" s="8"/>
      <c r="K308" s="455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" hidden="1" customHeight="1" outlineLevel="1" x14ac:dyDescent="0.3">
      <c r="A309" s="361"/>
      <c r="B309" s="362"/>
      <c r="C309" s="132"/>
      <c r="D309" s="142" t="s">
        <v>38</v>
      </c>
      <c r="E309" s="10">
        <v>2</v>
      </c>
      <c r="F309" s="10">
        <v>2.9</v>
      </c>
      <c r="G309" s="10">
        <v>0.65</v>
      </c>
      <c r="H309" s="10"/>
      <c r="I309" s="10">
        <f t="shared" si="11"/>
        <v>3.77</v>
      </c>
      <c r="J309" s="8"/>
      <c r="K309" s="455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" hidden="1" customHeight="1" outlineLevel="1" x14ac:dyDescent="0.3">
      <c r="A310" s="361"/>
      <c r="B310" s="362"/>
      <c r="C310" s="132"/>
      <c r="D310" s="142" t="s">
        <v>38</v>
      </c>
      <c r="E310" s="10">
        <v>1</v>
      </c>
      <c r="F310" s="10">
        <v>2.5499999999999998</v>
      </c>
      <c r="G310" s="10">
        <v>0.35</v>
      </c>
      <c r="H310" s="10"/>
      <c r="I310" s="10">
        <f t="shared" si="11"/>
        <v>0.89249999999999985</v>
      </c>
      <c r="J310" s="8"/>
      <c r="K310" s="455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" hidden="1" customHeight="1" outlineLevel="1" x14ac:dyDescent="0.3">
      <c r="A311" s="361"/>
      <c r="B311" s="362"/>
      <c r="C311" s="132"/>
      <c r="D311" s="142"/>
      <c r="E311" s="10"/>
      <c r="F311" s="10"/>
      <c r="G311" s="10"/>
      <c r="H311" s="10"/>
      <c r="I311" s="10"/>
      <c r="J311" s="8"/>
      <c r="K311" s="455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" customHeight="1" collapsed="1" x14ac:dyDescent="0.25">
      <c r="A312" s="231" t="s">
        <v>751</v>
      </c>
      <c r="B312" s="212" t="s">
        <v>48</v>
      </c>
      <c r="C312" s="127"/>
      <c r="D312" s="7" t="s">
        <v>118</v>
      </c>
      <c r="E312" s="160"/>
      <c r="F312" s="160"/>
      <c r="G312" s="160"/>
      <c r="H312" s="160"/>
      <c r="I312" s="160"/>
      <c r="J312" s="312">
        <f>SUM(I313:I315)</f>
        <v>1029.125</v>
      </c>
      <c r="K312" s="449" t="s">
        <v>470</v>
      </c>
      <c r="L312" s="511" t="s">
        <v>590</v>
      </c>
      <c r="M312" s="18">
        <f>+J312/J292</f>
        <v>249.99999999999997</v>
      </c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" hidden="1" customHeight="1" outlineLevel="1" x14ac:dyDescent="0.25">
      <c r="A313" s="8"/>
      <c r="B313" s="162"/>
      <c r="C313" s="236"/>
      <c r="D313" s="237"/>
      <c r="E313" s="237"/>
      <c r="F313" s="237"/>
      <c r="G313" s="237" t="s">
        <v>351</v>
      </c>
      <c r="H313" s="237"/>
      <c r="I313" s="237"/>
      <c r="J313" s="8"/>
      <c r="K313" s="455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" hidden="1" customHeight="1" outlineLevel="1" x14ac:dyDescent="0.25">
      <c r="A314" s="8"/>
      <c r="B314" s="784" t="s">
        <v>352</v>
      </c>
      <c r="C314" s="785"/>
      <c r="D314" s="237" t="s">
        <v>118</v>
      </c>
      <c r="E314" s="237" t="s">
        <v>353</v>
      </c>
      <c r="F314" s="237">
        <f>+J292</f>
        <v>4.1165000000000003</v>
      </c>
      <c r="G314" s="237">
        <v>250</v>
      </c>
      <c r="H314" s="237"/>
      <c r="I314" s="237">
        <f>PRODUCT(E314:H314)</f>
        <v>1029.125</v>
      </c>
      <c r="J314" s="8"/>
      <c r="K314" s="455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s="230" customFormat="1" ht="15" hidden="1" customHeight="1" outlineLevel="1" x14ac:dyDescent="0.25">
      <c r="A315" s="14"/>
      <c r="B315" s="228"/>
      <c r="C315" s="303"/>
      <c r="D315" s="304"/>
      <c r="E315" s="304"/>
      <c r="F315" s="304"/>
      <c r="G315" s="304"/>
      <c r="H315" s="304"/>
      <c r="I315" s="304"/>
      <c r="J315" s="319"/>
      <c r="K315" s="456"/>
    </row>
    <row r="316" spans="1:26" ht="15" customHeight="1" collapsed="1" x14ac:dyDescent="0.25">
      <c r="A316" s="259" t="s">
        <v>752</v>
      </c>
      <c r="B316" s="488" t="s">
        <v>14</v>
      </c>
      <c r="C316" s="261"/>
      <c r="D316" s="262"/>
      <c r="E316" s="267"/>
      <c r="F316" s="267"/>
      <c r="G316" s="267"/>
      <c r="H316" s="267"/>
      <c r="I316" s="267"/>
      <c r="J316" s="316"/>
      <c r="K316" s="455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" customHeight="1" x14ac:dyDescent="0.25">
      <c r="A317" s="231" t="s">
        <v>753</v>
      </c>
      <c r="B317" s="232" t="s">
        <v>381</v>
      </c>
      <c r="C317" s="233"/>
      <c r="D317" s="231" t="s">
        <v>37</v>
      </c>
      <c r="E317" s="265"/>
      <c r="F317" s="265"/>
      <c r="G317" s="265"/>
      <c r="H317" s="265"/>
      <c r="I317" s="265"/>
      <c r="J317" s="312">
        <f>+J229</f>
        <v>2.2927499999999998</v>
      </c>
      <c r="K317" s="449" t="s">
        <v>470</v>
      </c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s="230" customFormat="1" ht="15" hidden="1" customHeight="1" outlineLevel="1" x14ac:dyDescent="0.25">
      <c r="A318" s="8"/>
      <c r="B318" s="618" t="s">
        <v>505</v>
      </c>
      <c r="C318" s="321"/>
      <c r="D318" s="10" t="s">
        <v>37</v>
      </c>
      <c r="E318" s="10">
        <v>1</v>
      </c>
      <c r="F318" s="10">
        <v>4.5999999999999996</v>
      </c>
      <c r="G318" s="10">
        <v>0.45</v>
      </c>
      <c r="H318" s="450"/>
      <c r="I318" s="141">
        <f t="shared" ref="I318:I327" si="12">PRODUCT(E318:H318)</f>
        <v>2.0699999999999998</v>
      </c>
      <c r="J318" s="8"/>
      <c r="K318" s="456"/>
    </row>
    <row r="319" spans="1:26" s="230" customFormat="1" ht="15" hidden="1" customHeight="1" outlineLevel="1" x14ac:dyDescent="0.25">
      <c r="A319" s="8"/>
      <c r="B319" s="618" t="s">
        <v>506</v>
      </c>
      <c r="C319" s="152"/>
      <c r="D319" s="10" t="s">
        <v>37</v>
      </c>
      <c r="E319" s="10">
        <v>1</v>
      </c>
      <c r="F319" s="10">
        <v>4.5999999999999996</v>
      </c>
      <c r="G319" s="10">
        <v>3.05</v>
      </c>
      <c r="H319" s="466"/>
      <c r="I319" s="141">
        <f t="shared" si="12"/>
        <v>14.029999999999998</v>
      </c>
      <c r="J319" s="318"/>
      <c r="K319" s="456"/>
    </row>
    <row r="320" spans="1:26" s="230" customFormat="1" ht="15" hidden="1" customHeight="1" outlineLevel="1" x14ac:dyDescent="0.25">
      <c r="A320" s="8"/>
      <c r="B320" s="618" t="s">
        <v>507</v>
      </c>
      <c r="C320" s="152"/>
      <c r="D320" s="10" t="s">
        <v>37</v>
      </c>
      <c r="E320" s="10">
        <v>1</v>
      </c>
      <c r="F320" s="10">
        <v>4.2</v>
      </c>
      <c r="G320" s="10">
        <v>3.25</v>
      </c>
      <c r="H320" s="450"/>
      <c r="I320" s="141">
        <f t="shared" si="12"/>
        <v>13.65</v>
      </c>
      <c r="J320" s="318"/>
      <c r="K320" s="456"/>
    </row>
    <row r="321" spans="1:26" s="230" customFormat="1" ht="15" hidden="1" customHeight="1" outlineLevel="1" x14ac:dyDescent="0.25">
      <c r="A321" s="8"/>
      <c r="B321" s="618" t="s">
        <v>508</v>
      </c>
      <c r="C321" s="152"/>
      <c r="D321" s="10" t="s">
        <v>37</v>
      </c>
      <c r="E321" s="10">
        <v>1</v>
      </c>
      <c r="F321" s="10">
        <v>2.2000000000000002</v>
      </c>
      <c r="G321" s="10">
        <v>1.8</v>
      </c>
      <c r="H321" s="466"/>
      <c r="I321" s="141">
        <f t="shared" si="12"/>
        <v>3.9600000000000004</v>
      </c>
      <c r="J321" s="318"/>
      <c r="K321" s="456"/>
    </row>
    <row r="322" spans="1:26" s="230" customFormat="1" ht="15" hidden="1" customHeight="1" outlineLevel="1" x14ac:dyDescent="0.25">
      <c r="A322" s="8"/>
      <c r="B322" s="618" t="s">
        <v>516</v>
      </c>
      <c r="C322" s="152"/>
      <c r="D322" s="10" t="s">
        <v>37</v>
      </c>
      <c r="E322" s="10">
        <v>1</v>
      </c>
      <c r="F322" s="10">
        <v>4.5999999999999996</v>
      </c>
      <c r="G322" s="10">
        <v>2.65</v>
      </c>
      <c r="H322" s="450"/>
      <c r="I322" s="141">
        <f t="shared" si="12"/>
        <v>12.19</v>
      </c>
      <c r="J322" s="318"/>
      <c r="K322" s="456"/>
    </row>
    <row r="323" spans="1:26" s="230" customFormat="1" ht="15" hidden="1" customHeight="1" outlineLevel="1" x14ac:dyDescent="0.25">
      <c r="A323" s="8"/>
      <c r="B323" s="618" t="s">
        <v>547</v>
      </c>
      <c r="C323" s="321"/>
      <c r="D323" s="10" t="s">
        <v>37</v>
      </c>
      <c r="E323" s="10">
        <v>1</v>
      </c>
      <c r="F323" s="10">
        <v>4.5999999999999996</v>
      </c>
      <c r="G323" s="10">
        <v>1.7</v>
      </c>
      <c r="H323" s="450"/>
      <c r="I323" s="141">
        <f t="shared" si="12"/>
        <v>7.8199999999999994</v>
      </c>
      <c r="J323" s="8"/>
      <c r="K323" s="456"/>
    </row>
    <row r="324" spans="1:26" s="230" customFormat="1" ht="15" hidden="1" customHeight="1" outlineLevel="1" x14ac:dyDescent="0.25">
      <c r="A324" s="8"/>
      <c r="B324" s="618" t="s">
        <v>548</v>
      </c>
      <c r="C324" s="152"/>
      <c r="D324" s="10" t="s">
        <v>37</v>
      </c>
      <c r="E324" s="10">
        <v>1</v>
      </c>
      <c r="F324" s="10">
        <v>3.15</v>
      </c>
      <c r="G324" s="10">
        <v>2.4500000000000002</v>
      </c>
      <c r="H324" s="466"/>
      <c r="I324" s="141">
        <f t="shared" si="12"/>
        <v>7.7175000000000002</v>
      </c>
      <c r="J324" s="318"/>
      <c r="K324" s="456"/>
    </row>
    <row r="325" spans="1:26" s="230" customFormat="1" ht="15" hidden="1" customHeight="1" outlineLevel="1" x14ac:dyDescent="0.25">
      <c r="A325" s="8"/>
      <c r="B325" s="618" t="s">
        <v>549</v>
      </c>
      <c r="C325" s="152"/>
      <c r="D325" s="10" t="s">
        <v>37</v>
      </c>
      <c r="E325" s="10">
        <v>1</v>
      </c>
      <c r="F325" s="10">
        <v>4.5999999999999996</v>
      </c>
      <c r="G325" s="10">
        <v>2.1</v>
      </c>
      <c r="H325" s="450"/>
      <c r="I325" s="141">
        <f t="shared" si="12"/>
        <v>9.66</v>
      </c>
      <c r="J325" s="318"/>
      <c r="K325" s="456"/>
    </row>
    <row r="326" spans="1:26" s="230" customFormat="1" ht="15" hidden="1" customHeight="1" outlineLevel="1" x14ac:dyDescent="0.25">
      <c r="A326" s="8"/>
      <c r="B326" s="618" t="s">
        <v>550</v>
      </c>
      <c r="C326" s="152"/>
      <c r="D326" s="10" t="s">
        <v>37</v>
      </c>
      <c r="E326" s="10">
        <v>1</v>
      </c>
      <c r="F326" s="10">
        <v>3.5</v>
      </c>
      <c r="G326" s="10">
        <v>1.9</v>
      </c>
      <c r="H326" s="466"/>
      <c r="I326" s="141">
        <f t="shared" si="12"/>
        <v>6.6499999999999995</v>
      </c>
      <c r="J326" s="318"/>
      <c r="K326" s="456"/>
    </row>
    <row r="327" spans="1:26" s="230" customFormat="1" ht="15" hidden="1" customHeight="1" outlineLevel="1" x14ac:dyDescent="0.25">
      <c r="A327" s="8"/>
      <c r="B327" s="618" t="s">
        <v>551</v>
      </c>
      <c r="C327" s="152"/>
      <c r="D327" s="10" t="s">
        <v>37</v>
      </c>
      <c r="E327" s="10">
        <v>1</v>
      </c>
      <c r="F327" s="10">
        <v>4.5999999999999996</v>
      </c>
      <c r="G327" s="10">
        <v>2.1</v>
      </c>
      <c r="H327" s="450"/>
      <c r="I327" s="141">
        <f t="shared" si="12"/>
        <v>9.66</v>
      </c>
      <c r="J327" s="318"/>
      <c r="K327" s="456"/>
    </row>
    <row r="328" spans="1:26" ht="15" hidden="1" customHeight="1" outlineLevel="1" x14ac:dyDescent="0.25">
      <c r="A328" s="156"/>
      <c r="B328" s="618"/>
      <c r="C328" s="619"/>
      <c r="D328" s="137"/>
      <c r="E328" s="10"/>
      <c r="F328" s="10"/>
      <c r="G328" s="10"/>
      <c r="H328" s="10"/>
      <c r="I328" s="10"/>
      <c r="J328" s="8"/>
      <c r="K328" s="455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" customHeight="1" collapsed="1" x14ac:dyDescent="0.25">
      <c r="A329" s="231" t="s">
        <v>754</v>
      </c>
      <c r="B329" s="232" t="s">
        <v>15</v>
      </c>
      <c r="C329" s="233"/>
      <c r="D329" s="231" t="s">
        <v>38</v>
      </c>
      <c r="E329" s="265"/>
      <c r="F329" s="265"/>
      <c r="G329" s="265"/>
      <c r="H329" s="265"/>
      <c r="I329" s="265"/>
      <c r="J329" s="312">
        <f>+J234</f>
        <v>22.927499999999995</v>
      </c>
      <c r="K329" s="449" t="s">
        <v>470</v>
      </c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" hidden="1" customHeight="1" outlineLevel="1" x14ac:dyDescent="0.25">
      <c r="A330" s="138"/>
      <c r="B330" s="618" t="s">
        <v>505</v>
      </c>
      <c r="C330" s="355"/>
      <c r="D330" s="130" t="s">
        <v>38</v>
      </c>
      <c r="E330" s="141">
        <v>1</v>
      </c>
      <c r="F330" s="10">
        <v>4.5999999999999996</v>
      </c>
      <c r="G330" s="10">
        <v>0.45</v>
      </c>
      <c r="H330" s="141"/>
      <c r="I330" s="141">
        <f t="shared" ref="I330:I339" si="13">PRODUCT(E330:H330)</f>
        <v>2.0699999999999998</v>
      </c>
      <c r="J330" s="320"/>
      <c r="K330" s="455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" hidden="1" customHeight="1" outlineLevel="1" x14ac:dyDescent="0.25">
      <c r="A331" s="138"/>
      <c r="B331" s="618" t="s">
        <v>506</v>
      </c>
      <c r="C331" s="355"/>
      <c r="D331" s="487" t="s">
        <v>38</v>
      </c>
      <c r="E331" s="141">
        <v>1</v>
      </c>
      <c r="F331" s="10">
        <v>4.5999999999999996</v>
      </c>
      <c r="G331" s="10">
        <v>3.05</v>
      </c>
      <c r="H331" s="141"/>
      <c r="I331" s="141">
        <f t="shared" si="13"/>
        <v>14.029999999999998</v>
      </c>
      <c r="J331" s="320"/>
      <c r="K331" s="455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" hidden="1" customHeight="1" outlineLevel="1" x14ac:dyDescent="0.25">
      <c r="A332" s="138"/>
      <c r="B332" s="618" t="s">
        <v>507</v>
      </c>
      <c r="C332" s="355"/>
      <c r="D332" s="130" t="s">
        <v>38</v>
      </c>
      <c r="E332" s="141">
        <v>1</v>
      </c>
      <c r="F332" s="10">
        <v>4.2</v>
      </c>
      <c r="G332" s="10">
        <v>3.25</v>
      </c>
      <c r="H332" s="141"/>
      <c r="I332" s="141">
        <f t="shared" si="13"/>
        <v>13.65</v>
      </c>
      <c r="J332" s="320"/>
      <c r="K332" s="455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" hidden="1" customHeight="1" outlineLevel="1" x14ac:dyDescent="0.25">
      <c r="A333" s="138"/>
      <c r="B333" s="618" t="s">
        <v>508</v>
      </c>
      <c r="C333" s="355"/>
      <c r="D333" s="487" t="s">
        <v>38</v>
      </c>
      <c r="E333" s="141">
        <v>1</v>
      </c>
      <c r="F333" s="10">
        <v>2.2000000000000002</v>
      </c>
      <c r="G333" s="10">
        <v>1.8</v>
      </c>
      <c r="H333" s="141"/>
      <c r="I333" s="141">
        <f t="shared" si="13"/>
        <v>3.9600000000000004</v>
      </c>
      <c r="J333" s="320"/>
      <c r="K333" s="455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" hidden="1" customHeight="1" outlineLevel="1" x14ac:dyDescent="0.25">
      <c r="A334" s="138"/>
      <c r="B334" s="618" t="s">
        <v>516</v>
      </c>
      <c r="C334" s="355"/>
      <c r="D334" s="130" t="s">
        <v>38</v>
      </c>
      <c r="E334" s="141">
        <v>1</v>
      </c>
      <c r="F334" s="10">
        <v>4.5999999999999996</v>
      </c>
      <c r="G334" s="10">
        <v>2.65</v>
      </c>
      <c r="H334" s="141"/>
      <c r="I334" s="141">
        <f t="shared" si="13"/>
        <v>12.19</v>
      </c>
      <c r="J334" s="320"/>
      <c r="K334" s="455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" hidden="1" customHeight="1" outlineLevel="1" x14ac:dyDescent="0.25">
      <c r="A335" s="138"/>
      <c r="B335" s="618" t="s">
        <v>547</v>
      </c>
      <c r="C335" s="321"/>
      <c r="D335" s="10" t="s">
        <v>37</v>
      </c>
      <c r="E335" s="10">
        <v>1</v>
      </c>
      <c r="F335" s="10">
        <v>4.5999999999999996</v>
      </c>
      <c r="G335" s="10">
        <v>1.7</v>
      </c>
      <c r="H335" s="450"/>
      <c r="I335" s="141">
        <f t="shared" si="13"/>
        <v>7.8199999999999994</v>
      </c>
      <c r="J335" s="156"/>
      <c r="K335" s="455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" hidden="1" customHeight="1" outlineLevel="1" x14ac:dyDescent="0.25">
      <c r="A336" s="138"/>
      <c r="B336" s="618" t="s">
        <v>548</v>
      </c>
      <c r="C336" s="152"/>
      <c r="D336" s="10" t="s">
        <v>37</v>
      </c>
      <c r="E336" s="10">
        <v>1</v>
      </c>
      <c r="F336" s="10">
        <v>3.15</v>
      </c>
      <c r="G336" s="10">
        <v>2.4500000000000002</v>
      </c>
      <c r="H336" s="466"/>
      <c r="I336" s="141">
        <f t="shared" si="13"/>
        <v>7.7175000000000002</v>
      </c>
      <c r="J336" s="156"/>
      <c r="K336" s="455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" hidden="1" customHeight="1" outlineLevel="1" x14ac:dyDescent="0.25">
      <c r="A337" s="138"/>
      <c r="B337" s="618" t="s">
        <v>549</v>
      </c>
      <c r="C337" s="152"/>
      <c r="D337" s="10" t="s">
        <v>37</v>
      </c>
      <c r="E337" s="10">
        <v>1</v>
      </c>
      <c r="F337" s="10">
        <v>4.5999999999999996</v>
      </c>
      <c r="G337" s="10">
        <v>2.1</v>
      </c>
      <c r="H337" s="450"/>
      <c r="I337" s="141">
        <f t="shared" si="13"/>
        <v>9.66</v>
      </c>
      <c r="J337" s="156"/>
      <c r="K337" s="455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" hidden="1" customHeight="1" outlineLevel="1" x14ac:dyDescent="0.25">
      <c r="A338" s="138"/>
      <c r="B338" s="618" t="s">
        <v>550</v>
      </c>
      <c r="C338" s="152"/>
      <c r="D338" s="10" t="s">
        <v>37</v>
      </c>
      <c r="E338" s="10">
        <v>1</v>
      </c>
      <c r="F338" s="10">
        <v>3.5</v>
      </c>
      <c r="G338" s="10">
        <v>1.9</v>
      </c>
      <c r="H338" s="466"/>
      <c r="I338" s="141">
        <f t="shared" si="13"/>
        <v>6.6499999999999995</v>
      </c>
      <c r="J338" s="156"/>
      <c r="K338" s="455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" hidden="1" customHeight="1" outlineLevel="1" x14ac:dyDescent="0.25">
      <c r="A339" s="138"/>
      <c r="B339" s="618" t="s">
        <v>551</v>
      </c>
      <c r="C339" s="152"/>
      <c r="D339" s="10" t="s">
        <v>37</v>
      </c>
      <c r="E339" s="10">
        <v>1</v>
      </c>
      <c r="F339" s="10">
        <v>4.5999999999999996</v>
      </c>
      <c r="G339" s="10">
        <v>2.1</v>
      </c>
      <c r="H339" s="450"/>
      <c r="I339" s="141">
        <f t="shared" si="13"/>
        <v>9.66</v>
      </c>
      <c r="J339" s="156"/>
      <c r="K339" s="455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" hidden="1" customHeight="1" outlineLevel="1" x14ac:dyDescent="0.25">
      <c r="A340" s="138"/>
      <c r="B340" s="356"/>
      <c r="C340" s="357"/>
      <c r="D340" s="130"/>
      <c r="E340" s="141"/>
      <c r="F340" s="141"/>
      <c r="G340" s="141"/>
      <c r="H340" s="141"/>
      <c r="I340" s="141"/>
      <c r="J340" s="156"/>
      <c r="K340" s="455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" customHeight="1" collapsed="1" x14ac:dyDescent="0.25">
      <c r="A341" s="231" t="s">
        <v>755</v>
      </c>
      <c r="B341" s="232" t="s">
        <v>50</v>
      </c>
      <c r="C341" s="233"/>
      <c r="D341" s="231" t="s">
        <v>126</v>
      </c>
      <c r="E341" s="265"/>
      <c r="F341" s="265"/>
      <c r="G341" s="265"/>
      <c r="H341" s="265"/>
      <c r="I341" s="265"/>
      <c r="J341" s="332">
        <f>+J239</f>
        <v>207</v>
      </c>
      <c r="K341" s="449" t="s">
        <v>470</v>
      </c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s="230" customFormat="1" ht="15" hidden="1" customHeight="1" outlineLevel="1" x14ac:dyDescent="0.25">
      <c r="A342" s="8"/>
      <c r="B342" s="618" t="s">
        <v>505</v>
      </c>
      <c r="C342" s="321"/>
      <c r="D342" s="10" t="s">
        <v>546</v>
      </c>
      <c r="E342" s="10">
        <v>1</v>
      </c>
      <c r="F342" s="10">
        <v>4.5999999999999996</v>
      </c>
      <c r="G342" s="10">
        <v>0.45</v>
      </c>
      <c r="H342" s="10">
        <v>8.33</v>
      </c>
      <c r="I342" s="141">
        <f t="shared" ref="I342:I351" si="14">PRODUCT(E342:H342)</f>
        <v>17.243099999999998</v>
      </c>
      <c r="J342" s="8"/>
      <c r="K342" s="456"/>
    </row>
    <row r="343" spans="1:26" s="230" customFormat="1" ht="15" hidden="1" customHeight="1" outlineLevel="1" x14ac:dyDescent="0.25">
      <c r="A343" s="8"/>
      <c r="B343" s="618" t="s">
        <v>506</v>
      </c>
      <c r="C343" s="152"/>
      <c r="D343" s="10" t="s">
        <v>546</v>
      </c>
      <c r="E343" s="10">
        <v>1</v>
      </c>
      <c r="F343" s="10">
        <v>4.5999999999999996</v>
      </c>
      <c r="G343" s="10">
        <v>3.05</v>
      </c>
      <c r="H343" s="10">
        <v>8.33</v>
      </c>
      <c r="I343" s="141">
        <f t="shared" si="14"/>
        <v>116.86989999999999</v>
      </c>
      <c r="J343" s="8"/>
      <c r="K343" s="456"/>
    </row>
    <row r="344" spans="1:26" s="230" customFormat="1" ht="15" hidden="1" customHeight="1" outlineLevel="1" x14ac:dyDescent="0.25">
      <c r="A344" s="8"/>
      <c r="B344" s="618" t="s">
        <v>507</v>
      </c>
      <c r="C344" s="152"/>
      <c r="D344" s="10" t="s">
        <v>546</v>
      </c>
      <c r="E344" s="10">
        <v>1</v>
      </c>
      <c r="F344" s="10">
        <v>4.2</v>
      </c>
      <c r="G344" s="10">
        <v>3.25</v>
      </c>
      <c r="H344" s="10">
        <v>8.33</v>
      </c>
      <c r="I344" s="141">
        <f t="shared" si="14"/>
        <v>113.70450000000001</v>
      </c>
      <c r="J344" s="8"/>
      <c r="K344" s="456"/>
    </row>
    <row r="345" spans="1:26" s="230" customFormat="1" ht="15" hidden="1" customHeight="1" outlineLevel="1" x14ac:dyDescent="0.25">
      <c r="A345" s="8"/>
      <c r="B345" s="618" t="s">
        <v>508</v>
      </c>
      <c r="C345" s="152"/>
      <c r="D345" s="10" t="s">
        <v>546</v>
      </c>
      <c r="E345" s="10">
        <v>1</v>
      </c>
      <c r="F345" s="10">
        <v>2.2000000000000002</v>
      </c>
      <c r="G345" s="10">
        <v>1.8</v>
      </c>
      <c r="H345" s="10">
        <v>8.33</v>
      </c>
      <c r="I345" s="141">
        <f t="shared" si="14"/>
        <v>32.986800000000002</v>
      </c>
      <c r="J345" s="8"/>
      <c r="K345" s="456"/>
    </row>
    <row r="346" spans="1:26" s="230" customFormat="1" ht="15" hidden="1" customHeight="1" outlineLevel="1" x14ac:dyDescent="0.25">
      <c r="A346" s="8"/>
      <c r="B346" s="618" t="s">
        <v>516</v>
      </c>
      <c r="C346" s="152"/>
      <c r="D346" s="10" t="s">
        <v>546</v>
      </c>
      <c r="E346" s="10">
        <v>1</v>
      </c>
      <c r="F346" s="10">
        <v>4.5999999999999996</v>
      </c>
      <c r="G346" s="10">
        <v>2.65</v>
      </c>
      <c r="H346" s="10">
        <v>8.33</v>
      </c>
      <c r="I346" s="141">
        <f t="shared" si="14"/>
        <v>101.5427</v>
      </c>
      <c r="J346" s="8"/>
      <c r="K346" s="456"/>
    </row>
    <row r="347" spans="1:26" ht="15" hidden="1" customHeight="1" outlineLevel="1" x14ac:dyDescent="0.25">
      <c r="A347" s="138"/>
      <c r="B347" s="618" t="s">
        <v>547</v>
      </c>
      <c r="C347" s="321"/>
      <c r="D347" s="10" t="s">
        <v>37</v>
      </c>
      <c r="E347" s="10">
        <v>1</v>
      </c>
      <c r="F347" s="10">
        <v>4.5999999999999996</v>
      </c>
      <c r="G347" s="10">
        <v>1.7</v>
      </c>
      <c r="H347" s="10">
        <v>8.33</v>
      </c>
      <c r="I347" s="141">
        <f t="shared" si="14"/>
        <v>65.140599999999992</v>
      </c>
      <c r="J347" s="156"/>
      <c r="K347" s="456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" hidden="1" customHeight="1" outlineLevel="1" x14ac:dyDescent="0.25">
      <c r="A348" s="138"/>
      <c r="B348" s="618" t="s">
        <v>548</v>
      </c>
      <c r="C348" s="152"/>
      <c r="D348" s="10" t="s">
        <v>37</v>
      </c>
      <c r="E348" s="10">
        <v>1</v>
      </c>
      <c r="F348" s="10">
        <v>3.15</v>
      </c>
      <c r="G348" s="10">
        <v>2.4500000000000002</v>
      </c>
      <c r="H348" s="10">
        <v>8.33</v>
      </c>
      <c r="I348" s="141">
        <f t="shared" si="14"/>
        <v>64.286775000000006</v>
      </c>
      <c r="J348" s="156"/>
      <c r="K348" s="456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" hidden="1" customHeight="1" outlineLevel="1" x14ac:dyDescent="0.25">
      <c r="A349" s="138"/>
      <c r="B349" s="618" t="s">
        <v>549</v>
      </c>
      <c r="C349" s="152"/>
      <c r="D349" s="10" t="s">
        <v>37</v>
      </c>
      <c r="E349" s="10">
        <v>1</v>
      </c>
      <c r="F349" s="10">
        <v>4.5999999999999996</v>
      </c>
      <c r="G349" s="10">
        <v>2.1</v>
      </c>
      <c r="H349" s="10">
        <v>8.33</v>
      </c>
      <c r="I349" s="141">
        <f t="shared" si="14"/>
        <v>80.467799999999997</v>
      </c>
      <c r="J349" s="156"/>
      <c r="K349" s="456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" hidden="1" customHeight="1" outlineLevel="1" x14ac:dyDescent="0.25">
      <c r="A350" s="138"/>
      <c r="B350" s="618" t="s">
        <v>550</v>
      </c>
      <c r="C350" s="152"/>
      <c r="D350" s="10" t="s">
        <v>37</v>
      </c>
      <c r="E350" s="10">
        <v>1</v>
      </c>
      <c r="F350" s="10">
        <v>3.5</v>
      </c>
      <c r="G350" s="10">
        <v>1.9</v>
      </c>
      <c r="H350" s="10">
        <v>8.33</v>
      </c>
      <c r="I350" s="141">
        <f t="shared" si="14"/>
        <v>55.394499999999994</v>
      </c>
      <c r="J350" s="156"/>
      <c r="K350" s="456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" hidden="1" customHeight="1" outlineLevel="1" x14ac:dyDescent="0.25">
      <c r="A351" s="138"/>
      <c r="B351" s="618" t="s">
        <v>551</v>
      </c>
      <c r="C351" s="152"/>
      <c r="D351" s="10" t="s">
        <v>37</v>
      </c>
      <c r="E351" s="10">
        <v>1</v>
      </c>
      <c r="F351" s="10">
        <v>4.5999999999999996</v>
      </c>
      <c r="G351" s="10">
        <v>2.1</v>
      </c>
      <c r="H351" s="10">
        <v>8.33</v>
      </c>
      <c r="I351" s="141">
        <f t="shared" si="14"/>
        <v>80.467799999999997</v>
      </c>
      <c r="J351" s="156"/>
      <c r="K351" s="456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" hidden="1" customHeight="1" outlineLevel="1" x14ac:dyDescent="0.25">
      <c r="A352" s="8"/>
      <c r="B352" s="163"/>
      <c r="C352" s="132"/>
      <c r="D352" s="10"/>
      <c r="E352" s="10"/>
      <c r="F352" s="10"/>
      <c r="G352" s="10"/>
      <c r="H352" s="10"/>
      <c r="I352" s="10"/>
      <c r="J352" s="8"/>
      <c r="K352" s="456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" customHeight="1" collapsed="1" x14ac:dyDescent="0.25">
      <c r="A353" s="231" t="s">
        <v>756</v>
      </c>
      <c r="B353" s="212" t="s">
        <v>16</v>
      </c>
      <c r="C353" s="127"/>
      <c r="D353" s="7" t="s">
        <v>118</v>
      </c>
      <c r="E353" s="160"/>
      <c r="F353" s="160"/>
      <c r="G353" s="160"/>
      <c r="H353" s="160"/>
      <c r="I353" s="160"/>
      <c r="J353" s="312">
        <f>+J244</f>
        <v>275.13</v>
      </c>
      <c r="K353" s="449" t="s">
        <v>470</v>
      </c>
      <c r="L353" s="511" t="s">
        <v>590</v>
      </c>
      <c r="M353" s="18">
        <f>+J353/J317</f>
        <v>120</v>
      </c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" hidden="1" customHeight="1" outlineLevel="1" x14ac:dyDescent="0.25">
      <c r="A354" s="8"/>
      <c r="B354" s="162"/>
      <c r="C354" s="236"/>
      <c r="D354" s="237"/>
      <c r="E354" s="237"/>
      <c r="F354" s="237"/>
      <c r="G354" s="237" t="s">
        <v>351</v>
      </c>
      <c r="H354" s="237"/>
      <c r="I354" s="237"/>
      <c r="J354" s="8"/>
      <c r="K354" s="455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" hidden="1" customHeight="1" outlineLevel="1" x14ac:dyDescent="0.25">
      <c r="A355" s="8"/>
      <c r="B355" s="784" t="s">
        <v>352</v>
      </c>
      <c r="C355" s="785"/>
      <c r="D355" s="237" t="s">
        <v>118</v>
      </c>
      <c r="E355" s="237" t="s">
        <v>353</v>
      </c>
      <c r="F355" s="237">
        <f>+ACERO!P341</f>
        <v>639.52449999999999</v>
      </c>
      <c r="G355" s="237">
        <v>1</v>
      </c>
      <c r="H355" s="237"/>
      <c r="I355" s="237">
        <f>PRODUCT(E355:H355)</f>
        <v>639.52449999999999</v>
      </c>
      <c r="J355" s="8"/>
      <c r="K355" s="455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" hidden="1" customHeight="1" outlineLevel="1" x14ac:dyDescent="0.25">
      <c r="A356" s="14"/>
      <c r="B356" s="228"/>
      <c r="C356" s="303"/>
      <c r="D356" s="304"/>
      <c r="E356" s="304"/>
      <c r="F356" s="304"/>
      <c r="G356" s="304"/>
      <c r="H356" s="304"/>
      <c r="I356" s="304"/>
      <c r="J356" s="319"/>
      <c r="K356" s="455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" customHeight="1" collapsed="1" x14ac:dyDescent="0.25">
      <c r="A357" s="259" t="s">
        <v>757</v>
      </c>
      <c r="B357" s="488" t="s">
        <v>17</v>
      </c>
      <c r="C357" s="261"/>
      <c r="D357" s="262"/>
      <c r="E357" s="267"/>
      <c r="F357" s="267"/>
      <c r="G357" s="267"/>
      <c r="H357" s="267"/>
      <c r="I357" s="267"/>
      <c r="J357" s="316"/>
      <c r="K357" s="455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" customHeight="1" x14ac:dyDescent="0.25">
      <c r="A358" s="231" t="s">
        <v>758</v>
      </c>
      <c r="B358" s="232" t="s">
        <v>382</v>
      </c>
      <c r="C358" s="233"/>
      <c r="D358" s="231" t="s">
        <v>37</v>
      </c>
      <c r="E358" s="265"/>
      <c r="F358" s="265"/>
      <c r="G358" s="265"/>
      <c r="H358" s="265"/>
      <c r="I358" s="265"/>
      <c r="J358" s="312">
        <f>+J249</f>
        <v>2.0145</v>
      </c>
      <c r="K358" s="449" t="s">
        <v>470</v>
      </c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" hidden="1" customHeight="1" outlineLevel="1" x14ac:dyDescent="0.25">
      <c r="A359" s="138"/>
      <c r="B359" s="354" t="s">
        <v>586</v>
      </c>
      <c r="C359" s="352"/>
      <c r="D359" s="158" t="s">
        <v>37</v>
      </c>
      <c r="E359" s="131">
        <v>1</v>
      </c>
      <c r="F359" s="10">
        <v>4.2</v>
      </c>
      <c r="G359" s="131">
        <v>1.1000000000000001</v>
      </c>
      <c r="H359" s="10">
        <v>0.2</v>
      </c>
      <c r="I359" s="10">
        <f t="shared" ref="I359:I364" si="15">PRODUCT(E359:H359)</f>
        <v>0.92400000000000027</v>
      </c>
      <c r="J359" s="8"/>
      <c r="K359" s="455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" hidden="1" customHeight="1" outlineLevel="1" x14ac:dyDescent="0.25">
      <c r="A360" s="138"/>
      <c r="B360" s="354" t="s">
        <v>587</v>
      </c>
      <c r="C360" s="353"/>
      <c r="D360" s="158" t="s">
        <v>37</v>
      </c>
      <c r="E360" s="131">
        <v>1</v>
      </c>
      <c r="F360" s="10">
        <v>1.8</v>
      </c>
      <c r="G360" s="131">
        <v>1.1000000000000001</v>
      </c>
      <c r="H360" s="10">
        <v>0.2</v>
      </c>
      <c r="I360" s="10">
        <f t="shared" si="15"/>
        <v>0.39600000000000007</v>
      </c>
      <c r="J360" s="8"/>
      <c r="K360" s="455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" hidden="1" customHeight="1" outlineLevel="1" x14ac:dyDescent="0.25">
      <c r="A361" s="138"/>
      <c r="B361" s="354" t="s">
        <v>766</v>
      </c>
      <c r="C361" s="352" t="s">
        <v>20</v>
      </c>
      <c r="D361" s="158" t="s">
        <v>37</v>
      </c>
      <c r="E361" s="131">
        <v>1</v>
      </c>
      <c r="F361" s="10">
        <v>2.4</v>
      </c>
      <c r="G361" s="131">
        <v>1.55</v>
      </c>
      <c r="H361" s="10">
        <v>0.2</v>
      </c>
      <c r="I361" s="10">
        <f t="shared" si="15"/>
        <v>0.74399999999999999</v>
      </c>
      <c r="J361" s="8"/>
      <c r="K361" s="455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" hidden="1" customHeight="1" outlineLevel="1" x14ac:dyDescent="0.25">
      <c r="A362" s="138"/>
      <c r="B362" s="354" t="s">
        <v>767</v>
      </c>
      <c r="C362" s="353"/>
      <c r="D362" s="158" t="s">
        <v>37</v>
      </c>
      <c r="E362" s="131">
        <v>1</v>
      </c>
      <c r="F362" s="10">
        <v>1.9</v>
      </c>
      <c r="G362" s="131">
        <v>1.1000000000000001</v>
      </c>
      <c r="H362" s="10">
        <v>0.2</v>
      </c>
      <c r="I362" s="10">
        <f t="shared" si="15"/>
        <v>0.41799999999999998</v>
      </c>
      <c r="J362" s="8"/>
      <c r="K362" s="455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" hidden="1" customHeight="1" outlineLevel="1" x14ac:dyDescent="0.25">
      <c r="A363" s="138"/>
      <c r="B363" s="354" t="s">
        <v>768</v>
      </c>
      <c r="C363" s="352"/>
      <c r="D363" s="158" t="s">
        <v>37</v>
      </c>
      <c r="E363" s="131">
        <v>1</v>
      </c>
      <c r="F363" s="10">
        <v>2.85</v>
      </c>
      <c r="G363" s="131">
        <v>1.8</v>
      </c>
      <c r="H363" s="10">
        <v>0.2</v>
      </c>
      <c r="I363" s="10">
        <f t="shared" si="15"/>
        <v>1.026</v>
      </c>
      <c r="J363" s="8"/>
      <c r="K363" s="455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" hidden="1" customHeight="1" outlineLevel="1" x14ac:dyDescent="0.25">
      <c r="A364" s="138"/>
      <c r="B364" s="354" t="s">
        <v>769</v>
      </c>
      <c r="C364" s="353"/>
      <c r="D364" s="158" t="s">
        <v>37</v>
      </c>
      <c r="E364" s="131">
        <v>1</v>
      </c>
      <c r="F364" s="10">
        <v>2.9</v>
      </c>
      <c r="G364" s="131">
        <v>1.1000000000000001</v>
      </c>
      <c r="H364" s="10">
        <v>0.2</v>
      </c>
      <c r="I364" s="10">
        <f t="shared" si="15"/>
        <v>0.63800000000000001</v>
      </c>
      <c r="J364" s="8"/>
      <c r="K364" s="455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" hidden="1" customHeight="1" outlineLevel="1" x14ac:dyDescent="0.25">
      <c r="A365" s="138"/>
      <c r="B365" s="162"/>
      <c r="C365" s="353"/>
      <c r="D365" s="158"/>
      <c r="E365" s="131"/>
      <c r="F365" s="10"/>
      <c r="G365" s="141"/>
      <c r="H365" s="10"/>
      <c r="I365" s="10"/>
      <c r="J365" s="8"/>
      <c r="K365" s="455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" customHeight="1" collapsed="1" x14ac:dyDescent="0.25">
      <c r="A366" s="231" t="s">
        <v>759</v>
      </c>
      <c r="B366" s="232" t="s">
        <v>18</v>
      </c>
      <c r="C366" s="233"/>
      <c r="D366" s="231" t="s">
        <v>38</v>
      </c>
      <c r="E366" s="265"/>
      <c r="F366" s="265"/>
      <c r="G366" s="265"/>
      <c r="H366" s="265"/>
      <c r="I366" s="265"/>
      <c r="J366" s="312">
        <f>+J252</f>
        <v>10.0725</v>
      </c>
      <c r="K366" s="449" t="s">
        <v>470</v>
      </c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" hidden="1" customHeight="1" outlineLevel="1" x14ac:dyDescent="0.25">
      <c r="A367" s="12"/>
      <c r="B367" s="354" t="s">
        <v>552</v>
      </c>
      <c r="C367" s="352"/>
      <c r="D367" s="10" t="s">
        <v>38</v>
      </c>
      <c r="E367" s="10">
        <f>E359</f>
        <v>1</v>
      </c>
      <c r="F367" s="10">
        <v>4.2</v>
      </c>
      <c r="G367" s="131">
        <v>1.1000000000000001</v>
      </c>
      <c r="H367" s="10"/>
      <c r="I367" s="10">
        <f t="shared" ref="I367:I372" si="16">PRODUCT(E367:H367)</f>
        <v>4.620000000000001</v>
      </c>
      <c r="J367" s="10"/>
      <c r="K367" s="455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" hidden="1" customHeight="1" outlineLevel="1" x14ac:dyDescent="0.25">
      <c r="A368" s="12"/>
      <c r="B368" s="354" t="s">
        <v>553</v>
      </c>
      <c r="C368" s="353"/>
      <c r="D368" s="10" t="s">
        <v>38</v>
      </c>
      <c r="E368" s="10">
        <f>E360</f>
        <v>1</v>
      </c>
      <c r="F368" s="10">
        <v>1.8</v>
      </c>
      <c r="G368" s="131">
        <v>1.1000000000000001</v>
      </c>
      <c r="H368" s="10"/>
      <c r="I368" s="10">
        <f t="shared" si="16"/>
        <v>1.9800000000000002</v>
      </c>
      <c r="J368" s="10"/>
      <c r="K368" s="455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" hidden="1" customHeight="1" outlineLevel="1" x14ac:dyDescent="0.25">
      <c r="A369" s="138"/>
      <c r="B369" s="354" t="s">
        <v>770</v>
      </c>
      <c r="C369" s="352"/>
      <c r="D369" s="10" t="s">
        <v>38</v>
      </c>
      <c r="E369" s="131">
        <v>1</v>
      </c>
      <c r="F369" s="10">
        <v>2.4</v>
      </c>
      <c r="G369" s="131">
        <v>1.55</v>
      </c>
      <c r="H369" s="10"/>
      <c r="I369" s="10">
        <f t="shared" si="16"/>
        <v>3.7199999999999998</v>
      </c>
      <c r="J369" s="8"/>
      <c r="K369" s="455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" hidden="1" customHeight="1" outlineLevel="1" x14ac:dyDescent="0.25">
      <c r="A370" s="138"/>
      <c r="B370" s="354" t="s">
        <v>771</v>
      </c>
      <c r="C370" s="353"/>
      <c r="D370" s="10" t="s">
        <v>38</v>
      </c>
      <c r="E370" s="131">
        <v>1</v>
      </c>
      <c r="F370" s="10">
        <v>1.9</v>
      </c>
      <c r="G370" s="131">
        <v>1.1000000000000001</v>
      </c>
      <c r="H370" s="10"/>
      <c r="I370" s="10">
        <f t="shared" si="16"/>
        <v>2.09</v>
      </c>
      <c r="J370" s="8"/>
      <c r="K370" s="455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" hidden="1" customHeight="1" outlineLevel="1" x14ac:dyDescent="0.25">
      <c r="A371" s="138"/>
      <c r="B371" s="354" t="s">
        <v>772</v>
      </c>
      <c r="C371" s="352"/>
      <c r="D371" s="10" t="s">
        <v>38</v>
      </c>
      <c r="E371" s="131">
        <v>1</v>
      </c>
      <c r="F371" s="10">
        <v>2.85</v>
      </c>
      <c r="G371" s="131">
        <v>1.8</v>
      </c>
      <c r="H371" s="10"/>
      <c r="I371" s="10">
        <f t="shared" si="16"/>
        <v>5.13</v>
      </c>
      <c r="J371" s="8"/>
      <c r="K371" s="455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" hidden="1" customHeight="1" outlineLevel="1" x14ac:dyDescent="0.25">
      <c r="A372" s="138"/>
      <c r="B372" s="354" t="s">
        <v>773</v>
      </c>
      <c r="C372" s="353"/>
      <c r="D372" s="10" t="s">
        <v>38</v>
      </c>
      <c r="E372" s="131">
        <v>1</v>
      </c>
      <c r="F372" s="10">
        <v>2.9</v>
      </c>
      <c r="G372" s="131">
        <v>1.1000000000000001</v>
      </c>
      <c r="H372" s="10"/>
      <c r="I372" s="10">
        <f t="shared" si="16"/>
        <v>3.19</v>
      </c>
      <c r="J372" s="8"/>
      <c r="K372" s="455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" hidden="1" customHeight="1" outlineLevel="1" x14ac:dyDescent="0.25">
      <c r="A373" s="12"/>
      <c r="B373" s="162"/>
      <c r="C373" s="353"/>
      <c r="D373" s="10"/>
      <c r="E373" s="10"/>
      <c r="F373" s="10"/>
      <c r="G373" s="131"/>
      <c r="H373" s="10"/>
      <c r="I373" s="10"/>
      <c r="J373" s="10"/>
      <c r="K373" s="455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" customHeight="1" collapsed="1" x14ac:dyDescent="0.25">
      <c r="A374" s="231" t="s">
        <v>760</v>
      </c>
      <c r="B374" s="232" t="s">
        <v>19</v>
      </c>
      <c r="C374" s="233"/>
      <c r="D374" s="231" t="s">
        <v>118</v>
      </c>
      <c r="E374" s="265"/>
      <c r="F374" s="265"/>
      <c r="G374" s="265"/>
      <c r="H374" s="265"/>
      <c r="I374" s="265"/>
      <c r="J374" s="312">
        <f>+J255</f>
        <v>151.08750000000001</v>
      </c>
      <c r="K374" s="449" t="s">
        <v>470</v>
      </c>
      <c r="L374" s="511" t="s">
        <v>590</v>
      </c>
      <c r="M374" s="18">
        <f>+J374/J358</f>
        <v>75</v>
      </c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" hidden="1" customHeight="1" outlineLevel="1" x14ac:dyDescent="0.25">
      <c r="A375" s="8"/>
      <c r="B375" s="162"/>
      <c r="C375" s="236"/>
      <c r="D375" s="237"/>
      <c r="E375" s="237"/>
      <c r="F375" s="237"/>
      <c r="G375" s="237" t="s">
        <v>351</v>
      </c>
      <c r="H375" s="237"/>
      <c r="I375" s="237"/>
      <c r="J375" s="8"/>
      <c r="K375" s="455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" hidden="1" customHeight="1" outlineLevel="1" x14ac:dyDescent="0.25">
      <c r="A376" s="8"/>
      <c r="B376" s="784" t="s">
        <v>352</v>
      </c>
      <c r="C376" s="785"/>
      <c r="D376" s="237" t="s">
        <v>118</v>
      </c>
      <c r="E376" s="237" t="s">
        <v>353</v>
      </c>
      <c r="F376" s="237">
        <f>+ACERO!P379</f>
        <v>245.70559999999998</v>
      </c>
      <c r="G376" s="237">
        <v>1</v>
      </c>
      <c r="H376" s="237"/>
      <c r="I376" s="237">
        <f>PRODUCT(E376:H376)</f>
        <v>245.70559999999998</v>
      </c>
      <c r="J376" s="8"/>
      <c r="K376" s="455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" hidden="1" customHeight="1" outlineLevel="1" x14ac:dyDescent="0.25">
      <c r="A377" s="14"/>
      <c r="B377" s="228"/>
      <c r="C377" s="303"/>
      <c r="D377" s="304"/>
      <c r="E377" s="304"/>
      <c r="F377" s="304"/>
      <c r="G377" s="304"/>
      <c r="H377" s="304"/>
      <c r="I377" s="304"/>
      <c r="J377" s="319"/>
      <c r="K377" s="455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" customHeight="1" collapsed="1" x14ac:dyDescent="0.25"/>
  </sheetData>
  <mergeCells count="54">
    <mergeCell ref="B246:C246"/>
    <mergeCell ref="B272:C272"/>
    <mergeCell ref="B257:C257"/>
    <mergeCell ref="B186:C186"/>
    <mergeCell ref="B124:C124"/>
    <mergeCell ref="B46:C46"/>
    <mergeCell ref="B48:C48"/>
    <mergeCell ref="B51:C51"/>
    <mergeCell ref="B49:C49"/>
    <mergeCell ref="B125:C125"/>
    <mergeCell ref="B54:C54"/>
    <mergeCell ref="B55:C55"/>
    <mergeCell ref="B45:C45"/>
    <mergeCell ref="B36:C36"/>
    <mergeCell ref="B32:C32"/>
    <mergeCell ref="B35:C35"/>
    <mergeCell ref="B29:C29"/>
    <mergeCell ref="B30:C30"/>
    <mergeCell ref="B42:C42"/>
    <mergeCell ref="A1:J1"/>
    <mergeCell ref="A5:A6"/>
    <mergeCell ref="B5:C6"/>
    <mergeCell ref="D5:D6"/>
    <mergeCell ref="E5:E6"/>
    <mergeCell ref="F5:H5"/>
    <mergeCell ref="I5:I6"/>
    <mergeCell ref="J5:J6"/>
    <mergeCell ref="I2:J4"/>
    <mergeCell ref="B2:H2"/>
    <mergeCell ref="B13:C13"/>
    <mergeCell ref="B14:C14"/>
    <mergeCell ref="B26:C26"/>
    <mergeCell ref="B27:C27"/>
    <mergeCell ref="B3:H3"/>
    <mergeCell ref="B4:H4"/>
    <mergeCell ref="B20:C20"/>
    <mergeCell ref="B22:C22"/>
    <mergeCell ref="B23:C23"/>
    <mergeCell ref="B376:C376"/>
    <mergeCell ref="B355:C355"/>
    <mergeCell ref="B314:C314"/>
    <mergeCell ref="B289:C289"/>
    <mergeCell ref="B10:C10"/>
    <mergeCell ref="B11:C11"/>
    <mergeCell ref="B16:C16"/>
    <mergeCell ref="B226:C226"/>
    <mergeCell ref="B33:C33"/>
    <mergeCell ref="B201:C201"/>
    <mergeCell ref="B52:C52"/>
    <mergeCell ref="B38:C38"/>
    <mergeCell ref="B39:C39"/>
    <mergeCell ref="B41:C41"/>
    <mergeCell ref="B17:C17"/>
    <mergeCell ref="B19:C19"/>
  </mergeCells>
  <phoneticPr fontId="64" type="noConversion"/>
  <printOptions horizontalCentered="1"/>
  <pageMargins left="0.59055118110236227" right="0.39370078740157483" top="0.59055118110236227" bottom="0.82677165354330717" header="0" footer="0.39370078740157483"/>
  <pageSetup paperSize="9" scale="67" fitToHeight="0" orientation="portrait" r:id="rId1"/>
  <headerFooter>
    <oddFooter>&amp;LMetrado de Estructuras - Vivienda Multifamiliar - Villa el Salvador&amp;RPagina &amp;P de &amp;N</oddFooter>
  </headerFooter>
  <ignoredErrors>
    <ignoredError sqref="G181" formula="1"/>
  </ignoredError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AB1109"/>
  <sheetViews>
    <sheetView view="pageBreakPreview" topLeftCell="B1" zoomScale="115" zoomScaleNormal="100" zoomScaleSheetLayoutView="115" workbookViewId="0">
      <pane ySplit="6" topLeftCell="A28" activePane="bottomLeft" state="frozen"/>
      <selection pane="bottomLeft" activeCell="B91" sqref="B91:C91"/>
    </sheetView>
  </sheetViews>
  <sheetFormatPr baseColWidth="10" defaultColWidth="12.6640625" defaultRowHeight="15" customHeight="1" outlineLevelRow="1" outlineLevelCol="1" x14ac:dyDescent="0.25"/>
  <cols>
    <col min="1" max="1" width="16.109375" style="151" customWidth="1"/>
    <col min="2" max="2" width="30.77734375" style="247" customWidth="1"/>
    <col min="3" max="3" width="24.88671875" style="151" customWidth="1"/>
    <col min="4" max="4" width="8.33203125" customWidth="1"/>
    <col min="5" max="5" width="6.88671875" customWidth="1"/>
    <col min="6" max="6" width="9.5546875" customWidth="1"/>
    <col min="7" max="7" width="12.109375" customWidth="1"/>
    <col min="8" max="8" width="9.109375" style="258" customWidth="1"/>
    <col min="9" max="9" width="8.21875" style="302" customWidth="1" outlineLevel="1"/>
    <col min="10" max="10" width="8.44140625" style="302" customWidth="1" outlineLevel="1"/>
    <col min="11" max="12" width="8.33203125" style="302" customWidth="1" outlineLevel="1"/>
    <col min="13" max="13" width="9.33203125" style="292" customWidth="1" outlineLevel="1"/>
    <col min="14" max="14" width="8.5546875" style="292" customWidth="1" outlineLevel="1"/>
    <col min="15" max="15" width="7.44140625" style="292" customWidth="1" outlineLevel="1"/>
    <col min="16" max="16" width="10.5546875" style="292" customWidth="1"/>
    <col min="17" max="28" width="11.44140625" customWidth="1"/>
  </cols>
  <sheetData>
    <row r="1" spans="1:28" ht="36" hidden="1" customHeight="1" outlineLevel="1" x14ac:dyDescent="0.25">
      <c r="A1" s="837" t="s">
        <v>56</v>
      </c>
      <c r="B1" s="837"/>
      <c r="C1" s="837"/>
      <c r="D1" s="837"/>
      <c r="E1" s="837"/>
      <c r="F1" s="837"/>
      <c r="G1" s="837"/>
      <c r="H1" s="837"/>
      <c r="I1" s="837"/>
      <c r="J1" s="837"/>
      <c r="K1" s="837"/>
      <c r="L1" s="837"/>
      <c r="M1" s="837"/>
      <c r="N1" s="837"/>
      <c r="O1" s="837"/>
      <c r="P1" s="837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</row>
    <row r="2" spans="1:28" ht="26.4" hidden="1" customHeight="1" outlineLevel="1" x14ac:dyDescent="0.25">
      <c r="A2" s="363" t="str">
        <f>Valorización!A2</f>
        <v xml:space="preserve">PROYECTO: </v>
      </c>
      <c r="B2" s="842">
        <f>Valorización!B2</f>
        <v>0</v>
      </c>
      <c r="C2" s="843"/>
      <c r="D2" s="843"/>
      <c r="E2" s="843"/>
      <c r="F2" s="843"/>
      <c r="G2" s="843"/>
      <c r="H2" s="843"/>
      <c r="I2" s="843"/>
      <c r="J2" s="843"/>
      <c r="K2" s="843"/>
      <c r="L2" s="843"/>
      <c r="M2" s="843"/>
      <c r="N2" s="841"/>
      <c r="O2" s="841"/>
      <c r="P2" s="841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spans="1:28" ht="31.2" hidden="1" customHeight="1" outlineLevel="1" x14ac:dyDescent="0.25">
      <c r="A3" s="363" t="str">
        <f>Valorización!A3</f>
        <v>PROPIETARIO(S) :</v>
      </c>
      <c r="B3" s="842">
        <f>Valorización!B3</f>
        <v>0</v>
      </c>
      <c r="C3" s="843"/>
      <c r="D3" s="843"/>
      <c r="E3" s="843"/>
      <c r="F3" s="843"/>
      <c r="G3" s="843"/>
      <c r="H3" s="843"/>
      <c r="I3" s="843"/>
      <c r="J3" s="843"/>
      <c r="K3" s="843"/>
      <c r="L3" s="843"/>
      <c r="M3" s="843"/>
      <c r="N3" s="841"/>
      <c r="O3" s="841"/>
      <c r="P3" s="841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spans="1:28" ht="33.6" hidden="1" customHeight="1" outlineLevel="1" x14ac:dyDescent="0.25">
      <c r="A4" s="363" t="str">
        <f>Valorización!A4</f>
        <v>UBICACIÓN:</v>
      </c>
      <c r="B4" s="842" t="s">
        <v>434</v>
      </c>
      <c r="C4" s="843"/>
      <c r="D4" s="843"/>
      <c r="E4" s="843"/>
      <c r="F4" s="843"/>
      <c r="G4" s="843"/>
      <c r="H4" s="843"/>
      <c r="I4" s="843"/>
      <c r="J4" s="843"/>
      <c r="K4" s="843"/>
      <c r="L4" s="843"/>
      <c r="M4" s="843"/>
      <c r="N4" s="841"/>
      <c r="O4" s="841"/>
      <c r="P4" s="841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spans="1:28" ht="22.5" customHeight="1" collapsed="1" x14ac:dyDescent="0.25">
      <c r="A5" s="833" t="s">
        <v>0</v>
      </c>
      <c r="B5" s="834" t="s">
        <v>1</v>
      </c>
      <c r="C5" s="835"/>
      <c r="D5" s="833" t="s">
        <v>57</v>
      </c>
      <c r="E5" s="833" t="s">
        <v>28</v>
      </c>
      <c r="F5" s="846" t="s">
        <v>58</v>
      </c>
      <c r="G5" s="310" t="s">
        <v>59</v>
      </c>
      <c r="H5" s="846" t="s">
        <v>60</v>
      </c>
      <c r="I5" s="838"/>
      <c r="J5" s="839"/>
      <c r="K5" s="839"/>
      <c r="L5" s="839"/>
      <c r="M5" s="839"/>
      <c r="N5" s="839"/>
      <c r="O5" s="839"/>
      <c r="P5" s="84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spans="1:28" ht="21.75" customHeight="1" x14ac:dyDescent="0.25">
      <c r="A6" s="795"/>
      <c r="B6" s="836"/>
      <c r="C6" s="835"/>
      <c r="D6" s="800"/>
      <c r="E6" s="800"/>
      <c r="F6" s="800"/>
      <c r="G6" s="22" t="s">
        <v>61</v>
      </c>
      <c r="H6" s="847"/>
      <c r="I6" s="341" t="s">
        <v>514</v>
      </c>
      <c r="J6" s="342" t="s">
        <v>63</v>
      </c>
      <c r="K6" s="341" t="s">
        <v>64</v>
      </c>
      <c r="L6" s="341" t="s">
        <v>65</v>
      </c>
      <c r="M6" s="341" t="s">
        <v>66</v>
      </c>
      <c r="N6" s="341" t="s">
        <v>234</v>
      </c>
      <c r="O6" s="451" t="s">
        <v>515</v>
      </c>
      <c r="P6" s="341" t="s">
        <v>31</v>
      </c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 spans="1:28" ht="15" customHeight="1" x14ac:dyDescent="0.25">
      <c r="A7" s="324"/>
      <c r="B7" s="326" t="s">
        <v>317</v>
      </c>
      <c r="C7" s="327"/>
      <c r="D7" s="325"/>
      <c r="E7" s="25"/>
      <c r="F7" s="25"/>
      <c r="G7" s="25"/>
      <c r="H7" s="252"/>
      <c r="I7" s="295"/>
      <c r="J7" s="295"/>
      <c r="K7" s="295"/>
      <c r="L7" s="295"/>
      <c r="M7" s="295"/>
      <c r="N7" s="295"/>
      <c r="O7" s="295"/>
      <c r="P7" s="281"/>
      <c r="Q7" s="135"/>
      <c r="R7" s="135"/>
      <c r="S7" s="135"/>
      <c r="T7" s="135"/>
      <c r="U7" s="135"/>
      <c r="V7" s="135"/>
      <c r="W7" s="135"/>
      <c r="X7" s="135"/>
      <c r="Y7" s="135"/>
      <c r="Z7" s="135"/>
      <c r="AA7" s="135"/>
      <c r="AB7" s="135"/>
    </row>
    <row r="8" spans="1:28" ht="15" customHeight="1" x14ac:dyDescent="0.25">
      <c r="A8" s="248" t="s">
        <v>53</v>
      </c>
      <c r="B8" s="844" t="s">
        <v>67</v>
      </c>
      <c r="C8" s="845"/>
      <c r="D8" s="249"/>
      <c r="E8" s="250"/>
      <c r="F8" s="250"/>
      <c r="G8" s="250"/>
      <c r="H8" s="253"/>
      <c r="I8" s="296"/>
      <c r="J8" s="296"/>
      <c r="K8" s="296"/>
      <c r="L8" s="296"/>
      <c r="M8" s="296"/>
      <c r="N8" s="296"/>
      <c r="O8" s="296"/>
      <c r="P8" s="296">
        <f>SUM(I32:O32)</f>
        <v>917.70740000000001</v>
      </c>
      <c r="Q8" s="135"/>
      <c r="R8" s="135"/>
      <c r="S8" s="135"/>
      <c r="T8" s="135"/>
      <c r="U8" s="135"/>
      <c r="V8" s="135"/>
      <c r="W8" s="135"/>
      <c r="X8" s="135"/>
      <c r="Y8" s="135"/>
      <c r="Z8" s="135"/>
      <c r="AA8" s="135"/>
      <c r="AB8" s="135"/>
    </row>
    <row r="9" spans="1:28" ht="15" customHeight="1" outlineLevel="1" x14ac:dyDescent="0.25">
      <c r="A9" s="328"/>
      <c r="B9" s="492" t="s">
        <v>391</v>
      </c>
      <c r="C9" s="350" t="s">
        <v>233</v>
      </c>
      <c r="D9" s="323" t="s">
        <v>8</v>
      </c>
      <c r="E9" s="28">
        <v>1</v>
      </c>
      <c r="F9" s="27" t="s">
        <v>66</v>
      </c>
      <c r="G9" s="28">
        <v>5</v>
      </c>
      <c r="H9" s="28">
        <v>1.77</v>
      </c>
      <c r="I9" s="297" t="str">
        <f t="shared" ref="I9:I28" si="0">IF($F9=$I$6,$E9*$G9*$H9,"")</f>
        <v/>
      </c>
      <c r="J9" s="297" t="str">
        <f t="shared" ref="J9:J28" si="1">IF($F9=$J$6,$E9*$G9*$H9,"")</f>
        <v/>
      </c>
      <c r="K9" s="297" t="str">
        <f t="shared" ref="K9:K28" si="2">IF($F9=$K$6,$E9*$G9*$H9,"")</f>
        <v/>
      </c>
      <c r="L9" s="297" t="str">
        <f t="shared" ref="L9:L28" si="3">IF($F9=$L$6,$E9*$G9*$H9,"")</f>
        <v/>
      </c>
      <c r="M9" s="297">
        <f t="shared" ref="M9:M28" si="4">IF($F9=$M$6,$E9*$G9*$H9,"")</f>
        <v>8.85</v>
      </c>
      <c r="N9" s="297" t="str">
        <f t="shared" ref="N9:N16" si="5">IF($F9=$N$6,$E9*$G9*$H9,"")</f>
        <v/>
      </c>
      <c r="O9" s="297" t="str">
        <f>IF($F9=$O$6,$E9*$G9*$H9,"")</f>
        <v/>
      </c>
      <c r="P9" s="282" t="str">
        <f t="shared" ref="P9:P16" si="6">IF($F9=$P$6,$E9*$G9*$H9,"")</f>
        <v/>
      </c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</row>
    <row r="10" spans="1:28" ht="15" customHeight="1" outlineLevel="1" x14ac:dyDescent="0.25">
      <c r="A10" s="328"/>
      <c r="B10" s="492"/>
      <c r="C10" s="350" t="s">
        <v>232</v>
      </c>
      <c r="D10" s="323" t="s">
        <v>8</v>
      </c>
      <c r="E10" s="28">
        <v>1</v>
      </c>
      <c r="F10" s="27" t="s">
        <v>66</v>
      </c>
      <c r="G10" s="28">
        <v>8</v>
      </c>
      <c r="H10" s="28">
        <v>1.27</v>
      </c>
      <c r="I10" s="297" t="str">
        <f t="shared" si="0"/>
        <v/>
      </c>
      <c r="J10" s="297" t="str">
        <f t="shared" si="1"/>
        <v/>
      </c>
      <c r="K10" s="297" t="str">
        <f t="shared" si="2"/>
        <v/>
      </c>
      <c r="L10" s="297" t="str">
        <f t="shared" si="3"/>
        <v/>
      </c>
      <c r="M10" s="297">
        <f t="shared" si="4"/>
        <v>10.16</v>
      </c>
      <c r="N10" s="297" t="str">
        <f t="shared" si="5"/>
        <v/>
      </c>
      <c r="O10" s="297" t="str">
        <f t="shared" ref="O10:O28" si="7">IF($F10=$O$6,$E10*$G10*$H10,"")</f>
        <v/>
      </c>
      <c r="P10" s="282" t="str">
        <f t="shared" si="6"/>
        <v/>
      </c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</row>
    <row r="11" spans="1:28" ht="15" customHeight="1" outlineLevel="1" x14ac:dyDescent="0.25">
      <c r="A11" s="328"/>
      <c r="B11" s="492" t="s">
        <v>392</v>
      </c>
      <c r="C11" s="350" t="s">
        <v>233</v>
      </c>
      <c r="D11" s="323" t="s">
        <v>8</v>
      </c>
      <c r="E11" s="28">
        <v>1</v>
      </c>
      <c r="F11" s="27" t="s">
        <v>66</v>
      </c>
      <c r="G11" s="28">
        <v>5</v>
      </c>
      <c r="H11" s="28">
        <v>2.37</v>
      </c>
      <c r="I11" s="297" t="str">
        <f t="shared" si="0"/>
        <v/>
      </c>
      <c r="J11" s="297" t="str">
        <f t="shared" si="1"/>
        <v/>
      </c>
      <c r="K11" s="297" t="str">
        <f t="shared" si="2"/>
        <v/>
      </c>
      <c r="L11" s="297" t="str">
        <f t="shared" si="3"/>
        <v/>
      </c>
      <c r="M11" s="297">
        <f>IF($F11=$M$6,$E11*$G11*$H11,"")</f>
        <v>11.850000000000001</v>
      </c>
      <c r="N11" s="297" t="str">
        <f t="shared" si="5"/>
        <v/>
      </c>
      <c r="O11" s="297" t="str">
        <f t="shared" si="7"/>
        <v/>
      </c>
      <c r="P11" s="282" t="str">
        <f t="shared" si="6"/>
        <v/>
      </c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</row>
    <row r="12" spans="1:28" ht="15" customHeight="1" outlineLevel="1" x14ac:dyDescent="0.25">
      <c r="A12" s="328"/>
      <c r="B12" s="492"/>
      <c r="C12" s="636" t="s">
        <v>232</v>
      </c>
      <c r="D12" s="323" t="s">
        <v>8</v>
      </c>
      <c r="E12" s="28">
        <v>1</v>
      </c>
      <c r="F12" s="27" t="s">
        <v>66</v>
      </c>
      <c r="G12" s="28">
        <v>11</v>
      </c>
      <c r="H12" s="28">
        <v>1.27</v>
      </c>
      <c r="I12" s="297" t="str">
        <f t="shared" si="0"/>
        <v/>
      </c>
      <c r="J12" s="297" t="str">
        <f t="shared" si="1"/>
        <v/>
      </c>
      <c r="K12" s="297" t="str">
        <f t="shared" si="2"/>
        <v/>
      </c>
      <c r="L12" s="297" t="str">
        <f t="shared" si="3"/>
        <v/>
      </c>
      <c r="M12" s="297">
        <f t="shared" si="4"/>
        <v>13.97</v>
      </c>
      <c r="N12" s="297" t="str">
        <f t="shared" si="5"/>
        <v/>
      </c>
      <c r="O12" s="297" t="str">
        <f t="shared" si="7"/>
        <v/>
      </c>
      <c r="P12" s="282" t="str">
        <f t="shared" si="6"/>
        <v/>
      </c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</row>
    <row r="13" spans="1:28" ht="15" customHeight="1" outlineLevel="1" x14ac:dyDescent="0.25">
      <c r="A13" s="328"/>
      <c r="B13" s="492" t="s">
        <v>393</v>
      </c>
      <c r="C13" s="350" t="s">
        <v>233</v>
      </c>
      <c r="D13" s="323" t="s">
        <v>8</v>
      </c>
      <c r="E13" s="28">
        <v>3</v>
      </c>
      <c r="F13" s="27" t="s">
        <v>66</v>
      </c>
      <c r="G13" s="28">
        <v>10</v>
      </c>
      <c r="H13" s="28">
        <v>1.27</v>
      </c>
      <c r="I13" s="297" t="str">
        <f t="shared" si="0"/>
        <v/>
      </c>
      <c r="J13" s="297" t="str">
        <f t="shared" si="1"/>
        <v/>
      </c>
      <c r="K13" s="297" t="str">
        <f t="shared" si="2"/>
        <v/>
      </c>
      <c r="L13" s="297" t="str">
        <f t="shared" si="3"/>
        <v/>
      </c>
      <c r="M13" s="297">
        <f t="shared" si="4"/>
        <v>38.1</v>
      </c>
      <c r="N13" s="297" t="str">
        <f t="shared" si="5"/>
        <v/>
      </c>
      <c r="O13" s="297" t="str">
        <f t="shared" si="7"/>
        <v/>
      </c>
      <c r="P13" s="282" t="str">
        <f t="shared" si="6"/>
        <v/>
      </c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</row>
    <row r="14" spans="1:28" ht="15" customHeight="1" outlineLevel="1" x14ac:dyDescent="0.25">
      <c r="A14" s="328"/>
      <c r="B14" s="492"/>
      <c r="C14" s="350" t="s">
        <v>232</v>
      </c>
      <c r="D14" s="323" t="s">
        <v>8</v>
      </c>
      <c r="E14" s="28">
        <v>3</v>
      </c>
      <c r="F14" s="27" t="s">
        <v>66</v>
      </c>
      <c r="G14" s="28">
        <v>5</v>
      </c>
      <c r="H14" s="28">
        <v>2.27</v>
      </c>
      <c r="I14" s="297" t="str">
        <f t="shared" si="0"/>
        <v/>
      </c>
      <c r="J14" s="297" t="str">
        <f t="shared" si="1"/>
        <v/>
      </c>
      <c r="K14" s="297" t="str">
        <f t="shared" si="2"/>
        <v/>
      </c>
      <c r="L14" s="297" t="str">
        <f t="shared" si="3"/>
        <v/>
      </c>
      <c r="M14" s="297">
        <f t="shared" si="4"/>
        <v>34.049999999999997</v>
      </c>
      <c r="N14" s="297" t="str">
        <f t="shared" si="5"/>
        <v/>
      </c>
      <c r="O14" s="297" t="str">
        <f t="shared" si="7"/>
        <v/>
      </c>
      <c r="P14" s="282" t="str">
        <f t="shared" si="6"/>
        <v/>
      </c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</row>
    <row r="15" spans="1:28" ht="15" customHeight="1" outlineLevel="1" x14ac:dyDescent="0.25">
      <c r="A15" s="328"/>
      <c r="B15" s="492" t="s">
        <v>394</v>
      </c>
      <c r="C15" s="350" t="s">
        <v>233</v>
      </c>
      <c r="D15" s="323" t="s">
        <v>8</v>
      </c>
      <c r="E15" s="28">
        <v>2</v>
      </c>
      <c r="F15" s="27" t="s">
        <v>66</v>
      </c>
      <c r="G15" s="28">
        <v>9</v>
      </c>
      <c r="H15" s="28">
        <v>1.37</v>
      </c>
      <c r="I15" s="297" t="str">
        <f t="shared" si="0"/>
        <v/>
      </c>
      <c r="J15" s="297" t="str">
        <f t="shared" si="1"/>
        <v/>
      </c>
      <c r="K15" s="297" t="str">
        <f t="shared" si="2"/>
        <v/>
      </c>
      <c r="L15" s="297" t="str">
        <f t="shared" si="3"/>
        <v/>
      </c>
      <c r="M15" s="297">
        <f t="shared" si="4"/>
        <v>24.660000000000004</v>
      </c>
      <c r="N15" s="297" t="str">
        <f t="shared" si="5"/>
        <v/>
      </c>
      <c r="O15" s="297" t="str">
        <f t="shared" si="7"/>
        <v/>
      </c>
      <c r="P15" s="282" t="str">
        <f t="shared" si="6"/>
        <v/>
      </c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</row>
    <row r="16" spans="1:28" ht="15" customHeight="1" outlineLevel="1" x14ac:dyDescent="0.25">
      <c r="A16" s="328"/>
      <c r="B16" s="492"/>
      <c r="C16" s="350" t="s">
        <v>232</v>
      </c>
      <c r="D16" s="323" t="s">
        <v>8</v>
      </c>
      <c r="E16" s="28">
        <v>2</v>
      </c>
      <c r="F16" s="27" t="s">
        <v>66</v>
      </c>
      <c r="G16" s="133">
        <v>6</v>
      </c>
      <c r="H16" s="28">
        <v>2.0699999999999998</v>
      </c>
      <c r="I16" s="297" t="str">
        <f t="shared" si="0"/>
        <v/>
      </c>
      <c r="J16" s="297" t="str">
        <f t="shared" si="1"/>
        <v/>
      </c>
      <c r="K16" s="297" t="str">
        <f t="shared" si="2"/>
        <v/>
      </c>
      <c r="L16" s="297" t="str">
        <f t="shared" si="3"/>
        <v/>
      </c>
      <c r="M16" s="297">
        <f t="shared" si="4"/>
        <v>24.839999999999996</v>
      </c>
      <c r="N16" s="297" t="str">
        <f t="shared" si="5"/>
        <v/>
      </c>
      <c r="O16" s="297" t="str">
        <f t="shared" si="7"/>
        <v/>
      </c>
      <c r="P16" s="282" t="str">
        <f t="shared" si="6"/>
        <v/>
      </c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</row>
    <row r="17" spans="1:28" ht="15" customHeight="1" outlineLevel="1" x14ac:dyDescent="0.25">
      <c r="A17" s="328"/>
      <c r="B17" s="492" t="s">
        <v>523</v>
      </c>
      <c r="C17" s="350" t="s">
        <v>233</v>
      </c>
      <c r="D17" s="323" t="s">
        <v>8</v>
      </c>
      <c r="E17" s="28">
        <v>1</v>
      </c>
      <c r="F17" s="27" t="s">
        <v>66</v>
      </c>
      <c r="G17" s="148">
        <v>23</v>
      </c>
      <c r="H17" s="28">
        <v>1.27</v>
      </c>
      <c r="I17" s="297" t="str">
        <f t="shared" si="0"/>
        <v/>
      </c>
      <c r="J17" s="297" t="str">
        <f t="shared" si="1"/>
        <v/>
      </c>
      <c r="K17" s="297" t="str">
        <f t="shared" si="2"/>
        <v/>
      </c>
      <c r="L17" s="297" t="str">
        <f t="shared" si="3"/>
        <v/>
      </c>
      <c r="M17" s="297">
        <f t="shared" si="4"/>
        <v>29.21</v>
      </c>
      <c r="N17" s="297" t="str">
        <f t="shared" ref="N17:N29" si="8">IF($F17=$N$6,$E17*$G17*$H17,"")</f>
        <v/>
      </c>
      <c r="O17" s="297" t="str">
        <f t="shared" si="7"/>
        <v/>
      </c>
      <c r="P17" s="282" t="str">
        <f>IF($F17=$P$6,$E17*$G19*$H17,"")</f>
        <v/>
      </c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</row>
    <row r="18" spans="1:28" ht="15" customHeight="1" outlineLevel="1" x14ac:dyDescent="0.25">
      <c r="A18" s="328"/>
      <c r="B18" s="492"/>
      <c r="C18" s="350" t="s">
        <v>232</v>
      </c>
      <c r="D18" s="323" t="s">
        <v>8</v>
      </c>
      <c r="E18" s="28">
        <v>1</v>
      </c>
      <c r="F18" s="27" t="s">
        <v>66</v>
      </c>
      <c r="G18" s="457">
        <v>5</v>
      </c>
      <c r="H18" s="133">
        <v>4.7699999999999996</v>
      </c>
      <c r="I18" s="297" t="str">
        <f t="shared" si="0"/>
        <v/>
      </c>
      <c r="J18" s="297" t="str">
        <f t="shared" si="1"/>
        <v/>
      </c>
      <c r="K18" s="297" t="str">
        <f t="shared" si="2"/>
        <v/>
      </c>
      <c r="L18" s="297" t="str">
        <f t="shared" si="3"/>
        <v/>
      </c>
      <c r="M18" s="297">
        <f t="shared" si="4"/>
        <v>23.849999999999998</v>
      </c>
      <c r="N18" s="297" t="str">
        <f t="shared" si="8"/>
        <v/>
      </c>
      <c r="O18" s="297" t="str">
        <f t="shared" si="7"/>
        <v/>
      </c>
      <c r="P18" s="282" t="str">
        <f>IF($F18=$P$6,$E18*$G22*$H18,"")</f>
        <v/>
      </c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</row>
    <row r="19" spans="1:28" ht="16.8" customHeight="1" outlineLevel="1" x14ac:dyDescent="0.25">
      <c r="A19" s="328"/>
      <c r="B19" s="492" t="s">
        <v>554</v>
      </c>
      <c r="C19" s="350" t="s">
        <v>233</v>
      </c>
      <c r="D19" s="323" t="s">
        <v>8</v>
      </c>
      <c r="E19" s="28">
        <v>1</v>
      </c>
      <c r="F19" s="27" t="s">
        <v>66</v>
      </c>
      <c r="G19" s="493">
        <f>2*20</f>
        <v>40</v>
      </c>
      <c r="H19" s="493">
        <v>2.37</v>
      </c>
      <c r="I19" s="494" t="str">
        <f t="shared" si="0"/>
        <v/>
      </c>
      <c r="J19" s="458" t="str">
        <f t="shared" si="1"/>
        <v/>
      </c>
      <c r="K19" s="458" t="str">
        <f t="shared" si="2"/>
        <v/>
      </c>
      <c r="L19" s="458" t="str">
        <f t="shared" si="3"/>
        <v/>
      </c>
      <c r="M19" s="297">
        <f t="shared" si="4"/>
        <v>94.800000000000011</v>
      </c>
      <c r="N19" s="297" t="str">
        <f t="shared" si="8"/>
        <v/>
      </c>
      <c r="O19" s="297" t="str">
        <f t="shared" si="7"/>
        <v/>
      </c>
      <c r="P19" s="282" t="str">
        <f>IF($F19=$P$6,$E19*$G23*$H19,"")</f>
        <v/>
      </c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</row>
    <row r="20" spans="1:28" ht="15" customHeight="1" outlineLevel="1" x14ac:dyDescent="0.25">
      <c r="A20" s="328"/>
      <c r="B20" s="492"/>
      <c r="C20" s="350" t="s">
        <v>232</v>
      </c>
      <c r="D20" s="323" t="s">
        <v>8</v>
      </c>
      <c r="E20" s="28">
        <v>1</v>
      </c>
      <c r="F20" s="27" t="s">
        <v>234</v>
      </c>
      <c r="G20" s="495">
        <f>2*11</f>
        <v>22</v>
      </c>
      <c r="H20" s="495">
        <v>4.17</v>
      </c>
      <c r="I20" s="494" t="str">
        <f>IF($F20=$I$6,$E20*$G22*$H22,"")</f>
        <v/>
      </c>
      <c r="J20" s="458" t="str">
        <f>IF($F20=$J$6,$E20*$G22*$H22,"")</f>
        <v/>
      </c>
      <c r="K20" s="458" t="str">
        <f>IF($F20=$K$6,$E20*$G22*$H22,"")</f>
        <v/>
      </c>
      <c r="L20" s="458" t="str">
        <f>IF($F20=$L$6,$E20*$G22*$H22,"")</f>
        <v/>
      </c>
      <c r="M20" s="297" t="str">
        <f t="shared" si="4"/>
        <v/>
      </c>
      <c r="N20" s="297">
        <f t="shared" si="8"/>
        <v>91.74</v>
      </c>
      <c r="O20" s="297" t="str">
        <f>IF($F20=$O$6,$E20*$G22*$H22,"")</f>
        <v/>
      </c>
      <c r="P20" s="282" t="str">
        <f>IF($F20=$P$6,$E20*$G24*$H22,"")</f>
        <v/>
      </c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</row>
    <row r="21" spans="1:28" ht="15" customHeight="1" outlineLevel="1" x14ac:dyDescent="0.25">
      <c r="A21" s="328"/>
      <c r="B21" s="492" t="s">
        <v>524</v>
      </c>
      <c r="C21" s="350" t="s">
        <v>233</v>
      </c>
      <c r="D21" s="323" t="s">
        <v>8</v>
      </c>
      <c r="E21" s="28">
        <v>1</v>
      </c>
      <c r="F21" s="27" t="s">
        <v>66</v>
      </c>
      <c r="G21" s="496">
        <v>7</v>
      </c>
      <c r="H21" s="495">
        <v>1.57</v>
      </c>
      <c r="I21" s="494" t="str">
        <f>IF($F21=$I$6,$E21*$G23*$H23,"")</f>
        <v/>
      </c>
      <c r="J21" s="458" t="str">
        <f>IF($F21=$J$6,$E21*$G23*$H23,"")</f>
        <v/>
      </c>
      <c r="K21" s="458" t="str">
        <f>IF($F21=$K$6,$E21*$G23*$H23,"")</f>
        <v/>
      </c>
      <c r="L21" s="458" t="str">
        <f>IF($F21=$L$6,$E21*$G23*$H23,"")</f>
        <v/>
      </c>
      <c r="M21" s="297">
        <f t="shared" si="4"/>
        <v>10.99</v>
      </c>
      <c r="N21" s="297" t="str">
        <f t="shared" si="8"/>
        <v/>
      </c>
      <c r="O21" s="297" t="str">
        <f>IF($F21=$O$6,$E21*$G23*$H23,"")</f>
        <v/>
      </c>
      <c r="P21" s="282" t="str">
        <f>IF($F21=$P$6,$E21*#REF!*$H23,"")</f>
        <v/>
      </c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</row>
    <row r="22" spans="1:28" ht="15" customHeight="1" outlineLevel="1" x14ac:dyDescent="0.25">
      <c r="A22" s="328"/>
      <c r="B22" s="492"/>
      <c r="C22" s="350" t="s">
        <v>232</v>
      </c>
      <c r="D22" s="323" t="s">
        <v>8</v>
      </c>
      <c r="E22" s="28">
        <v>1</v>
      </c>
      <c r="F22" s="27" t="s">
        <v>66</v>
      </c>
      <c r="G22" s="497">
        <v>7</v>
      </c>
      <c r="H22" s="497">
        <v>1.67</v>
      </c>
      <c r="I22" s="458" t="str">
        <f>IF($F22=$I$6,$E22*$G24*$H24,"")</f>
        <v/>
      </c>
      <c r="J22" s="458" t="str">
        <f>IF($F22=$J$6,$E22*$G24*$H24,"")</f>
        <v/>
      </c>
      <c r="K22" s="458" t="str">
        <f>IF($F22=$K$6,$E22*$G24*$H24,"")</f>
        <v/>
      </c>
      <c r="L22" s="458" t="str">
        <f>IF($F22=$L$6,$E22*$G24*$H24,"")</f>
        <v/>
      </c>
      <c r="M22" s="297">
        <f t="shared" si="4"/>
        <v>11.69</v>
      </c>
      <c r="N22" s="297" t="str">
        <f t="shared" si="8"/>
        <v/>
      </c>
      <c r="O22" s="297" t="str">
        <f>IF($F22=$O$6,$E22*$G24*$H24,"")</f>
        <v/>
      </c>
      <c r="P22" s="282" t="str">
        <f>IF($F22=$P$6,$E22*#REF!*$H24,"")</f>
        <v/>
      </c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</row>
    <row r="23" spans="1:28" ht="15" customHeight="1" outlineLevel="1" x14ac:dyDescent="0.25">
      <c r="A23" s="328"/>
      <c r="B23" s="492" t="s">
        <v>525</v>
      </c>
      <c r="C23" s="350" t="s">
        <v>233</v>
      </c>
      <c r="D23" s="323" t="s">
        <v>8</v>
      </c>
      <c r="E23" s="28">
        <v>1</v>
      </c>
      <c r="F23" s="27" t="s">
        <v>66</v>
      </c>
      <c r="G23" s="498">
        <v>24</v>
      </c>
      <c r="H23" s="498">
        <v>1.27</v>
      </c>
      <c r="I23" s="458" t="str">
        <f>IF($F23=$I$6,$E23*#REF!*#REF!,"")</f>
        <v/>
      </c>
      <c r="J23" s="458" t="str">
        <f>IF($F23=$J$6,$E23*#REF!*#REF!,"")</f>
        <v/>
      </c>
      <c r="K23" s="458" t="str">
        <f>IF($F23=$K$6,$E23*#REF!*#REF!,"")</f>
        <v/>
      </c>
      <c r="L23" s="458" t="str">
        <f>IF($F23=$L$6,$E23*#REF!*#REF!,"")</f>
        <v/>
      </c>
      <c r="M23" s="297">
        <f t="shared" si="4"/>
        <v>30.48</v>
      </c>
      <c r="N23" s="297" t="str">
        <f t="shared" si="8"/>
        <v/>
      </c>
      <c r="O23" s="297" t="str">
        <f>IF($F23=$O$6,$E23*#REF!*#REF!,"")</f>
        <v/>
      </c>
      <c r="P23" s="282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</row>
    <row r="24" spans="1:28" ht="15" customHeight="1" outlineLevel="1" x14ac:dyDescent="0.25">
      <c r="A24" s="328"/>
      <c r="B24" s="492"/>
      <c r="C24" s="350" t="s">
        <v>232</v>
      </c>
      <c r="D24" s="323" t="s">
        <v>8</v>
      </c>
      <c r="E24" s="28">
        <v>1</v>
      </c>
      <c r="F24" s="27" t="s">
        <v>66</v>
      </c>
      <c r="G24" s="498">
        <v>5</v>
      </c>
      <c r="H24" s="498">
        <v>4.97</v>
      </c>
      <c r="I24" s="458" t="str">
        <f>IF($F24=$I$6,$E24*#REF!*#REF!,"")</f>
        <v/>
      </c>
      <c r="J24" s="458" t="str">
        <f>IF($F24=$J$6,$E24*#REF!*#REF!,"")</f>
        <v/>
      </c>
      <c r="K24" s="458" t="str">
        <f>IF($F24=$K$6,$E24*#REF!*#REF!,"")</f>
        <v/>
      </c>
      <c r="L24" s="458" t="str">
        <f>IF($F24=$L$6,$E24*#REF!*#REF!,"")</f>
        <v/>
      </c>
      <c r="M24" s="297">
        <f t="shared" si="4"/>
        <v>24.849999999999998</v>
      </c>
      <c r="N24" s="297" t="str">
        <f t="shared" si="8"/>
        <v/>
      </c>
      <c r="O24" s="297" t="str">
        <f>IF($F24=$O$6,$E24*#REF!*#REF!,"")</f>
        <v/>
      </c>
      <c r="P24" s="282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</row>
    <row r="25" spans="1:28" ht="15" customHeight="1" outlineLevel="1" x14ac:dyDescent="0.25">
      <c r="A25" s="328"/>
      <c r="B25" s="492" t="s">
        <v>526</v>
      </c>
      <c r="C25" s="350" t="s">
        <v>233</v>
      </c>
      <c r="D25" s="323" t="s">
        <v>8</v>
      </c>
      <c r="E25" s="28">
        <v>1</v>
      </c>
      <c r="F25" s="27" t="s">
        <v>66</v>
      </c>
      <c r="G25" s="498">
        <v>23</v>
      </c>
      <c r="H25" s="498">
        <v>1.57</v>
      </c>
      <c r="I25" s="458" t="str">
        <f t="shared" si="0"/>
        <v/>
      </c>
      <c r="J25" s="458" t="str">
        <f t="shared" si="1"/>
        <v/>
      </c>
      <c r="K25" s="458" t="str">
        <f t="shared" si="2"/>
        <v/>
      </c>
      <c r="L25" s="458" t="str">
        <f t="shared" si="3"/>
        <v/>
      </c>
      <c r="M25" s="297">
        <f t="shared" si="4"/>
        <v>36.11</v>
      </c>
      <c r="N25" s="297" t="str">
        <f t="shared" si="8"/>
        <v/>
      </c>
      <c r="O25" s="297" t="str">
        <f t="shared" si="7"/>
        <v/>
      </c>
      <c r="P25" s="282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</row>
    <row r="26" spans="1:28" ht="15" customHeight="1" outlineLevel="1" x14ac:dyDescent="0.25">
      <c r="A26" s="328"/>
      <c r="B26" s="238"/>
      <c r="C26" s="350" t="s">
        <v>232</v>
      </c>
      <c r="D26" s="323" t="s">
        <v>8</v>
      </c>
      <c r="E26" s="28">
        <v>1</v>
      </c>
      <c r="F26" s="27" t="s">
        <v>66</v>
      </c>
      <c r="G26" s="498">
        <v>7</v>
      </c>
      <c r="H26" s="498">
        <v>4.87</v>
      </c>
      <c r="I26" s="458" t="str">
        <f t="shared" si="0"/>
        <v/>
      </c>
      <c r="J26" s="458" t="str">
        <f t="shared" si="1"/>
        <v/>
      </c>
      <c r="K26" s="458" t="str">
        <f t="shared" si="2"/>
        <v/>
      </c>
      <c r="L26" s="458" t="str">
        <f t="shared" si="3"/>
        <v/>
      </c>
      <c r="M26" s="297">
        <f t="shared" si="4"/>
        <v>34.090000000000003</v>
      </c>
      <c r="N26" s="297" t="str">
        <f t="shared" si="8"/>
        <v/>
      </c>
      <c r="O26" s="297" t="str">
        <f t="shared" si="7"/>
        <v/>
      </c>
      <c r="P26" s="282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</row>
    <row r="27" spans="1:28" ht="15" customHeight="1" outlineLevel="1" x14ac:dyDescent="0.25">
      <c r="A27" s="328"/>
      <c r="B27" s="492" t="s">
        <v>543</v>
      </c>
      <c r="C27" s="350" t="s">
        <v>233</v>
      </c>
      <c r="D27" s="323" t="s">
        <v>8</v>
      </c>
      <c r="E27" s="28">
        <v>1</v>
      </c>
      <c r="F27" s="27" t="s">
        <v>64</v>
      </c>
      <c r="G27" s="498">
        <v>44</v>
      </c>
      <c r="H27" s="498">
        <v>1.5</v>
      </c>
      <c r="I27" s="458" t="str">
        <f t="shared" si="0"/>
        <v/>
      </c>
      <c r="J27" s="458" t="str">
        <f t="shared" si="1"/>
        <v/>
      </c>
      <c r="K27" s="458">
        <f t="shared" si="2"/>
        <v>66</v>
      </c>
      <c r="L27" s="458" t="str">
        <f t="shared" si="3"/>
        <v/>
      </c>
      <c r="M27" s="297" t="str">
        <f t="shared" si="4"/>
        <v/>
      </c>
      <c r="N27" s="297" t="str">
        <f t="shared" si="8"/>
        <v/>
      </c>
      <c r="O27" s="297" t="str">
        <f t="shared" si="7"/>
        <v/>
      </c>
      <c r="P27" s="282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</row>
    <row r="28" spans="1:28" ht="15" customHeight="1" outlineLevel="1" x14ac:dyDescent="0.25">
      <c r="A28" s="328"/>
      <c r="B28" s="238"/>
      <c r="C28" s="350" t="s">
        <v>232</v>
      </c>
      <c r="D28" s="323" t="s">
        <v>8</v>
      </c>
      <c r="E28" s="28">
        <v>1</v>
      </c>
      <c r="F28" s="27" t="s">
        <v>64</v>
      </c>
      <c r="G28" s="28">
        <v>2</v>
      </c>
      <c r="H28" s="28">
        <v>13.05</v>
      </c>
      <c r="I28" s="297" t="str">
        <f t="shared" si="0"/>
        <v/>
      </c>
      <c r="J28" s="297" t="str">
        <f t="shared" si="1"/>
        <v/>
      </c>
      <c r="K28" s="297">
        <f t="shared" si="2"/>
        <v>26.1</v>
      </c>
      <c r="L28" s="297" t="str">
        <f t="shared" si="3"/>
        <v/>
      </c>
      <c r="M28" s="297" t="str">
        <f t="shared" si="4"/>
        <v/>
      </c>
      <c r="N28" s="297" t="str">
        <f t="shared" si="8"/>
        <v/>
      </c>
      <c r="O28" s="297" t="str">
        <f t="shared" si="7"/>
        <v/>
      </c>
      <c r="P28" s="282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</row>
    <row r="29" spans="1:28" ht="15" customHeight="1" outlineLevel="1" x14ac:dyDescent="0.25">
      <c r="A29" s="328"/>
      <c r="B29" s="238"/>
      <c r="C29" s="350"/>
      <c r="D29" s="323"/>
      <c r="E29" s="28"/>
      <c r="F29" s="27"/>
      <c r="G29" s="28"/>
      <c r="H29" s="254"/>
      <c r="I29" s="297"/>
      <c r="J29" s="297"/>
      <c r="K29" s="297"/>
      <c r="L29" s="297"/>
      <c r="M29" s="297"/>
      <c r="N29" s="297" t="str">
        <f t="shared" si="8"/>
        <v/>
      </c>
      <c r="O29" s="297"/>
      <c r="P29" s="282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</row>
    <row r="30" spans="1:28" ht="15" customHeight="1" x14ac:dyDescent="0.25">
      <c r="A30" s="29"/>
      <c r="B30" s="815"/>
      <c r="C30" s="816"/>
      <c r="D30" s="29"/>
      <c r="E30" s="30"/>
      <c r="F30" s="30"/>
      <c r="G30" s="814" t="s">
        <v>68</v>
      </c>
      <c r="H30" s="811"/>
      <c r="I30" s="286">
        <f t="shared" ref="I30:O30" si="9">SUM(I9:I29)</f>
        <v>0</v>
      </c>
      <c r="J30" s="286">
        <f t="shared" si="9"/>
        <v>0</v>
      </c>
      <c r="K30" s="286">
        <f t="shared" si="9"/>
        <v>92.1</v>
      </c>
      <c r="L30" s="286">
        <f t="shared" si="9"/>
        <v>0</v>
      </c>
      <c r="M30" s="286">
        <f t="shared" si="9"/>
        <v>462.55000000000007</v>
      </c>
      <c r="N30" s="286">
        <f t="shared" si="9"/>
        <v>91.74</v>
      </c>
      <c r="O30" s="286">
        <f t="shared" si="9"/>
        <v>0</v>
      </c>
      <c r="P30" s="283"/>
      <c r="Q30" s="136"/>
      <c r="R30" s="136"/>
      <c r="S30" s="136"/>
      <c r="T30" s="136"/>
      <c r="U30" s="136"/>
      <c r="V30" s="136"/>
      <c r="W30" s="136"/>
      <c r="X30" s="136"/>
      <c r="Y30" s="136"/>
      <c r="Z30" s="136"/>
      <c r="AA30" s="136"/>
      <c r="AB30" s="136"/>
    </row>
    <row r="31" spans="1:28" ht="15" customHeight="1" x14ac:dyDescent="0.25">
      <c r="A31" s="31"/>
      <c r="B31" s="815"/>
      <c r="C31" s="816"/>
      <c r="D31" s="32"/>
      <c r="E31" s="33"/>
      <c r="F31" s="34"/>
      <c r="G31" s="810" t="s">
        <v>69</v>
      </c>
      <c r="H31" s="811"/>
      <c r="I31" s="298">
        <v>0.21</v>
      </c>
      <c r="J31" s="298">
        <v>0.38</v>
      </c>
      <c r="K31" s="298">
        <v>0.53</v>
      </c>
      <c r="L31" s="298">
        <v>0.94</v>
      </c>
      <c r="M31" s="298">
        <v>1.46</v>
      </c>
      <c r="N31" s="298">
        <v>2.11</v>
      </c>
      <c r="O31" s="298">
        <v>3.74</v>
      </c>
      <c r="P31" s="284"/>
      <c r="Q31" s="136"/>
      <c r="R31" s="136"/>
      <c r="S31" s="136"/>
      <c r="T31" s="136"/>
      <c r="U31" s="136"/>
      <c r="V31" s="136"/>
      <c r="W31" s="136"/>
      <c r="X31" s="136"/>
      <c r="Y31" s="136"/>
      <c r="Z31" s="136"/>
      <c r="AA31" s="136"/>
      <c r="AB31" s="136"/>
    </row>
    <row r="32" spans="1:28" ht="15" customHeight="1" x14ac:dyDescent="0.25">
      <c r="A32" s="31"/>
      <c r="B32" s="815"/>
      <c r="C32" s="816"/>
      <c r="D32" s="32"/>
      <c r="E32" s="33"/>
      <c r="F32" s="34"/>
      <c r="G32" s="810" t="s">
        <v>70</v>
      </c>
      <c r="H32" s="811"/>
      <c r="I32" s="286">
        <f t="shared" ref="I32:N32" si="10">I30*I31</f>
        <v>0</v>
      </c>
      <c r="J32" s="286">
        <f t="shared" si="10"/>
        <v>0</v>
      </c>
      <c r="K32" s="286">
        <f>K30*K31</f>
        <v>48.813000000000002</v>
      </c>
      <c r="L32" s="286">
        <f t="shared" si="10"/>
        <v>0</v>
      </c>
      <c r="M32" s="286">
        <f t="shared" si="10"/>
        <v>675.32300000000009</v>
      </c>
      <c r="N32" s="286">
        <f t="shared" si="10"/>
        <v>193.57139999999998</v>
      </c>
      <c r="O32" s="286">
        <f>O30*O31</f>
        <v>0</v>
      </c>
      <c r="P32" s="283"/>
      <c r="Q32" s="136"/>
      <c r="R32" s="136"/>
      <c r="S32" s="136"/>
      <c r="T32" s="136"/>
      <c r="U32" s="136"/>
      <c r="V32" s="136"/>
      <c r="W32" s="136"/>
      <c r="X32" s="136"/>
      <c r="Y32" s="136"/>
      <c r="Z32" s="136"/>
      <c r="AA32" s="136"/>
      <c r="AB32" s="136"/>
    </row>
    <row r="33" spans="1:28" ht="15" customHeight="1" x14ac:dyDescent="0.25">
      <c r="A33" s="31"/>
      <c r="B33" s="815"/>
      <c r="C33" s="816"/>
      <c r="D33" s="32"/>
      <c r="E33" s="33"/>
      <c r="F33" s="34"/>
      <c r="G33" s="810" t="s">
        <v>71</v>
      </c>
      <c r="H33" s="811"/>
      <c r="I33" s="286">
        <f t="shared" ref="I33:N33" si="11">ROUNDUP(I30*1.07/9,0)</f>
        <v>0</v>
      </c>
      <c r="J33" s="286">
        <f t="shared" si="11"/>
        <v>0</v>
      </c>
      <c r="K33" s="286">
        <f>ROUNDUP(K30*1.07/9,0)</f>
        <v>11</v>
      </c>
      <c r="L33" s="286">
        <f t="shared" si="11"/>
        <v>0</v>
      </c>
      <c r="M33" s="286">
        <f t="shared" si="11"/>
        <v>55</v>
      </c>
      <c r="N33" s="286">
        <f t="shared" si="11"/>
        <v>11</v>
      </c>
      <c r="O33" s="286">
        <f>ROUNDUP(O30*1.07/9,0)</f>
        <v>0</v>
      </c>
      <c r="P33" s="283"/>
      <c r="Q33" s="136"/>
      <c r="R33" s="136"/>
      <c r="S33" s="136"/>
      <c r="T33" s="136"/>
      <c r="U33" s="136"/>
      <c r="V33" s="136"/>
      <c r="W33" s="136"/>
      <c r="X33" s="136"/>
      <c r="Y33" s="136"/>
      <c r="Z33" s="136"/>
      <c r="AA33" s="136"/>
      <c r="AB33" s="136"/>
    </row>
    <row r="34" spans="1:28" ht="15" customHeight="1" x14ac:dyDescent="0.25">
      <c r="A34" s="248" t="s">
        <v>53</v>
      </c>
      <c r="B34" s="812" t="s">
        <v>555</v>
      </c>
      <c r="C34" s="813"/>
      <c r="D34" s="249"/>
      <c r="E34" s="250"/>
      <c r="F34" s="250"/>
      <c r="G34" s="250"/>
      <c r="H34" s="253"/>
      <c r="I34" s="296"/>
      <c r="J34" s="296"/>
      <c r="K34" s="296"/>
      <c r="L34" s="296"/>
      <c r="M34" s="296"/>
      <c r="N34" s="296"/>
      <c r="O34" s="296"/>
      <c r="P34" s="296">
        <f>SUM(I46:O46)</f>
        <v>855.27040000000011</v>
      </c>
      <c r="Q34" s="135"/>
      <c r="R34" s="135"/>
      <c r="S34" s="135"/>
      <c r="T34" s="135"/>
      <c r="U34" s="135"/>
      <c r="V34" s="135"/>
      <c r="W34" s="135"/>
      <c r="X34" s="135"/>
      <c r="Y34" s="135"/>
      <c r="Z34" s="135"/>
      <c r="AA34" s="135"/>
      <c r="AB34" s="135"/>
    </row>
    <row r="35" spans="1:28" ht="15.75" hidden="1" customHeight="1" outlineLevel="1" x14ac:dyDescent="0.25">
      <c r="A35" s="467"/>
      <c r="B35" s="358" t="s">
        <v>556</v>
      </c>
      <c r="C35" s="359"/>
      <c r="D35" s="27"/>
      <c r="E35" s="28"/>
      <c r="F35" s="27"/>
      <c r="G35" s="28"/>
      <c r="H35" s="28"/>
      <c r="I35" s="297" t="str">
        <f t="shared" ref="I35:I43" si="12">IF($F35=$I$6,$E35*$G35*$H35,"")</f>
        <v/>
      </c>
      <c r="J35" s="297" t="str">
        <f t="shared" ref="J35:J43" si="13">IF($F35=$J$6,$E35*$G35*$H35,"")</f>
        <v/>
      </c>
      <c r="K35" s="297" t="str">
        <f t="shared" ref="K35:K43" si="14">IF($F35=$K$6,$E35*$G35*$H35,"")</f>
        <v/>
      </c>
      <c r="L35" s="297" t="str">
        <f t="shared" ref="L35:L43" si="15">IF($F35=$L$6,$E35*$G35*$H35,"")</f>
        <v/>
      </c>
      <c r="M35" s="297" t="str">
        <f t="shared" ref="M35:M43" si="16">IF($F35=$M$6,$E35*$G35*$H35,"")</f>
        <v/>
      </c>
      <c r="N35" s="297" t="str">
        <f t="shared" ref="N35:N43" si="17">IF($F35=$N$6,$E35*$G35*$H35,"")</f>
        <v/>
      </c>
      <c r="O35" s="297" t="str">
        <f t="shared" ref="O35:O43" si="18">IF($F35=$O$6,$E35*$G35*$H35,"")</f>
        <v/>
      </c>
      <c r="P35" s="285"/>
      <c r="Q35" s="136"/>
      <c r="R35" s="136"/>
      <c r="S35" s="136"/>
      <c r="T35" s="136"/>
      <c r="U35" s="136"/>
      <c r="V35" s="136"/>
      <c r="W35" s="136"/>
      <c r="X35" s="136"/>
      <c r="Y35" s="136"/>
      <c r="Z35" s="136"/>
      <c r="AA35" s="136"/>
      <c r="AB35" s="136"/>
    </row>
    <row r="36" spans="1:28" ht="15.75" hidden="1" customHeight="1" outlineLevel="1" x14ac:dyDescent="0.25">
      <c r="A36" s="154"/>
      <c r="B36" s="358" t="s">
        <v>385</v>
      </c>
      <c r="C36" s="359"/>
      <c r="D36" s="27" t="s">
        <v>8</v>
      </c>
      <c r="E36" s="28">
        <v>5</v>
      </c>
      <c r="F36" s="27" t="s">
        <v>234</v>
      </c>
      <c r="G36" s="28">
        <v>4</v>
      </c>
      <c r="H36" s="28">
        <v>5.44</v>
      </c>
      <c r="I36" s="297" t="str">
        <f t="shared" si="12"/>
        <v/>
      </c>
      <c r="J36" s="297" t="str">
        <f t="shared" si="13"/>
        <v/>
      </c>
      <c r="K36" s="297" t="str">
        <f t="shared" si="14"/>
        <v/>
      </c>
      <c r="L36" s="297" t="str">
        <f t="shared" si="15"/>
        <v/>
      </c>
      <c r="M36" s="297" t="str">
        <f t="shared" si="16"/>
        <v/>
      </c>
      <c r="N36" s="297">
        <f t="shared" si="17"/>
        <v>108.80000000000001</v>
      </c>
      <c r="O36" s="297" t="str">
        <f t="shared" si="18"/>
        <v/>
      </c>
      <c r="P36" s="285"/>
      <c r="Q36" s="136"/>
      <c r="R36" s="136"/>
      <c r="S36" s="136"/>
      <c r="T36" s="136"/>
      <c r="U36" s="136"/>
      <c r="V36" s="136"/>
      <c r="W36" s="136"/>
      <c r="X36" s="136"/>
      <c r="Y36" s="136"/>
      <c r="Z36" s="136"/>
      <c r="AA36" s="136"/>
      <c r="AB36" s="136"/>
    </row>
    <row r="37" spans="1:28" ht="15.75" hidden="1" customHeight="1" outlineLevel="1" x14ac:dyDescent="0.25">
      <c r="A37" s="154"/>
      <c r="B37" s="358" t="s">
        <v>379</v>
      </c>
      <c r="C37" s="359"/>
      <c r="D37" s="27" t="s">
        <v>8</v>
      </c>
      <c r="E37" s="28">
        <v>5</v>
      </c>
      <c r="F37" s="27" t="s">
        <v>234</v>
      </c>
      <c r="G37" s="28">
        <v>3</v>
      </c>
      <c r="H37" s="28">
        <v>5.44</v>
      </c>
      <c r="I37" s="297" t="str">
        <f t="shared" si="12"/>
        <v/>
      </c>
      <c r="J37" s="297" t="str">
        <f t="shared" si="13"/>
        <v/>
      </c>
      <c r="K37" s="297" t="str">
        <f t="shared" si="14"/>
        <v/>
      </c>
      <c r="L37" s="297" t="str">
        <f t="shared" si="15"/>
        <v/>
      </c>
      <c r="M37" s="297" t="str">
        <f t="shared" si="16"/>
        <v/>
      </c>
      <c r="N37" s="297">
        <f t="shared" si="17"/>
        <v>81.600000000000009</v>
      </c>
      <c r="O37" s="297" t="str">
        <f t="shared" si="18"/>
        <v/>
      </c>
      <c r="P37" s="285"/>
      <c r="Q37" s="136"/>
      <c r="R37" s="136"/>
      <c r="S37" s="136"/>
      <c r="T37" s="136"/>
      <c r="U37" s="136"/>
      <c r="V37" s="136"/>
      <c r="W37" s="136"/>
      <c r="X37" s="136"/>
      <c r="Y37" s="136"/>
      <c r="Z37" s="136"/>
      <c r="AA37" s="136"/>
      <c r="AB37" s="136"/>
    </row>
    <row r="38" spans="1:28" ht="15.75" hidden="1" customHeight="1" outlineLevel="1" x14ac:dyDescent="0.25">
      <c r="A38" s="26"/>
      <c r="B38" s="358" t="s">
        <v>73</v>
      </c>
      <c r="C38" s="359"/>
      <c r="D38" s="27" t="s">
        <v>8</v>
      </c>
      <c r="E38" s="28">
        <v>5</v>
      </c>
      <c r="F38" s="27" t="s">
        <v>64</v>
      </c>
      <c r="G38" s="28">
        <v>38</v>
      </c>
      <c r="H38" s="28">
        <v>1.34</v>
      </c>
      <c r="I38" s="297" t="str">
        <f t="shared" si="12"/>
        <v/>
      </c>
      <c r="J38" s="297" t="str">
        <f t="shared" si="13"/>
        <v/>
      </c>
      <c r="K38" s="297">
        <f t="shared" si="14"/>
        <v>254.60000000000002</v>
      </c>
      <c r="L38" s="297" t="str">
        <f t="shared" si="15"/>
        <v/>
      </c>
      <c r="M38" s="297" t="str">
        <f t="shared" si="16"/>
        <v/>
      </c>
      <c r="N38" s="297" t="str">
        <f t="shared" si="17"/>
        <v/>
      </c>
      <c r="O38" s="297" t="str">
        <f t="shared" si="18"/>
        <v/>
      </c>
      <c r="P38" s="285"/>
      <c r="Q38" s="136"/>
      <c r="R38" s="136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</row>
    <row r="39" spans="1:28" ht="15.75" hidden="1" customHeight="1" outlineLevel="1" x14ac:dyDescent="0.25">
      <c r="A39" s="481"/>
      <c r="B39" s="358" t="s">
        <v>557</v>
      </c>
      <c r="C39" s="359"/>
      <c r="D39" s="27"/>
      <c r="E39" s="28"/>
      <c r="F39" s="27"/>
      <c r="G39" s="28"/>
      <c r="H39" s="28"/>
      <c r="I39" s="297" t="str">
        <f t="shared" si="12"/>
        <v/>
      </c>
      <c r="J39" s="297" t="str">
        <f t="shared" si="13"/>
        <v/>
      </c>
      <c r="K39" s="297" t="str">
        <f t="shared" si="14"/>
        <v/>
      </c>
      <c r="L39" s="297" t="str">
        <f t="shared" si="15"/>
        <v/>
      </c>
      <c r="M39" s="297" t="str">
        <f t="shared" si="16"/>
        <v/>
      </c>
      <c r="N39" s="297" t="str">
        <f t="shared" si="17"/>
        <v/>
      </c>
      <c r="O39" s="297" t="str">
        <f t="shared" si="18"/>
        <v/>
      </c>
      <c r="P39" s="285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</row>
    <row r="40" spans="1:28" ht="15.75" hidden="1" customHeight="1" outlineLevel="1" x14ac:dyDescent="0.25">
      <c r="A40" s="26"/>
      <c r="B40" s="358" t="s">
        <v>385</v>
      </c>
      <c r="C40" s="359"/>
      <c r="D40" s="27" t="s">
        <v>8</v>
      </c>
      <c r="E40" s="28">
        <v>2</v>
      </c>
      <c r="F40" s="27" t="s">
        <v>234</v>
      </c>
      <c r="G40" s="28">
        <v>5</v>
      </c>
      <c r="H40" s="28">
        <v>5.44</v>
      </c>
      <c r="I40" s="297" t="str">
        <f t="shared" si="12"/>
        <v/>
      </c>
      <c r="J40" s="297" t="str">
        <f t="shared" si="13"/>
        <v/>
      </c>
      <c r="K40" s="297" t="str">
        <f t="shared" si="14"/>
        <v/>
      </c>
      <c r="L40" s="297" t="str">
        <f t="shared" si="15"/>
        <v/>
      </c>
      <c r="M40" s="297" t="str">
        <f t="shared" si="16"/>
        <v/>
      </c>
      <c r="N40" s="297">
        <f t="shared" si="17"/>
        <v>54.400000000000006</v>
      </c>
      <c r="O40" s="297" t="str">
        <f t="shared" si="18"/>
        <v/>
      </c>
      <c r="P40" s="285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</row>
    <row r="41" spans="1:28" ht="15.75" hidden="1" customHeight="1" outlineLevel="1" x14ac:dyDescent="0.25">
      <c r="A41" s="26"/>
      <c r="B41" s="358" t="s">
        <v>379</v>
      </c>
      <c r="C41" s="359"/>
      <c r="D41" s="27" t="s">
        <v>8</v>
      </c>
      <c r="E41" s="28">
        <v>2</v>
      </c>
      <c r="F41" s="27" t="s">
        <v>234</v>
      </c>
      <c r="G41" s="28">
        <v>4</v>
      </c>
      <c r="H41" s="28">
        <v>5.44</v>
      </c>
      <c r="I41" s="297" t="str">
        <f t="shared" si="12"/>
        <v/>
      </c>
      <c r="J41" s="297" t="str">
        <f t="shared" si="13"/>
        <v/>
      </c>
      <c r="K41" s="297" t="str">
        <f t="shared" si="14"/>
        <v/>
      </c>
      <c r="L41" s="297" t="str">
        <f t="shared" si="15"/>
        <v/>
      </c>
      <c r="M41" s="297" t="str">
        <f t="shared" si="16"/>
        <v/>
      </c>
      <c r="N41" s="297">
        <f t="shared" si="17"/>
        <v>43.52</v>
      </c>
      <c r="O41" s="297" t="str">
        <f t="shared" si="18"/>
        <v/>
      </c>
      <c r="P41" s="285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</row>
    <row r="42" spans="1:28" ht="15.75" hidden="1" customHeight="1" outlineLevel="1" x14ac:dyDescent="0.25">
      <c r="A42" s="154"/>
      <c r="B42" s="358" t="s">
        <v>73</v>
      </c>
      <c r="C42" s="359"/>
      <c r="D42" s="27" t="s">
        <v>8</v>
      </c>
      <c r="E42" s="28">
        <v>2</v>
      </c>
      <c r="F42" s="27" t="s">
        <v>64</v>
      </c>
      <c r="G42" s="28">
        <v>34</v>
      </c>
      <c r="H42" s="28">
        <v>1.68</v>
      </c>
      <c r="I42" s="297" t="str">
        <f t="shared" si="12"/>
        <v/>
      </c>
      <c r="J42" s="297" t="str">
        <f t="shared" si="13"/>
        <v/>
      </c>
      <c r="K42" s="297">
        <f t="shared" si="14"/>
        <v>114.24</v>
      </c>
      <c r="L42" s="297" t="str">
        <f t="shared" si="15"/>
        <v/>
      </c>
      <c r="M42" s="297" t="str">
        <f t="shared" si="16"/>
        <v/>
      </c>
      <c r="N42" s="297" t="str">
        <f t="shared" si="17"/>
        <v/>
      </c>
      <c r="O42" s="297" t="str">
        <f t="shared" si="18"/>
        <v/>
      </c>
      <c r="P42" s="285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</row>
    <row r="43" spans="1:28" ht="15.75" hidden="1" customHeight="1" outlineLevel="1" x14ac:dyDescent="0.25">
      <c r="A43" s="26"/>
      <c r="B43" s="358"/>
      <c r="C43" s="359"/>
      <c r="D43" s="27"/>
      <c r="E43" s="28"/>
      <c r="F43" s="27"/>
      <c r="G43" s="28"/>
      <c r="H43" s="28"/>
      <c r="I43" s="297" t="str">
        <f t="shared" si="12"/>
        <v/>
      </c>
      <c r="J43" s="297" t="str">
        <f t="shared" si="13"/>
        <v/>
      </c>
      <c r="K43" s="297" t="str">
        <f t="shared" si="14"/>
        <v/>
      </c>
      <c r="L43" s="297" t="str">
        <f t="shared" si="15"/>
        <v/>
      </c>
      <c r="M43" s="297" t="str">
        <f t="shared" si="16"/>
        <v/>
      </c>
      <c r="N43" s="297" t="str">
        <f t="shared" si="17"/>
        <v/>
      </c>
      <c r="O43" s="297" t="str">
        <f t="shared" si="18"/>
        <v/>
      </c>
      <c r="P43" s="285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</row>
    <row r="44" spans="1:28" ht="15.75" customHeight="1" collapsed="1" x14ac:dyDescent="0.25">
      <c r="A44" s="29"/>
      <c r="B44" s="815"/>
      <c r="C44" s="816"/>
      <c r="D44" s="29"/>
      <c r="E44" s="30"/>
      <c r="F44" s="30"/>
      <c r="G44" s="814" t="s">
        <v>68</v>
      </c>
      <c r="H44" s="811"/>
      <c r="I44" s="286">
        <f t="shared" ref="I44:O44" si="19">SUM(I35:I43)</f>
        <v>0</v>
      </c>
      <c r="J44" s="286">
        <f t="shared" si="19"/>
        <v>0</v>
      </c>
      <c r="K44" s="286">
        <f>SUM(K35:K43)</f>
        <v>368.84000000000003</v>
      </c>
      <c r="L44" s="286">
        <f t="shared" si="19"/>
        <v>0</v>
      </c>
      <c r="M44" s="286">
        <f t="shared" si="19"/>
        <v>0</v>
      </c>
      <c r="N44" s="286">
        <f>SUM(N35:N43)</f>
        <v>288.32000000000005</v>
      </c>
      <c r="O44" s="286">
        <f t="shared" si="19"/>
        <v>0</v>
      </c>
      <c r="P44" s="28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</row>
    <row r="45" spans="1:28" ht="15.75" customHeight="1" x14ac:dyDescent="0.25">
      <c r="A45" s="31"/>
      <c r="B45" s="815"/>
      <c r="C45" s="816"/>
      <c r="D45" s="32"/>
      <c r="E45" s="33"/>
      <c r="F45" s="34"/>
      <c r="G45" s="810" t="s">
        <v>69</v>
      </c>
      <c r="H45" s="811"/>
      <c r="I45" s="298">
        <v>0.25</v>
      </c>
      <c r="J45" s="298">
        <v>3.97</v>
      </c>
      <c r="K45" s="298">
        <v>0.56000000000000005</v>
      </c>
      <c r="L45" s="298">
        <v>1.02</v>
      </c>
      <c r="M45" s="298">
        <v>1.56</v>
      </c>
      <c r="N45" s="298">
        <v>2.25</v>
      </c>
      <c r="O45" s="335">
        <v>0.39500000000000002</v>
      </c>
      <c r="P45" s="284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</row>
    <row r="46" spans="1:28" ht="15.75" customHeight="1" x14ac:dyDescent="0.25">
      <c r="A46" s="31"/>
      <c r="B46" s="815"/>
      <c r="C46" s="816"/>
      <c r="D46" s="32"/>
      <c r="E46" s="33"/>
      <c r="F46" s="34"/>
      <c r="G46" s="810" t="s">
        <v>70</v>
      </c>
      <c r="H46" s="811"/>
      <c r="I46" s="286">
        <f t="shared" ref="I46:O46" si="20">I44*I45</f>
        <v>0</v>
      </c>
      <c r="J46" s="286">
        <f t="shared" si="20"/>
        <v>0</v>
      </c>
      <c r="K46" s="286">
        <f>K44*K45</f>
        <v>206.55040000000002</v>
      </c>
      <c r="L46" s="286">
        <f t="shared" si="20"/>
        <v>0</v>
      </c>
      <c r="M46" s="286">
        <f t="shared" si="20"/>
        <v>0</v>
      </c>
      <c r="N46" s="286">
        <f>N44*N45</f>
        <v>648.72000000000014</v>
      </c>
      <c r="O46" s="286">
        <f t="shared" si="20"/>
        <v>0</v>
      </c>
      <c r="P46" s="283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</row>
    <row r="47" spans="1:28" ht="15.75" customHeight="1" x14ac:dyDescent="0.25">
      <c r="A47" s="31"/>
      <c r="B47" s="815"/>
      <c r="C47" s="816"/>
      <c r="D47" s="32"/>
      <c r="E47" s="33"/>
      <c r="F47" s="34"/>
      <c r="G47" s="810" t="s">
        <v>71</v>
      </c>
      <c r="H47" s="811"/>
      <c r="I47" s="286">
        <f t="shared" ref="I47:O47" si="21">ROUNDUP(I44*1.07/9,0)</f>
        <v>0</v>
      </c>
      <c r="J47" s="286">
        <f t="shared" si="21"/>
        <v>0</v>
      </c>
      <c r="K47" s="286">
        <f t="shared" si="21"/>
        <v>44</v>
      </c>
      <c r="L47" s="286">
        <f t="shared" si="21"/>
        <v>0</v>
      </c>
      <c r="M47" s="286">
        <f t="shared" si="21"/>
        <v>0</v>
      </c>
      <c r="N47" s="286">
        <f t="shared" si="21"/>
        <v>35</v>
      </c>
      <c r="O47" s="286">
        <f t="shared" si="21"/>
        <v>0</v>
      </c>
      <c r="P47" s="283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</row>
    <row r="48" spans="1:28" ht="15.75" customHeight="1" x14ac:dyDescent="0.25">
      <c r="A48" s="248" t="s">
        <v>53</v>
      </c>
      <c r="B48" s="812" t="s">
        <v>584</v>
      </c>
      <c r="C48" s="813"/>
      <c r="D48" s="249"/>
      <c r="E48" s="250"/>
      <c r="F48" s="250"/>
      <c r="G48" s="388"/>
      <c r="H48" s="389"/>
      <c r="I48" s="296"/>
      <c r="J48" s="296"/>
      <c r="K48" s="296"/>
      <c r="L48" s="296"/>
      <c r="M48" s="296"/>
      <c r="N48" s="338"/>
      <c r="O48" s="338"/>
      <c r="P48" s="296">
        <f>SUM(I69:O69)</f>
        <v>348.85640000000001</v>
      </c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</row>
    <row r="49" spans="1:28" ht="15.75" hidden="1" customHeight="1" outlineLevel="1" x14ac:dyDescent="0.25">
      <c r="A49" s="512"/>
      <c r="B49" s="390" t="s">
        <v>430</v>
      </c>
      <c r="C49" s="391"/>
      <c r="D49" s="147"/>
      <c r="E49" s="28"/>
      <c r="F49" s="373"/>
      <c r="G49" s="148"/>
      <c r="H49" s="245"/>
      <c r="I49" s="392" t="str">
        <f t="shared" ref="I49:I66" si="22">IF($F49=$I$6,$E49*$G49*$H49,"")</f>
        <v/>
      </c>
      <c r="J49" s="392" t="str">
        <f t="shared" ref="J49:J66" si="23">IF($F49=$J$6,$E49*$G49*$H49,"")</f>
        <v/>
      </c>
      <c r="K49" s="392" t="str">
        <f t="shared" ref="K49:K66" si="24">IF($F49=$K$6,$E49*$G49*$H49,"")</f>
        <v/>
      </c>
      <c r="L49" s="392" t="str">
        <f t="shared" ref="L49:L66" si="25">IF($F49=$L$6,$E49*$G49*$H49,"")</f>
        <v/>
      </c>
      <c r="M49" s="336" t="str">
        <f t="shared" ref="M49:M66" si="26">IF($F49=$M$6,$E49*$G49*$H49,"")</f>
        <v/>
      </c>
      <c r="N49" s="288"/>
      <c r="O49" s="288"/>
      <c r="P49" s="387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</row>
    <row r="50" spans="1:28" ht="15.75" hidden="1" customHeight="1" outlineLevel="1" x14ac:dyDescent="0.25">
      <c r="A50" s="322"/>
      <c r="B50" s="390" t="s">
        <v>605</v>
      </c>
      <c r="C50" s="391"/>
      <c r="D50" s="147" t="s">
        <v>8</v>
      </c>
      <c r="E50" s="28">
        <v>2</v>
      </c>
      <c r="F50" s="373" t="s">
        <v>64</v>
      </c>
      <c r="G50" s="148">
        <v>12</v>
      </c>
      <c r="H50" s="245">
        <v>2.27</v>
      </c>
      <c r="I50" s="392" t="str">
        <f t="shared" si="22"/>
        <v/>
      </c>
      <c r="J50" s="392" t="str">
        <f t="shared" si="23"/>
        <v/>
      </c>
      <c r="K50" s="392">
        <f t="shared" si="24"/>
        <v>54.480000000000004</v>
      </c>
      <c r="L50" s="392" t="str">
        <f t="shared" si="25"/>
        <v/>
      </c>
      <c r="M50" s="336" t="str">
        <f t="shared" si="26"/>
        <v/>
      </c>
      <c r="N50" s="288"/>
      <c r="O50" s="288"/>
      <c r="P50" s="387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</row>
    <row r="51" spans="1:28" ht="15.75" hidden="1" customHeight="1" outlineLevel="1" x14ac:dyDescent="0.25">
      <c r="A51" s="322"/>
      <c r="B51" s="390" t="s">
        <v>606</v>
      </c>
      <c r="C51" s="391"/>
      <c r="D51" s="147" t="s">
        <v>8</v>
      </c>
      <c r="E51" s="28">
        <v>2</v>
      </c>
      <c r="F51" s="373" t="s">
        <v>64</v>
      </c>
      <c r="G51" s="148">
        <v>10</v>
      </c>
      <c r="H51" s="245">
        <v>2.65</v>
      </c>
      <c r="I51" s="392" t="str">
        <f t="shared" si="22"/>
        <v/>
      </c>
      <c r="J51" s="392" t="str">
        <f t="shared" si="23"/>
        <v/>
      </c>
      <c r="K51" s="392">
        <f t="shared" si="24"/>
        <v>53</v>
      </c>
      <c r="L51" s="392" t="str">
        <f t="shared" si="25"/>
        <v/>
      </c>
      <c r="M51" s="336" t="str">
        <f t="shared" si="26"/>
        <v/>
      </c>
      <c r="N51" s="288"/>
      <c r="O51" s="288"/>
      <c r="P51" s="387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</row>
    <row r="52" spans="1:28" ht="15.75" hidden="1" customHeight="1" outlineLevel="1" x14ac:dyDescent="0.25">
      <c r="A52" s="512"/>
      <c r="B52" s="390" t="s">
        <v>607</v>
      </c>
      <c r="C52" s="391"/>
      <c r="D52" s="147"/>
      <c r="E52" s="28"/>
      <c r="F52" s="373"/>
      <c r="G52" s="148"/>
      <c r="H52" s="245"/>
      <c r="I52" s="392" t="str">
        <f t="shared" si="22"/>
        <v/>
      </c>
      <c r="J52" s="392" t="str">
        <f t="shared" si="23"/>
        <v/>
      </c>
      <c r="K52" s="392" t="str">
        <f t="shared" si="24"/>
        <v/>
      </c>
      <c r="L52" s="392" t="str">
        <f t="shared" si="25"/>
        <v/>
      </c>
      <c r="M52" s="336" t="str">
        <f t="shared" si="26"/>
        <v/>
      </c>
      <c r="N52" s="288"/>
      <c r="O52" s="288"/>
      <c r="P52" s="387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</row>
    <row r="53" spans="1:28" ht="15.75" hidden="1" customHeight="1" outlineLevel="1" x14ac:dyDescent="0.25">
      <c r="A53" s="322"/>
      <c r="B53" s="390" t="s">
        <v>396</v>
      </c>
      <c r="C53" s="391"/>
      <c r="D53" s="147" t="s">
        <v>8</v>
      </c>
      <c r="E53" s="28">
        <v>2</v>
      </c>
      <c r="F53" s="373" t="s">
        <v>64</v>
      </c>
      <c r="G53" s="148">
        <f>2*12</f>
        <v>24</v>
      </c>
      <c r="H53" s="245">
        <v>2.76</v>
      </c>
      <c r="I53" s="392" t="str">
        <f t="shared" si="22"/>
        <v/>
      </c>
      <c r="J53" s="392" t="str">
        <f t="shared" si="23"/>
        <v/>
      </c>
      <c r="K53" s="392">
        <f t="shared" si="24"/>
        <v>132.47999999999999</v>
      </c>
      <c r="L53" s="392" t="str">
        <f t="shared" si="25"/>
        <v/>
      </c>
      <c r="M53" s="336" t="str">
        <f t="shared" si="26"/>
        <v/>
      </c>
      <c r="N53" s="288"/>
      <c r="O53" s="288"/>
      <c r="P53" s="387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</row>
    <row r="54" spans="1:28" ht="15.75" hidden="1" customHeight="1" outlineLevel="1" x14ac:dyDescent="0.25">
      <c r="A54" s="322"/>
      <c r="B54" s="390" t="s">
        <v>401</v>
      </c>
      <c r="C54" s="391"/>
      <c r="D54" s="147" t="s">
        <v>8</v>
      </c>
      <c r="E54" s="28">
        <v>2</v>
      </c>
      <c r="F54" s="373" t="s">
        <v>64</v>
      </c>
      <c r="G54" s="148">
        <f>2*8</f>
        <v>16</v>
      </c>
      <c r="H54" s="245">
        <v>2.65</v>
      </c>
      <c r="I54" s="392" t="str">
        <f t="shared" si="22"/>
        <v/>
      </c>
      <c r="J54" s="392" t="str">
        <f t="shared" si="23"/>
        <v/>
      </c>
      <c r="K54" s="392">
        <f t="shared" si="24"/>
        <v>84.8</v>
      </c>
      <c r="L54" s="392" t="str">
        <f t="shared" si="25"/>
        <v/>
      </c>
      <c r="M54" s="336" t="str">
        <f t="shared" si="26"/>
        <v/>
      </c>
      <c r="N54" s="288"/>
      <c r="O54" s="288"/>
      <c r="P54" s="387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</row>
    <row r="55" spans="1:28" ht="15.75" hidden="1" customHeight="1" outlineLevel="1" x14ac:dyDescent="0.25">
      <c r="A55" s="512"/>
      <c r="B55" s="390" t="s">
        <v>608</v>
      </c>
      <c r="C55" s="391"/>
      <c r="D55" s="147"/>
      <c r="E55" s="28"/>
      <c r="F55" s="373"/>
      <c r="G55" s="148"/>
      <c r="H55" s="245"/>
      <c r="I55" s="392" t="str">
        <f t="shared" si="22"/>
        <v/>
      </c>
      <c r="J55" s="392" t="str">
        <f t="shared" si="23"/>
        <v/>
      </c>
      <c r="K55" s="392" t="str">
        <f t="shared" si="24"/>
        <v/>
      </c>
      <c r="L55" s="392" t="str">
        <f t="shared" si="25"/>
        <v/>
      </c>
      <c r="M55" s="336" t="str">
        <f t="shared" si="26"/>
        <v/>
      </c>
      <c r="N55" s="288"/>
      <c r="O55" s="288"/>
      <c r="P55" s="387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</row>
    <row r="56" spans="1:28" ht="15.75" hidden="1" customHeight="1" outlineLevel="1" x14ac:dyDescent="0.25">
      <c r="A56" s="322"/>
      <c r="B56" s="390" t="s">
        <v>396</v>
      </c>
      <c r="C56" s="391"/>
      <c r="D56" s="147" t="s">
        <v>8</v>
      </c>
      <c r="E56" s="28">
        <v>2</v>
      </c>
      <c r="F56" s="373" t="s">
        <v>64</v>
      </c>
      <c r="G56" s="148">
        <f>2*10</f>
        <v>20</v>
      </c>
      <c r="H56" s="245">
        <v>2.76</v>
      </c>
      <c r="I56" s="392" t="str">
        <f t="shared" si="22"/>
        <v/>
      </c>
      <c r="J56" s="392" t="str">
        <f t="shared" si="23"/>
        <v/>
      </c>
      <c r="K56" s="392">
        <f t="shared" si="24"/>
        <v>110.39999999999999</v>
      </c>
      <c r="L56" s="392" t="str">
        <f t="shared" si="25"/>
        <v/>
      </c>
      <c r="M56" s="336" t="str">
        <f t="shared" si="26"/>
        <v/>
      </c>
      <c r="N56" s="288"/>
      <c r="O56" s="288"/>
      <c r="P56" s="387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</row>
    <row r="57" spans="1:28" ht="15.75" hidden="1" customHeight="1" outlineLevel="1" x14ac:dyDescent="0.25">
      <c r="A57" s="322"/>
      <c r="B57" s="390" t="s">
        <v>401</v>
      </c>
      <c r="C57" s="391"/>
      <c r="D57" s="147" t="s">
        <v>8</v>
      </c>
      <c r="E57" s="28">
        <v>2</v>
      </c>
      <c r="F57" s="373" t="s">
        <v>64</v>
      </c>
      <c r="G57" s="148">
        <f>2*8</f>
        <v>16</v>
      </c>
      <c r="H57" s="245">
        <v>2.27</v>
      </c>
      <c r="I57" s="392" t="str">
        <f t="shared" si="22"/>
        <v/>
      </c>
      <c r="J57" s="392" t="str">
        <f t="shared" si="23"/>
        <v/>
      </c>
      <c r="K57" s="392">
        <f t="shared" si="24"/>
        <v>72.64</v>
      </c>
      <c r="L57" s="392" t="str">
        <f t="shared" si="25"/>
        <v/>
      </c>
      <c r="M57" s="336" t="str">
        <f t="shared" si="26"/>
        <v/>
      </c>
      <c r="N57" s="288"/>
      <c r="O57" s="288"/>
      <c r="P57" s="387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</row>
    <row r="58" spans="1:28" ht="15.75" hidden="1" customHeight="1" outlineLevel="1" x14ac:dyDescent="0.25">
      <c r="A58" s="512"/>
      <c r="B58" s="390" t="s">
        <v>581</v>
      </c>
      <c r="C58" s="391"/>
      <c r="D58" s="147"/>
      <c r="E58" s="28"/>
      <c r="F58" s="373"/>
      <c r="G58" s="148"/>
      <c r="H58" s="245"/>
      <c r="I58" s="392" t="str">
        <f t="shared" si="22"/>
        <v/>
      </c>
      <c r="J58" s="392" t="str">
        <f t="shared" si="23"/>
        <v/>
      </c>
      <c r="K58" s="392" t="str">
        <f t="shared" si="24"/>
        <v/>
      </c>
      <c r="L58" s="392" t="str">
        <f t="shared" si="25"/>
        <v/>
      </c>
      <c r="M58" s="336" t="str">
        <f t="shared" si="26"/>
        <v/>
      </c>
      <c r="N58" s="288"/>
      <c r="O58" s="288"/>
      <c r="P58" s="387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</row>
    <row r="59" spans="1:28" ht="15.75" hidden="1" customHeight="1" outlineLevel="1" x14ac:dyDescent="0.25">
      <c r="A59" s="322"/>
      <c r="B59" s="390" t="s">
        <v>605</v>
      </c>
      <c r="C59" s="391"/>
      <c r="D59" s="147" t="s">
        <v>8</v>
      </c>
      <c r="E59" s="28">
        <v>2</v>
      </c>
      <c r="F59" s="373" t="s">
        <v>64</v>
      </c>
      <c r="G59" s="148">
        <v>11</v>
      </c>
      <c r="H59" s="245">
        <v>2.27</v>
      </c>
      <c r="I59" s="392" t="str">
        <f t="shared" si="22"/>
        <v/>
      </c>
      <c r="J59" s="392" t="str">
        <f t="shared" si="23"/>
        <v/>
      </c>
      <c r="K59" s="392">
        <f t="shared" si="24"/>
        <v>49.94</v>
      </c>
      <c r="L59" s="392" t="str">
        <f t="shared" si="25"/>
        <v/>
      </c>
      <c r="M59" s="336" t="str">
        <f t="shared" si="26"/>
        <v/>
      </c>
      <c r="N59" s="288"/>
      <c r="O59" s="288"/>
      <c r="P59" s="387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</row>
    <row r="60" spans="1:28" ht="15.75" hidden="1" customHeight="1" outlineLevel="1" x14ac:dyDescent="0.25">
      <c r="A60" s="322"/>
      <c r="B60" s="390" t="s">
        <v>606</v>
      </c>
      <c r="C60" s="391"/>
      <c r="D60" s="147" t="s">
        <v>8</v>
      </c>
      <c r="E60" s="28">
        <v>2</v>
      </c>
      <c r="F60" s="373" t="s">
        <v>64</v>
      </c>
      <c r="G60" s="148">
        <v>9</v>
      </c>
      <c r="H60" s="245">
        <v>2.65</v>
      </c>
      <c r="I60" s="392" t="str">
        <f t="shared" si="22"/>
        <v/>
      </c>
      <c r="J60" s="392" t="str">
        <f t="shared" si="23"/>
        <v/>
      </c>
      <c r="K60" s="392">
        <f t="shared" si="24"/>
        <v>47.699999999999996</v>
      </c>
      <c r="L60" s="392" t="str">
        <f t="shared" si="25"/>
        <v/>
      </c>
      <c r="M60" s="336" t="str">
        <f t="shared" si="26"/>
        <v/>
      </c>
      <c r="N60" s="288"/>
      <c r="O60" s="288"/>
      <c r="P60" s="387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</row>
    <row r="61" spans="1:28" ht="15.75" hidden="1" customHeight="1" outlineLevel="1" x14ac:dyDescent="0.25">
      <c r="A61" s="512"/>
      <c r="B61" s="390" t="s">
        <v>609</v>
      </c>
      <c r="C61" s="391"/>
      <c r="D61" s="147"/>
      <c r="E61" s="28"/>
      <c r="F61" s="373"/>
      <c r="G61" s="148"/>
      <c r="H61" s="245"/>
      <c r="I61" s="392" t="str">
        <f t="shared" si="22"/>
        <v/>
      </c>
      <c r="J61" s="392" t="str">
        <f t="shared" si="23"/>
        <v/>
      </c>
      <c r="K61" s="392" t="str">
        <f t="shared" si="24"/>
        <v/>
      </c>
      <c r="L61" s="392" t="str">
        <f t="shared" si="25"/>
        <v/>
      </c>
      <c r="M61" s="336" t="str">
        <f t="shared" si="26"/>
        <v/>
      </c>
      <c r="N61" s="288"/>
      <c r="O61" s="288"/>
      <c r="P61" s="387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</row>
    <row r="62" spans="1:28" ht="15.75" hidden="1" customHeight="1" outlineLevel="1" x14ac:dyDescent="0.25">
      <c r="A62" s="322"/>
      <c r="B62" s="390" t="s">
        <v>612</v>
      </c>
      <c r="C62" s="391"/>
      <c r="D62" s="147" t="s">
        <v>8</v>
      </c>
      <c r="E62" s="28">
        <v>4</v>
      </c>
      <c r="F62" s="373" t="s">
        <v>64</v>
      </c>
      <c r="G62" s="148">
        <v>2</v>
      </c>
      <c r="H62" s="245">
        <v>1.32</v>
      </c>
      <c r="I62" s="392" t="str">
        <f t="shared" si="22"/>
        <v/>
      </c>
      <c r="J62" s="392" t="str">
        <f t="shared" si="23"/>
        <v/>
      </c>
      <c r="K62" s="392">
        <f t="shared" si="24"/>
        <v>10.56</v>
      </c>
      <c r="L62" s="392" t="str">
        <f t="shared" si="25"/>
        <v/>
      </c>
      <c r="M62" s="336" t="str">
        <f t="shared" si="26"/>
        <v/>
      </c>
      <c r="N62" s="288"/>
      <c r="O62" s="288"/>
      <c r="P62" s="387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</row>
    <row r="63" spans="1:28" ht="15.75" hidden="1" customHeight="1" outlineLevel="1" x14ac:dyDescent="0.25">
      <c r="A63" s="512"/>
      <c r="B63" s="390" t="s">
        <v>431</v>
      </c>
      <c r="C63" s="391"/>
      <c r="D63" s="147"/>
      <c r="E63" s="28"/>
      <c r="F63" s="373"/>
      <c r="G63" s="148"/>
      <c r="H63" s="245"/>
      <c r="I63" s="392" t="str">
        <f t="shared" si="22"/>
        <v/>
      </c>
      <c r="J63" s="392" t="str">
        <f t="shared" si="23"/>
        <v/>
      </c>
      <c r="K63" s="392" t="str">
        <f t="shared" si="24"/>
        <v/>
      </c>
      <c r="L63" s="392" t="str">
        <f t="shared" si="25"/>
        <v/>
      </c>
      <c r="M63" s="336" t="str">
        <f t="shared" si="26"/>
        <v/>
      </c>
      <c r="N63" s="288"/>
      <c r="O63" s="288"/>
      <c r="P63" s="387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</row>
    <row r="64" spans="1:28" ht="15.75" hidden="1" customHeight="1" outlineLevel="1" x14ac:dyDescent="0.25">
      <c r="A64" s="322"/>
      <c r="B64" s="390" t="s">
        <v>611</v>
      </c>
      <c r="C64" s="391"/>
      <c r="D64" s="147" t="s">
        <v>8</v>
      </c>
      <c r="E64" s="28">
        <v>1</v>
      </c>
      <c r="F64" s="373" t="s">
        <v>65</v>
      </c>
      <c r="G64" s="148">
        <v>2</v>
      </c>
      <c r="H64" s="245">
        <v>1.21</v>
      </c>
      <c r="I64" s="392" t="str">
        <f t="shared" si="22"/>
        <v/>
      </c>
      <c r="J64" s="392" t="str">
        <f t="shared" si="23"/>
        <v/>
      </c>
      <c r="K64" s="392" t="str">
        <f t="shared" si="24"/>
        <v/>
      </c>
      <c r="L64" s="392">
        <f t="shared" si="25"/>
        <v>2.42</v>
      </c>
      <c r="M64" s="336" t="str">
        <f t="shared" si="26"/>
        <v/>
      </c>
      <c r="N64" s="288"/>
      <c r="O64" s="288"/>
      <c r="P64" s="387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</row>
    <row r="65" spans="1:28" ht="15.75" hidden="1" customHeight="1" outlineLevel="1" x14ac:dyDescent="0.25">
      <c r="A65" s="322"/>
      <c r="B65" s="390" t="s">
        <v>610</v>
      </c>
      <c r="C65" s="391"/>
      <c r="D65" s="147" t="s">
        <v>8</v>
      </c>
      <c r="E65" s="28">
        <v>1</v>
      </c>
      <c r="F65" s="373" t="s">
        <v>65</v>
      </c>
      <c r="G65" s="148">
        <v>1</v>
      </c>
      <c r="H65" s="245">
        <v>1.4</v>
      </c>
      <c r="I65" s="392" t="str">
        <f t="shared" si="22"/>
        <v/>
      </c>
      <c r="J65" s="392" t="str">
        <f t="shared" si="23"/>
        <v/>
      </c>
      <c r="K65" s="392" t="str">
        <f t="shared" si="24"/>
        <v/>
      </c>
      <c r="L65" s="392">
        <f t="shared" si="25"/>
        <v>1.4</v>
      </c>
      <c r="M65" s="336" t="str">
        <f t="shared" si="26"/>
        <v/>
      </c>
      <c r="N65" s="288"/>
      <c r="O65" s="288"/>
      <c r="P65" s="387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</row>
    <row r="66" spans="1:28" ht="15.75" hidden="1" customHeight="1" outlineLevel="1" x14ac:dyDescent="0.25">
      <c r="A66" s="322"/>
      <c r="B66" s="390"/>
      <c r="C66" s="391"/>
      <c r="D66" s="147"/>
      <c r="E66" s="28"/>
      <c r="F66" s="373"/>
      <c r="G66" s="148"/>
      <c r="H66" s="393"/>
      <c r="I66" s="392" t="str">
        <f t="shared" si="22"/>
        <v/>
      </c>
      <c r="J66" s="392" t="str">
        <f t="shared" si="23"/>
        <v/>
      </c>
      <c r="K66" s="392" t="str">
        <f t="shared" si="24"/>
        <v/>
      </c>
      <c r="L66" s="392" t="str">
        <f t="shared" si="25"/>
        <v/>
      </c>
      <c r="M66" s="336" t="str">
        <f t="shared" si="26"/>
        <v/>
      </c>
      <c r="N66" s="288"/>
      <c r="O66" s="288"/>
      <c r="P66" s="387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</row>
    <row r="67" spans="1:28" ht="15.75" customHeight="1" collapsed="1" x14ac:dyDescent="0.25">
      <c r="A67" s="29"/>
      <c r="B67" s="808"/>
      <c r="C67" s="809"/>
      <c r="D67" s="29"/>
      <c r="E67" s="30"/>
      <c r="F67" s="30"/>
      <c r="G67" s="817" t="s">
        <v>68</v>
      </c>
      <c r="H67" s="803"/>
      <c r="I67" s="286">
        <f t="shared" ref="I67:N67" si="27">SUM(I49:I66)</f>
        <v>0</v>
      </c>
      <c r="J67" s="286">
        <f t="shared" si="27"/>
        <v>0</v>
      </c>
      <c r="K67" s="286">
        <f t="shared" si="27"/>
        <v>616</v>
      </c>
      <c r="L67" s="286">
        <f t="shared" si="27"/>
        <v>3.82</v>
      </c>
      <c r="M67" s="286">
        <f t="shared" si="27"/>
        <v>0</v>
      </c>
      <c r="N67" s="286">
        <f t="shared" si="27"/>
        <v>0</v>
      </c>
      <c r="O67" s="301"/>
      <c r="P67" s="283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</row>
    <row r="68" spans="1:28" ht="15.75" customHeight="1" x14ac:dyDescent="0.25">
      <c r="A68" s="31"/>
      <c r="B68" s="808"/>
      <c r="C68" s="809"/>
      <c r="D68" s="32"/>
      <c r="E68" s="33"/>
      <c r="F68" s="34"/>
      <c r="G68" s="810" t="s">
        <v>69</v>
      </c>
      <c r="H68" s="811"/>
      <c r="I68" s="298">
        <v>0.25</v>
      </c>
      <c r="J68" s="298">
        <v>3.97</v>
      </c>
      <c r="K68" s="298">
        <v>0.56000000000000005</v>
      </c>
      <c r="L68" s="298">
        <v>1.02</v>
      </c>
      <c r="M68" s="298">
        <v>1.56</v>
      </c>
      <c r="N68" s="298">
        <v>2.25</v>
      </c>
      <c r="O68" s="298"/>
      <c r="P68" s="284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</row>
    <row r="69" spans="1:28" ht="15.75" customHeight="1" x14ac:dyDescent="0.25">
      <c r="A69" s="31"/>
      <c r="B69" s="808"/>
      <c r="C69" s="809"/>
      <c r="D69" s="32"/>
      <c r="E69" s="33"/>
      <c r="F69" s="34"/>
      <c r="G69" s="810" t="s">
        <v>70</v>
      </c>
      <c r="H69" s="811"/>
      <c r="I69" s="286">
        <f t="shared" ref="I69:N69" si="28">I67*I68</f>
        <v>0</v>
      </c>
      <c r="J69" s="286">
        <f t="shared" si="28"/>
        <v>0</v>
      </c>
      <c r="K69" s="286">
        <f t="shared" si="28"/>
        <v>344.96000000000004</v>
      </c>
      <c r="L69" s="286">
        <f t="shared" si="28"/>
        <v>3.8963999999999999</v>
      </c>
      <c r="M69" s="286">
        <f t="shared" si="28"/>
        <v>0</v>
      </c>
      <c r="N69" s="286">
        <f t="shared" si="28"/>
        <v>0</v>
      </c>
      <c r="O69" s="286"/>
      <c r="P69" s="283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</row>
    <row r="70" spans="1:28" ht="15.75" customHeight="1" x14ac:dyDescent="0.25">
      <c r="A70" s="31"/>
      <c r="B70" s="808"/>
      <c r="C70" s="809"/>
      <c r="D70" s="32"/>
      <c r="E70" s="33"/>
      <c r="F70" s="34"/>
      <c r="G70" s="810" t="s">
        <v>71</v>
      </c>
      <c r="H70" s="811"/>
      <c r="I70" s="286">
        <f t="shared" ref="I70:N70" si="29">ROUNDUP(I67*1.07/9,0)</f>
        <v>0</v>
      </c>
      <c r="J70" s="286">
        <f t="shared" si="29"/>
        <v>0</v>
      </c>
      <c r="K70" s="286">
        <f t="shared" si="29"/>
        <v>74</v>
      </c>
      <c r="L70" s="286">
        <f t="shared" si="29"/>
        <v>1</v>
      </c>
      <c r="M70" s="286">
        <f t="shared" si="29"/>
        <v>0</v>
      </c>
      <c r="N70" s="286">
        <f t="shared" si="29"/>
        <v>0</v>
      </c>
      <c r="O70" s="286"/>
      <c r="P70" s="283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</row>
    <row r="71" spans="1:28" ht="15" customHeight="1" x14ac:dyDescent="0.25">
      <c r="A71" s="479" t="s">
        <v>53</v>
      </c>
      <c r="B71" s="826" t="s">
        <v>389</v>
      </c>
      <c r="C71" s="827"/>
      <c r="D71" s="478"/>
      <c r="E71" s="388"/>
      <c r="F71" s="388"/>
      <c r="G71" s="388"/>
      <c r="H71" s="389"/>
      <c r="I71" s="338"/>
      <c r="J71" s="338"/>
      <c r="K71" s="338"/>
      <c r="L71" s="338"/>
      <c r="M71" s="338"/>
      <c r="N71" s="338"/>
      <c r="O71" s="338"/>
      <c r="P71" s="338">
        <f>SUM(I93:O93)</f>
        <v>1776.6098000000002</v>
      </c>
      <c r="Q71" s="135"/>
      <c r="R71" s="135"/>
      <c r="S71" s="135"/>
      <c r="T71" s="135"/>
      <c r="U71" s="135"/>
      <c r="V71" s="135"/>
      <c r="W71" s="135"/>
      <c r="X71" s="135"/>
      <c r="Y71" s="135"/>
      <c r="Z71" s="135"/>
      <c r="AA71" s="135"/>
      <c r="AB71" s="135"/>
    </row>
    <row r="72" spans="1:28" ht="15" hidden="1" customHeight="1" outlineLevel="1" x14ac:dyDescent="0.25">
      <c r="A72" s="502"/>
      <c r="B72" s="504" t="s">
        <v>395</v>
      </c>
      <c r="C72" s="507"/>
      <c r="D72" s="505"/>
      <c r="E72" s="148"/>
      <c r="F72" s="149"/>
      <c r="G72" s="148"/>
      <c r="H72" s="509"/>
      <c r="I72" s="300" t="str">
        <f t="shared" ref="I72:I141" si="30">IF($F72=$I$6,$E72*$G72*$H72,"")</f>
        <v/>
      </c>
      <c r="J72" s="300" t="str">
        <f t="shared" ref="J72:J141" si="31">IF($F72=$J$6,$E72*$G72*$H72,"")</f>
        <v/>
      </c>
      <c r="K72" s="300" t="str">
        <f t="shared" ref="K72:K141" si="32">IF($F72=$K$6,$E72*$G72*$H72,"")</f>
        <v/>
      </c>
      <c r="L72" s="300" t="str">
        <f t="shared" ref="L72:L141" si="33">IF($F72=$L$6,$E72*$G72*$H72,"")</f>
        <v/>
      </c>
      <c r="M72" s="300" t="str">
        <f t="shared" ref="M72:M141" si="34">IF($F72=$M$6,$E72*$G72*$H72,"")</f>
        <v/>
      </c>
      <c r="N72" s="300" t="str">
        <f t="shared" ref="N72:N141" si="35">IF($F72=$N$6,$E72*$G72*$H72,"")</f>
        <v/>
      </c>
      <c r="O72" s="300" t="str">
        <f>IF($F72=$O$6,$E72*$G72*$H72,"")</f>
        <v/>
      </c>
      <c r="P72" s="288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</row>
    <row r="73" spans="1:28" ht="15" hidden="1" customHeight="1" outlineLevel="1" x14ac:dyDescent="0.25">
      <c r="A73" s="503"/>
      <c r="B73" s="504" t="s">
        <v>396</v>
      </c>
      <c r="C73" s="507"/>
      <c r="D73" s="505" t="s">
        <v>8</v>
      </c>
      <c r="E73" s="148">
        <v>3</v>
      </c>
      <c r="F73" s="149" t="s">
        <v>66</v>
      </c>
      <c r="G73" s="148">
        <v>8</v>
      </c>
      <c r="H73" s="510">
        <v>9</v>
      </c>
      <c r="I73" s="300" t="str">
        <f t="shared" si="30"/>
        <v/>
      </c>
      <c r="J73" s="300" t="str">
        <f t="shared" si="31"/>
        <v/>
      </c>
      <c r="K73" s="300" t="str">
        <f t="shared" si="32"/>
        <v/>
      </c>
      <c r="L73" s="300" t="str">
        <f t="shared" si="33"/>
        <v/>
      </c>
      <c r="M73" s="300">
        <f t="shared" si="34"/>
        <v>216</v>
      </c>
      <c r="N73" s="300" t="str">
        <f>IF($F73=$N$6,$E73*$G73*$H73,"")</f>
        <v/>
      </c>
      <c r="O73" s="300" t="str">
        <f>IF($F73=$O$6,$E73*$G73*$H73,"")</f>
        <v/>
      </c>
      <c r="P73" s="288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</row>
    <row r="74" spans="1:28" ht="15" hidden="1" customHeight="1" outlineLevel="1" x14ac:dyDescent="0.25">
      <c r="A74" s="503"/>
      <c r="B74" s="504" t="s">
        <v>73</v>
      </c>
      <c r="C74" s="507"/>
      <c r="D74" s="505" t="s">
        <v>8</v>
      </c>
      <c r="E74" s="148">
        <v>3</v>
      </c>
      <c r="F74" s="149" t="s">
        <v>64</v>
      </c>
      <c r="G74" s="148">
        <v>35</v>
      </c>
      <c r="H74" s="510">
        <f>2*1.54</f>
        <v>3.08</v>
      </c>
      <c r="I74" s="300" t="str">
        <f t="shared" si="30"/>
        <v/>
      </c>
      <c r="J74" s="300" t="str">
        <f t="shared" si="31"/>
        <v/>
      </c>
      <c r="K74" s="300">
        <f t="shared" si="32"/>
        <v>323.40000000000003</v>
      </c>
      <c r="L74" s="300" t="str">
        <f t="shared" si="33"/>
        <v/>
      </c>
      <c r="M74" s="300" t="str">
        <f t="shared" si="34"/>
        <v/>
      </c>
      <c r="N74" s="300" t="str">
        <f t="shared" si="35"/>
        <v/>
      </c>
      <c r="O74" s="300" t="str">
        <f t="shared" ref="O74:O90" si="36">IF($F74=$O$6,$E74*$G74*$H74,"")</f>
        <v/>
      </c>
      <c r="P74" s="288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</row>
    <row r="75" spans="1:28" ht="15" hidden="1" customHeight="1" outlineLevel="1" x14ac:dyDescent="0.25">
      <c r="A75" s="502"/>
      <c r="B75" s="504" t="s">
        <v>398</v>
      </c>
      <c r="C75" s="507"/>
      <c r="D75" s="505"/>
      <c r="E75" s="148"/>
      <c r="F75" s="149"/>
      <c r="G75" s="148"/>
      <c r="H75" s="510"/>
      <c r="I75" s="300" t="str">
        <f t="shared" si="30"/>
        <v/>
      </c>
      <c r="J75" s="300" t="str">
        <f t="shared" si="31"/>
        <v/>
      </c>
      <c r="K75" s="300" t="str">
        <f t="shared" si="32"/>
        <v/>
      </c>
      <c r="L75" s="300" t="str">
        <f t="shared" si="33"/>
        <v/>
      </c>
      <c r="M75" s="300" t="str">
        <f t="shared" si="34"/>
        <v/>
      </c>
      <c r="N75" s="300" t="str">
        <f t="shared" si="35"/>
        <v/>
      </c>
      <c r="O75" s="300" t="str">
        <f t="shared" si="36"/>
        <v/>
      </c>
      <c r="P75" s="288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</row>
    <row r="76" spans="1:28" ht="15" hidden="1" customHeight="1" outlineLevel="1" x14ac:dyDescent="0.25">
      <c r="A76" s="503"/>
      <c r="B76" s="504" t="s">
        <v>396</v>
      </c>
      <c r="C76" s="507"/>
      <c r="D76" s="505" t="s">
        <v>8</v>
      </c>
      <c r="E76" s="148">
        <v>1</v>
      </c>
      <c r="F76" s="149" t="s">
        <v>66</v>
      </c>
      <c r="G76" s="148">
        <v>12</v>
      </c>
      <c r="H76" s="510">
        <v>9</v>
      </c>
      <c r="I76" s="300" t="str">
        <f t="shared" si="30"/>
        <v/>
      </c>
      <c r="J76" s="300" t="str">
        <f t="shared" si="31"/>
        <v/>
      </c>
      <c r="K76" s="300" t="str">
        <f t="shared" si="32"/>
        <v/>
      </c>
      <c r="L76" s="300" t="str">
        <f t="shared" si="33"/>
        <v/>
      </c>
      <c r="M76" s="300">
        <f t="shared" si="34"/>
        <v>108</v>
      </c>
      <c r="N76" s="300" t="str">
        <f t="shared" si="35"/>
        <v/>
      </c>
      <c r="O76" s="300" t="str">
        <f t="shared" si="36"/>
        <v/>
      </c>
      <c r="P76" s="288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</row>
    <row r="77" spans="1:28" ht="15" hidden="1" customHeight="1" outlineLevel="1" x14ac:dyDescent="0.25">
      <c r="A77" s="503"/>
      <c r="B77" s="504" t="s">
        <v>73</v>
      </c>
      <c r="C77" s="507"/>
      <c r="D77" s="505" t="s">
        <v>8</v>
      </c>
      <c r="E77" s="148">
        <v>1</v>
      </c>
      <c r="F77" s="149" t="s">
        <v>64</v>
      </c>
      <c r="G77" s="148">
        <v>33</v>
      </c>
      <c r="H77" s="510">
        <f>2*1.74</f>
        <v>3.48</v>
      </c>
      <c r="I77" s="300" t="str">
        <f t="shared" si="30"/>
        <v/>
      </c>
      <c r="J77" s="300" t="str">
        <f t="shared" si="31"/>
        <v/>
      </c>
      <c r="K77" s="300">
        <f t="shared" si="32"/>
        <v>114.84</v>
      </c>
      <c r="L77" s="300" t="str">
        <f t="shared" si="33"/>
        <v/>
      </c>
      <c r="M77" s="300" t="str">
        <f t="shared" si="34"/>
        <v/>
      </c>
      <c r="N77" s="300" t="str">
        <f t="shared" si="35"/>
        <v/>
      </c>
      <c r="O77" s="300" t="str">
        <f t="shared" si="36"/>
        <v/>
      </c>
      <c r="P77" s="288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</row>
    <row r="78" spans="1:28" ht="15" hidden="1" customHeight="1" outlineLevel="1" x14ac:dyDescent="0.25">
      <c r="A78" s="502"/>
      <c r="B78" s="504" t="s">
        <v>435</v>
      </c>
      <c r="C78" s="507"/>
      <c r="D78" s="505"/>
      <c r="E78" s="148"/>
      <c r="F78" s="149"/>
      <c r="G78" s="148"/>
      <c r="H78" s="510"/>
      <c r="I78" s="300" t="str">
        <f t="shared" si="30"/>
        <v/>
      </c>
      <c r="J78" s="300" t="str">
        <f t="shared" si="31"/>
        <v/>
      </c>
      <c r="K78" s="300" t="str">
        <f t="shared" si="32"/>
        <v/>
      </c>
      <c r="L78" s="300" t="str">
        <f t="shared" si="33"/>
        <v/>
      </c>
      <c r="M78" s="300" t="str">
        <f t="shared" si="34"/>
        <v/>
      </c>
      <c r="N78" s="300" t="str">
        <f t="shared" si="35"/>
        <v/>
      </c>
      <c r="O78" s="300" t="str">
        <f t="shared" si="36"/>
        <v/>
      </c>
      <c r="P78" s="288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</row>
    <row r="79" spans="1:28" ht="15" hidden="1" customHeight="1" outlineLevel="1" x14ac:dyDescent="0.25">
      <c r="A79" s="503"/>
      <c r="B79" s="504" t="s">
        <v>396</v>
      </c>
      <c r="C79" s="507"/>
      <c r="D79" s="505" t="s">
        <v>8</v>
      </c>
      <c r="E79" s="148">
        <v>2</v>
      </c>
      <c r="F79" s="149" t="s">
        <v>66</v>
      </c>
      <c r="G79" s="148">
        <v>12</v>
      </c>
      <c r="H79" s="510">
        <v>9</v>
      </c>
      <c r="I79" s="300" t="str">
        <f t="shared" si="30"/>
        <v/>
      </c>
      <c r="J79" s="300" t="str">
        <f t="shared" si="31"/>
        <v/>
      </c>
      <c r="K79" s="300" t="str">
        <f t="shared" si="32"/>
        <v/>
      </c>
      <c r="L79" s="300" t="str">
        <f t="shared" si="33"/>
        <v/>
      </c>
      <c r="M79" s="300">
        <f t="shared" si="34"/>
        <v>216</v>
      </c>
      <c r="N79" s="300" t="str">
        <f t="shared" si="35"/>
        <v/>
      </c>
      <c r="O79" s="300" t="str">
        <f t="shared" si="36"/>
        <v/>
      </c>
      <c r="P79" s="288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</row>
    <row r="80" spans="1:28" ht="15" hidden="1" customHeight="1" outlineLevel="1" x14ac:dyDescent="0.25">
      <c r="A80" s="503"/>
      <c r="B80" s="504" t="s">
        <v>73</v>
      </c>
      <c r="C80" s="507"/>
      <c r="D80" s="505" t="s">
        <v>8</v>
      </c>
      <c r="E80" s="148">
        <v>2</v>
      </c>
      <c r="F80" s="149" t="s">
        <v>64</v>
      </c>
      <c r="G80" s="148">
        <v>35</v>
      </c>
      <c r="H80" s="510">
        <f>2*1.44</f>
        <v>2.88</v>
      </c>
      <c r="I80" s="300" t="str">
        <f>IF($F80=$I$6,$E80*$G80*$H80,"")</f>
        <v/>
      </c>
      <c r="J80" s="300" t="str">
        <f>IF($F80=$J$6,$E80*$G80*$H80,"")</f>
        <v/>
      </c>
      <c r="K80" s="300">
        <f>IF($F80=$K$6,$E80*$G80*$H80,"")</f>
        <v>201.6</v>
      </c>
      <c r="L80" s="300" t="str">
        <f>IF($F80=$L$6,$E80*$G80*$H80,"")</f>
        <v/>
      </c>
      <c r="M80" s="300" t="str">
        <f>IF($F80=$M$6,$E80*$G80*$H80,"")</f>
        <v/>
      </c>
      <c r="N80" s="300" t="str">
        <f>IF($F80=$N$6,$E80*$G80*$H80,"")</f>
        <v/>
      </c>
      <c r="O80" s="300" t="str">
        <f>IF($F80=$O$6,$E80*$G80*$H80,"")</f>
        <v/>
      </c>
      <c r="P80" s="288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</row>
    <row r="81" spans="1:28" ht="15" hidden="1" customHeight="1" outlineLevel="1" x14ac:dyDescent="0.25">
      <c r="A81" s="502"/>
      <c r="B81" s="504" t="s">
        <v>518</v>
      </c>
      <c r="C81" s="507"/>
      <c r="D81" s="505"/>
      <c r="E81" s="148"/>
      <c r="F81" s="149"/>
      <c r="G81" s="148"/>
      <c r="H81" s="510"/>
      <c r="I81" s="300" t="str">
        <f t="shared" si="30"/>
        <v/>
      </c>
      <c r="J81" s="300" t="str">
        <f t="shared" si="31"/>
        <v/>
      </c>
      <c r="K81" s="300" t="str">
        <f t="shared" si="32"/>
        <v/>
      </c>
      <c r="L81" s="300" t="str">
        <f t="shared" si="33"/>
        <v/>
      </c>
      <c r="M81" s="300" t="str">
        <f t="shared" si="34"/>
        <v/>
      </c>
      <c r="N81" s="300" t="str">
        <f t="shared" si="35"/>
        <v/>
      </c>
      <c r="O81" s="300" t="str">
        <f t="shared" si="36"/>
        <v/>
      </c>
      <c r="P81" s="288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</row>
    <row r="82" spans="1:28" ht="15" hidden="1" customHeight="1" outlineLevel="1" x14ac:dyDescent="0.25">
      <c r="A82" s="503"/>
      <c r="B82" s="504" t="s">
        <v>396</v>
      </c>
      <c r="C82" s="507"/>
      <c r="D82" s="505" t="s">
        <v>8</v>
      </c>
      <c r="E82" s="148">
        <v>1</v>
      </c>
      <c r="F82" s="149" t="s">
        <v>66</v>
      </c>
      <c r="G82" s="148">
        <v>12</v>
      </c>
      <c r="H82" s="510">
        <v>9</v>
      </c>
      <c r="I82" s="300" t="str">
        <f t="shared" si="30"/>
        <v/>
      </c>
      <c r="J82" s="300" t="str">
        <f t="shared" si="31"/>
        <v/>
      </c>
      <c r="K82" s="300" t="str">
        <f t="shared" si="32"/>
        <v/>
      </c>
      <c r="L82" s="300" t="str">
        <f t="shared" si="33"/>
        <v/>
      </c>
      <c r="M82" s="300">
        <f t="shared" si="34"/>
        <v>108</v>
      </c>
      <c r="N82" s="300" t="str">
        <f t="shared" si="35"/>
        <v/>
      </c>
      <c r="O82" s="300" t="str">
        <f t="shared" si="36"/>
        <v/>
      </c>
      <c r="P82" s="288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</row>
    <row r="83" spans="1:28" ht="15" hidden="1" customHeight="1" outlineLevel="1" x14ac:dyDescent="0.25">
      <c r="A83" s="503"/>
      <c r="B83" s="504" t="s">
        <v>73</v>
      </c>
      <c r="C83" s="507"/>
      <c r="D83" s="505" t="s">
        <v>8</v>
      </c>
      <c r="E83" s="148">
        <v>1</v>
      </c>
      <c r="F83" s="149" t="s">
        <v>64</v>
      </c>
      <c r="G83" s="148">
        <v>33</v>
      </c>
      <c r="H83" s="509">
        <f>2*1.94</f>
        <v>3.88</v>
      </c>
      <c r="I83" s="300" t="str">
        <f t="shared" si="30"/>
        <v/>
      </c>
      <c r="J83" s="300" t="str">
        <f t="shared" si="31"/>
        <v/>
      </c>
      <c r="K83" s="300">
        <f t="shared" si="32"/>
        <v>128.04</v>
      </c>
      <c r="L83" s="300" t="str">
        <f t="shared" si="33"/>
        <v/>
      </c>
      <c r="M83" s="300" t="str">
        <f t="shared" si="34"/>
        <v/>
      </c>
      <c r="N83" s="300" t="str">
        <f t="shared" si="35"/>
        <v/>
      </c>
      <c r="O83" s="300" t="str">
        <f t="shared" si="36"/>
        <v/>
      </c>
      <c r="P83" s="288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</row>
    <row r="84" spans="1:28" ht="15" hidden="1" customHeight="1" outlineLevel="1" x14ac:dyDescent="0.25">
      <c r="A84" s="502"/>
      <c r="B84" s="504" t="s">
        <v>538</v>
      </c>
      <c r="C84" s="507"/>
      <c r="D84" s="505"/>
      <c r="E84" s="148"/>
      <c r="F84" s="149"/>
      <c r="G84" s="148"/>
      <c r="H84" s="509"/>
      <c r="I84" s="300" t="str">
        <f t="shared" si="30"/>
        <v/>
      </c>
      <c r="J84" s="300" t="str">
        <f t="shared" si="31"/>
        <v/>
      </c>
      <c r="K84" s="300" t="str">
        <f t="shared" si="32"/>
        <v/>
      </c>
      <c r="L84" s="300" t="str">
        <f t="shared" si="33"/>
        <v/>
      </c>
      <c r="M84" s="300" t="str">
        <f t="shared" si="34"/>
        <v/>
      </c>
      <c r="N84" s="300" t="str">
        <f t="shared" si="35"/>
        <v/>
      </c>
      <c r="O84" s="300" t="str">
        <f t="shared" si="36"/>
        <v/>
      </c>
      <c r="P84" s="288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</row>
    <row r="85" spans="1:28" ht="15" hidden="1" customHeight="1" outlineLevel="1" x14ac:dyDescent="0.25">
      <c r="A85" s="503"/>
      <c r="B85" s="504" t="s">
        <v>396</v>
      </c>
      <c r="C85" s="507"/>
      <c r="D85" s="505" t="s">
        <v>8</v>
      </c>
      <c r="E85" s="148">
        <v>7</v>
      </c>
      <c r="F85" s="149" t="s">
        <v>65</v>
      </c>
      <c r="G85" s="148">
        <v>4</v>
      </c>
      <c r="H85" s="510">
        <v>4.8</v>
      </c>
      <c r="I85" s="300" t="str">
        <f t="shared" si="30"/>
        <v/>
      </c>
      <c r="J85" s="300" t="str">
        <f t="shared" si="31"/>
        <v/>
      </c>
      <c r="K85" s="300" t="str">
        <f t="shared" si="32"/>
        <v/>
      </c>
      <c r="L85" s="300">
        <f t="shared" si="33"/>
        <v>134.4</v>
      </c>
      <c r="M85" s="300" t="str">
        <f t="shared" si="34"/>
        <v/>
      </c>
      <c r="N85" s="300" t="str">
        <f t="shared" si="35"/>
        <v/>
      </c>
      <c r="O85" s="300" t="str">
        <f t="shared" si="36"/>
        <v/>
      </c>
      <c r="P85" s="288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</row>
    <row r="86" spans="1:28" ht="15" hidden="1" customHeight="1" outlineLevel="1" x14ac:dyDescent="0.25">
      <c r="A86" s="503"/>
      <c r="B86" s="504" t="s">
        <v>73</v>
      </c>
      <c r="C86" s="507"/>
      <c r="D86" s="505" t="s">
        <v>8</v>
      </c>
      <c r="E86" s="148">
        <v>7</v>
      </c>
      <c r="F86" s="149" t="s">
        <v>514</v>
      </c>
      <c r="G86" s="148">
        <v>25</v>
      </c>
      <c r="H86" s="509">
        <v>0.86</v>
      </c>
      <c r="I86" s="300">
        <f t="shared" si="30"/>
        <v>150.5</v>
      </c>
      <c r="J86" s="300" t="str">
        <f t="shared" si="31"/>
        <v/>
      </c>
      <c r="K86" s="300" t="str">
        <f t="shared" si="32"/>
        <v/>
      </c>
      <c r="L86" s="300" t="str">
        <f t="shared" si="33"/>
        <v/>
      </c>
      <c r="M86" s="300" t="str">
        <f t="shared" si="34"/>
        <v/>
      </c>
      <c r="N86" s="300" t="str">
        <f t="shared" si="35"/>
        <v/>
      </c>
      <c r="O86" s="300" t="str">
        <f t="shared" si="36"/>
        <v/>
      </c>
      <c r="P86" s="288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</row>
    <row r="87" spans="1:28" ht="15" hidden="1" customHeight="1" outlineLevel="1" x14ac:dyDescent="0.25">
      <c r="A87" s="502"/>
      <c r="B87" s="504" t="s">
        <v>539</v>
      </c>
      <c r="C87" s="507"/>
      <c r="D87" s="505"/>
      <c r="E87" s="148"/>
      <c r="F87" s="149"/>
      <c r="G87" s="148"/>
      <c r="H87" s="509"/>
      <c r="I87" s="300" t="str">
        <f t="shared" si="30"/>
        <v/>
      </c>
      <c r="J87" s="300" t="str">
        <f t="shared" si="31"/>
        <v/>
      </c>
      <c r="K87" s="300" t="str">
        <f t="shared" si="32"/>
        <v/>
      </c>
      <c r="L87" s="300" t="str">
        <f t="shared" si="33"/>
        <v/>
      </c>
      <c r="M87" s="300" t="str">
        <f t="shared" si="34"/>
        <v/>
      </c>
      <c r="N87" s="300" t="str">
        <f t="shared" si="35"/>
        <v/>
      </c>
      <c r="O87" s="300" t="str">
        <f t="shared" si="36"/>
        <v/>
      </c>
      <c r="P87" s="288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</row>
    <row r="88" spans="1:28" ht="15" hidden="1" customHeight="1" outlineLevel="1" x14ac:dyDescent="0.25">
      <c r="A88" s="503"/>
      <c r="B88" s="504" t="s">
        <v>396</v>
      </c>
      <c r="C88" s="506"/>
      <c r="D88" s="505" t="s">
        <v>8</v>
      </c>
      <c r="E88" s="148">
        <v>6</v>
      </c>
      <c r="F88" s="149" t="s">
        <v>65</v>
      </c>
      <c r="G88" s="148">
        <v>4</v>
      </c>
      <c r="H88" s="510">
        <v>4.8</v>
      </c>
      <c r="I88" s="300" t="str">
        <f t="shared" si="30"/>
        <v/>
      </c>
      <c r="J88" s="300" t="str">
        <f t="shared" si="31"/>
        <v/>
      </c>
      <c r="K88" s="300" t="str">
        <f t="shared" si="32"/>
        <v/>
      </c>
      <c r="L88" s="300">
        <f t="shared" si="33"/>
        <v>115.19999999999999</v>
      </c>
      <c r="M88" s="300" t="str">
        <f t="shared" si="34"/>
        <v/>
      </c>
      <c r="N88" s="300" t="str">
        <f t="shared" si="35"/>
        <v/>
      </c>
      <c r="O88" s="300" t="str">
        <f t="shared" si="36"/>
        <v/>
      </c>
      <c r="P88" s="288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</row>
    <row r="89" spans="1:28" ht="15" hidden="1" customHeight="1" outlineLevel="1" x14ac:dyDescent="0.25">
      <c r="A89" s="349"/>
      <c r="B89" s="508" t="s">
        <v>73</v>
      </c>
      <c r="C89" s="507"/>
      <c r="D89" s="505" t="s">
        <v>8</v>
      </c>
      <c r="E89" s="148">
        <v>6</v>
      </c>
      <c r="F89" s="149" t="s">
        <v>514</v>
      </c>
      <c r="G89" s="148">
        <v>25</v>
      </c>
      <c r="H89" s="509">
        <v>1.1599999999999999</v>
      </c>
      <c r="I89" s="300">
        <f t="shared" si="30"/>
        <v>174</v>
      </c>
      <c r="J89" s="300" t="str">
        <f t="shared" si="31"/>
        <v/>
      </c>
      <c r="K89" s="300" t="str">
        <f t="shared" si="32"/>
        <v/>
      </c>
      <c r="L89" s="300" t="str">
        <f t="shared" si="33"/>
        <v/>
      </c>
      <c r="M89" s="300" t="str">
        <f t="shared" si="34"/>
        <v/>
      </c>
      <c r="N89" s="300" t="str">
        <f t="shared" si="35"/>
        <v/>
      </c>
      <c r="O89" s="300" t="str">
        <f t="shared" si="36"/>
        <v/>
      </c>
      <c r="P89" s="288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</row>
    <row r="90" spans="1:28" ht="15" hidden="1" customHeight="1" outlineLevel="1" x14ac:dyDescent="0.25">
      <c r="A90" s="501"/>
      <c r="B90" s="398"/>
      <c r="C90" s="399"/>
      <c r="D90" s="400"/>
      <c r="E90" s="134"/>
      <c r="F90" s="331"/>
      <c r="G90" s="401"/>
      <c r="H90" s="468"/>
      <c r="I90" s="469" t="str">
        <f t="shared" si="30"/>
        <v/>
      </c>
      <c r="J90" s="470" t="str">
        <f t="shared" si="31"/>
        <v/>
      </c>
      <c r="K90" s="470" t="str">
        <f t="shared" si="32"/>
        <v/>
      </c>
      <c r="L90" s="470" t="str">
        <f t="shared" si="33"/>
        <v/>
      </c>
      <c r="M90" s="470" t="str">
        <f t="shared" si="34"/>
        <v/>
      </c>
      <c r="N90" s="470" t="str">
        <f t="shared" si="35"/>
        <v/>
      </c>
      <c r="O90" s="469" t="str">
        <f t="shared" si="36"/>
        <v/>
      </c>
      <c r="P90" s="47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</row>
    <row r="91" spans="1:28" ht="15" customHeight="1" collapsed="1" x14ac:dyDescent="0.25">
      <c r="A91" s="29"/>
      <c r="B91" s="828"/>
      <c r="C91" s="829"/>
      <c r="D91" s="144"/>
      <c r="E91" s="145"/>
      <c r="F91" s="145"/>
      <c r="G91" s="817"/>
      <c r="H91" s="818"/>
      <c r="I91" s="301">
        <f t="shared" ref="I91:O91" si="37">SUM(I72:I90)</f>
        <v>324.5</v>
      </c>
      <c r="J91" s="301">
        <f t="shared" si="37"/>
        <v>0</v>
      </c>
      <c r="K91" s="301">
        <f t="shared" si="37"/>
        <v>767.88</v>
      </c>
      <c r="L91" s="301">
        <f t="shared" si="37"/>
        <v>249.6</v>
      </c>
      <c r="M91" s="301">
        <f t="shared" si="37"/>
        <v>648</v>
      </c>
      <c r="N91" s="301">
        <f t="shared" si="37"/>
        <v>0</v>
      </c>
      <c r="O91" s="301">
        <f t="shared" si="37"/>
        <v>0</v>
      </c>
      <c r="P91" s="283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</row>
    <row r="92" spans="1:28" ht="15" customHeight="1" x14ac:dyDescent="0.25">
      <c r="A92" s="31"/>
      <c r="B92" s="819"/>
      <c r="C92" s="820"/>
      <c r="D92" s="32"/>
      <c r="E92" s="33"/>
      <c r="F92" s="34"/>
      <c r="G92" s="821" t="s">
        <v>69</v>
      </c>
      <c r="H92" s="822"/>
      <c r="I92" s="298">
        <v>0.25</v>
      </c>
      <c r="J92" s="298">
        <v>3.97</v>
      </c>
      <c r="K92" s="298">
        <v>0.56000000000000005</v>
      </c>
      <c r="L92" s="298">
        <v>1.02</v>
      </c>
      <c r="M92" s="298">
        <v>1.56</v>
      </c>
      <c r="N92" s="298">
        <v>2.25</v>
      </c>
      <c r="O92" s="335">
        <v>0.39500000000000002</v>
      </c>
      <c r="P92" s="284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</row>
    <row r="93" spans="1:28" ht="15" customHeight="1" x14ac:dyDescent="0.25">
      <c r="A93" s="31"/>
      <c r="B93" s="819"/>
      <c r="C93" s="820"/>
      <c r="D93" s="32"/>
      <c r="E93" s="33"/>
      <c r="F93" s="34"/>
      <c r="G93" s="821" t="s">
        <v>70</v>
      </c>
      <c r="H93" s="822"/>
      <c r="I93" s="286">
        <f t="shared" ref="I93:O93" si="38">I91*I92</f>
        <v>81.125</v>
      </c>
      <c r="J93" s="286">
        <f t="shared" si="38"/>
        <v>0</v>
      </c>
      <c r="K93" s="286">
        <f>K91*K92</f>
        <v>430.01280000000003</v>
      </c>
      <c r="L93" s="286">
        <f t="shared" si="38"/>
        <v>254.59199999999998</v>
      </c>
      <c r="M93" s="286">
        <f>M91*M92</f>
        <v>1010.88</v>
      </c>
      <c r="N93" s="286">
        <f>N91*N92</f>
        <v>0</v>
      </c>
      <c r="O93" s="286">
        <f t="shared" si="38"/>
        <v>0</v>
      </c>
      <c r="P93" s="283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</row>
    <row r="94" spans="1:28" ht="15" customHeight="1" x14ac:dyDescent="0.25">
      <c r="A94" s="31"/>
      <c r="B94" s="819"/>
      <c r="C94" s="820"/>
      <c r="D94" s="32"/>
      <c r="E94" s="33"/>
      <c r="F94" s="34"/>
      <c r="G94" s="821" t="s">
        <v>71</v>
      </c>
      <c r="H94" s="822"/>
      <c r="I94" s="286">
        <f t="shared" ref="I94:O94" si="39">ROUNDUP(I91*1.07/9,0)</f>
        <v>39</v>
      </c>
      <c r="J94" s="286">
        <f t="shared" si="39"/>
        <v>0</v>
      </c>
      <c r="K94" s="286">
        <f t="shared" si="39"/>
        <v>92</v>
      </c>
      <c r="L94" s="286">
        <f t="shared" si="39"/>
        <v>30</v>
      </c>
      <c r="M94" s="286">
        <f t="shared" si="39"/>
        <v>78</v>
      </c>
      <c r="N94" s="286">
        <f>ROUNDUP(N91*1.07/9,0)</f>
        <v>0</v>
      </c>
      <c r="O94" s="286">
        <f t="shared" si="39"/>
        <v>0</v>
      </c>
      <c r="P94" s="283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</row>
    <row r="95" spans="1:28" ht="15" customHeight="1" x14ac:dyDescent="0.25">
      <c r="A95" s="248" t="s">
        <v>53</v>
      </c>
      <c r="B95" s="812" t="s">
        <v>390</v>
      </c>
      <c r="C95" s="813"/>
      <c r="D95" s="249"/>
      <c r="E95" s="250"/>
      <c r="F95" s="250"/>
      <c r="G95" s="250"/>
      <c r="H95" s="253"/>
      <c r="I95" s="296"/>
      <c r="J95" s="296"/>
      <c r="K95" s="296"/>
      <c r="L95" s="296"/>
      <c r="M95" s="296"/>
      <c r="N95" s="296"/>
      <c r="O95" s="296"/>
      <c r="P95" s="296">
        <f>SUM(I144:O144)</f>
        <v>2969.2280000000001</v>
      </c>
      <c r="Q95" s="135"/>
      <c r="R95" s="135"/>
      <c r="S95" s="135"/>
      <c r="T95" s="135"/>
      <c r="U95" s="135"/>
      <c r="V95" s="135"/>
      <c r="W95" s="135"/>
      <c r="X95" s="135"/>
      <c r="Y95" s="135"/>
      <c r="Z95" s="135"/>
      <c r="AA95" s="135"/>
      <c r="AB95" s="135"/>
    </row>
    <row r="96" spans="1:28" ht="15" hidden="1" customHeight="1" outlineLevel="1" x14ac:dyDescent="0.25">
      <c r="A96" s="512"/>
      <c r="B96" s="499" t="s">
        <v>399</v>
      </c>
      <c r="C96" s="378"/>
      <c r="D96" s="166"/>
      <c r="E96" s="148"/>
      <c r="F96" s="149"/>
      <c r="G96" s="148"/>
      <c r="H96" s="255"/>
      <c r="I96" s="299" t="str">
        <f t="shared" si="30"/>
        <v/>
      </c>
      <c r="J96" s="297" t="str">
        <f t="shared" si="31"/>
        <v/>
      </c>
      <c r="K96" s="297" t="str">
        <f t="shared" si="32"/>
        <v/>
      </c>
      <c r="L96" s="297" t="str">
        <f t="shared" si="33"/>
        <v/>
      </c>
      <c r="M96" s="297" t="str">
        <f t="shared" si="34"/>
        <v/>
      </c>
      <c r="N96" s="297" t="str">
        <f t="shared" si="35"/>
        <v/>
      </c>
      <c r="O96" s="297" t="str">
        <f t="shared" ref="O96:O141" si="40">IF($F96=$O$6,$E96*$G96*$H96,"")</f>
        <v/>
      </c>
      <c r="P96" s="282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</row>
    <row r="97" spans="1:28" ht="15" hidden="1" customHeight="1" outlineLevel="1" x14ac:dyDescent="0.25">
      <c r="A97" s="500"/>
      <c r="B97" s="499" t="s">
        <v>432</v>
      </c>
      <c r="C97" s="378"/>
      <c r="D97" s="166" t="s">
        <v>8</v>
      </c>
      <c r="E97" s="148">
        <v>1</v>
      </c>
      <c r="F97" s="149" t="s">
        <v>64</v>
      </c>
      <c r="G97" s="148">
        <v>18</v>
      </c>
      <c r="H97" s="510">
        <v>9</v>
      </c>
      <c r="I97" s="299" t="str">
        <f t="shared" si="30"/>
        <v/>
      </c>
      <c r="J97" s="297" t="str">
        <f t="shared" si="31"/>
        <v/>
      </c>
      <c r="K97" s="297">
        <f t="shared" si="32"/>
        <v>162</v>
      </c>
      <c r="L97" s="297" t="str">
        <f t="shared" si="33"/>
        <v/>
      </c>
      <c r="M97" s="297" t="str">
        <f t="shared" si="34"/>
        <v/>
      </c>
      <c r="N97" s="297" t="str">
        <f t="shared" si="35"/>
        <v/>
      </c>
      <c r="O97" s="297" t="str">
        <f t="shared" si="40"/>
        <v/>
      </c>
      <c r="P97" s="282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</row>
    <row r="98" spans="1:28" ht="15" hidden="1" customHeight="1" outlineLevel="1" x14ac:dyDescent="0.25">
      <c r="A98" s="500"/>
      <c r="B98" s="499" t="s">
        <v>401</v>
      </c>
      <c r="C98" s="378"/>
      <c r="D98" s="166" t="s">
        <v>8</v>
      </c>
      <c r="E98" s="148">
        <v>1</v>
      </c>
      <c r="F98" s="149" t="s">
        <v>64</v>
      </c>
      <c r="G98" s="148">
        <v>27</v>
      </c>
      <c r="H98" s="510">
        <v>4.42</v>
      </c>
      <c r="I98" s="299" t="str">
        <f t="shared" si="30"/>
        <v/>
      </c>
      <c r="J98" s="297" t="str">
        <f t="shared" si="31"/>
        <v/>
      </c>
      <c r="K98" s="297">
        <f t="shared" si="32"/>
        <v>119.34</v>
      </c>
      <c r="L98" s="297" t="str">
        <f t="shared" si="33"/>
        <v/>
      </c>
      <c r="M98" s="297" t="str">
        <f t="shared" si="34"/>
        <v/>
      </c>
      <c r="N98" s="297" t="str">
        <f t="shared" si="35"/>
        <v/>
      </c>
      <c r="O98" s="297" t="str">
        <f t="shared" si="40"/>
        <v/>
      </c>
      <c r="P98" s="282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</row>
    <row r="99" spans="1:28" ht="15" hidden="1" customHeight="1" outlineLevel="1" x14ac:dyDescent="0.25">
      <c r="A99" s="500"/>
      <c r="B99" s="499" t="s">
        <v>519</v>
      </c>
      <c r="C99" s="378"/>
      <c r="D99" s="166"/>
      <c r="E99" s="148"/>
      <c r="F99" s="149"/>
      <c r="G99" s="148"/>
      <c r="H99" s="510"/>
      <c r="I99" s="299" t="str">
        <f t="shared" si="30"/>
        <v/>
      </c>
      <c r="J99" s="297" t="str">
        <f t="shared" si="31"/>
        <v/>
      </c>
      <c r="K99" s="297" t="str">
        <f t="shared" si="32"/>
        <v/>
      </c>
      <c r="L99" s="297" t="str">
        <f t="shared" si="33"/>
        <v/>
      </c>
      <c r="M99" s="297" t="str">
        <f t="shared" si="34"/>
        <v/>
      </c>
      <c r="N99" s="297" t="str">
        <f t="shared" si="35"/>
        <v/>
      </c>
      <c r="O99" s="297" t="str">
        <f t="shared" si="40"/>
        <v/>
      </c>
      <c r="P99" s="282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</row>
    <row r="100" spans="1:28" ht="15" hidden="1" customHeight="1" outlineLevel="1" x14ac:dyDescent="0.25">
      <c r="A100" s="500"/>
      <c r="B100" s="499" t="s">
        <v>432</v>
      </c>
      <c r="C100" s="378"/>
      <c r="D100" s="166" t="s">
        <v>8</v>
      </c>
      <c r="E100" s="148">
        <v>2</v>
      </c>
      <c r="F100" s="149" t="s">
        <v>66</v>
      </c>
      <c r="G100" s="148">
        <v>12</v>
      </c>
      <c r="H100" s="510">
        <v>9</v>
      </c>
      <c r="I100" s="299" t="str">
        <f t="shared" si="30"/>
        <v/>
      </c>
      <c r="J100" s="297" t="str">
        <f t="shared" si="31"/>
        <v/>
      </c>
      <c r="K100" s="297" t="str">
        <f t="shared" si="32"/>
        <v/>
      </c>
      <c r="L100" s="297" t="str">
        <f t="shared" si="33"/>
        <v/>
      </c>
      <c r="M100" s="297">
        <f t="shared" si="34"/>
        <v>216</v>
      </c>
      <c r="N100" s="297" t="str">
        <f t="shared" si="35"/>
        <v/>
      </c>
      <c r="O100" s="297" t="str">
        <f t="shared" si="40"/>
        <v/>
      </c>
      <c r="P100" s="282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</row>
    <row r="101" spans="1:28" ht="15" hidden="1" customHeight="1" outlineLevel="1" x14ac:dyDescent="0.25">
      <c r="A101" s="500"/>
      <c r="B101" s="499" t="s">
        <v>400</v>
      </c>
      <c r="C101" s="378"/>
      <c r="D101" s="166" t="s">
        <v>8</v>
      </c>
      <c r="E101" s="148">
        <v>2</v>
      </c>
      <c r="F101" s="149" t="s">
        <v>64</v>
      </c>
      <c r="G101" s="148">
        <v>26</v>
      </c>
      <c r="H101" s="510">
        <f>2*1.74</f>
        <v>3.48</v>
      </c>
      <c r="I101" s="299" t="str">
        <f t="shared" si="30"/>
        <v/>
      </c>
      <c r="J101" s="297" t="str">
        <f>IF($F101=$J$6,$E101*$G101*$H101,"")</f>
        <v/>
      </c>
      <c r="K101" s="297">
        <f t="shared" si="32"/>
        <v>180.96</v>
      </c>
      <c r="L101" s="297" t="str">
        <f t="shared" si="33"/>
        <v/>
      </c>
      <c r="M101" s="297" t="str">
        <f t="shared" si="34"/>
        <v/>
      </c>
      <c r="N101" s="297" t="str">
        <f t="shared" si="35"/>
        <v/>
      </c>
      <c r="O101" s="297" t="str">
        <f t="shared" si="40"/>
        <v/>
      </c>
      <c r="P101" s="282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</row>
    <row r="102" spans="1:28" ht="15" hidden="1" customHeight="1" outlineLevel="1" x14ac:dyDescent="0.25">
      <c r="A102" s="513"/>
      <c r="B102" s="499" t="s">
        <v>592</v>
      </c>
      <c r="C102" s="378"/>
      <c r="D102" s="166"/>
      <c r="E102" s="148"/>
      <c r="F102" s="149"/>
      <c r="G102" s="148"/>
      <c r="H102" s="510"/>
      <c r="I102" s="299" t="str">
        <f t="shared" si="30"/>
        <v/>
      </c>
      <c r="J102" s="297" t="str">
        <f t="shared" si="31"/>
        <v/>
      </c>
      <c r="K102" s="297" t="str">
        <f>IF($F102=$K$6,$E102*$G102*$H102,"")</f>
        <v/>
      </c>
      <c r="L102" s="297" t="str">
        <f t="shared" si="33"/>
        <v/>
      </c>
      <c r="M102" s="297" t="str">
        <f t="shared" si="34"/>
        <v/>
      </c>
      <c r="N102" s="297" t="str">
        <f t="shared" si="35"/>
        <v/>
      </c>
      <c r="O102" s="297" t="str">
        <f t="shared" si="40"/>
        <v/>
      </c>
      <c r="P102" s="282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</row>
    <row r="103" spans="1:28" ht="15" hidden="1" customHeight="1" outlineLevel="1" x14ac:dyDescent="0.25">
      <c r="A103" s="500"/>
      <c r="B103" s="499" t="s">
        <v>432</v>
      </c>
      <c r="C103" s="378"/>
      <c r="D103" s="166" t="s">
        <v>8</v>
      </c>
      <c r="E103" s="148">
        <v>1</v>
      </c>
      <c r="F103" s="149" t="s">
        <v>64</v>
      </c>
      <c r="G103" s="148">
        <v>23</v>
      </c>
      <c r="H103" s="510">
        <v>9</v>
      </c>
      <c r="I103" s="299" t="str">
        <f t="shared" si="30"/>
        <v/>
      </c>
      <c r="J103" s="297" t="str">
        <f t="shared" si="31"/>
        <v/>
      </c>
      <c r="K103" s="297">
        <f t="shared" si="32"/>
        <v>207</v>
      </c>
      <c r="L103" s="297" t="str">
        <f t="shared" si="33"/>
        <v/>
      </c>
      <c r="M103" s="297" t="str">
        <f t="shared" si="34"/>
        <v/>
      </c>
      <c r="N103" s="297" t="str">
        <f t="shared" si="35"/>
        <v/>
      </c>
      <c r="O103" s="297" t="str">
        <f t="shared" si="40"/>
        <v/>
      </c>
      <c r="P103" s="282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</row>
    <row r="104" spans="1:28" ht="15" hidden="1" customHeight="1" outlineLevel="1" x14ac:dyDescent="0.25">
      <c r="A104" s="500"/>
      <c r="B104" s="499" t="s">
        <v>401</v>
      </c>
      <c r="C104" s="378"/>
      <c r="D104" s="166" t="s">
        <v>8</v>
      </c>
      <c r="E104" s="148">
        <v>1</v>
      </c>
      <c r="F104" s="149" t="s">
        <v>64</v>
      </c>
      <c r="G104" s="148">
        <v>27</v>
      </c>
      <c r="H104" s="510">
        <v>4.2699999999999996</v>
      </c>
      <c r="I104" s="299" t="str">
        <f t="shared" si="30"/>
        <v/>
      </c>
      <c r="J104" s="297" t="str">
        <f t="shared" si="31"/>
        <v/>
      </c>
      <c r="K104" s="297">
        <f t="shared" si="32"/>
        <v>115.28999999999999</v>
      </c>
      <c r="L104" s="297" t="str">
        <f t="shared" si="33"/>
        <v/>
      </c>
      <c r="M104" s="297" t="str">
        <f t="shared" si="34"/>
        <v/>
      </c>
      <c r="N104" s="297" t="str">
        <f t="shared" si="35"/>
        <v/>
      </c>
      <c r="O104" s="297" t="str">
        <f t="shared" si="40"/>
        <v/>
      </c>
      <c r="P104" s="282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</row>
    <row r="105" spans="1:28" ht="15" hidden="1" customHeight="1" outlineLevel="1" x14ac:dyDescent="0.25">
      <c r="A105" s="500"/>
      <c r="B105" s="499" t="s">
        <v>520</v>
      </c>
      <c r="C105" s="378"/>
      <c r="D105" s="166"/>
      <c r="E105" s="148"/>
      <c r="F105" s="149"/>
      <c r="G105" s="148"/>
      <c r="H105" s="510"/>
      <c r="I105" s="299" t="str">
        <f t="shared" si="30"/>
        <v/>
      </c>
      <c r="J105" s="297" t="str">
        <f t="shared" si="31"/>
        <v/>
      </c>
      <c r="K105" s="297" t="str">
        <f t="shared" si="32"/>
        <v/>
      </c>
      <c r="L105" s="297" t="str">
        <f t="shared" si="33"/>
        <v/>
      </c>
      <c r="M105" s="297" t="str">
        <f t="shared" si="34"/>
        <v/>
      </c>
      <c r="N105" s="297" t="str">
        <f t="shared" si="35"/>
        <v/>
      </c>
      <c r="O105" s="297" t="str">
        <f t="shared" si="40"/>
        <v/>
      </c>
      <c r="P105" s="282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</row>
    <row r="106" spans="1:28" ht="15" hidden="1" customHeight="1" outlineLevel="1" x14ac:dyDescent="0.25">
      <c r="A106" s="500"/>
      <c r="B106" s="499" t="s">
        <v>432</v>
      </c>
      <c r="C106" s="378"/>
      <c r="D106" s="166" t="s">
        <v>8</v>
      </c>
      <c r="E106" s="148">
        <v>1</v>
      </c>
      <c r="F106" s="149" t="s">
        <v>66</v>
      </c>
      <c r="G106" s="148">
        <v>10</v>
      </c>
      <c r="H106" s="510">
        <v>9</v>
      </c>
      <c r="I106" s="299" t="str">
        <f t="shared" si="30"/>
        <v/>
      </c>
      <c r="J106" s="297" t="str">
        <f t="shared" si="31"/>
        <v/>
      </c>
      <c r="K106" s="297" t="str">
        <f t="shared" si="32"/>
        <v/>
      </c>
      <c r="L106" s="297" t="str">
        <f t="shared" si="33"/>
        <v/>
      </c>
      <c r="M106" s="297">
        <f t="shared" si="34"/>
        <v>90</v>
      </c>
      <c r="N106" s="297" t="str">
        <f t="shared" si="35"/>
        <v/>
      </c>
      <c r="O106" s="297" t="str">
        <f t="shared" si="40"/>
        <v/>
      </c>
      <c r="P106" s="282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</row>
    <row r="107" spans="1:28" ht="15" hidden="1" customHeight="1" outlineLevel="1" x14ac:dyDescent="0.25">
      <c r="A107" s="500"/>
      <c r="B107" s="499" t="s">
        <v>400</v>
      </c>
      <c r="C107" s="378"/>
      <c r="D107" s="166" t="s">
        <v>8</v>
      </c>
      <c r="E107" s="148">
        <v>1</v>
      </c>
      <c r="F107" s="149" t="s">
        <v>64</v>
      </c>
      <c r="G107" s="148">
        <v>26</v>
      </c>
      <c r="H107" s="510">
        <v>1.54</v>
      </c>
      <c r="I107" s="299" t="str">
        <f t="shared" si="30"/>
        <v/>
      </c>
      <c r="J107" s="297" t="str">
        <f>IF($F107=$J$6,$E107*$G107*$H107,"")</f>
        <v/>
      </c>
      <c r="K107" s="297">
        <f t="shared" si="32"/>
        <v>40.04</v>
      </c>
      <c r="L107" s="297" t="str">
        <f t="shared" si="33"/>
        <v/>
      </c>
      <c r="M107" s="297" t="str">
        <f t="shared" si="34"/>
        <v/>
      </c>
      <c r="N107" s="297" t="str">
        <f t="shared" si="35"/>
        <v/>
      </c>
      <c r="O107" s="297" t="str">
        <f t="shared" si="40"/>
        <v/>
      </c>
      <c r="P107" s="282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</row>
    <row r="108" spans="1:28" ht="15" hidden="1" customHeight="1" outlineLevel="1" x14ac:dyDescent="0.25">
      <c r="A108" s="500"/>
      <c r="B108" s="499" t="s">
        <v>397</v>
      </c>
      <c r="C108" s="378"/>
      <c r="D108" s="166" t="s">
        <v>8</v>
      </c>
      <c r="E108" s="148">
        <v>1</v>
      </c>
      <c r="F108" s="149" t="s">
        <v>64</v>
      </c>
      <c r="G108" s="148">
        <v>26</v>
      </c>
      <c r="H108" s="510">
        <f>3*0.33</f>
        <v>0.99</v>
      </c>
      <c r="I108" s="299" t="str">
        <f t="shared" si="30"/>
        <v/>
      </c>
      <c r="J108" s="297" t="str">
        <f>IF($F108=$J$6,$E108*$G108*$H108,"")</f>
        <v/>
      </c>
      <c r="K108" s="297">
        <f t="shared" si="32"/>
        <v>25.74</v>
      </c>
      <c r="L108" s="297" t="str">
        <f t="shared" si="33"/>
        <v/>
      </c>
      <c r="M108" s="297" t="str">
        <f t="shared" si="34"/>
        <v/>
      </c>
      <c r="N108" s="297" t="str">
        <f t="shared" si="35"/>
        <v/>
      </c>
      <c r="O108" s="297" t="str">
        <f t="shared" si="40"/>
        <v/>
      </c>
      <c r="P108" s="282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</row>
    <row r="109" spans="1:28" ht="15" hidden="1" customHeight="1" outlineLevel="1" x14ac:dyDescent="0.25">
      <c r="A109" s="500"/>
      <c r="B109" s="499" t="s">
        <v>521</v>
      </c>
      <c r="C109" s="378"/>
      <c r="D109" s="166"/>
      <c r="E109" s="148"/>
      <c r="F109" s="149"/>
      <c r="G109" s="148"/>
      <c r="H109" s="510"/>
      <c r="I109" s="299" t="str">
        <f t="shared" si="30"/>
        <v/>
      </c>
      <c r="J109" s="297" t="str">
        <f t="shared" si="31"/>
        <v/>
      </c>
      <c r="K109" s="297" t="str">
        <f t="shared" si="32"/>
        <v/>
      </c>
      <c r="L109" s="297" t="str">
        <f t="shared" si="33"/>
        <v/>
      </c>
      <c r="M109" s="297" t="str">
        <f t="shared" si="34"/>
        <v/>
      </c>
      <c r="N109" s="297" t="str">
        <f t="shared" si="35"/>
        <v/>
      </c>
      <c r="O109" s="297" t="str">
        <f t="shared" si="40"/>
        <v/>
      </c>
      <c r="P109" s="282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</row>
    <row r="110" spans="1:28" ht="15" hidden="1" customHeight="1" outlineLevel="1" x14ac:dyDescent="0.25">
      <c r="A110" s="500"/>
      <c r="B110" s="499" t="s">
        <v>432</v>
      </c>
      <c r="C110" s="378"/>
      <c r="D110" s="166" t="s">
        <v>8</v>
      </c>
      <c r="E110" s="148">
        <v>1</v>
      </c>
      <c r="F110" s="149" t="s">
        <v>66</v>
      </c>
      <c r="G110" s="148">
        <v>12</v>
      </c>
      <c r="H110" s="510">
        <v>9</v>
      </c>
      <c r="I110" s="299" t="str">
        <f t="shared" si="30"/>
        <v/>
      </c>
      <c r="J110" s="297" t="str">
        <f t="shared" si="31"/>
        <v/>
      </c>
      <c r="K110" s="297" t="str">
        <f t="shared" si="32"/>
        <v/>
      </c>
      <c r="L110" s="297" t="str">
        <f t="shared" si="33"/>
        <v/>
      </c>
      <c r="M110" s="297">
        <f t="shared" si="34"/>
        <v>108</v>
      </c>
      <c r="N110" s="297" t="str">
        <f t="shared" si="35"/>
        <v/>
      </c>
      <c r="O110" s="297" t="str">
        <f t="shared" si="40"/>
        <v/>
      </c>
      <c r="P110" s="282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</row>
    <row r="111" spans="1:28" ht="15" hidden="1" customHeight="1" outlineLevel="1" x14ac:dyDescent="0.25">
      <c r="A111" s="500"/>
      <c r="B111" s="499" t="s">
        <v>400</v>
      </c>
      <c r="C111" s="378"/>
      <c r="D111" s="166" t="s">
        <v>8</v>
      </c>
      <c r="E111" s="148">
        <v>1</v>
      </c>
      <c r="F111" s="149" t="s">
        <v>64</v>
      </c>
      <c r="G111" s="148">
        <v>26</v>
      </c>
      <c r="H111" s="510">
        <f>2*1.94</f>
        <v>3.88</v>
      </c>
      <c r="I111" s="299" t="str">
        <f t="shared" si="30"/>
        <v/>
      </c>
      <c r="J111" s="297" t="str">
        <f>IF($F111=$J$6,$E111*$G111*$H111,"")</f>
        <v/>
      </c>
      <c r="K111" s="297">
        <f t="shared" si="32"/>
        <v>100.88</v>
      </c>
      <c r="L111" s="297" t="str">
        <f t="shared" si="33"/>
        <v/>
      </c>
      <c r="M111" s="297" t="str">
        <f t="shared" si="34"/>
        <v/>
      </c>
      <c r="N111" s="297" t="str">
        <f t="shared" si="35"/>
        <v/>
      </c>
      <c r="O111" s="297" t="str">
        <f t="shared" si="40"/>
        <v/>
      </c>
      <c r="P111" s="282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</row>
    <row r="112" spans="1:28" ht="15" hidden="1" customHeight="1" outlineLevel="1" x14ac:dyDescent="0.25">
      <c r="A112" s="513"/>
      <c r="B112" s="499" t="s">
        <v>593</v>
      </c>
      <c r="C112" s="378"/>
      <c r="D112" s="166"/>
      <c r="E112" s="148"/>
      <c r="F112" s="149"/>
      <c r="G112" s="148"/>
      <c r="H112" s="510"/>
      <c r="I112" s="299" t="str">
        <f t="shared" si="30"/>
        <v/>
      </c>
      <c r="J112" s="297" t="str">
        <f t="shared" si="31"/>
        <v/>
      </c>
      <c r="K112" s="297" t="str">
        <f t="shared" si="32"/>
        <v/>
      </c>
      <c r="L112" s="297" t="str">
        <f t="shared" si="33"/>
        <v/>
      </c>
      <c r="M112" s="297" t="str">
        <f t="shared" si="34"/>
        <v/>
      </c>
      <c r="N112" s="297" t="str">
        <f t="shared" si="35"/>
        <v/>
      </c>
      <c r="O112" s="297" t="str">
        <f t="shared" si="40"/>
        <v/>
      </c>
      <c r="P112" s="282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</row>
    <row r="113" spans="1:28" ht="15" hidden="1" customHeight="1" outlineLevel="1" x14ac:dyDescent="0.25">
      <c r="A113" s="500"/>
      <c r="B113" s="499" t="s">
        <v>432</v>
      </c>
      <c r="C113" s="378"/>
      <c r="D113" s="166" t="s">
        <v>8</v>
      </c>
      <c r="E113" s="148">
        <v>1</v>
      </c>
      <c r="F113" s="149" t="s">
        <v>64</v>
      </c>
      <c r="G113" s="148">
        <v>14</v>
      </c>
      <c r="H113" s="510">
        <v>9</v>
      </c>
      <c r="I113" s="299" t="str">
        <f t="shared" si="30"/>
        <v/>
      </c>
      <c r="J113" s="297" t="str">
        <f t="shared" si="31"/>
        <v/>
      </c>
      <c r="K113" s="297">
        <f t="shared" si="32"/>
        <v>126</v>
      </c>
      <c r="L113" s="297" t="str">
        <f t="shared" si="33"/>
        <v/>
      </c>
      <c r="M113" s="297" t="str">
        <f t="shared" si="34"/>
        <v/>
      </c>
      <c r="N113" s="297" t="str">
        <f t="shared" si="35"/>
        <v/>
      </c>
      <c r="O113" s="297" t="str">
        <f t="shared" si="40"/>
        <v/>
      </c>
      <c r="P113" s="282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</row>
    <row r="114" spans="1:28" ht="15" hidden="1" customHeight="1" outlineLevel="1" x14ac:dyDescent="0.25">
      <c r="A114" s="500"/>
      <c r="B114" s="499" t="s">
        <v>401</v>
      </c>
      <c r="C114" s="378"/>
      <c r="D114" s="166" t="s">
        <v>8</v>
      </c>
      <c r="E114" s="148">
        <v>1</v>
      </c>
      <c r="F114" s="149" t="s">
        <v>64</v>
      </c>
      <c r="G114" s="148">
        <v>27</v>
      </c>
      <c r="H114" s="510">
        <v>3.62</v>
      </c>
      <c r="I114" s="299" t="str">
        <f t="shared" si="30"/>
        <v/>
      </c>
      <c r="J114" s="297" t="str">
        <f t="shared" si="31"/>
        <v/>
      </c>
      <c r="K114" s="297">
        <f t="shared" si="32"/>
        <v>97.740000000000009</v>
      </c>
      <c r="L114" s="297" t="str">
        <f t="shared" si="33"/>
        <v/>
      </c>
      <c r="M114" s="297" t="str">
        <f t="shared" si="34"/>
        <v/>
      </c>
      <c r="N114" s="297" t="str">
        <f t="shared" si="35"/>
        <v/>
      </c>
      <c r="O114" s="297" t="str">
        <f t="shared" si="40"/>
        <v/>
      </c>
      <c r="P114" s="282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</row>
    <row r="115" spans="1:28" ht="15" hidden="1" customHeight="1" outlineLevel="1" x14ac:dyDescent="0.25">
      <c r="A115" s="500"/>
      <c r="B115" s="499" t="s">
        <v>520</v>
      </c>
      <c r="C115" s="378"/>
      <c r="D115" s="166"/>
      <c r="E115" s="148"/>
      <c r="F115" s="149"/>
      <c r="G115" s="148"/>
      <c r="H115" s="510"/>
      <c r="I115" s="299" t="str">
        <f t="shared" si="30"/>
        <v/>
      </c>
      <c r="J115" s="297" t="str">
        <f t="shared" si="31"/>
        <v/>
      </c>
      <c r="K115" s="297" t="str">
        <f t="shared" si="32"/>
        <v/>
      </c>
      <c r="L115" s="297" t="str">
        <f t="shared" si="33"/>
        <v/>
      </c>
      <c r="M115" s="297" t="str">
        <f t="shared" si="34"/>
        <v/>
      </c>
      <c r="N115" s="297" t="str">
        <f t="shared" si="35"/>
        <v/>
      </c>
      <c r="O115" s="297" t="str">
        <f t="shared" si="40"/>
        <v/>
      </c>
      <c r="P115" s="282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</row>
    <row r="116" spans="1:28" ht="15" hidden="1" customHeight="1" outlineLevel="1" x14ac:dyDescent="0.25">
      <c r="A116" s="500"/>
      <c r="B116" s="499" t="s">
        <v>432</v>
      </c>
      <c r="C116" s="378"/>
      <c r="D116" s="166" t="s">
        <v>8</v>
      </c>
      <c r="E116" s="148">
        <v>2</v>
      </c>
      <c r="F116" s="149" t="s">
        <v>66</v>
      </c>
      <c r="G116" s="148">
        <v>10</v>
      </c>
      <c r="H116" s="510">
        <v>9</v>
      </c>
      <c r="I116" s="299" t="str">
        <f t="shared" si="30"/>
        <v/>
      </c>
      <c r="J116" s="297" t="str">
        <f t="shared" si="31"/>
        <v/>
      </c>
      <c r="K116" s="297" t="str">
        <f t="shared" si="32"/>
        <v/>
      </c>
      <c r="L116" s="297" t="str">
        <f t="shared" si="33"/>
        <v/>
      </c>
      <c r="M116" s="297">
        <f t="shared" si="34"/>
        <v>180</v>
      </c>
      <c r="N116" s="297" t="str">
        <f t="shared" si="35"/>
        <v/>
      </c>
      <c r="O116" s="297" t="str">
        <f t="shared" si="40"/>
        <v/>
      </c>
      <c r="P116" s="282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</row>
    <row r="117" spans="1:28" ht="15" hidden="1" customHeight="1" outlineLevel="1" x14ac:dyDescent="0.25">
      <c r="A117" s="500"/>
      <c r="B117" s="499" t="s">
        <v>400</v>
      </c>
      <c r="C117" s="378"/>
      <c r="D117" s="166" t="s">
        <v>8</v>
      </c>
      <c r="E117" s="148">
        <v>2</v>
      </c>
      <c r="F117" s="149" t="s">
        <v>64</v>
      </c>
      <c r="G117" s="148">
        <v>26</v>
      </c>
      <c r="H117" s="510">
        <v>1.54</v>
      </c>
      <c r="I117" s="299" t="str">
        <f t="shared" si="30"/>
        <v/>
      </c>
      <c r="J117" s="297" t="str">
        <f>IF($F117=$J$6,$E117*$G117*$H117,"")</f>
        <v/>
      </c>
      <c r="K117" s="297">
        <f t="shared" si="32"/>
        <v>80.08</v>
      </c>
      <c r="L117" s="297" t="str">
        <f t="shared" si="33"/>
        <v/>
      </c>
      <c r="M117" s="297" t="str">
        <f t="shared" si="34"/>
        <v/>
      </c>
      <c r="N117" s="297" t="str">
        <f t="shared" si="35"/>
        <v/>
      </c>
      <c r="O117" s="297" t="str">
        <f t="shared" si="40"/>
        <v/>
      </c>
      <c r="P117" s="282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</row>
    <row r="118" spans="1:28" ht="15" hidden="1" customHeight="1" outlineLevel="1" x14ac:dyDescent="0.25">
      <c r="A118" s="500"/>
      <c r="B118" s="499" t="s">
        <v>397</v>
      </c>
      <c r="C118" s="378"/>
      <c r="D118" s="166" t="s">
        <v>8</v>
      </c>
      <c r="E118" s="148">
        <v>2</v>
      </c>
      <c r="F118" s="149" t="s">
        <v>64</v>
      </c>
      <c r="G118" s="148">
        <v>26</v>
      </c>
      <c r="H118" s="510">
        <f>3*0.33</f>
        <v>0.99</v>
      </c>
      <c r="I118" s="299" t="str">
        <f t="shared" si="30"/>
        <v/>
      </c>
      <c r="J118" s="297" t="str">
        <f>IF($F118=$J$6,$E118*$G118*$H118,"")</f>
        <v/>
      </c>
      <c r="K118" s="297">
        <f t="shared" si="32"/>
        <v>51.48</v>
      </c>
      <c r="L118" s="297" t="str">
        <f t="shared" si="33"/>
        <v/>
      </c>
      <c r="M118" s="297" t="str">
        <f t="shared" si="34"/>
        <v/>
      </c>
      <c r="N118" s="297" t="str">
        <f t="shared" si="35"/>
        <v/>
      </c>
      <c r="O118" s="297" t="str">
        <f t="shared" si="40"/>
        <v/>
      </c>
      <c r="P118" s="282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</row>
    <row r="119" spans="1:28" ht="15" hidden="1" customHeight="1" outlineLevel="1" x14ac:dyDescent="0.25">
      <c r="A119" s="513"/>
      <c r="B119" s="499" t="s">
        <v>594</v>
      </c>
      <c r="C119" s="378"/>
      <c r="D119" s="166"/>
      <c r="E119" s="148"/>
      <c r="F119" s="149"/>
      <c r="G119" s="148"/>
      <c r="H119" s="510"/>
      <c r="I119" s="299" t="str">
        <f t="shared" si="30"/>
        <v/>
      </c>
      <c r="J119" s="297" t="str">
        <f t="shared" si="31"/>
        <v/>
      </c>
      <c r="K119" s="297" t="str">
        <f t="shared" si="32"/>
        <v/>
      </c>
      <c r="L119" s="297" t="str">
        <f t="shared" si="33"/>
        <v/>
      </c>
      <c r="M119" s="297" t="str">
        <f t="shared" si="34"/>
        <v/>
      </c>
      <c r="N119" s="297" t="str">
        <f t="shared" si="35"/>
        <v/>
      </c>
      <c r="O119" s="297" t="str">
        <f t="shared" si="40"/>
        <v/>
      </c>
      <c r="P119" s="282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</row>
    <row r="120" spans="1:28" ht="15" hidden="1" customHeight="1" outlineLevel="1" x14ac:dyDescent="0.25">
      <c r="A120" s="500"/>
      <c r="B120" s="499" t="s">
        <v>432</v>
      </c>
      <c r="C120" s="378"/>
      <c r="D120" s="166" t="s">
        <v>8</v>
      </c>
      <c r="E120" s="148">
        <v>2</v>
      </c>
      <c r="F120" s="149" t="s">
        <v>64</v>
      </c>
      <c r="G120" s="148">
        <f>(5+13+5)</f>
        <v>23</v>
      </c>
      <c r="H120" s="510">
        <v>9</v>
      </c>
      <c r="I120" s="299" t="str">
        <f t="shared" si="30"/>
        <v/>
      </c>
      <c r="J120" s="297" t="str">
        <f t="shared" si="31"/>
        <v/>
      </c>
      <c r="K120" s="297">
        <f t="shared" si="32"/>
        <v>414</v>
      </c>
      <c r="L120" s="297" t="str">
        <f t="shared" si="33"/>
        <v/>
      </c>
      <c r="M120" s="297" t="str">
        <f t="shared" si="34"/>
        <v/>
      </c>
      <c r="N120" s="297" t="str">
        <f t="shared" si="35"/>
        <v/>
      </c>
      <c r="O120" s="297" t="str">
        <f t="shared" si="40"/>
        <v/>
      </c>
      <c r="P120" s="282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</row>
    <row r="121" spans="1:28" ht="15" hidden="1" customHeight="1" outlineLevel="1" x14ac:dyDescent="0.25">
      <c r="A121" s="500"/>
      <c r="B121" s="499" t="s">
        <v>595</v>
      </c>
      <c r="C121" s="378"/>
      <c r="D121" s="166" t="s">
        <v>8</v>
      </c>
      <c r="E121" s="148">
        <v>2</v>
      </c>
      <c r="F121" s="149" t="s">
        <v>64</v>
      </c>
      <c r="G121" s="148">
        <v>20</v>
      </c>
      <c r="H121" s="510">
        <v>3.22</v>
      </c>
      <c r="I121" s="299" t="str">
        <f t="shared" si="30"/>
        <v/>
      </c>
      <c r="J121" s="297" t="str">
        <f t="shared" si="31"/>
        <v/>
      </c>
      <c r="K121" s="297">
        <f t="shared" si="32"/>
        <v>128.80000000000001</v>
      </c>
      <c r="L121" s="297" t="str">
        <f t="shared" si="33"/>
        <v/>
      </c>
      <c r="M121" s="297" t="str">
        <f t="shared" si="34"/>
        <v/>
      </c>
      <c r="N121" s="297" t="str">
        <f t="shared" si="35"/>
        <v/>
      </c>
      <c r="O121" s="297" t="str">
        <f t="shared" si="40"/>
        <v/>
      </c>
      <c r="P121" s="282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</row>
    <row r="122" spans="1:28" ht="15" hidden="1" customHeight="1" outlineLevel="1" x14ac:dyDescent="0.25">
      <c r="A122" s="500"/>
      <c r="B122" s="499" t="s">
        <v>596</v>
      </c>
      <c r="C122" s="378"/>
      <c r="D122" s="166" t="s">
        <v>8</v>
      </c>
      <c r="E122" s="148">
        <v>4</v>
      </c>
      <c r="F122" s="149" t="s">
        <v>64</v>
      </c>
      <c r="G122" s="148">
        <v>20</v>
      </c>
      <c r="H122" s="510">
        <v>1.82</v>
      </c>
      <c r="I122" s="299" t="str">
        <f t="shared" si="30"/>
        <v/>
      </c>
      <c r="J122" s="297" t="str">
        <f t="shared" si="31"/>
        <v/>
      </c>
      <c r="K122" s="297">
        <f t="shared" si="32"/>
        <v>145.6</v>
      </c>
      <c r="L122" s="297" t="str">
        <f t="shared" si="33"/>
        <v/>
      </c>
      <c r="M122" s="297" t="str">
        <f t="shared" si="34"/>
        <v/>
      </c>
      <c r="N122" s="297" t="str">
        <f t="shared" si="35"/>
        <v/>
      </c>
      <c r="O122" s="297" t="str">
        <f t="shared" si="40"/>
        <v/>
      </c>
      <c r="P122" s="282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</row>
    <row r="123" spans="1:28" ht="15" hidden="1" customHeight="1" outlineLevel="1" x14ac:dyDescent="0.25">
      <c r="A123" s="500"/>
      <c r="B123" s="499" t="s">
        <v>597</v>
      </c>
      <c r="C123" s="378"/>
      <c r="D123" s="166"/>
      <c r="E123" s="148"/>
      <c r="F123" s="149"/>
      <c r="G123" s="148"/>
      <c r="H123" s="510"/>
      <c r="I123" s="299" t="str">
        <f t="shared" si="30"/>
        <v/>
      </c>
      <c r="J123" s="297" t="str">
        <f t="shared" si="31"/>
        <v/>
      </c>
      <c r="K123" s="297" t="str">
        <f t="shared" si="32"/>
        <v/>
      </c>
      <c r="L123" s="297" t="str">
        <f t="shared" si="33"/>
        <v/>
      </c>
      <c r="M123" s="297" t="str">
        <f t="shared" si="34"/>
        <v/>
      </c>
      <c r="N123" s="297" t="str">
        <f t="shared" si="35"/>
        <v/>
      </c>
      <c r="O123" s="297" t="str">
        <f t="shared" si="40"/>
        <v/>
      </c>
      <c r="P123" s="282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</row>
    <row r="124" spans="1:28" ht="15" hidden="1" customHeight="1" outlineLevel="1" x14ac:dyDescent="0.25">
      <c r="A124" s="500"/>
      <c r="B124" s="499" t="s">
        <v>432</v>
      </c>
      <c r="C124" s="378"/>
      <c r="D124" s="166" t="s">
        <v>8</v>
      </c>
      <c r="E124" s="148">
        <v>2</v>
      </c>
      <c r="F124" s="149" t="s">
        <v>66</v>
      </c>
      <c r="G124" s="148">
        <v>6</v>
      </c>
      <c r="H124" s="510">
        <v>9</v>
      </c>
      <c r="I124" s="299" t="str">
        <f t="shared" si="30"/>
        <v/>
      </c>
      <c r="J124" s="297" t="str">
        <f t="shared" si="31"/>
        <v/>
      </c>
      <c r="K124" s="297" t="str">
        <f t="shared" si="32"/>
        <v/>
      </c>
      <c r="L124" s="297" t="str">
        <f t="shared" si="33"/>
        <v/>
      </c>
      <c r="M124" s="297">
        <f t="shared" si="34"/>
        <v>108</v>
      </c>
      <c r="N124" s="297" t="str">
        <f t="shared" si="35"/>
        <v/>
      </c>
      <c r="O124" s="297" t="str">
        <f t="shared" si="40"/>
        <v/>
      </c>
      <c r="P124" s="282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</row>
    <row r="125" spans="1:28" ht="15" hidden="1" customHeight="1" outlineLevel="1" x14ac:dyDescent="0.25">
      <c r="A125" s="500"/>
      <c r="B125" s="499" t="s">
        <v>400</v>
      </c>
      <c r="C125" s="378"/>
      <c r="D125" s="166" t="s">
        <v>8</v>
      </c>
      <c r="E125" s="148">
        <v>2</v>
      </c>
      <c r="F125" s="149" t="s">
        <v>64</v>
      </c>
      <c r="G125" s="148">
        <v>23</v>
      </c>
      <c r="H125" s="510">
        <v>1.1399999999999999</v>
      </c>
      <c r="I125" s="299" t="str">
        <f t="shared" si="30"/>
        <v/>
      </c>
      <c r="J125" s="297" t="str">
        <f>IF($F125=$J$6,$E125*$G125*$H125,"")</f>
        <v/>
      </c>
      <c r="K125" s="297">
        <f t="shared" si="32"/>
        <v>52.44</v>
      </c>
      <c r="L125" s="297" t="str">
        <f t="shared" si="33"/>
        <v/>
      </c>
      <c r="M125" s="297" t="str">
        <f t="shared" si="34"/>
        <v/>
      </c>
      <c r="N125" s="297" t="str">
        <f t="shared" si="35"/>
        <v/>
      </c>
      <c r="O125" s="297" t="str">
        <f t="shared" si="40"/>
        <v/>
      </c>
      <c r="P125" s="282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</row>
    <row r="126" spans="1:28" ht="15" hidden="1" customHeight="1" outlineLevel="1" x14ac:dyDescent="0.25">
      <c r="A126" s="500"/>
      <c r="B126" s="499" t="s">
        <v>397</v>
      </c>
      <c r="C126" s="378"/>
      <c r="D126" s="166" t="s">
        <v>8</v>
      </c>
      <c r="E126" s="148">
        <v>2</v>
      </c>
      <c r="F126" s="149" t="s">
        <v>64</v>
      </c>
      <c r="G126" s="148">
        <v>23</v>
      </c>
      <c r="H126" s="510">
        <v>0.33</v>
      </c>
      <c r="I126" s="299" t="str">
        <f t="shared" si="30"/>
        <v/>
      </c>
      <c r="J126" s="297" t="str">
        <f>IF($F126=$J$6,$E126*$G126*$H126,"")</f>
        <v/>
      </c>
      <c r="K126" s="297">
        <f t="shared" si="32"/>
        <v>15.180000000000001</v>
      </c>
      <c r="L126" s="297" t="str">
        <f t="shared" si="33"/>
        <v/>
      </c>
      <c r="M126" s="297" t="str">
        <f t="shared" si="34"/>
        <v/>
      </c>
      <c r="N126" s="297" t="str">
        <f t="shared" si="35"/>
        <v/>
      </c>
      <c r="O126" s="297" t="str">
        <f t="shared" si="40"/>
        <v/>
      </c>
      <c r="P126" s="282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</row>
    <row r="127" spans="1:28" ht="15" hidden="1" customHeight="1" outlineLevel="1" x14ac:dyDescent="0.25">
      <c r="A127" s="500"/>
      <c r="B127" s="499" t="s">
        <v>598</v>
      </c>
      <c r="C127" s="378"/>
      <c r="D127" s="166"/>
      <c r="E127" s="148"/>
      <c r="F127" s="149"/>
      <c r="G127" s="148"/>
      <c r="H127" s="510"/>
      <c r="I127" s="299" t="str">
        <f t="shared" si="30"/>
        <v/>
      </c>
      <c r="J127" s="297" t="str">
        <f t="shared" si="31"/>
        <v/>
      </c>
      <c r="K127" s="297" t="str">
        <f t="shared" si="32"/>
        <v/>
      </c>
      <c r="L127" s="297" t="str">
        <f t="shared" si="33"/>
        <v/>
      </c>
      <c r="M127" s="297" t="str">
        <f t="shared" si="34"/>
        <v/>
      </c>
      <c r="N127" s="297" t="str">
        <f t="shared" si="35"/>
        <v/>
      </c>
      <c r="O127" s="297" t="str">
        <f t="shared" si="40"/>
        <v/>
      </c>
      <c r="P127" s="282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</row>
    <row r="128" spans="1:28" ht="15" hidden="1" customHeight="1" outlineLevel="1" x14ac:dyDescent="0.25">
      <c r="A128" s="500"/>
      <c r="B128" s="499" t="s">
        <v>432</v>
      </c>
      <c r="C128" s="378"/>
      <c r="D128" s="166" t="s">
        <v>8</v>
      </c>
      <c r="E128" s="148">
        <v>2</v>
      </c>
      <c r="F128" s="149" t="s">
        <v>66</v>
      </c>
      <c r="G128" s="148">
        <v>10</v>
      </c>
      <c r="H128" s="510">
        <v>9</v>
      </c>
      <c r="I128" s="299" t="str">
        <f t="shared" si="30"/>
        <v/>
      </c>
      <c r="J128" s="297" t="str">
        <f t="shared" si="31"/>
        <v/>
      </c>
      <c r="K128" s="297" t="str">
        <f t="shared" si="32"/>
        <v/>
      </c>
      <c r="L128" s="297" t="str">
        <f t="shared" si="33"/>
        <v/>
      </c>
      <c r="M128" s="297">
        <f t="shared" si="34"/>
        <v>180</v>
      </c>
      <c r="N128" s="297" t="str">
        <f t="shared" si="35"/>
        <v/>
      </c>
      <c r="O128" s="297" t="str">
        <f t="shared" si="40"/>
        <v/>
      </c>
      <c r="P128" s="282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</row>
    <row r="129" spans="1:28" ht="15" hidden="1" customHeight="1" outlineLevel="1" x14ac:dyDescent="0.25">
      <c r="A129" s="500"/>
      <c r="B129" s="499" t="s">
        <v>400</v>
      </c>
      <c r="C129" s="378"/>
      <c r="D129" s="166" t="s">
        <v>8</v>
      </c>
      <c r="E129" s="148">
        <v>2</v>
      </c>
      <c r="F129" s="149" t="s">
        <v>64</v>
      </c>
      <c r="G129" s="148">
        <v>26</v>
      </c>
      <c r="H129" s="510">
        <f>2*1.34</f>
        <v>2.68</v>
      </c>
      <c r="I129" s="299" t="str">
        <f t="shared" si="30"/>
        <v/>
      </c>
      <c r="J129" s="297" t="str">
        <f>IF($F129=$J$6,$E129*$G129*$H129,"")</f>
        <v/>
      </c>
      <c r="K129" s="297">
        <f t="shared" si="32"/>
        <v>139.36000000000001</v>
      </c>
      <c r="L129" s="297" t="str">
        <f t="shared" si="33"/>
        <v/>
      </c>
      <c r="M129" s="297" t="str">
        <f t="shared" si="34"/>
        <v/>
      </c>
      <c r="N129" s="297" t="str">
        <f t="shared" si="35"/>
        <v/>
      </c>
      <c r="O129" s="297" t="str">
        <f t="shared" si="40"/>
        <v/>
      </c>
      <c r="P129" s="282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</row>
    <row r="130" spans="1:28" ht="15" hidden="1" customHeight="1" outlineLevel="1" x14ac:dyDescent="0.25">
      <c r="A130" s="513"/>
      <c r="B130" s="499" t="s">
        <v>599</v>
      </c>
      <c r="C130" s="378"/>
      <c r="D130" s="166"/>
      <c r="E130" s="148"/>
      <c r="F130" s="149"/>
      <c r="G130" s="148"/>
      <c r="H130" s="510"/>
      <c r="I130" s="299" t="str">
        <f t="shared" si="30"/>
        <v/>
      </c>
      <c r="J130" s="297" t="str">
        <f t="shared" si="31"/>
        <v/>
      </c>
      <c r="K130" s="297" t="str">
        <f t="shared" si="32"/>
        <v/>
      </c>
      <c r="L130" s="297" t="str">
        <f t="shared" si="33"/>
        <v/>
      </c>
      <c r="M130" s="297" t="str">
        <f t="shared" si="34"/>
        <v/>
      </c>
      <c r="N130" s="297" t="str">
        <f t="shared" si="35"/>
        <v/>
      </c>
      <c r="O130" s="297" t="str">
        <f t="shared" si="40"/>
        <v/>
      </c>
      <c r="P130" s="282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</row>
    <row r="131" spans="1:28" ht="15" hidden="1" customHeight="1" outlineLevel="1" x14ac:dyDescent="0.25">
      <c r="A131" s="500"/>
      <c r="B131" s="499" t="s">
        <v>432</v>
      </c>
      <c r="C131" s="378"/>
      <c r="D131" s="166" t="s">
        <v>8</v>
      </c>
      <c r="E131" s="148">
        <v>1</v>
      </c>
      <c r="F131" s="149" t="s">
        <v>65</v>
      </c>
      <c r="G131" s="148">
        <f>2*5</f>
        <v>10</v>
      </c>
      <c r="H131" s="510">
        <v>9</v>
      </c>
      <c r="I131" s="299" t="str">
        <f t="shared" si="30"/>
        <v/>
      </c>
      <c r="J131" s="297" t="str">
        <f t="shared" si="31"/>
        <v/>
      </c>
      <c r="K131" s="297" t="str">
        <f t="shared" si="32"/>
        <v/>
      </c>
      <c r="L131" s="297">
        <f t="shared" si="33"/>
        <v>90</v>
      </c>
      <c r="M131" s="297" t="str">
        <f t="shared" si="34"/>
        <v/>
      </c>
      <c r="N131" s="297" t="str">
        <f t="shared" si="35"/>
        <v/>
      </c>
      <c r="O131" s="297" t="str">
        <f t="shared" si="40"/>
        <v/>
      </c>
      <c r="P131" s="282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</row>
    <row r="132" spans="1:28" ht="15" hidden="1" customHeight="1" outlineLevel="1" x14ac:dyDescent="0.25">
      <c r="A132" s="500"/>
      <c r="B132" s="499" t="s">
        <v>602</v>
      </c>
      <c r="C132" s="378"/>
      <c r="D132" s="166" t="s">
        <v>8</v>
      </c>
      <c r="E132" s="148">
        <v>1</v>
      </c>
      <c r="F132" s="149" t="s">
        <v>64</v>
      </c>
      <c r="G132" s="148">
        <v>20</v>
      </c>
      <c r="H132" s="510">
        <f>2*1.72</f>
        <v>3.44</v>
      </c>
      <c r="I132" s="299" t="str">
        <f t="shared" si="30"/>
        <v/>
      </c>
      <c r="J132" s="297" t="str">
        <f t="shared" si="31"/>
        <v/>
      </c>
      <c r="K132" s="297">
        <f t="shared" si="32"/>
        <v>68.8</v>
      </c>
      <c r="L132" s="297" t="str">
        <f t="shared" si="33"/>
        <v/>
      </c>
      <c r="M132" s="297" t="str">
        <f t="shared" si="34"/>
        <v/>
      </c>
      <c r="N132" s="297" t="str">
        <f t="shared" si="35"/>
        <v/>
      </c>
      <c r="O132" s="297" t="str">
        <f t="shared" si="40"/>
        <v/>
      </c>
      <c r="P132" s="282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</row>
    <row r="133" spans="1:28" ht="15" hidden="1" customHeight="1" outlineLevel="1" x14ac:dyDescent="0.25">
      <c r="A133" s="500"/>
      <c r="B133" s="499" t="s">
        <v>600</v>
      </c>
      <c r="C133" s="378"/>
      <c r="D133" s="166"/>
      <c r="E133" s="148"/>
      <c r="F133" s="149"/>
      <c r="G133" s="148"/>
      <c r="H133" s="510"/>
      <c r="I133" s="299" t="str">
        <f t="shared" si="30"/>
        <v/>
      </c>
      <c r="J133" s="297" t="str">
        <f t="shared" si="31"/>
        <v/>
      </c>
      <c r="K133" s="297" t="str">
        <f t="shared" si="32"/>
        <v/>
      </c>
      <c r="L133" s="297" t="str">
        <f t="shared" si="33"/>
        <v/>
      </c>
      <c r="M133" s="297" t="str">
        <f t="shared" si="34"/>
        <v/>
      </c>
      <c r="N133" s="297" t="str">
        <f t="shared" si="35"/>
        <v/>
      </c>
      <c r="O133" s="297" t="str">
        <f t="shared" si="40"/>
        <v/>
      </c>
      <c r="P133" s="282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</row>
    <row r="134" spans="1:28" ht="15" hidden="1" customHeight="1" outlineLevel="1" x14ac:dyDescent="0.25">
      <c r="A134" s="500"/>
      <c r="B134" s="499" t="s">
        <v>432</v>
      </c>
      <c r="C134" s="378"/>
      <c r="D134" s="166" t="s">
        <v>8</v>
      </c>
      <c r="E134" s="148">
        <v>1</v>
      </c>
      <c r="F134" s="149" t="s">
        <v>66</v>
      </c>
      <c r="G134" s="148">
        <v>4</v>
      </c>
      <c r="H134" s="510">
        <v>9</v>
      </c>
      <c r="I134" s="299" t="str">
        <f t="shared" si="30"/>
        <v/>
      </c>
      <c r="J134" s="297" t="str">
        <f t="shared" si="31"/>
        <v/>
      </c>
      <c r="K134" s="297" t="str">
        <f t="shared" si="32"/>
        <v/>
      </c>
      <c r="L134" s="297" t="str">
        <f t="shared" si="33"/>
        <v/>
      </c>
      <c r="M134" s="297">
        <f t="shared" si="34"/>
        <v>36</v>
      </c>
      <c r="N134" s="297" t="str">
        <f t="shared" si="35"/>
        <v/>
      </c>
      <c r="O134" s="297" t="str">
        <f t="shared" si="40"/>
        <v/>
      </c>
      <c r="P134" s="282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</row>
    <row r="135" spans="1:28" ht="15" hidden="1" customHeight="1" outlineLevel="1" x14ac:dyDescent="0.25">
      <c r="A135" s="500"/>
      <c r="B135" s="499" t="s">
        <v>400</v>
      </c>
      <c r="C135" s="378"/>
      <c r="D135" s="166" t="s">
        <v>8</v>
      </c>
      <c r="E135" s="148">
        <v>1</v>
      </c>
      <c r="F135" s="149" t="s">
        <v>64</v>
      </c>
      <c r="G135" s="148">
        <v>23</v>
      </c>
      <c r="H135" s="510">
        <v>0.84</v>
      </c>
      <c r="I135" s="299" t="str">
        <f t="shared" si="30"/>
        <v/>
      </c>
      <c r="J135" s="297" t="str">
        <f>IF($F135=$J$6,$E135*$G135*$H135,"")</f>
        <v/>
      </c>
      <c r="K135" s="297">
        <f t="shared" si="32"/>
        <v>19.32</v>
      </c>
      <c r="L135" s="297" t="str">
        <f t="shared" si="33"/>
        <v/>
      </c>
      <c r="M135" s="297" t="str">
        <f t="shared" si="34"/>
        <v/>
      </c>
      <c r="N135" s="297" t="str">
        <f t="shared" si="35"/>
        <v/>
      </c>
      <c r="O135" s="297" t="str">
        <f t="shared" si="40"/>
        <v/>
      </c>
      <c r="P135" s="282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</row>
    <row r="136" spans="1:28" ht="15" hidden="1" customHeight="1" outlineLevel="1" x14ac:dyDescent="0.25">
      <c r="A136" s="500"/>
      <c r="B136" s="499" t="s">
        <v>601</v>
      </c>
      <c r="C136" s="378"/>
      <c r="D136" s="166"/>
      <c r="E136" s="148"/>
      <c r="F136" s="149"/>
      <c r="G136" s="148"/>
      <c r="H136" s="510"/>
      <c r="I136" s="299" t="str">
        <f t="shared" si="30"/>
        <v/>
      </c>
      <c r="J136" s="297" t="str">
        <f t="shared" si="31"/>
        <v/>
      </c>
      <c r="K136" s="297" t="str">
        <f t="shared" si="32"/>
        <v/>
      </c>
      <c r="L136" s="297" t="str">
        <f t="shared" si="33"/>
        <v/>
      </c>
      <c r="M136" s="297" t="str">
        <f t="shared" si="34"/>
        <v/>
      </c>
      <c r="N136" s="297" t="str">
        <f t="shared" si="35"/>
        <v/>
      </c>
      <c r="O136" s="297" t="str">
        <f t="shared" si="40"/>
        <v/>
      </c>
      <c r="P136" s="282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</row>
    <row r="137" spans="1:28" ht="15" hidden="1" customHeight="1" outlineLevel="1" x14ac:dyDescent="0.25">
      <c r="A137" s="500"/>
      <c r="B137" s="499" t="s">
        <v>603</v>
      </c>
      <c r="C137" s="378"/>
      <c r="D137" s="166" t="s">
        <v>8</v>
      </c>
      <c r="E137" s="148">
        <v>1</v>
      </c>
      <c r="F137" s="149" t="s">
        <v>66</v>
      </c>
      <c r="G137" s="148">
        <v>4</v>
      </c>
      <c r="H137" s="510">
        <v>9</v>
      </c>
      <c r="I137" s="299" t="str">
        <f t="shared" si="30"/>
        <v/>
      </c>
      <c r="J137" s="297" t="str">
        <f t="shared" si="31"/>
        <v/>
      </c>
      <c r="K137" s="297" t="str">
        <f t="shared" si="32"/>
        <v/>
      </c>
      <c r="L137" s="297" t="str">
        <f t="shared" si="33"/>
        <v/>
      </c>
      <c r="M137" s="297">
        <f t="shared" si="34"/>
        <v>36</v>
      </c>
      <c r="N137" s="297" t="str">
        <f t="shared" si="35"/>
        <v/>
      </c>
      <c r="O137" s="297" t="str">
        <f t="shared" si="40"/>
        <v/>
      </c>
      <c r="P137" s="282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</row>
    <row r="138" spans="1:28" ht="15" hidden="1" customHeight="1" outlineLevel="1" x14ac:dyDescent="0.25">
      <c r="A138" s="500"/>
      <c r="B138" s="499" t="s">
        <v>604</v>
      </c>
      <c r="C138" s="378"/>
      <c r="D138" s="166" t="s">
        <v>8</v>
      </c>
      <c r="E138" s="148">
        <v>1</v>
      </c>
      <c r="F138" s="149" t="s">
        <v>234</v>
      </c>
      <c r="G138" s="148">
        <v>4</v>
      </c>
      <c r="H138" s="510">
        <v>9</v>
      </c>
      <c r="I138" s="299" t="str">
        <f t="shared" si="30"/>
        <v/>
      </c>
      <c r="J138" s="297" t="str">
        <f t="shared" si="31"/>
        <v/>
      </c>
      <c r="K138" s="297" t="str">
        <f t="shared" si="32"/>
        <v/>
      </c>
      <c r="L138" s="297" t="str">
        <f t="shared" si="33"/>
        <v/>
      </c>
      <c r="M138" s="297" t="str">
        <f t="shared" si="34"/>
        <v/>
      </c>
      <c r="N138" s="297">
        <f t="shared" si="35"/>
        <v>36</v>
      </c>
      <c r="O138" s="297" t="str">
        <f t="shared" si="40"/>
        <v/>
      </c>
      <c r="P138" s="282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</row>
    <row r="139" spans="1:28" ht="15" hidden="1" customHeight="1" outlineLevel="1" x14ac:dyDescent="0.25">
      <c r="A139" s="500"/>
      <c r="B139" s="499" t="s">
        <v>400</v>
      </c>
      <c r="C139" s="378"/>
      <c r="D139" s="166" t="s">
        <v>8</v>
      </c>
      <c r="E139" s="148">
        <v>1</v>
      </c>
      <c r="F139" s="149" t="s">
        <v>64</v>
      </c>
      <c r="G139" s="148">
        <v>23</v>
      </c>
      <c r="H139" s="510">
        <v>1.34</v>
      </c>
      <c r="I139" s="299" t="str">
        <f t="shared" si="30"/>
        <v/>
      </c>
      <c r="J139" s="297" t="str">
        <f>IF($F139=$J$6,$E139*$G139*$H139,"")</f>
        <v/>
      </c>
      <c r="K139" s="297">
        <f t="shared" si="32"/>
        <v>30.82</v>
      </c>
      <c r="L139" s="297" t="str">
        <f t="shared" si="33"/>
        <v/>
      </c>
      <c r="M139" s="297" t="str">
        <f t="shared" si="34"/>
        <v/>
      </c>
      <c r="N139" s="297" t="str">
        <f t="shared" si="35"/>
        <v/>
      </c>
      <c r="O139" s="297" t="str">
        <f t="shared" si="40"/>
        <v/>
      </c>
      <c r="P139" s="282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</row>
    <row r="140" spans="1:28" ht="15" hidden="1" customHeight="1" outlineLevel="1" x14ac:dyDescent="0.25">
      <c r="A140" s="500"/>
      <c r="B140" s="499" t="s">
        <v>397</v>
      </c>
      <c r="C140" s="378"/>
      <c r="D140" s="166" t="s">
        <v>8</v>
      </c>
      <c r="E140" s="148">
        <v>1</v>
      </c>
      <c r="F140" s="149" t="s">
        <v>64</v>
      </c>
      <c r="G140" s="148">
        <v>23</v>
      </c>
      <c r="H140" s="510">
        <f>2*0.33</f>
        <v>0.66</v>
      </c>
      <c r="I140" s="299" t="str">
        <f t="shared" si="30"/>
        <v/>
      </c>
      <c r="J140" s="297" t="str">
        <f>IF($F140=$J$6,$E140*$G140*$H140,"")</f>
        <v/>
      </c>
      <c r="K140" s="297">
        <f t="shared" si="32"/>
        <v>15.180000000000001</v>
      </c>
      <c r="L140" s="297" t="str">
        <f t="shared" si="33"/>
        <v/>
      </c>
      <c r="M140" s="297" t="str">
        <f t="shared" si="34"/>
        <v/>
      </c>
      <c r="N140" s="297" t="str">
        <f t="shared" si="35"/>
        <v/>
      </c>
      <c r="O140" s="297" t="str">
        <f t="shared" si="40"/>
        <v/>
      </c>
      <c r="P140" s="282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</row>
    <row r="141" spans="1:28" ht="15" hidden="1" customHeight="1" outlineLevel="1" x14ac:dyDescent="0.25">
      <c r="A141" s="500"/>
      <c r="B141" s="499"/>
      <c r="C141" s="378"/>
      <c r="D141" s="472"/>
      <c r="E141" s="148"/>
      <c r="F141" s="149"/>
      <c r="G141" s="148"/>
      <c r="H141" s="510"/>
      <c r="I141" s="299" t="str">
        <f t="shared" si="30"/>
        <v/>
      </c>
      <c r="J141" s="297" t="str">
        <f t="shared" si="31"/>
        <v/>
      </c>
      <c r="K141" s="297" t="str">
        <f t="shared" si="32"/>
        <v/>
      </c>
      <c r="L141" s="297" t="str">
        <f t="shared" si="33"/>
        <v/>
      </c>
      <c r="M141" s="297" t="str">
        <f t="shared" si="34"/>
        <v/>
      </c>
      <c r="N141" s="297" t="str">
        <f t="shared" si="35"/>
        <v/>
      </c>
      <c r="O141" s="297" t="str">
        <f t="shared" si="40"/>
        <v/>
      </c>
      <c r="P141" s="282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</row>
    <row r="142" spans="1:28" ht="15" customHeight="1" collapsed="1" x14ac:dyDescent="0.25">
      <c r="A142" s="29"/>
      <c r="B142" s="828"/>
      <c r="C142" s="830"/>
      <c r="D142" s="173"/>
      <c r="E142" s="476"/>
      <c r="F142" s="476"/>
      <c r="G142" s="825"/>
      <c r="H142" s="825"/>
      <c r="I142" s="340">
        <f t="shared" ref="I142:O142" si="41">SUM(I96:I141)</f>
        <v>0</v>
      </c>
      <c r="J142" s="340">
        <f t="shared" si="41"/>
        <v>0</v>
      </c>
      <c r="K142" s="340">
        <f t="shared" si="41"/>
        <v>2336.0500000000002</v>
      </c>
      <c r="L142" s="340">
        <f t="shared" si="41"/>
        <v>90</v>
      </c>
      <c r="M142" s="340">
        <f t="shared" si="41"/>
        <v>954</v>
      </c>
      <c r="N142" s="340">
        <f t="shared" si="41"/>
        <v>36</v>
      </c>
      <c r="O142" s="340">
        <f t="shared" si="41"/>
        <v>0</v>
      </c>
      <c r="P142" s="337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</row>
    <row r="143" spans="1:28" ht="15" customHeight="1" x14ac:dyDescent="0.25">
      <c r="A143" s="31"/>
      <c r="B143" s="819"/>
      <c r="C143" s="820"/>
      <c r="D143" s="364"/>
      <c r="E143" s="473"/>
      <c r="F143" s="474"/>
      <c r="G143" s="823" t="s">
        <v>69</v>
      </c>
      <c r="H143" s="824"/>
      <c r="I143" s="339">
        <v>0.25</v>
      </c>
      <c r="J143" s="339">
        <v>3.97</v>
      </c>
      <c r="K143" s="339">
        <v>0.56000000000000005</v>
      </c>
      <c r="L143" s="339">
        <v>1.02</v>
      </c>
      <c r="M143" s="339">
        <v>1.56</v>
      </c>
      <c r="N143" s="339">
        <v>2.25</v>
      </c>
      <c r="O143" s="475">
        <v>0.39500000000000002</v>
      </c>
      <c r="P143" s="284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</row>
    <row r="144" spans="1:28" ht="15" customHeight="1" x14ac:dyDescent="0.25">
      <c r="A144" s="31"/>
      <c r="B144" s="819"/>
      <c r="C144" s="820"/>
      <c r="D144" s="32"/>
      <c r="E144" s="33"/>
      <c r="F144" s="34"/>
      <c r="G144" s="821" t="s">
        <v>70</v>
      </c>
      <c r="H144" s="822"/>
      <c r="I144" s="286">
        <f t="shared" ref="I144:O144" si="42">I142*I143</f>
        <v>0</v>
      </c>
      <c r="J144" s="286">
        <f t="shared" si="42"/>
        <v>0</v>
      </c>
      <c r="K144" s="286">
        <f t="shared" si="42"/>
        <v>1308.1880000000003</v>
      </c>
      <c r="L144" s="286">
        <f t="shared" si="42"/>
        <v>91.8</v>
      </c>
      <c r="M144" s="286">
        <f t="shared" si="42"/>
        <v>1488.24</v>
      </c>
      <c r="N144" s="286">
        <f t="shared" si="42"/>
        <v>81</v>
      </c>
      <c r="O144" s="286">
        <f t="shared" si="42"/>
        <v>0</v>
      </c>
      <c r="P144" s="283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</row>
    <row r="145" spans="1:28" ht="15" customHeight="1" x14ac:dyDescent="0.25">
      <c r="A145" s="31"/>
      <c r="B145" s="819"/>
      <c r="C145" s="820"/>
      <c r="D145" s="32"/>
      <c r="E145" s="33"/>
      <c r="F145" s="34"/>
      <c r="G145" s="821" t="s">
        <v>71</v>
      </c>
      <c r="H145" s="822"/>
      <c r="I145" s="286">
        <f t="shared" ref="I145:O145" si="43">ROUNDUP(I142*1.07/9,0)</f>
        <v>0</v>
      </c>
      <c r="J145" s="286">
        <f t="shared" si="43"/>
        <v>0</v>
      </c>
      <c r="K145" s="286">
        <f t="shared" si="43"/>
        <v>278</v>
      </c>
      <c r="L145" s="286">
        <f t="shared" si="43"/>
        <v>11</v>
      </c>
      <c r="M145" s="286">
        <f t="shared" si="43"/>
        <v>114</v>
      </c>
      <c r="N145" s="286">
        <f t="shared" si="43"/>
        <v>5</v>
      </c>
      <c r="O145" s="286">
        <f t="shared" si="43"/>
        <v>0</v>
      </c>
      <c r="P145" s="283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</row>
    <row r="146" spans="1:28" ht="15" customHeight="1" x14ac:dyDescent="0.25">
      <c r="A146" s="248" t="s">
        <v>53</v>
      </c>
      <c r="B146" s="812" t="s">
        <v>74</v>
      </c>
      <c r="C146" s="813"/>
      <c r="D146" s="249"/>
      <c r="E146" s="250"/>
      <c r="F146" s="250"/>
      <c r="G146" s="250"/>
      <c r="H146" s="253"/>
      <c r="I146" s="296"/>
      <c r="J146" s="296"/>
      <c r="K146" s="296"/>
      <c r="L146" s="296"/>
      <c r="M146" s="296"/>
      <c r="N146" s="296"/>
      <c r="O146" s="296"/>
      <c r="P146" s="296">
        <f>SUM(I178:O178)</f>
        <v>3014.4619000000002</v>
      </c>
      <c r="Q146" s="135"/>
      <c r="R146" s="135"/>
      <c r="S146" s="135"/>
      <c r="T146" s="135"/>
      <c r="U146" s="135"/>
      <c r="V146" s="135"/>
      <c r="W146" s="135"/>
      <c r="X146" s="135"/>
      <c r="Y146" s="135"/>
      <c r="Z146" s="135"/>
      <c r="AA146" s="135"/>
      <c r="AB146" s="135"/>
    </row>
    <row r="147" spans="1:28" ht="16.5" customHeight="1" outlineLevel="1" x14ac:dyDescent="0.25">
      <c r="A147" s="467"/>
      <c r="B147" s="358" t="s">
        <v>239</v>
      </c>
      <c r="C147" s="359"/>
      <c r="D147" s="27"/>
      <c r="E147" s="28"/>
      <c r="F147" s="27"/>
      <c r="G147" s="28"/>
      <c r="H147" s="28"/>
      <c r="I147" s="297" t="str">
        <f t="shared" ref="I147:I175" si="44">IF($F147=$I$6,$E147*$G147*$H147,"")</f>
        <v/>
      </c>
      <c r="J147" s="297" t="str">
        <f t="shared" ref="J147:J175" si="45">IF($F147=$J$6,$E147*$G147*$H147,"")</f>
        <v/>
      </c>
      <c r="K147" s="297" t="str">
        <f t="shared" ref="K147:K175" si="46">IF($F147=$K$6,$E147*$G147*$H147,"")</f>
        <v/>
      </c>
      <c r="L147" s="297" t="str">
        <f t="shared" ref="L147:L175" si="47">IF($F147=$L$6,$E147*$G147*$H147,"")</f>
        <v/>
      </c>
      <c r="M147" s="297" t="str">
        <f t="shared" ref="M147:M175" si="48">IF($F147=$M$6,$E147*$G147*$H147,"")</f>
        <v/>
      </c>
      <c r="N147" s="297" t="str">
        <f t="shared" ref="N147:N175" si="49">IF($F147=$N$6,$E147*$G147*$H147,"")</f>
        <v/>
      </c>
      <c r="O147" s="297" t="str">
        <f t="shared" ref="O147:O175" si="50">IF($F147=$O$6,$E147*$G147*$H147,"")</f>
        <v/>
      </c>
      <c r="P147" s="287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</row>
    <row r="148" spans="1:28" ht="16.5" customHeight="1" outlineLevel="1" x14ac:dyDescent="0.25">
      <c r="A148" s="154"/>
      <c r="B148" s="358" t="s">
        <v>385</v>
      </c>
      <c r="C148" s="359"/>
      <c r="D148" s="27" t="s">
        <v>8</v>
      </c>
      <c r="E148" s="28">
        <v>1</v>
      </c>
      <c r="F148" s="27" t="s">
        <v>64</v>
      </c>
      <c r="G148" s="28">
        <v>1</v>
      </c>
      <c r="H148" s="28">
        <v>7.6</v>
      </c>
      <c r="I148" s="297" t="str">
        <f t="shared" si="44"/>
        <v/>
      </c>
      <c r="J148" s="297" t="str">
        <f t="shared" si="45"/>
        <v/>
      </c>
      <c r="K148" s="297">
        <f t="shared" si="46"/>
        <v>7.6</v>
      </c>
      <c r="L148" s="297" t="str">
        <f t="shared" si="47"/>
        <v/>
      </c>
      <c r="M148" s="297" t="str">
        <f t="shared" si="48"/>
        <v/>
      </c>
      <c r="N148" s="297" t="str">
        <f t="shared" si="49"/>
        <v/>
      </c>
      <c r="O148" s="297" t="str">
        <f t="shared" si="50"/>
        <v/>
      </c>
      <c r="P148" s="287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</row>
    <row r="149" spans="1:28" ht="16.5" customHeight="1" outlineLevel="1" x14ac:dyDescent="0.25">
      <c r="A149" s="154"/>
      <c r="B149" s="358" t="s">
        <v>379</v>
      </c>
      <c r="C149" s="359"/>
      <c r="D149" s="27" t="s">
        <v>8</v>
      </c>
      <c r="E149" s="28">
        <v>1</v>
      </c>
      <c r="F149" s="27" t="s">
        <v>64</v>
      </c>
      <c r="G149" s="28">
        <v>1</v>
      </c>
      <c r="H149" s="28">
        <v>7.6</v>
      </c>
      <c r="I149" s="297" t="str">
        <f t="shared" si="44"/>
        <v/>
      </c>
      <c r="J149" s="297" t="str">
        <f t="shared" si="45"/>
        <v/>
      </c>
      <c r="K149" s="297">
        <f t="shared" si="46"/>
        <v>7.6</v>
      </c>
      <c r="L149" s="297" t="str">
        <f t="shared" si="47"/>
        <v/>
      </c>
      <c r="M149" s="297" t="str">
        <f t="shared" si="48"/>
        <v/>
      </c>
      <c r="N149" s="297" t="str">
        <f t="shared" si="49"/>
        <v/>
      </c>
      <c r="O149" s="297" t="str">
        <f t="shared" si="50"/>
        <v/>
      </c>
      <c r="P149" s="287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</row>
    <row r="150" spans="1:28" ht="16.5" customHeight="1" outlineLevel="1" x14ac:dyDescent="0.25">
      <c r="A150" s="26"/>
      <c r="B150" s="358" t="s">
        <v>73</v>
      </c>
      <c r="C150" s="359"/>
      <c r="D150" s="27" t="s">
        <v>8</v>
      </c>
      <c r="E150" s="28">
        <v>1</v>
      </c>
      <c r="F150" s="27" t="s">
        <v>514</v>
      </c>
      <c r="G150" s="28">
        <v>37</v>
      </c>
      <c r="H150" s="28">
        <v>0.6</v>
      </c>
      <c r="I150" s="297">
        <f t="shared" si="44"/>
        <v>22.2</v>
      </c>
      <c r="J150" s="297" t="str">
        <f t="shared" si="45"/>
        <v/>
      </c>
      <c r="K150" s="297" t="str">
        <f t="shared" si="46"/>
        <v/>
      </c>
      <c r="L150" s="297" t="str">
        <f t="shared" si="47"/>
        <v/>
      </c>
      <c r="M150" s="297" t="str">
        <f t="shared" si="48"/>
        <v/>
      </c>
      <c r="N150" s="297" t="str">
        <f t="shared" si="49"/>
        <v/>
      </c>
      <c r="O150" s="297" t="str">
        <f t="shared" si="50"/>
        <v/>
      </c>
      <c r="P150" s="287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</row>
    <row r="151" spans="1:28" ht="16.5" customHeight="1" outlineLevel="1" x14ac:dyDescent="0.25">
      <c r="A151" s="481"/>
      <c r="B151" s="358" t="s">
        <v>544</v>
      </c>
      <c r="C151" s="359"/>
      <c r="D151" s="27"/>
      <c r="E151" s="28"/>
      <c r="F151" s="27"/>
      <c r="G151" s="28"/>
      <c r="H151" s="28"/>
      <c r="I151" s="297" t="str">
        <f t="shared" si="44"/>
        <v/>
      </c>
      <c r="J151" s="297" t="str">
        <f t="shared" si="45"/>
        <v/>
      </c>
      <c r="K151" s="297" t="str">
        <f t="shared" si="46"/>
        <v/>
      </c>
      <c r="L151" s="297" t="str">
        <f t="shared" si="47"/>
        <v/>
      </c>
      <c r="M151" s="297" t="str">
        <f t="shared" si="48"/>
        <v/>
      </c>
      <c r="N151" s="297" t="str">
        <f t="shared" si="49"/>
        <v/>
      </c>
      <c r="O151" s="297" t="str">
        <f t="shared" si="50"/>
        <v/>
      </c>
      <c r="P151" s="287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</row>
    <row r="152" spans="1:28" ht="16.5" customHeight="1" outlineLevel="1" x14ac:dyDescent="0.25">
      <c r="A152" s="26"/>
      <c r="B152" s="358" t="s">
        <v>385</v>
      </c>
      <c r="C152" s="359"/>
      <c r="D152" s="27" t="s">
        <v>8</v>
      </c>
      <c r="E152" s="28">
        <v>7</v>
      </c>
      <c r="F152" s="27" t="s">
        <v>66</v>
      </c>
      <c r="G152" s="28">
        <v>3</v>
      </c>
      <c r="H152" s="28">
        <v>5.25</v>
      </c>
      <c r="I152" s="297" t="str">
        <f t="shared" si="44"/>
        <v/>
      </c>
      <c r="J152" s="297" t="str">
        <f t="shared" si="45"/>
        <v/>
      </c>
      <c r="K152" s="297" t="str">
        <f t="shared" si="46"/>
        <v/>
      </c>
      <c r="L152" s="297" t="str">
        <f t="shared" si="47"/>
        <v/>
      </c>
      <c r="M152" s="297">
        <f t="shared" si="48"/>
        <v>110.25</v>
      </c>
      <c r="N152" s="297" t="str">
        <f t="shared" si="49"/>
        <v/>
      </c>
      <c r="O152" s="297" t="str">
        <f t="shared" si="50"/>
        <v/>
      </c>
      <c r="P152" s="287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</row>
    <row r="153" spans="1:28" ht="16.5" customHeight="1" outlineLevel="1" x14ac:dyDescent="0.25">
      <c r="A153" s="26"/>
      <c r="B153" s="358" t="s">
        <v>379</v>
      </c>
      <c r="C153" s="359"/>
      <c r="D153" s="27" t="s">
        <v>8</v>
      </c>
      <c r="E153" s="28">
        <v>7</v>
      </c>
      <c r="F153" s="27" t="s">
        <v>66</v>
      </c>
      <c r="G153" s="28">
        <v>3</v>
      </c>
      <c r="H153" s="28">
        <v>5.25</v>
      </c>
      <c r="I153" s="297" t="str">
        <f t="shared" si="44"/>
        <v/>
      </c>
      <c r="J153" s="297" t="str">
        <f t="shared" si="45"/>
        <v/>
      </c>
      <c r="K153" s="297" t="str">
        <f t="shared" si="46"/>
        <v/>
      </c>
      <c r="L153" s="297" t="str">
        <f t="shared" si="47"/>
        <v/>
      </c>
      <c r="M153" s="297">
        <f t="shared" si="48"/>
        <v>110.25</v>
      </c>
      <c r="N153" s="297" t="str">
        <f t="shared" si="49"/>
        <v/>
      </c>
      <c r="O153" s="297" t="str">
        <f t="shared" si="50"/>
        <v/>
      </c>
      <c r="P153" s="287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</row>
    <row r="154" spans="1:28" ht="16.5" customHeight="1" outlineLevel="1" x14ac:dyDescent="0.25">
      <c r="A154" s="154"/>
      <c r="B154" s="358" t="s">
        <v>73</v>
      </c>
      <c r="C154" s="359"/>
      <c r="D154" s="27" t="s">
        <v>8</v>
      </c>
      <c r="E154" s="28">
        <v>7</v>
      </c>
      <c r="F154" s="27" t="s">
        <v>63</v>
      </c>
      <c r="G154" s="28">
        <v>31</v>
      </c>
      <c r="H154" s="28">
        <v>1.35</v>
      </c>
      <c r="I154" s="297" t="str">
        <f t="shared" si="44"/>
        <v/>
      </c>
      <c r="J154" s="297">
        <f t="shared" si="45"/>
        <v>292.95000000000005</v>
      </c>
      <c r="K154" s="297" t="str">
        <f t="shared" si="46"/>
        <v/>
      </c>
      <c r="L154" s="297" t="str">
        <f t="shared" si="47"/>
        <v/>
      </c>
      <c r="M154" s="297" t="str">
        <f t="shared" si="48"/>
        <v/>
      </c>
      <c r="N154" s="297" t="str">
        <f t="shared" si="49"/>
        <v/>
      </c>
      <c r="O154" s="297" t="str">
        <f t="shared" si="50"/>
        <v/>
      </c>
      <c r="P154" s="287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</row>
    <row r="155" spans="1:28" ht="16.5" customHeight="1" outlineLevel="1" x14ac:dyDescent="0.25">
      <c r="A155" s="481"/>
      <c r="B155" s="358" t="s">
        <v>386</v>
      </c>
      <c r="C155" s="359"/>
      <c r="D155" s="27"/>
      <c r="E155" s="28"/>
      <c r="F155" s="27"/>
      <c r="G155" s="28"/>
      <c r="H155" s="28"/>
      <c r="I155" s="297" t="str">
        <f t="shared" si="44"/>
        <v/>
      </c>
      <c r="J155" s="297" t="str">
        <f t="shared" si="45"/>
        <v/>
      </c>
      <c r="K155" s="297" t="str">
        <f t="shared" si="46"/>
        <v/>
      </c>
      <c r="L155" s="297" t="str">
        <f t="shared" si="47"/>
        <v/>
      </c>
      <c r="M155" s="297" t="str">
        <f t="shared" si="48"/>
        <v/>
      </c>
      <c r="N155" s="297" t="str">
        <f t="shared" si="49"/>
        <v/>
      </c>
      <c r="O155" s="297" t="str">
        <f t="shared" si="50"/>
        <v/>
      </c>
      <c r="P155" s="287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</row>
    <row r="156" spans="1:28" ht="16.5" customHeight="1" outlineLevel="1" x14ac:dyDescent="0.25">
      <c r="A156" s="154"/>
      <c r="B156" s="358" t="s">
        <v>385</v>
      </c>
      <c r="C156" s="359"/>
      <c r="D156" s="27" t="s">
        <v>8</v>
      </c>
      <c r="E156" s="28">
        <v>1</v>
      </c>
      <c r="F156" s="27" t="s">
        <v>65</v>
      </c>
      <c r="G156" s="28">
        <v>2</v>
      </c>
      <c r="H156" s="28">
        <v>5</v>
      </c>
      <c r="I156" s="297" t="str">
        <f t="shared" si="44"/>
        <v/>
      </c>
      <c r="J156" s="297" t="str">
        <f t="shared" si="45"/>
        <v/>
      </c>
      <c r="K156" s="297" t="str">
        <f t="shared" si="46"/>
        <v/>
      </c>
      <c r="L156" s="297">
        <f t="shared" si="47"/>
        <v>10</v>
      </c>
      <c r="M156" s="297" t="str">
        <f t="shared" si="48"/>
        <v/>
      </c>
      <c r="N156" s="297" t="str">
        <f t="shared" si="49"/>
        <v/>
      </c>
      <c r="O156" s="297" t="str">
        <f t="shared" si="50"/>
        <v/>
      </c>
      <c r="P156" s="287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</row>
    <row r="157" spans="1:28" ht="16.5" customHeight="1" outlineLevel="1" x14ac:dyDescent="0.25">
      <c r="A157" s="26"/>
      <c r="B157" s="358" t="s">
        <v>379</v>
      </c>
      <c r="C157" s="359"/>
      <c r="D157" s="27" t="s">
        <v>8</v>
      </c>
      <c r="E157" s="28">
        <v>1</v>
      </c>
      <c r="F157" s="27" t="s">
        <v>65</v>
      </c>
      <c r="G157" s="28">
        <v>2</v>
      </c>
      <c r="H157" s="28">
        <v>5</v>
      </c>
      <c r="I157" s="297" t="str">
        <f t="shared" si="44"/>
        <v/>
      </c>
      <c r="J157" s="297" t="str">
        <f t="shared" si="45"/>
        <v/>
      </c>
      <c r="K157" s="297" t="str">
        <f t="shared" si="46"/>
        <v/>
      </c>
      <c r="L157" s="297">
        <f t="shared" si="47"/>
        <v>10</v>
      </c>
      <c r="M157" s="297" t="str">
        <f t="shared" si="48"/>
        <v/>
      </c>
      <c r="N157" s="297" t="str">
        <f t="shared" si="49"/>
        <v/>
      </c>
      <c r="O157" s="297" t="str">
        <f t="shared" si="50"/>
        <v/>
      </c>
      <c r="P157" s="287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</row>
    <row r="158" spans="1:28" ht="16.5" customHeight="1" outlineLevel="1" x14ac:dyDescent="0.25">
      <c r="A158" s="154"/>
      <c r="B158" s="358" t="s">
        <v>73</v>
      </c>
      <c r="C158" s="359"/>
      <c r="D158" s="27" t="s">
        <v>8</v>
      </c>
      <c r="E158" s="28">
        <v>1</v>
      </c>
      <c r="F158" s="27" t="s">
        <v>63</v>
      </c>
      <c r="G158" s="28">
        <v>27</v>
      </c>
      <c r="H158" s="28">
        <v>1.05</v>
      </c>
      <c r="I158" s="297" t="str">
        <f t="shared" si="44"/>
        <v/>
      </c>
      <c r="J158" s="297">
        <f t="shared" si="45"/>
        <v>28.35</v>
      </c>
      <c r="K158" s="297" t="str">
        <f t="shared" si="46"/>
        <v/>
      </c>
      <c r="L158" s="297" t="str">
        <f t="shared" si="47"/>
        <v/>
      </c>
      <c r="M158" s="297" t="str">
        <f t="shared" si="48"/>
        <v/>
      </c>
      <c r="N158" s="297" t="str">
        <f t="shared" si="49"/>
        <v/>
      </c>
      <c r="O158" s="297" t="str">
        <f t="shared" si="50"/>
        <v/>
      </c>
      <c r="P158" s="287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</row>
    <row r="159" spans="1:28" ht="16.5" customHeight="1" outlineLevel="1" x14ac:dyDescent="0.25">
      <c r="A159" s="481"/>
      <c r="B159" s="358" t="s">
        <v>583</v>
      </c>
      <c r="C159" s="359"/>
      <c r="D159" s="27"/>
      <c r="E159" s="28"/>
      <c r="F159" s="27"/>
      <c r="G159" s="28"/>
      <c r="H159" s="28"/>
      <c r="I159" s="297" t="str">
        <f t="shared" si="44"/>
        <v/>
      </c>
      <c r="J159" s="297" t="str">
        <f t="shared" si="45"/>
        <v/>
      </c>
      <c r="K159" s="297" t="str">
        <f t="shared" si="46"/>
        <v/>
      </c>
      <c r="L159" s="297" t="str">
        <f t="shared" si="47"/>
        <v/>
      </c>
      <c r="M159" s="297" t="str">
        <f t="shared" si="48"/>
        <v/>
      </c>
      <c r="N159" s="297" t="str">
        <f t="shared" si="49"/>
        <v/>
      </c>
      <c r="O159" s="297" t="str">
        <f t="shared" si="50"/>
        <v/>
      </c>
      <c r="P159" s="287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</row>
    <row r="160" spans="1:28" ht="16.5" customHeight="1" outlineLevel="1" x14ac:dyDescent="0.25">
      <c r="A160" s="26"/>
      <c r="B160" s="358" t="s">
        <v>385</v>
      </c>
      <c r="C160" s="359"/>
      <c r="D160" s="27" t="s">
        <v>8</v>
      </c>
      <c r="E160" s="28">
        <v>1</v>
      </c>
      <c r="F160" s="27" t="s">
        <v>66</v>
      </c>
      <c r="G160" s="28">
        <v>3</v>
      </c>
      <c r="H160" s="28">
        <v>4.9000000000000004</v>
      </c>
      <c r="I160" s="297" t="str">
        <f t="shared" si="44"/>
        <v/>
      </c>
      <c r="J160" s="297" t="str">
        <f t="shared" si="45"/>
        <v/>
      </c>
      <c r="K160" s="297" t="str">
        <f t="shared" si="46"/>
        <v/>
      </c>
      <c r="L160" s="297" t="str">
        <f t="shared" si="47"/>
        <v/>
      </c>
      <c r="M160" s="297">
        <f t="shared" si="48"/>
        <v>14.700000000000001</v>
      </c>
      <c r="N160" s="297" t="str">
        <f t="shared" si="49"/>
        <v/>
      </c>
      <c r="O160" s="297" t="str">
        <f t="shared" si="50"/>
        <v/>
      </c>
      <c r="P160" s="287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</row>
    <row r="161" spans="1:28" ht="16.5" customHeight="1" outlineLevel="1" x14ac:dyDescent="0.25">
      <c r="A161" s="26"/>
      <c r="B161" s="358" t="s">
        <v>379</v>
      </c>
      <c r="C161" s="359"/>
      <c r="D161" s="27" t="s">
        <v>8</v>
      </c>
      <c r="E161" s="28">
        <v>1</v>
      </c>
      <c r="F161" s="27" t="s">
        <v>66</v>
      </c>
      <c r="G161" s="28">
        <v>3</v>
      </c>
      <c r="H161" s="28">
        <v>4.9000000000000004</v>
      </c>
      <c r="I161" s="297" t="str">
        <f t="shared" si="44"/>
        <v/>
      </c>
      <c r="J161" s="297" t="str">
        <f t="shared" si="45"/>
        <v/>
      </c>
      <c r="K161" s="297" t="str">
        <f t="shared" si="46"/>
        <v/>
      </c>
      <c r="L161" s="297" t="str">
        <f t="shared" si="47"/>
        <v/>
      </c>
      <c r="M161" s="297">
        <f t="shared" si="48"/>
        <v>14.700000000000001</v>
      </c>
      <c r="N161" s="297" t="str">
        <f t="shared" si="49"/>
        <v/>
      </c>
      <c r="O161" s="297" t="str">
        <f t="shared" si="50"/>
        <v/>
      </c>
      <c r="P161" s="287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</row>
    <row r="162" spans="1:28" ht="16.5" customHeight="1" outlineLevel="1" x14ac:dyDescent="0.25">
      <c r="A162" s="26"/>
      <c r="B162" s="358" t="s">
        <v>73</v>
      </c>
      <c r="C162" s="359"/>
      <c r="D162" s="27" t="s">
        <v>8</v>
      </c>
      <c r="E162" s="28">
        <v>1</v>
      </c>
      <c r="F162" s="27" t="s">
        <v>63</v>
      </c>
      <c r="G162" s="28">
        <v>29</v>
      </c>
      <c r="H162" s="28">
        <v>1.1299999999999999</v>
      </c>
      <c r="I162" s="297" t="str">
        <f t="shared" si="44"/>
        <v/>
      </c>
      <c r="J162" s="297">
        <f t="shared" si="45"/>
        <v>32.769999999999996</v>
      </c>
      <c r="K162" s="297" t="str">
        <f t="shared" si="46"/>
        <v/>
      </c>
      <c r="L162" s="297" t="str">
        <f t="shared" si="47"/>
        <v/>
      </c>
      <c r="M162" s="297" t="str">
        <f t="shared" si="48"/>
        <v/>
      </c>
      <c r="N162" s="297" t="str">
        <f t="shared" si="49"/>
        <v/>
      </c>
      <c r="O162" s="297" t="str">
        <f t="shared" si="50"/>
        <v/>
      </c>
      <c r="P162" s="287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</row>
    <row r="163" spans="1:28" ht="16.5" customHeight="1" outlineLevel="1" x14ac:dyDescent="0.25">
      <c r="A163" s="481"/>
      <c r="B163" s="358" t="s">
        <v>582</v>
      </c>
      <c r="C163" s="359"/>
      <c r="D163" s="27"/>
      <c r="E163" s="28"/>
      <c r="F163" s="27"/>
      <c r="G163" s="28"/>
      <c r="H163" s="28"/>
      <c r="I163" s="297" t="str">
        <f t="shared" si="44"/>
        <v/>
      </c>
      <c r="J163" s="297" t="str">
        <f t="shared" si="45"/>
        <v/>
      </c>
      <c r="K163" s="297" t="str">
        <f t="shared" si="46"/>
        <v/>
      </c>
      <c r="L163" s="297" t="str">
        <f t="shared" si="47"/>
        <v/>
      </c>
      <c r="M163" s="297" t="str">
        <f t="shared" si="48"/>
        <v/>
      </c>
      <c r="N163" s="297" t="str">
        <f t="shared" si="49"/>
        <v/>
      </c>
      <c r="O163" s="297" t="str">
        <f t="shared" si="50"/>
        <v/>
      </c>
      <c r="P163" s="287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</row>
    <row r="164" spans="1:28" ht="16.5" customHeight="1" outlineLevel="1" x14ac:dyDescent="0.25">
      <c r="A164" s="26"/>
      <c r="B164" s="358" t="s">
        <v>385</v>
      </c>
      <c r="C164" s="359"/>
      <c r="D164" s="27" t="s">
        <v>8</v>
      </c>
      <c r="E164" s="28">
        <v>2</v>
      </c>
      <c r="F164" s="27" t="s">
        <v>65</v>
      </c>
      <c r="G164" s="28">
        <v>2</v>
      </c>
      <c r="H164" s="28">
        <v>27</v>
      </c>
      <c r="I164" s="297" t="str">
        <f t="shared" si="44"/>
        <v/>
      </c>
      <c r="J164" s="297" t="str">
        <f t="shared" si="45"/>
        <v/>
      </c>
      <c r="K164" s="297" t="str">
        <f t="shared" si="46"/>
        <v/>
      </c>
      <c r="L164" s="297">
        <f t="shared" si="47"/>
        <v>108</v>
      </c>
      <c r="M164" s="297" t="str">
        <f t="shared" si="48"/>
        <v/>
      </c>
      <c r="N164" s="297" t="str">
        <f t="shared" si="49"/>
        <v/>
      </c>
      <c r="O164" s="297" t="str">
        <f t="shared" si="50"/>
        <v/>
      </c>
      <c r="P164" s="287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</row>
    <row r="165" spans="1:28" ht="16.5" customHeight="1" outlineLevel="1" x14ac:dyDescent="0.25">
      <c r="A165" s="26"/>
      <c r="B165" s="358" t="s">
        <v>379</v>
      </c>
      <c r="C165" s="359"/>
      <c r="D165" s="27" t="s">
        <v>8</v>
      </c>
      <c r="E165" s="28">
        <v>2</v>
      </c>
      <c r="F165" s="27" t="s">
        <v>65</v>
      </c>
      <c r="G165" s="28">
        <v>2</v>
      </c>
      <c r="H165" s="28">
        <v>27</v>
      </c>
      <c r="I165" s="297" t="str">
        <f t="shared" si="44"/>
        <v/>
      </c>
      <c r="J165" s="297" t="str">
        <f t="shared" si="45"/>
        <v/>
      </c>
      <c r="K165" s="297" t="str">
        <f t="shared" si="46"/>
        <v/>
      </c>
      <c r="L165" s="297">
        <f t="shared" si="47"/>
        <v>108</v>
      </c>
      <c r="M165" s="297" t="str">
        <f t="shared" si="48"/>
        <v/>
      </c>
      <c r="N165" s="297" t="str">
        <f t="shared" si="49"/>
        <v/>
      </c>
      <c r="O165" s="297" t="str">
        <f t="shared" si="50"/>
        <v/>
      </c>
      <c r="P165" s="287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</row>
    <row r="166" spans="1:28" ht="16.5" customHeight="1" outlineLevel="1" x14ac:dyDescent="0.25">
      <c r="A166" s="26"/>
      <c r="B166" s="358" t="s">
        <v>73</v>
      </c>
      <c r="C166" s="359"/>
      <c r="D166" s="27" t="s">
        <v>8</v>
      </c>
      <c r="E166" s="28">
        <v>2</v>
      </c>
      <c r="F166" s="27" t="s">
        <v>514</v>
      </c>
      <c r="G166" s="28">
        <v>151</v>
      </c>
      <c r="H166" s="28">
        <v>1.01</v>
      </c>
      <c r="I166" s="297">
        <f t="shared" si="44"/>
        <v>305.02</v>
      </c>
      <c r="J166" s="297" t="str">
        <f t="shared" si="45"/>
        <v/>
      </c>
      <c r="K166" s="297" t="str">
        <f t="shared" si="46"/>
        <v/>
      </c>
      <c r="L166" s="297" t="str">
        <f t="shared" si="47"/>
        <v/>
      </c>
      <c r="M166" s="297" t="str">
        <f t="shared" si="48"/>
        <v/>
      </c>
      <c r="N166" s="297" t="str">
        <f t="shared" si="49"/>
        <v/>
      </c>
      <c r="O166" s="297" t="str">
        <f t="shared" si="50"/>
        <v/>
      </c>
      <c r="P166" s="287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</row>
    <row r="167" spans="1:28" ht="16.5" customHeight="1" outlineLevel="1" x14ac:dyDescent="0.25">
      <c r="A167" s="481"/>
      <c r="B167" s="358" t="s">
        <v>238</v>
      </c>
      <c r="C167" s="359"/>
      <c r="D167" s="27"/>
      <c r="E167" s="28"/>
      <c r="F167" s="27"/>
      <c r="G167" s="28"/>
      <c r="H167" s="28"/>
      <c r="I167" s="297" t="str">
        <f t="shared" si="44"/>
        <v/>
      </c>
      <c r="J167" s="297" t="str">
        <f t="shared" si="45"/>
        <v/>
      </c>
      <c r="K167" s="297" t="str">
        <f t="shared" si="46"/>
        <v/>
      </c>
      <c r="L167" s="297" t="str">
        <f t="shared" si="47"/>
        <v/>
      </c>
      <c r="M167" s="297" t="str">
        <f t="shared" si="48"/>
        <v/>
      </c>
      <c r="N167" s="297" t="str">
        <f t="shared" si="49"/>
        <v/>
      </c>
      <c r="O167" s="297" t="str">
        <f t="shared" si="50"/>
        <v/>
      </c>
      <c r="P167" s="287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</row>
    <row r="168" spans="1:28" ht="16.5" customHeight="1" outlineLevel="1" x14ac:dyDescent="0.25">
      <c r="A168" s="26"/>
      <c r="B168" s="358" t="s">
        <v>385</v>
      </c>
      <c r="C168" s="359"/>
      <c r="D168" s="27" t="s">
        <v>8</v>
      </c>
      <c r="E168" s="28">
        <v>8</v>
      </c>
      <c r="F168" s="27" t="s">
        <v>65</v>
      </c>
      <c r="G168" s="28">
        <v>2</v>
      </c>
      <c r="H168" s="28">
        <v>5</v>
      </c>
      <c r="I168" s="297" t="str">
        <f t="shared" si="44"/>
        <v/>
      </c>
      <c r="J168" s="297" t="str">
        <f t="shared" si="45"/>
        <v/>
      </c>
      <c r="K168" s="297" t="str">
        <f t="shared" si="46"/>
        <v/>
      </c>
      <c r="L168" s="297">
        <f t="shared" si="47"/>
        <v>80</v>
      </c>
      <c r="M168" s="297" t="str">
        <f t="shared" si="48"/>
        <v/>
      </c>
      <c r="N168" s="297" t="str">
        <f t="shared" si="49"/>
        <v/>
      </c>
      <c r="O168" s="297" t="str">
        <f t="shared" si="50"/>
        <v/>
      </c>
      <c r="P168" s="287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</row>
    <row r="169" spans="1:28" ht="16.5" customHeight="1" outlineLevel="1" x14ac:dyDescent="0.25">
      <c r="A169" s="26"/>
      <c r="B169" s="358" t="s">
        <v>379</v>
      </c>
      <c r="C169" s="359"/>
      <c r="D169" s="27" t="s">
        <v>8</v>
      </c>
      <c r="E169" s="28">
        <v>8</v>
      </c>
      <c r="F169" s="27" t="s">
        <v>65</v>
      </c>
      <c r="G169" s="28">
        <v>2</v>
      </c>
      <c r="H169" s="28">
        <v>5</v>
      </c>
      <c r="I169" s="297" t="str">
        <f t="shared" si="44"/>
        <v/>
      </c>
      <c r="J169" s="297" t="str">
        <f t="shared" si="45"/>
        <v/>
      </c>
      <c r="K169" s="297" t="str">
        <f t="shared" si="46"/>
        <v/>
      </c>
      <c r="L169" s="297">
        <f t="shared" si="47"/>
        <v>80</v>
      </c>
      <c r="M169" s="297" t="str">
        <f t="shared" si="48"/>
        <v/>
      </c>
      <c r="N169" s="297" t="str">
        <f t="shared" si="49"/>
        <v/>
      </c>
      <c r="O169" s="297" t="str">
        <f t="shared" si="50"/>
        <v/>
      </c>
      <c r="P169" s="287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</row>
    <row r="170" spans="1:28" ht="16.5" customHeight="1" outlineLevel="1" x14ac:dyDescent="0.25">
      <c r="A170" s="26"/>
      <c r="B170" s="358" t="s">
        <v>73</v>
      </c>
      <c r="C170" s="359"/>
      <c r="D170" s="27" t="s">
        <v>8</v>
      </c>
      <c r="E170" s="28">
        <v>8</v>
      </c>
      <c r="F170" s="27" t="s">
        <v>63</v>
      </c>
      <c r="G170" s="28">
        <v>26</v>
      </c>
      <c r="H170" s="28">
        <v>0.85</v>
      </c>
      <c r="I170" s="297" t="str">
        <f t="shared" si="44"/>
        <v/>
      </c>
      <c r="J170" s="297">
        <f t="shared" si="45"/>
        <v>176.79999999999998</v>
      </c>
      <c r="K170" s="297" t="str">
        <f t="shared" si="46"/>
        <v/>
      </c>
      <c r="L170" s="297" t="str">
        <f t="shared" si="47"/>
        <v/>
      </c>
      <c r="M170" s="297" t="str">
        <f t="shared" si="48"/>
        <v/>
      </c>
      <c r="N170" s="297" t="str">
        <f t="shared" si="49"/>
        <v/>
      </c>
      <c r="O170" s="297" t="str">
        <f t="shared" si="50"/>
        <v/>
      </c>
      <c r="P170" s="287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</row>
    <row r="171" spans="1:28" ht="16.5" customHeight="1" outlineLevel="1" x14ac:dyDescent="0.25">
      <c r="A171" s="481"/>
      <c r="B171" s="358" t="s">
        <v>545</v>
      </c>
      <c r="C171" s="359"/>
      <c r="D171" s="27"/>
      <c r="E171" s="28"/>
      <c r="F171" s="27"/>
      <c r="G171" s="28"/>
      <c r="H171" s="28"/>
      <c r="I171" s="297" t="str">
        <f t="shared" si="44"/>
        <v/>
      </c>
      <c r="J171" s="297" t="str">
        <f t="shared" si="45"/>
        <v/>
      </c>
      <c r="K171" s="297" t="str">
        <f t="shared" si="46"/>
        <v/>
      </c>
      <c r="L171" s="297" t="str">
        <f t="shared" si="47"/>
        <v/>
      </c>
      <c r="M171" s="297" t="str">
        <f t="shared" si="48"/>
        <v/>
      </c>
      <c r="N171" s="297" t="str">
        <f t="shared" si="49"/>
        <v/>
      </c>
      <c r="O171" s="297" t="str">
        <f t="shared" si="50"/>
        <v/>
      </c>
      <c r="P171" s="287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</row>
    <row r="172" spans="1:28" ht="16.5" customHeight="1" outlineLevel="1" x14ac:dyDescent="0.25">
      <c r="A172" s="26"/>
      <c r="B172" s="358" t="s">
        <v>385</v>
      </c>
      <c r="C172" s="359"/>
      <c r="D172" s="27" t="s">
        <v>8</v>
      </c>
      <c r="E172" s="28">
        <v>2</v>
      </c>
      <c r="F172" s="27" t="s">
        <v>65</v>
      </c>
      <c r="G172" s="28">
        <v>2</v>
      </c>
      <c r="H172" s="28">
        <v>2.2000000000000002</v>
      </c>
      <c r="I172" s="297" t="str">
        <f t="shared" si="44"/>
        <v/>
      </c>
      <c r="J172" s="297" t="str">
        <f t="shared" si="45"/>
        <v/>
      </c>
      <c r="K172" s="297" t="str">
        <f t="shared" si="46"/>
        <v/>
      </c>
      <c r="L172" s="297">
        <f t="shared" si="47"/>
        <v>8.8000000000000007</v>
      </c>
      <c r="M172" s="297" t="str">
        <f t="shared" si="48"/>
        <v/>
      </c>
      <c r="N172" s="297" t="str">
        <f t="shared" si="49"/>
        <v/>
      </c>
      <c r="O172" s="297" t="str">
        <f t="shared" si="50"/>
        <v/>
      </c>
      <c r="P172" s="287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</row>
    <row r="173" spans="1:28" ht="16.5" customHeight="1" outlineLevel="1" x14ac:dyDescent="0.25">
      <c r="A173" s="26"/>
      <c r="B173" s="358" t="s">
        <v>379</v>
      </c>
      <c r="C173" s="359"/>
      <c r="D173" s="27" t="s">
        <v>8</v>
      </c>
      <c r="E173" s="28">
        <v>2</v>
      </c>
      <c r="F173" s="27" t="s">
        <v>65</v>
      </c>
      <c r="G173" s="28">
        <v>2</v>
      </c>
      <c r="H173" s="28">
        <v>2.2000000000000002</v>
      </c>
      <c r="I173" s="297" t="str">
        <f t="shared" si="44"/>
        <v/>
      </c>
      <c r="J173" s="297" t="str">
        <f t="shared" si="45"/>
        <v/>
      </c>
      <c r="K173" s="297" t="str">
        <f t="shared" si="46"/>
        <v/>
      </c>
      <c r="L173" s="297">
        <f t="shared" si="47"/>
        <v>8.8000000000000007</v>
      </c>
      <c r="M173" s="297" t="str">
        <f t="shared" si="48"/>
        <v/>
      </c>
      <c r="N173" s="297" t="str">
        <f t="shared" si="49"/>
        <v/>
      </c>
      <c r="O173" s="297" t="str">
        <f t="shared" si="50"/>
        <v/>
      </c>
      <c r="P173" s="287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</row>
    <row r="174" spans="1:28" ht="16.5" customHeight="1" outlineLevel="1" x14ac:dyDescent="0.25">
      <c r="A174" s="26"/>
      <c r="B174" s="358" t="s">
        <v>73</v>
      </c>
      <c r="C174" s="359"/>
      <c r="D174" s="27" t="s">
        <v>8</v>
      </c>
      <c r="E174" s="28">
        <v>2</v>
      </c>
      <c r="F174" s="27" t="s">
        <v>514</v>
      </c>
      <c r="G174" s="28">
        <v>15</v>
      </c>
      <c r="H174" s="28">
        <v>0.65</v>
      </c>
      <c r="I174" s="297">
        <f t="shared" si="44"/>
        <v>19.5</v>
      </c>
      <c r="J174" s="297" t="str">
        <f t="shared" si="45"/>
        <v/>
      </c>
      <c r="K174" s="297" t="str">
        <f t="shared" si="46"/>
        <v/>
      </c>
      <c r="L174" s="297" t="str">
        <f t="shared" si="47"/>
        <v/>
      </c>
      <c r="M174" s="297" t="str">
        <f t="shared" si="48"/>
        <v/>
      </c>
      <c r="N174" s="297" t="str">
        <f t="shared" si="49"/>
        <v/>
      </c>
      <c r="O174" s="297" t="str">
        <f t="shared" si="50"/>
        <v/>
      </c>
      <c r="P174" s="287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</row>
    <row r="175" spans="1:28" ht="16.5" customHeight="1" outlineLevel="1" x14ac:dyDescent="0.25">
      <c r="A175" s="26"/>
      <c r="B175" s="358"/>
      <c r="C175" s="359"/>
      <c r="D175" s="27"/>
      <c r="E175" s="28"/>
      <c r="F175" s="27"/>
      <c r="G175" s="28"/>
      <c r="H175" s="28"/>
      <c r="I175" s="297" t="str">
        <f t="shared" si="44"/>
        <v/>
      </c>
      <c r="J175" s="297" t="str">
        <f t="shared" si="45"/>
        <v/>
      </c>
      <c r="K175" s="297" t="str">
        <f t="shared" si="46"/>
        <v/>
      </c>
      <c r="L175" s="297" t="str">
        <f t="shared" si="47"/>
        <v/>
      </c>
      <c r="M175" s="297" t="str">
        <f t="shared" si="48"/>
        <v/>
      </c>
      <c r="N175" s="297" t="str">
        <f t="shared" si="49"/>
        <v/>
      </c>
      <c r="O175" s="297" t="str">
        <f t="shared" si="50"/>
        <v/>
      </c>
      <c r="P175" s="287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</row>
    <row r="176" spans="1:28" ht="16.5" customHeight="1" x14ac:dyDescent="0.25">
      <c r="A176" s="29"/>
      <c r="B176" s="819"/>
      <c r="C176" s="820"/>
      <c r="D176" s="29"/>
      <c r="E176" s="30"/>
      <c r="F176" s="30"/>
      <c r="G176" s="817" t="s">
        <v>68</v>
      </c>
      <c r="H176" s="818"/>
      <c r="I176" s="286">
        <f t="shared" ref="I176:O176" si="51">SUM(I147:I175)</f>
        <v>346.71999999999997</v>
      </c>
      <c r="J176" s="286">
        <f t="shared" si="51"/>
        <v>530.87</v>
      </c>
      <c r="K176" s="286">
        <f t="shared" si="51"/>
        <v>15.2</v>
      </c>
      <c r="L176" s="286">
        <f t="shared" si="51"/>
        <v>413.6</v>
      </c>
      <c r="M176" s="286">
        <f t="shared" si="51"/>
        <v>249.89999999999998</v>
      </c>
      <c r="N176" s="286">
        <f t="shared" si="51"/>
        <v>0</v>
      </c>
      <c r="O176" s="286">
        <f t="shared" si="51"/>
        <v>0</v>
      </c>
      <c r="P176" s="286"/>
      <c r="Q176" s="136"/>
      <c r="R176" s="136"/>
      <c r="S176" s="136"/>
      <c r="T176" s="136"/>
      <c r="U176" s="136"/>
      <c r="V176" s="136"/>
      <c r="W176" s="136"/>
      <c r="X176" s="136"/>
      <c r="Y176" s="136"/>
      <c r="Z176" s="136"/>
      <c r="AA176" s="136"/>
      <c r="AB176" s="136"/>
    </row>
    <row r="177" spans="1:28" ht="16.5" customHeight="1" x14ac:dyDescent="0.25">
      <c r="A177" s="31"/>
      <c r="B177" s="819"/>
      <c r="C177" s="820"/>
      <c r="D177" s="32"/>
      <c r="E177" s="33"/>
      <c r="F177" s="34"/>
      <c r="G177" s="821" t="s">
        <v>69</v>
      </c>
      <c r="H177" s="822"/>
      <c r="I177" s="298">
        <v>0.25</v>
      </c>
      <c r="J177" s="298">
        <v>3.97</v>
      </c>
      <c r="K177" s="298">
        <v>0.56000000000000005</v>
      </c>
      <c r="L177" s="298">
        <v>1.02</v>
      </c>
      <c r="M177" s="298">
        <v>1.56</v>
      </c>
      <c r="N177" s="298">
        <v>2.25</v>
      </c>
      <c r="O177" s="335">
        <v>0.39500000000000002</v>
      </c>
      <c r="P177" s="284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</row>
    <row r="178" spans="1:28" ht="15.75" customHeight="1" x14ac:dyDescent="0.25">
      <c r="A178" s="31"/>
      <c r="B178" s="819"/>
      <c r="C178" s="820"/>
      <c r="D178" s="32"/>
      <c r="E178" s="33"/>
      <c r="F178" s="34"/>
      <c r="G178" s="821" t="s">
        <v>70</v>
      </c>
      <c r="H178" s="822"/>
      <c r="I178" s="286">
        <f t="shared" ref="I178:O178" si="52">I176*I177</f>
        <v>86.679999999999993</v>
      </c>
      <c r="J178" s="286">
        <f t="shared" si="52"/>
        <v>2107.5539000000003</v>
      </c>
      <c r="K178" s="286">
        <f>K176*K177</f>
        <v>8.5120000000000005</v>
      </c>
      <c r="L178" s="286">
        <f t="shared" si="52"/>
        <v>421.87200000000001</v>
      </c>
      <c r="M178" s="286">
        <f>M176*M177</f>
        <v>389.84399999999999</v>
      </c>
      <c r="N178" s="286">
        <f t="shared" si="52"/>
        <v>0</v>
      </c>
      <c r="O178" s="286">
        <f t="shared" si="52"/>
        <v>0</v>
      </c>
      <c r="P178" s="283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  <c r="AA178" s="136"/>
      <c r="AB178" s="136"/>
    </row>
    <row r="179" spans="1:28" ht="15.6" customHeight="1" x14ac:dyDescent="0.25">
      <c r="A179" s="31"/>
      <c r="B179" s="819"/>
      <c r="C179" s="820"/>
      <c r="D179" s="32"/>
      <c r="E179" s="33"/>
      <c r="F179" s="34"/>
      <c r="G179" s="821" t="s">
        <v>71</v>
      </c>
      <c r="H179" s="822"/>
      <c r="I179" s="286">
        <f t="shared" ref="I179:O179" si="53">ROUNDUP(I176*1.07/9,0)</f>
        <v>42</v>
      </c>
      <c r="J179" s="286">
        <f t="shared" si="53"/>
        <v>64</v>
      </c>
      <c r="K179" s="286">
        <f>ROUNDUP(K176*1.07/9,0)</f>
        <v>2</v>
      </c>
      <c r="L179" s="286">
        <f t="shared" si="53"/>
        <v>50</v>
      </c>
      <c r="M179" s="286">
        <f t="shared" si="53"/>
        <v>30</v>
      </c>
      <c r="N179" s="286">
        <f t="shared" si="53"/>
        <v>0</v>
      </c>
      <c r="O179" s="286">
        <f t="shared" si="53"/>
        <v>0</v>
      </c>
      <c r="P179" s="283"/>
      <c r="Q179" s="136"/>
      <c r="R179" s="136"/>
      <c r="S179" s="136"/>
      <c r="T179" s="136"/>
      <c r="U179" s="136"/>
      <c r="V179" s="136"/>
      <c r="W179" s="136"/>
      <c r="X179" s="136"/>
      <c r="Y179" s="136"/>
      <c r="Z179" s="136"/>
      <c r="AA179" s="136"/>
      <c r="AB179" s="136"/>
    </row>
    <row r="180" spans="1:28" ht="15" customHeight="1" x14ac:dyDescent="0.25">
      <c r="A180" s="248" t="s">
        <v>53</v>
      </c>
      <c r="B180" s="812" t="s">
        <v>75</v>
      </c>
      <c r="C180" s="813"/>
      <c r="D180" s="249"/>
      <c r="E180" s="250"/>
      <c r="F180" s="250"/>
      <c r="G180" s="250"/>
      <c r="H180" s="253"/>
      <c r="I180" s="296"/>
      <c r="J180" s="296"/>
      <c r="K180" s="296"/>
      <c r="L180" s="296"/>
      <c r="M180" s="296"/>
      <c r="N180" s="296"/>
      <c r="O180" s="296"/>
      <c r="P180" s="296">
        <f>SUM(I220:O220)</f>
        <v>646.88810000000001</v>
      </c>
      <c r="Q180" s="135"/>
      <c r="R180" s="135"/>
      <c r="S180" s="135"/>
      <c r="T180" s="135"/>
      <c r="U180" s="135"/>
      <c r="V180" s="135"/>
      <c r="W180" s="135"/>
      <c r="X180" s="135"/>
      <c r="Y180" s="135"/>
      <c r="Z180" s="135"/>
      <c r="AA180" s="135"/>
      <c r="AB180" s="135"/>
    </row>
    <row r="181" spans="1:28" ht="16.5" hidden="1" customHeight="1" outlineLevel="1" x14ac:dyDescent="0.25">
      <c r="A181" s="480"/>
      <c r="B181" s="329" t="s">
        <v>558</v>
      </c>
      <c r="C181" s="330"/>
      <c r="D181" s="165"/>
      <c r="E181" s="134"/>
      <c r="F181" s="331"/>
      <c r="G181" s="134"/>
      <c r="H181" s="256"/>
      <c r="I181" s="297" t="str">
        <f t="shared" ref="I181:I217" si="54">IF($F181=$I$6,$E181*$G181*$H181,"")</f>
        <v/>
      </c>
      <c r="J181" s="297" t="str">
        <f t="shared" ref="J181:J217" si="55">IF($F181=$J$6,$E181*$G181*$H181,"")</f>
        <v/>
      </c>
      <c r="K181" s="297" t="str">
        <f t="shared" ref="K181:K217" si="56">IF($F181=$K$6,$E181*$G181*$H181,"")</f>
        <v/>
      </c>
      <c r="L181" s="297" t="str">
        <f t="shared" ref="L181:L217" si="57">IF($F181=$L$6,$E181*$G181*$H181,"")</f>
        <v/>
      </c>
      <c r="M181" s="282" t="str">
        <f t="shared" ref="M181:M217" si="58">IF($F181=$M$6,$E181*$G181*$H181,"")</f>
        <v/>
      </c>
      <c r="N181" s="282" t="str">
        <f t="shared" ref="N181:N217" si="59">IF($F181=$N$6,$E181*$G181*$H181,"")</f>
        <v/>
      </c>
      <c r="O181" s="282"/>
      <c r="P181" s="282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</row>
    <row r="182" spans="1:28" ht="16.5" hidden="1" customHeight="1" outlineLevel="1" x14ac:dyDescent="0.25">
      <c r="A182" s="351"/>
      <c r="B182" s="329" t="s">
        <v>522</v>
      </c>
      <c r="C182" s="330"/>
      <c r="D182" s="153" t="s">
        <v>8</v>
      </c>
      <c r="E182" s="134">
        <v>1</v>
      </c>
      <c r="F182" s="331" t="s">
        <v>65</v>
      </c>
      <c r="G182" s="134">
        <v>10</v>
      </c>
      <c r="H182" s="256">
        <v>8.94</v>
      </c>
      <c r="I182" s="297" t="str">
        <f t="shared" si="54"/>
        <v/>
      </c>
      <c r="J182" s="297" t="str">
        <f t="shared" si="55"/>
        <v/>
      </c>
      <c r="K182" s="297" t="str">
        <f t="shared" si="56"/>
        <v/>
      </c>
      <c r="L182" s="297">
        <f t="shared" si="57"/>
        <v>89.399999999999991</v>
      </c>
      <c r="M182" s="282" t="str">
        <f t="shared" si="58"/>
        <v/>
      </c>
      <c r="N182" s="282" t="str">
        <f t="shared" si="59"/>
        <v/>
      </c>
      <c r="O182" s="282"/>
      <c r="P182" s="282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</row>
    <row r="183" spans="1:28" ht="16.5" hidden="1" customHeight="1" outlineLevel="1" x14ac:dyDescent="0.25">
      <c r="A183" s="351"/>
      <c r="B183" s="329" t="s">
        <v>559</v>
      </c>
      <c r="C183" s="330"/>
      <c r="D183" s="153" t="s">
        <v>8</v>
      </c>
      <c r="E183" s="134">
        <v>1</v>
      </c>
      <c r="F183" s="331" t="s">
        <v>65</v>
      </c>
      <c r="G183" s="134">
        <v>10</v>
      </c>
      <c r="H183" s="256">
        <v>5.8</v>
      </c>
      <c r="I183" s="297" t="str">
        <f t="shared" si="54"/>
        <v/>
      </c>
      <c r="J183" s="297" t="str">
        <f t="shared" si="55"/>
        <v/>
      </c>
      <c r="K183" s="297" t="str">
        <f t="shared" si="56"/>
        <v/>
      </c>
      <c r="L183" s="297">
        <f t="shared" si="57"/>
        <v>58</v>
      </c>
      <c r="M183" s="282" t="str">
        <f t="shared" si="58"/>
        <v/>
      </c>
      <c r="N183" s="282" t="str">
        <f t="shared" si="59"/>
        <v/>
      </c>
      <c r="O183" s="282"/>
      <c r="P183" s="282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</row>
    <row r="184" spans="1:28" ht="16.5" hidden="1" customHeight="1" outlineLevel="1" x14ac:dyDescent="0.25">
      <c r="A184" s="351"/>
      <c r="B184" s="329" t="s">
        <v>560</v>
      </c>
      <c r="C184" s="330"/>
      <c r="D184" s="153" t="s">
        <v>8</v>
      </c>
      <c r="E184" s="134">
        <v>1</v>
      </c>
      <c r="F184" s="331" t="s">
        <v>514</v>
      </c>
      <c r="G184" s="134">
        <v>27</v>
      </c>
      <c r="H184" s="256">
        <v>5.12</v>
      </c>
      <c r="I184" s="297">
        <f t="shared" si="54"/>
        <v>138.24</v>
      </c>
      <c r="J184" s="297" t="str">
        <f t="shared" si="55"/>
        <v/>
      </c>
      <c r="K184" s="297" t="str">
        <f t="shared" si="56"/>
        <v/>
      </c>
      <c r="L184" s="297" t="str">
        <f t="shared" si="57"/>
        <v/>
      </c>
      <c r="M184" s="282" t="str">
        <f t="shared" si="58"/>
        <v/>
      </c>
      <c r="N184" s="282" t="str">
        <f t="shared" si="59"/>
        <v/>
      </c>
      <c r="O184" s="282"/>
      <c r="P184" s="282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</row>
    <row r="185" spans="1:28" ht="16.5" hidden="1" customHeight="1" outlineLevel="1" x14ac:dyDescent="0.25">
      <c r="A185" s="480"/>
      <c r="B185" s="329" t="s">
        <v>508</v>
      </c>
      <c r="C185" s="330"/>
      <c r="D185" s="165"/>
      <c r="E185" s="134"/>
      <c r="F185" s="331"/>
      <c r="G185" s="134"/>
      <c r="H185" s="256"/>
      <c r="I185" s="297" t="str">
        <f t="shared" si="54"/>
        <v/>
      </c>
      <c r="J185" s="297" t="str">
        <f t="shared" si="55"/>
        <v/>
      </c>
      <c r="K185" s="297" t="str">
        <f t="shared" si="56"/>
        <v/>
      </c>
      <c r="L185" s="297" t="str">
        <f t="shared" si="57"/>
        <v/>
      </c>
      <c r="M185" s="282" t="str">
        <f t="shared" si="58"/>
        <v/>
      </c>
      <c r="N185" s="282" t="str">
        <f t="shared" si="59"/>
        <v/>
      </c>
      <c r="O185" s="282"/>
      <c r="P185" s="282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</row>
    <row r="186" spans="1:28" ht="16.5" hidden="1" customHeight="1" outlineLevel="1" x14ac:dyDescent="0.25">
      <c r="A186" s="351"/>
      <c r="B186" s="329" t="s">
        <v>522</v>
      </c>
      <c r="C186" s="330"/>
      <c r="D186" s="153" t="s">
        <v>8</v>
      </c>
      <c r="E186" s="134">
        <v>1</v>
      </c>
      <c r="F186" s="331" t="s">
        <v>64</v>
      </c>
      <c r="G186" s="134">
        <v>5</v>
      </c>
      <c r="H186" s="256">
        <v>4</v>
      </c>
      <c r="I186" s="297" t="str">
        <f t="shared" si="54"/>
        <v/>
      </c>
      <c r="J186" s="297" t="str">
        <f t="shared" si="55"/>
        <v/>
      </c>
      <c r="K186" s="297">
        <f t="shared" si="56"/>
        <v>20</v>
      </c>
      <c r="L186" s="297" t="str">
        <f t="shared" si="57"/>
        <v/>
      </c>
      <c r="M186" s="282" t="str">
        <f t="shared" si="58"/>
        <v/>
      </c>
      <c r="N186" s="282" t="str">
        <f t="shared" si="59"/>
        <v/>
      </c>
      <c r="O186" s="282"/>
      <c r="P186" s="282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</row>
    <row r="187" spans="1:28" ht="16.5" hidden="1" customHeight="1" outlineLevel="1" x14ac:dyDescent="0.25">
      <c r="A187" s="351"/>
      <c r="B187" s="329" t="s">
        <v>559</v>
      </c>
      <c r="C187" s="330"/>
      <c r="D187" s="153" t="s">
        <v>8</v>
      </c>
      <c r="E187" s="134">
        <v>1</v>
      </c>
      <c r="F187" s="331" t="s">
        <v>64</v>
      </c>
      <c r="G187" s="134">
        <v>5</v>
      </c>
      <c r="H187" s="256">
        <v>3.04</v>
      </c>
      <c r="I187" s="297" t="str">
        <f t="shared" si="54"/>
        <v/>
      </c>
      <c r="J187" s="297" t="str">
        <f t="shared" si="55"/>
        <v/>
      </c>
      <c r="K187" s="297">
        <f t="shared" si="56"/>
        <v>15.2</v>
      </c>
      <c r="L187" s="297" t="str">
        <f t="shared" si="57"/>
        <v/>
      </c>
      <c r="M187" s="282" t="str">
        <f t="shared" si="58"/>
        <v/>
      </c>
      <c r="N187" s="282" t="str">
        <f t="shared" si="59"/>
        <v/>
      </c>
      <c r="O187" s="282"/>
      <c r="P187" s="282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</row>
    <row r="188" spans="1:28" ht="16.5" hidden="1" customHeight="1" outlineLevel="1" x14ac:dyDescent="0.25">
      <c r="A188" s="351"/>
      <c r="B188" s="329" t="s">
        <v>560</v>
      </c>
      <c r="C188" s="330"/>
      <c r="D188" s="153" t="s">
        <v>8</v>
      </c>
      <c r="E188" s="134">
        <v>1</v>
      </c>
      <c r="F188" s="331" t="s">
        <v>514</v>
      </c>
      <c r="G188" s="134">
        <v>17</v>
      </c>
      <c r="H188" s="256">
        <v>2.2000000000000002</v>
      </c>
      <c r="I188" s="297">
        <f t="shared" si="54"/>
        <v>37.400000000000006</v>
      </c>
      <c r="J188" s="297" t="str">
        <f t="shared" si="55"/>
        <v/>
      </c>
      <c r="K188" s="297" t="str">
        <f t="shared" si="56"/>
        <v/>
      </c>
      <c r="L188" s="297" t="str">
        <f t="shared" si="57"/>
        <v/>
      </c>
      <c r="M188" s="282" t="str">
        <f t="shared" si="58"/>
        <v/>
      </c>
      <c r="N188" s="282" t="str">
        <f t="shared" si="59"/>
        <v/>
      </c>
      <c r="O188" s="282"/>
      <c r="P188" s="282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</row>
    <row r="189" spans="1:28" ht="16.5" hidden="1" customHeight="1" outlineLevel="1" x14ac:dyDescent="0.25">
      <c r="A189" s="480"/>
      <c r="B189" s="329" t="s">
        <v>516</v>
      </c>
      <c r="C189" s="330"/>
      <c r="D189" s="165"/>
      <c r="E189" s="134"/>
      <c r="F189" s="331"/>
      <c r="G189" s="134"/>
      <c r="H189" s="256"/>
      <c r="I189" s="297" t="str">
        <f t="shared" si="54"/>
        <v/>
      </c>
      <c r="J189" s="297" t="str">
        <f t="shared" si="55"/>
        <v/>
      </c>
      <c r="K189" s="297" t="str">
        <f t="shared" si="56"/>
        <v/>
      </c>
      <c r="L189" s="297" t="str">
        <f t="shared" si="57"/>
        <v/>
      </c>
      <c r="M189" s="282" t="str">
        <f t="shared" si="58"/>
        <v/>
      </c>
      <c r="N189" s="282" t="str">
        <f t="shared" si="59"/>
        <v/>
      </c>
      <c r="O189" s="282"/>
      <c r="P189" s="282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</row>
    <row r="190" spans="1:28" ht="16.5" hidden="1" customHeight="1" outlineLevel="1" x14ac:dyDescent="0.25">
      <c r="A190" s="351"/>
      <c r="B190" s="329" t="s">
        <v>522</v>
      </c>
      <c r="C190" s="330"/>
      <c r="D190" s="153" t="s">
        <v>8</v>
      </c>
      <c r="E190" s="134">
        <v>1</v>
      </c>
      <c r="F190" s="331" t="s">
        <v>65</v>
      </c>
      <c r="G190" s="134">
        <v>7</v>
      </c>
      <c r="H190" s="256">
        <v>5.24</v>
      </c>
      <c r="I190" s="297" t="str">
        <f t="shared" si="54"/>
        <v/>
      </c>
      <c r="J190" s="297" t="str">
        <f t="shared" si="55"/>
        <v/>
      </c>
      <c r="K190" s="297" t="str">
        <f t="shared" si="56"/>
        <v/>
      </c>
      <c r="L190" s="297">
        <f t="shared" si="57"/>
        <v>36.68</v>
      </c>
      <c r="M190" s="282" t="str">
        <f t="shared" si="58"/>
        <v/>
      </c>
      <c r="N190" s="282" t="str">
        <f t="shared" si="59"/>
        <v/>
      </c>
      <c r="O190" s="282"/>
      <c r="P190" s="282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</row>
    <row r="191" spans="1:28" ht="16.5" hidden="1" customHeight="1" outlineLevel="1" x14ac:dyDescent="0.25">
      <c r="A191" s="351"/>
      <c r="B191" s="329" t="s">
        <v>559</v>
      </c>
      <c r="C191" s="330"/>
      <c r="D191" s="153" t="s">
        <v>8</v>
      </c>
      <c r="E191" s="134">
        <v>1</v>
      </c>
      <c r="F191" s="331" t="s">
        <v>65</v>
      </c>
      <c r="G191" s="134">
        <v>7</v>
      </c>
      <c r="H191" s="256">
        <v>3.04</v>
      </c>
      <c r="I191" s="297" t="str">
        <f t="shared" si="54"/>
        <v/>
      </c>
      <c r="J191" s="297" t="str">
        <f t="shared" si="55"/>
        <v/>
      </c>
      <c r="K191" s="297" t="str">
        <f t="shared" si="56"/>
        <v/>
      </c>
      <c r="L191" s="297">
        <f t="shared" si="57"/>
        <v>21.28</v>
      </c>
      <c r="M191" s="282" t="str">
        <f t="shared" si="58"/>
        <v/>
      </c>
      <c r="N191" s="282" t="str">
        <f t="shared" si="59"/>
        <v/>
      </c>
      <c r="O191" s="282"/>
      <c r="P191" s="282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</row>
    <row r="192" spans="1:28" ht="16.5" hidden="1" customHeight="1" outlineLevel="1" x14ac:dyDescent="0.25">
      <c r="A192" s="351"/>
      <c r="B192" s="329" t="s">
        <v>560</v>
      </c>
      <c r="C192" s="330"/>
      <c r="D192" s="153" t="s">
        <v>8</v>
      </c>
      <c r="E192" s="134">
        <v>1</v>
      </c>
      <c r="F192" s="331" t="s">
        <v>514</v>
      </c>
      <c r="G192" s="134">
        <v>23</v>
      </c>
      <c r="H192" s="256">
        <v>3.12</v>
      </c>
      <c r="I192" s="297">
        <f t="shared" si="54"/>
        <v>71.760000000000005</v>
      </c>
      <c r="J192" s="297" t="str">
        <f t="shared" si="55"/>
        <v/>
      </c>
      <c r="K192" s="297" t="str">
        <f t="shared" si="56"/>
        <v/>
      </c>
      <c r="L192" s="297" t="str">
        <f t="shared" si="57"/>
        <v/>
      </c>
      <c r="M192" s="282" t="str">
        <f t="shared" si="58"/>
        <v/>
      </c>
      <c r="N192" s="282" t="str">
        <f t="shared" si="59"/>
        <v/>
      </c>
      <c r="O192" s="282"/>
      <c r="P192" s="282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</row>
    <row r="193" spans="1:28" ht="16.5" hidden="1" customHeight="1" outlineLevel="1" x14ac:dyDescent="0.25">
      <c r="A193" s="480"/>
      <c r="B193" s="329" t="s">
        <v>547</v>
      </c>
      <c r="C193" s="330"/>
      <c r="D193" s="165"/>
      <c r="E193" s="134"/>
      <c r="F193" s="331"/>
      <c r="G193" s="134"/>
      <c r="H193" s="256"/>
      <c r="I193" s="297" t="str">
        <f t="shared" si="54"/>
        <v/>
      </c>
      <c r="J193" s="297" t="str">
        <f t="shared" si="55"/>
        <v/>
      </c>
      <c r="K193" s="297" t="str">
        <f t="shared" si="56"/>
        <v/>
      </c>
      <c r="L193" s="297" t="str">
        <f t="shared" si="57"/>
        <v/>
      </c>
      <c r="M193" s="282" t="str">
        <f t="shared" si="58"/>
        <v/>
      </c>
      <c r="N193" s="282" t="str">
        <f t="shared" si="59"/>
        <v/>
      </c>
      <c r="O193" s="282"/>
      <c r="P193" s="282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</row>
    <row r="194" spans="1:28" ht="16.5" hidden="1" customHeight="1" outlineLevel="1" x14ac:dyDescent="0.25">
      <c r="A194" s="351"/>
      <c r="B194" s="329" t="s">
        <v>522</v>
      </c>
      <c r="C194" s="330"/>
      <c r="D194" s="153" t="s">
        <v>8</v>
      </c>
      <c r="E194" s="134">
        <v>1</v>
      </c>
      <c r="F194" s="331" t="s">
        <v>64</v>
      </c>
      <c r="G194" s="134">
        <v>6</v>
      </c>
      <c r="H194" s="256">
        <v>3.1</v>
      </c>
      <c r="I194" s="297" t="str">
        <f t="shared" si="54"/>
        <v/>
      </c>
      <c r="J194" s="297" t="str">
        <f t="shared" si="55"/>
        <v/>
      </c>
      <c r="K194" s="297">
        <f t="shared" si="56"/>
        <v>18.600000000000001</v>
      </c>
      <c r="L194" s="297" t="str">
        <f t="shared" si="57"/>
        <v/>
      </c>
      <c r="M194" s="282" t="str">
        <f t="shared" si="58"/>
        <v/>
      </c>
      <c r="N194" s="282" t="str">
        <f t="shared" si="59"/>
        <v/>
      </c>
      <c r="O194" s="282"/>
      <c r="P194" s="282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</row>
    <row r="195" spans="1:28" ht="16.5" hidden="1" customHeight="1" outlineLevel="1" x14ac:dyDescent="0.25">
      <c r="A195" s="351"/>
      <c r="B195" s="329" t="s">
        <v>775</v>
      </c>
      <c r="C195" s="330"/>
      <c r="D195" s="153" t="s">
        <v>8</v>
      </c>
      <c r="E195" s="134">
        <v>1</v>
      </c>
      <c r="F195" s="331" t="s">
        <v>64</v>
      </c>
      <c r="G195" s="134">
        <v>6</v>
      </c>
      <c r="H195" s="256">
        <v>3.1</v>
      </c>
      <c r="I195" s="297" t="str">
        <f t="shared" si="54"/>
        <v/>
      </c>
      <c r="J195" s="297" t="str">
        <f t="shared" si="55"/>
        <v/>
      </c>
      <c r="K195" s="297">
        <f t="shared" si="56"/>
        <v>18.600000000000001</v>
      </c>
      <c r="L195" s="297" t="str">
        <f t="shared" si="57"/>
        <v/>
      </c>
      <c r="M195" s="282" t="str">
        <f t="shared" si="58"/>
        <v/>
      </c>
      <c r="N195" s="282" t="str">
        <f t="shared" si="59"/>
        <v/>
      </c>
      <c r="O195" s="282"/>
      <c r="P195" s="282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</row>
    <row r="196" spans="1:28" ht="16.5" hidden="1" customHeight="1" outlineLevel="1" x14ac:dyDescent="0.25">
      <c r="A196" s="351"/>
      <c r="B196" s="329" t="s">
        <v>560</v>
      </c>
      <c r="C196" s="330"/>
      <c r="D196" s="153" t="s">
        <v>8</v>
      </c>
      <c r="E196" s="134">
        <v>1</v>
      </c>
      <c r="F196" s="331" t="s">
        <v>514</v>
      </c>
      <c r="G196" s="134">
        <v>12</v>
      </c>
      <c r="H196" s="256">
        <v>2.42</v>
      </c>
      <c r="I196" s="297">
        <f t="shared" si="54"/>
        <v>29.04</v>
      </c>
      <c r="J196" s="297" t="str">
        <f t="shared" si="55"/>
        <v/>
      </c>
      <c r="K196" s="297" t="str">
        <f t="shared" si="56"/>
        <v/>
      </c>
      <c r="L196" s="297" t="str">
        <f t="shared" si="57"/>
        <v/>
      </c>
      <c r="M196" s="282" t="str">
        <f t="shared" si="58"/>
        <v/>
      </c>
      <c r="N196" s="282" t="str">
        <f t="shared" si="59"/>
        <v/>
      </c>
      <c r="O196" s="282"/>
      <c r="P196" s="282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</row>
    <row r="197" spans="1:28" ht="16.5" hidden="1" customHeight="1" outlineLevel="1" x14ac:dyDescent="0.25">
      <c r="A197" s="480"/>
      <c r="B197" s="329" t="s">
        <v>548</v>
      </c>
      <c r="C197" s="330"/>
      <c r="D197" s="165"/>
      <c r="E197" s="134"/>
      <c r="F197" s="331"/>
      <c r="G197" s="134"/>
      <c r="H197" s="256"/>
      <c r="I197" s="297" t="str">
        <f t="shared" si="54"/>
        <v/>
      </c>
      <c r="J197" s="297" t="str">
        <f t="shared" si="55"/>
        <v/>
      </c>
      <c r="K197" s="297" t="str">
        <f t="shared" si="56"/>
        <v/>
      </c>
      <c r="L197" s="297" t="str">
        <f t="shared" si="57"/>
        <v/>
      </c>
      <c r="M197" s="282" t="str">
        <f t="shared" si="58"/>
        <v/>
      </c>
      <c r="N197" s="282" t="str">
        <f t="shared" si="59"/>
        <v/>
      </c>
      <c r="O197" s="282"/>
      <c r="P197" s="282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</row>
    <row r="198" spans="1:28" ht="16.5" hidden="1" customHeight="1" outlineLevel="1" x14ac:dyDescent="0.25">
      <c r="A198" s="351"/>
      <c r="B198" s="329" t="s">
        <v>522</v>
      </c>
      <c r="C198" s="330"/>
      <c r="D198" s="153" t="s">
        <v>8</v>
      </c>
      <c r="E198" s="134">
        <v>1</v>
      </c>
      <c r="F198" s="331" t="s">
        <v>65</v>
      </c>
      <c r="G198" s="134">
        <v>5</v>
      </c>
      <c r="H198" s="256">
        <v>5.24</v>
      </c>
      <c r="I198" s="297" t="str">
        <f t="shared" si="54"/>
        <v/>
      </c>
      <c r="J198" s="297" t="str">
        <f t="shared" si="55"/>
        <v/>
      </c>
      <c r="K198" s="297" t="str">
        <f t="shared" si="56"/>
        <v/>
      </c>
      <c r="L198" s="297">
        <f t="shared" si="57"/>
        <v>26.200000000000003</v>
      </c>
      <c r="M198" s="282" t="str">
        <f t="shared" si="58"/>
        <v/>
      </c>
      <c r="N198" s="282" t="str">
        <f t="shared" si="59"/>
        <v/>
      </c>
      <c r="O198" s="282"/>
      <c r="P198" s="282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</row>
    <row r="199" spans="1:28" ht="16.5" hidden="1" customHeight="1" outlineLevel="1" x14ac:dyDescent="0.25">
      <c r="A199" s="351"/>
      <c r="B199" s="329" t="s">
        <v>559</v>
      </c>
      <c r="C199" s="330"/>
      <c r="D199" s="153" t="s">
        <v>8</v>
      </c>
      <c r="E199" s="134">
        <v>1</v>
      </c>
      <c r="F199" s="331" t="s">
        <v>65</v>
      </c>
      <c r="G199" s="134">
        <v>5</v>
      </c>
      <c r="H199" s="256">
        <v>3.04</v>
      </c>
      <c r="I199" s="297" t="str">
        <f t="shared" si="54"/>
        <v/>
      </c>
      <c r="J199" s="297" t="str">
        <f t="shared" si="55"/>
        <v/>
      </c>
      <c r="K199" s="297" t="str">
        <f t="shared" si="56"/>
        <v/>
      </c>
      <c r="L199" s="297">
        <f t="shared" si="57"/>
        <v>15.2</v>
      </c>
      <c r="M199" s="282" t="str">
        <f t="shared" si="58"/>
        <v/>
      </c>
      <c r="N199" s="282" t="str">
        <f t="shared" si="59"/>
        <v/>
      </c>
      <c r="O199" s="282"/>
      <c r="P199" s="282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</row>
    <row r="200" spans="1:28" ht="16.5" hidden="1" customHeight="1" outlineLevel="1" x14ac:dyDescent="0.25">
      <c r="A200" s="351"/>
      <c r="B200" s="329" t="s">
        <v>560</v>
      </c>
      <c r="C200" s="330"/>
      <c r="D200" s="153" t="s">
        <v>8</v>
      </c>
      <c r="E200" s="134">
        <v>1</v>
      </c>
      <c r="F200" s="331" t="s">
        <v>514</v>
      </c>
      <c r="G200" s="134">
        <v>23</v>
      </c>
      <c r="H200" s="256">
        <v>3.17</v>
      </c>
      <c r="I200" s="297">
        <f t="shared" si="54"/>
        <v>72.91</v>
      </c>
      <c r="J200" s="297" t="str">
        <f t="shared" si="55"/>
        <v/>
      </c>
      <c r="K200" s="297" t="str">
        <f t="shared" si="56"/>
        <v/>
      </c>
      <c r="L200" s="297" t="str">
        <f t="shared" si="57"/>
        <v/>
      </c>
      <c r="M200" s="282" t="str">
        <f t="shared" si="58"/>
        <v/>
      </c>
      <c r="N200" s="282" t="str">
        <f t="shared" si="59"/>
        <v/>
      </c>
      <c r="O200" s="282"/>
      <c r="P200" s="282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</row>
    <row r="201" spans="1:28" ht="16.5" hidden="1" customHeight="1" outlineLevel="1" x14ac:dyDescent="0.25">
      <c r="A201" s="480"/>
      <c r="B201" s="329" t="s">
        <v>549</v>
      </c>
      <c r="C201" s="330"/>
      <c r="D201" s="165"/>
      <c r="E201" s="134"/>
      <c r="F201" s="331"/>
      <c r="G201" s="134"/>
      <c r="H201" s="256"/>
      <c r="I201" s="297" t="str">
        <f t="shared" si="54"/>
        <v/>
      </c>
      <c r="J201" s="297" t="str">
        <f t="shared" si="55"/>
        <v/>
      </c>
      <c r="K201" s="297" t="str">
        <f t="shared" si="56"/>
        <v/>
      </c>
      <c r="L201" s="297" t="str">
        <f t="shared" si="57"/>
        <v/>
      </c>
      <c r="M201" s="282" t="str">
        <f t="shared" si="58"/>
        <v/>
      </c>
      <c r="N201" s="282" t="str">
        <f t="shared" si="59"/>
        <v/>
      </c>
      <c r="O201" s="282"/>
      <c r="P201" s="282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</row>
    <row r="202" spans="1:28" ht="16.5" hidden="1" customHeight="1" outlineLevel="1" x14ac:dyDescent="0.25">
      <c r="A202" s="351"/>
      <c r="B202" s="329" t="s">
        <v>522</v>
      </c>
      <c r="C202" s="330"/>
      <c r="D202" s="153" t="s">
        <v>8</v>
      </c>
      <c r="E202" s="134">
        <v>1</v>
      </c>
      <c r="F202" s="331" t="s">
        <v>65</v>
      </c>
      <c r="G202" s="134">
        <v>7</v>
      </c>
      <c r="H202" s="256">
        <v>5.24</v>
      </c>
      <c r="I202" s="297" t="str">
        <f t="shared" si="54"/>
        <v/>
      </c>
      <c r="J202" s="297" t="str">
        <f t="shared" si="55"/>
        <v/>
      </c>
      <c r="K202" s="297" t="str">
        <f t="shared" si="56"/>
        <v/>
      </c>
      <c r="L202" s="297">
        <f t="shared" si="57"/>
        <v>36.68</v>
      </c>
      <c r="M202" s="282" t="str">
        <f t="shared" si="58"/>
        <v/>
      </c>
      <c r="N202" s="282" t="str">
        <f t="shared" si="59"/>
        <v/>
      </c>
      <c r="O202" s="282"/>
      <c r="P202" s="282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</row>
    <row r="203" spans="1:28" ht="16.5" hidden="1" customHeight="1" outlineLevel="1" x14ac:dyDescent="0.25">
      <c r="A203" s="351"/>
      <c r="B203" s="329" t="s">
        <v>559</v>
      </c>
      <c r="C203" s="330"/>
      <c r="D203" s="153" t="s">
        <v>8</v>
      </c>
      <c r="E203" s="134">
        <v>1</v>
      </c>
      <c r="F203" s="331" t="s">
        <v>65</v>
      </c>
      <c r="G203" s="134">
        <v>7</v>
      </c>
      <c r="H203" s="256">
        <v>3.04</v>
      </c>
      <c r="I203" s="297" t="str">
        <f t="shared" si="54"/>
        <v/>
      </c>
      <c r="J203" s="297" t="str">
        <f t="shared" si="55"/>
        <v/>
      </c>
      <c r="K203" s="297" t="str">
        <f t="shared" si="56"/>
        <v/>
      </c>
      <c r="L203" s="297">
        <f t="shared" si="57"/>
        <v>21.28</v>
      </c>
      <c r="M203" s="282" t="str">
        <f t="shared" si="58"/>
        <v/>
      </c>
      <c r="N203" s="282" t="str">
        <f t="shared" si="59"/>
        <v/>
      </c>
      <c r="O203" s="282"/>
      <c r="P203" s="282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</row>
    <row r="204" spans="1:28" ht="16.5" hidden="1" customHeight="1" outlineLevel="1" x14ac:dyDescent="0.25">
      <c r="A204" s="351"/>
      <c r="B204" s="329" t="s">
        <v>560</v>
      </c>
      <c r="C204" s="330"/>
      <c r="D204" s="153" t="s">
        <v>8</v>
      </c>
      <c r="E204" s="134">
        <v>1</v>
      </c>
      <c r="F204" s="331" t="s">
        <v>514</v>
      </c>
      <c r="G204" s="134">
        <v>16</v>
      </c>
      <c r="H204" s="256">
        <v>2.62</v>
      </c>
      <c r="I204" s="297">
        <f t="shared" si="54"/>
        <v>41.92</v>
      </c>
      <c r="J204" s="297" t="str">
        <f t="shared" si="55"/>
        <v/>
      </c>
      <c r="K204" s="297" t="str">
        <f t="shared" si="56"/>
        <v/>
      </c>
      <c r="L204" s="297" t="str">
        <f t="shared" si="57"/>
        <v/>
      </c>
      <c r="M204" s="282" t="str">
        <f t="shared" si="58"/>
        <v/>
      </c>
      <c r="N204" s="282" t="str">
        <f t="shared" si="59"/>
        <v/>
      </c>
      <c r="O204" s="282"/>
      <c r="P204" s="282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</row>
    <row r="205" spans="1:28" ht="16.5" hidden="1" customHeight="1" outlineLevel="1" x14ac:dyDescent="0.25">
      <c r="A205" s="480"/>
      <c r="B205" s="329" t="s">
        <v>550</v>
      </c>
      <c r="C205" s="330"/>
      <c r="D205" s="165"/>
      <c r="E205" s="134"/>
      <c r="F205" s="331"/>
      <c r="G205" s="134"/>
      <c r="H205" s="256"/>
      <c r="I205" s="297" t="str">
        <f t="shared" si="54"/>
        <v/>
      </c>
      <c r="J205" s="297" t="str">
        <f t="shared" si="55"/>
        <v/>
      </c>
      <c r="K205" s="297" t="str">
        <f t="shared" si="56"/>
        <v/>
      </c>
      <c r="L205" s="297" t="str">
        <f t="shared" si="57"/>
        <v/>
      </c>
      <c r="M205" s="282" t="str">
        <f t="shared" si="58"/>
        <v/>
      </c>
      <c r="N205" s="282" t="str">
        <f t="shared" si="59"/>
        <v/>
      </c>
      <c r="O205" s="282"/>
      <c r="P205" s="282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</row>
    <row r="206" spans="1:28" ht="16.5" hidden="1" customHeight="1" outlineLevel="1" x14ac:dyDescent="0.25">
      <c r="A206" s="351"/>
      <c r="B206" s="329" t="s">
        <v>522</v>
      </c>
      <c r="C206" s="330"/>
      <c r="D206" s="153" t="s">
        <v>8</v>
      </c>
      <c r="E206" s="134">
        <v>1</v>
      </c>
      <c r="F206" s="331" t="s">
        <v>65</v>
      </c>
      <c r="G206" s="134">
        <v>5</v>
      </c>
      <c r="H206" s="256">
        <v>5.24</v>
      </c>
      <c r="I206" s="297" t="str">
        <f t="shared" si="54"/>
        <v/>
      </c>
      <c r="J206" s="297" t="str">
        <f t="shared" si="55"/>
        <v/>
      </c>
      <c r="K206" s="297" t="str">
        <f t="shared" si="56"/>
        <v/>
      </c>
      <c r="L206" s="297">
        <f t="shared" si="57"/>
        <v>26.200000000000003</v>
      </c>
      <c r="M206" s="282" t="str">
        <f t="shared" si="58"/>
        <v/>
      </c>
      <c r="N206" s="282" t="str">
        <f t="shared" si="59"/>
        <v/>
      </c>
      <c r="O206" s="282"/>
      <c r="P206" s="282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</row>
    <row r="207" spans="1:28" ht="16.5" hidden="1" customHeight="1" outlineLevel="1" x14ac:dyDescent="0.25">
      <c r="A207" s="351"/>
      <c r="B207" s="329" t="s">
        <v>559</v>
      </c>
      <c r="C207" s="330"/>
      <c r="D207" s="153" t="s">
        <v>8</v>
      </c>
      <c r="E207" s="134">
        <v>1</v>
      </c>
      <c r="F207" s="331" t="s">
        <v>65</v>
      </c>
      <c r="G207" s="134">
        <v>5</v>
      </c>
      <c r="H207" s="256">
        <v>3.04</v>
      </c>
      <c r="I207" s="297" t="str">
        <f t="shared" si="54"/>
        <v/>
      </c>
      <c r="J207" s="297" t="str">
        <f t="shared" si="55"/>
        <v/>
      </c>
      <c r="K207" s="297" t="str">
        <f t="shared" si="56"/>
        <v/>
      </c>
      <c r="L207" s="297">
        <f t="shared" si="57"/>
        <v>15.2</v>
      </c>
      <c r="M207" s="282" t="str">
        <f t="shared" si="58"/>
        <v/>
      </c>
      <c r="N207" s="282" t="str">
        <f t="shared" si="59"/>
        <v/>
      </c>
      <c r="O207" s="282"/>
      <c r="P207" s="282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</row>
    <row r="208" spans="1:28" ht="16.5" hidden="1" customHeight="1" outlineLevel="1" x14ac:dyDescent="0.25">
      <c r="A208" s="351"/>
      <c r="B208" s="329" t="s">
        <v>560</v>
      </c>
      <c r="C208" s="330"/>
      <c r="D208" s="153" t="s">
        <v>8</v>
      </c>
      <c r="E208" s="134">
        <v>1</v>
      </c>
      <c r="F208" s="331" t="s">
        <v>514</v>
      </c>
      <c r="G208" s="134">
        <v>23</v>
      </c>
      <c r="H208" s="256">
        <v>2.82</v>
      </c>
      <c r="I208" s="297">
        <f t="shared" si="54"/>
        <v>64.86</v>
      </c>
      <c r="J208" s="297" t="str">
        <f t="shared" si="55"/>
        <v/>
      </c>
      <c r="K208" s="297" t="str">
        <f t="shared" si="56"/>
        <v/>
      </c>
      <c r="L208" s="297" t="str">
        <f t="shared" si="57"/>
        <v/>
      </c>
      <c r="M208" s="282" t="str">
        <f t="shared" si="58"/>
        <v/>
      </c>
      <c r="N208" s="282" t="str">
        <f t="shared" si="59"/>
        <v/>
      </c>
      <c r="O208" s="282"/>
      <c r="P208" s="282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</row>
    <row r="209" spans="1:28" ht="16.5" hidden="1" customHeight="1" outlineLevel="1" x14ac:dyDescent="0.25">
      <c r="A209" s="480"/>
      <c r="B209" s="329" t="s">
        <v>551</v>
      </c>
      <c r="C209" s="330"/>
      <c r="D209" s="165"/>
      <c r="E209" s="134"/>
      <c r="F209" s="331"/>
      <c r="G209" s="134"/>
      <c r="H209" s="256"/>
      <c r="I209" s="297" t="str">
        <f t="shared" si="54"/>
        <v/>
      </c>
      <c r="J209" s="297" t="str">
        <f t="shared" si="55"/>
        <v/>
      </c>
      <c r="K209" s="297" t="str">
        <f t="shared" si="56"/>
        <v/>
      </c>
      <c r="L209" s="297" t="str">
        <f t="shared" si="57"/>
        <v/>
      </c>
      <c r="M209" s="282" t="str">
        <f t="shared" si="58"/>
        <v/>
      </c>
      <c r="N209" s="282" t="str">
        <f t="shared" si="59"/>
        <v/>
      </c>
      <c r="O209" s="282"/>
      <c r="P209" s="282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</row>
    <row r="210" spans="1:28" ht="16.5" hidden="1" customHeight="1" outlineLevel="1" x14ac:dyDescent="0.25">
      <c r="A210" s="351"/>
      <c r="B210" s="329" t="s">
        <v>522</v>
      </c>
      <c r="C210" s="330"/>
      <c r="D210" s="153" t="s">
        <v>8</v>
      </c>
      <c r="E210" s="134">
        <v>1</v>
      </c>
      <c r="F210" s="331" t="s">
        <v>65</v>
      </c>
      <c r="G210" s="134">
        <v>6</v>
      </c>
      <c r="H210" s="256">
        <v>5.24</v>
      </c>
      <c r="I210" s="297" t="str">
        <f t="shared" si="54"/>
        <v/>
      </c>
      <c r="J210" s="297" t="str">
        <f t="shared" si="55"/>
        <v/>
      </c>
      <c r="K210" s="297" t="str">
        <f t="shared" si="56"/>
        <v/>
      </c>
      <c r="L210" s="297">
        <f t="shared" si="57"/>
        <v>31.44</v>
      </c>
      <c r="M210" s="282" t="str">
        <f t="shared" si="58"/>
        <v/>
      </c>
      <c r="N210" s="282" t="str">
        <f t="shared" si="59"/>
        <v/>
      </c>
      <c r="O210" s="282"/>
      <c r="P210" s="282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</row>
    <row r="211" spans="1:28" ht="16.5" hidden="1" customHeight="1" outlineLevel="1" x14ac:dyDescent="0.25">
      <c r="A211" s="351"/>
      <c r="B211" s="329" t="s">
        <v>559</v>
      </c>
      <c r="C211" s="330"/>
      <c r="D211" s="153" t="s">
        <v>8</v>
      </c>
      <c r="E211" s="134">
        <v>1</v>
      </c>
      <c r="F211" s="331" t="s">
        <v>65</v>
      </c>
      <c r="G211" s="134">
        <v>6</v>
      </c>
      <c r="H211" s="256">
        <v>3.04</v>
      </c>
      <c r="I211" s="297" t="str">
        <f t="shared" si="54"/>
        <v/>
      </c>
      <c r="J211" s="297" t="str">
        <f t="shared" si="55"/>
        <v/>
      </c>
      <c r="K211" s="297" t="str">
        <f t="shared" si="56"/>
        <v/>
      </c>
      <c r="L211" s="297">
        <f t="shared" si="57"/>
        <v>18.240000000000002</v>
      </c>
      <c r="M211" s="282" t="str">
        <f t="shared" si="58"/>
        <v/>
      </c>
      <c r="N211" s="282" t="str">
        <f t="shared" si="59"/>
        <v/>
      </c>
      <c r="O211" s="282"/>
      <c r="P211" s="282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</row>
    <row r="212" spans="1:28" ht="16.5" hidden="1" customHeight="1" outlineLevel="1" x14ac:dyDescent="0.25">
      <c r="A212" s="351"/>
      <c r="B212" s="329" t="s">
        <v>560</v>
      </c>
      <c r="C212" s="330"/>
      <c r="D212" s="153" t="s">
        <v>8</v>
      </c>
      <c r="E212" s="134">
        <v>1</v>
      </c>
      <c r="F212" s="331" t="s">
        <v>514</v>
      </c>
      <c r="G212" s="134">
        <v>23</v>
      </c>
      <c r="H212" s="256">
        <v>3.82</v>
      </c>
      <c r="I212" s="297">
        <f t="shared" si="54"/>
        <v>87.86</v>
      </c>
      <c r="J212" s="297" t="str">
        <f t="shared" si="55"/>
        <v/>
      </c>
      <c r="K212" s="297" t="str">
        <f t="shared" si="56"/>
        <v/>
      </c>
      <c r="L212" s="297" t="str">
        <f t="shared" si="57"/>
        <v/>
      </c>
      <c r="M212" s="282" t="str">
        <f t="shared" si="58"/>
        <v/>
      </c>
      <c r="N212" s="282" t="str">
        <f t="shared" si="59"/>
        <v/>
      </c>
      <c r="O212" s="282"/>
      <c r="P212" s="282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</row>
    <row r="213" spans="1:28" ht="16.5" hidden="1" customHeight="1" outlineLevel="1" x14ac:dyDescent="0.25">
      <c r="A213" s="480"/>
      <c r="B213" s="329" t="s">
        <v>774</v>
      </c>
      <c r="C213" s="330"/>
      <c r="D213" s="165"/>
      <c r="E213" s="134"/>
      <c r="F213" s="331"/>
      <c r="G213" s="134"/>
      <c r="H213" s="256"/>
      <c r="I213" s="297" t="str">
        <f t="shared" si="54"/>
        <v/>
      </c>
      <c r="J213" s="297" t="str">
        <f t="shared" si="55"/>
        <v/>
      </c>
      <c r="K213" s="297" t="str">
        <f t="shared" si="56"/>
        <v/>
      </c>
      <c r="L213" s="297" t="str">
        <f t="shared" si="57"/>
        <v/>
      </c>
      <c r="M213" s="282" t="str">
        <f t="shared" si="58"/>
        <v/>
      </c>
      <c r="N213" s="282" t="str">
        <f t="shared" si="59"/>
        <v/>
      </c>
      <c r="O213" s="282"/>
      <c r="P213" s="282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</row>
    <row r="214" spans="1:28" ht="16.5" hidden="1" customHeight="1" outlineLevel="1" x14ac:dyDescent="0.25">
      <c r="A214" s="351"/>
      <c r="B214" s="329" t="s">
        <v>522</v>
      </c>
      <c r="C214" s="330"/>
      <c r="D214" s="153" t="s">
        <v>8</v>
      </c>
      <c r="E214" s="134">
        <v>1</v>
      </c>
      <c r="F214" s="331" t="s">
        <v>65</v>
      </c>
      <c r="G214" s="134">
        <v>8</v>
      </c>
      <c r="H214" s="256">
        <v>3.77</v>
      </c>
      <c r="I214" s="297" t="str">
        <f t="shared" si="54"/>
        <v/>
      </c>
      <c r="J214" s="297" t="str">
        <f t="shared" si="55"/>
        <v/>
      </c>
      <c r="K214" s="297" t="str">
        <f t="shared" si="56"/>
        <v/>
      </c>
      <c r="L214" s="297">
        <f t="shared" si="57"/>
        <v>30.16</v>
      </c>
      <c r="M214" s="282" t="str">
        <f t="shared" si="58"/>
        <v/>
      </c>
      <c r="N214" s="282" t="str">
        <f t="shared" si="59"/>
        <v/>
      </c>
      <c r="O214" s="282"/>
      <c r="P214" s="282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</row>
    <row r="215" spans="1:28" ht="16.5" hidden="1" customHeight="1" outlineLevel="1" x14ac:dyDescent="0.25">
      <c r="A215" s="351"/>
      <c r="B215" s="329" t="s">
        <v>559</v>
      </c>
      <c r="C215" s="330"/>
      <c r="D215" s="153" t="s">
        <v>8</v>
      </c>
      <c r="E215" s="134">
        <v>1</v>
      </c>
      <c r="F215" s="331" t="s">
        <v>65</v>
      </c>
      <c r="G215" s="134">
        <v>8</v>
      </c>
      <c r="H215" s="256">
        <v>2.64</v>
      </c>
      <c r="I215" s="297" t="str">
        <f t="shared" si="54"/>
        <v/>
      </c>
      <c r="J215" s="297" t="str">
        <f t="shared" si="55"/>
        <v/>
      </c>
      <c r="K215" s="297" t="str">
        <f t="shared" si="56"/>
        <v/>
      </c>
      <c r="L215" s="297">
        <f t="shared" si="57"/>
        <v>21.12</v>
      </c>
      <c r="M215" s="282" t="str">
        <f t="shared" si="58"/>
        <v/>
      </c>
      <c r="N215" s="282" t="str">
        <f t="shared" si="59"/>
        <v/>
      </c>
      <c r="O215" s="282"/>
      <c r="P215" s="282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</row>
    <row r="216" spans="1:28" ht="16.5" hidden="1" customHeight="1" outlineLevel="1" x14ac:dyDescent="0.25">
      <c r="A216" s="351"/>
      <c r="B216" s="329" t="s">
        <v>560</v>
      </c>
      <c r="C216" s="330"/>
      <c r="D216" s="153" t="s">
        <v>8</v>
      </c>
      <c r="E216" s="134">
        <v>1</v>
      </c>
      <c r="F216" s="331" t="s">
        <v>514</v>
      </c>
      <c r="G216" s="134">
        <v>15</v>
      </c>
      <c r="H216" s="256">
        <v>3.82</v>
      </c>
      <c r="I216" s="297">
        <f t="shared" si="54"/>
        <v>57.3</v>
      </c>
      <c r="J216" s="297" t="str">
        <f t="shared" si="55"/>
        <v/>
      </c>
      <c r="K216" s="297" t="str">
        <f t="shared" si="56"/>
        <v/>
      </c>
      <c r="L216" s="297" t="str">
        <f t="shared" si="57"/>
        <v/>
      </c>
      <c r="M216" s="282" t="str">
        <f t="shared" si="58"/>
        <v/>
      </c>
      <c r="N216" s="282" t="str">
        <f t="shared" si="59"/>
        <v/>
      </c>
      <c r="O216" s="282"/>
      <c r="P216" s="282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</row>
    <row r="217" spans="1:28" ht="16.5" hidden="1" customHeight="1" outlineLevel="1" x14ac:dyDescent="0.25">
      <c r="A217" s="351"/>
      <c r="B217" s="329"/>
      <c r="C217" s="330"/>
      <c r="D217" s="153"/>
      <c r="E217" s="134"/>
      <c r="F217" s="331"/>
      <c r="G217" s="134"/>
      <c r="H217" s="256"/>
      <c r="I217" s="297" t="str">
        <f t="shared" si="54"/>
        <v/>
      </c>
      <c r="J217" s="297" t="str">
        <f t="shared" si="55"/>
        <v/>
      </c>
      <c r="K217" s="297" t="str">
        <f t="shared" si="56"/>
        <v/>
      </c>
      <c r="L217" s="297" t="str">
        <f t="shared" si="57"/>
        <v/>
      </c>
      <c r="M217" s="282" t="str">
        <f t="shared" si="58"/>
        <v/>
      </c>
      <c r="N217" s="282" t="str">
        <f t="shared" si="59"/>
        <v/>
      </c>
      <c r="O217" s="282"/>
      <c r="P217" s="282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</row>
    <row r="218" spans="1:28" ht="16.5" customHeight="1" collapsed="1" x14ac:dyDescent="0.25">
      <c r="A218" s="29"/>
      <c r="B218" s="815"/>
      <c r="C218" s="816"/>
      <c r="D218" s="29"/>
      <c r="E218" s="30"/>
      <c r="F218" s="30"/>
      <c r="G218" s="814"/>
      <c r="H218" s="811"/>
      <c r="I218" s="286">
        <f t="shared" ref="I218:N218" si="60">SUM(I181:I217)</f>
        <v>601.29</v>
      </c>
      <c r="J218" s="286">
        <f t="shared" si="60"/>
        <v>0</v>
      </c>
      <c r="K218" s="286">
        <f t="shared" si="60"/>
        <v>72.400000000000006</v>
      </c>
      <c r="L218" s="286">
        <f t="shared" si="60"/>
        <v>447.08000000000004</v>
      </c>
      <c r="M218" s="286">
        <f t="shared" si="60"/>
        <v>0</v>
      </c>
      <c r="N218" s="286">
        <f t="shared" si="60"/>
        <v>0</v>
      </c>
      <c r="O218" s="286"/>
      <c r="P218" s="283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</row>
    <row r="219" spans="1:28" ht="16.5" customHeight="1" x14ac:dyDescent="0.25">
      <c r="A219" s="31"/>
      <c r="B219" s="815"/>
      <c r="C219" s="816"/>
      <c r="D219" s="32"/>
      <c r="E219" s="33"/>
      <c r="F219" s="34"/>
      <c r="G219" s="810" t="s">
        <v>69</v>
      </c>
      <c r="H219" s="811"/>
      <c r="I219" s="298">
        <v>0.25</v>
      </c>
      <c r="J219" s="298">
        <v>3.97</v>
      </c>
      <c r="K219" s="298">
        <v>0.56000000000000005</v>
      </c>
      <c r="L219" s="298">
        <v>1.02</v>
      </c>
      <c r="M219" s="298">
        <v>1.56</v>
      </c>
      <c r="N219" s="298">
        <v>2.25</v>
      </c>
      <c r="O219" s="298"/>
      <c r="P219" s="284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</row>
    <row r="220" spans="1:28" ht="16.5" customHeight="1" x14ac:dyDescent="0.25">
      <c r="A220" s="31"/>
      <c r="B220" s="815"/>
      <c r="C220" s="816"/>
      <c r="D220" s="32"/>
      <c r="E220" s="33"/>
      <c r="F220" s="34"/>
      <c r="G220" s="810" t="s">
        <v>70</v>
      </c>
      <c r="H220" s="811"/>
      <c r="I220" s="286">
        <f t="shared" ref="I220:N220" si="61">I218*I219</f>
        <v>150.32249999999999</v>
      </c>
      <c r="J220" s="286">
        <f t="shared" si="61"/>
        <v>0</v>
      </c>
      <c r="K220" s="286">
        <f t="shared" si="61"/>
        <v>40.544000000000004</v>
      </c>
      <c r="L220" s="286">
        <f>L218*L219</f>
        <v>456.02160000000003</v>
      </c>
      <c r="M220" s="286">
        <f t="shared" si="61"/>
        <v>0</v>
      </c>
      <c r="N220" s="286">
        <f t="shared" si="61"/>
        <v>0</v>
      </c>
      <c r="O220" s="286"/>
      <c r="P220" s="283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</row>
    <row r="221" spans="1:28" ht="16.5" customHeight="1" x14ac:dyDescent="0.25">
      <c r="A221" s="31"/>
      <c r="B221" s="815"/>
      <c r="C221" s="816"/>
      <c r="D221" s="32"/>
      <c r="E221" s="33"/>
      <c r="F221" s="34"/>
      <c r="G221" s="810" t="s">
        <v>71</v>
      </c>
      <c r="H221" s="811"/>
      <c r="I221" s="286">
        <f t="shared" ref="I221:N221" si="62">ROUNDUP(I218*1.07/9,0)</f>
        <v>72</v>
      </c>
      <c r="J221" s="286">
        <f t="shared" si="62"/>
        <v>0</v>
      </c>
      <c r="K221" s="286">
        <f t="shared" si="62"/>
        <v>9</v>
      </c>
      <c r="L221" s="286">
        <f t="shared" si="62"/>
        <v>54</v>
      </c>
      <c r="M221" s="286">
        <f t="shared" si="62"/>
        <v>0</v>
      </c>
      <c r="N221" s="286">
        <f t="shared" si="62"/>
        <v>0</v>
      </c>
      <c r="O221" s="286"/>
      <c r="P221" s="283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</row>
    <row r="222" spans="1:28" ht="15" customHeight="1" x14ac:dyDescent="0.25">
      <c r="A222" s="248" t="s">
        <v>53</v>
      </c>
      <c r="B222" s="812" t="s">
        <v>76</v>
      </c>
      <c r="C222" s="813"/>
      <c r="D222" s="249"/>
      <c r="E222" s="250"/>
      <c r="F222" s="250"/>
      <c r="G222" s="250"/>
      <c r="H222" s="253"/>
      <c r="I222" s="296"/>
      <c r="J222" s="296"/>
      <c r="K222" s="296"/>
      <c r="L222" s="296"/>
      <c r="M222" s="296"/>
      <c r="N222" s="296"/>
      <c r="O222" s="296"/>
      <c r="P222" s="296">
        <f>SUM(I244:O244)</f>
        <v>249.56960000000001</v>
      </c>
      <c r="Q222" s="135"/>
      <c r="R222" s="135"/>
      <c r="S222" s="135"/>
      <c r="T222" s="135"/>
      <c r="U222" s="135"/>
      <c r="V222" s="135"/>
      <c r="W222" s="135"/>
      <c r="X222" s="135"/>
      <c r="Y222" s="135"/>
      <c r="Z222" s="135"/>
      <c r="AA222" s="135"/>
      <c r="AB222" s="135"/>
    </row>
    <row r="223" spans="1:28" ht="16.5" hidden="1" customHeight="1" outlineLevel="1" x14ac:dyDescent="0.25">
      <c r="A223" s="150"/>
      <c r="B223" s="329" t="s">
        <v>586</v>
      </c>
      <c r="C223" s="330"/>
      <c r="D223" s="147"/>
      <c r="E223" s="148"/>
      <c r="F223" s="149"/>
      <c r="G223" s="148"/>
      <c r="H223" s="148"/>
      <c r="I223" s="300" t="str">
        <f t="shared" ref="I223:I241" si="63">IF($F223=$I$6,$E223*$G223*$H223,"")</f>
        <v/>
      </c>
      <c r="J223" s="300" t="str">
        <f t="shared" ref="J223:J241" si="64">IF($F223=$J$6,$E223*$G223*$H223,"")</f>
        <v/>
      </c>
      <c r="K223" s="300" t="str">
        <f t="shared" ref="K223:K241" si="65">IF($F223=$K$6,$E223*$G223*$H223,"")</f>
        <v/>
      </c>
      <c r="L223" s="300" t="str">
        <f t="shared" ref="L223:L241" si="66">IF($F223=$L$6,$E223*$G223*$H223,"")</f>
        <v/>
      </c>
      <c r="M223" s="288" t="str">
        <f t="shared" ref="M223:M241" si="67">IF($F223=$M$6,$E223*$G223*$H223,"")</f>
        <v/>
      </c>
      <c r="N223" s="288"/>
      <c r="O223" s="288"/>
      <c r="P223" s="288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</row>
    <row r="224" spans="1:28" ht="16.5" hidden="1" customHeight="1" outlineLevel="1" x14ac:dyDescent="0.25">
      <c r="A224" s="150"/>
      <c r="B224" s="329" t="s">
        <v>588</v>
      </c>
      <c r="C224" s="330"/>
      <c r="D224" s="147" t="s">
        <v>8</v>
      </c>
      <c r="E224" s="148">
        <v>2</v>
      </c>
      <c r="F224" s="149" t="s">
        <v>64</v>
      </c>
      <c r="G224" s="148">
        <v>14</v>
      </c>
      <c r="H224" s="148">
        <v>2.1</v>
      </c>
      <c r="I224" s="300" t="str">
        <f t="shared" si="63"/>
        <v/>
      </c>
      <c r="J224" s="300" t="str">
        <f t="shared" si="64"/>
        <v/>
      </c>
      <c r="K224" s="300">
        <f t="shared" si="65"/>
        <v>58.800000000000004</v>
      </c>
      <c r="L224" s="300" t="str">
        <f t="shared" si="66"/>
        <v/>
      </c>
      <c r="M224" s="288" t="str">
        <f t="shared" si="67"/>
        <v/>
      </c>
      <c r="N224" s="288"/>
      <c r="O224" s="288"/>
      <c r="P224" s="288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</row>
    <row r="225" spans="1:28" ht="16.5" hidden="1" customHeight="1" outlineLevel="1" x14ac:dyDescent="0.25">
      <c r="A225" s="150"/>
      <c r="B225" s="329" t="s">
        <v>589</v>
      </c>
      <c r="C225" s="330"/>
      <c r="D225" s="147" t="s">
        <v>8</v>
      </c>
      <c r="E225" s="148">
        <v>2</v>
      </c>
      <c r="F225" s="149" t="s">
        <v>64</v>
      </c>
      <c r="G225" s="148">
        <v>4</v>
      </c>
      <c r="H225" s="148">
        <v>5.0999999999999996</v>
      </c>
      <c r="I225" s="300" t="str">
        <f t="shared" si="63"/>
        <v/>
      </c>
      <c r="J225" s="300" t="str">
        <f t="shared" si="64"/>
        <v/>
      </c>
      <c r="K225" s="300">
        <f t="shared" si="65"/>
        <v>40.799999999999997</v>
      </c>
      <c r="L225" s="300" t="str">
        <f t="shared" si="66"/>
        <v/>
      </c>
      <c r="M225" s="288" t="str">
        <f t="shared" si="67"/>
        <v/>
      </c>
      <c r="N225" s="288"/>
      <c r="O225" s="288"/>
      <c r="P225" s="288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</row>
    <row r="226" spans="1:28" ht="16.5" hidden="1" customHeight="1" outlineLevel="1" x14ac:dyDescent="0.25">
      <c r="A226" s="334"/>
      <c r="B226" s="329" t="s">
        <v>587</v>
      </c>
      <c r="C226" s="330"/>
      <c r="D226" s="147"/>
      <c r="E226" s="148"/>
      <c r="F226" s="149"/>
      <c r="G226" s="148"/>
      <c r="H226" s="148"/>
      <c r="I226" s="300" t="str">
        <f t="shared" si="63"/>
        <v/>
      </c>
      <c r="J226" s="300" t="str">
        <f t="shared" si="64"/>
        <v/>
      </c>
      <c r="K226" s="300" t="str">
        <f t="shared" si="65"/>
        <v/>
      </c>
      <c r="L226" s="300" t="str">
        <f t="shared" si="66"/>
        <v/>
      </c>
      <c r="M226" s="288" t="str">
        <f t="shared" si="67"/>
        <v/>
      </c>
      <c r="N226" s="288"/>
      <c r="O226" s="288"/>
      <c r="P226" s="288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</row>
    <row r="227" spans="1:28" ht="16.5" hidden="1" customHeight="1" outlineLevel="1" x14ac:dyDescent="0.25">
      <c r="A227" s="334"/>
      <c r="B227" s="329" t="s">
        <v>588</v>
      </c>
      <c r="C227" s="330"/>
      <c r="D227" s="147" t="s">
        <v>8</v>
      </c>
      <c r="E227" s="148">
        <v>2</v>
      </c>
      <c r="F227" s="149" t="s">
        <v>64</v>
      </c>
      <c r="G227" s="148">
        <v>6</v>
      </c>
      <c r="H227" s="148">
        <v>1.8</v>
      </c>
      <c r="I227" s="300" t="str">
        <f t="shared" si="63"/>
        <v/>
      </c>
      <c r="J227" s="300" t="str">
        <f t="shared" si="64"/>
        <v/>
      </c>
      <c r="K227" s="300">
        <f t="shared" si="65"/>
        <v>21.6</v>
      </c>
      <c r="L227" s="300" t="str">
        <f t="shared" si="66"/>
        <v/>
      </c>
      <c r="M227" s="288" t="str">
        <f t="shared" si="67"/>
        <v/>
      </c>
      <c r="N227" s="288"/>
      <c r="O227" s="288"/>
      <c r="P227" s="288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</row>
    <row r="228" spans="1:28" ht="16.5" hidden="1" customHeight="1" outlineLevel="1" x14ac:dyDescent="0.25">
      <c r="A228" s="334"/>
      <c r="B228" s="329" t="s">
        <v>589</v>
      </c>
      <c r="C228" s="330"/>
      <c r="D228" s="147" t="s">
        <v>8</v>
      </c>
      <c r="E228" s="148">
        <v>2</v>
      </c>
      <c r="F228" s="149" t="s">
        <v>64</v>
      </c>
      <c r="G228" s="148">
        <v>4</v>
      </c>
      <c r="H228" s="148">
        <v>2.2000000000000002</v>
      </c>
      <c r="I228" s="300" t="str">
        <f t="shared" si="63"/>
        <v/>
      </c>
      <c r="J228" s="300" t="str">
        <f t="shared" si="64"/>
        <v/>
      </c>
      <c r="K228" s="300">
        <f t="shared" si="65"/>
        <v>17.600000000000001</v>
      </c>
      <c r="L228" s="300" t="str">
        <f t="shared" si="66"/>
        <v/>
      </c>
      <c r="M228" s="288" t="str">
        <f t="shared" si="67"/>
        <v/>
      </c>
      <c r="N228" s="288"/>
      <c r="O228" s="288"/>
      <c r="P228" s="288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</row>
    <row r="229" spans="1:28" ht="16.5" hidden="1" customHeight="1" outlineLevel="1" x14ac:dyDescent="0.25">
      <c r="A229" s="150"/>
      <c r="B229" s="329" t="s">
        <v>766</v>
      </c>
      <c r="C229" s="330"/>
      <c r="D229" s="147"/>
      <c r="E229" s="148"/>
      <c r="F229" s="149"/>
      <c r="G229" s="148"/>
      <c r="H229" s="148"/>
      <c r="I229" s="300" t="str">
        <f t="shared" si="63"/>
        <v/>
      </c>
      <c r="J229" s="300" t="str">
        <f t="shared" si="64"/>
        <v/>
      </c>
      <c r="K229" s="300" t="str">
        <f t="shared" si="65"/>
        <v/>
      </c>
      <c r="L229" s="300" t="str">
        <f t="shared" si="66"/>
        <v/>
      </c>
      <c r="M229" s="288" t="str">
        <f t="shared" si="67"/>
        <v/>
      </c>
      <c r="N229" s="288"/>
      <c r="O229" s="288"/>
      <c r="P229" s="288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</row>
    <row r="230" spans="1:28" ht="16.5" hidden="1" customHeight="1" outlineLevel="1" x14ac:dyDescent="0.25">
      <c r="A230" s="150"/>
      <c r="B230" s="329" t="s">
        <v>588</v>
      </c>
      <c r="C230" s="330"/>
      <c r="D230" s="147" t="s">
        <v>8</v>
      </c>
      <c r="E230" s="148">
        <v>2</v>
      </c>
      <c r="F230" s="149" t="s">
        <v>64</v>
      </c>
      <c r="G230" s="148">
        <v>8</v>
      </c>
      <c r="H230" s="148">
        <v>3.17</v>
      </c>
      <c r="I230" s="300" t="str">
        <f t="shared" si="63"/>
        <v/>
      </c>
      <c r="J230" s="300" t="str">
        <f t="shared" si="64"/>
        <v/>
      </c>
      <c r="K230" s="300">
        <f t="shared" si="65"/>
        <v>50.72</v>
      </c>
      <c r="L230" s="300" t="str">
        <f t="shared" si="66"/>
        <v/>
      </c>
      <c r="M230" s="288" t="str">
        <f t="shared" si="67"/>
        <v/>
      </c>
      <c r="N230" s="288"/>
      <c r="O230" s="288"/>
      <c r="P230" s="288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</row>
    <row r="231" spans="1:28" ht="16.5" hidden="1" customHeight="1" outlineLevel="1" x14ac:dyDescent="0.25">
      <c r="A231" s="150"/>
      <c r="B231" s="329" t="s">
        <v>589</v>
      </c>
      <c r="C231" s="330"/>
      <c r="D231" s="147" t="s">
        <v>8</v>
      </c>
      <c r="E231" s="148">
        <v>2</v>
      </c>
      <c r="F231" s="149" t="s">
        <v>64</v>
      </c>
      <c r="G231" s="148">
        <v>7</v>
      </c>
      <c r="H231" s="148">
        <v>3.45</v>
      </c>
      <c r="I231" s="300" t="str">
        <f t="shared" si="63"/>
        <v/>
      </c>
      <c r="J231" s="300" t="str">
        <f t="shared" si="64"/>
        <v/>
      </c>
      <c r="K231" s="300">
        <f t="shared" si="65"/>
        <v>48.300000000000004</v>
      </c>
      <c r="L231" s="300" t="str">
        <f t="shared" si="66"/>
        <v/>
      </c>
      <c r="M231" s="288" t="str">
        <f t="shared" si="67"/>
        <v/>
      </c>
      <c r="N231" s="288"/>
      <c r="O231" s="288"/>
      <c r="P231" s="288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</row>
    <row r="232" spans="1:28" ht="16.5" hidden="1" customHeight="1" outlineLevel="1" x14ac:dyDescent="0.25">
      <c r="A232" s="334"/>
      <c r="B232" s="329" t="s">
        <v>767</v>
      </c>
      <c r="C232" s="330"/>
      <c r="D232" s="147"/>
      <c r="E232" s="148"/>
      <c r="F232" s="149"/>
      <c r="G232" s="148"/>
      <c r="H232" s="148"/>
      <c r="I232" s="300" t="str">
        <f t="shared" si="63"/>
        <v/>
      </c>
      <c r="J232" s="300" t="str">
        <f t="shared" si="64"/>
        <v/>
      </c>
      <c r="K232" s="300" t="str">
        <f t="shared" si="65"/>
        <v/>
      </c>
      <c r="L232" s="300" t="str">
        <f t="shared" si="66"/>
        <v/>
      </c>
      <c r="M232" s="288" t="str">
        <f t="shared" si="67"/>
        <v/>
      </c>
      <c r="N232" s="288"/>
      <c r="O232" s="288"/>
      <c r="P232" s="288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</row>
    <row r="233" spans="1:28" ht="16.5" hidden="1" customHeight="1" outlineLevel="1" x14ac:dyDescent="0.25">
      <c r="A233" s="334"/>
      <c r="B233" s="329" t="s">
        <v>588</v>
      </c>
      <c r="C233" s="330"/>
      <c r="D233" s="147" t="s">
        <v>8</v>
      </c>
      <c r="E233" s="148">
        <v>2</v>
      </c>
      <c r="F233" s="149" t="s">
        <v>64</v>
      </c>
      <c r="G233" s="148">
        <v>7</v>
      </c>
      <c r="H233" s="148">
        <v>2</v>
      </c>
      <c r="I233" s="300" t="str">
        <f t="shared" si="63"/>
        <v/>
      </c>
      <c r="J233" s="300" t="str">
        <f t="shared" si="64"/>
        <v/>
      </c>
      <c r="K233" s="300">
        <f t="shared" si="65"/>
        <v>28</v>
      </c>
      <c r="L233" s="300" t="str">
        <f t="shared" si="66"/>
        <v/>
      </c>
      <c r="M233" s="288" t="str">
        <f t="shared" si="67"/>
        <v/>
      </c>
      <c r="N233" s="288"/>
      <c r="O233" s="288"/>
      <c r="P233" s="288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</row>
    <row r="234" spans="1:28" ht="16.5" hidden="1" customHeight="1" outlineLevel="1" x14ac:dyDescent="0.25">
      <c r="A234" s="334"/>
      <c r="B234" s="329" t="s">
        <v>589</v>
      </c>
      <c r="C234" s="330"/>
      <c r="D234" s="147" t="s">
        <v>8</v>
      </c>
      <c r="E234" s="148">
        <v>2</v>
      </c>
      <c r="F234" s="149" t="s">
        <v>64</v>
      </c>
      <c r="G234" s="148">
        <v>4</v>
      </c>
      <c r="H234" s="148">
        <v>2.7</v>
      </c>
      <c r="I234" s="300" t="str">
        <f t="shared" si="63"/>
        <v/>
      </c>
      <c r="J234" s="300" t="str">
        <f t="shared" si="64"/>
        <v/>
      </c>
      <c r="K234" s="300">
        <f t="shared" si="65"/>
        <v>21.6</v>
      </c>
      <c r="L234" s="300" t="str">
        <f t="shared" si="66"/>
        <v/>
      </c>
      <c r="M234" s="288" t="str">
        <f t="shared" si="67"/>
        <v/>
      </c>
      <c r="N234" s="288"/>
      <c r="O234" s="288"/>
      <c r="P234" s="288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</row>
    <row r="235" spans="1:28" ht="16.5" hidden="1" customHeight="1" outlineLevel="1" x14ac:dyDescent="0.25">
      <c r="A235" s="150"/>
      <c r="B235" s="329" t="s">
        <v>768</v>
      </c>
      <c r="C235" s="330"/>
      <c r="D235" s="147"/>
      <c r="E235" s="148"/>
      <c r="F235" s="149"/>
      <c r="G235" s="148"/>
      <c r="H235" s="148"/>
      <c r="I235" s="300" t="str">
        <f t="shared" si="63"/>
        <v/>
      </c>
      <c r="J235" s="300" t="str">
        <f t="shared" si="64"/>
        <v/>
      </c>
      <c r="K235" s="300" t="str">
        <f t="shared" si="65"/>
        <v/>
      </c>
      <c r="L235" s="300" t="str">
        <f t="shared" si="66"/>
        <v/>
      </c>
      <c r="M235" s="288" t="str">
        <f t="shared" si="67"/>
        <v/>
      </c>
      <c r="N235" s="288"/>
      <c r="O235" s="288"/>
      <c r="P235" s="288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</row>
    <row r="236" spans="1:28" ht="16.5" hidden="1" customHeight="1" outlineLevel="1" x14ac:dyDescent="0.25">
      <c r="A236" s="150"/>
      <c r="B236" s="329" t="s">
        <v>588</v>
      </c>
      <c r="C236" s="330"/>
      <c r="D236" s="147" t="s">
        <v>8</v>
      </c>
      <c r="E236" s="148">
        <v>2</v>
      </c>
      <c r="F236" s="149" t="s">
        <v>64</v>
      </c>
      <c r="G236" s="148">
        <v>6</v>
      </c>
      <c r="H236" s="148">
        <v>3.5</v>
      </c>
      <c r="I236" s="300" t="str">
        <f t="shared" si="63"/>
        <v/>
      </c>
      <c r="J236" s="300" t="str">
        <f t="shared" si="64"/>
        <v/>
      </c>
      <c r="K236" s="300">
        <f t="shared" si="65"/>
        <v>42</v>
      </c>
      <c r="L236" s="300" t="str">
        <f t="shared" si="66"/>
        <v/>
      </c>
      <c r="M236" s="288" t="str">
        <f t="shared" si="67"/>
        <v/>
      </c>
      <c r="N236" s="288"/>
      <c r="O236" s="288"/>
      <c r="P236" s="288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</row>
    <row r="237" spans="1:28" ht="16.5" hidden="1" customHeight="1" outlineLevel="1" x14ac:dyDescent="0.25">
      <c r="A237" s="150"/>
      <c r="B237" s="329" t="s">
        <v>589</v>
      </c>
      <c r="C237" s="330"/>
      <c r="D237" s="147" t="s">
        <v>8</v>
      </c>
      <c r="E237" s="148">
        <v>2</v>
      </c>
      <c r="F237" s="149" t="s">
        <v>64</v>
      </c>
      <c r="G237" s="148">
        <v>6</v>
      </c>
      <c r="H237" s="148">
        <v>2.62</v>
      </c>
      <c r="I237" s="300" t="str">
        <f t="shared" si="63"/>
        <v/>
      </c>
      <c r="J237" s="300" t="str">
        <f t="shared" si="64"/>
        <v/>
      </c>
      <c r="K237" s="300">
        <f t="shared" si="65"/>
        <v>31.44</v>
      </c>
      <c r="L237" s="300" t="str">
        <f t="shared" si="66"/>
        <v/>
      </c>
      <c r="M237" s="288" t="str">
        <f t="shared" si="67"/>
        <v/>
      </c>
      <c r="N237" s="288"/>
      <c r="O237" s="288"/>
      <c r="P237" s="288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</row>
    <row r="238" spans="1:28" ht="16.5" hidden="1" customHeight="1" outlineLevel="1" x14ac:dyDescent="0.25">
      <c r="A238" s="334"/>
      <c r="B238" s="329" t="s">
        <v>769</v>
      </c>
      <c r="C238" s="330"/>
      <c r="D238" s="147"/>
      <c r="E238" s="148"/>
      <c r="F238" s="149"/>
      <c r="G238" s="148"/>
      <c r="H238" s="148"/>
      <c r="I238" s="300" t="str">
        <f t="shared" si="63"/>
        <v/>
      </c>
      <c r="J238" s="300" t="str">
        <f t="shared" si="64"/>
        <v/>
      </c>
      <c r="K238" s="300" t="str">
        <f t="shared" si="65"/>
        <v/>
      </c>
      <c r="L238" s="300" t="str">
        <f t="shared" si="66"/>
        <v/>
      </c>
      <c r="M238" s="288" t="str">
        <f t="shared" si="67"/>
        <v/>
      </c>
      <c r="N238" s="288"/>
      <c r="O238" s="288"/>
      <c r="P238" s="288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</row>
    <row r="239" spans="1:28" ht="16.5" hidden="1" customHeight="1" outlineLevel="1" x14ac:dyDescent="0.25">
      <c r="A239" s="334"/>
      <c r="B239" s="329" t="s">
        <v>588</v>
      </c>
      <c r="C239" s="330"/>
      <c r="D239" s="147" t="s">
        <v>8</v>
      </c>
      <c r="E239" s="148">
        <v>2</v>
      </c>
      <c r="F239" s="149" t="s">
        <v>64</v>
      </c>
      <c r="G239" s="148">
        <v>10</v>
      </c>
      <c r="H239" s="148">
        <v>1.92</v>
      </c>
      <c r="I239" s="300" t="str">
        <f t="shared" si="63"/>
        <v/>
      </c>
      <c r="J239" s="300" t="str">
        <f t="shared" si="64"/>
        <v/>
      </c>
      <c r="K239" s="300">
        <f t="shared" si="65"/>
        <v>38.4</v>
      </c>
      <c r="L239" s="300" t="str">
        <f t="shared" si="66"/>
        <v/>
      </c>
      <c r="M239" s="288" t="str">
        <f t="shared" si="67"/>
        <v/>
      </c>
      <c r="N239" s="288"/>
      <c r="O239" s="288"/>
      <c r="P239" s="288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</row>
    <row r="240" spans="1:28" ht="16.5" hidden="1" customHeight="1" outlineLevel="1" x14ac:dyDescent="0.25">
      <c r="A240" s="334"/>
      <c r="B240" s="329" t="s">
        <v>589</v>
      </c>
      <c r="C240" s="330"/>
      <c r="D240" s="147" t="s">
        <v>8</v>
      </c>
      <c r="E240" s="148">
        <v>2</v>
      </c>
      <c r="F240" s="149" t="s">
        <v>64</v>
      </c>
      <c r="G240" s="148">
        <v>4</v>
      </c>
      <c r="H240" s="148">
        <v>5.8</v>
      </c>
      <c r="I240" s="300" t="str">
        <f t="shared" si="63"/>
        <v/>
      </c>
      <c r="J240" s="300" t="str">
        <f t="shared" si="64"/>
        <v/>
      </c>
      <c r="K240" s="300">
        <f t="shared" si="65"/>
        <v>46.4</v>
      </c>
      <c r="L240" s="300" t="str">
        <f t="shared" si="66"/>
        <v/>
      </c>
      <c r="M240" s="288" t="str">
        <f t="shared" si="67"/>
        <v/>
      </c>
      <c r="N240" s="288"/>
      <c r="O240" s="288"/>
      <c r="P240" s="288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</row>
    <row r="241" spans="1:28" ht="16.5" hidden="1" customHeight="1" outlineLevel="1" x14ac:dyDescent="0.25">
      <c r="A241" s="334"/>
      <c r="B241" s="329"/>
      <c r="C241" s="330"/>
      <c r="D241" s="147"/>
      <c r="E241" s="148"/>
      <c r="F241" s="149"/>
      <c r="G241" s="148"/>
      <c r="H241" s="255"/>
      <c r="I241" s="300" t="str">
        <f t="shared" si="63"/>
        <v/>
      </c>
      <c r="J241" s="300" t="str">
        <f t="shared" si="64"/>
        <v/>
      </c>
      <c r="K241" s="300" t="str">
        <f t="shared" si="65"/>
        <v/>
      </c>
      <c r="L241" s="300" t="str">
        <f t="shared" si="66"/>
        <v/>
      </c>
      <c r="M241" s="288" t="str">
        <f t="shared" si="67"/>
        <v/>
      </c>
      <c r="N241" s="288"/>
      <c r="O241" s="288"/>
      <c r="P241" s="288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</row>
    <row r="242" spans="1:28" ht="16.5" customHeight="1" collapsed="1" x14ac:dyDescent="0.25">
      <c r="A242" s="173"/>
      <c r="B242" s="808"/>
      <c r="C242" s="809"/>
      <c r="D242" s="145"/>
      <c r="E242" s="145"/>
      <c r="F242" s="145"/>
      <c r="G242" s="817" t="s">
        <v>68</v>
      </c>
      <c r="H242" s="818"/>
      <c r="I242" s="301">
        <f t="shared" ref="I242:N242" si="68">SUM(I223:I241)</f>
        <v>0</v>
      </c>
      <c r="J242" s="301">
        <f t="shared" si="68"/>
        <v>0</v>
      </c>
      <c r="K242" s="301">
        <f t="shared" si="68"/>
        <v>445.65999999999997</v>
      </c>
      <c r="L242" s="301">
        <f t="shared" si="68"/>
        <v>0</v>
      </c>
      <c r="M242" s="301">
        <f t="shared" si="68"/>
        <v>0</v>
      </c>
      <c r="N242" s="301">
        <f t="shared" si="68"/>
        <v>0</v>
      </c>
      <c r="O242" s="301"/>
      <c r="P242" s="289"/>
      <c r="Q242" s="136"/>
      <c r="R242" s="136"/>
      <c r="S242" s="136"/>
      <c r="T242" s="136"/>
      <c r="U242" s="136"/>
      <c r="V242" s="136"/>
      <c r="W242" s="136"/>
      <c r="X242" s="136"/>
      <c r="Y242" s="136"/>
      <c r="Z242" s="136"/>
      <c r="AA242" s="136"/>
      <c r="AB242" s="136"/>
    </row>
    <row r="243" spans="1:28" ht="16.5" customHeight="1" x14ac:dyDescent="0.25">
      <c r="A243" s="146"/>
      <c r="B243" s="808"/>
      <c r="C243" s="809"/>
      <c r="D243" s="30"/>
      <c r="E243" s="33"/>
      <c r="F243" s="34"/>
      <c r="G243" s="810" t="s">
        <v>69</v>
      </c>
      <c r="H243" s="811"/>
      <c r="I243" s="298">
        <v>0.25</v>
      </c>
      <c r="J243" s="298">
        <v>3.97</v>
      </c>
      <c r="K243" s="298">
        <v>0.56000000000000005</v>
      </c>
      <c r="L243" s="298">
        <v>1.02</v>
      </c>
      <c r="M243" s="298">
        <v>1.56</v>
      </c>
      <c r="N243" s="298">
        <v>2.25</v>
      </c>
      <c r="O243" s="298"/>
      <c r="P243" s="284"/>
      <c r="Q243" s="136"/>
      <c r="R243" s="136"/>
      <c r="S243" s="136"/>
      <c r="T243" s="136"/>
      <c r="U243" s="136"/>
      <c r="V243" s="136"/>
      <c r="W243" s="136"/>
      <c r="X243" s="136"/>
      <c r="Y243" s="136"/>
      <c r="Z243" s="136"/>
      <c r="AA243" s="136"/>
      <c r="AB243" s="136"/>
    </row>
    <row r="244" spans="1:28" ht="16.5" customHeight="1" x14ac:dyDescent="0.25">
      <c r="A244" s="31"/>
      <c r="B244" s="808"/>
      <c r="C244" s="809"/>
      <c r="D244" s="32"/>
      <c r="E244" s="33"/>
      <c r="F244" s="34"/>
      <c r="G244" s="810" t="s">
        <v>70</v>
      </c>
      <c r="H244" s="811"/>
      <c r="I244" s="286">
        <f t="shared" ref="I244:N244" si="69">I242*I243</f>
        <v>0</v>
      </c>
      <c r="J244" s="286">
        <f t="shared" si="69"/>
        <v>0</v>
      </c>
      <c r="K244" s="286">
        <f t="shared" si="69"/>
        <v>249.56960000000001</v>
      </c>
      <c r="L244" s="286">
        <f t="shared" si="69"/>
        <v>0</v>
      </c>
      <c r="M244" s="286">
        <f t="shared" si="69"/>
        <v>0</v>
      </c>
      <c r="N244" s="286">
        <f t="shared" si="69"/>
        <v>0</v>
      </c>
      <c r="O244" s="286"/>
      <c r="P244" s="283"/>
      <c r="Q244" s="136"/>
      <c r="R244" s="136"/>
      <c r="S244" s="136"/>
      <c r="T244" s="136"/>
      <c r="U244" s="136"/>
      <c r="V244" s="136"/>
      <c r="W244" s="136"/>
      <c r="X244" s="136"/>
      <c r="Y244" s="136"/>
      <c r="Z244" s="136"/>
      <c r="AA244" s="136"/>
      <c r="AB244" s="136"/>
    </row>
    <row r="245" spans="1:28" ht="15" customHeight="1" x14ac:dyDescent="0.25">
      <c r="A245" s="31"/>
      <c r="B245" s="808"/>
      <c r="C245" s="809"/>
      <c r="D245" s="32"/>
      <c r="E245" s="33"/>
      <c r="F245" s="34"/>
      <c r="G245" s="810" t="s">
        <v>71</v>
      </c>
      <c r="H245" s="811"/>
      <c r="I245" s="286">
        <f t="shared" ref="I245:N245" si="70">ROUNDUP(I242*1.07/9,0)</f>
        <v>0</v>
      </c>
      <c r="J245" s="286">
        <f t="shared" si="70"/>
        <v>0</v>
      </c>
      <c r="K245" s="286">
        <f t="shared" si="70"/>
        <v>53</v>
      </c>
      <c r="L245" s="286">
        <f t="shared" si="70"/>
        <v>0</v>
      </c>
      <c r="M245" s="286">
        <f t="shared" si="70"/>
        <v>0</v>
      </c>
      <c r="N245" s="286">
        <f t="shared" si="70"/>
        <v>0</v>
      </c>
      <c r="O245" s="286"/>
      <c r="P245" s="283"/>
      <c r="Q245" s="136"/>
      <c r="R245" s="136"/>
      <c r="S245" s="136"/>
      <c r="T245" s="136"/>
      <c r="U245" s="136"/>
      <c r="V245" s="136"/>
      <c r="W245" s="136"/>
      <c r="X245" s="136"/>
      <c r="Y245" s="136"/>
      <c r="Z245" s="136"/>
      <c r="AA245" s="136"/>
      <c r="AB245" s="136"/>
    </row>
    <row r="246" spans="1:28" ht="15" customHeight="1" x14ac:dyDescent="0.25">
      <c r="A246" s="248" t="s">
        <v>53</v>
      </c>
      <c r="B246" s="812" t="s">
        <v>242</v>
      </c>
      <c r="C246" s="813"/>
      <c r="D246" s="249"/>
      <c r="E246" s="250"/>
      <c r="F246" s="250"/>
      <c r="G246" s="250"/>
      <c r="H246" s="253"/>
      <c r="I246" s="296"/>
      <c r="J246" s="296"/>
      <c r="K246" s="296"/>
      <c r="L246" s="296"/>
      <c r="M246" s="296"/>
      <c r="N246" s="338"/>
      <c r="O246" s="338"/>
      <c r="P246" s="296">
        <f>SUM(I255:O255)</f>
        <v>132.6848</v>
      </c>
      <c r="Q246" s="135"/>
      <c r="R246" s="135"/>
      <c r="S246" s="135"/>
      <c r="T246" s="135"/>
      <c r="U246" s="135"/>
      <c r="V246" s="135"/>
      <c r="W246" s="135"/>
      <c r="X246" s="135"/>
      <c r="Y246" s="135"/>
      <c r="Z246" s="135"/>
      <c r="AA246" s="135"/>
      <c r="AB246" s="135"/>
    </row>
    <row r="247" spans="1:28" ht="15.75" hidden="1" customHeight="1" outlineLevel="1" x14ac:dyDescent="0.25">
      <c r="A247" s="333" t="s">
        <v>240</v>
      </c>
      <c r="B247" s="329" t="s">
        <v>616</v>
      </c>
      <c r="C247" s="330"/>
      <c r="D247" s="147" t="s">
        <v>8</v>
      </c>
      <c r="E247" s="150">
        <v>1</v>
      </c>
      <c r="F247" s="27" t="s">
        <v>65</v>
      </c>
      <c r="G247" s="150">
        <v>6</v>
      </c>
      <c r="H247" s="150">
        <v>4.32</v>
      </c>
      <c r="I247" s="297" t="str">
        <f t="shared" ref="I247:I252" si="71">IF($F247=$I$6,$E247*$G247*$H247,"")</f>
        <v/>
      </c>
      <c r="J247" s="297" t="str">
        <f t="shared" ref="J247:J252" si="72">IF($F247=$J$6,$E247*$G247*$H247,"")</f>
        <v/>
      </c>
      <c r="K247" s="297" t="str">
        <f t="shared" ref="K247:K252" si="73">IF($F247=$K$6,$E247*$G247*$H247,"")</f>
        <v/>
      </c>
      <c r="L247" s="297">
        <f t="shared" ref="L247:L252" si="74">IF($F247=$L$6,$E247*$G247*$H247,"")</f>
        <v>25.92</v>
      </c>
      <c r="M247" s="336" t="str">
        <f t="shared" ref="M247:M252" si="75">IF($F247=$M$6,$E247*$G247*$H247,"")</f>
        <v/>
      </c>
      <c r="N247" s="288"/>
      <c r="O247" s="288"/>
      <c r="P247" s="29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</row>
    <row r="248" spans="1:28" ht="15.75" hidden="1" customHeight="1" outlineLevel="1" x14ac:dyDescent="0.25">
      <c r="A248" s="333"/>
      <c r="B248" s="329" t="s">
        <v>617</v>
      </c>
      <c r="C248" s="330"/>
      <c r="D248" s="147" t="s">
        <v>8</v>
      </c>
      <c r="E248" s="150">
        <v>1</v>
      </c>
      <c r="F248" s="27" t="s">
        <v>65</v>
      </c>
      <c r="G248" s="150">
        <v>6</v>
      </c>
      <c r="H248" s="150">
        <v>3.63</v>
      </c>
      <c r="I248" s="297" t="str">
        <f t="shared" si="71"/>
        <v/>
      </c>
      <c r="J248" s="297" t="str">
        <f t="shared" si="72"/>
        <v/>
      </c>
      <c r="K248" s="297" t="str">
        <f t="shared" si="73"/>
        <v/>
      </c>
      <c r="L248" s="297">
        <f t="shared" si="74"/>
        <v>21.78</v>
      </c>
      <c r="M248" s="336" t="str">
        <f t="shared" si="75"/>
        <v/>
      </c>
      <c r="N248" s="288"/>
      <c r="O248" s="288"/>
      <c r="P248" s="29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</row>
    <row r="249" spans="1:28" ht="15.75" hidden="1" customHeight="1" outlineLevel="1" x14ac:dyDescent="0.25">
      <c r="A249" s="164"/>
      <c r="B249" s="329" t="s">
        <v>618</v>
      </c>
      <c r="C249" s="330"/>
      <c r="D249" s="147" t="s">
        <v>8</v>
      </c>
      <c r="E249" s="150">
        <v>1</v>
      </c>
      <c r="F249" s="27" t="s">
        <v>65</v>
      </c>
      <c r="G249" s="150">
        <v>6</v>
      </c>
      <c r="H249" s="150">
        <v>3.39</v>
      </c>
      <c r="I249" s="297" t="str">
        <f t="shared" si="71"/>
        <v/>
      </c>
      <c r="J249" s="297" t="str">
        <f t="shared" si="72"/>
        <v/>
      </c>
      <c r="K249" s="297" t="str">
        <f t="shared" si="73"/>
        <v/>
      </c>
      <c r="L249" s="297">
        <f t="shared" si="74"/>
        <v>20.34</v>
      </c>
      <c r="M249" s="336" t="str">
        <f t="shared" si="75"/>
        <v/>
      </c>
      <c r="N249" s="288"/>
      <c r="O249" s="288"/>
      <c r="P249" s="29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</row>
    <row r="250" spans="1:28" ht="15.75" hidden="1" customHeight="1" outlineLevel="1" x14ac:dyDescent="0.25">
      <c r="A250" s="164"/>
      <c r="B250" s="329" t="s">
        <v>619</v>
      </c>
      <c r="C250" s="330"/>
      <c r="D250" s="147" t="s">
        <v>8</v>
      </c>
      <c r="E250" s="150">
        <v>1</v>
      </c>
      <c r="F250" s="27" t="s">
        <v>65</v>
      </c>
      <c r="G250" s="150">
        <v>6</v>
      </c>
      <c r="H250" s="150">
        <v>4.0999999999999996</v>
      </c>
      <c r="I250" s="297" t="str">
        <f t="shared" si="71"/>
        <v/>
      </c>
      <c r="J250" s="297" t="str">
        <f t="shared" si="72"/>
        <v/>
      </c>
      <c r="K250" s="297" t="str">
        <f t="shared" si="73"/>
        <v/>
      </c>
      <c r="L250" s="297">
        <f t="shared" si="74"/>
        <v>24.599999999999998</v>
      </c>
      <c r="M250" s="336" t="str">
        <f t="shared" si="75"/>
        <v/>
      </c>
      <c r="N250" s="288"/>
      <c r="O250" s="288"/>
      <c r="P250" s="29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</row>
    <row r="251" spans="1:28" ht="15.75" hidden="1" customHeight="1" outlineLevel="1" x14ac:dyDescent="0.25">
      <c r="A251" s="164"/>
      <c r="B251" s="329" t="s">
        <v>615</v>
      </c>
      <c r="C251" s="330"/>
      <c r="D251" s="147" t="s">
        <v>8</v>
      </c>
      <c r="E251" s="150">
        <v>2</v>
      </c>
      <c r="F251" s="27" t="s">
        <v>64</v>
      </c>
      <c r="G251" s="150">
        <v>31</v>
      </c>
      <c r="H251" s="150">
        <v>1.1000000000000001</v>
      </c>
      <c r="I251" s="297" t="str">
        <f t="shared" si="71"/>
        <v/>
      </c>
      <c r="J251" s="297" t="str">
        <f t="shared" si="72"/>
        <v/>
      </c>
      <c r="K251" s="297">
        <f t="shared" si="73"/>
        <v>68.2</v>
      </c>
      <c r="L251" s="297" t="str">
        <f t="shared" si="74"/>
        <v/>
      </c>
      <c r="M251" s="336" t="str">
        <f t="shared" si="75"/>
        <v/>
      </c>
      <c r="N251" s="288"/>
      <c r="O251" s="288"/>
      <c r="P251" s="29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</row>
    <row r="252" spans="1:28" ht="15.75" hidden="1" customHeight="1" outlineLevel="1" x14ac:dyDescent="0.25">
      <c r="A252" s="333"/>
      <c r="B252" s="329"/>
      <c r="C252" s="330"/>
      <c r="D252" s="147"/>
      <c r="E252" s="150"/>
      <c r="F252" s="27"/>
      <c r="G252" s="150"/>
      <c r="H252" s="150"/>
      <c r="I252" s="297" t="str">
        <f t="shared" si="71"/>
        <v/>
      </c>
      <c r="J252" s="297" t="str">
        <f t="shared" si="72"/>
        <v/>
      </c>
      <c r="K252" s="297" t="str">
        <f t="shared" si="73"/>
        <v/>
      </c>
      <c r="L252" s="297" t="str">
        <f t="shared" si="74"/>
        <v/>
      </c>
      <c r="M252" s="336" t="str">
        <f t="shared" si="75"/>
        <v/>
      </c>
      <c r="N252" s="288"/>
      <c r="O252" s="288"/>
      <c r="P252" s="29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</row>
    <row r="253" spans="1:28" ht="15.75" customHeight="1" collapsed="1" x14ac:dyDescent="0.25">
      <c r="A253" s="29"/>
      <c r="B253" s="808"/>
      <c r="C253" s="809"/>
      <c r="D253" s="29"/>
      <c r="E253" s="30"/>
      <c r="F253" s="30"/>
      <c r="G253" s="814" t="s">
        <v>68</v>
      </c>
      <c r="H253" s="811"/>
      <c r="I253" s="286">
        <f t="shared" ref="I253:N253" si="76">SUM(I247:I252)</f>
        <v>0</v>
      </c>
      <c r="J253" s="286">
        <f t="shared" si="76"/>
        <v>0</v>
      </c>
      <c r="K253" s="286">
        <f t="shared" si="76"/>
        <v>68.2</v>
      </c>
      <c r="L253" s="286">
        <f t="shared" si="76"/>
        <v>92.64</v>
      </c>
      <c r="M253" s="286">
        <f t="shared" si="76"/>
        <v>0</v>
      </c>
      <c r="N253" s="286">
        <f t="shared" si="76"/>
        <v>0</v>
      </c>
      <c r="O253" s="301"/>
      <c r="P253" s="283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</row>
    <row r="254" spans="1:28" ht="15.75" customHeight="1" x14ac:dyDescent="0.25">
      <c r="A254" s="31"/>
      <c r="B254" s="808"/>
      <c r="C254" s="809"/>
      <c r="D254" s="32"/>
      <c r="E254" s="33"/>
      <c r="F254" s="34"/>
      <c r="G254" s="810" t="s">
        <v>69</v>
      </c>
      <c r="H254" s="811"/>
      <c r="I254" s="298">
        <v>0.25</v>
      </c>
      <c r="J254" s="298">
        <v>3.97</v>
      </c>
      <c r="K254" s="298">
        <v>0.56000000000000005</v>
      </c>
      <c r="L254" s="298">
        <v>1.02</v>
      </c>
      <c r="M254" s="298">
        <v>1.56</v>
      </c>
      <c r="N254" s="298">
        <v>2.25</v>
      </c>
      <c r="O254" s="298"/>
      <c r="P254" s="284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</row>
    <row r="255" spans="1:28" ht="15.75" customHeight="1" x14ac:dyDescent="0.25">
      <c r="A255" s="31"/>
      <c r="B255" s="808"/>
      <c r="C255" s="809"/>
      <c r="D255" s="32"/>
      <c r="E255" s="33"/>
      <c r="F255" s="34"/>
      <c r="G255" s="810" t="s">
        <v>70</v>
      </c>
      <c r="H255" s="811"/>
      <c r="I255" s="286">
        <f t="shared" ref="I255:N255" si="77">I253*I254</f>
        <v>0</v>
      </c>
      <c r="J255" s="286">
        <f t="shared" si="77"/>
        <v>0</v>
      </c>
      <c r="K255" s="286">
        <f>K253*K254</f>
        <v>38.192000000000007</v>
      </c>
      <c r="L255" s="286">
        <f t="shared" si="77"/>
        <v>94.492800000000003</v>
      </c>
      <c r="M255" s="286">
        <f t="shared" si="77"/>
        <v>0</v>
      </c>
      <c r="N255" s="286">
        <f t="shared" si="77"/>
        <v>0</v>
      </c>
      <c r="O255" s="286"/>
      <c r="P255" s="283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</row>
    <row r="256" spans="1:28" ht="15.75" customHeight="1" x14ac:dyDescent="0.25">
      <c r="A256" s="31"/>
      <c r="B256" s="808"/>
      <c r="C256" s="809"/>
      <c r="D256" s="32"/>
      <c r="E256" s="33"/>
      <c r="F256" s="34"/>
      <c r="G256" s="810" t="s">
        <v>71</v>
      </c>
      <c r="H256" s="811"/>
      <c r="I256" s="286">
        <f t="shared" ref="I256:N256" si="78">ROUNDUP(I253*1.07/9,0)</f>
        <v>0</v>
      </c>
      <c r="J256" s="286">
        <f t="shared" si="78"/>
        <v>0</v>
      </c>
      <c r="K256" s="286">
        <f t="shared" si="78"/>
        <v>9</v>
      </c>
      <c r="L256" s="286">
        <f>ROUNDUP(L253*1.07/9,0)</f>
        <v>12</v>
      </c>
      <c r="M256" s="286">
        <f t="shared" si="78"/>
        <v>0</v>
      </c>
      <c r="N256" s="286">
        <f t="shared" si="78"/>
        <v>0</v>
      </c>
      <c r="O256" s="286"/>
      <c r="P256" s="283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</row>
    <row r="257" spans="1:28" ht="15" customHeight="1" x14ac:dyDescent="0.25">
      <c r="A257" s="324"/>
      <c r="B257" s="326" t="s">
        <v>47</v>
      </c>
      <c r="C257" s="327"/>
      <c r="D257" s="325"/>
      <c r="E257" s="25"/>
      <c r="F257" s="25"/>
      <c r="G257" s="25"/>
      <c r="H257" s="252"/>
      <c r="I257" s="295">
        <f>+I256+I245+I221+I179</f>
        <v>114</v>
      </c>
      <c r="J257" s="295">
        <f t="shared" ref="J257:O257" si="79">+J256+J245+J221+J179</f>
        <v>64</v>
      </c>
      <c r="K257" s="295">
        <f t="shared" si="79"/>
        <v>73</v>
      </c>
      <c r="L257" s="295">
        <f t="shared" si="79"/>
        <v>116</v>
      </c>
      <c r="M257" s="295">
        <f t="shared" si="79"/>
        <v>30</v>
      </c>
      <c r="N257" s="295">
        <f t="shared" si="79"/>
        <v>0</v>
      </c>
      <c r="O257" s="295">
        <f t="shared" si="79"/>
        <v>0</v>
      </c>
      <c r="P257" s="281"/>
      <c r="Q257" s="135"/>
      <c r="R257" s="135"/>
      <c r="S257" s="135"/>
      <c r="T257" s="135"/>
      <c r="U257" s="135"/>
      <c r="V257" s="135"/>
      <c r="W257" s="135"/>
      <c r="X257" s="135"/>
      <c r="Y257" s="135"/>
      <c r="Z257" s="135"/>
      <c r="AA257" s="135"/>
      <c r="AB257" s="135"/>
    </row>
    <row r="258" spans="1:28" ht="15" customHeight="1" x14ac:dyDescent="0.25">
      <c r="A258" s="479" t="s">
        <v>53</v>
      </c>
      <c r="B258" s="826" t="s">
        <v>389</v>
      </c>
      <c r="C258" s="827"/>
      <c r="D258" s="478"/>
      <c r="E258" s="388"/>
      <c r="F258" s="388"/>
      <c r="G258" s="388"/>
      <c r="H258" s="389"/>
      <c r="I258" s="338"/>
      <c r="J258" s="338"/>
      <c r="K258" s="338"/>
      <c r="L258" s="338"/>
      <c r="M258" s="338"/>
      <c r="N258" s="338"/>
      <c r="O258" s="338"/>
      <c r="P258" s="338">
        <f>SUM(I276:O276)</f>
        <v>418.8048</v>
      </c>
      <c r="Q258" s="135"/>
      <c r="R258" s="135"/>
      <c r="S258" s="135"/>
      <c r="T258" s="135"/>
      <c r="U258" s="135"/>
      <c r="V258" s="135"/>
      <c r="W258" s="135"/>
      <c r="X258" s="135"/>
      <c r="Y258" s="135"/>
      <c r="Z258" s="135"/>
      <c r="AA258" s="135"/>
      <c r="AB258" s="135"/>
    </row>
    <row r="259" spans="1:28" ht="15" hidden="1" customHeight="1" outlineLevel="1" x14ac:dyDescent="0.25">
      <c r="A259" s="502"/>
      <c r="B259" s="504" t="s">
        <v>395</v>
      </c>
      <c r="C259" s="507"/>
      <c r="D259" s="505"/>
      <c r="E259" s="148"/>
      <c r="F259" s="149"/>
      <c r="G259" s="148"/>
      <c r="H259" s="509"/>
      <c r="I259" s="300" t="str">
        <f t="shared" ref="I259:I310" si="80">IF($F259=$I$6,$E259*$G259*$H259,"")</f>
        <v/>
      </c>
      <c r="J259" s="300" t="str">
        <f t="shared" ref="J259:J310" si="81">IF($F259=$J$6,$E259*$G259*$H259,"")</f>
        <v/>
      </c>
      <c r="K259" s="300" t="str">
        <f t="shared" ref="K259:K310" si="82">IF($F259=$K$6,$E259*$G259*$H259,"")</f>
        <v/>
      </c>
      <c r="L259" s="300" t="str">
        <f t="shared" ref="L259:L310" si="83">IF($F259=$L$6,$E259*$G259*$H259,"")</f>
        <v/>
      </c>
      <c r="M259" s="300" t="str">
        <f t="shared" ref="M259:M310" si="84">IF($F259=$M$6,$E259*$G259*$H259,"")</f>
        <v/>
      </c>
      <c r="N259" s="300" t="str">
        <f t="shared" ref="N259:N310" si="85">IF($F259=$N$6,$E259*$G259*$H259,"")</f>
        <v/>
      </c>
      <c r="O259" s="300" t="str">
        <f>IF($F259=$O$6,$E259*$G259*$H259,"")</f>
        <v/>
      </c>
      <c r="P259" s="288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</row>
    <row r="260" spans="1:28" ht="15" hidden="1" customHeight="1" outlineLevel="1" x14ac:dyDescent="0.25">
      <c r="A260" s="503"/>
      <c r="B260" s="504" t="s">
        <v>73</v>
      </c>
      <c r="C260" s="507"/>
      <c r="D260" s="505" t="s">
        <v>8</v>
      </c>
      <c r="E260" s="148">
        <v>3</v>
      </c>
      <c r="F260" s="149" t="s">
        <v>64</v>
      </c>
      <c r="G260" s="148">
        <v>29</v>
      </c>
      <c r="H260" s="510">
        <f>2*1.54</f>
        <v>3.08</v>
      </c>
      <c r="I260" s="300" t="str">
        <f t="shared" si="80"/>
        <v/>
      </c>
      <c r="J260" s="300" t="str">
        <f t="shared" si="81"/>
        <v/>
      </c>
      <c r="K260" s="300">
        <f t="shared" si="82"/>
        <v>267.95999999999998</v>
      </c>
      <c r="L260" s="300" t="str">
        <f t="shared" si="83"/>
        <v/>
      </c>
      <c r="M260" s="300" t="str">
        <f t="shared" si="84"/>
        <v/>
      </c>
      <c r="N260" s="300" t="str">
        <f t="shared" si="85"/>
        <v/>
      </c>
      <c r="O260" s="300" t="str">
        <f t="shared" ref="O260:O273" si="86">IF($F260=$O$6,$E260*$G260*$H260,"")</f>
        <v/>
      </c>
      <c r="P260" s="288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</row>
    <row r="261" spans="1:28" ht="15" hidden="1" customHeight="1" outlineLevel="1" x14ac:dyDescent="0.25">
      <c r="A261" s="502"/>
      <c r="B261" s="504" t="s">
        <v>398</v>
      </c>
      <c r="C261" s="507"/>
      <c r="D261" s="505"/>
      <c r="E261" s="148"/>
      <c r="F261" s="149"/>
      <c r="G261" s="148"/>
      <c r="H261" s="510"/>
      <c r="I261" s="300" t="str">
        <f t="shared" si="80"/>
        <v/>
      </c>
      <c r="J261" s="300" t="str">
        <f t="shared" si="81"/>
        <v/>
      </c>
      <c r="K261" s="300" t="str">
        <f t="shared" si="82"/>
        <v/>
      </c>
      <c r="L261" s="300" t="str">
        <f t="shared" si="83"/>
        <v/>
      </c>
      <c r="M261" s="300" t="str">
        <f t="shared" si="84"/>
        <v/>
      </c>
      <c r="N261" s="300" t="str">
        <f t="shared" si="85"/>
        <v/>
      </c>
      <c r="O261" s="300" t="str">
        <f t="shared" si="86"/>
        <v/>
      </c>
      <c r="P261" s="288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</row>
    <row r="262" spans="1:28" ht="15" hidden="1" customHeight="1" outlineLevel="1" x14ac:dyDescent="0.25">
      <c r="A262" s="503"/>
      <c r="B262" s="504" t="s">
        <v>73</v>
      </c>
      <c r="C262" s="507"/>
      <c r="D262" s="505" t="s">
        <v>8</v>
      </c>
      <c r="E262" s="148">
        <v>1</v>
      </c>
      <c r="F262" s="149" t="s">
        <v>64</v>
      </c>
      <c r="G262" s="148">
        <v>28</v>
      </c>
      <c r="H262" s="510">
        <f>2*1.74</f>
        <v>3.48</v>
      </c>
      <c r="I262" s="300" t="str">
        <f t="shared" si="80"/>
        <v/>
      </c>
      <c r="J262" s="300" t="str">
        <f t="shared" si="81"/>
        <v/>
      </c>
      <c r="K262" s="300">
        <f t="shared" si="82"/>
        <v>97.44</v>
      </c>
      <c r="L262" s="300" t="str">
        <f t="shared" si="83"/>
        <v/>
      </c>
      <c r="M262" s="300" t="str">
        <f t="shared" si="84"/>
        <v/>
      </c>
      <c r="N262" s="300" t="str">
        <f t="shared" si="85"/>
        <v/>
      </c>
      <c r="O262" s="300" t="str">
        <f t="shared" si="86"/>
        <v/>
      </c>
      <c r="P262" s="288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</row>
    <row r="263" spans="1:28" ht="15" hidden="1" customHeight="1" outlineLevel="1" x14ac:dyDescent="0.25">
      <c r="A263" s="502"/>
      <c r="B263" s="504" t="s">
        <v>435</v>
      </c>
      <c r="C263" s="507"/>
      <c r="D263" s="505"/>
      <c r="E263" s="148"/>
      <c r="F263" s="149"/>
      <c r="G263" s="148"/>
      <c r="H263" s="510"/>
      <c r="I263" s="300" t="str">
        <f t="shared" si="80"/>
        <v/>
      </c>
      <c r="J263" s="300" t="str">
        <f t="shared" si="81"/>
        <v/>
      </c>
      <c r="K263" s="300" t="str">
        <f t="shared" si="82"/>
        <v/>
      </c>
      <c r="L263" s="300" t="str">
        <f t="shared" si="83"/>
        <v/>
      </c>
      <c r="M263" s="300" t="str">
        <f t="shared" si="84"/>
        <v/>
      </c>
      <c r="N263" s="300" t="str">
        <f t="shared" si="85"/>
        <v/>
      </c>
      <c r="O263" s="300" t="str">
        <f t="shared" si="86"/>
        <v/>
      </c>
      <c r="P263" s="288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</row>
    <row r="264" spans="1:28" ht="15" hidden="1" customHeight="1" outlineLevel="1" x14ac:dyDescent="0.25">
      <c r="A264" s="503"/>
      <c r="B264" s="504" t="s">
        <v>73</v>
      </c>
      <c r="C264" s="507"/>
      <c r="D264" s="505" t="s">
        <v>8</v>
      </c>
      <c r="E264" s="148">
        <v>2</v>
      </c>
      <c r="F264" s="149" t="s">
        <v>64</v>
      </c>
      <c r="G264" s="148">
        <v>29</v>
      </c>
      <c r="H264" s="510">
        <f>2*1.44</f>
        <v>2.88</v>
      </c>
      <c r="I264" s="300" t="str">
        <f>IF($F264=$I$6,$E264*$G264*$H264,"")</f>
        <v/>
      </c>
      <c r="J264" s="300" t="str">
        <f>IF($F264=$J$6,$E264*$G264*$H264,"")</f>
        <v/>
      </c>
      <c r="K264" s="300">
        <f>IF($F264=$K$6,$E264*$G264*$H264,"")</f>
        <v>167.04</v>
      </c>
      <c r="L264" s="300" t="str">
        <f>IF($F264=$L$6,$E264*$G264*$H264,"")</f>
        <v/>
      </c>
      <c r="M264" s="300" t="str">
        <f>IF($F264=$M$6,$E264*$G264*$H264,"")</f>
        <v/>
      </c>
      <c r="N264" s="300" t="str">
        <f>IF($F264=$N$6,$E264*$G264*$H264,"")</f>
        <v/>
      </c>
      <c r="O264" s="300" t="str">
        <f>IF($F264=$O$6,$E264*$G264*$H264,"")</f>
        <v/>
      </c>
      <c r="P264" s="288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</row>
    <row r="265" spans="1:28" ht="15" hidden="1" customHeight="1" outlineLevel="1" x14ac:dyDescent="0.25">
      <c r="A265" s="502"/>
      <c r="B265" s="504" t="s">
        <v>518</v>
      </c>
      <c r="C265" s="507"/>
      <c r="D265" s="505"/>
      <c r="E265" s="148"/>
      <c r="F265" s="149"/>
      <c r="G265" s="148"/>
      <c r="H265" s="510"/>
      <c r="I265" s="300" t="str">
        <f t="shared" si="80"/>
        <v/>
      </c>
      <c r="J265" s="300" t="str">
        <f t="shared" si="81"/>
        <v/>
      </c>
      <c r="K265" s="300" t="str">
        <f t="shared" si="82"/>
        <v/>
      </c>
      <c r="L265" s="300" t="str">
        <f t="shared" si="83"/>
        <v/>
      </c>
      <c r="M265" s="300" t="str">
        <f t="shared" si="84"/>
        <v/>
      </c>
      <c r="N265" s="300" t="str">
        <f t="shared" si="85"/>
        <v/>
      </c>
      <c r="O265" s="300" t="str">
        <f t="shared" si="86"/>
        <v/>
      </c>
      <c r="P265" s="288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</row>
    <row r="266" spans="1:28" ht="15" hidden="1" customHeight="1" outlineLevel="1" x14ac:dyDescent="0.25">
      <c r="A266" s="503"/>
      <c r="B266" s="504" t="s">
        <v>73</v>
      </c>
      <c r="C266" s="507"/>
      <c r="D266" s="505" t="s">
        <v>8</v>
      </c>
      <c r="E266" s="148">
        <v>1</v>
      </c>
      <c r="F266" s="149" t="s">
        <v>64</v>
      </c>
      <c r="G266" s="148">
        <v>28</v>
      </c>
      <c r="H266" s="509">
        <f>2*1.94</f>
        <v>3.88</v>
      </c>
      <c r="I266" s="300" t="str">
        <f t="shared" si="80"/>
        <v/>
      </c>
      <c r="J266" s="300" t="str">
        <f t="shared" si="81"/>
        <v/>
      </c>
      <c r="K266" s="300">
        <f t="shared" si="82"/>
        <v>108.64</v>
      </c>
      <c r="L266" s="300" t="str">
        <f t="shared" si="83"/>
        <v/>
      </c>
      <c r="M266" s="300" t="str">
        <f t="shared" si="84"/>
        <v/>
      </c>
      <c r="N266" s="300" t="str">
        <f t="shared" si="85"/>
        <v/>
      </c>
      <c r="O266" s="300" t="str">
        <f t="shared" si="86"/>
        <v/>
      </c>
      <c r="P266" s="288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</row>
    <row r="267" spans="1:28" ht="15" hidden="1" customHeight="1" outlineLevel="1" x14ac:dyDescent="0.25">
      <c r="A267" s="502"/>
      <c r="B267" s="504" t="s">
        <v>538</v>
      </c>
      <c r="C267" s="507"/>
      <c r="D267" s="505"/>
      <c r="E267" s="148"/>
      <c r="F267" s="149"/>
      <c r="G267" s="148"/>
      <c r="H267" s="509"/>
      <c r="I267" s="300" t="str">
        <f t="shared" si="80"/>
        <v/>
      </c>
      <c r="J267" s="300" t="str">
        <f t="shared" si="81"/>
        <v/>
      </c>
      <c r="K267" s="300" t="str">
        <f t="shared" si="82"/>
        <v/>
      </c>
      <c r="L267" s="300" t="str">
        <f t="shared" si="83"/>
        <v/>
      </c>
      <c r="M267" s="300" t="str">
        <f t="shared" si="84"/>
        <v/>
      </c>
      <c r="N267" s="300" t="str">
        <f t="shared" si="85"/>
        <v/>
      </c>
      <c r="O267" s="300" t="str">
        <f t="shared" si="86"/>
        <v/>
      </c>
      <c r="P267" s="288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</row>
    <row r="268" spans="1:28" ht="15" hidden="1" customHeight="1" outlineLevel="1" x14ac:dyDescent="0.25">
      <c r="A268" s="503"/>
      <c r="B268" s="504" t="s">
        <v>396</v>
      </c>
      <c r="C268" s="507"/>
      <c r="D268" s="505" t="s">
        <v>8</v>
      </c>
      <c r="E268" s="148">
        <v>4</v>
      </c>
      <c r="F268" s="149" t="s">
        <v>65</v>
      </c>
      <c r="G268" s="148">
        <v>3.4</v>
      </c>
      <c r="H268" s="510"/>
      <c r="I268" s="300" t="str">
        <f t="shared" si="80"/>
        <v/>
      </c>
      <c r="J268" s="300" t="str">
        <f t="shared" si="81"/>
        <v/>
      </c>
      <c r="K268" s="300" t="str">
        <f t="shared" si="82"/>
        <v/>
      </c>
      <c r="L268" s="300">
        <f t="shared" si="83"/>
        <v>0</v>
      </c>
      <c r="M268" s="300" t="str">
        <f t="shared" si="84"/>
        <v/>
      </c>
      <c r="N268" s="300" t="str">
        <f t="shared" si="85"/>
        <v/>
      </c>
      <c r="O268" s="300" t="str">
        <f t="shared" si="86"/>
        <v/>
      </c>
      <c r="P268" s="288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</row>
    <row r="269" spans="1:28" ht="15" hidden="1" customHeight="1" outlineLevel="1" x14ac:dyDescent="0.25">
      <c r="A269" s="503"/>
      <c r="B269" s="504" t="s">
        <v>73</v>
      </c>
      <c r="C269" s="507"/>
      <c r="D269" s="505" t="s">
        <v>8</v>
      </c>
      <c r="E269" s="148">
        <v>4</v>
      </c>
      <c r="F269" s="149" t="s">
        <v>514</v>
      </c>
      <c r="G269" s="148">
        <v>23</v>
      </c>
      <c r="H269" s="509">
        <v>0.86</v>
      </c>
      <c r="I269" s="300">
        <f t="shared" si="80"/>
        <v>79.12</v>
      </c>
      <c r="J269" s="300" t="str">
        <f t="shared" si="81"/>
        <v/>
      </c>
      <c r="K269" s="300" t="str">
        <f t="shared" si="82"/>
        <v/>
      </c>
      <c r="L269" s="300" t="str">
        <f t="shared" si="83"/>
        <v/>
      </c>
      <c r="M269" s="300" t="str">
        <f t="shared" si="84"/>
        <v/>
      </c>
      <c r="N269" s="300" t="str">
        <f t="shared" si="85"/>
        <v/>
      </c>
      <c r="O269" s="300" t="str">
        <f t="shared" si="86"/>
        <v/>
      </c>
      <c r="P269" s="288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</row>
    <row r="270" spans="1:28" ht="15" hidden="1" customHeight="1" outlineLevel="1" x14ac:dyDescent="0.25">
      <c r="A270" s="502"/>
      <c r="B270" s="504" t="s">
        <v>539</v>
      </c>
      <c r="C270" s="507"/>
      <c r="D270" s="505"/>
      <c r="E270" s="148"/>
      <c r="F270" s="149"/>
      <c r="G270" s="148"/>
      <c r="H270" s="509"/>
      <c r="I270" s="300" t="str">
        <f t="shared" si="80"/>
        <v/>
      </c>
      <c r="J270" s="300" t="str">
        <f t="shared" si="81"/>
        <v/>
      </c>
      <c r="K270" s="300" t="str">
        <f t="shared" si="82"/>
        <v/>
      </c>
      <c r="L270" s="300" t="str">
        <f t="shared" si="83"/>
        <v/>
      </c>
      <c r="M270" s="300" t="str">
        <f t="shared" si="84"/>
        <v/>
      </c>
      <c r="N270" s="300" t="str">
        <f t="shared" si="85"/>
        <v/>
      </c>
      <c r="O270" s="300" t="str">
        <f t="shared" si="86"/>
        <v/>
      </c>
      <c r="P270" s="288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</row>
    <row r="271" spans="1:28" ht="15" hidden="1" customHeight="1" outlineLevel="1" x14ac:dyDescent="0.25">
      <c r="A271" s="503"/>
      <c r="B271" s="504" t="s">
        <v>396</v>
      </c>
      <c r="C271" s="506"/>
      <c r="D271" s="505" t="s">
        <v>8</v>
      </c>
      <c r="E271" s="148">
        <v>6</v>
      </c>
      <c r="F271" s="149" t="s">
        <v>65</v>
      </c>
      <c r="G271" s="148">
        <v>3.4</v>
      </c>
      <c r="H271" s="510"/>
      <c r="I271" s="300" t="str">
        <f t="shared" si="80"/>
        <v/>
      </c>
      <c r="J271" s="300" t="str">
        <f t="shared" si="81"/>
        <v/>
      </c>
      <c r="K271" s="300" t="str">
        <f t="shared" si="82"/>
        <v/>
      </c>
      <c r="L271" s="300">
        <f t="shared" si="83"/>
        <v>0</v>
      </c>
      <c r="M271" s="300" t="str">
        <f t="shared" si="84"/>
        <v/>
      </c>
      <c r="N271" s="300" t="str">
        <f t="shared" si="85"/>
        <v/>
      </c>
      <c r="O271" s="300" t="str">
        <f t="shared" si="86"/>
        <v/>
      </c>
      <c r="P271" s="288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</row>
    <row r="272" spans="1:28" ht="15" hidden="1" customHeight="1" outlineLevel="1" x14ac:dyDescent="0.25">
      <c r="A272" s="349"/>
      <c r="B272" s="508" t="s">
        <v>73</v>
      </c>
      <c r="C272" s="507"/>
      <c r="D272" s="505" t="s">
        <v>8</v>
      </c>
      <c r="E272" s="148">
        <v>6</v>
      </c>
      <c r="F272" s="149" t="s">
        <v>514</v>
      </c>
      <c r="G272" s="148">
        <v>23</v>
      </c>
      <c r="H272" s="509">
        <v>1.1599999999999999</v>
      </c>
      <c r="I272" s="300">
        <f t="shared" si="80"/>
        <v>160.07999999999998</v>
      </c>
      <c r="J272" s="300" t="str">
        <f t="shared" si="81"/>
        <v/>
      </c>
      <c r="K272" s="300" t="str">
        <f t="shared" si="82"/>
        <v/>
      </c>
      <c r="L272" s="300" t="str">
        <f t="shared" si="83"/>
        <v/>
      </c>
      <c r="M272" s="300" t="str">
        <f t="shared" si="84"/>
        <v/>
      </c>
      <c r="N272" s="300" t="str">
        <f t="shared" si="85"/>
        <v/>
      </c>
      <c r="O272" s="300" t="str">
        <f t="shared" si="86"/>
        <v/>
      </c>
      <c r="P272" s="288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</row>
    <row r="273" spans="1:28" ht="15" hidden="1" customHeight="1" outlineLevel="1" x14ac:dyDescent="0.25">
      <c r="A273" s="501"/>
      <c r="B273" s="398"/>
      <c r="C273" s="399"/>
      <c r="D273" s="400"/>
      <c r="E273" s="134"/>
      <c r="F273" s="331"/>
      <c r="G273" s="401"/>
      <c r="H273" s="468"/>
      <c r="I273" s="469" t="str">
        <f t="shared" si="80"/>
        <v/>
      </c>
      <c r="J273" s="470" t="str">
        <f t="shared" si="81"/>
        <v/>
      </c>
      <c r="K273" s="470" t="str">
        <f t="shared" si="82"/>
        <v/>
      </c>
      <c r="L273" s="470" t="str">
        <f t="shared" si="83"/>
        <v/>
      </c>
      <c r="M273" s="470" t="str">
        <f t="shared" si="84"/>
        <v/>
      </c>
      <c r="N273" s="470" t="str">
        <f t="shared" si="85"/>
        <v/>
      </c>
      <c r="O273" s="469" t="str">
        <f t="shared" si="86"/>
        <v/>
      </c>
      <c r="P273" s="47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</row>
    <row r="274" spans="1:28" ht="15" customHeight="1" collapsed="1" x14ac:dyDescent="0.25">
      <c r="A274" s="29"/>
      <c r="B274" s="828"/>
      <c r="C274" s="829"/>
      <c r="D274" s="144"/>
      <c r="E274" s="145"/>
      <c r="F274" s="145"/>
      <c r="G274" s="817"/>
      <c r="H274" s="818"/>
      <c r="I274" s="301">
        <f t="shared" ref="I274:O274" si="87">SUM(I259:I273)</f>
        <v>239.2</v>
      </c>
      <c r="J274" s="301">
        <f t="shared" si="87"/>
        <v>0</v>
      </c>
      <c r="K274" s="301">
        <f t="shared" si="87"/>
        <v>641.07999999999993</v>
      </c>
      <c r="L274" s="301">
        <f t="shared" si="87"/>
        <v>0</v>
      </c>
      <c r="M274" s="301">
        <f t="shared" si="87"/>
        <v>0</v>
      </c>
      <c r="N274" s="301">
        <f t="shared" si="87"/>
        <v>0</v>
      </c>
      <c r="O274" s="301">
        <f t="shared" si="87"/>
        <v>0</v>
      </c>
      <c r="P274" s="283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</row>
    <row r="275" spans="1:28" ht="15" customHeight="1" x14ac:dyDescent="0.25">
      <c r="A275" s="31"/>
      <c r="B275" s="819"/>
      <c r="C275" s="820"/>
      <c r="D275" s="32"/>
      <c r="E275" s="33"/>
      <c r="F275" s="34"/>
      <c r="G275" s="821" t="s">
        <v>69</v>
      </c>
      <c r="H275" s="822"/>
      <c r="I275" s="298">
        <v>0.25</v>
      </c>
      <c r="J275" s="298">
        <v>3.97</v>
      </c>
      <c r="K275" s="298">
        <v>0.56000000000000005</v>
      </c>
      <c r="L275" s="298">
        <v>1.02</v>
      </c>
      <c r="M275" s="298">
        <v>1.56</v>
      </c>
      <c r="N275" s="298">
        <v>2.25</v>
      </c>
      <c r="O275" s="335">
        <v>0.39500000000000002</v>
      </c>
      <c r="P275" s="284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</row>
    <row r="276" spans="1:28" ht="15" customHeight="1" x14ac:dyDescent="0.25">
      <c r="A276" s="31"/>
      <c r="B276" s="819"/>
      <c r="C276" s="820"/>
      <c r="D276" s="32"/>
      <c r="E276" s="33"/>
      <c r="F276" s="34"/>
      <c r="G276" s="821" t="s">
        <v>70</v>
      </c>
      <c r="H276" s="822"/>
      <c r="I276" s="286">
        <f t="shared" ref="I276:O276" si="88">I274*I275</f>
        <v>59.8</v>
      </c>
      <c r="J276" s="286">
        <f t="shared" si="88"/>
        <v>0</v>
      </c>
      <c r="K276" s="286">
        <f t="shared" si="88"/>
        <v>359.00479999999999</v>
      </c>
      <c r="L276" s="286">
        <f t="shared" si="88"/>
        <v>0</v>
      </c>
      <c r="M276" s="286">
        <f t="shared" si="88"/>
        <v>0</v>
      </c>
      <c r="N276" s="286">
        <f t="shared" si="88"/>
        <v>0</v>
      </c>
      <c r="O276" s="286">
        <f t="shared" si="88"/>
        <v>0</v>
      </c>
      <c r="P276" s="283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</row>
    <row r="277" spans="1:28" ht="15" customHeight="1" x14ac:dyDescent="0.25">
      <c r="A277" s="31"/>
      <c r="B277" s="819"/>
      <c r="C277" s="820"/>
      <c r="D277" s="32"/>
      <c r="E277" s="33"/>
      <c r="F277" s="34"/>
      <c r="G277" s="821" t="s">
        <v>71</v>
      </c>
      <c r="H277" s="822"/>
      <c r="I277" s="286">
        <f t="shared" ref="I277:O277" si="89">ROUNDUP(I274*1.07/9,0)</f>
        <v>29</v>
      </c>
      <c r="J277" s="286">
        <f t="shared" si="89"/>
        <v>0</v>
      </c>
      <c r="K277" s="286">
        <f t="shared" si="89"/>
        <v>77</v>
      </c>
      <c r="L277" s="286">
        <f t="shared" si="89"/>
        <v>0</v>
      </c>
      <c r="M277" s="286">
        <f t="shared" si="89"/>
        <v>0</v>
      </c>
      <c r="N277" s="286">
        <f t="shared" si="89"/>
        <v>0</v>
      </c>
      <c r="O277" s="286">
        <f t="shared" si="89"/>
        <v>0</v>
      </c>
      <c r="P277" s="283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</row>
    <row r="278" spans="1:28" ht="15" customHeight="1" x14ac:dyDescent="0.25">
      <c r="A278" s="248" t="s">
        <v>53</v>
      </c>
      <c r="B278" s="812" t="s">
        <v>390</v>
      </c>
      <c r="C278" s="813"/>
      <c r="D278" s="249"/>
      <c r="E278" s="250"/>
      <c r="F278" s="250"/>
      <c r="G278" s="250"/>
      <c r="H278" s="253"/>
      <c r="I278" s="296"/>
      <c r="J278" s="296"/>
      <c r="K278" s="296"/>
      <c r="L278" s="296"/>
      <c r="M278" s="296"/>
      <c r="N278" s="296"/>
      <c r="O278" s="296"/>
      <c r="P278" s="296">
        <f>SUM(I313:O313)</f>
        <v>626.52240000000018</v>
      </c>
      <c r="Q278" s="135"/>
      <c r="R278" s="135"/>
      <c r="S278" s="135"/>
      <c r="T278" s="135"/>
      <c r="U278" s="135"/>
      <c r="V278" s="135"/>
      <c r="W278" s="135"/>
      <c r="X278" s="135"/>
      <c r="Y278" s="135"/>
      <c r="Z278" s="135"/>
      <c r="AA278" s="135"/>
      <c r="AB278" s="135"/>
    </row>
    <row r="279" spans="1:28" ht="15" hidden="1" customHeight="1" outlineLevel="1" x14ac:dyDescent="0.25">
      <c r="A279" s="512"/>
      <c r="B279" s="499" t="s">
        <v>399</v>
      </c>
      <c r="C279" s="378"/>
      <c r="D279" s="166"/>
      <c r="E279" s="148"/>
      <c r="F279" s="149"/>
      <c r="G279" s="148"/>
      <c r="H279" s="255"/>
      <c r="I279" s="299" t="str">
        <f t="shared" si="80"/>
        <v/>
      </c>
      <c r="J279" s="297" t="str">
        <f t="shared" si="81"/>
        <v/>
      </c>
      <c r="K279" s="297" t="str">
        <f t="shared" si="82"/>
        <v/>
      </c>
      <c r="L279" s="297" t="str">
        <f t="shared" si="83"/>
        <v/>
      </c>
      <c r="M279" s="297" t="str">
        <f t="shared" si="84"/>
        <v/>
      </c>
      <c r="N279" s="297" t="str">
        <f t="shared" si="85"/>
        <v/>
      </c>
      <c r="O279" s="297" t="str">
        <f t="shared" ref="O279:O310" si="90">IF($F279=$O$6,$E279*$G279*$H279,"")</f>
        <v/>
      </c>
      <c r="P279" s="282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</row>
    <row r="280" spans="1:28" ht="15" hidden="1" customHeight="1" outlineLevel="1" x14ac:dyDescent="0.25">
      <c r="A280" s="500"/>
      <c r="B280" s="499" t="s">
        <v>401</v>
      </c>
      <c r="C280" s="378"/>
      <c r="D280" s="166" t="s">
        <v>8</v>
      </c>
      <c r="E280" s="148">
        <v>1</v>
      </c>
      <c r="F280" s="149" t="s">
        <v>64</v>
      </c>
      <c r="G280" s="148">
        <v>20</v>
      </c>
      <c r="H280" s="510">
        <v>4.42</v>
      </c>
      <c r="I280" s="299" t="str">
        <f t="shared" si="80"/>
        <v/>
      </c>
      <c r="J280" s="297" t="str">
        <f t="shared" si="81"/>
        <v/>
      </c>
      <c r="K280" s="297">
        <f t="shared" si="82"/>
        <v>88.4</v>
      </c>
      <c r="L280" s="297" t="str">
        <f t="shared" si="83"/>
        <v/>
      </c>
      <c r="M280" s="297" t="str">
        <f t="shared" si="84"/>
        <v/>
      </c>
      <c r="N280" s="297" t="str">
        <f t="shared" si="85"/>
        <v/>
      </c>
      <c r="O280" s="297" t="str">
        <f t="shared" si="90"/>
        <v/>
      </c>
      <c r="P280" s="282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</row>
    <row r="281" spans="1:28" ht="15" hidden="1" customHeight="1" outlineLevel="1" x14ac:dyDescent="0.25">
      <c r="A281" s="513"/>
      <c r="B281" s="499" t="s">
        <v>519</v>
      </c>
      <c r="C281" s="378"/>
      <c r="D281" s="166"/>
      <c r="E281" s="148"/>
      <c r="F281" s="149"/>
      <c r="G281" s="148"/>
      <c r="H281" s="510"/>
      <c r="I281" s="299" t="str">
        <f t="shared" si="80"/>
        <v/>
      </c>
      <c r="J281" s="297" t="str">
        <f t="shared" si="81"/>
        <v/>
      </c>
      <c r="K281" s="297" t="str">
        <f t="shared" si="82"/>
        <v/>
      </c>
      <c r="L281" s="297" t="str">
        <f t="shared" si="83"/>
        <v/>
      </c>
      <c r="M281" s="297" t="str">
        <f t="shared" si="84"/>
        <v/>
      </c>
      <c r="N281" s="297" t="str">
        <f t="shared" si="85"/>
        <v/>
      </c>
      <c r="O281" s="297" t="str">
        <f t="shared" si="90"/>
        <v/>
      </c>
      <c r="P281" s="282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</row>
    <row r="282" spans="1:28" ht="15" hidden="1" customHeight="1" outlineLevel="1" x14ac:dyDescent="0.25">
      <c r="A282" s="500"/>
      <c r="B282" s="499" t="s">
        <v>400</v>
      </c>
      <c r="C282" s="378"/>
      <c r="D282" s="166" t="s">
        <v>8</v>
      </c>
      <c r="E282" s="148">
        <v>2</v>
      </c>
      <c r="F282" s="149" t="s">
        <v>64</v>
      </c>
      <c r="G282" s="148">
        <v>21</v>
      </c>
      <c r="H282" s="510">
        <f>2*1.74</f>
        <v>3.48</v>
      </c>
      <c r="I282" s="299" t="str">
        <f t="shared" si="80"/>
        <v/>
      </c>
      <c r="J282" s="297" t="str">
        <f>IF($F282=$J$6,$E282*$G282*$H282,"")</f>
        <v/>
      </c>
      <c r="K282" s="297">
        <f t="shared" si="82"/>
        <v>146.16</v>
      </c>
      <c r="L282" s="297" t="str">
        <f t="shared" si="83"/>
        <v/>
      </c>
      <c r="M282" s="297" t="str">
        <f t="shared" si="84"/>
        <v/>
      </c>
      <c r="N282" s="297" t="str">
        <f t="shared" si="85"/>
        <v/>
      </c>
      <c r="O282" s="297" t="str">
        <f t="shared" si="90"/>
        <v/>
      </c>
      <c r="P282" s="282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</row>
    <row r="283" spans="1:28" ht="15" hidden="1" customHeight="1" outlineLevel="1" x14ac:dyDescent="0.25">
      <c r="A283" s="513"/>
      <c r="B283" s="499" t="s">
        <v>592</v>
      </c>
      <c r="C283" s="378"/>
      <c r="D283" s="166"/>
      <c r="E283" s="148"/>
      <c r="F283" s="149"/>
      <c r="G283" s="148"/>
      <c r="H283" s="510"/>
      <c r="I283" s="299" t="str">
        <f t="shared" si="80"/>
        <v/>
      </c>
      <c r="J283" s="297" t="str">
        <f t="shared" si="81"/>
        <v/>
      </c>
      <c r="K283" s="297" t="str">
        <f>IF($F283=$K$6,$E283*$G283*$H283,"")</f>
        <v/>
      </c>
      <c r="L283" s="297" t="str">
        <f t="shared" si="83"/>
        <v/>
      </c>
      <c r="M283" s="297" t="str">
        <f t="shared" si="84"/>
        <v/>
      </c>
      <c r="N283" s="297" t="str">
        <f t="shared" si="85"/>
        <v/>
      </c>
      <c r="O283" s="297" t="str">
        <f t="shared" si="90"/>
        <v/>
      </c>
      <c r="P283" s="282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</row>
    <row r="284" spans="1:28" ht="15" hidden="1" customHeight="1" outlineLevel="1" x14ac:dyDescent="0.25">
      <c r="A284" s="500"/>
      <c r="B284" s="499" t="s">
        <v>401</v>
      </c>
      <c r="C284" s="378"/>
      <c r="D284" s="166" t="s">
        <v>8</v>
      </c>
      <c r="E284" s="148">
        <v>1</v>
      </c>
      <c r="F284" s="149" t="s">
        <v>64</v>
      </c>
      <c r="G284" s="148">
        <v>20</v>
      </c>
      <c r="H284" s="510">
        <v>4.2699999999999996</v>
      </c>
      <c r="I284" s="299" t="str">
        <f t="shared" si="80"/>
        <v/>
      </c>
      <c r="J284" s="297" t="str">
        <f t="shared" si="81"/>
        <v/>
      </c>
      <c r="K284" s="297">
        <f t="shared" si="82"/>
        <v>85.399999999999991</v>
      </c>
      <c r="L284" s="297" t="str">
        <f t="shared" si="83"/>
        <v/>
      </c>
      <c r="M284" s="297" t="str">
        <f t="shared" si="84"/>
        <v/>
      </c>
      <c r="N284" s="297" t="str">
        <f t="shared" si="85"/>
        <v/>
      </c>
      <c r="O284" s="297" t="str">
        <f t="shared" si="90"/>
        <v/>
      </c>
      <c r="P284" s="282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</row>
    <row r="285" spans="1:28" ht="15" hidden="1" customHeight="1" outlineLevel="1" x14ac:dyDescent="0.25">
      <c r="A285" s="513"/>
      <c r="B285" s="499" t="s">
        <v>520</v>
      </c>
      <c r="C285" s="378"/>
      <c r="D285" s="166"/>
      <c r="E285" s="148"/>
      <c r="F285" s="149"/>
      <c r="G285" s="148"/>
      <c r="H285" s="510"/>
      <c r="I285" s="299" t="str">
        <f t="shared" si="80"/>
        <v/>
      </c>
      <c r="J285" s="297" t="str">
        <f t="shared" si="81"/>
        <v/>
      </c>
      <c r="K285" s="297" t="str">
        <f t="shared" si="82"/>
        <v/>
      </c>
      <c r="L285" s="297" t="str">
        <f t="shared" si="83"/>
        <v/>
      </c>
      <c r="M285" s="297" t="str">
        <f t="shared" si="84"/>
        <v/>
      </c>
      <c r="N285" s="297" t="str">
        <f t="shared" si="85"/>
        <v/>
      </c>
      <c r="O285" s="297" t="str">
        <f t="shared" si="90"/>
        <v/>
      </c>
      <c r="P285" s="282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</row>
    <row r="286" spans="1:28" ht="15" hidden="1" customHeight="1" outlineLevel="1" x14ac:dyDescent="0.25">
      <c r="A286" s="500"/>
      <c r="B286" s="499" t="s">
        <v>400</v>
      </c>
      <c r="C286" s="378"/>
      <c r="D286" s="166" t="s">
        <v>8</v>
      </c>
      <c r="E286" s="148">
        <v>1</v>
      </c>
      <c r="F286" s="149" t="s">
        <v>64</v>
      </c>
      <c r="G286" s="148">
        <v>21</v>
      </c>
      <c r="H286" s="510">
        <v>1.54</v>
      </c>
      <c r="I286" s="299" t="str">
        <f t="shared" si="80"/>
        <v/>
      </c>
      <c r="J286" s="297" t="str">
        <f>IF($F286=$J$6,$E286*$G286*$H286,"")</f>
        <v/>
      </c>
      <c r="K286" s="297">
        <f t="shared" si="82"/>
        <v>32.340000000000003</v>
      </c>
      <c r="L286" s="297" t="str">
        <f t="shared" si="83"/>
        <v/>
      </c>
      <c r="M286" s="297" t="str">
        <f t="shared" si="84"/>
        <v/>
      </c>
      <c r="N286" s="297" t="str">
        <f t="shared" si="85"/>
        <v/>
      </c>
      <c r="O286" s="297" t="str">
        <f t="shared" si="90"/>
        <v/>
      </c>
      <c r="P286" s="282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</row>
    <row r="287" spans="1:28" ht="15" hidden="1" customHeight="1" outlineLevel="1" x14ac:dyDescent="0.25">
      <c r="A287" s="500"/>
      <c r="B287" s="499" t="s">
        <v>397</v>
      </c>
      <c r="C287" s="378"/>
      <c r="D287" s="166" t="s">
        <v>8</v>
      </c>
      <c r="E287" s="148">
        <v>1</v>
      </c>
      <c r="F287" s="149" t="s">
        <v>64</v>
      </c>
      <c r="G287" s="148">
        <v>21</v>
      </c>
      <c r="H287" s="510">
        <f>3*0.33</f>
        <v>0.99</v>
      </c>
      <c r="I287" s="299" t="str">
        <f t="shared" si="80"/>
        <v/>
      </c>
      <c r="J287" s="297" t="str">
        <f>IF($F287=$J$6,$E287*$G287*$H287,"")</f>
        <v/>
      </c>
      <c r="K287" s="297">
        <f t="shared" si="82"/>
        <v>20.79</v>
      </c>
      <c r="L287" s="297" t="str">
        <f t="shared" si="83"/>
        <v/>
      </c>
      <c r="M287" s="297" t="str">
        <f t="shared" si="84"/>
        <v/>
      </c>
      <c r="N287" s="297" t="str">
        <f t="shared" si="85"/>
        <v/>
      </c>
      <c r="O287" s="297" t="str">
        <f t="shared" si="90"/>
        <v/>
      </c>
      <c r="P287" s="282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</row>
    <row r="288" spans="1:28" ht="15" hidden="1" customHeight="1" outlineLevel="1" x14ac:dyDescent="0.25">
      <c r="A288" s="513"/>
      <c r="B288" s="499" t="s">
        <v>521</v>
      </c>
      <c r="C288" s="378"/>
      <c r="D288" s="166"/>
      <c r="E288" s="148"/>
      <c r="F288" s="149"/>
      <c r="G288" s="148"/>
      <c r="H288" s="510"/>
      <c r="I288" s="299" t="str">
        <f t="shared" si="80"/>
        <v/>
      </c>
      <c r="J288" s="297" t="str">
        <f t="shared" si="81"/>
        <v/>
      </c>
      <c r="K288" s="297" t="str">
        <f t="shared" si="82"/>
        <v/>
      </c>
      <c r="L288" s="297" t="str">
        <f t="shared" si="83"/>
        <v/>
      </c>
      <c r="M288" s="297" t="str">
        <f t="shared" si="84"/>
        <v/>
      </c>
      <c r="N288" s="297" t="str">
        <f t="shared" si="85"/>
        <v/>
      </c>
      <c r="O288" s="297" t="str">
        <f t="shared" si="90"/>
        <v/>
      </c>
      <c r="P288" s="282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</row>
    <row r="289" spans="1:28" ht="15" hidden="1" customHeight="1" outlineLevel="1" x14ac:dyDescent="0.25">
      <c r="A289" s="500"/>
      <c r="B289" s="499" t="s">
        <v>400</v>
      </c>
      <c r="C289" s="378"/>
      <c r="D289" s="166" t="s">
        <v>8</v>
      </c>
      <c r="E289" s="148">
        <v>1</v>
      </c>
      <c r="F289" s="149" t="s">
        <v>64</v>
      </c>
      <c r="G289" s="148">
        <v>21</v>
      </c>
      <c r="H289" s="510">
        <f>2*1.94</f>
        <v>3.88</v>
      </c>
      <c r="I289" s="299" t="str">
        <f t="shared" si="80"/>
        <v/>
      </c>
      <c r="J289" s="297" t="str">
        <f>IF($F289=$J$6,$E289*$G289*$H289,"")</f>
        <v/>
      </c>
      <c r="K289" s="297">
        <f t="shared" si="82"/>
        <v>81.48</v>
      </c>
      <c r="L289" s="297" t="str">
        <f t="shared" si="83"/>
        <v/>
      </c>
      <c r="M289" s="297" t="str">
        <f t="shared" si="84"/>
        <v/>
      </c>
      <c r="N289" s="297" t="str">
        <f t="shared" si="85"/>
        <v/>
      </c>
      <c r="O289" s="297" t="str">
        <f t="shared" si="90"/>
        <v/>
      </c>
      <c r="P289" s="282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</row>
    <row r="290" spans="1:28" ht="15" hidden="1" customHeight="1" outlineLevel="1" x14ac:dyDescent="0.25">
      <c r="A290" s="513"/>
      <c r="B290" s="499" t="s">
        <v>593</v>
      </c>
      <c r="C290" s="378"/>
      <c r="D290" s="166"/>
      <c r="E290" s="148"/>
      <c r="F290" s="149"/>
      <c r="G290" s="148"/>
      <c r="H290" s="510"/>
      <c r="I290" s="299" t="str">
        <f t="shared" si="80"/>
        <v/>
      </c>
      <c r="J290" s="297" t="str">
        <f t="shared" si="81"/>
        <v/>
      </c>
      <c r="K290" s="297" t="str">
        <f t="shared" si="82"/>
        <v/>
      </c>
      <c r="L290" s="297" t="str">
        <f t="shared" si="83"/>
        <v/>
      </c>
      <c r="M290" s="297" t="str">
        <f t="shared" si="84"/>
        <v/>
      </c>
      <c r="N290" s="297" t="str">
        <f t="shared" si="85"/>
        <v/>
      </c>
      <c r="O290" s="297" t="str">
        <f t="shared" si="90"/>
        <v/>
      </c>
      <c r="P290" s="282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</row>
    <row r="291" spans="1:28" ht="15" hidden="1" customHeight="1" outlineLevel="1" x14ac:dyDescent="0.25">
      <c r="A291" s="500"/>
      <c r="B291" s="499" t="s">
        <v>401</v>
      </c>
      <c r="C291" s="378"/>
      <c r="D291" s="166" t="s">
        <v>8</v>
      </c>
      <c r="E291" s="148">
        <v>1</v>
      </c>
      <c r="F291" s="149" t="s">
        <v>64</v>
      </c>
      <c r="G291" s="148">
        <v>20</v>
      </c>
      <c r="H291" s="510">
        <v>3.62</v>
      </c>
      <c r="I291" s="299" t="str">
        <f t="shared" si="80"/>
        <v/>
      </c>
      <c r="J291" s="297" t="str">
        <f t="shared" si="81"/>
        <v/>
      </c>
      <c r="K291" s="297">
        <f t="shared" si="82"/>
        <v>72.400000000000006</v>
      </c>
      <c r="L291" s="297" t="str">
        <f t="shared" si="83"/>
        <v/>
      </c>
      <c r="M291" s="297" t="str">
        <f t="shared" si="84"/>
        <v/>
      </c>
      <c r="N291" s="297" t="str">
        <f t="shared" si="85"/>
        <v/>
      </c>
      <c r="O291" s="297" t="str">
        <f t="shared" si="90"/>
        <v/>
      </c>
      <c r="P291" s="282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</row>
    <row r="292" spans="1:28" ht="15" hidden="1" customHeight="1" outlineLevel="1" x14ac:dyDescent="0.25">
      <c r="A292" s="513"/>
      <c r="B292" s="499" t="s">
        <v>520</v>
      </c>
      <c r="C292" s="378"/>
      <c r="D292" s="166"/>
      <c r="E292" s="148"/>
      <c r="F292" s="149"/>
      <c r="G292" s="148"/>
      <c r="H292" s="510"/>
      <c r="I292" s="299" t="str">
        <f t="shared" si="80"/>
        <v/>
      </c>
      <c r="J292" s="297" t="str">
        <f t="shared" si="81"/>
        <v/>
      </c>
      <c r="K292" s="297" t="str">
        <f t="shared" si="82"/>
        <v/>
      </c>
      <c r="L292" s="297" t="str">
        <f t="shared" si="83"/>
        <v/>
      </c>
      <c r="M292" s="297" t="str">
        <f t="shared" si="84"/>
        <v/>
      </c>
      <c r="N292" s="297" t="str">
        <f t="shared" si="85"/>
        <v/>
      </c>
      <c r="O292" s="297" t="str">
        <f t="shared" si="90"/>
        <v/>
      </c>
      <c r="P292" s="282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</row>
    <row r="293" spans="1:28" ht="15" hidden="1" customHeight="1" outlineLevel="1" x14ac:dyDescent="0.25">
      <c r="A293" s="500"/>
      <c r="B293" s="499" t="s">
        <v>400</v>
      </c>
      <c r="C293" s="378"/>
      <c r="D293" s="166" t="s">
        <v>8</v>
      </c>
      <c r="E293" s="148">
        <v>2</v>
      </c>
      <c r="F293" s="149" t="s">
        <v>64</v>
      </c>
      <c r="G293" s="148">
        <v>21</v>
      </c>
      <c r="H293" s="510">
        <v>1.54</v>
      </c>
      <c r="I293" s="299" t="str">
        <f t="shared" si="80"/>
        <v/>
      </c>
      <c r="J293" s="297" t="str">
        <f>IF($F293=$J$6,$E293*$G293*$H293,"")</f>
        <v/>
      </c>
      <c r="K293" s="297">
        <f t="shared" si="82"/>
        <v>64.680000000000007</v>
      </c>
      <c r="L293" s="297" t="str">
        <f t="shared" si="83"/>
        <v/>
      </c>
      <c r="M293" s="297" t="str">
        <f t="shared" si="84"/>
        <v/>
      </c>
      <c r="N293" s="297" t="str">
        <f t="shared" si="85"/>
        <v/>
      </c>
      <c r="O293" s="297" t="str">
        <f t="shared" si="90"/>
        <v/>
      </c>
      <c r="P293" s="282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</row>
    <row r="294" spans="1:28" ht="15" hidden="1" customHeight="1" outlineLevel="1" x14ac:dyDescent="0.25">
      <c r="A294" s="500"/>
      <c r="B294" s="499" t="s">
        <v>397</v>
      </c>
      <c r="C294" s="378"/>
      <c r="D294" s="166" t="s">
        <v>8</v>
      </c>
      <c r="E294" s="148">
        <v>2</v>
      </c>
      <c r="F294" s="149" t="s">
        <v>64</v>
      </c>
      <c r="G294" s="148">
        <v>21</v>
      </c>
      <c r="H294" s="510">
        <f>3*0.33</f>
        <v>0.99</v>
      </c>
      <c r="I294" s="299" t="str">
        <f t="shared" si="80"/>
        <v/>
      </c>
      <c r="J294" s="297" t="str">
        <f>IF($F294=$J$6,$E294*$G294*$H294,"")</f>
        <v/>
      </c>
      <c r="K294" s="297">
        <f t="shared" si="82"/>
        <v>41.58</v>
      </c>
      <c r="L294" s="297" t="str">
        <f t="shared" si="83"/>
        <v/>
      </c>
      <c r="M294" s="297" t="str">
        <f t="shared" si="84"/>
        <v/>
      </c>
      <c r="N294" s="297" t="str">
        <f t="shared" si="85"/>
        <v/>
      </c>
      <c r="O294" s="297" t="str">
        <f t="shared" si="90"/>
        <v/>
      </c>
      <c r="P294" s="282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</row>
    <row r="295" spans="1:28" ht="15" hidden="1" customHeight="1" outlineLevel="1" x14ac:dyDescent="0.25">
      <c r="A295" s="513"/>
      <c r="B295" s="499" t="s">
        <v>594</v>
      </c>
      <c r="C295" s="378"/>
      <c r="D295" s="166"/>
      <c r="E295" s="148"/>
      <c r="F295" s="149"/>
      <c r="G295" s="148"/>
      <c r="H295" s="510"/>
      <c r="I295" s="299" t="str">
        <f t="shared" si="80"/>
        <v/>
      </c>
      <c r="J295" s="297" t="str">
        <f t="shared" si="81"/>
        <v/>
      </c>
      <c r="K295" s="297" t="str">
        <f t="shared" si="82"/>
        <v/>
      </c>
      <c r="L295" s="297" t="str">
        <f t="shared" si="83"/>
        <v/>
      </c>
      <c r="M295" s="297" t="str">
        <f t="shared" si="84"/>
        <v/>
      </c>
      <c r="N295" s="297" t="str">
        <f t="shared" si="85"/>
        <v/>
      </c>
      <c r="O295" s="297" t="str">
        <f t="shared" si="90"/>
        <v/>
      </c>
      <c r="P295" s="282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</row>
    <row r="296" spans="1:28" ht="15" hidden="1" customHeight="1" outlineLevel="1" x14ac:dyDescent="0.25">
      <c r="A296" s="500"/>
      <c r="B296" s="499" t="s">
        <v>595</v>
      </c>
      <c r="C296" s="378"/>
      <c r="D296" s="166" t="s">
        <v>8</v>
      </c>
      <c r="E296" s="148">
        <v>2</v>
      </c>
      <c r="F296" s="149" t="s">
        <v>64</v>
      </c>
      <c r="G296" s="148">
        <v>15</v>
      </c>
      <c r="H296" s="510">
        <v>3.22</v>
      </c>
      <c r="I296" s="299" t="str">
        <f t="shared" si="80"/>
        <v/>
      </c>
      <c r="J296" s="297" t="str">
        <f t="shared" si="81"/>
        <v/>
      </c>
      <c r="K296" s="297">
        <f t="shared" si="82"/>
        <v>96.600000000000009</v>
      </c>
      <c r="L296" s="297" t="str">
        <f t="shared" si="83"/>
        <v/>
      </c>
      <c r="M296" s="297" t="str">
        <f t="shared" si="84"/>
        <v/>
      </c>
      <c r="N296" s="297" t="str">
        <f t="shared" si="85"/>
        <v/>
      </c>
      <c r="O296" s="297" t="str">
        <f t="shared" si="90"/>
        <v/>
      </c>
      <c r="P296" s="282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</row>
    <row r="297" spans="1:28" ht="15" hidden="1" customHeight="1" outlineLevel="1" x14ac:dyDescent="0.25">
      <c r="A297" s="500"/>
      <c r="B297" s="499" t="s">
        <v>596</v>
      </c>
      <c r="C297" s="378"/>
      <c r="D297" s="166" t="s">
        <v>8</v>
      </c>
      <c r="E297" s="148">
        <v>4</v>
      </c>
      <c r="F297" s="149" t="s">
        <v>64</v>
      </c>
      <c r="G297" s="148">
        <v>15</v>
      </c>
      <c r="H297" s="510">
        <v>1.82</v>
      </c>
      <c r="I297" s="299" t="str">
        <f t="shared" si="80"/>
        <v/>
      </c>
      <c r="J297" s="297" t="str">
        <f t="shared" si="81"/>
        <v/>
      </c>
      <c r="K297" s="297">
        <f t="shared" si="82"/>
        <v>109.2</v>
      </c>
      <c r="L297" s="297" t="str">
        <f t="shared" si="83"/>
        <v/>
      </c>
      <c r="M297" s="297" t="str">
        <f t="shared" si="84"/>
        <v/>
      </c>
      <c r="N297" s="297" t="str">
        <f t="shared" si="85"/>
        <v/>
      </c>
      <c r="O297" s="297" t="str">
        <f t="shared" si="90"/>
        <v/>
      </c>
      <c r="P297" s="282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</row>
    <row r="298" spans="1:28" ht="15" hidden="1" customHeight="1" outlineLevel="1" x14ac:dyDescent="0.25">
      <c r="A298" s="513"/>
      <c r="B298" s="499" t="s">
        <v>597</v>
      </c>
      <c r="C298" s="378"/>
      <c r="D298" s="166"/>
      <c r="E298" s="148"/>
      <c r="F298" s="149"/>
      <c r="G298" s="148"/>
      <c r="H298" s="510"/>
      <c r="I298" s="299" t="str">
        <f t="shared" si="80"/>
        <v/>
      </c>
      <c r="J298" s="297" t="str">
        <f t="shared" si="81"/>
        <v/>
      </c>
      <c r="K298" s="297" t="str">
        <f t="shared" si="82"/>
        <v/>
      </c>
      <c r="L298" s="297" t="str">
        <f t="shared" si="83"/>
        <v/>
      </c>
      <c r="M298" s="297" t="str">
        <f t="shared" si="84"/>
        <v/>
      </c>
      <c r="N298" s="297" t="str">
        <f t="shared" si="85"/>
        <v/>
      </c>
      <c r="O298" s="297" t="str">
        <f t="shared" si="90"/>
        <v/>
      </c>
      <c r="P298" s="282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</row>
    <row r="299" spans="1:28" ht="15" hidden="1" customHeight="1" outlineLevel="1" x14ac:dyDescent="0.25">
      <c r="A299" s="500"/>
      <c r="B299" s="499" t="s">
        <v>400</v>
      </c>
      <c r="C299" s="378"/>
      <c r="D299" s="166" t="s">
        <v>8</v>
      </c>
      <c r="E299" s="148">
        <v>2</v>
      </c>
      <c r="F299" s="149" t="s">
        <v>64</v>
      </c>
      <c r="G299" s="148">
        <v>20</v>
      </c>
      <c r="H299" s="510">
        <v>1.1399999999999999</v>
      </c>
      <c r="I299" s="299" t="str">
        <f t="shared" si="80"/>
        <v/>
      </c>
      <c r="J299" s="297" t="str">
        <f>IF($F299=$J$6,$E299*$G299*$H299,"")</f>
        <v/>
      </c>
      <c r="K299" s="297">
        <f t="shared" si="82"/>
        <v>45.599999999999994</v>
      </c>
      <c r="L299" s="297" t="str">
        <f t="shared" si="83"/>
        <v/>
      </c>
      <c r="M299" s="297" t="str">
        <f t="shared" si="84"/>
        <v/>
      </c>
      <c r="N299" s="297" t="str">
        <f t="shared" si="85"/>
        <v/>
      </c>
      <c r="O299" s="297" t="str">
        <f t="shared" si="90"/>
        <v/>
      </c>
      <c r="P299" s="282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</row>
    <row r="300" spans="1:28" ht="15" hidden="1" customHeight="1" outlineLevel="1" x14ac:dyDescent="0.25">
      <c r="A300" s="500"/>
      <c r="B300" s="499" t="s">
        <v>397</v>
      </c>
      <c r="C300" s="378"/>
      <c r="D300" s="166" t="s">
        <v>8</v>
      </c>
      <c r="E300" s="148">
        <v>2</v>
      </c>
      <c r="F300" s="149" t="s">
        <v>64</v>
      </c>
      <c r="G300" s="148">
        <v>20</v>
      </c>
      <c r="H300" s="510">
        <v>0.33</v>
      </c>
      <c r="I300" s="299" t="str">
        <f t="shared" si="80"/>
        <v/>
      </c>
      <c r="J300" s="297" t="str">
        <f>IF($F300=$J$6,$E300*$G300*$H300,"")</f>
        <v/>
      </c>
      <c r="K300" s="297">
        <f t="shared" si="82"/>
        <v>13.200000000000001</v>
      </c>
      <c r="L300" s="297" t="str">
        <f t="shared" si="83"/>
        <v/>
      </c>
      <c r="M300" s="297" t="str">
        <f t="shared" si="84"/>
        <v/>
      </c>
      <c r="N300" s="297" t="str">
        <f t="shared" si="85"/>
        <v/>
      </c>
      <c r="O300" s="297" t="str">
        <f t="shared" si="90"/>
        <v/>
      </c>
      <c r="P300" s="282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</row>
    <row r="301" spans="1:28" ht="15" hidden="1" customHeight="1" outlineLevel="1" x14ac:dyDescent="0.25">
      <c r="A301" s="513"/>
      <c r="B301" s="499" t="s">
        <v>598</v>
      </c>
      <c r="C301" s="378"/>
      <c r="D301" s="166"/>
      <c r="E301" s="148"/>
      <c r="F301" s="149"/>
      <c r="G301" s="148"/>
      <c r="H301" s="510"/>
      <c r="I301" s="299" t="str">
        <f t="shared" si="80"/>
        <v/>
      </c>
      <c r="J301" s="297" t="str">
        <f t="shared" si="81"/>
        <v/>
      </c>
      <c r="K301" s="297" t="str">
        <f t="shared" si="82"/>
        <v/>
      </c>
      <c r="L301" s="297" t="str">
        <f t="shared" si="83"/>
        <v/>
      </c>
      <c r="M301" s="297" t="str">
        <f t="shared" si="84"/>
        <v/>
      </c>
      <c r="N301" s="297" t="str">
        <f t="shared" si="85"/>
        <v/>
      </c>
      <c r="O301" s="297" t="str">
        <f t="shared" si="90"/>
        <v/>
      </c>
      <c r="P301" s="282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</row>
    <row r="302" spans="1:28" ht="15" hidden="1" customHeight="1" outlineLevel="1" x14ac:dyDescent="0.25">
      <c r="A302" s="500"/>
      <c r="B302" s="499" t="s">
        <v>400</v>
      </c>
      <c r="C302" s="378"/>
      <c r="D302" s="166" t="s">
        <v>8</v>
      </c>
      <c r="E302" s="148">
        <v>2</v>
      </c>
      <c r="F302" s="149" t="s">
        <v>64</v>
      </c>
      <c r="G302" s="148">
        <v>21</v>
      </c>
      <c r="H302" s="510">
        <f>2*1.34</f>
        <v>2.68</v>
      </c>
      <c r="I302" s="299" t="str">
        <f t="shared" si="80"/>
        <v/>
      </c>
      <c r="J302" s="297" t="str">
        <f>IF($F302=$J$6,$E302*$G302*$H302,"")</f>
        <v/>
      </c>
      <c r="K302" s="297">
        <f t="shared" si="82"/>
        <v>112.56</v>
      </c>
      <c r="L302" s="297" t="str">
        <f t="shared" si="83"/>
        <v/>
      </c>
      <c r="M302" s="297" t="str">
        <f t="shared" si="84"/>
        <v/>
      </c>
      <c r="N302" s="297" t="str">
        <f t="shared" si="85"/>
        <v/>
      </c>
      <c r="O302" s="297" t="str">
        <f t="shared" si="90"/>
        <v/>
      </c>
      <c r="P302" s="282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</row>
    <row r="303" spans="1:28" ht="15" hidden="1" customHeight="1" outlineLevel="1" x14ac:dyDescent="0.25">
      <c r="A303" s="513"/>
      <c r="B303" s="499" t="s">
        <v>599</v>
      </c>
      <c r="C303" s="378"/>
      <c r="D303" s="166"/>
      <c r="E303" s="148"/>
      <c r="F303" s="149"/>
      <c r="G303" s="148"/>
      <c r="H303" s="510"/>
      <c r="I303" s="299" t="str">
        <f t="shared" si="80"/>
        <v/>
      </c>
      <c r="J303" s="297" t="str">
        <f t="shared" si="81"/>
        <v/>
      </c>
      <c r="K303" s="297" t="str">
        <f t="shared" si="82"/>
        <v/>
      </c>
      <c r="L303" s="297" t="str">
        <f t="shared" si="83"/>
        <v/>
      </c>
      <c r="M303" s="297" t="str">
        <f t="shared" si="84"/>
        <v/>
      </c>
      <c r="N303" s="297" t="str">
        <f t="shared" si="85"/>
        <v/>
      </c>
      <c r="O303" s="297" t="str">
        <f t="shared" si="90"/>
        <v/>
      </c>
      <c r="P303" s="282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</row>
    <row r="304" spans="1:28" ht="15" hidden="1" customHeight="1" outlineLevel="1" x14ac:dyDescent="0.25">
      <c r="A304" s="500"/>
      <c r="B304" s="499" t="s">
        <v>602</v>
      </c>
      <c r="C304" s="378"/>
      <c r="D304" s="166" t="s">
        <v>8</v>
      </c>
      <c r="E304" s="148">
        <v>1</v>
      </c>
      <c r="F304" s="149" t="s">
        <v>64</v>
      </c>
      <c r="G304" s="148">
        <v>15</v>
      </c>
      <c r="H304" s="510">
        <f>2*1.72</f>
        <v>3.44</v>
      </c>
      <c r="I304" s="299" t="str">
        <f t="shared" si="80"/>
        <v/>
      </c>
      <c r="J304" s="297" t="str">
        <f t="shared" si="81"/>
        <v/>
      </c>
      <c r="K304" s="297">
        <f t="shared" si="82"/>
        <v>51.6</v>
      </c>
      <c r="L304" s="297" t="str">
        <f t="shared" si="83"/>
        <v/>
      </c>
      <c r="M304" s="297" t="str">
        <f t="shared" si="84"/>
        <v/>
      </c>
      <c r="N304" s="297" t="str">
        <f t="shared" si="85"/>
        <v/>
      </c>
      <c r="O304" s="297" t="str">
        <f t="shared" si="90"/>
        <v/>
      </c>
      <c r="P304" s="282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</row>
    <row r="305" spans="1:28" ht="15" hidden="1" customHeight="1" outlineLevel="1" x14ac:dyDescent="0.25">
      <c r="A305" s="513"/>
      <c r="B305" s="499" t="s">
        <v>600</v>
      </c>
      <c r="C305" s="378"/>
      <c r="D305" s="166"/>
      <c r="E305" s="148"/>
      <c r="F305" s="149"/>
      <c r="G305" s="148"/>
      <c r="H305" s="510"/>
      <c r="I305" s="299" t="str">
        <f t="shared" si="80"/>
        <v/>
      </c>
      <c r="J305" s="297" t="str">
        <f t="shared" si="81"/>
        <v/>
      </c>
      <c r="K305" s="297" t="str">
        <f t="shared" si="82"/>
        <v/>
      </c>
      <c r="L305" s="297" t="str">
        <f t="shared" si="83"/>
        <v/>
      </c>
      <c r="M305" s="297" t="str">
        <f t="shared" si="84"/>
        <v/>
      </c>
      <c r="N305" s="297" t="str">
        <f t="shared" si="85"/>
        <v/>
      </c>
      <c r="O305" s="297" t="str">
        <f t="shared" si="90"/>
        <v/>
      </c>
      <c r="P305" s="282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</row>
    <row r="306" spans="1:28" ht="15" hidden="1" customHeight="1" outlineLevel="1" x14ac:dyDescent="0.25">
      <c r="A306" s="500"/>
      <c r="B306" s="499" t="s">
        <v>400</v>
      </c>
      <c r="C306" s="378"/>
      <c r="D306" s="166" t="s">
        <v>8</v>
      </c>
      <c r="E306" s="148">
        <v>1</v>
      </c>
      <c r="F306" s="149" t="s">
        <v>64</v>
      </c>
      <c r="G306" s="148">
        <v>20</v>
      </c>
      <c r="H306" s="510">
        <v>0.84</v>
      </c>
      <c r="I306" s="299" t="str">
        <f t="shared" si="80"/>
        <v/>
      </c>
      <c r="J306" s="297" t="str">
        <f>IF($F306=$J$6,$E306*$G306*$H306,"")</f>
        <v/>
      </c>
      <c r="K306" s="297">
        <f t="shared" si="82"/>
        <v>16.8</v>
      </c>
      <c r="L306" s="297" t="str">
        <f t="shared" si="83"/>
        <v/>
      </c>
      <c r="M306" s="297" t="str">
        <f t="shared" si="84"/>
        <v/>
      </c>
      <c r="N306" s="297" t="str">
        <f t="shared" si="85"/>
        <v/>
      </c>
      <c r="O306" s="297" t="str">
        <f t="shared" si="90"/>
        <v/>
      </c>
      <c r="P306" s="282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</row>
    <row r="307" spans="1:28" ht="15" hidden="1" customHeight="1" outlineLevel="1" x14ac:dyDescent="0.25">
      <c r="A307" s="513"/>
      <c r="B307" s="499" t="s">
        <v>601</v>
      </c>
      <c r="C307" s="378"/>
      <c r="D307" s="166"/>
      <c r="E307" s="148"/>
      <c r="F307" s="149"/>
      <c r="G307" s="148"/>
      <c r="H307" s="510"/>
      <c r="I307" s="299" t="str">
        <f t="shared" si="80"/>
        <v/>
      </c>
      <c r="J307" s="297" t="str">
        <f t="shared" si="81"/>
        <v/>
      </c>
      <c r="K307" s="297" t="str">
        <f t="shared" si="82"/>
        <v/>
      </c>
      <c r="L307" s="297" t="str">
        <f t="shared" si="83"/>
        <v/>
      </c>
      <c r="M307" s="297" t="str">
        <f t="shared" si="84"/>
        <v/>
      </c>
      <c r="N307" s="297" t="str">
        <f t="shared" si="85"/>
        <v/>
      </c>
      <c r="O307" s="297" t="str">
        <f t="shared" si="90"/>
        <v/>
      </c>
      <c r="P307" s="282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</row>
    <row r="308" spans="1:28" ht="15" hidden="1" customHeight="1" outlineLevel="1" x14ac:dyDescent="0.25">
      <c r="A308" s="500"/>
      <c r="B308" s="499" t="s">
        <v>400</v>
      </c>
      <c r="C308" s="378"/>
      <c r="D308" s="166" t="s">
        <v>8</v>
      </c>
      <c r="E308" s="148">
        <v>1</v>
      </c>
      <c r="F308" s="149" t="s">
        <v>64</v>
      </c>
      <c r="G308" s="148">
        <v>20</v>
      </c>
      <c r="H308" s="510">
        <v>1.34</v>
      </c>
      <c r="I308" s="299" t="str">
        <f t="shared" si="80"/>
        <v/>
      </c>
      <c r="J308" s="297" t="str">
        <f>IF($F308=$J$6,$E308*$G308*$H308,"")</f>
        <v/>
      </c>
      <c r="K308" s="297">
        <f t="shared" si="82"/>
        <v>26.8</v>
      </c>
      <c r="L308" s="297" t="str">
        <f t="shared" si="83"/>
        <v/>
      </c>
      <c r="M308" s="297" t="str">
        <f t="shared" si="84"/>
        <v/>
      </c>
      <c r="N308" s="297" t="str">
        <f t="shared" si="85"/>
        <v/>
      </c>
      <c r="O308" s="297" t="str">
        <f t="shared" si="90"/>
        <v/>
      </c>
      <c r="P308" s="282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</row>
    <row r="309" spans="1:28" ht="15" hidden="1" customHeight="1" outlineLevel="1" x14ac:dyDescent="0.25">
      <c r="A309" s="500"/>
      <c r="B309" s="499" t="s">
        <v>397</v>
      </c>
      <c r="C309" s="378"/>
      <c r="D309" s="166" t="s">
        <v>8</v>
      </c>
      <c r="E309" s="148">
        <v>1</v>
      </c>
      <c r="F309" s="149" t="s">
        <v>64</v>
      </c>
      <c r="G309" s="148">
        <v>20</v>
      </c>
      <c r="H309" s="510">
        <f>2*0.33</f>
        <v>0.66</v>
      </c>
      <c r="I309" s="299" t="str">
        <f t="shared" si="80"/>
        <v/>
      </c>
      <c r="J309" s="297" t="str">
        <f>IF($F309=$J$6,$E309*$G309*$H309,"")</f>
        <v/>
      </c>
      <c r="K309" s="297">
        <f t="shared" si="82"/>
        <v>13.200000000000001</v>
      </c>
      <c r="L309" s="297" t="str">
        <f t="shared" si="83"/>
        <v/>
      </c>
      <c r="M309" s="297" t="str">
        <f t="shared" si="84"/>
        <v/>
      </c>
      <c r="N309" s="297" t="str">
        <f t="shared" si="85"/>
        <v/>
      </c>
      <c r="O309" s="297" t="str">
        <f t="shared" si="90"/>
        <v/>
      </c>
      <c r="P309" s="282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</row>
    <row r="310" spans="1:28" ht="15" hidden="1" customHeight="1" outlineLevel="1" x14ac:dyDescent="0.25">
      <c r="A310" s="500"/>
      <c r="B310" s="499"/>
      <c r="C310" s="378"/>
      <c r="D310" s="472"/>
      <c r="E310" s="148"/>
      <c r="F310" s="149"/>
      <c r="G310" s="148"/>
      <c r="H310" s="510"/>
      <c r="I310" s="299" t="str">
        <f t="shared" si="80"/>
        <v/>
      </c>
      <c r="J310" s="297" t="str">
        <f t="shared" si="81"/>
        <v/>
      </c>
      <c r="K310" s="297" t="str">
        <f t="shared" si="82"/>
        <v/>
      </c>
      <c r="L310" s="297" t="str">
        <f t="shared" si="83"/>
        <v/>
      </c>
      <c r="M310" s="297" t="str">
        <f t="shared" si="84"/>
        <v/>
      </c>
      <c r="N310" s="297" t="str">
        <f t="shared" si="85"/>
        <v/>
      </c>
      <c r="O310" s="297" t="str">
        <f t="shared" si="90"/>
        <v/>
      </c>
      <c r="P310" s="282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</row>
    <row r="311" spans="1:28" ht="15" customHeight="1" collapsed="1" x14ac:dyDescent="0.25">
      <c r="A311" s="29"/>
      <c r="B311" s="828"/>
      <c r="C311" s="830"/>
      <c r="D311" s="624"/>
      <c r="E311" s="476"/>
      <c r="F311" s="476"/>
      <c r="G311" s="825"/>
      <c r="H311" s="825"/>
      <c r="I311" s="340">
        <f t="shared" ref="I311:O311" si="91">SUM(I279:I310)</f>
        <v>0</v>
      </c>
      <c r="J311" s="340">
        <f t="shared" si="91"/>
        <v>0</v>
      </c>
      <c r="K311" s="340">
        <f t="shared" si="91"/>
        <v>1118.7900000000002</v>
      </c>
      <c r="L311" s="340">
        <f t="shared" si="91"/>
        <v>0</v>
      </c>
      <c r="M311" s="340">
        <f t="shared" si="91"/>
        <v>0</v>
      </c>
      <c r="N311" s="340">
        <f t="shared" si="91"/>
        <v>0</v>
      </c>
      <c r="O311" s="340">
        <f t="shared" si="91"/>
        <v>0</v>
      </c>
      <c r="P311" s="337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</row>
    <row r="312" spans="1:28" ht="15" customHeight="1" x14ac:dyDescent="0.25">
      <c r="A312" s="31"/>
      <c r="B312" s="819"/>
      <c r="C312" s="820"/>
      <c r="D312" s="364"/>
      <c r="E312" s="473"/>
      <c r="F312" s="474"/>
      <c r="G312" s="823" t="s">
        <v>69</v>
      </c>
      <c r="H312" s="824"/>
      <c r="I312" s="339">
        <v>0.25</v>
      </c>
      <c r="J312" s="339">
        <v>3.97</v>
      </c>
      <c r="K312" s="339">
        <v>0.56000000000000005</v>
      </c>
      <c r="L312" s="339">
        <v>1.02</v>
      </c>
      <c r="M312" s="339">
        <v>1.56</v>
      </c>
      <c r="N312" s="339">
        <v>2.25</v>
      </c>
      <c r="O312" s="475">
        <v>0.39500000000000002</v>
      </c>
      <c r="P312" s="284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</row>
    <row r="313" spans="1:28" ht="15" customHeight="1" x14ac:dyDescent="0.25">
      <c r="A313" s="31"/>
      <c r="B313" s="819"/>
      <c r="C313" s="820"/>
      <c r="D313" s="32"/>
      <c r="E313" s="33"/>
      <c r="F313" s="34"/>
      <c r="G313" s="821" t="s">
        <v>70</v>
      </c>
      <c r="H313" s="822"/>
      <c r="I313" s="286">
        <f t="shared" ref="I313:O313" si="92">I311*I312</f>
        <v>0</v>
      </c>
      <c r="J313" s="286">
        <f t="shared" si="92"/>
        <v>0</v>
      </c>
      <c r="K313" s="286">
        <f>K311*K312</f>
        <v>626.52240000000018</v>
      </c>
      <c r="L313" s="286">
        <f t="shared" si="92"/>
        <v>0</v>
      </c>
      <c r="M313" s="286">
        <f t="shared" si="92"/>
        <v>0</v>
      </c>
      <c r="N313" s="286">
        <f t="shared" si="92"/>
        <v>0</v>
      </c>
      <c r="O313" s="286">
        <f t="shared" si="92"/>
        <v>0</v>
      </c>
      <c r="P313" s="283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</row>
    <row r="314" spans="1:28" ht="15" customHeight="1" x14ac:dyDescent="0.25">
      <c r="A314" s="31"/>
      <c r="B314" s="819"/>
      <c r="C314" s="820"/>
      <c r="D314" s="32"/>
      <c r="E314" s="33"/>
      <c r="F314" s="34"/>
      <c r="G314" s="821" t="s">
        <v>71</v>
      </c>
      <c r="H314" s="822"/>
      <c r="I314" s="286">
        <f t="shared" ref="I314:O314" si="93">ROUNDUP(I311*1.07/9,0)</f>
        <v>0</v>
      </c>
      <c r="J314" s="286">
        <f t="shared" si="93"/>
        <v>0</v>
      </c>
      <c r="K314" s="286">
        <f>ROUNDUP(K311*1.07/9,0)</f>
        <v>134</v>
      </c>
      <c r="L314" s="286">
        <f t="shared" si="93"/>
        <v>0</v>
      </c>
      <c r="M314" s="286">
        <f t="shared" si="93"/>
        <v>0</v>
      </c>
      <c r="N314" s="286">
        <f t="shared" si="93"/>
        <v>0</v>
      </c>
      <c r="O314" s="286">
        <f t="shared" si="93"/>
        <v>0</v>
      </c>
      <c r="P314" s="283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</row>
    <row r="315" spans="1:28" ht="15" customHeight="1" x14ac:dyDescent="0.25">
      <c r="A315" s="248" t="s">
        <v>53</v>
      </c>
      <c r="B315" s="812" t="s">
        <v>74</v>
      </c>
      <c r="C315" s="813"/>
      <c r="D315" s="249"/>
      <c r="E315" s="250"/>
      <c r="F315" s="250"/>
      <c r="G315" s="250"/>
      <c r="H315" s="253"/>
      <c r="I315" s="296"/>
      <c r="J315" s="296"/>
      <c r="K315" s="296"/>
      <c r="L315" s="296"/>
      <c r="M315" s="296"/>
      <c r="N315" s="296"/>
      <c r="O315" s="296"/>
      <c r="P315" s="296">
        <f>SUM(I339:O339)</f>
        <v>2812.6990000000001</v>
      </c>
      <c r="Q315" s="135"/>
      <c r="R315" s="135"/>
      <c r="S315" s="135"/>
      <c r="T315" s="135"/>
      <c r="U315" s="135"/>
      <c r="V315" s="135"/>
      <c r="W315" s="135"/>
      <c r="X315" s="135"/>
      <c r="Y315" s="135"/>
      <c r="Z315" s="135"/>
      <c r="AA315" s="135"/>
      <c r="AB315" s="135"/>
    </row>
    <row r="316" spans="1:28" ht="16.5" hidden="1" customHeight="1" outlineLevel="1" x14ac:dyDescent="0.25">
      <c r="A316" s="467"/>
      <c r="B316" s="358" t="s">
        <v>239</v>
      </c>
      <c r="C316" s="359"/>
      <c r="D316" s="27"/>
      <c r="E316" s="28"/>
      <c r="F316" s="27"/>
      <c r="G316" s="28"/>
      <c r="H316" s="28"/>
      <c r="I316" s="297" t="str">
        <f t="shared" ref="I316:I336" si="94">IF($F316=$I$6,$E316*$G316*$H316,"")</f>
        <v/>
      </c>
      <c r="J316" s="297" t="str">
        <f t="shared" ref="J316:J336" si="95">IF($F316=$J$6,$E316*$G316*$H316,"")</f>
        <v/>
      </c>
      <c r="K316" s="297" t="str">
        <f t="shared" ref="K316:K336" si="96">IF($F316=$K$6,$E316*$G316*$H316,"")</f>
        <v/>
      </c>
      <c r="L316" s="297" t="str">
        <f t="shared" ref="L316:L336" si="97">IF($F316=$L$6,$E316*$G316*$H316,"")</f>
        <v/>
      </c>
      <c r="M316" s="297" t="str">
        <f t="shared" ref="M316:M336" si="98">IF($F316=$M$6,$E316*$G316*$H316,"")</f>
        <v/>
      </c>
      <c r="N316" s="297" t="str">
        <f t="shared" ref="N316:N336" si="99">IF($F316=$N$6,$E316*$G316*$H316,"")</f>
        <v/>
      </c>
      <c r="O316" s="297" t="str">
        <f t="shared" ref="O316:O336" si="100">IF($F316=$O$6,$E316*$G316*$H316,"")</f>
        <v/>
      </c>
      <c r="P316" s="287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</row>
    <row r="317" spans="1:28" ht="16.5" hidden="1" customHeight="1" outlineLevel="1" x14ac:dyDescent="0.25">
      <c r="A317" s="625"/>
      <c r="B317" s="358" t="s">
        <v>385</v>
      </c>
      <c r="C317" s="359"/>
      <c r="D317" s="27" t="s">
        <v>8</v>
      </c>
      <c r="E317" s="28">
        <v>1</v>
      </c>
      <c r="F317" s="27" t="s">
        <v>64</v>
      </c>
      <c r="G317" s="28">
        <v>1</v>
      </c>
      <c r="H317" s="28">
        <v>7.6</v>
      </c>
      <c r="I317" s="297" t="str">
        <f t="shared" si="94"/>
        <v/>
      </c>
      <c r="J317" s="297" t="str">
        <f t="shared" si="95"/>
        <v/>
      </c>
      <c r="K317" s="297">
        <f t="shared" si="96"/>
        <v>7.6</v>
      </c>
      <c r="L317" s="297" t="str">
        <f t="shared" si="97"/>
        <v/>
      </c>
      <c r="M317" s="297" t="str">
        <f t="shared" si="98"/>
        <v/>
      </c>
      <c r="N317" s="297" t="str">
        <f t="shared" si="99"/>
        <v/>
      </c>
      <c r="O317" s="297" t="str">
        <f t="shared" si="100"/>
        <v/>
      </c>
      <c r="P317" s="287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</row>
    <row r="318" spans="1:28" ht="16.5" hidden="1" customHeight="1" outlineLevel="1" x14ac:dyDescent="0.25">
      <c r="A318" s="625"/>
      <c r="B318" s="358" t="s">
        <v>379</v>
      </c>
      <c r="C318" s="359"/>
      <c r="D318" s="27" t="s">
        <v>8</v>
      </c>
      <c r="E318" s="28">
        <v>1</v>
      </c>
      <c r="F318" s="27" t="s">
        <v>64</v>
      </c>
      <c r="G318" s="28">
        <v>1</v>
      </c>
      <c r="H318" s="28">
        <v>7.6</v>
      </c>
      <c r="I318" s="297" t="str">
        <f t="shared" si="94"/>
        <v/>
      </c>
      <c r="J318" s="297" t="str">
        <f t="shared" si="95"/>
        <v/>
      </c>
      <c r="K318" s="297">
        <f t="shared" si="96"/>
        <v>7.6</v>
      </c>
      <c r="L318" s="297" t="str">
        <f t="shared" si="97"/>
        <v/>
      </c>
      <c r="M318" s="297" t="str">
        <f t="shared" si="98"/>
        <v/>
      </c>
      <c r="N318" s="297" t="str">
        <f t="shared" si="99"/>
        <v/>
      </c>
      <c r="O318" s="297" t="str">
        <f t="shared" si="100"/>
        <v/>
      </c>
      <c r="P318" s="287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</row>
    <row r="319" spans="1:28" ht="16.5" hidden="1" customHeight="1" outlineLevel="1" x14ac:dyDescent="0.25">
      <c r="A319" s="626"/>
      <c r="B319" s="358" t="s">
        <v>73</v>
      </c>
      <c r="C319" s="359"/>
      <c r="D319" s="27" t="s">
        <v>8</v>
      </c>
      <c r="E319" s="28">
        <v>1</v>
      </c>
      <c r="F319" s="27" t="s">
        <v>514</v>
      </c>
      <c r="G319" s="28">
        <v>37</v>
      </c>
      <c r="H319" s="28">
        <v>0.6</v>
      </c>
      <c r="I319" s="297">
        <f t="shared" si="94"/>
        <v>22.2</v>
      </c>
      <c r="J319" s="297" t="str">
        <f t="shared" si="95"/>
        <v/>
      </c>
      <c r="K319" s="297" t="str">
        <f t="shared" si="96"/>
        <v/>
      </c>
      <c r="L319" s="297" t="str">
        <f t="shared" si="97"/>
        <v/>
      </c>
      <c r="M319" s="297" t="str">
        <f t="shared" si="98"/>
        <v/>
      </c>
      <c r="N319" s="297" t="str">
        <f t="shared" si="99"/>
        <v/>
      </c>
      <c r="O319" s="297" t="str">
        <f t="shared" si="100"/>
        <v/>
      </c>
      <c r="P319" s="287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</row>
    <row r="320" spans="1:28" ht="16.5" hidden="1" customHeight="1" outlineLevel="1" x14ac:dyDescent="0.25">
      <c r="A320" s="481"/>
      <c r="B320" s="358" t="s">
        <v>544</v>
      </c>
      <c r="C320" s="359"/>
      <c r="D320" s="27"/>
      <c r="E320" s="28"/>
      <c r="F320" s="27"/>
      <c r="G320" s="28"/>
      <c r="H320" s="28"/>
      <c r="I320" s="297" t="str">
        <f t="shared" si="94"/>
        <v/>
      </c>
      <c r="J320" s="297" t="str">
        <f t="shared" si="95"/>
        <v/>
      </c>
      <c r="K320" s="297" t="str">
        <f t="shared" si="96"/>
        <v/>
      </c>
      <c r="L320" s="297" t="str">
        <f t="shared" si="97"/>
        <v/>
      </c>
      <c r="M320" s="297" t="str">
        <f t="shared" si="98"/>
        <v/>
      </c>
      <c r="N320" s="297" t="str">
        <f t="shared" si="99"/>
        <v/>
      </c>
      <c r="O320" s="297" t="str">
        <f t="shared" si="100"/>
        <v/>
      </c>
      <c r="P320" s="287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</row>
    <row r="321" spans="1:28" ht="16.5" hidden="1" customHeight="1" outlineLevel="1" x14ac:dyDescent="0.25">
      <c r="A321" s="626"/>
      <c r="B321" s="358" t="s">
        <v>385</v>
      </c>
      <c r="C321" s="359"/>
      <c r="D321" s="27" t="s">
        <v>8</v>
      </c>
      <c r="E321" s="28">
        <v>8</v>
      </c>
      <c r="F321" s="27" t="s">
        <v>66</v>
      </c>
      <c r="G321" s="28">
        <v>3</v>
      </c>
      <c r="H321" s="28">
        <v>5.25</v>
      </c>
      <c r="I321" s="297" t="str">
        <f t="shared" si="94"/>
        <v/>
      </c>
      <c r="J321" s="297" t="str">
        <f t="shared" si="95"/>
        <v/>
      </c>
      <c r="K321" s="297" t="str">
        <f t="shared" si="96"/>
        <v/>
      </c>
      <c r="L321" s="297" t="str">
        <f t="shared" si="97"/>
        <v/>
      </c>
      <c r="M321" s="297">
        <f t="shared" si="98"/>
        <v>126</v>
      </c>
      <c r="N321" s="297" t="str">
        <f t="shared" si="99"/>
        <v/>
      </c>
      <c r="O321" s="297" t="str">
        <f t="shared" si="100"/>
        <v/>
      </c>
      <c r="P321" s="287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</row>
    <row r="322" spans="1:28" ht="16.5" hidden="1" customHeight="1" outlineLevel="1" x14ac:dyDescent="0.25">
      <c r="A322" s="626"/>
      <c r="B322" s="358" t="s">
        <v>379</v>
      </c>
      <c r="C322" s="359"/>
      <c r="D322" s="27" t="s">
        <v>8</v>
      </c>
      <c r="E322" s="28">
        <v>8</v>
      </c>
      <c r="F322" s="27" t="s">
        <v>66</v>
      </c>
      <c r="G322" s="28">
        <v>3</v>
      </c>
      <c r="H322" s="28">
        <v>5.25</v>
      </c>
      <c r="I322" s="297" t="str">
        <f t="shared" si="94"/>
        <v/>
      </c>
      <c r="J322" s="297" t="str">
        <f t="shared" si="95"/>
        <v/>
      </c>
      <c r="K322" s="297" t="str">
        <f t="shared" si="96"/>
        <v/>
      </c>
      <c r="L322" s="297" t="str">
        <f t="shared" si="97"/>
        <v/>
      </c>
      <c r="M322" s="297">
        <f t="shared" si="98"/>
        <v>126</v>
      </c>
      <c r="N322" s="297" t="str">
        <f t="shared" si="99"/>
        <v/>
      </c>
      <c r="O322" s="297" t="str">
        <f t="shared" si="100"/>
        <v/>
      </c>
      <c r="P322" s="287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</row>
    <row r="323" spans="1:28" ht="16.5" hidden="1" customHeight="1" outlineLevel="1" x14ac:dyDescent="0.25">
      <c r="A323" s="625"/>
      <c r="B323" s="358" t="s">
        <v>73</v>
      </c>
      <c r="C323" s="359"/>
      <c r="D323" s="27" t="s">
        <v>8</v>
      </c>
      <c r="E323" s="28">
        <v>8</v>
      </c>
      <c r="F323" s="27" t="s">
        <v>63</v>
      </c>
      <c r="G323" s="28">
        <v>31</v>
      </c>
      <c r="H323" s="28">
        <v>1.35</v>
      </c>
      <c r="I323" s="297" t="str">
        <f t="shared" si="94"/>
        <v/>
      </c>
      <c r="J323" s="297">
        <f t="shared" si="95"/>
        <v>334.8</v>
      </c>
      <c r="K323" s="297" t="str">
        <f t="shared" si="96"/>
        <v/>
      </c>
      <c r="L323" s="297" t="str">
        <f t="shared" si="97"/>
        <v/>
      </c>
      <c r="M323" s="297" t="str">
        <f t="shared" si="98"/>
        <v/>
      </c>
      <c r="N323" s="297" t="str">
        <f t="shared" si="99"/>
        <v/>
      </c>
      <c r="O323" s="297" t="str">
        <f t="shared" si="100"/>
        <v/>
      </c>
      <c r="P323" s="287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</row>
    <row r="324" spans="1:28" ht="16.5" hidden="1" customHeight="1" outlineLevel="1" x14ac:dyDescent="0.25">
      <c r="A324" s="481"/>
      <c r="B324" s="358" t="s">
        <v>582</v>
      </c>
      <c r="C324" s="359"/>
      <c r="D324" s="27"/>
      <c r="E324" s="28"/>
      <c r="F324" s="27"/>
      <c r="G324" s="28"/>
      <c r="H324" s="28"/>
      <c r="I324" s="297" t="str">
        <f t="shared" si="94"/>
        <v/>
      </c>
      <c r="J324" s="297" t="str">
        <f t="shared" si="95"/>
        <v/>
      </c>
      <c r="K324" s="297" t="str">
        <f t="shared" si="96"/>
        <v/>
      </c>
      <c r="L324" s="297" t="str">
        <f t="shared" si="97"/>
        <v/>
      </c>
      <c r="M324" s="297" t="str">
        <f t="shared" si="98"/>
        <v/>
      </c>
      <c r="N324" s="297" t="str">
        <f t="shared" si="99"/>
        <v/>
      </c>
      <c r="O324" s="297" t="str">
        <f t="shared" si="100"/>
        <v/>
      </c>
      <c r="P324" s="287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</row>
    <row r="325" spans="1:28" ht="16.5" hidden="1" customHeight="1" outlineLevel="1" x14ac:dyDescent="0.25">
      <c r="A325" s="626"/>
      <c r="B325" s="358" t="s">
        <v>385</v>
      </c>
      <c r="C325" s="359"/>
      <c r="D325" s="27" t="s">
        <v>8</v>
      </c>
      <c r="E325" s="28">
        <v>2</v>
      </c>
      <c r="F325" s="27" t="s">
        <v>65</v>
      </c>
      <c r="G325" s="28">
        <v>2</v>
      </c>
      <c r="H325" s="28">
        <v>27</v>
      </c>
      <c r="I325" s="297" t="str">
        <f t="shared" si="94"/>
        <v/>
      </c>
      <c r="J325" s="297" t="str">
        <f t="shared" si="95"/>
        <v/>
      </c>
      <c r="K325" s="297" t="str">
        <f t="shared" si="96"/>
        <v/>
      </c>
      <c r="L325" s="297">
        <f t="shared" si="97"/>
        <v>108</v>
      </c>
      <c r="M325" s="297" t="str">
        <f t="shared" si="98"/>
        <v/>
      </c>
      <c r="N325" s="297" t="str">
        <f t="shared" si="99"/>
        <v/>
      </c>
      <c r="O325" s="297" t="str">
        <f t="shared" si="100"/>
        <v/>
      </c>
      <c r="P325" s="287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</row>
    <row r="326" spans="1:28" ht="16.5" hidden="1" customHeight="1" outlineLevel="1" x14ac:dyDescent="0.25">
      <c r="A326" s="626"/>
      <c r="B326" s="358" t="s">
        <v>379</v>
      </c>
      <c r="C326" s="359"/>
      <c r="D326" s="27" t="s">
        <v>8</v>
      </c>
      <c r="E326" s="28">
        <v>2</v>
      </c>
      <c r="F326" s="27" t="s">
        <v>65</v>
      </c>
      <c r="G326" s="28">
        <v>2</v>
      </c>
      <c r="H326" s="28">
        <v>27</v>
      </c>
      <c r="I326" s="297" t="str">
        <f t="shared" si="94"/>
        <v/>
      </c>
      <c r="J326" s="297" t="str">
        <f t="shared" si="95"/>
        <v/>
      </c>
      <c r="K326" s="297" t="str">
        <f t="shared" si="96"/>
        <v/>
      </c>
      <c r="L326" s="297">
        <f t="shared" si="97"/>
        <v>108</v>
      </c>
      <c r="M326" s="297" t="str">
        <f t="shared" si="98"/>
        <v/>
      </c>
      <c r="N326" s="297" t="str">
        <f t="shared" si="99"/>
        <v/>
      </c>
      <c r="O326" s="297" t="str">
        <f t="shared" si="100"/>
        <v/>
      </c>
      <c r="P326" s="287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</row>
    <row r="327" spans="1:28" ht="16.5" hidden="1" customHeight="1" outlineLevel="1" x14ac:dyDescent="0.25">
      <c r="A327" s="626"/>
      <c r="B327" s="358" t="s">
        <v>73</v>
      </c>
      <c r="C327" s="359"/>
      <c r="D327" s="27" t="s">
        <v>8</v>
      </c>
      <c r="E327" s="28">
        <v>2</v>
      </c>
      <c r="F327" s="27" t="s">
        <v>514</v>
      </c>
      <c r="G327" s="28">
        <v>151</v>
      </c>
      <c r="H327" s="28">
        <v>1.01</v>
      </c>
      <c r="I327" s="297">
        <f t="shared" si="94"/>
        <v>305.02</v>
      </c>
      <c r="J327" s="297" t="str">
        <f t="shared" si="95"/>
        <v/>
      </c>
      <c r="K327" s="297" t="str">
        <f t="shared" si="96"/>
        <v/>
      </c>
      <c r="L327" s="297" t="str">
        <f t="shared" si="97"/>
        <v/>
      </c>
      <c r="M327" s="297" t="str">
        <f t="shared" si="98"/>
        <v/>
      </c>
      <c r="N327" s="297" t="str">
        <f t="shared" si="99"/>
        <v/>
      </c>
      <c r="O327" s="297" t="str">
        <f t="shared" si="100"/>
        <v/>
      </c>
      <c r="P327" s="287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</row>
    <row r="328" spans="1:28" ht="16.5" hidden="1" customHeight="1" outlineLevel="1" x14ac:dyDescent="0.25">
      <c r="A328" s="481"/>
      <c r="B328" s="358" t="s">
        <v>238</v>
      </c>
      <c r="C328" s="359"/>
      <c r="D328" s="27"/>
      <c r="E328" s="28"/>
      <c r="F328" s="27"/>
      <c r="G328" s="28"/>
      <c r="H328" s="28"/>
      <c r="I328" s="297" t="str">
        <f t="shared" si="94"/>
        <v/>
      </c>
      <c r="J328" s="297" t="str">
        <f t="shared" si="95"/>
        <v/>
      </c>
      <c r="K328" s="297" t="str">
        <f t="shared" si="96"/>
        <v/>
      </c>
      <c r="L328" s="297" t="str">
        <f t="shared" si="97"/>
        <v/>
      </c>
      <c r="M328" s="297" t="str">
        <f t="shared" si="98"/>
        <v/>
      </c>
      <c r="N328" s="297" t="str">
        <f t="shared" si="99"/>
        <v/>
      </c>
      <c r="O328" s="297" t="str">
        <f t="shared" si="100"/>
        <v/>
      </c>
      <c r="P328" s="287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</row>
    <row r="329" spans="1:28" ht="16.5" hidden="1" customHeight="1" outlineLevel="1" x14ac:dyDescent="0.25">
      <c r="A329" s="626"/>
      <c r="B329" s="358" t="s">
        <v>385</v>
      </c>
      <c r="C329" s="359"/>
      <c r="D329" s="27" t="s">
        <v>8</v>
      </c>
      <c r="E329" s="28">
        <v>7</v>
      </c>
      <c r="F329" s="27" t="s">
        <v>65</v>
      </c>
      <c r="G329" s="28">
        <v>2</v>
      </c>
      <c r="H329" s="28">
        <v>5</v>
      </c>
      <c r="I329" s="297" t="str">
        <f t="shared" si="94"/>
        <v/>
      </c>
      <c r="J329" s="297" t="str">
        <f t="shared" si="95"/>
        <v/>
      </c>
      <c r="K329" s="297" t="str">
        <f t="shared" si="96"/>
        <v/>
      </c>
      <c r="L329" s="297">
        <f t="shared" si="97"/>
        <v>70</v>
      </c>
      <c r="M329" s="297" t="str">
        <f t="shared" si="98"/>
        <v/>
      </c>
      <c r="N329" s="297" t="str">
        <f t="shared" si="99"/>
        <v/>
      </c>
      <c r="O329" s="297" t="str">
        <f t="shared" si="100"/>
        <v/>
      </c>
      <c r="P329" s="287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</row>
    <row r="330" spans="1:28" ht="16.5" hidden="1" customHeight="1" outlineLevel="1" x14ac:dyDescent="0.25">
      <c r="A330" s="626"/>
      <c r="B330" s="358" t="s">
        <v>379</v>
      </c>
      <c r="C330" s="359"/>
      <c r="D330" s="27" t="s">
        <v>8</v>
      </c>
      <c r="E330" s="28">
        <v>7</v>
      </c>
      <c r="F330" s="27" t="s">
        <v>65</v>
      </c>
      <c r="G330" s="28">
        <v>2</v>
      </c>
      <c r="H330" s="28">
        <v>5</v>
      </c>
      <c r="I330" s="297" t="str">
        <f t="shared" si="94"/>
        <v/>
      </c>
      <c r="J330" s="297" t="str">
        <f t="shared" si="95"/>
        <v/>
      </c>
      <c r="K330" s="297" t="str">
        <f t="shared" si="96"/>
        <v/>
      </c>
      <c r="L330" s="297">
        <f t="shared" si="97"/>
        <v>70</v>
      </c>
      <c r="M330" s="297" t="str">
        <f t="shared" si="98"/>
        <v/>
      </c>
      <c r="N330" s="297" t="str">
        <f t="shared" si="99"/>
        <v/>
      </c>
      <c r="O330" s="297" t="str">
        <f t="shared" si="100"/>
        <v/>
      </c>
      <c r="P330" s="287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</row>
    <row r="331" spans="1:28" ht="16.5" hidden="1" customHeight="1" outlineLevel="1" x14ac:dyDescent="0.25">
      <c r="A331" s="626"/>
      <c r="B331" s="358" t="s">
        <v>73</v>
      </c>
      <c r="C331" s="359"/>
      <c r="D331" s="27" t="s">
        <v>8</v>
      </c>
      <c r="E331" s="28">
        <v>7</v>
      </c>
      <c r="F331" s="27" t="s">
        <v>63</v>
      </c>
      <c r="G331" s="28">
        <v>26</v>
      </c>
      <c r="H331" s="28">
        <v>0.85</v>
      </c>
      <c r="I331" s="297" t="str">
        <f t="shared" si="94"/>
        <v/>
      </c>
      <c r="J331" s="297">
        <f t="shared" si="95"/>
        <v>154.69999999999999</v>
      </c>
      <c r="K331" s="297" t="str">
        <f t="shared" si="96"/>
        <v/>
      </c>
      <c r="L331" s="297" t="str">
        <f t="shared" si="97"/>
        <v/>
      </c>
      <c r="M331" s="297" t="str">
        <f t="shared" si="98"/>
        <v/>
      </c>
      <c r="N331" s="297" t="str">
        <f t="shared" si="99"/>
        <v/>
      </c>
      <c r="O331" s="297" t="str">
        <f t="shared" si="100"/>
        <v/>
      </c>
      <c r="P331" s="287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</row>
    <row r="332" spans="1:28" ht="16.5" hidden="1" customHeight="1" outlineLevel="1" x14ac:dyDescent="0.25">
      <c r="A332" s="481"/>
      <c r="B332" s="358" t="s">
        <v>545</v>
      </c>
      <c r="C332" s="359"/>
      <c r="D332" s="27"/>
      <c r="E332" s="28"/>
      <c r="F332" s="27"/>
      <c r="G332" s="28"/>
      <c r="H332" s="28"/>
      <c r="I332" s="297" t="str">
        <f t="shared" si="94"/>
        <v/>
      </c>
      <c r="J332" s="297" t="str">
        <f t="shared" si="95"/>
        <v/>
      </c>
      <c r="K332" s="297" t="str">
        <f t="shared" si="96"/>
        <v/>
      </c>
      <c r="L332" s="297" t="str">
        <f t="shared" si="97"/>
        <v/>
      </c>
      <c r="M332" s="297" t="str">
        <f t="shared" si="98"/>
        <v/>
      </c>
      <c r="N332" s="297" t="str">
        <f t="shared" si="99"/>
        <v/>
      </c>
      <c r="O332" s="297" t="str">
        <f t="shared" si="100"/>
        <v/>
      </c>
      <c r="P332" s="287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</row>
    <row r="333" spans="1:28" ht="16.5" hidden="1" customHeight="1" outlineLevel="1" x14ac:dyDescent="0.25">
      <c r="A333" s="26"/>
      <c r="B333" s="358" t="s">
        <v>385</v>
      </c>
      <c r="C333" s="359"/>
      <c r="D333" s="27" t="s">
        <v>8</v>
      </c>
      <c r="E333" s="28">
        <v>2</v>
      </c>
      <c r="F333" s="27" t="s">
        <v>65</v>
      </c>
      <c r="G333" s="28">
        <v>2</v>
      </c>
      <c r="H333" s="28">
        <v>2.2000000000000002</v>
      </c>
      <c r="I333" s="297" t="str">
        <f t="shared" si="94"/>
        <v/>
      </c>
      <c r="J333" s="297" t="str">
        <f t="shared" si="95"/>
        <v/>
      </c>
      <c r="K333" s="297" t="str">
        <f t="shared" si="96"/>
        <v/>
      </c>
      <c r="L333" s="297">
        <f t="shared" si="97"/>
        <v>8.8000000000000007</v>
      </c>
      <c r="M333" s="297" t="str">
        <f t="shared" si="98"/>
        <v/>
      </c>
      <c r="N333" s="297" t="str">
        <f t="shared" si="99"/>
        <v/>
      </c>
      <c r="O333" s="297" t="str">
        <f t="shared" si="100"/>
        <v/>
      </c>
      <c r="P333" s="287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</row>
    <row r="334" spans="1:28" ht="16.5" hidden="1" customHeight="1" outlineLevel="1" x14ac:dyDescent="0.25">
      <c r="A334" s="26"/>
      <c r="B334" s="358" t="s">
        <v>379</v>
      </c>
      <c r="C334" s="359"/>
      <c r="D334" s="27" t="s">
        <v>8</v>
      </c>
      <c r="E334" s="28">
        <v>2</v>
      </c>
      <c r="F334" s="27" t="s">
        <v>65</v>
      </c>
      <c r="G334" s="28">
        <v>2</v>
      </c>
      <c r="H334" s="28">
        <v>2.2000000000000002</v>
      </c>
      <c r="I334" s="297" t="str">
        <f t="shared" si="94"/>
        <v/>
      </c>
      <c r="J334" s="297" t="str">
        <f t="shared" si="95"/>
        <v/>
      </c>
      <c r="K334" s="297" t="str">
        <f t="shared" si="96"/>
        <v/>
      </c>
      <c r="L334" s="297">
        <f t="shared" si="97"/>
        <v>8.8000000000000007</v>
      </c>
      <c r="M334" s="297" t="str">
        <f t="shared" si="98"/>
        <v/>
      </c>
      <c r="N334" s="297" t="str">
        <f t="shared" si="99"/>
        <v/>
      </c>
      <c r="O334" s="297" t="str">
        <f t="shared" si="100"/>
        <v/>
      </c>
      <c r="P334" s="287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</row>
    <row r="335" spans="1:28" ht="16.5" hidden="1" customHeight="1" outlineLevel="1" x14ac:dyDescent="0.25">
      <c r="A335" s="26"/>
      <c r="B335" s="358" t="s">
        <v>73</v>
      </c>
      <c r="C335" s="359"/>
      <c r="D335" s="27" t="s">
        <v>8</v>
      </c>
      <c r="E335" s="28">
        <v>2</v>
      </c>
      <c r="F335" s="27" t="s">
        <v>514</v>
      </c>
      <c r="G335" s="28">
        <v>15</v>
      </c>
      <c r="H335" s="28">
        <v>0.65</v>
      </c>
      <c r="I335" s="297">
        <f t="shared" si="94"/>
        <v>19.5</v>
      </c>
      <c r="J335" s="297" t="str">
        <f t="shared" si="95"/>
        <v/>
      </c>
      <c r="K335" s="297" t="str">
        <f t="shared" si="96"/>
        <v/>
      </c>
      <c r="L335" s="297" t="str">
        <f t="shared" si="97"/>
        <v/>
      </c>
      <c r="M335" s="297" t="str">
        <f t="shared" si="98"/>
        <v/>
      </c>
      <c r="N335" s="297" t="str">
        <f t="shared" si="99"/>
        <v/>
      </c>
      <c r="O335" s="297" t="str">
        <f t="shared" si="100"/>
        <v/>
      </c>
      <c r="P335" s="287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</row>
    <row r="336" spans="1:28" ht="16.5" hidden="1" customHeight="1" outlineLevel="1" x14ac:dyDescent="0.25">
      <c r="A336" s="26"/>
      <c r="B336" s="358"/>
      <c r="C336" s="359"/>
      <c r="D336" s="27"/>
      <c r="E336" s="28"/>
      <c r="F336" s="27"/>
      <c r="G336" s="28"/>
      <c r="H336" s="28"/>
      <c r="I336" s="297" t="str">
        <f t="shared" si="94"/>
        <v/>
      </c>
      <c r="J336" s="297" t="str">
        <f t="shared" si="95"/>
        <v/>
      </c>
      <c r="K336" s="297" t="str">
        <f t="shared" si="96"/>
        <v/>
      </c>
      <c r="L336" s="297" t="str">
        <f t="shared" si="97"/>
        <v/>
      </c>
      <c r="M336" s="297" t="str">
        <f t="shared" si="98"/>
        <v/>
      </c>
      <c r="N336" s="297" t="str">
        <f t="shared" si="99"/>
        <v/>
      </c>
      <c r="O336" s="297" t="str">
        <f t="shared" si="100"/>
        <v/>
      </c>
      <c r="P336" s="287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</row>
    <row r="337" spans="1:28" ht="16.5" customHeight="1" collapsed="1" x14ac:dyDescent="0.25">
      <c r="A337" s="29"/>
      <c r="B337" s="819"/>
      <c r="C337" s="820"/>
      <c r="D337" s="29"/>
      <c r="E337" s="30"/>
      <c r="F337" s="30"/>
      <c r="G337" s="817" t="s">
        <v>68</v>
      </c>
      <c r="H337" s="818"/>
      <c r="I337" s="286">
        <f t="shared" ref="I337:O337" si="101">SUM(I316:I336)</f>
        <v>346.71999999999997</v>
      </c>
      <c r="J337" s="286">
        <f t="shared" si="101"/>
        <v>489.5</v>
      </c>
      <c r="K337" s="286">
        <f t="shared" si="101"/>
        <v>15.2</v>
      </c>
      <c r="L337" s="286">
        <f t="shared" si="101"/>
        <v>373.6</v>
      </c>
      <c r="M337" s="286">
        <f t="shared" si="101"/>
        <v>252</v>
      </c>
      <c r="N337" s="286">
        <f t="shared" si="101"/>
        <v>0</v>
      </c>
      <c r="O337" s="286">
        <f t="shared" si="101"/>
        <v>0</v>
      </c>
      <c r="P337" s="286"/>
      <c r="Q337" s="136"/>
      <c r="R337" s="136"/>
      <c r="S337" s="136"/>
      <c r="T337" s="136"/>
      <c r="U337" s="136"/>
      <c r="V337" s="136"/>
      <c r="W337" s="136"/>
      <c r="X337" s="136"/>
      <c r="Y337" s="136"/>
      <c r="Z337" s="136"/>
      <c r="AA337" s="136"/>
      <c r="AB337" s="136"/>
    </row>
    <row r="338" spans="1:28" ht="16.5" customHeight="1" x14ac:dyDescent="0.25">
      <c r="A338" s="31"/>
      <c r="B338" s="819"/>
      <c r="C338" s="820"/>
      <c r="D338" s="32"/>
      <c r="E338" s="33"/>
      <c r="F338" s="34"/>
      <c r="G338" s="821" t="s">
        <v>69</v>
      </c>
      <c r="H338" s="822"/>
      <c r="I338" s="298">
        <v>0.25</v>
      </c>
      <c r="J338" s="298">
        <v>3.97</v>
      </c>
      <c r="K338" s="298">
        <v>0.56000000000000005</v>
      </c>
      <c r="L338" s="298">
        <v>1.02</v>
      </c>
      <c r="M338" s="298">
        <v>1.56</v>
      </c>
      <c r="N338" s="298">
        <v>2.25</v>
      </c>
      <c r="O338" s="335">
        <v>0.39500000000000002</v>
      </c>
      <c r="P338" s="284"/>
      <c r="Q338" s="136"/>
      <c r="R338" s="136"/>
      <c r="S338" s="136"/>
      <c r="T338" s="136"/>
      <c r="U338" s="136"/>
      <c r="V338" s="136"/>
      <c r="W338" s="136"/>
      <c r="X338" s="136"/>
      <c r="Y338" s="136"/>
      <c r="Z338" s="136"/>
      <c r="AA338" s="136"/>
      <c r="AB338" s="136"/>
    </row>
    <row r="339" spans="1:28" ht="15.75" customHeight="1" x14ac:dyDescent="0.25">
      <c r="A339" s="31"/>
      <c r="B339" s="819"/>
      <c r="C339" s="820"/>
      <c r="D339" s="32"/>
      <c r="E339" s="33"/>
      <c r="F339" s="34"/>
      <c r="G339" s="821" t="s">
        <v>70</v>
      </c>
      <c r="H339" s="822"/>
      <c r="I339" s="286">
        <f t="shared" ref="I339:O339" si="102">I337*I338</f>
        <v>86.679999999999993</v>
      </c>
      <c r="J339" s="286">
        <f t="shared" si="102"/>
        <v>1943.3150000000001</v>
      </c>
      <c r="K339" s="286">
        <f t="shared" si="102"/>
        <v>8.5120000000000005</v>
      </c>
      <c r="L339" s="286">
        <f t="shared" si="102"/>
        <v>381.072</v>
      </c>
      <c r="M339" s="286">
        <f t="shared" si="102"/>
        <v>393.12</v>
      </c>
      <c r="N339" s="286">
        <f t="shared" si="102"/>
        <v>0</v>
      </c>
      <c r="O339" s="286">
        <f t="shared" si="102"/>
        <v>0</v>
      </c>
      <c r="P339" s="283"/>
      <c r="Q339" s="136"/>
      <c r="R339" s="136"/>
      <c r="S339" s="136"/>
      <c r="T339" s="136"/>
      <c r="U339" s="136"/>
      <c r="V339" s="136"/>
      <c r="W339" s="136"/>
      <c r="X339" s="136"/>
      <c r="Y339" s="136"/>
      <c r="Z339" s="136"/>
      <c r="AA339" s="136"/>
      <c r="AB339" s="136"/>
    </row>
    <row r="340" spans="1:28" ht="15.6" customHeight="1" x14ac:dyDescent="0.25">
      <c r="A340" s="31"/>
      <c r="B340" s="819"/>
      <c r="C340" s="820"/>
      <c r="D340" s="32"/>
      <c r="E340" s="33"/>
      <c r="F340" s="34"/>
      <c r="G340" s="821" t="s">
        <v>71</v>
      </c>
      <c r="H340" s="822"/>
      <c r="I340" s="286">
        <f t="shared" ref="I340:O340" si="103">ROUNDUP(I337*1.07/9,0)</f>
        <v>42</v>
      </c>
      <c r="J340" s="286">
        <f t="shared" si="103"/>
        <v>59</v>
      </c>
      <c r="K340" s="286">
        <f t="shared" si="103"/>
        <v>2</v>
      </c>
      <c r="L340" s="286">
        <f t="shared" si="103"/>
        <v>45</v>
      </c>
      <c r="M340" s="286">
        <f t="shared" si="103"/>
        <v>30</v>
      </c>
      <c r="N340" s="286">
        <f t="shared" si="103"/>
        <v>0</v>
      </c>
      <c r="O340" s="286">
        <f t="shared" si="103"/>
        <v>0</v>
      </c>
      <c r="P340" s="283"/>
      <c r="Q340" s="136"/>
      <c r="R340" s="136"/>
      <c r="S340" s="136"/>
      <c r="T340" s="136"/>
      <c r="U340" s="136"/>
      <c r="V340" s="136"/>
      <c r="W340" s="136"/>
      <c r="X340" s="136"/>
      <c r="Y340" s="136"/>
      <c r="Z340" s="136"/>
      <c r="AA340" s="136"/>
      <c r="AB340" s="136"/>
    </row>
    <row r="341" spans="1:28" ht="15" customHeight="1" x14ac:dyDescent="0.25">
      <c r="A341" s="248" t="s">
        <v>53</v>
      </c>
      <c r="B341" s="812" t="s">
        <v>75</v>
      </c>
      <c r="C341" s="813"/>
      <c r="D341" s="249"/>
      <c r="E341" s="250"/>
      <c r="F341" s="250"/>
      <c r="G341" s="250"/>
      <c r="H341" s="253"/>
      <c r="I341" s="296"/>
      <c r="J341" s="296"/>
      <c r="K341" s="296"/>
      <c r="L341" s="296"/>
      <c r="M341" s="296"/>
      <c r="N341" s="296"/>
      <c r="O341" s="296"/>
      <c r="P341" s="296">
        <f>SUM(I377:O377)</f>
        <v>639.52449999999999</v>
      </c>
      <c r="Q341" s="135"/>
      <c r="R341" s="135"/>
      <c r="S341" s="135"/>
      <c r="T341" s="135"/>
      <c r="U341" s="135"/>
      <c r="V341" s="135"/>
      <c r="W341" s="135"/>
      <c r="X341" s="135"/>
      <c r="Y341" s="135"/>
      <c r="Z341" s="135"/>
      <c r="AA341" s="135"/>
      <c r="AB341" s="135"/>
    </row>
    <row r="342" spans="1:28" ht="16.5" hidden="1" customHeight="1" outlineLevel="1" x14ac:dyDescent="0.25">
      <c r="A342" s="480"/>
      <c r="B342" s="329" t="s">
        <v>558</v>
      </c>
      <c r="C342" s="330"/>
      <c r="D342" s="165"/>
      <c r="E342" s="134"/>
      <c r="F342" s="331"/>
      <c r="G342" s="134"/>
      <c r="H342" s="256"/>
      <c r="I342" s="297" t="str">
        <f t="shared" ref="I342:I374" si="104">IF($F342=$I$6,$E342*$G342*$H342,"")</f>
        <v/>
      </c>
      <c r="J342" s="297" t="str">
        <f t="shared" ref="J342:J374" si="105">IF($F342=$J$6,$E342*$G342*$H342,"")</f>
        <v/>
      </c>
      <c r="K342" s="297" t="str">
        <f t="shared" ref="K342:K374" si="106">IF($F342=$K$6,$E342*$G342*$H342,"")</f>
        <v/>
      </c>
      <c r="L342" s="297" t="str">
        <f t="shared" ref="L342:L374" si="107">IF($F342=$L$6,$E342*$G342*$H342,"")</f>
        <v/>
      </c>
      <c r="M342" s="282" t="str">
        <f t="shared" ref="M342:M374" si="108">IF($F342=$M$6,$E342*$G342*$H342,"")</f>
        <v/>
      </c>
      <c r="N342" s="282" t="str">
        <f t="shared" ref="N342:N374" si="109">IF($F342=$N$6,$E342*$G342*$H342,"")</f>
        <v/>
      </c>
      <c r="O342" s="282"/>
      <c r="P342" s="282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</row>
    <row r="343" spans="1:28" ht="16.5" hidden="1" customHeight="1" outlineLevel="1" x14ac:dyDescent="0.25">
      <c r="A343" s="627"/>
      <c r="B343" s="329" t="s">
        <v>522</v>
      </c>
      <c r="C343" s="330"/>
      <c r="D343" s="153" t="s">
        <v>8</v>
      </c>
      <c r="E343" s="134">
        <v>1</v>
      </c>
      <c r="F343" s="331" t="s">
        <v>65</v>
      </c>
      <c r="G343" s="134">
        <v>11</v>
      </c>
      <c r="H343" s="256">
        <v>8.94</v>
      </c>
      <c r="I343" s="297" t="str">
        <f t="shared" si="104"/>
        <v/>
      </c>
      <c r="J343" s="297" t="str">
        <f t="shared" si="105"/>
        <v/>
      </c>
      <c r="K343" s="297" t="str">
        <f t="shared" si="106"/>
        <v/>
      </c>
      <c r="L343" s="297">
        <f t="shared" si="107"/>
        <v>98.339999999999989</v>
      </c>
      <c r="M343" s="282" t="str">
        <f t="shared" si="108"/>
        <v/>
      </c>
      <c r="N343" s="282" t="str">
        <f t="shared" si="109"/>
        <v/>
      </c>
      <c r="O343" s="282"/>
      <c r="P343" s="282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</row>
    <row r="344" spans="1:28" ht="16.5" hidden="1" customHeight="1" outlineLevel="1" x14ac:dyDescent="0.25">
      <c r="A344" s="627"/>
      <c r="B344" s="329" t="s">
        <v>559</v>
      </c>
      <c r="C344" s="330"/>
      <c r="D344" s="153" t="s">
        <v>8</v>
      </c>
      <c r="E344" s="134">
        <v>1</v>
      </c>
      <c r="F344" s="331" t="s">
        <v>65</v>
      </c>
      <c r="G344" s="134">
        <v>11</v>
      </c>
      <c r="H344" s="256">
        <v>5.68</v>
      </c>
      <c r="I344" s="297" t="str">
        <f t="shared" si="104"/>
        <v/>
      </c>
      <c r="J344" s="297" t="str">
        <f t="shared" si="105"/>
        <v/>
      </c>
      <c r="K344" s="297" t="str">
        <f t="shared" si="106"/>
        <v/>
      </c>
      <c r="L344" s="297">
        <f t="shared" si="107"/>
        <v>62.48</v>
      </c>
      <c r="M344" s="282" t="str">
        <f t="shared" si="108"/>
        <v/>
      </c>
      <c r="N344" s="282" t="str">
        <f t="shared" si="109"/>
        <v/>
      </c>
      <c r="O344" s="282"/>
      <c r="P344" s="282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</row>
    <row r="345" spans="1:28" ht="16.5" hidden="1" customHeight="1" outlineLevel="1" x14ac:dyDescent="0.25">
      <c r="A345" s="627"/>
      <c r="B345" s="329" t="s">
        <v>560</v>
      </c>
      <c r="C345" s="330"/>
      <c r="D345" s="153" t="s">
        <v>8</v>
      </c>
      <c r="E345" s="134">
        <v>1</v>
      </c>
      <c r="F345" s="331" t="s">
        <v>514</v>
      </c>
      <c r="G345" s="134">
        <v>32</v>
      </c>
      <c r="H345" s="256">
        <v>5.2</v>
      </c>
      <c r="I345" s="297">
        <f t="shared" si="104"/>
        <v>166.4</v>
      </c>
      <c r="J345" s="297" t="str">
        <f t="shared" si="105"/>
        <v/>
      </c>
      <c r="K345" s="297" t="str">
        <f t="shared" si="106"/>
        <v/>
      </c>
      <c r="L345" s="297" t="str">
        <f t="shared" si="107"/>
        <v/>
      </c>
      <c r="M345" s="282" t="str">
        <f t="shared" si="108"/>
        <v/>
      </c>
      <c r="N345" s="282" t="str">
        <f t="shared" si="109"/>
        <v/>
      </c>
      <c r="O345" s="282"/>
      <c r="P345" s="282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</row>
    <row r="346" spans="1:28" ht="16.5" hidden="1" customHeight="1" outlineLevel="1" x14ac:dyDescent="0.25">
      <c r="A346" s="480"/>
      <c r="B346" s="329" t="s">
        <v>508</v>
      </c>
      <c r="C346" s="330"/>
      <c r="D346" s="165"/>
      <c r="E346" s="134"/>
      <c r="F346" s="331"/>
      <c r="G346" s="134"/>
      <c r="H346" s="256"/>
      <c r="I346" s="297" t="str">
        <f t="shared" si="104"/>
        <v/>
      </c>
      <c r="J346" s="297" t="str">
        <f t="shared" si="105"/>
        <v/>
      </c>
      <c r="K346" s="297" t="str">
        <f t="shared" si="106"/>
        <v/>
      </c>
      <c r="L346" s="297" t="str">
        <f t="shared" si="107"/>
        <v/>
      </c>
      <c r="M346" s="282" t="str">
        <f t="shared" si="108"/>
        <v/>
      </c>
      <c r="N346" s="282" t="str">
        <f t="shared" si="109"/>
        <v/>
      </c>
      <c r="O346" s="282"/>
      <c r="P346" s="282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</row>
    <row r="347" spans="1:28" ht="16.5" hidden="1" customHeight="1" outlineLevel="1" x14ac:dyDescent="0.25">
      <c r="A347" s="627"/>
      <c r="B347" s="329" t="s">
        <v>522</v>
      </c>
      <c r="C347" s="330"/>
      <c r="D347" s="153" t="s">
        <v>8</v>
      </c>
      <c r="E347" s="134">
        <v>1</v>
      </c>
      <c r="F347" s="331" t="s">
        <v>64</v>
      </c>
      <c r="G347" s="134">
        <v>5</v>
      </c>
      <c r="H347" s="256">
        <v>4</v>
      </c>
      <c r="I347" s="297" t="str">
        <f t="shared" si="104"/>
        <v/>
      </c>
      <c r="J347" s="297" t="str">
        <f t="shared" si="105"/>
        <v/>
      </c>
      <c r="K347" s="297">
        <f t="shared" si="106"/>
        <v>20</v>
      </c>
      <c r="L347" s="297" t="str">
        <f t="shared" si="107"/>
        <v/>
      </c>
      <c r="M347" s="282" t="str">
        <f t="shared" si="108"/>
        <v/>
      </c>
      <c r="N347" s="282" t="str">
        <f t="shared" si="109"/>
        <v/>
      </c>
      <c r="O347" s="282"/>
      <c r="P347" s="282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</row>
    <row r="348" spans="1:28" ht="16.5" hidden="1" customHeight="1" outlineLevel="1" x14ac:dyDescent="0.25">
      <c r="A348" s="627"/>
      <c r="B348" s="329" t="s">
        <v>559</v>
      </c>
      <c r="C348" s="330"/>
      <c r="D348" s="153" t="s">
        <v>8</v>
      </c>
      <c r="E348" s="134">
        <v>1</v>
      </c>
      <c r="F348" s="331" t="s">
        <v>64</v>
      </c>
      <c r="G348" s="134">
        <v>5</v>
      </c>
      <c r="H348" s="256">
        <v>3.04</v>
      </c>
      <c r="I348" s="297" t="str">
        <f t="shared" si="104"/>
        <v/>
      </c>
      <c r="J348" s="297" t="str">
        <f t="shared" si="105"/>
        <v/>
      </c>
      <c r="K348" s="297">
        <f t="shared" si="106"/>
        <v>15.2</v>
      </c>
      <c r="L348" s="297" t="str">
        <f t="shared" si="107"/>
        <v/>
      </c>
      <c r="M348" s="282" t="str">
        <f t="shared" si="108"/>
        <v/>
      </c>
      <c r="N348" s="282" t="str">
        <f t="shared" si="109"/>
        <v/>
      </c>
      <c r="O348" s="282"/>
      <c r="P348" s="282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</row>
    <row r="349" spans="1:28" ht="16.5" hidden="1" customHeight="1" outlineLevel="1" x14ac:dyDescent="0.25">
      <c r="A349" s="627"/>
      <c r="B349" s="329" t="s">
        <v>560</v>
      </c>
      <c r="C349" s="330"/>
      <c r="D349" s="153" t="s">
        <v>8</v>
      </c>
      <c r="E349" s="134">
        <v>1</v>
      </c>
      <c r="F349" s="331" t="s">
        <v>514</v>
      </c>
      <c r="G349" s="134">
        <v>17</v>
      </c>
      <c r="H349" s="256">
        <v>2.2000000000000002</v>
      </c>
      <c r="I349" s="297">
        <f t="shared" si="104"/>
        <v>37.400000000000006</v>
      </c>
      <c r="J349" s="297" t="str">
        <f t="shared" si="105"/>
        <v/>
      </c>
      <c r="K349" s="297" t="str">
        <f t="shared" si="106"/>
        <v/>
      </c>
      <c r="L349" s="297" t="str">
        <f t="shared" si="107"/>
        <v/>
      </c>
      <c r="M349" s="282" t="str">
        <f t="shared" si="108"/>
        <v/>
      </c>
      <c r="N349" s="282" t="str">
        <f t="shared" si="109"/>
        <v/>
      </c>
      <c r="O349" s="282"/>
      <c r="P349" s="282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</row>
    <row r="350" spans="1:28" ht="16.5" hidden="1" customHeight="1" outlineLevel="1" x14ac:dyDescent="0.25">
      <c r="A350" s="480"/>
      <c r="B350" s="329" t="s">
        <v>516</v>
      </c>
      <c r="C350" s="330"/>
      <c r="D350" s="165"/>
      <c r="E350" s="134"/>
      <c r="F350" s="331"/>
      <c r="G350" s="134"/>
      <c r="H350" s="256"/>
      <c r="I350" s="297" t="str">
        <f t="shared" si="104"/>
        <v/>
      </c>
      <c r="J350" s="297" t="str">
        <f t="shared" si="105"/>
        <v/>
      </c>
      <c r="K350" s="297" t="str">
        <f t="shared" si="106"/>
        <v/>
      </c>
      <c r="L350" s="297" t="str">
        <f t="shared" si="107"/>
        <v/>
      </c>
      <c r="M350" s="282" t="str">
        <f t="shared" si="108"/>
        <v/>
      </c>
      <c r="N350" s="282" t="str">
        <f t="shared" si="109"/>
        <v/>
      </c>
      <c r="O350" s="282"/>
      <c r="P350" s="282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</row>
    <row r="351" spans="1:28" ht="16.5" hidden="1" customHeight="1" outlineLevel="1" x14ac:dyDescent="0.25">
      <c r="A351" s="627"/>
      <c r="B351" s="329" t="s">
        <v>522</v>
      </c>
      <c r="C351" s="330"/>
      <c r="D351" s="153" t="s">
        <v>8</v>
      </c>
      <c r="E351" s="134">
        <v>1</v>
      </c>
      <c r="F351" s="331" t="s">
        <v>65</v>
      </c>
      <c r="G351" s="134">
        <v>7</v>
      </c>
      <c r="H351" s="256">
        <v>5.24</v>
      </c>
      <c r="I351" s="297" t="str">
        <f t="shared" si="104"/>
        <v/>
      </c>
      <c r="J351" s="297" t="str">
        <f t="shared" si="105"/>
        <v/>
      </c>
      <c r="K351" s="297" t="str">
        <f t="shared" si="106"/>
        <v/>
      </c>
      <c r="L351" s="297">
        <f t="shared" si="107"/>
        <v>36.68</v>
      </c>
      <c r="M351" s="282" t="str">
        <f t="shared" si="108"/>
        <v/>
      </c>
      <c r="N351" s="282" t="str">
        <f t="shared" si="109"/>
        <v/>
      </c>
      <c r="O351" s="282"/>
      <c r="P351" s="282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</row>
    <row r="352" spans="1:28" ht="16.5" hidden="1" customHeight="1" outlineLevel="1" x14ac:dyDescent="0.25">
      <c r="A352" s="627"/>
      <c r="B352" s="329" t="s">
        <v>559</v>
      </c>
      <c r="C352" s="330"/>
      <c r="D352" s="153" t="s">
        <v>8</v>
      </c>
      <c r="E352" s="134">
        <v>1</v>
      </c>
      <c r="F352" s="331" t="s">
        <v>65</v>
      </c>
      <c r="G352" s="134">
        <v>7</v>
      </c>
      <c r="H352" s="256">
        <v>3.04</v>
      </c>
      <c r="I352" s="297" t="str">
        <f t="shared" si="104"/>
        <v/>
      </c>
      <c r="J352" s="297" t="str">
        <f t="shared" si="105"/>
        <v/>
      </c>
      <c r="K352" s="297" t="str">
        <f t="shared" si="106"/>
        <v/>
      </c>
      <c r="L352" s="297">
        <f t="shared" si="107"/>
        <v>21.28</v>
      </c>
      <c r="M352" s="282" t="str">
        <f t="shared" si="108"/>
        <v/>
      </c>
      <c r="N352" s="282" t="str">
        <f t="shared" si="109"/>
        <v/>
      </c>
      <c r="O352" s="282"/>
      <c r="P352" s="282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</row>
    <row r="353" spans="1:28" ht="16.5" hidden="1" customHeight="1" outlineLevel="1" x14ac:dyDescent="0.25">
      <c r="A353" s="627"/>
      <c r="B353" s="329" t="s">
        <v>560</v>
      </c>
      <c r="C353" s="330"/>
      <c r="D353" s="153" t="s">
        <v>8</v>
      </c>
      <c r="E353" s="134">
        <v>1</v>
      </c>
      <c r="F353" s="331" t="s">
        <v>514</v>
      </c>
      <c r="G353" s="134">
        <v>23</v>
      </c>
      <c r="H353" s="256">
        <v>3.12</v>
      </c>
      <c r="I353" s="297">
        <f t="shared" si="104"/>
        <v>71.760000000000005</v>
      </c>
      <c r="J353" s="297" t="str">
        <f t="shared" si="105"/>
        <v/>
      </c>
      <c r="K353" s="297" t="str">
        <f t="shared" si="106"/>
        <v/>
      </c>
      <c r="L353" s="297" t="str">
        <f t="shared" si="107"/>
        <v/>
      </c>
      <c r="M353" s="282" t="str">
        <f t="shared" si="108"/>
        <v/>
      </c>
      <c r="N353" s="282" t="str">
        <f t="shared" si="109"/>
        <v/>
      </c>
      <c r="O353" s="282"/>
      <c r="P353" s="282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</row>
    <row r="354" spans="1:28" ht="16.5" hidden="1" customHeight="1" outlineLevel="1" x14ac:dyDescent="0.25">
      <c r="A354" s="480"/>
      <c r="B354" s="329" t="s">
        <v>547</v>
      </c>
      <c r="C354" s="330"/>
      <c r="D354" s="165"/>
      <c r="E354" s="134"/>
      <c r="F354" s="331"/>
      <c r="G354" s="134"/>
      <c r="H354" s="256"/>
      <c r="I354" s="297" t="str">
        <f t="shared" si="104"/>
        <v/>
      </c>
      <c r="J354" s="297" t="str">
        <f t="shared" si="105"/>
        <v/>
      </c>
      <c r="K354" s="297" t="str">
        <f t="shared" si="106"/>
        <v/>
      </c>
      <c r="L354" s="297" t="str">
        <f t="shared" si="107"/>
        <v/>
      </c>
      <c r="M354" s="282" t="str">
        <f t="shared" si="108"/>
        <v/>
      </c>
      <c r="N354" s="282" t="str">
        <f t="shared" si="109"/>
        <v/>
      </c>
      <c r="O354" s="282"/>
      <c r="P354" s="282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</row>
    <row r="355" spans="1:28" ht="16.5" hidden="1" customHeight="1" outlineLevel="1" x14ac:dyDescent="0.25">
      <c r="A355" s="627"/>
      <c r="B355" s="329" t="s">
        <v>522</v>
      </c>
      <c r="C355" s="330"/>
      <c r="D355" s="153" t="s">
        <v>8</v>
      </c>
      <c r="E355" s="134">
        <v>1</v>
      </c>
      <c r="F355" s="331" t="s">
        <v>65</v>
      </c>
      <c r="G355" s="134">
        <v>5</v>
      </c>
      <c r="H355" s="256">
        <v>5.24</v>
      </c>
      <c r="I355" s="297" t="str">
        <f t="shared" si="104"/>
        <v/>
      </c>
      <c r="J355" s="297" t="str">
        <f t="shared" si="105"/>
        <v/>
      </c>
      <c r="K355" s="297" t="str">
        <f t="shared" si="106"/>
        <v/>
      </c>
      <c r="L355" s="297">
        <f t="shared" si="107"/>
        <v>26.200000000000003</v>
      </c>
      <c r="M355" s="282" t="str">
        <f t="shared" si="108"/>
        <v/>
      </c>
      <c r="N355" s="282" t="str">
        <f t="shared" si="109"/>
        <v/>
      </c>
      <c r="O355" s="282"/>
      <c r="P355" s="282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</row>
    <row r="356" spans="1:28" ht="16.5" hidden="1" customHeight="1" outlineLevel="1" x14ac:dyDescent="0.25">
      <c r="A356" s="627"/>
      <c r="B356" s="329" t="s">
        <v>559</v>
      </c>
      <c r="C356" s="330"/>
      <c r="D356" s="153" t="s">
        <v>8</v>
      </c>
      <c r="E356" s="134">
        <v>1</v>
      </c>
      <c r="F356" s="331" t="s">
        <v>65</v>
      </c>
      <c r="G356" s="134">
        <v>5</v>
      </c>
      <c r="H356" s="256">
        <v>3.04</v>
      </c>
      <c r="I356" s="297" t="str">
        <f t="shared" si="104"/>
        <v/>
      </c>
      <c r="J356" s="297" t="str">
        <f t="shared" si="105"/>
        <v/>
      </c>
      <c r="K356" s="297" t="str">
        <f t="shared" si="106"/>
        <v/>
      </c>
      <c r="L356" s="297">
        <f t="shared" si="107"/>
        <v>15.2</v>
      </c>
      <c r="M356" s="282" t="str">
        <f t="shared" si="108"/>
        <v/>
      </c>
      <c r="N356" s="282" t="str">
        <f t="shared" si="109"/>
        <v/>
      </c>
      <c r="O356" s="282"/>
      <c r="P356" s="282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</row>
    <row r="357" spans="1:28" ht="16.5" hidden="1" customHeight="1" outlineLevel="1" x14ac:dyDescent="0.25">
      <c r="A357" s="627"/>
      <c r="B357" s="329" t="s">
        <v>560</v>
      </c>
      <c r="C357" s="330"/>
      <c r="D357" s="153" t="s">
        <v>8</v>
      </c>
      <c r="E357" s="134">
        <v>1</v>
      </c>
      <c r="F357" s="331" t="s">
        <v>514</v>
      </c>
      <c r="G357" s="134">
        <v>23</v>
      </c>
      <c r="H357" s="256">
        <v>3.17</v>
      </c>
      <c r="I357" s="297">
        <f t="shared" si="104"/>
        <v>72.91</v>
      </c>
      <c r="J357" s="297" t="str">
        <f t="shared" si="105"/>
        <v/>
      </c>
      <c r="K357" s="297" t="str">
        <f t="shared" si="106"/>
        <v/>
      </c>
      <c r="L357" s="297" t="str">
        <f t="shared" si="107"/>
        <v/>
      </c>
      <c r="M357" s="282" t="str">
        <f t="shared" si="108"/>
        <v/>
      </c>
      <c r="N357" s="282" t="str">
        <f t="shared" si="109"/>
        <v/>
      </c>
      <c r="O357" s="282"/>
      <c r="P357" s="282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</row>
    <row r="358" spans="1:28" ht="16.5" hidden="1" customHeight="1" outlineLevel="1" x14ac:dyDescent="0.25">
      <c r="A358" s="480"/>
      <c r="B358" s="329" t="s">
        <v>548</v>
      </c>
      <c r="C358" s="330"/>
      <c r="D358" s="165"/>
      <c r="E358" s="134"/>
      <c r="F358" s="331"/>
      <c r="G358" s="134"/>
      <c r="H358" s="256"/>
      <c r="I358" s="297" t="str">
        <f t="shared" si="104"/>
        <v/>
      </c>
      <c r="J358" s="297" t="str">
        <f t="shared" si="105"/>
        <v/>
      </c>
      <c r="K358" s="297" t="str">
        <f t="shared" si="106"/>
        <v/>
      </c>
      <c r="L358" s="297" t="str">
        <f t="shared" si="107"/>
        <v/>
      </c>
      <c r="M358" s="282" t="str">
        <f t="shared" si="108"/>
        <v/>
      </c>
      <c r="N358" s="282" t="str">
        <f t="shared" si="109"/>
        <v/>
      </c>
      <c r="O358" s="282"/>
      <c r="P358" s="282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</row>
    <row r="359" spans="1:28" ht="16.5" hidden="1" customHeight="1" outlineLevel="1" x14ac:dyDescent="0.25">
      <c r="A359" s="627"/>
      <c r="B359" s="329" t="s">
        <v>522</v>
      </c>
      <c r="C359" s="330"/>
      <c r="D359" s="153" t="s">
        <v>8</v>
      </c>
      <c r="E359" s="134">
        <v>1</v>
      </c>
      <c r="F359" s="331" t="s">
        <v>65</v>
      </c>
      <c r="G359" s="134">
        <v>7</v>
      </c>
      <c r="H359" s="256">
        <v>5.24</v>
      </c>
      <c r="I359" s="297" t="str">
        <f t="shared" si="104"/>
        <v/>
      </c>
      <c r="J359" s="297" t="str">
        <f t="shared" si="105"/>
        <v/>
      </c>
      <c r="K359" s="297" t="str">
        <f t="shared" si="106"/>
        <v/>
      </c>
      <c r="L359" s="297">
        <f t="shared" si="107"/>
        <v>36.68</v>
      </c>
      <c r="M359" s="282" t="str">
        <f t="shared" si="108"/>
        <v/>
      </c>
      <c r="N359" s="282" t="str">
        <f t="shared" si="109"/>
        <v/>
      </c>
      <c r="O359" s="282"/>
      <c r="P359" s="282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</row>
    <row r="360" spans="1:28" ht="16.5" hidden="1" customHeight="1" outlineLevel="1" x14ac:dyDescent="0.25">
      <c r="A360" s="627"/>
      <c r="B360" s="329" t="s">
        <v>559</v>
      </c>
      <c r="C360" s="330"/>
      <c r="D360" s="153" t="s">
        <v>8</v>
      </c>
      <c r="E360" s="134">
        <v>1</v>
      </c>
      <c r="F360" s="331" t="s">
        <v>65</v>
      </c>
      <c r="G360" s="134">
        <v>7</v>
      </c>
      <c r="H360" s="256">
        <v>3.04</v>
      </c>
      <c r="I360" s="297" t="str">
        <f t="shared" si="104"/>
        <v/>
      </c>
      <c r="J360" s="297" t="str">
        <f t="shared" si="105"/>
        <v/>
      </c>
      <c r="K360" s="297" t="str">
        <f t="shared" si="106"/>
        <v/>
      </c>
      <c r="L360" s="297">
        <f t="shared" si="107"/>
        <v>21.28</v>
      </c>
      <c r="M360" s="282" t="str">
        <f t="shared" si="108"/>
        <v/>
      </c>
      <c r="N360" s="282" t="str">
        <f t="shared" si="109"/>
        <v/>
      </c>
      <c r="O360" s="282"/>
      <c r="P360" s="282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</row>
    <row r="361" spans="1:28" ht="16.5" hidden="1" customHeight="1" outlineLevel="1" x14ac:dyDescent="0.25">
      <c r="A361" s="627"/>
      <c r="B361" s="329" t="s">
        <v>560</v>
      </c>
      <c r="C361" s="330"/>
      <c r="D361" s="153" t="s">
        <v>8</v>
      </c>
      <c r="E361" s="134">
        <v>1</v>
      </c>
      <c r="F361" s="331" t="s">
        <v>514</v>
      </c>
      <c r="G361" s="134">
        <v>16</v>
      </c>
      <c r="H361" s="256">
        <v>2.62</v>
      </c>
      <c r="I361" s="297">
        <f t="shared" si="104"/>
        <v>41.92</v>
      </c>
      <c r="J361" s="297" t="str">
        <f t="shared" si="105"/>
        <v/>
      </c>
      <c r="K361" s="297" t="str">
        <f t="shared" si="106"/>
        <v/>
      </c>
      <c r="L361" s="297" t="str">
        <f t="shared" si="107"/>
        <v/>
      </c>
      <c r="M361" s="282" t="str">
        <f t="shared" si="108"/>
        <v/>
      </c>
      <c r="N361" s="282" t="str">
        <f t="shared" si="109"/>
        <v/>
      </c>
      <c r="O361" s="282"/>
      <c r="P361" s="282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</row>
    <row r="362" spans="1:28" ht="16.5" hidden="1" customHeight="1" outlineLevel="1" x14ac:dyDescent="0.25">
      <c r="A362" s="480"/>
      <c r="B362" s="329" t="s">
        <v>549</v>
      </c>
      <c r="C362" s="330"/>
      <c r="D362" s="165"/>
      <c r="E362" s="134"/>
      <c r="F362" s="331"/>
      <c r="G362" s="134"/>
      <c r="H362" s="256"/>
      <c r="I362" s="297" t="str">
        <f t="shared" si="104"/>
        <v/>
      </c>
      <c r="J362" s="297" t="str">
        <f t="shared" si="105"/>
        <v/>
      </c>
      <c r="K362" s="297" t="str">
        <f t="shared" si="106"/>
        <v/>
      </c>
      <c r="L362" s="297" t="str">
        <f t="shared" si="107"/>
        <v/>
      </c>
      <c r="M362" s="282" t="str">
        <f t="shared" si="108"/>
        <v/>
      </c>
      <c r="N362" s="282" t="str">
        <f t="shared" si="109"/>
        <v/>
      </c>
      <c r="O362" s="282"/>
      <c r="P362" s="282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</row>
    <row r="363" spans="1:28" ht="16.5" hidden="1" customHeight="1" outlineLevel="1" x14ac:dyDescent="0.25">
      <c r="A363" s="627"/>
      <c r="B363" s="329" t="s">
        <v>522</v>
      </c>
      <c r="C363" s="330"/>
      <c r="D363" s="153" t="s">
        <v>8</v>
      </c>
      <c r="E363" s="134">
        <v>1</v>
      </c>
      <c r="F363" s="331" t="s">
        <v>65</v>
      </c>
      <c r="G363" s="134">
        <v>5</v>
      </c>
      <c r="H363" s="256">
        <v>5.24</v>
      </c>
      <c r="I363" s="297" t="str">
        <f t="shared" si="104"/>
        <v/>
      </c>
      <c r="J363" s="297" t="str">
        <f t="shared" si="105"/>
        <v/>
      </c>
      <c r="K363" s="297" t="str">
        <f t="shared" si="106"/>
        <v/>
      </c>
      <c r="L363" s="297">
        <f t="shared" si="107"/>
        <v>26.200000000000003</v>
      </c>
      <c r="M363" s="282" t="str">
        <f t="shared" si="108"/>
        <v/>
      </c>
      <c r="N363" s="282" t="str">
        <f t="shared" si="109"/>
        <v/>
      </c>
      <c r="O363" s="282"/>
      <c r="P363" s="282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</row>
    <row r="364" spans="1:28" ht="16.5" hidden="1" customHeight="1" outlineLevel="1" x14ac:dyDescent="0.25">
      <c r="A364" s="627"/>
      <c r="B364" s="329" t="s">
        <v>559</v>
      </c>
      <c r="C364" s="330"/>
      <c r="D364" s="153" t="s">
        <v>8</v>
      </c>
      <c r="E364" s="134">
        <v>1</v>
      </c>
      <c r="F364" s="331" t="s">
        <v>65</v>
      </c>
      <c r="G364" s="134">
        <v>5</v>
      </c>
      <c r="H364" s="256">
        <v>3.04</v>
      </c>
      <c r="I364" s="297" t="str">
        <f t="shared" si="104"/>
        <v/>
      </c>
      <c r="J364" s="297" t="str">
        <f t="shared" si="105"/>
        <v/>
      </c>
      <c r="K364" s="297" t="str">
        <f t="shared" si="106"/>
        <v/>
      </c>
      <c r="L364" s="297">
        <f t="shared" si="107"/>
        <v>15.2</v>
      </c>
      <c r="M364" s="282" t="str">
        <f t="shared" si="108"/>
        <v/>
      </c>
      <c r="N364" s="282" t="str">
        <f t="shared" si="109"/>
        <v/>
      </c>
      <c r="O364" s="282"/>
      <c r="P364" s="282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</row>
    <row r="365" spans="1:28" ht="16.5" hidden="1" customHeight="1" outlineLevel="1" x14ac:dyDescent="0.25">
      <c r="A365" s="627"/>
      <c r="B365" s="329" t="s">
        <v>560</v>
      </c>
      <c r="C365" s="330"/>
      <c r="D365" s="153" t="s">
        <v>8</v>
      </c>
      <c r="E365" s="134">
        <v>1</v>
      </c>
      <c r="F365" s="331" t="s">
        <v>514</v>
      </c>
      <c r="G365" s="134">
        <v>23</v>
      </c>
      <c r="H365" s="256">
        <v>2.82</v>
      </c>
      <c r="I365" s="297">
        <f t="shared" si="104"/>
        <v>64.86</v>
      </c>
      <c r="J365" s="297" t="str">
        <f t="shared" si="105"/>
        <v/>
      </c>
      <c r="K365" s="297" t="str">
        <f t="shared" si="106"/>
        <v/>
      </c>
      <c r="L365" s="297" t="str">
        <f t="shared" si="107"/>
        <v/>
      </c>
      <c r="M365" s="282" t="str">
        <f t="shared" si="108"/>
        <v/>
      </c>
      <c r="N365" s="282" t="str">
        <f t="shared" si="109"/>
        <v/>
      </c>
      <c r="O365" s="282"/>
      <c r="P365" s="282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</row>
    <row r="366" spans="1:28" ht="16.5" hidden="1" customHeight="1" outlineLevel="1" x14ac:dyDescent="0.25">
      <c r="A366" s="480"/>
      <c r="B366" s="329" t="s">
        <v>550</v>
      </c>
      <c r="C366" s="330"/>
      <c r="D366" s="165"/>
      <c r="E366" s="134"/>
      <c r="F366" s="331"/>
      <c r="G366" s="134"/>
      <c r="H366" s="256"/>
      <c r="I366" s="297" t="str">
        <f t="shared" si="104"/>
        <v/>
      </c>
      <c r="J366" s="297" t="str">
        <f t="shared" si="105"/>
        <v/>
      </c>
      <c r="K366" s="297" t="str">
        <f t="shared" si="106"/>
        <v/>
      </c>
      <c r="L366" s="297" t="str">
        <f t="shared" si="107"/>
        <v/>
      </c>
      <c r="M366" s="282" t="str">
        <f t="shared" si="108"/>
        <v/>
      </c>
      <c r="N366" s="282" t="str">
        <f t="shared" si="109"/>
        <v/>
      </c>
      <c r="O366" s="282"/>
      <c r="P366" s="282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</row>
    <row r="367" spans="1:28" ht="16.5" hidden="1" customHeight="1" outlineLevel="1" x14ac:dyDescent="0.25">
      <c r="A367" s="627"/>
      <c r="B367" s="329" t="s">
        <v>522</v>
      </c>
      <c r="C367" s="330"/>
      <c r="D367" s="153" t="s">
        <v>8</v>
      </c>
      <c r="E367" s="134">
        <v>1</v>
      </c>
      <c r="F367" s="331" t="s">
        <v>65</v>
      </c>
      <c r="G367" s="134">
        <v>6</v>
      </c>
      <c r="H367" s="256">
        <v>5.24</v>
      </c>
      <c r="I367" s="297" t="str">
        <f t="shared" si="104"/>
        <v/>
      </c>
      <c r="J367" s="297" t="str">
        <f t="shared" si="105"/>
        <v/>
      </c>
      <c r="K367" s="297" t="str">
        <f t="shared" si="106"/>
        <v/>
      </c>
      <c r="L367" s="297">
        <f t="shared" si="107"/>
        <v>31.44</v>
      </c>
      <c r="M367" s="282" t="str">
        <f t="shared" si="108"/>
        <v/>
      </c>
      <c r="N367" s="282" t="str">
        <f t="shared" si="109"/>
        <v/>
      </c>
      <c r="O367" s="282"/>
      <c r="P367" s="282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</row>
    <row r="368" spans="1:28" ht="16.5" hidden="1" customHeight="1" outlineLevel="1" x14ac:dyDescent="0.25">
      <c r="A368" s="627"/>
      <c r="B368" s="329" t="s">
        <v>559</v>
      </c>
      <c r="C368" s="330"/>
      <c r="D368" s="153" t="s">
        <v>8</v>
      </c>
      <c r="E368" s="134">
        <v>1</v>
      </c>
      <c r="F368" s="331" t="s">
        <v>65</v>
      </c>
      <c r="G368" s="134">
        <v>6</v>
      </c>
      <c r="H368" s="256">
        <v>3.04</v>
      </c>
      <c r="I368" s="297" t="str">
        <f t="shared" si="104"/>
        <v/>
      </c>
      <c r="J368" s="297" t="str">
        <f t="shared" si="105"/>
        <v/>
      </c>
      <c r="K368" s="297" t="str">
        <f t="shared" si="106"/>
        <v/>
      </c>
      <c r="L368" s="297">
        <f t="shared" si="107"/>
        <v>18.240000000000002</v>
      </c>
      <c r="M368" s="282" t="str">
        <f t="shared" si="108"/>
        <v/>
      </c>
      <c r="N368" s="282" t="str">
        <f t="shared" si="109"/>
        <v/>
      </c>
      <c r="O368" s="282"/>
      <c r="P368" s="282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</row>
    <row r="369" spans="1:28" ht="16.5" hidden="1" customHeight="1" outlineLevel="1" x14ac:dyDescent="0.25">
      <c r="A369" s="627"/>
      <c r="B369" s="329" t="s">
        <v>560</v>
      </c>
      <c r="C369" s="330"/>
      <c r="D369" s="153" t="s">
        <v>8</v>
      </c>
      <c r="E369" s="134">
        <v>1</v>
      </c>
      <c r="F369" s="331" t="s">
        <v>514</v>
      </c>
      <c r="G369" s="134">
        <v>23</v>
      </c>
      <c r="H369" s="256">
        <v>3.82</v>
      </c>
      <c r="I369" s="297">
        <f t="shared" si="104"/>
        <v>87.86</v>
      </c>
      <c r="J369" s="297" t="str">
        <f t="shared" si="105"/>
        <v/>
      </c>
      <c r="K369" s="297" t="str">
        <f t="shared" si="106"/>
        <v/>
      </c>
      <c r="L369" s="297" t="str">
        <f t="shared" si="107"/>
        <v/>
      </c>
      <c r="M369" s="282" t="str">
        <f t="shared" si="108"/>
        <v/>
      </c>
      <c r="N369" s="282" t="str">
        <f t="shared" si="109"/>
        <v/>
      </c>
      <c r="O369" s="282"/>
      <c r="P369" s="282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</row>
    <row r="370" spans="1:28" ht="16.5" hidden="1" customHeight="1" outlineLevel="1" x14ac:dyDescent="0.25">
      <c r="A370" s="480"/>
      <c r="B370" s="329" t="s">
        <v>551</v>
      </c>
      <c r="C370" s="330"/>
      <c r="D370" s="165"/>
      <c r="E370" s="134"/>
      <c r="F370" s="331"/>
      <c r="G370" s="134"/>
      <c r="H370" s="256"/>
      <c r="I370" s="297" t="str">
        <f t="shared" si="104"/>
        <v/>
      </c>
      <c r="J370" s="297" t="str">
        <f t="shared" si="105"/>
        <v/>
      </c>
      <c r="K370" s="297" t="str">
        <f t="shared" si="106"/>
        <v/>
      </c>
      <c r="L370" s="297" t="str">
        <f t="shared" si="107"/>
        <v/>
      </c>
      <c r="M370" s="282" t="str">
        <f t="shared" si="108"/>
        <v/>
      </c>
      <c r="N370" s="282" t="str">
        <f t="shared" si="109"/>
        <v/>
      </c>
      <c r="O370" s="282"/>
      <c r="P370" s="282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</row>
    <row r="371" spans="1:28" ht="16.5" hidden="1" customHeight="1" outlineLevel="1" x14ac:dyDescent="0.25">
      <c r="A371" s="627"/>
      <c r="B371" s="329" t="s">
        <v>522</v>
      </c>
      <c r="C371" s="330"/>
      <c r="D371" s="153" t="s">
        <v>8</v>
      </c>
      <c r="E371" s="134">
        <v>1</v>
      </c>
      <c r="F371" s="331" t="s">
        <v>65</v>
      </c>
      <c r="G371" s="134">
        <v>8</v>
      </c>
      <c r="H371" s="256">
        <v>3.77</v>
      </c>
      <c r="I371" s="297" t="str">
        <f t="shared" si="104"/>
        <v/>
      </c>
      <c r="J371" s="297" t="str">
        <f t="shared" si="105"/>
        <v/>
      </c>
      <c r="K371" s="297" t="str">
        <f t="shared" si="106"/>
        <v/>
      </c>
      <c r="L371" s="297">
        <f t="shared" si="107"/>
        <v>30.16</v>
      </c>
      <c r="M371" s="282" t="str">
        <f t="shared" si="108"/>
        <v/>
      </c>
      <c r="N371" s="282" t="str">
        <f t="shared" si="109"/>
        <v/>
      </c>
      <c r="O371" s="282"/>
      <c r="P371" s="282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</row>
    <row r="372" spans="1:28" ht="16.5" hidden="1" customHeight="1" outlineLevel="1" x14ac:dyDescent="0.25">
      <c r="A372" s="627"/>
      <c r="B372" s="329" t="s">
        <v>559</v>
      </c>
      <c r="C372" s="330"/>
      <c r="D372" s="153" t="s">
        <v>8</v>
      </c>
      <c r="E372" s="134">
        <v>1</v>
      </c>
      <c r="F372" s="331" t="s">
        <v>65</v>
      </c>
      <c r="G372" s="134">
        <v>8</v>
      </c>
      <c r="H372" s="256">
        <v>2.64</v>
      </c>
      <c r="I372" s="297" t="str">
        <f t="shared" si="104"/>
        <v/>
      </c>
      <c r="J372" s="297" t="str">
        <f t="shared" si="105"/>
        <v/>
      </c>
      <c r="K372" s="297" t="str">
        <f t="shared" si="106"/>
        <v/>
      </c>
      <c r="L372" s="297">
        <f t="shared" si="107"/>
        <v>21.12</v>
      </c>
      <c r="M372" s="282" t="str">
        <f t="shared" si="108"/>
        <v/>
      </c>
      <c r="N372" s="282" t="str">
        <f t="shared" si="109"/>
        <v/>
      </c>
      <c r="O372" s="282"/>
      <c r="P372" s="282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</row>
    <row r="373" spans="1:28" ht="16.5" hidden="1" customHeight="1" outlineLevel="1" x14ac:dyDescent="0.25">
      <c r="A373" s="351"/>
      <c r="B373" s="329" t="s">
        <v>560</v>
      </c>
      <c r="C373" s="330"/>
      <c r="D373" s="153" t="s">
        <v>8</v>
      </c>
      <c r="E373" s="134">
        <v>1</v>
      </c>
      <c r="F373" s="331" t="s">
        <v>514</v>
      </c>
      <c r="G373" s="134">
        <v>15</v>
      </c>
      <c r="H373" s="256">
        <v>3.82</v>
      </c>
      <c r="I373" s="297">
        <f t="shared" si="104"/>
        <v>57.3</v>
      </c>
      <c r="J373" s="297" t="str">
        <f t="shared" si="105"/>
        <v/>
      </c>
      <c r="K373" s="297" t="str">
        <f t="shared" si="106"/>
        <v/>
      </c>
      <c r="L373" s="297" t="str">
        <f t="shared" si="107"/>
        <v/>
      </c>
      <c r="M373" s="282" t="str">
        <f t="shared" si="108"/>
        <v/>
      </c>
      <c r="N373" s="282" t="str">
        <f t="shared" si="109"/>
        <v/>
      </c>
      <c r="O373" s="282"/>
      <c r="P373" s="282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</row>
    <row r="374" spans="1:28" ht="16.5" hidden="1" customHeight="1" outlineLevel="1" x14ac:dyDescent="0.25">
      <c r="A374" s="351"/>
      <c r="B374" s="329"/>
      <c r="C374" s="330"/>
      <c r="D374" s="153"/>
      <c r="E374" s="134"/>
      <c r="F374" s="331"/>
      <c r="G374" s="134"/>
      <c r="H374" s="256"/>
      <c r="I374" s="297" t="str">
        <f t="shared" si="104"/>
        <v/>
      </c>
      <c r="J374" s="297" t="str">
        <f t="shared" si="105"/>
        <v/>
      </c>
      <c r="K374" s="297" t="str">
        <f t="shared" si="106"/>
        <v/>
      </c>
      <c r="L374" s="297" t="str">
        <f t="shared" si="107"/>
        <v/>
      </c>
      <c r="M374" s="282" t="str">
        <f t="shared" si="108"/>
        <v/>
      </c>
      <c r="N374" s="282" t="str">
        <f t="shared" si="109"/>
        <v/>
      </c>
      <c r="O374" s="282"/>
      <c r="P374" s="282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</row>
    <row r="375" spans="1:28" ht="16.5" customHeight="1" collapsed="1" x14ac:dyDescent="0.25">
      <c r="A375" s="29"/>
      <c r="B375" s="815"/>
      <c r="C375" s="816"/>
      <c r="D375" s="29"/>
      <c r="E375" s="30"/>
      <c r="F375" s="30"/>
      <c r="G375" s="814"/>
      <c r="H375" s="811"/>
      <c r="I375" s="286">
        <f t="shared" ref="I375:N375" si="110">SUM(I342:I374)</f>
        <v>600.41</v>
      </c>
      <c r="J375" s="286">
        <f t="shared" si="110"/>
        <v>0</v>
      </c>
      <c r="K375" s="286">
        <f t="shared" si="110"/>
        <v>35.200000000000003</v>
      </c>
      <c r="L375" s="286">
        <f t="shared" si="110"/>
        <v>460.5</v>
      </c>
      <c r="M375" s="286">
        <f t="shared" si="110"/>
        <v>0</v>
      </c>
      <c r="N375" s="286">
        <f t="shared" si="110"/>
        <v>0</v>
      </c>
      <c r="O375" s="286"/>
      <c r="P375" s="283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</row>
    <row r="376" spans="1:28" ht="16.5" customHeight="1" x14ac:dyDescent="0.25">
      <c r="A376" s="31"/>
      <c r="B376" s="815"/>
      <c r="C376" s="816"/>
      <c r="D376" s="32"/>
      <c r="E376" s="33"/>
      <c r="F376" s="34"/>
      <c r="G376" s="810" t="s">
        <v>69</v>
      </c>
      <c r="H376" s="811"/>
      <c r="I376" s="298">
        <v>0.25</v>
      </c>
      <c r="J376" s="298">
        <v>3.97</v>
      </c>
      <c r="K376" s="298">
        <v>0.56000000000000005</v>
      </c>
      <c r="L376" s="298">
        <v>1.02</v>
      </c>
      <c r="M376" s="298">
        <v>1.56</v>
      </c>
      <c r="N376" s="298">
        <v>2.25</v>
      </c>
      <c r="O376" s="298"/>
      <c r="P376" s="284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</row>
    <row r="377" spans="1:28" ht="16.5" customHeight="1" x14ac:dyDescent="0.25">
      <c r="A377" s="31"/>
      <c r="B377" s="815"/>
      <c r="C377" s="816"/>
      <c r="D377" s="32"/>
      <c r="E377" s="33"/>
      <c r="F377" s="34"/>
      <c r="G377" s="810" t="s">
        <v>70</v>
      </c>
      <c r="H377" s="811"/>
      <c r="I377" s="286">
        <f t="shared" ref="I377:N377" si="111">I375*I376</f>
        <v>150.10249999999999</v>
      </c>
      <c r="J377" s="286">
        <f t="shared" si="111"/>
        <v>0</v>
      </c>
      <c r="K377" s="286">
        <f t="shared" si="111"/>
        <v>19.712000000000003</v>
      </c>
      <c r="L377" s="286">
        <f t="shared" si="111"/>
        <v>469.71000000000004</v>
      </c>
      <c r="M377" s="286">
        <f t="shared" si="111"/>
        <v>0</v>
      </c>
      <c r="N377" s="286">
        <f t="shared" si="111"/>
        <v>0</v>
      </c>
      <c r="O377" s="286"/>
      <c r="P377" s="283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</row>
    <row r="378" spans="1:28" ht="16.5" customHeight="1" x14ac:dyDescent="0.25">
      <c r="A378" s="31"/>
      <c r="B378" s="815"/>
      <c r="C378" s="816"/>
      <c r="D378" s="32"/>
      <c r="E378" s="33"/>
      <c r="F378" s="34"/>
      <c r="G378" s="810" t="s">
        <v>71</v>
      </c>
      <c r="H378" s="811"/>
      <c r="I378" s="286">
        <f t="shared" ref="I378:N378" si="112">ROUNDUP(I375*1.07/9,0)</f>
        <v>72</v>
      </c>
      <c r="J378" s="286">
        <f t="shared" si="112"/>
        <v>0</v>
      </c>
      <c r="K378" s="286">
        <f t="shared" si="112"/>
        <v>5</v>
      </c>
      <c r="L378" s="286">
        <f t="shared" si="112"/>
        <v>55</v>
      </c>
      <c r="M378" s="286">
        <f t="shared" si="112"/>
        <v>0</v>
      </c>
      <c r="N378" s="286">
        <f t="shared" si="112"/>
        <v>0</v>
      </c>
      <c r="O378" s="286"/>
      <c r="P378" s="283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</row>
    <row r="379" spans="1:28" ht="15" customHeight="1" x14ac:dyDescent="0.25">
      <c r="A379" s="248" t="s">
        <v>53</v>
      </c>
      <c r="B379" s="812" t="s">
        <v>76</v>
      </c>
      <c r="C379" s="813"/>
      <c r="D379" s="249"/>
      <c r="E379" s="250"/>
      <c r="F379" s="250"/>
      <c r="G379" s="250"/>
      <c r="H379" s="253"/>
      <c r="I379" s="296"/>
      <c r="J379" s="296"/>
      <c r="K379" s="296"/>
      <c r="L379" s="296"/>
      <c r="M379" s="296"/>
      <c r="N379" s="296"/>
      <c r="O379" s="296"/>
      <c r="P379" s="296">
        <f>SUM(I401:O401)</f>
        <v>245.70559999999998</v>
      </c>
      <c r="Q379" s="135"/>
      <c r="R379" s="135"/>
      <c r="S379" s="135"/>
      <c r="T379" s="135"/>
      <c r="U379" s="135"/>
      <c r="V379" s="135"/>
      <c r="W379" s="135"/>
      <c r="X379" s="135"/>
      <c r="Y379" s="135"/>
      <c r="Z379" s="135"/>
      <c r="AA379" s="135"/>
      <c r="AB379" s="135"/>
    </row>
    <row r="380" spans="1:28" ht="16.5" hidden="1" customHeight="1" outlineLevel="1" x14ac:dyDescent="0.25">
      <c r="A380" s="628"/>
      <c r="B380" s="329" t="s">
        <v>586</v>
      </c>
      <c r="C380" s="330"/>
      <c r="D380" s="147"/>
      <c r="E380" s="148"/>
      <c r="F380" s="149"/>
      <c r="G380" s="148"/>
      <c r="H380" s="148"/>
      <c r="I380" s="300" t="str">
        <f t="shared" ref="I380:I398" si="113">IF($F380=$I$6,$E380*$G380*$H380,"")</f>
        <v/>
      </c>
      <c r="J380" s="300" t="str">
        <f t="shared" ref="J380:J398" si="114">IF($F380=$J$6,$E380*$G380*$H380,"")</f>
        <v/>
      </c>
      <c r="K380" s="300" t="str">
        <f t="shared" ref="K380:K398" si="115">IF($F380=$K$6,$E380*$G380*$H380,"")</f>
        <v/>
      </c>
      <c r="L380" s="300" t="str">
        <f t="shared" ref="L380:L398" si="116">IF($F380=$L$6,$E380*$G380*$H380,"")</f>
        <v/>
      </c>
      <c r="M380" s="288" t="str">
        <f t="shared" ref="M380:M398" si="117">IF($F380=$M$6,$E380*$G380*$H380,"")</f>
        <v/>
      </c>
      <c r="N380" s="288"/>
      <c r="O380" s="288"/>
      <c r="P380" s="288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</row>
    <row r="381" spans="1:28" ht="16.5" hidden="1" customHeight="1" outlineLevel="1" x14ac:dyDescent="0.25">
      <c r="A381" s="150"/>
      <c r="B381" s="329" t="s">
        <v>588</v>
      </c>
      <c r="C381" s="330"/>
      <c r="D381" s="147" t="s">
        <v>8</v>
      </c>
      <c r="E381" s="148">
        <v>2</v>
      </c>
      <c r="F381" s="149" t="s">
        <v>64</v>
      </c>
      <c r="G381" s="148">
        <v>14</v>
      </c>
      <c r="H381" s="148">
        <v>2.1</v>
      </c>
      <c r="I381" s="300" t="str">
        <f t="shared" si="113"/>
        <v/>
      </c>
      <c r="J381" s="300" t="str">
        <f t="shared" si="114"/>
        <v/>
      </c>
      <c r="K381" s="300">
        <f t="shared" si="115"/>
        <v>58.800000000000004</v>
      </c>
      <c r="L381" s="300" t="str">
        <f t="shared" si="116"/>
        <v/>
      </c>
      <c r="M381" s="288" t="str">
        <f t="shared" si="117"/>
        <v/>
      </c>
      <c r="N381" s="288"/>
      <c r="O381" s="288"/>
      <c r="P381" s="288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</row>
    <row r="382" spans="1:28" ht="16.5" hidden="1" customHeight="1" outlineLevel="1" x14ac:dyDescent="0.25">
      <c r="A382" s="150"/>
      <c r="B382" s="329" t="s">
        <v>589</v>
      </c>
      <c r="C382" s="330"/>
      <c r="D382" s="147" t="s">
        <v>8</v>
      </c>
      <c r="E382" s="148">
        <v>2</v>
      </c>
      <c r="F382" s="149" t="s">
        <v>64</v>
      </c>
      <c r="G382" s="148">
        <v>4</v>
      </c>
      <c r="H382" s="148">
        <v>5.0999999999999996</v>
      </c>
      <c r="I382" s="300" t="str">
        <f t="shared" si="113"/>
        <v/>
      </c>
      <c r="J382" s="300" t="str">
        <f t="shared" si="114"/>
        <v/>
      </c>
      <c r="K382" s="300">
        <f t="shared" si="115"/>
        <v>40.799999999999997</v>
      </c>
      <c r="L382" s="300" t="str">
        <f t="shared" si="116"/>
        <v/>
      </c>
      <c r="M382" s="288" t="str">
        <f t="shared" si="117"/>
        <v/>
      </c>
      <c r="N382" s="288"/>
      <c r="O382" s="288"/>
      <c r="P382" s="288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</row>
    <row r="383" spans="1:28" ht="16.5" hidden="1" customHeight="1" outlineLevel="1" x14ac:dyDescent="0.25">
      <c r="A383" s="629"/>
      <c r="B383" s="329" t="s">
        <v>587</v>
      </c>
      <c r="C383" s="330"/>
      <c r="D383" s="147"/>
      <c r="E383" s="148"/>
      <c r="F383" s="149"/>
      <c r="G383" s="148"/>
      <c r="H383" s="148"/>
      <c r="I383" s="300" t="str">
        <f t="shared" si="113"/>
        <v/>
      </c>
      <c r="J383" s="300" t="str">
        <f t="shared" si="114"/>
        <v/>
      </c>
      <c r="K383" s="300" t="str">
        <f t="shared" si="115"/>
        <v/>
      </c>
      <c r="L383" s="300" t="str">
        <f t="shared" si="116"/>
        <v/>
      </c>
      <c r="M383" s="288" t="str">
        <f t="shared" si="117"/>
        <v/>
      </c>
      <c r="N383" s="288"/>
      <c r="O383" s="288"/>
      <c r="P383" s="288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</row>
    <row r="384" spans="1:28" ht="16.5" hidden="1" customHeight="1" outlineLevel="1" x14ac:dyDescent="0.25">
      <c r="A384" s="334"/>
      <c r="B384" s="329" t="s">
        <v>588</v>
      </c>
      <c r="C384" s="330"/>
      <c r="D384" s="147" t="s">
        <v>8</v>
      </c>
      <c r="E384" s="148">
        <v>2</v>
      </c>
      <c r="F384" s="149" t="s">
        <v>64</v>
      </c>
      <c r="G384" s="148">
        <v>6</v>
      </c>
      <c r="H384" s="148">
        <v>1.8</v>
      </c>
      <c r="I384" s="300" t="str">
        <f t="shared" si="113"/>
        <v/>
      </c>
      <c r="J384" s="300" t="str">
        <f t="shared" si="114"/>
        <v/>
      </c>
      <c r="K384" s="300">
        <f t="shared" si="115"/>
        <v>21.6</v>
      </c>
      <c r="L384" s="300" t="str">
        <f t="shared" si="116"/>
        <v/>
      </c>
      <c r="M384" s="288" t="str">
        <f t="shared" si="117"/>
        <v/>
      </c>
      <c r="N384" s="288"/>
      <c r="O384" s="288"/>
      <c r="P384" s="288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</row>
    <row r="385" spans="1:28" ht="16.5" hidden="1" customHeight="1" outlineLevel="1" x14ac:dyDescent="0.25">
      <c r="A385" s="334"/>
      <c r="B385" s="329" t="s">
        <v>589</v>
      </c>
      <c r="C385" s="330"/>
      <c r="D385" s="147" t="s">
        <v>8</v>
      </c>
      <c r="E385" s="148">
        <v>2</v>
      </c>
      <c r="F385" s="149" t="s">
        <v>64</v>
      </c>
      <c r="G385" s="148">
        <v>4</v>
      </c>
      <c r="H385" s="148">
        <v>2.2000000000000002</v>
      </c>
      <c r="I385" s="300" t="str">
        <f t="shared" si="113"/>
        <v/>
      </c>
      <c r="J385" s="300" t="str">
        <f t="shared" si="114"/>
        <v/>
      </c>
      <c r="K385" s="300">
        <f t="shared" si="115"/>
        <v>17.600000000000001</v>
      </c>
      <c r="L385" s="300" t="str">
        <f t="shared" si="116"/>
        <v/>
      </c>
      <c r="M385" s="288" t="str">
        <f t="shared" si="117"/>
        <v/>
      </c>
      <c r="N385" s="288"/>
      <c r="O385" s="288"/>
      <c r="P385" s="288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</row>
    <row r="386" spans="1:28" ht="16.5" hidden="1" customHeight="1" outlineLevel="1" x14ac:dyDescent="0.25">
      <c r="A386" s="628"/>
      <c r="B386" s="329" t="s">
        <v>766</v>
      </c>
      <c r="C386" s="330"/>
      <c r="D386" s="147"/>
      <c r="E386" s="148"/>
      <c r="F386" s="149"/>
      <c r="G386" s="148"/>
      <c r="H386" s="148"/>
      <c r="I386" s="300" t="str">
        <f t="shared" si="113"/>
        <v/>
      </c>
      <c r="J386" s="300" t="str">
        <f t="shared" si="114"/>
        <v/>
      </c>
      <c r="K386" s="300" t="str">
        <f t="shared" si="115"/>
        <v/>
      </c>
      <c r="L386" s="300" t="str">
        <f t="shared" si="116"/>
        <v/>
      </c>
      <c r="M386" s="288" t="str">
        <f t="shared" si="117"/>
        <v/>
      </c>
      <c r="N386" s="288"/>
      <c r="O386" s="288"/>
      <c r="P386" s="288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</row>
    <row r="387" spans="1:28" ht="16.5" hidden="1" customHeight="1" outlineLevel="1" x14ac:dyDescent="0.25">
      <c r="A387" s="150"/>
      <c r="B387" s="329" t="s">
        <v>588</v>
      </c>
      <c r="C387" s="330"/>
      <c r="D387" s="147" t="s">
        <v>8</v>
      </c>
      <c r="E387" s="148">
        <v>2</v>
      </c>
      <c r="F387" s="149" t="s">
        <v>64</v>
      </c>
      <c r="G387" s="148">
        <v>8</v>
      </c>
      <c r="H387" s="148">
        <v>3.17</v>
      </c>
      <c r="I387" s="300" t="str">
        <f t="shared" si="113"/>
        <v/>
      </c>
      <c r="J387" s="300" t="str">
        <f t="shared" si="114"/>
        <v/>
      </c>
      <c r="K387" s="300">
        <f t="shared" si="115"/>
        <v>50.72</v>
      </c>
      <c r="L387" s="300" t="str">
        <f t="shared" si="116"/>
        <v/>
      </c>
      <c r="M387" s="288" t="str">
        <f t="shared" si="117"/>
        <v/>
      </c>
      <c r="N387" s="288"/>
      <c r="O387" s="288"/>
      <c r="P387" s="288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</row>
    <row r="388" spans="1:28" ht="16.5" hidden="1" customHeight="1" outlineLevel="1" x14ac:dyDescent="0.25">
      <c r="A388" s="150"/>
      <c r="B388" s="329" t="s">
        <v>589</v>
      </c>
      <c r="C388" s="330"/>
      <c r="D388" s="147" t="s">
        <v>8</v>
      </c>
      <c r="E388" s="148">
        <v>2</v>
      </c>
      <c r="F388" s="149" t="s">
        <v>64</v>
      </c>
      <c r="G388" s="148">
        <v>6</v>
      </c>
      <c r="H388" s="148">
        <v>3.45</v>
      </c>
      <c r="I388" s="300" t="str">
        <f t="shared" si="113"/>
        <v/>
      </c>
      <c r="J388" s="300" t="str">
        <f t="shared" si="114"/>
        <v/>
      </c>
      <c r="K388" s="300">
        <f t="shared" si="115"/>
        <v>41.400000000000006</v>
      </c>
      <c r="L388" s="300" t="str">
        <f t="shared" si="116"/>
        <v/>
      </c>
      <c r="M388" s="288" t="str">
        <f t="shared" si="117"/>
        <v/>
      </c>
      <c r="N388" s="288"/>
      <c r="O388" s="288"/>
      <c r="P388" s="288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</row>
    <row r="389" spans="1:28" ht="16.5" hidden="1" customHeight="1" outlineLevel="1" x14ac:dyDescent="0.25">
      <c r="A389" s="629"/>
      <c r="B389" s="329" t="s">
        <v>767</v>
      </c>
      <c r="C389" s="330"/>
      <c r="D389" s="147"/>
      <c r="E389" s="148"/>
      <c r="F389" s="149"/>
      <c r="G389" s="148"/>
      <c r="H389" s="148"/>
      <c r="I389" s="300" t="str">
        <f t="shared" si="113"/>
        <v/>
      </c>
      <c r="J389" s="300" t="str">
        <f t="shared" si="114"/>
        <v/>
      </c>
      <c r="K389" s="300" t="str">
        <f t="shared" si="115"/>
        <v/>
      </c>
      <c r="L389" s="300" t="str">
        <f t="shared" si="116"/>
        <v/>
      </c>
      <c r="M389" s="288" t="str">
        <f t="shared" si="117"/>
        <v/>
      </c>
      <c r="N389" s="288"/>
      <c r="O389" s="288"/>
      <c r="P389" s="288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</row>
    <row r="390" spans="1:28" ht="16.5" hidden="1" customHeight="1" outlineLevel="1" x14ac:dyDescent="0.25">
      <c r="A390" s="334"/>
      <c r="B390" s="329" t="s">
        <v>588</v>
      </c>
      <c r="C390" s="330"/>
      <c r="D390" s="147" t="s">
        <v>8</v>
      </c>
      <c r="E390" s="148">
        <v>2</v>
      </c>
      <c r="F390" s="149" t="s">
        <v>64</v>
      </c>
      <c r="G390" s="148">
        <v>7</v>
      </c>
      <c r="H390" s="148">
        <v>2</v>
      </c>
      <c r="I390" s="300" t="str">
        <f t="shared" si="113"/>
        <v/>
      </c>
      <c r="J390" s="300" t="str">
        <f t="shared" si="114"/>
        <v/>
      </c>
      <c r="K390" s="300">
        <f t="shared" si="115"/>
        <v>28</v>
      </c>
      <c r="L390" s="300" t="str">
        <f t="shared" si="116"/>
        <v/>
      </c>
      <c r="M390" s="288" t="str">
        <f t="shared" si="117"/>
        <v/>
      </c>
      <c r="N390" s="288"/>
      <c r="O390" s="288"/>
      <c r="P390" s="288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</row>
    <row r="391" spans="1:28" ht="16.5" hidden="1" customHeight="1" outlineLevel="1" x14ac:dyDescent="0.25">
      <c r="A391" s="334"/>
      <c r="B391" s="329" t="s">
        <v>589</v>
      </c>
      <c r="C391" s="330"/>
      <c r="D391" s="147" t="s">
        <v>8</v>
      </c>
      <c r="E391" s="148">
        <v>2</v>
      </c>
      <c r="F391" s="149" t="s">
        <v>64</v>
      </c>
      <c r="G391" s="148">
        <v>4</v>
      </c>
      <c r="H391" s="148">
        <v>2.7</v>
      </c>
      <c r="I391" s="300" t="str">
        <f t="shared" si="113"/>
        <v/>
      </c>
      <c r="J391" s="300" t="str">
        <f t="shared" si="114"/>
        <v/>
      </c>
      <c r="K391" s="300">
        <f t="shared" si="115"/>
        <v>21.6</v>
      </c>
      <c r="L391" s="300" t="str">
        <f t="shared" si="116"/>
        <v/>
      </c>
      <c r="M391" s="288" t="str">
        <f t="shared" si="117"/>
        <v/>
      </c>
      <c r="N391" s="288"/>
      <c r="O391" s="288"/>
      <c r="P391" s="288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</row>
    <row r="392" spans="1:28" ht="16.5" hidden="1" customHeight="1" outlineLevel="1" x14ac:dyDescent="0.25">
      <c r="A392" s="628"/>
      <c r="B392" s="329" t="s">
        <v>768</v>
      </c>
      <c r="C392" s="330"/>
      <c r="D392" s="147"/>
      <c r="E392" s="148"/>
      <c r="F392" s="149"/>
      <c r="G392" s="148"/>
      <c r="H392" s="148"/>
      <c r="I392" s="300" t="str">
        <f t="shared" si="113"/>
        <v/>
      </c>
      <c r="J392" s="300" t="str">
        <f t="shared" si="114"/>
        <v/>
      </c>
      <c r="K392" s="300" t="str">
        <f t="shared" si="115"/>
        <v/>
      </c>
      <c r="L392" s="300" t="str">
        <f t="shared" si="116"/>
        <v/>
      </c>
      <c r="M392" s="288" t="str">
        <f t="shared" si="117"/>
        <v/>
      </c>
      <c r="N392" s="288"/>
      <c r="O392" s="288"/>
      <c r="P392" s="288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</row>
    <row r="393" spans="1:28" ht="16.5" hidden="1" customHeight="1" outlineLevel="1" x14ac:dyDescent="0.25">
      <c r="A393" s="150"/>
      <c r="B393" s="329" t="s">
        <v>588</v>
      </c>
      <c r="C393" s="330"/>
      <c r="D393" s="147" t="s">
        <v>8</v>
      </c>
      <c r="E393" s="148">
        <v>2</v>
      </c>
      <c r="F393" s="149" t="s">
        <v>64</v>
      </c>
      <c r="G393" s="148">
        <v>6</v>
      </c>
      <c r="H393" s="148">
        <v>3.5</v>
      </c>
      <c r="I393" s="300" t="str">
        <f t="shared" si="113"/>
        <v/>
      </c>
      <c r="J393" s="300" t="str">
        <f t="shared" si="114"/>
        <v/>
      </c>
      <c r="K393" s="300">
        <f t="shared" si="115"/>
        <v>42</v>
      </c>
      <c r="L393" s="300" t="str">
        <f t="shared" si="116"/>
        <v/>
      </c>
      <c r="M393" s="288" t="str">
        <f t="shared" si="117"/>
        <v/>
      </c>
      <c r="N393" s="288"/>
      <c r="O393" s="288"/>
      <c r="P393" s="288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</row>
    <row r="394" spans="1:28" ht="16.5" hidden="1" customHeight="1" outlineLevel="1" x14ac:dyDescent="0.25">
      <c r="A394" s="150"/>
      <c r="B394" s="329" t="s">
        <v>589</v>
      </c>
      <c r="C394" s="330"/>
      <c r="D394" s="147" t="s">
        <v>8</v>
      </c>
      <c r="E394" s="148">
        <v>2</v>
      </c>
      <c r="F394" s="149" t="s">
        <v>64</v>
      </c>
      <c r="G394" s="148">
        <v>6</v>
      </c>
      <c r="H394" s="148">
        <v>2.62</v>
      </c>
      <c r="I394" s="300" t="str">
        <f t="shared" si="113"/>
        <v/>
      </c>
      <c r="J394" s="300" t="str">
        <f t="shared" si="114"/>
        <v/>
      </c>
      <c r="K394" s="300">
        <f t="shared" si="115"/>
        <v>31.44</v>
      </c>
      <c r="L394" s="300" t="str">
        <f t="shared" si="116"/>
        <v/>
      </c>
      <c r="M394" s="288" t="str">
        <f t="shared" si="117"/>
        <v/>
      </c>
      <c r="N394" s="288"/>
      <c r="O394" s="288"/>
      <c r="P394" s="288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</row>
    <row r="395" spans="1:28" ht="16.5" hidden="1" customHeight="1" outlineLevel="1" x14ac:dyDescent="0.25">
      <c r="A395" s="629"/>
      <c r="B395" s="329" t="s">
        <v>769</v>
      </c>
      <c r="C395" s="330"/>
      <c r="D395" s="147"/>
      <c r="E395" s="148"/>
      <c r="F395" s="149"/>
      <c r="G395" s="148"/>
      <c r="H395" s="148"/>
      <c r="I395" s="300" t="str">
        <f t="shared" si="113"/>
        <v/>
      </c>
      <c r="J395" s="300" t="str">
        <f t="shared" si="114"/>
        <v/>
      </c>
      <c r="K395" s="300" t="str">
        <f t="shared" si="115"/>
        <v/>
      </c>
      <c r="L395" s="300" t="str">
        <f t="shared" si="116"/>
        <v/>
      </c>
      <c r="M395" s="288" t="str">
        <f t="shared" si="117"/>
        <v/>
      </c>
      <c r="N395" s="288"/>
      <c r="O395" s="288"/>
      <c r="P395" s="288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</row>
    <row r="396" spans="1:28" ht="16.5" hidden="1" customHeight="1" outlineLevel="1" x14ac:dyDescent="0.25">
      <c r="A396" s="334"/>
      <c r="B396" s="329" t="s">
        <v>588</v>
      </c>
      <c r="C396" s="330"/>
      <c r="D396" s="147" t="s">
        <v>8</v>
      </c>
      <c r="E396" s="148">
        <v>2</v>
      </c>
      <c r="F396" s="149" t="s">
        <v>64</v>
      </c>
      <c r="G396" s="148">
        <v>10</v>
      </c>
      <c r="H396" s="148">
        <v>1.92</v>
      </c>
      <c r="I396" s="300" t="str">
        <f t="shared" si="113"/>
        <v/>
      </c>
      <c r="J396" s="300" t="str">
        <f t="shared" si="114"/>
        <v/>
      </c>
      <c r="K396" s="300">
        <f t="shared" si="115"/>
        <v>38.4</v>
      </c>
      <c r="L396" s="300" t="str">
        <f t="shared" si="116"/>
        <v/>
      </c>
      <c r="M396" s="288" t="str">
        <f t="shared" si="117"/>
        <v/>
      </c>
      <c r="N396" s="288"/>
      <c r="O396" s="288"/>
      <c r="P396" s="288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</row>
    <row r="397" spans="1:28" ht="16.5" hidden="1" customHeight="1" outlineLevel="1" x14ac:dyDescent="0.25">
      <c r="A397" s="334"/>
      <c r="B397" s="329" t="s">
        <v>589</v>
      </c>
      <c r="C397" s="330"/>
      <c r="D397" s="147" t="s">
        <v>8</v>
      </c>
      <c r="E397" s="148">
        <v>2</v>
      </c>
      <c r="F397" s="149" t="s">
        <v>64</v>
      </c>
      <c r="G397" s="148">
        <v>4</v>
      </c>
      <c r="H397" s="148">
        <v>5.8</v>
      </c>
      <c r="I397" s="300" t="str">
        <f t="shared" si="113"/>
        <v/>
      </c>
      <c r="J397" s="300" t="str">
        <f t="shared" si="114"/>
        <v/>
      </c>
      <c r="K397" s="300">
        <f t="shared" si="115"/>
        <v>46.4</v>
      </c>
      <c r="L397" s="300" t="str">
        <f t="shared" si="116"/>
        <v/>
      </c>
      <c r="M397" s="288" t="str">
        <f t="shared" si="117"/>
        <v/>
      </c>
      <c r="N397" s="288"/>
      <c r="O397" s="288"/>
      <c r="P397" s="288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</row>
    <row r="398" spans="1:28" ht="16.5" hidden="1" customHeight="1" outlineLevel="1" x14ac:dyDescent="0.25">
      <c r="A398" s="334"/>
      <c r="B398" s="329"/>
      <c r="C398" s="330"/>
      <c r="D398" s="147"/>
      <c r="E398" s="148"/>
      <c r="F398" s="149"/>
      <c r="G398" s="148"/>
      <c r="H398" s="255"/>
      <c r="I398" s="300" t="str">
        <f t="shared" si="113"/>
        <v/>
      </c>
      <c r="J398" s="300" t="str">
        <f t="shared" si="114"/>
        <v/>
      </c>
      <c r="K398" s="300" t="str">
        <f t="shared" si="115"/>
        <v/>
      </c>
      <c r="L398" s="300" t="str">
        <f t="shared" si="116"/>
        <v/>
      </c>
      <c r="M398" s="288" t="str">
        <f t="shared" si="117"/>
        <v/>
      </c>
      <c r="N398" s="288"/>
      <c r="O398" s="288"/>
      <c r="P398" s="288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</row>
    <row r="399" spans="1:28" ht="16.5" customHeight="1" collapsed="1" x14ac:dyDescent="0.25">
      <c r="A399" s="624"/>
      <c r="B399" s="808"/>
      <c r="C399" s="809"/>
      <c r="D399" s="145"/>
      <c r="E399" s="145"/>
      <c r="F399" s="145"/>
      <c r="G399" s="817" t="s">
        <v>68</v>
      </c>
      <c r="H399" s="818"/>
      <c r="I399" s="301">
        <f t="shared" ref="I399:N399" si="118">SUM(I380:I398)</f>
        <v>0</v>
      </c>
      <c r="J399" s="301">
        <f t="shared" si="118"/>
        <v>0</v>
      </c>
      <c r="K399" s="301">
        <f t="shared" si="118"/>
        <v>438.75999999999993</v>
      </c>
      <c r="L399" s="301">
        <f t="shared" si="118"/>
        <v>0</v>
      </c>
      <c r="M399" s="301">
        <f t="shared" si="118"/>
        <v>0</v>
      </c>
      <c r="N399" s="301">
        <f t="shared" si="118"/>
        <v>0</v>
      </c>
      <c r="O399" s="301"/>
      <c r="P399" s="289"/>
      <c r="Q399" s="136"/>
      <c r="R399" s="136"/>
      <c r="S399" s="136"/>
      <c r="T399" s="136"/>
      <c r="U399" s="136"/>
      <c r="V399" s="136"/>
      <c r="W399" s="136"/>
      <c r="X399" s="136"/>
      <c r="Y399" s="136"/>
      <c r="Z399" s="136"/>
      <c r="AA399" s="136"/>
      <c r="AB399" s="136"/>
    </row>
    <row r="400" spans="1:28" ht="16.5" customHeight="1" x14ac:dyDescent="0.25">
      <c r="A400" s="146"/>
      <c r="B400" s="808"/>
      <c r="C400" s="809"/>
      <c r="D400" s="30"/>
      <c r="E400" s="33"/>
      <c r="F400" s="34"/>
      <c r="G400" s="810" t="s">
        <v>69</v>
      </c>
      <c r="H400" s="811"/>
      <c r="I400" s="298">
        <v>0.25</v>
      </c>
      <c r="J400" s="298">
        <v>3.97</v>
      </c>
      <c r="K400" s="298">
        <v>0.56000000000000005</v>
      </c>
      <c r="L400" s="298">
        <v>1.02</v>
      </c>
      <c r="M400" s="298">
        <v>1.56</v>
      </c>
      <c r="N400" s="298">
        <v>2.25</v>
      </c>
      <c r="O400" s="298"/>
      <c r="P400" s="284"/>
      <c r="Q400" s="136"/>
      <c r="R400" s="136"/>
      <c r="S400" s="136"/>
      <c r="T400" s="136"/>
      <c r="U400" s="136"/>
      <c r="V400" s="136"/>
      <c r="W400" s="136"/>
      <c r="X400" s="136"/>
      <c r="Y400" s="136"/>
      <c r="Z400" s="136"/>
      <c r="AA400" s="136"/>
      <c r="AB400" s="136"/>
    </row>
    <row r="401" spans="1:28" ht="16.5" customHeight="1" x14ac:dyDescent="0.25">
      <c r="A401" s="31"/>
      <c r="B401" s="808"/>
      <c r="C401" s="809"/>
      <c r="D401" s="32"/>
      <c r="E401" s="33"/>
      <c r="F401" s="34"/>
      <c r="G401" s="810" t="s">
        <v>70</v>
      </c>
      <c r="H401" s="811"/>
      <c r="I401" s="286">
        <f t="shared" ref="I401:N401" si="119">I399*I400</f>
        <v>0</v>
      </c>
      <c r="J401" s="286">
        <f t="shared" si="119"/>
        <v>0</v>
      </c>
      <c r="K401" s="286">
        <f t="shared" si="119"/>
        <v>245.70559999999998</v>
      </c>
      <c r="L401" s="286">
        <f t="shared" si="119"/>
        <v>0</v>
      </c>
      <c r="M401" s="286">
        <f t="shared" si="119"/>
        <v>0</v>
      </c>
      <c r="N401" s="286">
        <f t="shared" si="119"/>
        <v>0</v>
      </c>
      <c r="O401" s="286"/>
      <c r="P401" s="283"/>
      <c r="Q401" s="136"/>
      <c r="R401" s="136"/>
      <c r="S401" s="136"/>
      <c r="T401" s="136"/>
      <c r="U401" s="136"/>
      <c r="V401" s="136"/>
      <c r="W401" s="136"/>
      <c r="X401" s="136"/>
      <c r="Y401" s="136"/>
      <c r="Z401" s="136"/>
      <c r="AA401" s="136"/>
      <c r="AB401" s="136"/>
    </row>
    <row r="402" spans="1:28" ht="15" customHeight="1" x14ac:dyDescent="0.25">
      <c r="A402" s="31"/>
      <c r="B402" s="808"/>
      <c r="C402" s="809"/>
      <c r="D402" s="32"/>
      <c r="E402" s="33"/>
      <c r="F402" s="34"/>
      <c r="G402" s="810" t="s">
        <v>71</v>
      </c>
      <c r="H402" s="811"/>
      <c r="I402" s="286">
        <f t="shared" ref="I402:N402" si="120">ROUNDUP(I399*1.07/9,0)</f>
        <v>0</v>
      </c>
      <c r="J402" s="286">
        <f t="shared" si="120"/>
        <v>0</v>
      </c>
      <c r="K402" s="286">
        <f t="shared" si="120"/>
        <v>53</v>
      </c>
      <c r="L402" s="286">
        <f t="shared" si="120"/>
        <v>0</v>
      </c>
      <c r="M402" s="286">
        <f t="shared" si="120"/>
        <v>0</v>
      </c>
      <c r="N402" s="286">
        <f t="shared" si="120"/>
        <v>0</v>
      </c>
      <c r="O402" s="286"/>
      <c r="P402" s="283"/>
      <c r="Q402" s="136"/>
      <c r="R402" s="136"/>
      <c r="S402" s="136"/>
      <c r="T402" s="136"/>
      <c r="U402" s="136"/>
      <c r="V402" s="136"/>
      <c r="W402" s="136"/>
      <c r="X402" s="136"/>
      <c r="Y402" s="136"/>
      <c r="Z402" s="136"/>
      <c r="AA402" s="136"/>
      <c r="AB402" s="136"/>
    </row>
    <row r="403" spans="1:28" ht="15" customHeight="1" x14ac:dyDescent="0.25">
      <c r="A403" s="248" t="s">
        <v>53</v>
      </c>
      <c r="B403" s="812" t="s">
        <v>242</v>
      </c>
      <c r="C403" s="813"/>
      <c r="D403" s="249"/>
      <c r="E403" s="250"/>
      <c r="F403" s="250"/>
      <c r="G403" s="250"/>
      <c r="H403" s="253"/>
      <c r="I403" s="296"/>
      <c r="J403" s="296"/>
      <c r="K403" s="296"/>
      <c r="L403" s="296"/>
      <c r="M403" s="296"/>
      <c r="N403" s="338"/>
      <c r="O403" s="338"/>
      <c r="P403" s="296">
        <f>SUM(I417:O417)</f>
        <v>107.072</v>
      </c>
      <c r="Q403" s="135"/>
      <c r="R403" s="135"/>
      <c r="S403" s="135"/>
      <c r="T403" s="135"/>
      <c r="U403" s="135"/>
      <c r="V403" s="135"/>
      <c r="W403" s="135"/>
      <c r="X403" s="135"/>
      <c r="Y403" s="135"/>
      <c r="Z403" s="135"/>
      <c r="AA403" s="135"/>
      <c r="AB403" s="135"/>
    </row>
    <row r="404" spans="1:28" ht="15.75" hidden="1" customHeight="1" outlineLevel="1" x14ac:dyDescent="0.25">
      <c r="A404" s="333" t="s">
        <v>240</v>
      </c>
      <c r="B404" s="329" t="s">
        <v>616</v>
      </c>
      <c r="C404" s="330"/>
      <c r="D404" s="147" t="s">
        <v>8</v>
      </c>
      <c r="E404" s="150">
        <v>1</v>
      </c>
      <c r="F404" s="27" t="s">
        <v>64</v>
      </c>
      <c r="G404" s="150">
        <v>6</v>
      </c>
      <c r="H404" s="150">
        <v>1.34</v>
      </c>
      <c r="I404" s="297" t="str">
        <f>IF($F404=$I$6,$E404*$G404*$H404,"")</f>
        <v/>
      </c>
      <c r="J404" s="297" t="str">
        <f>IF($F404=$J$6,$E404*$G404*$H404,"")</f>
        <v/>
      </c>
      <c r="K404" s="297">
        <f>IF($F404=$K$6,$E404*$G404*$H404,"")</f>
        <v>8.0400000000000009</v>
      </c>
      <c r="L404" s="297" t="str">
        <f>IF($F404=$L$6,$E404*$G404*$H404,"")</f>
        <v/>
      </c>
      <c r="M404" s="336" t="str">
        <f>IF($F404=$M$6,$E404*$G404*$H404,"")</f>
        <v/>
      </c>
      <c r="N404" s="288"/>
      <c r="O404" s="288"/>
      <c r="P404" s="29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</row>
    <row r="405" spans="1:28" ht="15.75" hidden="1" customHeight="1" outlineLevel="1" x14ac:dyDescent="0.25">
      <c r="A405" s="333"/>
      <c r="B405" s="329" t="s">
        <v>617</v>
      </c>
      <c r="C405" s="330"/>
      <c r="D405" s="147" t="s">
        <v>8</v>
      </c>
      <c r="E405" s="150">
        <v>1</v>
      </c>
      <c r="F405" s="27" t="s">
        <v>64</v>
      </c>
      <c r="G405" s="150">
        <v>6</v>
      </c>
      <c r="H405" s="150">
        <v>3.85</v>
      </c>
      <c r="I405" s="297" t="str">
        <f>IF($F405=$I$6,$E405*$G405*$H405,"")</f>
        <v/>
      </c>
      <c r="J405" s="297" t="str">
        <f>IF($F405=$J$6,$E405*$G405*$H405,"")</f>
        <v/>
      </c>
      <c r="K405" s="297">
        <f>IF($F405=$K$6,$E405*$G405*$H405,"")</f>
        <v>23.1</v>
      </c>
      <c r="L405" s="297" t="str">
        <f>IF($F405=$L$6,$E405*$G405*$H405,"")</f>
        <v/>
      </c>
      <c r="M405" s="336" t="str">
        <f>IF($F405=$M$6,$E405*$G405*$H405,"")</f>
        <v/>
      </c>
      <c r="N405" s="288"/>
      <c r="O405" s="288"/>
      <c r="P405" s="29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</row>
    <row r="406" spans="1:28" ht="15.75" hidden="1" customHeight="1" outlineLevel="1" x14ac:dyDescent="0.25">
      <c r="A406" s="164"/>
      <c r="B406" s="329" t="s">
        <v>618</v>
      </c>
      <c r="C406" s="330"/>
      <c r="D406" s="147" t="s">
        <v>8</v>
      </c>
      <c r="E406" s="150">
        <v>1</v>
      </c>
      <c r="F406" s="27" t="s">
        <v>64</v>
      </c>
      <c r="G406" s="150">
        <v>6</v>
      </c>
      <c r="H406" s="150">
        <v>3.86</v>
      </c>
      <c r="I406" s="297" t="str">
        <f t="shared" ref="I406:I414" si="121">IF($F406=$I$6,$E406*$G406*$H406,"")</f>
        <v/>
      </c>
      <c r="J406" s="297" t="str">
        <f t="shared" ref="J406:J414" si="122">IF($F406=$J$6,$E406*$G406*$H406,"")</f>
        <v/>
      </c>
      <c r="K406" s="297">
        <f t="shared" ref="K406:K414" si="123">IF($F406=$K$6,$E406*$G406*$H406,"")</f>
        <v>23.16</v>
      </c>
      <c r="L406" s="297" t="str">
        <f t="shared" ref="L406:L414" si="124">IF($F406=$L$6,$E406*$G406*$H406,"")</f>
        <v/>
      </c>
      <c r="M406" s="336" t="str">
        <f t="shared" ref="M406:M414" si="125">IF($F406=$M$6,$E406*$G406*$H406,"")</f>
        <v/>
      </c>
      <c r="N406" s="288"/>
      <c r="O406" s="288"/>
      <c r="P406" s="29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</row>
    <row r="407" spans="1:28" ht="15.75" hidden="1" customHeight="1" outlineLevel="1" x14ac:dyDescent="0.25">
      <c r="A407" s="164"/>
      <c r="B407" s="329" t="s">
        <v>619</v>
      </c>
      <c r="C407" s="330"/>
      <c r="D407" s="147" t="s">
        <v>8</v>
      </c>
      <c r="E407" s="150">
        <v>1</v>
      </c>
      <c r="F407" s="27" t="s">
        <v>64</v>
      </c>
      <c r="G407" s="150">
        <v>6</v>
      </c>
      <c r="H407" s="150">
        <v>1.24</v>
      </c>
      <c r="I407" s="297" t="str">
        <f t="shared" si="121"/>
        <v/>
      </c>
      <c r="J407" s="297" t="str">
        <f t="shared" si="122"/>
        <v/>
      </c>
      <c r="K407" s="297">
        <f t="shared" si="123"/>
        <v>7.4399999999999995</v>
      </c>
      <c r="L407" s="297" t="str">
        <f t="shared" si="124"/>
        <v/>
      </c>
      <c r="M407" s="336" t="str">
        <f t="shared" si="125"/>
        <v/>
      </c>
      <c r="N407" s="288"/>
      <c r="O407" s="288"/>
      <c r="P407" s="29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</row>
    <row r="408" spans="1:28" ht="15.75" hidden="1" customHeight="1" outlineLevel="1" x14ac:dyDescent="0.25">
      <c r="A408" s="164"/>
      <c r="B408" s="329" t="s">
        <v>615</v>
      </c>
      <c r="C408" s="330"/>
      <c r="D408" s="147" t="s">
        <v>8</v>
      </c>
      <c r="E408" s="150">
        <v>2</v>
      </c>
      <c r="F408" s="27" t="s">
        <v>64</v>
      </c>
      <c r="G408" s="150">
        <v>15</v>
      </c>
      <c r="H408" s="150">
        <v>1.1000000000000001</v>
      </c>
      <c r="I408" s="297" t="str">
        <f t="shared" si="121"/>
        <v/>
      </c>
      <c r="J408" s="297" t="str">
        <f t="shared" si="122"/>
        <v/>
      </c>
      <c r="K408" s="297">
        <f t="shared" si="123"/>
        <v>33</v>
      </c>
      <c r="L408" s="297" t="str">
        <f t="shared" si="124"/>
        <v/>
      </c>
      <c r="M408" s="336" t="str">
        <f t="shared" si="125"/>
        <v/>
      </c>
      <c r="N408" s="288"/>
      <c r="O408" s="288"/>
      <c r="P408" s="29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</row>
    <row r="409" spans="1:28" ht="15.75" hidden="1" customHeight="1" outlineLevel="1" x14ac:dyDescent="0.25">
      <c r="A409" s="333" t="s">
        <v>241</v>
      </c>
      <c r="B409" s="329" t="s">
        <v>616</v>
      </c>
      <c r="C409" s="330"/>
      <c r="D409" s="147" t="s">
        <v>8</v>
      </c>
      <c r="E409" s="150">
        <v>1</v>
      </c>
      <c r="F409" s="27" t="s">
        <v>64</v>
      </c>
      <c r="G409" s="150">
        <v>6</v>
      </c>
      <c r="H409" s="150">
        <v>1.47</v>
      </c>
      <c r="I409" s="297" t="str">
        <f>IF($F409=$I$6,$E409*$G409*$H409,"")</f>
        <v/>
      </c>
      <c r="J409" s="297" t="str">
        <f>IF($F409=$J$6,$E409*$G409*$H409,"")</f>
        <v/>
      </c>
      <c r="K409" s="297">
        <f>IF($F409=$K$6,$E409*$G409*$H409,"")</f>
        <v>8.82</v>
      </c>
      <c r="L409" s="297" t="str">
        <f>IF($F409=$L$6,$E409*$G409*$H409,"")</f>
        <v/>
      </c>
      <c r="M409" s="336" t="str">
        <f>IF($F409=$M$6,$E409*$G409*$H409,"")</f>
        <v/>
      </c>
      <c r="N409" s="288"/>
      <c r="O409" s="288"/>
      <c r="P409" s="29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</row>
    <row r="410" spans="1:28" ht="15.75" hidden="1" customHeight="1" outlineLevel="1" x14ac:dyDescent="0.25">
      <c r="A410" s="333"/>
      <c r="B410" s="329" t="s">
        <v>617</v>
      </c>
      <c r="C410" s="330"/>
      <c r="D410" s="147" t="s">
        <v>8</v>
      </c>
      <c r="E410" s="150">
        <v>1</v>
      </c>
      <c r="F410" s="27" t="s">
        <v>64</v>
      </c>
      <c r="G410" s="150">
        <v>6</v>
      </c>
      <c r="H410" s="150">
        <v>3.61</v>
      </c>
      <c r="I410" s="297" t="str">
        <f>IF($F410=$I$6,$E410*$G410*$H410,"")</f>
        <v/>
      </c>
      <c r="J410" s="297" t="str">
        <f>IF($F410=$J$6,$E410*$G410*$H410,"")</f>
        <v/>
      </c>
      <c r="K410" s="297">
        <f>IF($F410=$K$6,$E410*$G410*$H410,"")</f>
        <v>21.66</v>
      </c>
      <c r="L410" s="297" t="str">
        <f>IF($F410=$L$6,$E410*$G410*$H410,"")</f>
        <v/>
      </c>
      <c r="M410" s="336" t="str">
        <f>IF($F410=$M$6,$E410*$G410*$H410,"")</f>
        <v/>
      </c>
      <c r="N410" s="288"/>
      <c r="O410" s="288"/>
      <c r="P410" s="29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</row>
    <row r="411" spans="1:28" ht="15.75" hidden="1" customHeight="1" outlineLevel="1" x14ac:dyDescent="0.25">
      <c r="A411" s="164"/>
      <c r="B411" s="329" t="s">
        <v>618</v>
      </c>
      <c r="C411" s="330"/>
      <c r="D411" s="147" t="s">
        <v>8</v>
      </c>
      <c r="E411" s="150">
        <v>1</v>
      </c>
      <c r="F411" s="27" t="s">
        <v>64</v>
      </c>
      <c r="G411" s="150">
        <v>6</v>
      </c>
      <c r="H411" s="150">
        <v>3.94</v>
      </c>
      <c r="I411" s="297" t="str">
        <f t="shared" si="121"/>
        <v/>
      </c>
      <c r="J411" s="297" t="str">
        <f t="shared" si="122"/>
        <v/>
      </c>
      <c r="K411" s="297">
        <f t="shared" si="123"/>
        <v>23.64</v>
      </c>
      <c r="L411" s="297" t="str">
        <f t="shared" si="124"/>
        <v/>
      </c>
      <c r="M411" s="336" t="str">
        <f t="shared" si="125"/>
        <v/>
      </c>
      <c r="N411" s="288"/>
      <c r="O411" s="288"/>
      <c r="P411" s="29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</row>
    <row r="412" spans="1:28" ht="15.75" hidden="1" customHeight="1" outlineLevel="1" x14ac:dyDescent="0.25">
      <c r="A412" s="164"/>
      <c r="B412" s="329" t="s">
        <v>619</v>
      </c>
      <c r="C412" s="330"/>
      <c r="D412" s="147" t="s">
        <v>8</v>
      </c>
      <c r="E412" s="150">
        <v>1</v>
      </c>
      <c r="F412" s="27" t="s">
        <v>64</v>
      </c>
      <c r="G412" s="150">
        <v>6</v>
      </c>
      <c r="H412" s="150">
        <v>1.19</v>
      </c>
      <c r="I412" s="297" t="str">
        <f t="shared" si="121"/>
        <v/>
      </c>
      <c r="J412" s="297" t="str">
        <f t="shared" si="122"/>
        <v/>
      </c>
      <c r="K412" s="297">
        <f t="shared" si="123"/>
        <v>7.14</v>
      </c>
      <c r="L412" s="297" t="str">
        <f t="shared" si="124"/>
        <v/>
      </c>
      <c r="M412" s="336" t="str">
        <f t="shared" si="125"/>
        <v/>
      </c>
      <c r="N412" s="288"/>
      <c r="O412" s="288"/>
      <c r="P412" s="29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</row>
    <row r="413" spans="1:28" ht="15.75" hidden="1" customHeight="1" outlineLevel="1" x14ac:dyDescent="0.25">
      <c r="A413" s="164"/>
      <c r="B413" s="329" t="s">
        <v>615</v>
      </c>
      <c r="C413" s="330"/>
      <c r="D413" s="147" t="s">
        <v>8</v>
      </c>
      <c r="E413" s="150">
        <v>2</v>
      </c>
      <c r="F413" s="27" t="s">
        <v>64</v>
      </c>
      <c r="G413" s="150">
        <v>16</v>
      </c>
      <c r="H413" s="150">
        <v>1.1000000000000001</v>
      </c>
      <c r="I413" s="297" t="str">
        <f t="shared" si="121"/>
        <v/>
      </c>
      <c r="J413" s="297" t="str">
        <f t="shared" si="122"/>
        <v/>
      </c>
      <c r="K413" s="297">
        <f t="shared" si="123"/>
        <v>35.200000000000003</v>
      </c>
      <c r="L413" s="297" t="str">
        <f t="shared" si="124"/>
        <v/>
      </c>
      <c r="M413" s="336" t="str">
        <f t="shared" si="125"/>
        <v/>
      </c>
      <c r="N413" s="288"/>
      <c r="O413" s="288"/>
      <c r="P413" s="29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</row>
    <row r="414" spans="1:28" ht="15.75" hidden="1" customHeight="1" outlineLevel="1" x14ac:dyDescent="0.25">
      <c r="A414" s="333"/>
      <c r="B414" s="329"/>
      <c r="C414" s="330"/>
      <c r="D414" s="147"/>
      <c r="E414" s="150"/>
      <c r="F414" s="27"/>
      <c r="G414" s="150"/>
      <c r="H414" s="150"/>
      <c r="I414" s="297" t="str">
        <f t="shared" si="121"/>
        <v/>
      </c>
      <c r="J414" s="297" t="str">
        <f t="shared" si="122"/>
        <v/>
      </c>
      <c r="K414" s="297" t="str">
        <f t="shared" si="123"/>
        <v/>
      </c>
      <c r="L414" s="297" t="str">
        <f t="shared" si="124"/>
        <v/>
      </c>
      <c r="M414" s="336" t="str">
        <f t="shared" si="125"/>
        <v/>
      </c>
      <c r="N414" s="288"/>
      <c r="O414" s="288"/>
      <c r="P414" s="29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</row>
    <row r="415" spans="1:28" ht="15.75" customHeight="1" collapsed="1" x14ac:dyDescent="0.25">
      <c r="A415" s="29"/>
      <c r="B415" s="808"/>
      <c r="C415" s="809"/>
      <c r="D415" s="29"/>
      <c r="E415" s="30"/>
      <c r="F415" s="30"/>
      <c r="G415" s="814" t="s">
        <v>68</v>
      </c>
      <c r="H415" s="811"/>
      <c r="I415" s="286">
        <f t="shared" ref="I415:N415" si="126">SUM(I404:I414)</f>
        <v>0</v>
      </c>
      <c r="J415" s="286">
        <f t="shared" si="126"/>
        <v>0</v>
      </c>
      <c r="K415" s="286">
        <f>SUM(K404:K414)</f>
        <v>191.2</v>
      </c>
      <c r="L415" s="286">
        <f>SUM(L404:L414)</f>
        <v>0</v>
      </c>
      <c r="M415" s="286">
        <f t="shared" si="126"/>
        <v>0</v>
      </c>
      <c r="N415" s="286">
        <f t="shared" si="126"/>
        <v>0</v>
      </c>
      <c r="O415" s="301"/>
      <c r="P415" s="283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</row>
    <row r="416" spans="1:28" ht="15.75" customHeight="1" x14ac:dyDescent="0.25">
      <c r="A416" s="31"/>
      <c r="B416" s="808"/>
      <c r="C416" s="809"/>
      <c r="D416" s="32"/>
      <c r="E416" s="33"/>
      <c r="F416" s="34"/>
      <c r="G416" s="810" t="s">
        <v>69</v>
      </c>
      <c r="H416" s="811"/>
      <c r="I416" s="298">
        <v>0.25</v>
      </c>
      <c r="J416" s="298">
        <v>3.97</v>
      </c>
      <c r="K416" s="298">
        <v>0.56000000000000005</v>
      </c>
      <c r="L416" s="298">
        <v>1.02</v>
      </c>
      <c r="M416" s="298">
        <v>1.56</v>
      </c>
      <c r="N416" s="298">
        <v>2.25</v>
      </c>
      <c r="O416" s="298"/>
      <c r="P416" s="284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</row>
    <row r="417" spans="1:28" ht="15.75" customHeight="1" x14ac:dyDescent="0.25">
      <c r="A417" s="31"/>
      <c r="B417" s="808"/>
      <c r="C417" s="809"/>
      <c r="D417" s="32"/>
      <c r="E417" s="33"/>
      <c r="F417" s="34"/>
      <c r="G417" s="810" t="s">
        <v>70</v>
      </c>
      <c r="H417" s="811"/>
      <c r="I417" s="286">
        <f t="shared" ref="I417:N417" si="127">I415*I416</f>
        <v>0</v>
      </c>
      <c r="J417" s="286">
        <f t="shared" si="127"/>
        <v>0</v>
      </c>
      <c r="K417" s="286">
        <f t="shared" si="127"/>
        <v>107.072</v>
      </c>
      <c r="L417" s="286">
        <f t="shared" si="127"/>
        <v>0</v>
      </c>
      <c r="M417" s="286">
        <f t="shared" si="127"/>
        <v>0</v>
      </c>
      <c r="N417" s="286">
        <f t="shared" si="127"/>
        <v>0</v>
      </c>
      <c r="O417" s="286"/>
      <c r="P417" s="283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</row>
    <row r="418" spans="1:28" ht="15.75" customHeight="1" x14ac:dyDescent="0.25">
      <c r="A418" s="31"/>
      <c r="B418" s="808"/>
      <c r="C418" s="809"/>
      <c r="D418" s="32"/>
      <c r="E418" s="33"/>
      <c r="F418" s="34"/>
      <c r="G418" s="810" t="s">
        <v>71</v>
      </c>
      <c r="H418" s="811"/>
      <c r="I418" s="286">
        <f t="shared" ref="I418:N418" si="128">ROUNDUP(I415*1.07/9,0)</f>
        <v>0</v>
      </c>
      <c r="J418" s="286">
        <f t="shared" si="128"/>
        <v>0</v>
      </c>
      <c r="K418" s="286">
        <f t="shared" si="128"/>
        <v>23</v>
      </c>
      <c r="L418" s="286">
        <f t="shared" si="128"/>
        <v>0</v>
      </c>
      <c r="M418" s="286">
        <f t="shared" si="128"/>
        <v>0</v>
      </c>
      <c r="N418" s="286">
        <f t="shared" si="128"/>
        <v>0</v>
      </c>
      <c r="O418" s="286"/>
      <c r="P418" s="283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</row>
    <row r="419" spans="1:28" ht="15" customHeight="1" x14ac:dyDescent="0.25">
      <c r="A419" s="248" t="s">
        <v>53</v>
      </c>
      <c r="B419" s="812" t="s">
        <v>585</v>
      </c>
      <c r="C419" s="813"/>
      <c r="D419" s="249"/>
      <c r="E419" s="250"/>
      <c r="F419" s="250"/>
      <c r="G419" s="250"/>
      <c r="H419" s="253"/>
      <c r="I419" s="296"/>
      <c r="J419" s="296"/>
      <c r="K419" s="296"/>
      <c r="L419" s="296"/>
      <c r="M419" s="296"/>
      <c r="N419" s="296"/>
      <c r="O419" s="296"/>
      <c r="P419" s="296">
        <f>SUM(I424:O424)</f>
        <v>0</v>
      </c>
      <c r="Q419" s="135"/>
      <c r="R419" s="135"/>
      <c r="S419" s="135"/>
      <c r="T419" s="135"/>
      <c r="U419" s="135"/>
      <c r="V419" s="135"/>
      <c r="W419" s="135"/>
      <c r="X419" s="135"/>
      <c r="Y419" s="135"/>
      <c r="Z419" s="135"/>
      <c r="AA419" s="135"/>
      <c r="AB419" s="135"/>
    </row>
    <row r="420" spans="1:28" ht="16.5" hidden="1" customHeight="1" outlineLevel="1" x14ac:dyDescent="0.25">
      <c r="A420" s="349"/>
      <c r="B420" s="375"/>
      <c r="C420" s="330"/>
      <c r="D420" s="147" t="s">
        <v>8</v>
      </c>
      <c r="E420" s="148"/>
      <c r="F420" s="149"/>
      <c r="G420" s="148"/>
      <c r="H420" s="255"/>
      <c r="I420" s="300"/>
      <c r="J420" s="300"/>
      <c r="K420" s="300" t="str">
        <f>IF($F420=$K$6,$E420*$G420*$H420,"")</f>
        <v/>
      </c>
      <c r="L420" s="300"/>
      <c r="M420" s="288"/>
      <c r="N420" s="288"/>
      <c r="O420" s="288"/>
      <c r="P420" s="288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</row>
    <row r="421" spans="1:28" ht="16.5" hidden="1" customHeight="1" outlineLevel="1" x14ac:dyDescent="0.25">
      <c r="A421" s="150"/>
      <c r="B421" s="375"/>
      <c r="C421" s="330"/>
      <c r="D421" s="147" t="s">
        <v>8</v>
      </c>
      <c r="E421" s="148"/>
      <c r="F421" s="149"/>
      <c r="G421" s="148"/>
      <c r="H421" s="255"/>
      <c r="I421" s="300"/>
      <c r="J421" s="300"/>
      <c r="K421" s="300" t="str">
        <f>IF($F421=$K$6,$E421*$G421*$H421,"")</f>
        <v/>
      </c>
      <c r="L421" s="300"/>
      <c r="M421" s="288"/>
      <c r="N421" s="288"/>
      <c r="O421" s="288"/>
      <c r="P421" s="288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</row>
    <row r="422" spans="1:28" ht="16.5" customHeight="1" collapsed="1" x14ac:dyDescent="0.25">
      <c r="A422" s="374"/>
      <c r="B422" s="815"/>
      <c r="C422" s="816"/>
      <c r="D422" s="145"/>
      <c r="E422" s="145"/>
      <c r="F422" s="145"/>
      <c r="G422" s="831" t="s">
        <v>68</v>
      </c>
      <c r="H422" s="832"/>
      <c r="I422" s="301">
        <f t="shared" ref="I422:N422" si="129">SUM(I420:I421)</f>
        <v>0</v>
      </c>
      <c r="J422" s="301">
        <f t="shared" si="129"/>
        <v>0</v>
      </c>
      <c r="K422" s="301">
        <f t="shared" si="129"/>
        <v>0</v>
      </c>
      <c r="L422" s="301">
        <f t="shared" si="129"/>
        <v>0</v>
      </c>
      <c r="M422" s="301">
        <f t="shared" si="129"/>
        <v>0</v>
      </c>
      <c r="N422" s="301">
        <f t="shared" si="129"/>
        <v>0</v>
      </c>
      <c r="O422" s="301"/>
      <c r="P422" s="289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</row>
    <row r="423" spans="1:28" ht="16.5" customHeight="1" x14ac:dyDescent="0.25">
      <c r="A423" s="31"/>
      <c r="B423" s="819"/>
      <c r="C423" s="820"/>
      <c r="D423" s="30"/>
      <c r="E423" s="33"/>
      <c r="F423" s="34"/>
      <c r="G423" s="821" t="s">
        <v>69</v>
      </c>
      <c r="H423" s="822"/>
      <c r="I423" s="298">
        <v>0.25</v>
      </c>
      <c r="J423" s="298">
        <v>3.97</v>
      </c>
      <c r="K423" s="298">
        <v>0.56000000000000005</v>
      </c>
      <c r="L423" s="298">
        <v>1.02</v>
      </c>
      <c r="M423" s="298">
        <v>1.56</v>
      </c>
      <c r="N423" s="298">
        <v>2.25</v>
      </c>
      <c r="O423" s="298"/>
      <c r="P423" s="284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</row>
    <row r="424" spans="1:28" ht="16.5" customHeight="1" x14ac:dyDescent="0.25">
      <c r="A424" s="31"/>
      <c r="B424" s="819"/>
      <c r="C424" s="820"/>
      <c r="D424" s="32"/>
      <c r="E424" s="33"/>
      <c r="F424" s="34"/>
      <c r="G424" s="821" t="s">
        <v>70</v>
      </c>
      <c r="H424" s="822"/>
      <c r="I424" s="286">
        <f t="shared" ref="I424:N424" si="130">I422*I423</f>
        <v>0</v>
      </c>
      <c r="J424" s="286">
        <f t="shared" si="130"/>
        <v>0</v>
      </c>
      <c r="K424" s="286">
        <f t="shared" si="130"/>
        <v>0</v>
      </c>
      <c r="L424" s="286">
        <f t="shared" si="130"/>
        <v>0</v>
      </c>
      <c r="M424" s="286">
        <f t="shared" si="130"/>
        <v>0</v>
      </c>
      <c r="N424" s="286">
        <f t="shared" si="130"/>
        <v>0</v>
      </c>
      <c r="O424" s="286"/>
      <c r="P424" s="283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</row>
    <row r="425" spans="1:28" ht="16.5" customHeight="1" x14ac:dyDescent="0.25">
      <c r="A425" s="31"/>
      <c r="B425" s="819"/>
      <c r="C425" s="820"/>
      <c r="D425" s="32"/>
      <c r="E425" s="33"/>
      <c r="F425" s="34"/>
      <c r="G425" s="821" t="s">
        <v>71</v>
      </c>
      <c r="H425" s="822"/>
      <c r="I425" s="286">
        <f t="shared" ref="I425:N425" si="131">ROUNDUP(I422*1.07/9,0)</f>
        <v>0</v>
      </c>
      <c r="J425" s="286">
        <f t="shared" si="131"/>
        <v>0</v>
      </c>
      <c r="K425" s="286">
        <f t="shared" si="131"/>
        <v>0</v>
      </c>
      <c r="L425" s="286">
        <f t="shared" si="131"/>
        <v>0</v>
      </c>
      <c r="M425" s="286">
        <f t="shared" si="131"/>
        <v>0</v>
      </c>
      <c r="N425" s="286">
        <f t="shared" si="131"/>
        <v>0</v>
      </c>
      <c r="O425" s="286"/>
      <c r="P425" s="283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</row>
    <row r="426" spans="1:28" ht="15.75" customHeight="1" x14ac:dyDescent="0.25">
      <c r="A426" s="35"/>
      <c r="B426" s="246"/>
      <c r="C426" s="35"/>
      <c r="D426" s="35"/>
      <c r="E426" s="20"/>
      <c r="F426" s="20"/>
      <c r="G426" s="20"/>
      <c r="H426" s="257"/>
      <c r="I426" s="293"/>
      <c r="J426" s="293"/>
      <c r="K426" s="293"/>
      <c r="L426" s="293"/>
      <c r="M426" s="279"/>
      <c r="N426" s="279"/>
      <c r="O426" s="279"/>
      <c r="P426" s="291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</row>
    <row r="427" spans="1:28" ht="15.75" customHeight="1" x14ac:dyDescent="0.25">
      <c r="A427" s="35"/>
      <c r="B427" s="246"/>
      <c r="C427" s="35"/>
      <c r="D427" s="35"/>
      <c r="E427" s="20"/>
      <c r="F427" s="20"/>
      <c r="G427" s="20"/>
      <c r="H427" s="257"/>
      <c r="I427" s="280" t="s">
        <v>62</v>
      </c>
      <c r="J427" s="280">
        <v>1</v>
      </c>
      <c r="K427" s="280" t="s">
        <v>64</v>
      </c>
      <c r="L427" s="280" t="s">
        <v>65</v>
      </c>
      <c r="M427" s="280" t="s">
        <v>66</v>
      </c>
      <c r="N427" s="294" t="s">
        <v>234</v>
      </c>
      <c r="O427" s="280" t="s">
        <v>63</v>
      </c>
      <c r="P427" s="280" t="s">
        <v>31</v>
      </c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</row>
    <row r="428" spans="1:28" ht="15" customHeight="1" collapsed="1" x14ac:dyDescent="0.25">
      <c r="A428" s="23"/>
      <c r="B428" s="278" t="s">
        <v>354</v>
      </c>
      <c r="C428" s="23"/>
      <c r="D428" s="24"/>
      <c r="E428" s="25"/>
      <c r="F428" s="25"/>
      <c r="G428" s="25"/>
      <c r="H428" s="252"/>
      <c r="I428" s="295" t="e">
        <f>I33+#REF!+I145+I47+#REF!+I245+I256+#REF!+I179+I221+I425+#REF!+#REF!+#REF!+#REF!</f>
        <v>#REF!</v>
      </c>
      <c r="J428" s="295" t="e">
        <f>J33+#REF!+J145+J47+#REF!+J245+J256+#REF!+J179+J221+J425+#REF!+#REF!+#REF!+#REF!</f>
        <v>#REF!</v>
      </c>
      <c r="K428" s="295" t="e">
        <f>K33+#REF!+K145+K47+#REF!+K245+K256+#REF!+K179+K221+K425+#REF!+#REF!+#REF!+#REF!</f>
        <v>#REF!</v>
      </c>
      <c r="L428" s="295" t="e">
        <f>L33+#REF!+L145+L47+#REF!+L245+L256+#REF!+L179+L221+L425+#REF!+#REF!+#REF!+#REF!</f>
        <v>#REF!</v>
      </c>
      <c r="M428" s="295" t="e">
        <f>M33+#REF!+M145+M47+#REF!+M245+M256+#REF!+M179+M221+M425+#REF!+#REF!+#REF!+#REF!</f>
        <v>#REF!</v>
      </c>
      <c r="N428" s="295" t="e">
        <f>N33+#REF!+N145+N47+#REF!+N245+N256+#REF!+N179+N221+N425+#REF!+#REF!+#REF!+#REF!</f>
        <v>#REF!</v>
      </c>
      <c r="O428" s="295" t="e">
        <f>O33+#REF!+O145+O47+#REF!+O245+O256+#REF!+O179+O221+O425+#REF!+#REF!+#REF!+#REF!</f>
        <v>#REF!</v>
      </c>
      <c r="P428" s="281"/>
      <c r="Q428" s="135"/>
      <c r="R428" s="135"/>
      <c r="S428" s="135"/>
      <c r="T428" s="135"/>
      <c r="U428" s="135"/>
      <c r="V428" s="135"/>
      <c r="W428" s="135"/>
      <c r="X428" s="135"/>
      <c r="Y428" s="135"/>
      <c r="Z428" s="135"/>
      <c r="AA428" s="135"/>
      <c r="AB428" s="135"/>
    </row>
    <row r="429" spans="1:28" ht="15.75" customHeight="1" x14ac:dyDescent="0.25">
      <c r="A429" s="35"/>
      <c r="B429" s="246"/>
      <c r="C429" s="35"/>
      <c r="D429" s="35"/>
      <c r="E429" s="20"/>
      <c r="F429" s="20"/>
      <c r="G429" s="20"/>
      <c r="H429" s="257"/>
      <c r="I429" s="293"/>
      <c r="J429" s="293"/>
      <c r="K429" s="293"/>
      <c r="L429" s="293"/>
      <c r="M429" s="279"/>
      <c r="N429" s="279"/>
      <c r="O429" s="279"/>
      <c r="P429" s="291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</row>
    <row r="430" spans="1:28" ht="15.75" customHeight="1" x14ac:dyDescent="0.25">
      <c r="A430" s="35"/>
      <c r="B430" s="246"/>
      <c r="C430" s="35"/>
      <c r="D430" s="35"/>
      <c r="E430" s="20"/>
      <c r="F430" s="20"/>
      <c r="G430" s="20"/>
      <c r="H430" s="257"/>
      <c r="I430" s="293"/>
      <c r="J430" s="293"/>
      <c r="K430" s="293"/>
      <c r="L430" s="293"/>
      <c r="M430" s="279"/>
      <c r="N430" s="279"/>
      <c r="O430" s="279"/>
      <c r="P430" s="291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</row>
    <row r="431" spans="1:28" ht="15.75" customHeight="1" x14ac:dyDescent="0.25">
      <c r="A431" s="35"/>
      <c r="B431" s="246"/>
      <c r="C431" s="35"/>
      <c r="D431" s="35"/>
      <c r="E431" s="20"/>
      <c r="F431" s="20"/>
      <c r="G431" s="20"/>
      <c r="H431" s="257"/>
      <c r="I431" s="293"/>
      <c r="J431" s="293"/>
      <c r="K431" s="293"/>
      <c r="L431" s="293"/>
      <c r="M431" s="279"/>
      <c r="N431" s="279"/>
      <c r="O431" s="279"/>
      <c r="P431" s="291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</row>
    <row r="432" spans="1:28" ht="15.75" customHeight="1" x14ac:dyDescent="0.25">
      <c r="A432" s="35"/>
      <c r="B432" s="246"/>
      <c r="C432" s="35"/>
      <c r="D432" s="35"/>
      <c r="E432" s="20"/>
      <c r="F432" s="20"/>
      <c r="G432" s="20"/>
      <c r="H432" s="257"/>
      <c r="I432" s="293"/>
      <c r="J432" s="293"/>
      <c r="K432" s="293"/>
      <c r="L432" s="293"/>
      <c r="M432" s="279"/>
      <c r="N432" s="279"/>
      <c r="O432" s="279"/>
      <c r="P432" s="291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</row>
    <row r="433" spans="1:28" ht="15.75" customHeight="1" x14ac:dyDescent="0.25">
      <c r="A433" s="35"/>
      <c r="B433" s="246"/>
      <c r="C433" s="35"/>
      <c r="D433" s="35"/>
      <c r="E433" s="20"/>
      <c r="F433" s="20"/>
      <c r="G433" s="20"/>
      <c r="H433" s="257"/>
      <c r="I433" s="293"/>
      <c r="J433" s="293"/>
      <c r="K433" s="293"/>
      <c r="L433" s="293"/>
      <c r="M433" s="279"/>
      <c r="N433" s="279"/>
      <c r="O433" s="279"/>
      <c r="P433" s="291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</row>
    <row r="434" spans="1:28" ht="15.75" customHeight="1" x14ac:dyDescent="0.25">
      <c r="A434" s="35"/>
      <c r="B434" s="246"/>
      <c r="C434" s="35"/>
      <c r="D434" s="35"/>
      <c r="E434" s="20"/>
      <c r="F434" s="20"/>
      <c r="G434" s="20"/>
      <c r="H434" s="257"/>
      <c r="I434" s="293"/>
      <c r="J434" s="293"/>
      <c r="K434" s="293"/>
      <c r="L434" s="293"/>
      <c r="M434" s="279"/>
      <c r="N434" s="279"/>
      <c r="O434" s="279"/>
      <c r="P434" s="291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</row>
    <row r="435" spans="1:28" ht="15.75" customHeight="1" x14ac:dyDescent="0.25">
      <c r="A435" s="35"/>
      <c r="B435" s="246"/>
      <c r="C435" s="35"/>
      <c r="D435" s="35"/>
      <c r="E435" s="20"/>
      <c r="F435" s="20"/>
      <c r="G435" s="20"/>
      <c r="H435" s="257"/>
      <c r="I435" s="293"/>
      <c r="J435" s="293"/>
      <c r="K435" s="293"/>
      <c r="L435" s="293"/>
      <c r="M435" s="279"/>
      <c r="N435" s="279"/>
      <c r="O435" s="279"/>
      <c r="P435" s="291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</row>
    <row r="436" spans="1:28" ht="15.75" customHeight="1" x14ac:dyDescent="0.25">
      <c r="A436" s="35"/>
      <c r="B436" s="246"/>
      <c r="C436" s="35"/>
      <c r="D436" s="35"/>
      <c r="E436" s="20"/>
      <c r="F436" s="20"/>
      <c r="G436" s="20"/>
      <c r="H436" s="257"/>
      <c r="I436" s="293"/>
      <c r="J436" s="293"/>
      <c r="K436" s="293"/>
      <c r="L436" s="293"/>
      <c r="M436" s="279"/>
      <c r="N436" s="279"/>
      <c r="O436" s="279"/>
      <c r="P436" s="291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</row>
    <row r="437" spans="1:28" ht="15.75" customHeight="1" x14ac:dyDescent="0.25">
      <c r="A437" s="35"/>
      <c r="B437" s="246"/>
      <c r="C437" s="35"/>
      <c r="D437" s="35"/>
      <c r="E437" s="20"/>
      <c r="F437" s="20"/>
      <c r="G437" s="20"/>
      <c r="H437" s="257"/>
      <c r="I437" s="293"/>
      <c r="J437" s="293"/>
      <c r="K437" s="293"/>
      <c r="L437" s="293"/>
      <c r="M437" s="279"/>
      <c r="N437" s="279"/>
      <c r="O437" s="279"/>
      <c r="P437" s="291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</row>
    <row r="438" spans="1:28" ht="15.75" customHeight="1" x14ac:dyDescent="0.25">
      <c r="A438" s="35"/>
      <c r="B438" s="246"/>
      <c r="C438" s="35"/>
      <c r="D438" s="35"/>
      <c r="E438" s="20"/>
      <c r="F438" s="20"/>
      <c r="G438" s="20"/>
      <c r="H438" s="257"/>
      <c r="I438" s="293"/>
      <c r="J438" s="293"/>
      <c r="K438" s="293"/>
      <c r="L438" s="293"/>
      <c r="M438" s="279"/>
      <c r="N438" s="279"/>
      <c r="O438" s="279"/>
      <c r="P438" s="291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</row>
    <row r="439" spans="1:28" ht="15.75" customHeight="1" x14ac:dyDescent="0.25">
      <c r="A439" s="35"/>
      <c r="B439" s="246"/>
      <c r="C439" s="35"/>
      <c r="D439" s="35"/>
      <c r="E439" s="20"/>
      <c r="F439" s="20"/>
      <c r="G439" s="20"/>
      <c r="H439" s="257"/>
      <c r="I439" s="293"/>
      <c r="J439" s="293"/>
      <c r="K439" s="293"/>
      <c r="L439" s="293"/>
      <c r="M439" s="279"/>
      <c r="N439" s="279"/>
      <c r="O439" s="279"/>
      <c r="P439" s="291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</row>
    <row r="440" spans="1:28" ht="15.75" customHeight="1" x14ac:dyDescent="0.25">
      <c r="A440" s="35"/>
      <c r="B440" s="246"/>
      <c r="C440" s="35"/>
      <c r="D440" s="35"/>
      <c r="E440" s="20"/>
      <c r="F440" s="20"/>
      <c r="G440" s="20"/>
      <c r="H440" s="257"/>
      <c r="I440" s="293"/>
      <c r="J440" s="293"/>
      <c r="K440" s="293"/>
      <c r="L440" s="293"/>
      <c r="M440" s="279"/>
      <c r="N440" s="279"/>
      <c r="O440" s="279"/>
      <c r="P440" s="291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</row>
    <row r="441" spans="1:28" ht="15.75" customHeight="1" x14ac:dyDescent="0.25">
      <c r="A441" s="35"/>
      <c r="B441" s="246"/>
      <c r="C441" s="35"/>
      <c r="D441" s="35"/>
      <c r="E441" s="20"/>
      <c r="F441" s="20"/>
      <c r="G441" s="20"/>
      <c r="H441" s="257"/>
      <c r="I441" s="293"/>
      <c r="J441" s="293"/>
      <c r="K441" s="293"/>
      <c r="L441" s="293"/>
      <c r="M441" s="279"/>
      <c r="N441" s="279"/>
      <c r="O441" s="279"/>
      <c r="P441" s="291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</row>
    <row r="442" spans="1:28" ht="15.75" customHeight="1" x14ac:dyDescent="0.25">
      <c r="A442" s="35"/>
      <c r="B442" s="246"/>
      <c r="C442" s="35"/>
      <c r="D442" s="35"/>
      <c r="E442" s="20"/>
      <c r="F442" s="20"/>
      <c r="G442" s="20"/>
      <c r="H442" s="257"/>
      <c r="I442" s="293"/>
      <c r="J442" s="293"/>
      <c r="K442" s="293"/>
      <c r="L442" s="293"/>
      <c r="M442" s="279"/>
      <c r="N442" s="279"/>
      <c r="O442" s="279"/>
      <c r="P442" s="291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</row>
    <row r="443" spans="1:28" ht="15.75" customHeight="1" x14ac:dyDescent="0.25">
      <c r="A443" s="35"/>
      <c r="B443" s="246"/>
      <c r="C443" s="35"/>
      <c r="D443" s="35"/>
      <c r="E443" s="20"/>
      <c r="F443" s="20"/>
      <c r="G443" s="20"/>
      <c r="H443" s="257"/>
      <c r="I443" s="293"/>
      <c r="J443" s="293"/>
      <c r="K443" s="293"/>
      <c r="L443" s="293"/>
      <c r="M443" s="279"/>
      <c r="N443" s="279"/>
      <c r="O443" s="279"/>
      <c r="P443" s="291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</row>
    <row r="444" spans="1:28" ht="15.75" customHeight="1" x14ac:dyDescent="0.25">
      <c r="A444" s="35"/>
      <c r="B444" s="246"/>
      <c r="C444" s="35"/>
      <c r="D444" s="35"/>
      <c r="E444" s="20"/>
      <c r="F444" s="20"/>
      <c r="G444" s="20"/>
      <c r="H444" s="257"/>
      <c r="I444" s="293"/>
      <c r="J444" s="293"/>
      <c r="K444" s="293"/>
      <c r="L444" s="293"/>
      <c r="M444" s="279"/>
      <c r="N444" s="279"/>
      <c r="O444" s="279"/>
      <c r="P444" s="291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</row>
    <row r="445" spans="1:28" ht="15.75" customHeight="1" x14ac:dyDescent="0.25">
      <c r="A445" s="35"/>
      <c r="B445" s="246"/>
      <c r="C445" s="35"/>
      <c r="D445" s="35"/>
      <c r="E445" s="20"/>
      <c r="F445" s="20"/>
      <c r="G445" s="20"/>
      <c r="H445" s="257"/>
      <c r="I445" s="293"/>
      <c r="J445" s="293"/>
      <c r="K445" s="293"/>
      <c r="L445" s="293"/>
      <c r="M445" s="279"/>
      <c r="N445" s="279"/>
      <c r="O445" s="279"/>
      <c r="P445" s="291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</row>
    <row r="446" spans="1:28" ht="15.75" customHeight="1" x14ac:dyDescent="0.25">
      <c r="A446" s="35"/>
      <c r="B446" s="246"/>
      <c r="C446" s="35"/>
      <c r="D446" s="35"/>
      <c r="E446" s="20"/>
      <c r="F446" s="20"/>
      <c r="G446" s="20"/>
      <c r="H446" s="257"/>
      <c r="I446" s="293"/>
      <c r="J446" s="293"/>
      <c r="K446" s="293"/>
      <c r="L446" s="293"/>
      <c r="M446" s="279"/>
      <c r="N446" s="279"/>
      <c r="O446" s="279"/>
      <c r="P446" s="291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</row>
    <row r="447" spans="1:28" ht="15.75" customHeight="1" x14ac:dyDescent="0.25">
      <c r="A447" s="35"/>
      <c r="B447" s="246"/>
      <c r="C447" s="35"/>
      <c r="D447" s="35"/>
      <c r="E447" s="20"/>
      <c r="F447" s="20"/>
      <c r="G447" s="20"/>
      <c r="H447" s="257"/>
      <c r="I447" s="293"/>
      <c r="J447" s="293"/>
      <c r="K447" s="293"/>
      <c r="L447" s="293"/>
      <c r="M447" s="279"/>
      <c r="N447" s="279"/>
      <c r="O447" s="279"/>
      <c r="P447" s="291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</row>
    <row r="448" spans="1:28" ht="15.75" customHeight="1" x14ac:dyDescent="0.25">
      <c r="A448" s="35"/>
      <c r="B448" s="246"/>
      <c r="C448" s="35"/>
      <c r="D448" s="35"/>
      <c r="E448" s="20"/>
      <c r="F448" s="20"/>
      <c r="G448" s="20"/>
      <c r="H448" s="257"/>
      <c r="I448" s="293"/>
      <c r="J448" s="293"/>
      <c r="K448" s="293"/>
      <c r="L448" s="293"/>
      <c r="M448" s="279"/>
      <c r="N448" s="279"/>
      <c r="O448" s="279"/>
      <c r="P448" s="291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</row>
    <row r="449" spans="1:28" ht="15.75" customHeight="1" x14ac:dyDescent="0.25">
      <c r="A449" s="35"/>
      <c r="B449" s="246"/>
      <c r="C449" s="35"/>
      <c r="D449" s="35"/>
      <c r="E449" s="20"/>
      <c r="F449" s="20"/>
      <c r="G449" s="20"/>
      <c r="H449" s="257"/>
      <c r="I449" s="293"/>
      <c r="J449" s="293"/>
      <c r="K449" s="293"/>
      <c r="L449" s="293"/>
      <c r="M449" s="279"/>
      <c r="N449" s="279"/>
      <c r="O449" s="279"/>
      <c r="P449" s="291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</row>
    <row r="450" spans="1:28" ht="15.75" customHeight="1" x14ac:dyDescent="0.25">
      <c r="A450" s="35"/>
      <c r="B450" s="246"/>
      <c r="C450" s="35"/>
      <c r="D450" s="35"/>
      <c r="E450" s="20"/>
      <c r="F450" s="20"/>
      <c r="G450" s="20"/>
      <c r="H450" s="257"/>
      <c r="I450" s="293"/>
      <c r="J450" s="293"/>
      <c r="K450" s="293"/>
      <c r="L450" s="293"/>
      <c r="M450" s="279"/>
      <c r="N450" s="279"/>
      <c r="O450" s="279"/>
      <c r="P450" s="291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</row>
    <row r="451" spans="1:28" ht="15.75" customHeight="1" x14ac:dyDescent="0.25">
      <c r="A451" s="35"/>
      <c r="B451" s="246"/>
      <c r="C451" s="35"/>
      <c r="D451" s="35"/>
      <c r="E451" s="20"/>
      <c r="F451" s="20"/>
      <c r="G451" s="20"/>
      <c r="H451" s="257"/>
      <c r="I451" s="293"/>
      <c r="J451" s="293"/>
      <c r="K451" s="293"/>
      <c r="L451" s="293"/>
      <c r="M451" s="279"/>
      <c r="N451" s="279"/>
      <c r="O451" s="279"/>
      <c r="P451" s="291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</row>
    <row r="452" spans="1:28" ht="15.75" customHeight="1" x14ac:dyDescent="0.25">
      <c r="A452" s="35"/>
      <c r="B452" s="246"/>
      <c r="C452" s="35"/>
      <c r="D452" s="35"/>
      <c r="E452" s="20"/>
      <c r="F452" s="20"/>
      <c r="G452" s="20"/>
      <c r="H452" s="257"/>
      <c r="I452" s="293"/>
      <c r="J452" s="293"/>
      <c r="K452" s="293"/>
      <c r="L452" s="293"/>
      <c r="M452" s="279"/>
      <c r="N452" s="279"/>
      <c r="O452" s="279"/>
      <c r="P452" s="291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</row>
    <row r="453" spans="1:28" ht="15.75" customHeight="1" x14ac:dyDescent="0.25">
      <c r="A453" s="35"/>
      <c r="B453" s="246"/>
      <c r="C453" s="35"/>
      <c r="D453" s="35"/>
      <c r="E453" s="20"/>
      <c r="F453" s="20"/>
      <c r="G453" s="20"/>
      <c r="H453" s="257"/>
      <c r="I453" s="293"/>
      <c r="J453" s="293"/>
      <c r="K453" s="293"/>
      <c r="L453" s="293"/>
      <c r="M453" s="279"/>
      <c r="N453" s="279"/>
      <c r="O453" s="279"/>
      <c r="P453" s="291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</row>
    <row r="454" spans="1:28" ht="15.75" customHeight="1" x14ac:dyDescent="0.25">
      <c r="A454" s="35"/>
      <c r="B454" s="246"/>
      <c r="C454" s="35"/>
      <c r="D454" s="35"/>
      <c r="E454" s="20"/>
      <c r="F454" s="20"/>
      <c r="G454" s="20"/>
      <c r="H454" s="257"/>
      <c r="I454" s="293"/>
      <c r="J454" s="293"/>
      <c r="K454" s="293"/>
      <c r="L454" s="293"/>
      <c r="M454" s="279"/>
      <c r="N454" s="279"/>
      <c r="O454" s="279"/>
      <c r="P454" s="291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</row>
    <row r="455" spans="1:28" ht="15.75" customHeight="1" x14ac:dyDescent="0.25">
      <c r="A455" s="35"/>
      <c r="B455" s="246"/>
      <c r="C455" s="35"/>
      <c r="D455" s="35"/>
      <c r="E455" s="20"/>
      <c r="F455" s="20"/>
      <c r="G455" s="20"/>
      <c r="H455" s="257"/>
      <c r="I455" s="293"/>
      <c r="J455" s="293"/>
      <c r="K455" s="293"/>
      <c r="L455" s="293"/>
      <c r="M455" s="279"/>
      <c r="N455" s="279"/>
      <c r="O455" s="279"/>
      <c r="P455" s="291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</row>
    <row r="456" spans="1:28" ht="15.75" customHeight="1" x14ac:dyDescent="0.25">
      <c r="A456" s="35"/>
      <c r="B456" s="246"/>
      <c r="C456" s="35"/>
      <c r="D456" s="35"/>
      <c r="E456" s="20"/>
      <c r="F456" s="20"/>
      <c r="G456" s="20"/>
      <c r="H456" s="257"/>
      <c r="I456" s="293"/>
      <c r="J456" s="293"/>
      <c r="K456" s="293"/>
      <c r="L456" s="293"/>
      <c r="M456" s="279"/>
      <c r="N456" s="279"/>
      <c r="O456" s="279"/>
      <c r="P456" s="291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</row>
    <row r="457" spans="1:28" ht="15.75" customHeight="1" x14ac:dyDescent="0.25">
      <c r="A457" s="35"/>
      <c r="B457" s="246"/>
      <c r="C457" s="35"/>
      <c r="D457" s="35"/>
      <c r="E457" s="20"/>
      <c r="F457" s="20"/>
      <c r="G457" s="20"/>
      <c r="H457" s="257"/>
      <c r="I457" s="293"/>
      <c r="J457" s="293"/>
      <c r="K457" s="293"/>
      <c r="L457" s="293"/>
      <c r="M457" s="279"/>
      <c r="N457" s="279"/>
      <c r="O457" s="279"/>
      <c r="P457" s="291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</row>
    <row r="458" spans="1:28" ht="15.75" customHeight="1" x14ac:dyDescent="0.25">
      <c r="A458" s="35"/>
      <c r="B458" s="246"/>
      <c r="C458" s="35"/>
      <c r="D458" s="35"/>
      <c r="E458" s="20"/>
      <c r="F458" s="20"/>
      <c r="G458" s="20"/>
      <c r="H458" s="257"/>
      <c r="I458" s="293"/>
      <c r="J458" s="293"/>
      <c r="K458" s="293"/>
      <c r="L458" s="293"/>
      <c r="M458" s="279"/>
      <c r="N458" s="279"/>
      <c r="O458" s="279"/>
      <c r="P458" s="291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</row>
    <row r="459" spans="1:28" ht="15.75" customHeight="1" x14ac:dyDescent="0.25">
      <c r="A459" s="35"/>
      <c r="B459" s="246"/>
      <c r="C459" s="35"/>
      <c r="D459" s="35"/>
      <c r="E459" s="20"/>
      <c r="F459" s="20"/>
      <c r="G459" s="20"/>
      <c r="H459" s="257"/>
      <c r="I459" s="293"/>
      <c r="J459" s="293"/>
      <c r="K459" s="293"/>
      <c r="L459" s="293"/>
      <c r="M459" s="279"/>
      <c r="N459" s="279"/>
      <c r="O459" s="279"/>
      <c r="P459" s="291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</row>
    <row r="460" spans="1:28" ht="15.75" customHeight="1" x14ac:dyDescent="0.25">
      <c r="A460" s="35"/>
      <c r="B460" s="246"/>
      <c r="C460" s="35"/>
      <c r="D460" s="35"/>
      <c r="E460" s="20"/>
      <c r="F460" s="20"/>
      <c r="G460" s="20"/>
      <c r="H460" s="257"/>
      <c r="I460" s="293"/>
      <c r="J460" s="293"/>
      <c r="K460" s="293"/>
      <c r="L460" s="293"/>
      <c r="M460" s="279"/>
      <c r="N460" s="279"/>
      <c r="O460" s="279"/>
      <c r="P460" s="291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</row>
    <row r="461" spans="1:28" ht="15.75" customHeight="1" x14ac:dyDescent="0.25">
      <c r="A461" s="35"/>
      <c r="B461" s="246"/>
      <c r="C461" s="35"/>
      <c r="D461" s="35"/>
      <c r="E461" s="20"/>
      <c r="F461" s="20"/>
      <c r="G461" s="20"/>
      <c r="H461" s="257"/>
      <c r="I461" s="293"/>
      <c r="J461" s="293"/>
      <c r="K461" s="293"/>
      <c r="L461" s="293"/>
      <c r="M461" s="279"/>
      <c r="N461" s="279"/>
      <c r="O461" s="279"/>
      <c r="P461" s="291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</row>
    <row r="462" spans="1:28" ht="15.75" customHeight="1" x14ac:dyDescent="0.25">
      <c r="A462" s="35"/>
      <c r="B462" s="246"/>
      <c r="C462" s="35"/>
      <c r="D462" s="35"/>
      <c r="E462" s="20"/>
      <c r="F462" s="20"/>
      <c r="G462" s="20"/>
      <c r="H462" s="257"/>
      <c r="I462" s="293"/>
      <c r="J462" s="293"/>
      <c r="K462" s="293"/>
      <c r="L462" s="293"/>
      <c r="M462" s="279"/>
      <c r="N462" s="279"/>
      <c r="O462" s="279"/>
      <c r="P462" s="291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</row>
    <row r="463" spans="1:28" ht="15.75" customHeight="1" x14ac:dyDescent="0.25">
      <c r="A463" s="35"/>
      <c r="B463" s="246"/>
      <c r="C463" s="35"/>
      <c r="D463" s="35"/>
      <c r="E463" s="20"/>
      <c r="F463" s="20"/>
      <c r="G463" s="20"/>
      <c r="H463" s="257"/>
      <c r="I463" s="293"/>
      <c r="J463" s="293"/>
      <c r="K463" s="293"/>
      <c r="L463" s="293"/>
      <c r="M463" s="279"/>
      <c r="N463" s="279"/>
      <c r="O463" s="279"/>
      <c r="P463" s="291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</row>
    <row r="464" spans="1:28" ht="15.75" customHeight="1" x14ac:dyDescent="0.25">
      <c r="A464" s="35"/>
      <c r="B464" s="246"/>
      <c r="C464" s="35"/>
      <c r="D464" s="35"/>
      <c r="E464" s="20"/>
      <c r="F464" s="20"/>
      <c r="G464" s="20"/>
      <c r="H464" s="257"/>
      <c r="I464" s="293"/>
      <c r="J464" s="293"/>
      <c r="K464" s="293"/>
      <c r="L464" s="293"/>
      <c r="M464" s="279"/>
      <c r="N464" s="279"/>
      <c r="O464" s="279"/>
      <c r="P464" s="291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</row>
    <row r="465" spans="1:28" ht="15.75" customHeight="1" x14ac:dyDescent="0.25">
      <c r="A465" s="35"/>
      <c r="B465" s="246"/>
      <c r="C465" s="35"/>
      <c r="D465" s="35"/>
      <c r="E465" s="20"/>
      <c r="F465" s="20"/>
      <c r="G465" s="20"/>
      <c r="H465" s="257"/>
      <c r="I465" s="293"/>
      <c r="J465" s="293"/>
      <c r="K465" s="293"/>
      <c r="L465" s="293"/>
      <c r="M465" s="279"/>
      <c r="N465" s="279"/>
      <c r="O465" s="279"/>
      <c r="P465" s="291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</row>
    <row r="466" spans="1:28" ht="15.75" customHeight="1" x14ac:dyDescent="0.25">
      <c r="A466" s="35"/>
      <c r="B466" s="246"/>
      <c r="C466" s="35"/>
      <c r="D466" s="35"/>
      <c r="E466" s="20"/>
      <c r="F466" s="20"/>
      <c r="G466" s="20"/>
      <c r="H466" s="257"/>
      <c r="I466" s="293"/>
      <c r="J466" s="293"/>
      <c r="K466" s="293"/>
      <c r="L466" s="293"/>
      <c r="M466" s="279"/>
      <c r="N466" s="279"/>
      <c r="O466" s="279"/>
      <c r="P466" s="291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</row>
    <row r="467" spans="1:28" ht="15.75" customHeight="1" x14ac:dyDescent="0.25">
      <c r="A467" s="35"/>
      <c r="B467" s="246"/>
      <c r="C467" s="35"/>
      <c r="D467" s="35"/>
      <c r="E467" s="20"/>
      <c r="F467" s="20"/>
      <c r="G467" s="20"/>
      <c r="H467" s="257"/>
      <c r="I467" s="293"/>
      <c r="J467" s="293"/>
      <c r="K467" s="293"/>
      <c r="L467" s="293"/>
      <c r="M467" s="279"/>
      <c r="N467" s="279"/>
      <c r="O467" s="279"/>
      <c r="P467" s="291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</row>
    <row r="468" spans="1:28" ht="15.75" customHeight="1" x14ac:dyDescent="0.25">
      <c r="A468" s="35"/>
      <c r="B468" s="246"/>
      <c r="C468" s="35"/>
      <c r="D468" s="35"/>
      <c r="E468" s="20"/>
      <c r="F468" s="20"/>
      <c r="G468" s="20"/>
      <c r="H468" s="257"/>
      <c r="I468" s="293"/>
      <c r="J468" s="293"/>
      <c r="K468" s="293"/>
      <c r="L468" s="293"/>
      <c r="M468" s="279"/>
      <c r="N468" s="279"/>
      <c r="O468" s="279"/>
      <c r="P468" s="291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</row>
    <row r="469" spans="1:28" ht="15.75" customHeight="1" x14ac:dyDescent="0.25">
      <c r="A469" s="35"/>
      <c r="B469" s="246"/>
      <c r="C469" s="35"/>
      <c r="D469" s="35"/>
      <c r="E469" s="20"/>
      <c r="F469" s="20"/>
      <c r="G469" s="20"/>
      <c r="H469" s="257"/>
      <c r="I469" s="293"/>
      <c r="J469" s="293"/>
      <c r="K469" s="293"/>
      <c r="L469" s="293"/>
      <c r="M469" s="279"/>
      <c r="N469" s="279"/>
      <c r="O469" s="279"/>
      <c r="P469" s="291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</row>
    <row r="470" spans="1:28" ht="15.75" customHeight="1" x14ac:dyDescent="0.25">
      <c r="A470" s="35"/>
      <c r="B470" s="246"/>
      <c r="C470" s="35"/>
      <c r="D470" s="35"/>
      <c r="E470" s="20"/>
      <c r="F470" s="20"/>
      <c r="G470" s="20"/>
      <c r="H470" s="257"/>
      <c r="I470" s="293"/>
      <c r="J470" s="293"/>
      <c r="K470" s="293"/>
      <c r="L470" s="293"/>
      <c r="M470" s="279"/>
      <c r="N470" s="279"/>
      <c r="O470" s="279"/>
      <c r="P470" s="291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</row>
    <row r="471" spans="1:28" ht="15.75" customHeight="1" x14ac:dyDescent="0.25">
      <c r="A471" s="35"/>
      <c r="B471" s="246"/>
      <c r="C471" s="35"/>
      <c r="D471" s="35"/>
      <c r="E471" s="20"/>
      <c r="F471" s="20"/>
      <c r="G471" s="20"/>
      <c r="H471" s="257"/>
      <c r="I471" s="293"/>
      <c r="J471" s="293"/>
      <c r="K471" s="293"/>
      <c r="L471" s="293"/>
      <c r="M471" s="279"/>
      <c r="N471" s="279"/>
      <c r="O471" s="279"/>
      <c r="P471" s="291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</row>
    <row r="472" spans="1:28" ht="15.75" customHeight="1" x14ac:dyDescent="0.25">
      <c r="A472" s="35"/>
      <c r="B472" s="246"/>
      <c r="C472" s="35"/>
      <c r="D472" s="35"/>
      <c r="E472" s="20"/>
      <c r="F472" s="20"/>
      <c r="G472" s="20"/>
      <c r="H472" s="257"/>
      <c r="I472" s="293"/>
      <c r="J472" s="293"/>
      <c r="K472" s="293"/>
      <c r="L472" s="293"/>
      <c r="M472" s="279"/>
      <c r="N472" s="279"/>
      <c r="O472" s="279"/>
      <c r="P472" s="291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</row>
    <row r="473" spans="1:28" ht="15.75" customHeight="1" x14ac:dyDescent="0.25">
      <c r="A473" s="35"/>
      <c r="B473" s="246"/>
      <c r="C473" s="35"/>
      <c r="D473" s="35"/>
      <c r="E473" s="20"/>
      <c r="F473" s="20"/>
      <c r="G473" s="20"/>
      <c r="H473" s="257"/>
      <c r="I473" s="293"/>
      <c r="J473" s="293"/>
      <c r="K473" s="293"/>
      <c r="L473" s="293"/>
      <c r="M473" s="279"/>
      <c r="N473" s="279"/>
      <c r="O473" s="279"/>
      <c r="P473" s="291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</row>
    <row r="474" spans="1:28" ht="15.75" customHeight="1" x14ac:dyDescent="0.25">
      <c r="A474" s="35"/>
      <c r="B474" s="246"/>
      <c r="C474" s="35"/>
      <c r="D474" s="35"/>
      <c r="E474" s="20"/>
      <c r="F474" s="20"/>
      <c r="G474" s="20"/>
      <c r="H474" s="257"/>
      <c r="I474" s="293"/>
      <c r="J474" s="293"/>
      <c r="K474" s="293"/>
      <c r="L474" s="293"/>
      <c r="M474" s="279"/>
      <c r="N474" s="279"/>
      <c r="O474" s="279"/>
      <c r="P474" s="291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</row>
    <row r="475" spans="1:28" ht="15.75" customHeight="1" x14ac:dyDescent="0.25">
      <c r="A475" s="35"/>
      <c r="B475" s="246"/>
      <c r="C475" s="35"/>
      <c r="D475" s="35"/>
      <c r="E475" s="20"/>
      <c r="F475" s="20"/>
      <c r="G475" s="20"/>
      <c r="H475" s="257"/>
      <c r="I475" s="293"/>
      <c r="J475" s="293"/>
      <c r="K475" s="293"/>
      <c r="L475" s="293"/>
      <c r="M475" s="279"/>
      <c r="N475" s="279"/>
      <c r="O475" s="279"/>
      <c r="P475" s="291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</row>
    <row r="476" spans="1:28" ht="15.75" customHeight="1" x14ac:dyDescent="0.25">
      <c r="A476" s="35"/>
      <c r="B476" s="246"/>
      <c r="C476" s="35"/>
      <c r="D476" s="35"/>
      <c r="E476" s="20"/>
      <c r="F476" s="20"/>
      <c r="G476" s="20"/>
      <c r="H476" s="257"/>
      <c r="I476" s="293"/>
      <c r="J476" s="293"/>
      <c r="K476" s="293"/>
      <c r="L476" s="293"/>
      <c r="M476" s="279"/>
      <c r="N476" s="279"/>
      <c r="O476" s="279"/>
      <c r="P476" s="291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</row>
    <row r="477" spans="1:28" ht="15.75" customHeight="1" x14ac:dyDescent="0.25">
      <c r="A477" s="35"/>
      <c r="B477" s="246"/>
      <c r="C477" s="35"/>
      <c r="D477" s="35"/>
      <c r="E477" s="20"/>
      <c r="F477" s="20"/>
      <c r="G477" s="20"/>
      <c r="H477" s="257"/>
      <c r="I477" s="293"/>
      <c r="J477" s="293"/>
      <c r="K477" s="293"/>
      <c r="L477" s="293"/>
      <c r="M477" s="279"/>
      <c r="N477" s="279"/>
      <c r="O477" s="279"/>
      <c r="P477" s="291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</row>
    <row r="478" spans="1:28" ht="15.75" customHeight="1" x14ac:dyDescent="0.25">
      <c r="A478" s="35"/>
      <c r="B478" s="246"/>
      <c r="C478" s="35"/>
      <c r="D478" s="35"/>
      <c r="E478" s="20"/>
      <c r="F478" s="20"/>
      <c r="G478" s="20"/>
      <c r="H478" s="257"/>
      <c r="I478" s="293"/>
      <c r="J478" s="293"/>
      <c r="K478" s="293"/>
      <c r="L478" s="293"/>
      <c r="M478" s="279"/>
      <c r="N478" s="279"/>
      <c r="O478" s="279"/>
      <c r="P478" s="291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</row>
    <row r="479" spans="1:28" ht="15.75" customHeight="1" x14ac:dyDescent="0.25">
      <c r="A479" s="35"/>
      <c r="B479" s="246"/>
      <c r="C479" s="35"/>
      <c r="D479" s="35"/>
      <c r="E479" s="20"/>
      <c r="F479" s="20"/>
      <c r="G479" s="20"/>
      <c r="H479" s="257"/>
      <c r="I479" s="293"/>
      <c r="J479" s="293"/>
      <c r="K479" s="293"/>
      <c r="L479" s="293"/>
      <c r="M479" s="279"/>
      <c r="N479" s="279"/>
      <c r="O479" s="279"/>
      <c r="P479" s="291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</row>
    <row r="480" spans="1:28" ht="15.75" customHeight="1" x14ac:dyDescent="0.25">
      <c r="A480" s="35"/>
      <c r="B480" s="246"/>
      <c r="C480" s="35"/>
      <c r="D480" s="35"/>
      <c r="E480" s="20"/>
      <c r="F480" s="20"/>
      <c r="G480" s="20"/>
      <c r="H480" s="257"/>
      <c r="I480" s="293"/>
      <c r="J480" s="293"/>
      <c r="K480" s="293"/>
      <c r="L480" s="293"/>
      <c r="M480" s="279"/>
      <c r="N480" s="279"/>
      <c r="O480" s="279"/>
      <c r="P480" s="291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</row>
    <row r="481" spans="1:28" ht="15.75" customHeight="1" x14ac:dyDescent="0.25">
      <c r="A481" s="35"/>
      <c r="B481" s="246"/>
      <c r="C481" s="35"/>
      <c r="D481" s="35"/>
      <c r="E481" s="20"/>
      <c r="F481" s="20"/>
      <c r="G481" s="20"/>
      <c r="H481" s="257"/>
      <c r="I481" s="293"/>
      <c r="J481" s="293"/>
      <c r="K481" s="293"/>
      <c r="L481" s="293"/>
      <c r="M481" s="279"/>
      <c r="N481" s="279"/>
      <c r="O481" s="279"/>
      <c r="P481" s="291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</row>
    <row r="482" spans="1:28" ht="15.75" customHeight="1" x14ac:dyDescent="0.25">
      <c r="A482" s="35"/>
      <c r="B482" s="246"/>
      <c r="C482" s="35"/>
      <c r="D482" s="35"/>
      <c r="E482" s="20"/>
      <c r="F482" s="20"/>
      <c r="G482" s="20"/>
      <c r="H482" s="257"/>
      <c r="I482" s="293"/>
      <c r="J482" s="293"/>
      <c r="K482" s="293"/>
      <c r="L482" s="293"/>
      <c r="M482" s="279"/>
      <c r="N482" s="279"/>
      <c r="O482" s="279"/>
      <c r="P482" s="291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</row>
    <row r="483" spans="1:28" ht="15.75" customHeight="1" x14ac:dyDescent="0.25">
      <c r="A483" s="35"/>
      <c r="B483" s="246"/>
      <c r="C483" s="35"/>
      <c r="D483" s="35"/>
      <c r="E483" s="20"/>
      <c r="F483" s="20"/>
      <c r="G483" s="20"/>
      <c r="H483" s="257"/>
      <c r="I483" s="293"/>
      <c r="J483" s="293"/>
      <c r="K483" s="293"/>
      <c r="L483" s="293"/>
      <c r="M483" s="279"/>
      <c r="N483" s="279"/>
      <c r="O483" s="279"/>
      <c r="P483" s="291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</row>
    <row r="484" spans="1:28" ht="15.75" customHeight="1" x14ac:dyDescent="0.25">
      <c r="A484" s="35"/>
      <c r="B484" s="246"/>
      <c r="C484" s="35"/>
      <c r="D484" s="35"/>
      <c r="E484" s="20"/>
      <c r="F484" s="20"/>
      <c r="G484" s="20"/>
      <c r="H484" s="257"/>
      <c r="I484" s="293"/>
      <c r="J484" s="293"/>
      <c r="K484" s="293"/>
      <c r="L484" s="293"/>
      <c r="M484" s="279"/>
      <c r="N484" s="279"/>
      <c r="O484" s="279"/>
      <c r="P484" s="291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</row>
    <row r="485" spans="1:28" ht="15.75" customHeight="1" x14ac:dyDescent="0.25">
      <c r="A485" s="35"/>
      <c r="B485" s="246"/>
      <c r="C485" s="35"/>
      <c r="D485" s="35"/>
      <c r="E485" s="20"/>
      <c r="F485" s="20"/>
      <c r="G485" s="20"/>
      <c r="H485" s="257"/>
      <c r="I485" s="293"/>
      <c r="J485" s="293"/>
      <c r="K485" s="293"/>
      <c r="L485" s="293"/>
      <c r="M485" s="279"/>
      <c r="N485" s="279"/>
      <c r="O485" s="279"/>
      <c r="P485" s="291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</row>
    <row r="486" spans="1:28" ht="15.75" customHeight="1" x14ac:dyDescent="0.25">
      <c r="A486" s="35"/>
      <c r="B486" s="246"/>
      <c r="C486" s="35"/>
      <c r="D486" s="35"/>
      <c r="E486" s="20"/>
      <c r="F486" s="20"/>
      <c r="G486" s="20"/>
      <c r="H486" s="257"/>
      <c r="I486" s="293"/>
      <c r="J486" s="293"/>
      <c r="K486" s="293"/>
      <c r="L486" s="293"/>
      <c r="M486" s="279"/>
      <c r="N486" s="279"/>
      <c r="O486" s="279"/>
      <c r="P486" s="291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</row>
    <row r="487" spans="1:28" ht="15.75" customHeight="1" x14ac:dyDescent="0.25">
      <c r="A487" s="35"/>
      <c r="B487" s="246"/>
      <c r="C487" s="35"/>
      <c r="D487" s="35"/>
      <c r="E487" s="20"/>
      <c r="F487" s="20"/>
      <c r="G487" s="20"/>
      <c r="H487" s="257"/>
      <c r="I487" s="293"/>
      <c r="J487" s="293"/>
      <c r="K487" s="293"/>
      <c r="L487" s="293"/>
      <c r="M487" s="279"/>
      <c r="N487" s="279"/>
      <c r="O487" s="279"/>
      <c r="P487" s="291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</row>
    <row r="488" spans="1:28" ht="15.75" customHeight="1" x14ac:dyDescent="0.25">
      <c r="A488" s="35"/>
      <c r="B488" s="246"/>
      <c r="C488" s="35"/>
      <c r="D488" s="35"/>
      <c r="E488" s="20"/>
      <c r="F488" s="20"/>
      <c r="G488" s="20"/>
      <c r="H488" s="257"/>
      <c r="I488" s="293"/>
      <c r="J488" s="293"/>
      <c r="K488" s="293"/>
      <c r="L488" s="293"/>
      <c r="M488" s="279"/>
      <c r="N488" s="279"/>
      <c r="O488" s="279"/>
      <c r="P488" s="291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</row>
    <row r="489" spans="1:28" ht="15.75" customHeight="1" x14ac:dyDescent="0.25">
      <c r="A489" s="35"/>
      <c r="B489" s="246"/>
      <c r="C489" s="35"/>
      <c r="D489" s="35"/>
      <c r="E489" s="20"/>
      <c r="F489" s="20"/>
      <c r="G489" s="20"/>
      <c r="H489" s="257"/>
      <c r="I489" s="293"/>
      <c r="J489" s="293"/>
      <c r="K489" s="293"/>
      <c r="L489" s="293"/>
      <c r="M489" s="279"/>
      <c r="N489" s="279"/>
      <c r="O489" s="279"/>
      <c r="P489" s="291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</row>
    <row r="490" spans="1:28" ht="15.75" customHeight="1" x14ac:dyDescent="0.25">
      <c r="A490" s="35"/>
      <c r="B490" s="246"/>
      <c r="C490" s="35"/>
      <c r="D490" s="35"/>
      <c r="E490" s="20"/>
      <c r="F490" s="20"/>
      <c r="G490" s="20"/>
      <c r="H490" s="257"/>
      <c r="I490" s="293"/>
      <c r="J490" s="293"/>
      <c r="K490" s="293"/>
      <c r="L490" s="293"/>
      <c r="M490" s="279"/>
      <c r="N490" s="279"/>
      <c r="O490" s="279"/>
      <c r="P490" s="291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</row>
    <row r="491" spans="1:28" ht="15.75" customHeight="1" x14ac:dyDescent="0.25">
      <c r="A491" s="35"/>
      <c r="B491" s="246"/>
      <c r="C491" s="35"/>
      <c r="D491" s="35"/>
      <c r="E491" s="20"/>
      <c r="F491" s="20"/>
      <c r="G491" s="20"/>
      <c r="H491" s="257"/>
      <c r="I491" s="293"/>
      <c r="J491" s="293"/>
      <c r="K491" s="293"/>
      <c r="L491" s="293"/>
      <c r="M491" s="279"/>
      <c r="N491" s="279"/>
      <c r="O491" s="279"/>
      <c r="P491" s="291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</row>
    <row r="492" spans="1:28" ht="15.75" customHeight="1" x14ac:dyDescent="0.25">
      <c r="A492" s="35"/>
      <c r="B492" s="246"/>
      <c r="C492" s="35"/>
      <c r="D492" s="35"/>
      <c r="E492" s="20"/>
      <c r="F492" s="20"/>
      <c r="G492" s="20"/>
      <c r="H492" s="257"/>
      <c r="I492" s="293"/>
      <c r="J492" s="293"/>
      <c r="K492" s="293"/>
      <c r="L492" s="293"/>
      <c r="M492" s="279"/>
      <c r="N492" s="279"/>
      <c r="O492" s="279"/>
      <c r="P492" s="291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</row>
    <row r="493" spans="1:28" ht="15.75" customHeight="1" x14ac:dyDescent="0.25">
      <c r="A493" s="35"/>
      <c r="B493" s="246"/>
      <c r="C493" s="35"/>
      <c r="D493" s="35"/>
      <c r="E493" s="20"/>
      <c r="F493" s="20"/>
      <c r="G493" s="20"/>
      <c r="H493" s="257"/>
      <c r="I493" s="293"/>
      <c r="J493" s="293"/>
      <c r="K493" s="293"/>
      <c r="L493" s="293"/>
      <c r="M493" s="279"/>
      <c r="N493" s="279"/>
      <c r="O493" s="279"/>
      <c r="P493" s="291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</row>
    <row r="494" spans="1:28" ht="15.75" customHeight="1" x14ac:dyDescent="0.25">
      <c r="A494" s="35"/>
      <c r="B494" s="246"/>
      <c r="C494" s="35"/>
      <c r="D494" s="35"/>
      <c r="E494" s="20"/>
      <c r="F494" s="20"/>
      <c r="G494" s="20"/>
      <c r="H494" s="257"/>
      <c r="I494" s="293"/>
      <c r="J494" s="293"/>
      <c r="K494" s="293"/>
      <c r="L494" s="293"/>
      <c r="M494" s="279"/>
      <c r="N494" s="279"/>
      <c r="O494" s="279"/>
      <c r="P494" s="291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</row>
    <row r="495" spans="1:28" ht="15.75" customHeight="1" x14ac:dyDescent="0.25">
      <c r="A495" s="35"/>
      <c r="B495" s="246"/>
      <c r="C495" s="35"/>
      <c r="D495" s="35"/>
      <c r="E495" s="20"/>
      <c r="F495" s="20"/>
      <c r="G495" s="20"/>
      <c r="H495" s="257"/>
      <c r="I495" s="293"/>
      <c r="J495" s="293"/>
      <c r="K495" s="293"/>
      <c r="L495" s="293"/>
      <c r="M495" s="279"/>
      <c r="N495" s="279"/>
      <c r="O495" s="279"/>
      <c r="P495" s="291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</row>
    <row r="496" spans="1:28" ht="15.75" customHeight="1" x14ac:dyDescent="0.25">
      <c r="A496" s="35"/>
      <c r="B496" s="246"/>
      <c r="C496" s="35"/>
      <c r="D496" s="35"/>
      <c r="E496" s="20"/>
      <c r="F496" s="20"/>
      <c r="G496" s="20"/>
      <c r="H496" s="257"/>
      <c r="I496" s="293"/>
      <c r="J496" s="293"/>
      <c r="K496" s="293"/>
      <c r="L496" s="293"/>
      <c r="M496" s="279"/>
      <c r="N496" s="279"/>
      <c r="O496" s="279"/>
      <c r="P496" s="291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</row>
    <row r="497" spans="1:28" ht="15.75" customHeight="1" x14ac:dyDescent="0.25">
      <c r="A497" s="35"/>
      <c r="B497" s="246"/>
      <c r="C497" s="35"/>
      <c r="D497" s="35"/>
      <c r="E497" s="20"/>
      <c r="F497" s="20"/>
      <c r="G497" s="20"/>
      <c r="H497" s="257"/>
      <c r="I497" s="293"/>
      <c r="J497" s="293"/>
      <c r="K497" s="293"/>
      <c r="L497" s="293"/>
      <c r="M497" s="279"/>
      <c r="N497" s="279"/>
      <c r="O497" s="279"/>
      <c r="P497" s="291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</row>
    <row r="498" spans="1:28" ht="15.75" customHeight="1" x14ac:dyDescent="0.25">
      <c r="A498" s="35"/>
      <c r="B498" s="246"/>
      <c r="C498" s="35"/>
      <c r="D498" s="35"/>
      <c r="E498" s="20"/>
      <c r="F498" s="20"/>
      <c r="G498" s="20"/>
      <c r="H498" s="257"/>
      <c r="I498" s="293"/>
      <c r="J498" s="293"/>
      <c r="K498" s="293"/>
      <c r="L498" s="293"/>
      <c r="M498" s="279"/>
      <c r="N498" s="279"/>
      <c r="O498" s="279"/>
      <c r="P498" s="291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</row>
    <row r="499" spans="1:28" ht="15.75" customHeight="1" x14ac:dyDescent="0.25">
      <c r="A499" s="35"/>
      <c r="B499" s="246"/>
      <c r="C499" s="35"/>
      <c r="D499" s="35"/>
      <c r="E499" s="20"/>
      <c r="F499" s="20"/>
      <c r="G499" s="20"/>
      <c r="H499" s="257"/>
      <c r="I499" s="293"/>
      <c r="J499" s="293"/>
      <c r="K499" s="293"/>
      <c r="L499" s="293"/>
      <c r="M499" s="279"/>
      <c r="N499" s="279"/>
      <c r="O499" s="279"/>
      <c r="P499" s="291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</row>
    <row r="500" spans="1:28" ht="15.75" customHeight="1" x14ac:dyDescent="0.25">
      <c r="A500" s="35"/>
      <c r="B500" s="246"/>
      <c r="C500" s="35"/>
      <c r="D500" s="35"/>
      <c r="E500" s="20"/>
      <c r="F500" s="20"/>
      <c r="G500" s="20"/>
      <c r="H500" s="257"/>
      <c r="I500" s="293"/>
      <c r="J500" s="293"/>
      <c r="K500" s="293"/>
      <c r="L500" s="293"/>
      <c r="M500" s="279"/>
      <c r="N500" s="279"/>
      <c r="O500" s="279"/>
      <c r="P500" s="291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</row>
    <row r="501" spans="1:28" ht="15.75" customHeight="1" x14ac:dyDescent="0.25">
      <c r="A501" s="35"/>
      <c r="B501" s="246"/>
      <c r="C501" s="35"/>
      <c r="D501" s="35"/>
      <c r="E501" s="20"/>
      <c r="F501" s="20"/>
      <c r="G501" s="20"/>
      <c r="H501" s="257"/>
      <c r="I501" s="293"/>
      <c r="J501" s="293"/>
      <c r="K501" s="293"/>
      <c r="L501" s="293"/>
      <c r="M501" s="279"/>
      <c r="N501" s="279"/>
      <c r="O501" s="279"/>
      <c r="P501" s="291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</row>
    <row r="502" spans="1:28" ht="15.75" customHeight="1" x14ac:dyDescent="0.25">
      <c r="A502" s="35"/>
      <c r="B502" s="246"/>
      <c r="C502" s="35"/>
      <c r="D502" s="35"/>
      <c r="E502" s="20"/>
      <c r="F502" s="20"/>
      <c r="G502" s="20"/>
      <c r="H502" s="257"/>
      <c r="I502" s="293"/>
      <c r="J502" s="293"/>
      <c r="K502" s="293"/>
      <c r="L502" s="293"/>
      <c r="M502" s="279"/>
      <c r="N502" s="279"/>
      <c r="O502" s="279"/>
      <c r="P502" s="291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</row>
    <row r="503" spans="1:28" ht="15.75" customHeight="1" x14ac:dyDescent="0.25">
      <c r="A503" s="35"/>
      <c r="B503" s="246"/>
      <c r="C503" s="35"/>
      <c r="D503" s="35"/>
      <c r="E503" s="20"/>
      <c r="F503" s="20"/>
      <c r="G503" s="20"/>
      <c r="H503" s="257"/>
      <c r="I503" s="293"/>
      <c r="J503" s="293"/>
      <c r="K503" s="293"/>
      <c r="L503" s="293"/>
      <c r="M503" s="279"/>
      <c r="N503" s="279"/>
      <c r="O503" s="279"/>
      <c r="P503" s="291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</row>
    <row r="504" spans="1:28" ht="15.75" customHeight="1" x14ac:dyDescent="0.25">
      <c r="A504" s="35"/>
      <c r="B504" s="246"/>
      <c r="C504" s="35"/>
      <c r="D504" s="35"/>
      <c r="E504" s="20"/>
      <c r="F504" s="20"/>
      <c r="G504" s="20"/>
      <c r="H504" s="257"/>
      <c r="I504" s="293"/>
      <c r="J504" s="293"/>
      <c r="K504" s="293"/>
      <c r="L504" s="293"/>
      <c r="M504" s="279"/>
      <c r="N504" s="279"/>
      <c r="O504" s="279"/>
      <c r="P504" s="291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</row>
    <row r="505" spans="1:28" ht="15.75" customHeight="1" x14ac:dyDescent="0.25">
      <c r="A505" s="35"/>
      <c r="B505" s="246"/>
      <c r="C505" s="35"/>
      <c r="D505" s="35"/>
      <c r="E505" s="20"/>
      <c r="F505" s="20"/>
      <c r="G505" s="20"/>
      <c r="H505" s="257"/>
      <c r="I505" s="293"/>
      <c r="J505" s="293"/>
      <c r="K505" s="293"/>
      <c r="L505" s="293"/>
      <c r="M505" s="279"/>
      <c r="N505" s="279"/>
      <c r="O505" s="279"/>
      <c r="P505" s="291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</row>
    <row r="506" spans="1:28" ht="15.75" customHeight="1" x14ac:dyDescent="0.25">
      <c r="A506" s="35"/>
      <c r="B506" s="246"/>
      <c r="C506" s="35"/>
      <c r="D506" s="35"/>
      <c r="E506" s="20"/>
      <c r="F506" s="20"/>
      <c r="G506" s="20"/>
      <c r="H506" s="257"/>
      <c r="I506" s="293"/>
      <c r="J506" s="293"/>
      <c r="K506" s="293"/>
      <c r="L506" s="293"/>
      <c r="M506" s="279"/>
      <c r="N506" s="279"/>
      <c r="O506" s="279"/>
      <c r="P506" s="291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</row>
    <row r="507" spans="1:28" ht="15.75" customHeight="1" x14ac:dyDescent="0.25">
      <c r="A507" s="35"/>
      <c r="B507" s="246"/>
      <c r="C507" s="35"/>
      <c r="D507" s="35"/>
      <c r="E507" s="20"/>
      <c r="F507" s="20"/>
      <c r="G507" s="20"/>
      <c r="H507" s="257"/>
      <c r="I507" s="293"/>
      <c r="J507" s="293"/>
      <c r="K507" s="293"/>
      <c r="L507" s="293"/>
      <c r="M507" s="279"/>
      <c r="N507" s="279"/>
      <c r="O507" s="279"/>
      <c r="P507" s="291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</row>
    <row r="508" spans="1:28" ht="15.75" customHeight="1" x14ac:dyDescent="0.25">
      <c r="A508" s="35"/>
      <c r="B508" s="246"/>
      <c r="C508" s="35"/>
      <c r="D508" s="35"/>
      <c r="E508" s="20"/>
      <c r="F508" s="20"/>
      <c r="G508" s="20"/>
      <c r="H508" s="257"/>
      <c r="I508" s="293"/>
      <c r="J508" s="293"/>
      <c r="K508" s="293"/>
      <c r="L508" s="293"/>
      <c r="M508" s="279"/>
      <c r="N508" s="279"/>
      <c r="O508" s="279"/>
      <c r="P508" s="291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</row>
    <row r="509" spans="1:28" ht="15.75" customHeight="1" x14ac:dyDescent="0.25">
      <c r="A509" s="35"/>
      <c r="B509" s="246"/>
      <c r="C509" s="35"/>
      <c r="D509" s="35"/>
      <c r="E509" s="20"/>
      <c r="F509" s="20"/>
      <c r="G509" s="20"/>
      <c r="H509" s="257"/>
      <c r="I509" s="293"/>
      <c r="J509" s="293"/>
      <c r="K509" s="293"/>
      <c r="L509" s="293"/>
      <c r="M509" s="279"/>
      <c r="N509" s="279"/>
      <c r="O509" s="279"/>
      <c r="P509" s="291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</row>
    <row r="510" spans="1:28" ht="15.75" customHeight="1" x14ac:dyDescent="0.25">
      <c r="A510" s="35"/>
      <c r="B510" s="246"/>
      <c r="C510" s="35"/>
      <c r="D510" s="35"/>
      <c r="E510" s="20"/>
      <c r="F510" s="20"/>
      <c r="G510" s="20"/>
      <c r="H510" s="257"/>
      <c r="I510" s="293"/>
      <c r="J510" s="293"/>
      <c r="K510" s="293"/>
      <c r="L510" s="293"/>
      <c r="M510" s="279"/>
      <c r="N510" s="279"/>
      <c r="O510" s="279"/>
      <c r="P510" s="291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</row>
    <row r="511" spans="1:28" ht="15.75" customHeight="1" x14ac:dyDescent="0.25">
      <c r="A511" s="35"/>
      <c r="B511" s="246"/>
      <c r="C511" s="35"/>
      <c r="D511" s="35"/>
      <c r="E511" s="20"/>
      <c r="F511" s="20"/>
      <c r="G511" s="20"/>
      <c r="H511" s="257"/>
      <c r="I511" s="293"/>
      <c r="J511" s="293"/>
      <c r="K511" s="293"/>
      <c r="L511" s="293"/>
      <c r="M511" s="279"/>
      <c r="N511" s="279"/>
      <c r="O511" s="279"/>
      <c r="P511" s="291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</row>
    <row r="512" spans="1:28" ht="15.75" customHeight="1" x14ac:dyDescent="0.25">
      <c r="A512" s="35"/>
      <c r="B512" s="246"/>
      <c r="C512" s="35"/>
      <c r="D512" s="35"/>
      <c r="E512" s="20"/>
      <c r="F512" s="20"/>
      <c r="G512" s="20"/>
      <c r="H512" s="257"/>
      <c r="I512" s="293"/>
      <c r="J512" s="293"/>
      <c r="K512" s="293"/>
      <c r="L512" s="293"/>
      <c r="M512" s="279"/>
      <c r="N512" s="279"/>
      <c r="O512" s="279"/>
      <c r="P512" s="291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</row>
    <row r="513" spans="1:28" ht="15.75" customHeight="1" x14ac:dyDescent="0.25">
      <c r="A513" s="35"/>
      <c r="B513" s="246"/>
      <c r="C513" s="35"/>
      <c r="D513" s="35"/>
      <c r="E513" s="20"/>
      <c r="F513" s="20"/>
      <c r="G513" s="20"/>
      <c r="H513" s="257"/>
      <c r="I513" s="293"/>
      <c r="J513" s="293"/>
      <c r="K513" s="293"/>
      <c r="L513" s="293"/>
      <c r="M513" s="279"/>
      <c r="N513" s="279"/>
      <c r="O513" s="279"/>
      <c r="P513" s="291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</row>
    <row r="514" spans="1:28" ht="15.75" customHeight="1" x14ac:dyDescent="0.25">
      <c r="A514" s="35"/>
      <c r="B514" s="246"/>
      <c r="C514" s="35"/>
      <c r="D514" s="35"/>
      <c r="E514" s="20"/>
      <c r="F514" s="20"/>
      <c r="G514" s="20"/>
      <c r="H514" s="257"/>
      <c r="I514" s="293"/>
      <c r="J514" s="293"/>
      <c r="K514" s="293"/>
      <c r="L514" s="293"/>
      <c r="M514" s="279"/>
      <c r="N514" s="279"/>
      <c r="O514" s="279"/>
      <c r="P514" s="291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</row>
    <row r="515" spans="1:28" ht="15.75" customHeight="1" x14ac:dyDescent="0.25">
      <c r="A515" s="35"/>
      <c r="B515" s="246"/>
      <c r="C515" s="35"/>
      <c r="D515" s="35"/>
      <c r="E515" s="20"/>
      <c r="F515" s="20"/>
      <c r="G515" s="20"/>
      <c r="H515" s="257"/>
      <c r="I515" s="293"/>
      <c r="J515" s="293"/>
      <c r="K515" s="293"/>
      <c r="L515" s="293"/>
      <c r="M515" s="279"/>
      <c r="N515" s="279"/>
      <c r="O515" s="279"/>
      <c r="P515" s="291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</row>
    <row r="516" spans="1:28" ht="15.75" customHeight="1" x14ac:dyDescent="0.25">
      <c r="A516" s="35"/>
      <c r="B516" s="246"/>
      <c r="C516" s="35"/>
      <c r="D516" s="35"/>
      <c r="E516" s="20"/>
      <c r="F516" s="20"/>
      <c r="G516" s="20"/>
      <c r="H516" s="257"/>
      <c r="I516" s="293"/>
      <c r="J516" s="293"/>
      <c r="K516" s="293"/>
      <c r="L516" s="293"/>
      <c r="M516" s="279"/>
      <c r="N516" s="279"/>
      <c r="O516" s="279"/>
      <c r="P516" s="291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</row>
    <row r="517" spans="1:28" ht="15.75" customHeight="1" x14ac:dyDescent="0.25">
      <c r="A517" s="35"/>
      <c r="B517" s="246"/>
      <c r="C517" s="35"/>
      <c r="D517" s="35"/>
      <c r="E517" s="20"/>
      <c r="F517" s="20"/>
      <c r="G517" s="20"/>
      <c r="H517" s="257"/>
      <c r="I517" s="293"/>
      <c r="J517" s="293"/>
      <c r="K517" s="293"/>
      <c r="L517" s="293"/>
      <c r="M517" s="279"/>
      <c r="N517" s="279"/>
      <c r="O517" s="279"/>
      <c r="P517" s="291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</row>
    <row r="518" spans="1:28" ht="15.75" customHeight="1" x14ac:dyDescent="0.25">
      <c r="A518" s="35"/>
      <c r="B518" s="246"/>
      <c r="C518" s="35"/>
      <c r="D518" s="35"/>
      <c r="E518" s="20"/>
      <c r="F518" s="20"/>
      <c r="G518" s="20"/>
      <c r="H518" s="257"/>
      <c r="I518" s="293"/>
      <c r="J518" s="293"/>
      <c r="K518" s="293"/>
      <c r="L518" s="293"/>
      <c r="M518" s="279"/>
      <c r="N518" s="279"/>
      <c r="O518" s="279"/>
      <c r="P518" s="291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</row>
    <row r="519" spans="1:28" ht="15.75" customHeight="1" x14ac:dyDescent="0.25">
      <c r="A519" s="35"/>
      <c r="B519" s="246"/>
      <c r="C519" s="35"/>
      <c r="D519" s="35"/>
      <c r="E519" s="20"/>
      <c r="F519" s="20"/>
      <c r="G519" s="20"/>
      <c r="H519" s="257"/>
      <c r="I519" s="293"/>
      <c r="J519" s="293"/>
      <c r="K519" s="293"/>
      <c r="L519" s="293"/>
      <c r="M519" s="279"/>
      <c r="N519" s="279"/>
      <c r="O519" s="279"/>
      <c r="P519" s="291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</row>
    <row r="520" spans="1:28" ht="15.75" customHeight="1" x14ac:dyDescent="0.25">
      <c r="A520" s="35"/>
      <c r="B520" s="246"/>
      <c r="C520" s="35"/>
      <c r="D520" s="35"/>
      <c r="E520" s="20"/>
      <c r="F520" s="20"/>
      <c r="G520" s="20"/>
      <c r="H520" s="257"/>
      <c r="I520" s="293"/>
      <c r="J520" s="293"/>
      <c r="K520" s="293"/>
      <c r="L520" s="293"/>
      <c r="M520" s="279"/>
      <c r="N520" s="279"/>
      <c r="O520" s="279"/>
      <c r="P520" s="291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</row>
    <row r="521" spans="1:28" ht="15.75" customHeight="1" x14ac:dyDescent="0.25">
      <c r="A521" s="35"/>
      <c r="B521" s="246"/>
      <c r="C521" s="35"/>
      <c r="D521" s="35"/>
      <c r="E521" s="20"/>
      <c r="F521" s="20"/>
      <c r="G521" s="20"/>
      <c r="H521" s="257"/>
      <c r="I521" s="293"/>
      <c r="J521" s="293"/>
      <c r="K521" s="293"/>
      <c r="L521" s="293"/>
      <c r="M521" s="279"/>
      <c r="N521" s="279"/>
      <c r="O521" s="279"/>
      <c r="P521" s="291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</row>
    <row r="522" spans="1:28" ht="15.75" customHeight="1" x14ac:dyDescent="0.25">
      <c r="A522" s="35"/>
      <c r="B522" s="246"/>
      <c r="C522" s="35"/>
      <c r="D522" s="35"/>
      <c r="E522" s="20"/>
      <c r="F522" s="20"/>
      <c r="G522" s="20"/>
      <c r="H522" s="257"/>
      <c r="I522" s="293"/>
      <c r="J522" s="293"/>
      <c r="K522" s="293"/>
      <c r="L522" s="293"/>
      <c r="M522" s="279"/>
      <c r="N522" s="279"/>
      <c r="O522" s="279"/>
      <c r="P522" s="291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</row>
    <row r="523" spans="1:28" ht="15.75" customHeight="1" x14ac:dyDescent="0.25">
      <c r="A523" s="35"/>
      <c r="B523" s="246"/>
      <c r="C523" s="35"/>
      <c r="D523" s="35"/>
      <c r="E523" s="20"/>
      <c r="F523" s="20"/>
      <c r="G523" s="20"/>
      <c r="H523" s="257"/>
      <c r="I523" s="293"/>
      <c r="J523" s="293"/>
      <c r="K523" s="293"/>
      <c r="L523" s="293"/>
      <c r="M523" s="279"/>
      <c r="N523" s="279"/>
      <c r="O523" s="279"/>
      <c r="P523" s="291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</row>
    <row r="524" spans="1:28" ht="15.75" customHeight="1" x14ac:dyDescent="0.25">
      <c r="A524" s="35"/>
      <c r="B524" s="246"/>
      <c r="C524" s="35"/>
      <c r="D524" s="35"/>
      <c r="E524" s="20"/>
      <c r="F524" s="20"/>
      <c r="G524" s="20"/>
      <c r="H524" s="257"/>
      <c r="I524" s="293"/>
      <c r="J524" s="293"/>
      <c r="K524" s="293"/>
      <c r="L524" s="293"/>
      <c r="M524" s="279"/>
      <c r="N524" s="279"/>
      <c r="O524" s="279"/>
      <c r="P524" s="291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</row>
    <row r="525" spans="1:28" ht="15.75" customHeight="1" x14ac:dyDescent="0.25">
      <c r="A525" s="35"/>
      <c r="B525" s="246"/>
      <c r="C525" s="35"/>
      <c r="D525" s="35"/>
      <c r="E525" s="20"/>
      <c r="F525" s="20"/>
      <c r="G525" s="20"/>
      <c r="H525" s="257"/>
      <c r="I525" s="293"/>
      <c r="J525" s="293"/>
      <c r="K525" s="293"/>
      <c r="L525" s="293"/>
      <c r="M525" s="279"/>
      <c r="N525" s="279"/>
      <c r="O525" s="279"/>
      <c r="P525" s="291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</row>
    <row r="526" spans="1:28" ht="15.75" customHeight="1" x14ac:dyDescent="0.25">
      <c r="A526" s="35"/>
      <c r="B526" s="246"/>
      <c r="C526" s="35"/>
      <c r="D526" s="35"/>
      <c r="E526" s="20"/>
      <c r="F526" s="20"/>
      <c r="G526" s="20"/>
      <c r="H526" s="257"/>
      <c r="I526" s="293"/>
      <c r="J526" s="293"/>
      <c r="K526" s="293"/>
      <c r="L526" s="293"/>
      <c r="M526" s="279"/>
      <c r="N526" s="279"/>
      <c r="O526" s="279"/>
      <c r="P526" s="291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</row>
    <row r="527" spans="1:28" ht="15.75" customHeight="1" x14ac:dyDescent="0.25">
      <c r="A527" s="35"/>
      <c r="B527" s="246"/>
      <c r="C527" s="35"/>
      <c r="D527" s="35"/>
      <c r="E527" s="20"/>
      <c r="F527" s="20"/>
      <c r="G527" s="20"/>
      <c r="H527" s="257"/>
      <c r="I527" s="293"/>
      <c r="J527" s="293"/>
      <c r="K527" s="293"/>
      <c r="L527" s="293"/>
      <c r="M527" s="279"/>
      <c r="N527" s="279"/>
      <c r="O527" s="279"/>
      <c r="P527" s="291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</row>
    <row r="528" spans="1:28" ht="15.75" customHeight="1" x14ac:dyDescent="0.25">
      <c r="A528" s="35"/>
      <c r="B528" s="246"/>
      <c r="C528" s="35"/>
      <c r="D528" s="35"/>
      <c r="E528" s="20"/>
      <c r="F528" s="20"/>
      <c r="G528" s="20"/>
      <c r="H528" s="257"/>
      <c r="I528" s="293"/>
      <c r="J528" s="293"/>
      <c r="K528" s="293"/>
      <c r="L528" s="293"/>
      <c r="M528" s="279"/>
      <c r="N528" s="279"/>
      <c r="O528" s="279"/>
      <c r="P528" s="291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</row>
    <row r="529" spans="1:28" ht="15.75" customHeight="1" x14ac:dyDescent="0.25">
      <c r="A529" s="35"/>
      <c r="B529" s="246"/>
      <c r="C529" s="35"/>
      <c r="D529" s="35"/>
      <c r="E529" s="20"/>
      <c r="F529" s="20"/>
      <c r="G529" s="20"/>
      <c r="H529" s="257"/>
      <c r="I529" s="293"/>
      <c r="J529" s="293"/>
      <c r="K529" s="293"/>
      <c r="L529" s="293"/>
      <c r="M529" s="279"/>
      <c r="N529" s="279"/>
      <c r="O529" s="279"/>
      <c r="P529" s="291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</row>
    <row r="530" spans="1:28" ht="15.75" customHeight="1" x14ac:dyDescent="0.25">
      <c r="A530" s="35"/>
      <c r="B530" s="246"/>
      <c r="C530" s="35"/>
      <c r="D530" s="35"/>
      <c r="E530" s="20"/>
      <c r="F530" s="20"/>
      <c r="G530" s="20"/>
      <c r="H530" s="257"/>
      <c r="I530" s="293"/>
      <c r="J530" s="293"/>
      <c r="K530" s="293"/>
      <c r="L530" s="293"/>
      <c r="M530" s="279"/>
      <c r="N530" s="279"/>
      <c r="O530" s="279"/>
      <c r="P530" s="291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</row>
    <row r="531" spans="1:28" ht="15.75" customHeight="1" x14ac:dyDescent="0.25">
      <c r="A531" s="35"/>
      <c r="B531" s="246"/>
      <c r="C531" s="35"/>
      <c r="D531" s="35"/>
      <c r="E531" s="20"/>
      <c r="F531" s="20"/>
      <c r="G531" s="20"/>
      <c r="H531" s="257"/>
      <c r="I531" s="293"/>
      <c r="J531" s="293"/>
      <c r="K531" s="293"/>
      <c r="L531" s="293"/>
      <c r="M531" s="279"/>
      <c r="N531" s="279"/>
      <c r="O531" s="279"/>
      <c r="P531" s="291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</row>
    <row r="532" spans="1:28" ht="15.75" customHeight="1" x14ac:dyDescent="0.25">
      <c r="A532" s="35"/>
      <c r="B532" s="246"/>
      <c r="C532" s="35"/>
      <c r="D532" s="35"/>
      <c r="E532" s="20"/>
      <c r="F532" s="20"/>
      <c r="G532" s="20"/>
      <c r="H532" s="257"/>
      <c r="I532" s="293"/>
      <c r="J532" s="293"/>
      <c r="K532" s="293"/>
      <c r="L532" s="293"/>
      <c r="M532" s="279"/>
      <c r="N532" s="279"/>
      <c r="O532" s="279"/>
      <c r="P532" s="291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</row>
    <row r="533" spans="1:28" ht="15.75" customHeight="1" x14ac:dyDescent="0.25">
      <c r="A533" s="35"/>
      <c r="B533" s="246"/>
      <c r="C533" s="35"/>
      <c r="D533" s="35"/>
      <c r="E533" s="20"/>
      <c r="F533" s="20"/>
      <c r="G533" s="20"/>
      <c r="H533" s="257"/>
      <c r="I533" s="293"/>
      <c r="J533" s="293"/>
      <c r="K533" s="293"/>
      <c r="L533" s="293"/>
      <c r="M533" s="279"/>
      <c r="N533" s="279"/>
      <c r="O533" s="279"/>
      <c r="P533" s="291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</row>
    <row r="534" spans="1:28" ht="15.75" customHeight="1" x14ac:dyDescent="0.25">
      <c r="A534" s="35"/>
      <c r="B534" s="246"/>
      <c r="C534" s="35"/>
      <c r="D534" s="35"/>
      <c r="E534" s="20"/>
      <c r="F534" s="20"/>
      <c r="G534" s="20"/>
      <c r="H534" s="257"/>
      <c r="I534" s="293"/>
      <c r="J534" s="293"/>
      <c r="K534" s="293"/>
      <c r="L534" s="293"/>
      <c r="M534" s="279"/>
      <c r="N534" s="279"/>
      <c r="O534" s="279"/>
      <c r="P534" s="291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</row>
    <row r="535" spans="1:28" ht="15.75" customHeight="1" x14ac:dyDescent="0.25">
      <c r="A535" s="35"/>
      <c r="B535" s="246"/>
      <c r="C535" s="35"/>
      <c r="D535" s="35"/>
      <c r="E535" s="20"/>
      <c r="F535" s="20"/>
      <c r="G535" s="20"/>
      <c r="H535" s="257"/>
      <c r="I535" s="293"/>
      <c r="J535" s="293"/>
      <c r="K535" s="293"/>
      <c r="L535" s="293"/>
      <c r="M535" s="279"/>
      <c r="N535" s="279"/>
      <c r="O535" s="279"/>
      <c r="P535" s="291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</row>
    <row r="536" spans="1:28" ht="15.75" customHeight="1" x14ac:dyDescent="0.25">
      <c r="A536" s="35"/>
      <c r="B536" s="246"/>
      <c r="C536" s="35"/>
      <c r="D536" s="35"/>
      <c r="E536" s="20"/>
      <c r="F536" s="20"/>
      <c r="G536" s="20"/>
      <c r="H536" s="257"/>
      <c r="I536" s="293"/>
      <c r="J536" s="293"/>
      <c r="K536" s="293"/>
      <c r="L536" s="293"/>
      <c r="M536" s="279"/>
      <c r="N536" s="279"/>
      <c r="O536" s="279"/>
      <c r="P536" s="291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</row>
    <row r="537" spans="1:28" ht="15.75" customHeight="1" x14ac:dyDescent="0.25">
      <c r="A537" s="35"/>
      <c r="B537" s="246"/>
      <c r="C537" s="35"/>
      <c r="D537" s="35"/>
      <c r="E537" s="20"/>
      <c r="F537" s="20"/>
      <c r="G537" s="20"/>
      <c r="H537" s="257"/>
      <c r="I537" s="293"/>
      <c r="J537" s="293"/>
      <c r="K537" s="293"/>
      <c r="L537" s="293"/>
      <c r="M537" s="279"/>
      <c r="N537" s="279"/>
      <c r="O537" s="279"/>
      <c r="P537" s="291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</row>
    <row r="538" spans="1:28" ht="15.75" customHeight="1" x14ac:dyDescent="0.25">
      <c r="A538" s="35"/>
      <c r="B538" s="246"/>
      <c r="C538" s="35"/>
      <c r="D538" s="35"/>
      <c r="E538" s="20"/>
      <c r="F538" s="20"/>
      <c r="G538" s="20"/>
      <c r="H538" s="257"/>
      <c r="I538" s="293"/>
      <c r="J538" s="293"/>
      <c r="K538" s="293"/>
      <c r="L538" s="293"/>
      <c r="M538" s="279"/>
      <c r="N538" s="279"/>
      <c r="O538" s="279"/>
      <c r="P538" s="291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</row>
    <row r="539" spans="1:28" ht="15.75" customHeight="1" x14ac:dyDescent="0.25">
      <c r="A539" s="35"/>
      <c r="B539" s="246"/>
      <c r="C539" s="35"/>
      <c r="D539" s="35"/>
      <c r="E539" s="20"/>
      <c r="F539" s="20"/>
      <c r="G539" s="20"/>
      <c r="H539" s="257"/>
      <c r="I539" s="293"/>
      <c r="J539" s="293"/>
      <c r="K539" s="293"/>
      <c r="L539" s="293"/>
      <c r="M539" s="279"/>
      <c r="N539" s="279"/>
      <c r="O539" s="279"/>
      <c r="P539" s="291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</row>
    <row r="540" spans="1:28" ht="15.75" customHeight="1" x14ac:dyDescent="0.25">
      <c r="A540" s="35"/>
      <c r="B540" s="246"/>
      <c r="C540" s="35"/>
      <c r="D540" s="35"/>
      <c r="E540" s="20"/>
      <c r="F540" s="20"/>
      <c r="G540" s="20"/>
      <c r="H540" s="257"/>
      <c r="I540" s="293"/>
      <c r="J540" s="293"/>
      <c r="K540" s="293"/>
      <c r="L540" s="293"/>
      <c r="M540" s="279"/>
      <c r="N540" s="279"/>
      <c r="O540" s="279"/>
      <c r="P540" s="291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</row>
    <row r="541" spans="1:28" ht="15.75" customHeight="1" x14ac:dyDescent="0.25">
      <c r="A541" s="35"/>
      <c r="B541" s="246"/>
      <c r="C541" s="35"/>
      <c r="D541" s="35"/>
      <c r="E541" s="20"/>
      <c r="F541" s="20"/>
      <c r="G541" s="20"/>
      <c r="H541" s="257"/>
      <c r="I541" s="293"/>
      <c r="J541" s="293"/>
      <c r="K541" s="293"/>
      <c r="L541" s="293"/>
      <c r="M541" s="279"/>
      <c r="N541" s="279"/>
      <c r="O541" s="279"/>
      <c r="P541" s="291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</row>
    <row r="542" spans="1:28" ht="15.75" customHeight="1" x14ac:dyDescent="0.25">
      <c r="A542" s="35"/>
      <c r="B542" s="246"/>
      <c r="C542" s="35"/>
      <c r="D542" s="35"/>
      <c r="E542" s="20"/>
      <c r="F542" s="20"/>
      <c r="G542" s="20"/>
      <c r="H542" s="257"/>
      <c r="I542" s="293"/>
      <c r="J542" s="293"/>
      <c r="K542" s="293"/>
      <c r="L542" s="293"/>
      <c r="M542" s="279"/>
      <c r="N542" s="279"/>
      <c r="O542" s="279"/>
      <c r="P542" s="291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</row>
    <row r="543" spans="1:28" ht="15.75" customHeight="1" x14ac:dyDescent="0.25">
      <c r="A543" s="35"/>
      <c r="B543" s="246"/>
      <c r="C543" s="35"/>
      <c r="D543" s="35"/>
      <c r="E543" s="20"/>
      <c r="F543" s="20"/>
      <c r="G543" s="20"/>
      <c r="H543" s="257"/>
      <c r="I543" s="293"/>
      <c r="J543" s="293"/>
      <c r="K543" s="293"/>
      <c r="L543" s="293"/>
      <c r="M543" s="279"/>
      <c r="N543" s="279"/>
      <c r="O543" s="279"/>
      <c r="P543" s="291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</row>
    <row r="544" spans="1:28" ht="15.75" customHeight="1" x14ac:dyDescent="0.25">
      <c r="A544" s="35"/>
      <c r="B544" s="246"/>
      <c r="C544" s="35"/>
      <c r="D544" s="35"/>
      <c r="E544" s="20"/>
      <c r="F544" s="20"/>
      <c r="G544" s="20"/>
      <c r="H544" s="257"/>
      <c r="I544" s="293"/>
      <c r="J544" s="293"/>
      <c r="K544" s="293"/>
      <c r="L544" s="293"/>
      <c r="M544" s="279"/>
      <c r="N544" s="279"/>
      <c r="O544" s="279"/>
      <c r="P544" s="291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</row>
    <row r="545" spans="1:28" ht="15.75" customHeight="1" x14ac:dyDescent="0.25">
      <c r="A545" s="35"/>
      <c r="B545" s="246"/>
      <c r="C545" s="35"/>
      <c r="D545" s="35"/>
      <c r="E545" s="20"/>
      <c r="F545" s="20"/>
      <c r="G545" s="20"/>
      <c r="H545" s="257"/>
      <c r="I545" s="293"/>
      <c r="J545" s="293"/>
      <c r="K545" s="293"/>
      <c r="L545" s="293"/>
      <c r="M545" s="279"/>
      <c r="N545" s="279"/>
      <c r="O545" s="279"/>
      <c r="P545" s="291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</row>
    <row r="546" spans="1:28" ht="15.75" customHeight="1" x14ac:dyDescent="0.25">
      <c r="A546" s="35"/>
      <c r="B546" s="246"/>
      <c r="C546" s="35"/>
      <c r="D546" s="35"/>
      <c r="E546" s="20"/>
      <c r="F546" s="20"/>
      <c r="G546" s="20"/>
      <c r="H546" s="257"/>
      <c r="I546" s="293"/>
      <c r="J546" s="293"/>
      <c r="K546" s="293"/>
      <c r="L546" s="293"/>
      <c r="M546" s="279"/>
      <c r="N546" s="279"/>
      <c r="O546" s="279"/>
      <c r="P546" s="291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</row>
    <row r="547" spans="1:28" ht="15.75" customHeight="1" x14ac:dyDescent="0.25">
      <c r="A547" s="35"/>
      <c r="B547" s="246"/>
      <c r="C547" s="35"/>
      <c r="D547" s="35"/>
      <c r="E547" s="20"/>
      <c r="F547" s="20"/>
      <c r="G547" s="20"/>
      <c r="H547" s="257"/>
      <c r="I547" s="293"/>
      <c r="J547" s="293"/>
      <c r="K547" s="293"/>
      <c r="L547" s="293"/>
      <c r="M547" s="279"/>
      <c r="N547" s="279"/>
      <c r="O547" s="279"/>
      <c r="P547" s="291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</row>
    <row r="548" spans="1:28" ht="15.75" customHeight="1" x14ac:dyDescent="0.25">
      <c r="A548" s="35"/>
      <c r="B548" s="246"/>
      <c r="C548" s="35"/>
      <c r="D548" s="35"/>
      <c r="E548" s="20"/>
      <c r="F548" s="20"/>
      <c r="G548" s="20"/>
      <c r="H548" s="257"/>
      <c r="I548" s="293"/>
      <c r="J548" s="293"/>
      <c r="K548" s="293"/>
      <c r="L548" s="293"/>
      <c r="M548" s="279"/>
      <c r="N548" s="279"/>
      <c r="O548" s="279"/>
      <c r="P548" s="291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</row>
    <row r="549" spans="1:28" ht="15.75" customHeight="1" x14ac:dyDescent="0.25">
      <c r="A549" s="35"/>
      <c r="B549" s="246"/>
      <c r="C549" s="35"/>
      <c r="D549" s="35"/>
      <c r="E549" s="20"/>
      <c r="F549" s="20"/>
      <c r="G549" s="20"/>
      <c r="H549" s="257"/>
      <c r="I549" s="293"/>
      <c r="J549" s="293"/>
      <c r="K549" s="293"/>
      <c r="L549" s="293"/>
      <c r="M549" s="279"/>
      <c r="N549" s="279"/>
      <c r="O549" s="279"/>
      <c r="P549" s="291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</row>
    <row r="550" spans="1:28" ht="15.75" customHeight="1" x14ac:dyDescent="0.25">
      <c r="A550" s="35"/>
      <c r="B550" s="246"/>
      <c r="C550" s="35"/>
      <c r="D550" s="35"/>
      <c r="E550" s="20"/>
      <c r="F550" s="20"/>
      <c r="G550" s="20"/>
      <c r="H550" s="257"/>
      <c r="I550" s="293"/>
      <c r="J550" s="293"/>
      <c r="K550" s="293"/>
      <c r="L550" s="293"/>
      <c r="M550" s="279"/>
      <c r="N550" s="279"/>
      <c r="O550" s="279"/>
      <c r="P550" s="291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</row>
    <row r="551" spans="1:28" ht="15.75" customHeight="1" x14ac:dyDescent="0.25">
      <c r="A551" s="35"/>
      <c r="B551" s="246"/>
      <c r="C551" s="35"/>
      <c r="D551" s="35"/>
      <c r="E551" s="20"/>
      <c r="F551" s="20"/>
      <c r="G551" s="20"/>
      <c r="H551" s="257"/>
      <c r="I551" s="293"/>
      <c r="J551" s="293"/>
      <c r="K551" s="293"/>
      <c r="L551" s="293"/>
      <c r="M551" s="279"/>
      <c r="N551" s="279"/>
      <c r="O551" s="279"/>
      <c r="P551" s="291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</row>
    <row r="552" spans="1:28" ht="15.75" customHeight="1" x14ac:dyDescent="0.25">
      <c r="A552" s="35"/>
      <c r="B552" s="246"/>
      <c r="C552" s="35"/>
      <c r="D552" s="35"/>
      <c r="E552" s="20"/>
      <c r="F552" s="20"/>
      <c r="G552" s="20"/>
      <c r="H552" s="257"/>
      <c r="I552" s="293"/>
      <c r="J552" s="293"/>
      <c r="K552" s="293"/>
      <c r="L552" s="293"/>
      <c r="M552" s="279"/>
      <c r="N552" s="279"/>
      <c r="O552" s="279"/>
      <c r="P552" s="291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</row>
    <row r="553" spans="1:28" ht="15.75" customHeight="1" x14ac:dyDescent="0.25">
      <c r="A553" s="35"/>
      <c r="B553" s="246"/>
      <c r="C553" s="35"/>
      <c r="D553" s="35"/>
      <c r="E553" s="20"/>
      <c r="F553" s="20"/>
      <c r="G553" s="20"/>
      <c r="H553" s="257"/>
      <c r="I553" s="293"/>
      <c r="J553" s="293"/>
      <c r="K553" s="293"/>
      <c r="L553" s="293"/>
      <c r="M553" s="279"/>
      <c r="N553" s="279"/>
      <c r="O553" s="279"/>
      <c r="P553" s="291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</row>
    <row r="554" spans="1:28" ht="15.75" customHeight="1" x14ac:dyDescent="0.25">
      <c r="A554" s="35"/>
      <c r="B554" s="246"/>
      <c r="C554" s="35"/>
      <c r="D554" s="35"/>
      <c r="E554" s="20"/>
      <c r="F554" s="20"/>
      <c r="G554" s="20"/>
      <c r="H554" s="257"/>
      <c r="I554" s="293"/>
      <c r="J554" s="293"/>
      <c r="K554" s="293"/>
      <c r="L554" s="293"/>
      <c r="M554" s="279"/>
      <c r="N554" s="279"/>
      <c r="O554" s="279"/>
      <c r="P554" s="291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</row>
    <row r="555" spans="1:28" ht="15.75" customHeight="1" x14ac:dyDescent="0.25">
      <c r="A555" s="35"/>
      <c r="B555" s="246"/>
      <c r="C555" s="35"/>
      <c r="D555" s="35"/>
      <c r="E555" s="20"/>
      <c r="F555" s="20"/>
      <c r="G555" s="20"/>
      <c r="H555" s="257"/>
      <c r="I555" s="293"/>
      <c r="J555" s="293"/>
      <c r="K555" s="293"/>
      <c r="L555" s="293"/>
      <c r="M555" s="279"/>
      <c r="N555" s="279"/>
      <c r="O555" s="279"/>
      <c r="P555" s="291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</row>
    <row r="556" spans="1:28" ht="15.75" customHeight="1" x14ac:dyDescent="0.25">
      <c r="A556" s="35"/>
      <c r="B556" s="246"/>
      <c r="C556" s="35"/>
      <c r="D556" s="35"/>
      <c r="E556" s="20"/>
      <c r="F556" s="20"/>
      <c r="G556" s="20"/>
      <c r="H556" s="257"/>
      <c r="I556" s="293"/>
      <c r="J556" s="293"/>
      <c r="K556" s="293"/>
      <c r="L556" s="293"/>
      <c r="M556" s="279"/>
      <c r="N556" s="279"/>
      <c r="O556" s="279"/>
      <c r="P556" s="291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</row>
    <row r="557" spans="1:28" ht="15.75" customHeight="1" x14ac:dyDescent="0.25">
      <c r="A557" s="35"/>
      <c r="B557" s="246"/>
      <c r="C557" s="35"/>
      <c r="D557" s="35"/>
      <c r="E557" s="20"/>
      <c r="F557" s="20"/>
      <c r="G557" s="20"/>
      <c r="H557" s="257"/>
      <c r="I557" s="293"/>
      <c r="J557" s="293"/>
      <c r="K557" s="293"/>
      <c r="L557" s="293"/>
      <c r="M557" s="279"/>
      <c r="N557" s="279"/>
      <c r="O557" s="279"/>
      <c r="P557" s="291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</row>
    <row r="558" spans="1:28" ht="15.75" customHeight="1" x14ac:dyDescent="0.25">
      <c r="A558" s="35"/>
      <c r="B558" s="246"/>
      <c r="C558" s="35"/>
      <c r="D558" s="35"/>
      <c r="E558" s="20"/>
      <c r="F558" s="20"/>
      <c r="G558" s="20"/>
      <c r="H558" s="257"/>
      <c r="I558" s="293"/>
      <c r="J558" s="293"/>
      <c r="K558" s="293"/>
      <c r="L558" s="293"/>
      <c r="M558" s="279"/>
      <c r="N558" s="279"/>
      <c r="O558" s="279"/>
      <c r="P558" s="291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</row>
    <row r="559" spans="1:28" ht="15.75" customHeight="1" x14ac:dyDescent="0.25">
      <c r="A559" s="35"/>
      <c r="B559" s="246"/>
      <c r="C559" s="35"/>
      <c r="D559" s="35"/>
      <c r="E559" s="20"/>
      <c r="F559" s="20"/>
      <c r="G559" s="20"/>
      <c r="H559" s="257"/>
      <c r="I559" s="293"/>
      <c r="J559" s="293"/>
      <c r="K559" s="293"/>
      <c r="L559" s="293"/>
      <c r="M559" s="279"/>
      <c r="N559" s="279"/>
      <c r="O559" s="279"/>
      <c r="P559" s="291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</row>
    <row r="560" spans="1:28" ht="15.75" customHeight="1" x14ac:dyDescent="0.25">
      <c r="A560" s="35"/>
      <c r="B560" s="246"/>
      <c r="C560" s="35"/>
      <c r="D560" s="35"/>
      <c r="E560" s="20"/>
      <c r="F560" s="20"/>
      <c r="G560" s="20"/>
      <c r="H560" s="257"/>
      <c r="I560" s="293"/>
      <c r="J560" s="293"/>
      <c r="K560" s="293"/>
      <c r="L560" s="293"/>
      <c r="M560" s="279"/>
      <c r="N560" s="279"/>
      <c r="O560" s="279"/>
      <c r="P560" s="291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</row>
    <row r="561" spans="1:28" ht="15.75" customHeight="1" x14ac:dyDescent="0.25">
      <c r="A561" s="35"/>
      <c r="B561" s="246"/>
      <c r="C561" s="35"/>
      <c r="D561" s="35"/>
      <c r="E561" s="20"/>
      <c r="F561" s="20"/>
      <c r="G561" s="20"/>
      <c r="H561" s="257"/>
      <c r="I561" s="293"/>
      <c r="J561" s="293"/>
      <c r="K561" s="293"/>
      <c r="L561" s="293"/>
      <c r="M561" s="279"/>
      <c r="N561" s="279"/>
      <c r="O561" s="279"/>
      <c r="P561" s="291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</row>
    <row r="562" spans="1:28" ht="15.75" customHeight="1" x14ac:dyDescent="0.25">
      <c r="A562" s="35"/>
      <c r="B562" s="246"/>
      <c r="C562" s="35"/>
      <c r="D562" s="35"/>
      <c r="E562" s="20"/>
      <c r="F562" s="20"/>
      <c r="G562" s="20"/>
      <c r="H562" s="257"/>
      <c r="I562" s="293"/>
      <c r="J562" s="293"/>
      <c r="K562" s="293"/>
      <c r="L562" s="293"/>
      <c r="M562" s="279"/>
      <c r="N562" s="279"/>
      <c r="O562" s="279"/>
      <c r="P562" s="291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</row>
    <row r="563" spans="1:28" ht="15.75" customHeight="1" x14ac:dyDescent="0.25">
      <c r="A563" s="35"/>
      <c r="B563" s="246"/>
      <c r="C563" s="35"/>
      <c r="D563" s="35"/>
      <c r="E563" s="20"/>
      <c r="F563" s="20"/>
      <c r="G563" s="20"/>
      <c r="H563" s="257"/>
      <c r="I563" s="293"/>
      <c r="J563" s="293"/>
      <c r="K563" s="293"/>
      <c r="L563" s="293"/>
      <c r="M563" s="279"/>
      <c r="N563" s="279"/>
      <c r="O563" s="279"/>
      <c r="P563" s="291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</row>
    <row r="564" spans="1:28" ht="15.75" customHeight="1" x14ac:dyDescent="0.25">
      <c r="A564" s="35"/>
      <c r="B564" s="246"/>
      <c r="C564" s="35"/>
      <c r="D564" s="35"/>
      <c r="E564" s="20"/>
      <c r="F564" s="20"/>
      <c r="G564" s="20"/>
      <c r="H564" s="257"/>
      <c r="I564" s="293"/>
      <c r="J564" s="293"/>
      <c r="K564" s="293"/>
      <c r="L564" s="293"/>
      <c r="M564" s="279"/>
      <c r="N564" s="279"/>
      <c r="O564" s="279"/>
      <c r="P564" s="291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</row>
    <row r="565" spans="1:28" ht="15.75" customHeight="1" x14ac:dyDescent="0.25">
      <c r="A565" s="35"/>
      <c r="B565" s="246"/>
      <c r="C565" s="35"/>
      <c r="D565" s="35"/>
      <c r="E565" s="20"/>
      <c r="F565" s="20"/>
      <c r="G565" s="20"/>
      <c r="H565" s="257"/>
      <c r="I565" s="293"/>
      <c r="J565" s="293"/>
      <c r="K565" s="293"/>
      <c r="L565" s="293"/>
      <c r="M565" s="279"/>
      <c r="N565" s="279"/>
      <c r="O565" s="279"/>
      <c r="P565" s="291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</row>
    <row r="566" spans="1:28" ht="15.75" customHeight="1" x14ac:dyDescent="0.25">
      <c r="A566" s="35"/>
      <c r="B566" s="246"/>
      <c r="C566" s="35"/>
      <c r="D566" s="35"/>
      <c r="E566" s="20"/>
      <c r="F566" s="20"/>
      <c r="G566" s="20"/>
      <c r="H566" s="257"/>
      <c r="I566" s="293"/>
      <c r="J566" s="293"/>
      <c r="K566" s="293"/>
      <c r="L566" s="293"/>
      <c r="M566" s="279"/>
      <c r="N566" s="279"/>
      <c r="O566" s="279"/>
      <c r="P566" s="291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</row>
    <row r="567" spans="1:28" ht="15.75" customHeight="1" x14ac:dyDescent="0.25">
      <c r="A567" s="35"/>
      <c r="B567" s="246"/>
      <c r="C567" s="35"/>
      <c r="D567" s="35"/>
      <c r="E567" s="20"/>
      <c r="F567" s="20"/>
      <c r="G567" s="20"/>
      <c r="H567" s="257"/>
      <c r="I567" s="293"/>
      <c r="J567" s="293"/>
      <c r="K567" s="293"/>
      <c r="L567" s="293"/>
      <c r="M567" s="279"/>
      <c r="N567" s="279"/>
      <c r="O567" s="279"/>
      <c r="P567" s="291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</row>
    <row r="568" spans="1:28" ht="15.75" customHeight="1" x14ac:dyDescent="0.25">
      <c r="A568" s="35"/>
      <c r="B568" s="246"/>
      <c r="C568" s="35"/>
      <c r="D568" s="35"/>
      <c r="E568" s="20"/>
      <c r="F568" s="20"/>
      <c r="G568" s="20"/>
      <c r="H568" s="257"/>
      <c r="I568" s="293"/>
      <c r="J568" s="293"/>
      <c r="K568" s="293"/>
      <c r="L568" s="293"/>
      <c r="M568" s="279"/>
      <c r="N568" s="279"/>
      <c r="O568" s="279"/>
      <c r="P568" s="291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</row>
    <row r="569" spans="1:28" ht="15.75" customHeight="1" x14ac:dyDescent="0.25">
      <c r="A569" s="35"/>
      <c r="B569" s="246"/>
      <c r="C569" s="35"/>
      <c r="D569" s="35"/>
      <c r="E569" s="20"/>
      <c r="F569" s="20"/>
      <c r="G569" s="20"/>
      <c r="H569" s="257"/>
      <c r="I569" s="293"/>
      <c r="J569" s="293"/>
      <c r="K569" s="293"/>
      <c r="L569" s="293"/>
      <c r="M569" s="279"/>
      <c r="N569" s="279"/>
      <c r="O569" s="279"/>
      <c r="P569" s="291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</row>
    <row r="570" spans="1:28" ht="15.75" customHeight="1" x14ac:dyDescent="0.25">
      <c r="A570" s="35"/>
      <c r="B570" s="246"/>
      <c r="C570" s="35"/>
      <c r="D570" s="35"/>
      <c r="E570" s="20"/>
      <c r="F570" s="20"/>
      <c r="G570" s="20"/>
      <c r="H570" s="257"/>
      <c r="I570" s="293"/>
      <c r="J570" s="293"/>
      <c r="K570" s="293"/>
      <c r="L570" s="293"/>
      <c r="M570" s="279"/>
      <c r="N570" s="279"/>
      <c r="O570" s="279"/>
      <c r="P570" s="291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</row>
    <row r="571" spans="1:28" ht="15.75" customHeight="1" x14ac:dyDescent="0.25">
      <c r="A571" s="35"/>
      <c r="B571" s="246"/>
      <c r="C571" s="35"/>
      <c r="D571" s="35"/>
      <c r="E571" s="20"/>
      <c r="F571" s="20"/>
      <c r="G571" s="20"/>
      <c r="H571" s="257"/>
      <c r="I571" s="293"/>
      <c r="J571" s="293"/>
      <c r="K571" s="293"/>
      <c r="L571" s="293"/>
      <c r="M571" s="279"/>
      <c r="N571" s="279"/>
      <c r="O571" s="279"/>
      <c r="P571" s="291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</row>
    <row r="572" spans="1:28" ht="15.75" customHeight="1" x14ac:dyDescent="0.25">
      <c r="A572" s="35"/>
      <c r="B572" s="246"/>
      <c r="C572" s="35"/>
      <c r="D572" s="35"/>
      <c r="E572" s="20"/>
      <c r="F572" s="20"/>
      <c r="G572" s="20"/>
      <c r="H572" s="257"/>
      <c r="I572" s="293"/>
      <c r="J572" s="293"/>
      <c r="K572" s="293"/>
      <c r="L572" s="293"/>
      <c r="M572" s="279"/>
      <c r="N572" s="279"/>
      <c r="O572" s="279"/>
      <c r="P572" s="291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</row>
    <row r="573" spans="1:28" ht="15.75" customHeight="1" x14ac:dyDescent="0.25">
      <c r="A573" s="35"/>
      <c r="B573" s="246"/>
      <c r="C573" s="35"/>
      <c r="D573" s="35"/>
      <c r="E573" s="20"/>
      <c r="F573" s="20"/>
      <c r="G573" s="20"/>
      <c r="H573" s="257"/>
      <c r="I573" s="293"/>
      <c r="J573" s="293"/>
      <c r="K573" s="293"/>
      <c r="L573" s="293"/>
      <c r="M573" s="279"/>
      <c r="N573" s="279"/>
      <c r="O573" s="279"/>
      <c r="P573" s="291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</row>
    <row r="574" spans="1:28" ht="15.75" customHeight="1" x14ac:dyDescent="0.25">
      <c r="A574" s="35"/>
      <c r="B574" s="246"/>
      <c r="C574" s="35"/>
      <c r="D574" s="35"/>
      <c r="E574" s="20"/>
      <c r="F574" s="20"/>
      <c r="G574" s="20"/>
      <c r="H574" s="257"/>
      <c r="I574" s="293"/>
      <c r="J574" s="293"/>
      <c r="K574" s="293"/>
      <c r="L574" s="293"/>
      <c r="M574" s="279"/>
      <c r="N574" s="279"/>
      <c r="O574" s="279"/>
      <c r="P574" s="291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</row>
    <row r="575" spans="1:28" ht="15.75" customHeight="1" x14ac:dyDescent="0.25">
      <c r="A575" s="35"/>
      <c r="B575" s="246"/>
      <c r="C575" s="35"/>
      <c r="D575" s="35"/>
      <c r="E575" s="20"/>
      <c r="F575" s="20"/>
      <c r="G575" s="20"/>
      <c r="H575" s="257"/>
      <c r="I575" s="293"/>
      <c r="J575" s="293"/>
      <c r="K575" s="293"/>
      <c r="L575" s="293"/>
      <c r="M575" s="279"/>
      <c r="N575" s="279"/>
      <c r="O575" s="279"/>
      <c r="P575" s="291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</row>
    <row r="576" spans="1:28" ht="15.75" customHeight="1" x14ac:dyDescent="0.25">
      <c r="A576" s="35"/>
      <c r="B576" s="246"/>
      <c r="C576" s="35"/>
      <c r="D576" s="35"/>
      <c r="E576" s="20"/>
      <c r="F576" s="20"/>
      <c r="G576" s="20"/>
      <c r="H576" s="257"/>
      <c r="I576" s="293"/>
      <c r="J576" s="293"/>
      <c r="K576" s="293"/>
      <c r="L576" s="293"/>
      <c r="M576" s="279"/>
      <c r="N576" s="279"/>
      <c r="O576" s="279"/>
      <c r="P576" s="291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</row>
    <row r="577" spans="1:28" ht="15.75" customHeight="1" x14ac:dyDescent="0.25">
      <c r="A577" s="35"/>
      <c r="B577" s="246"/>
      <c r="C577" s="35"/>
      <c r="D577" s="35"/>
      <c r="E577" s="20"/>
      <c r="F577" s="20"/>
      <c r="G577" s="20"/>
      <c r="H577" s="257"/>
      <c r="I577" s="293"/>
      <c r="J577" s="293"/>
      <c r="K577" s="293"/>
      <c r="L577" s="293"/>
      <c r="M577" s="279"/>
      <c r="N577" s="279"/>
      <c r="O577" s="279"/>
      <c r="P577" s="291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</row>
    <row r="578" spans="1:28" ht="15.75" customHeight="1" x14ac:dyDescent="0.25">
      <c r="A578" s="35"/>
      <c r="B578" s="246"/>
      <c r="C578" s="35"/>
      <c r="D578" s="35"/>
      <c r="E578" s="20"/>
      <c r="F578" s="20"/>
      <c r="G578" s="20"/>
      <c r="H578" s="257"/>
      <c r="I578" s="293"/>
      <c r="J578" s="293"/>
      <c r="K578" s="293"/>
      <c r="L578" s="293"/>
      <c r="M578" s="279"/>
      <c r="N578" s="279"/>
      <c r="O578" s="279"/>
      <c r="P578" s="291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</row>
    <row r="579" spans="1:28" ht="15.75" customHeight="1" x14ac:dyDescent="0.25">
      <c r="A579" s="35"/>
      <c r="B579" s="246"/>
      <c r="C579" s="35"/>
      <c r="D579" s="35"/>
      <c r="E579" s="20"/>
      <c r="F579" s="20"/>
      <c r="G579" s="20"/>
      <c r="H579" s="257"/>
      <c r="I579" s="293"/>
      <c r="J579" s="293"/>
      <c r="K579" s="293"/>
      <c r="L579" s="293"/>
      <c r="M579" s="279"/>
      <c r="N579" s="279"/>
      <c r="O579" s="279"/>
      <c r="P579" s="291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</row>
    <row r="580" spans="1:28" ht="15.75" customHeight="1" x14ac:dyDescent="0.25">
      <c r="A580" s="35"/>
      <c r="B580" s="246"/>
      <c r="C580" s="35"/>
      <c r="D580" s="35"/>
      <c r="E580" s="20"/>
      <c r="F580" s="20"/>
      <c r="G580" s="20"/>
      <c r="H580" s="257"/>
      <c r="I580" s="293"/>
      <c r="J580" s="293"/>
      <c r="K580" s="293"/>
      <c r="L580" s="293"/>
      <c r="M580" s="279"/>
      <c r="N580" s="279"/>
      <c r="O580" s="279"/>
      <c r="P580" s="291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</row>
    <row r="581" spans="1:28" ht="15.75" customHeight="1" x14ac:dyDescent="0.25">
      <c r="A581" s="35"/>
      <c r="B581" s="246"/>
      <c r="C581" s="35"/>
      <c r="D581" s="35"/>
      <c r="E581" s="20"/>
      <c r="F581" s="20"/>
      <c r="G581" s="20"/>
      <c r="H581" s="257"/>
      <c r="I581" s="293"/>
      <c r="J581" s="293"/>
      <c r="K581" s="293"/>
      <c r="L581" s="293"/>
      <c r="M581" s="279"/>
      <c r="N581" s="279"/>
      <c r="O581" s="279"/>
      <c r="P581" s="291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</row>
    <row r="582" spans="1:28" ht="15.75" customHeight="1" x14ac:dyDescent="0.25">
      <c r="A582" s="35"/>
      <c r="B582" s="246"/>
      <c r="C582" s="35"/>
      <c r="D582" s="35"/>
      <c r="E582" s="20"/>
      <c r="F582" s="20"/>
      <c r="G582" s="20"/>
      <c r="H582" s="257"/>
      <c r="I582" s="293"/>
      <c r="J582" s="293"/>
      <c r="K582" s="293"/>
      <c r="L582" s="293"/>
      <c r="M582" s="279"/>
      <c r="N582" s="279"/>
      <c r="O582" s="279"/>
      <c r="P582" s="291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</row>
    <row r="583" spans="1:28" ht="15.75" customHeight="1" x14ac:dyDescent="0.25">
      <c r="A583" s="35"/>
      <c r="B583" s="246"/>
      <c r="C583" s="35"/>
      <c r="D583" s="35"/>
      <c r="E583" s="20"/>
      <c r="F583" s="20"/>
      <c r="G583" s="20"/>
      <c r="H583" s="257"/>
      <c r="I583" s="293"/>
      <c r="J583" s="293"/>
      <c r="K583" s="293"/>
      <c r="L583" s="293"/>
      <c r="M583" s="279"/>
      <c r="N583" s="279"/>
      <c r="O583" s="279"/>
      <c r="P583" s="291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</row>
    <row r="584" spans="1:28" ht="15.75" customHeight="1" x14ac:dyDescent="0.25">
      <c r="A584" s="35"/>
      <c r="B584" s="246"/>
      <c r="C584" s="35"/>
      <c r="D584" s="35"/>
      <c r="E584" s="20"/>
      <c r="F584" s="20"/>
      <c r="G584" s="20"/>
      <c r="H584" s="257"/>
      <c r="I584" s="293"/>
      <c r="J584" s="293"/>
      <c r="K584" s="293"/>
      <c r="L584" s="293"/>
      <c r="M584" s="279"/>
      <c r="N584" s="279"/>
      <c r="O584" s="279"/>
      <c r="P584" s="291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</row>
    <row r="585" spans="1:28" ht="15.75" customHeight="1" x14ac:dyDescent="0.25">
      <c r="A585" s="35"/>
      <c r="B585" s="246"/>
      <c r="C585" s="35"/>
      <c r="D585" s="35"/>
      <c r="E585" s="20"/>
      <c r="F585" s="20"/>
      <c r="G585" s="20"/>
      <c r="H585" s="257"/>
      <c r="I585" s="293"/>
      <c r="J585" s="293"/>
      <c r="K585" s="293"/>
      <c r="L585" s="293"/>
      <c r="M585" s="279"/>
      <c r="N585" s="279"/>
      <c r="O585" s="279"/>
      <c r="P585" s="291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</row>
    <row r="586" spans="1:28" ht="15.75" customHeight="1" x14ac:dyDescent="0.25">
      <c r="A586" s="35"/>
      <c r="B586" s="246"/>
      <c r="C586" s="35"/>
      <c r="D586" s="35"/>
      <c r="E586" s="20"/>
      <c r="F586" s="20"/>
      <c r="G586" s="20"/>
      <c r="H586" s="257"/>
      <c r="I586" s="293"/>
      <c r="J586" s="293"/>
      <c r="K586" s="293"/>
      <c r="L586" s="293"/>
      <c r="M586" s="279"/>
      <c r="N586" s="279"/>
      <c r="O586" s="279"/>
      <c r="P586" s="291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</row>
    <row r="587" spans="1:28" ht="15.75" customHeight="1" x14ac:dyDescent="0.25">
      <c r="A587" s="35"/>
      <c r="B587" s="246"/>
      <c r="C587" s="35"/>
      <c r="D587" s="35"/>
      <c r="E587" s="20"/>
      <c r="F587" s="20"/>
      <c r="G587" s="20"/>
      <c r="H587" s="257"/>
      <c r="I587" s="293"/>
      <c r="J587" s="293"/>
      <c r="K587" s="293"/>
      <c r="L587" s="293"/>
      <c r="M587" s="279"/>
      <c r="N587" s="279"/>
      <c r="O587" s="279"/>
      <c r="P587" s="291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</row>
    <row r="588" spans="1:28" ht="15.75" customHeight="1" x14ac:dyDescent="0.25">
      <c r="A588" s="35"/>
      <c r="B588" s="246"/>
      <c r="C588" s="35"/>
      <c r="D588" s="35"/>
      <c r="E588" s="20"/>
      <c r="F588" s="20"/>
      <c r="G588" s="20"/>
      <c r="H588" s="257"/>
      <c r="I588" s="293"/>
      <c r="J588" s="293"/>
      <c r="K588" s="293"/>
      <c r="L588" s="293"/>
      <c r="M588" s="279"/>
      <c r="N588" s="279"/>
      <c r="O588" s="279"/>
      <c r="P588" s="291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</row>
    <row r="589" spans="1:28" ht="15.75" customHeight="1" x14ac:dyDescent="0.25">
      <c r="A589" s="35"/>
      <c r="B589" s="246"/>
      <c r="C589" s="35"/>
      <c r="D589" s="35"/>
      <c r="E589" s="20"/>
      <c r="F589" s="20"/>
      <c r="G589" s="20"/>
      <c r="H589" s="257"/>
      <c r="I589" s="293"/>
      <c r="J589" s="293"/>
      <c r="K589" s="293"/>
      <c r="L589" s="293"/>
      <c r="M589" s="279"/>
      <c r="N589" s="279"/>
      <c r="O589" s="279"/>
      <c r="P589" s="291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</row>
    <row r="590" spans="1:28" ht="15.75" customHeight="1" x14ac:dyDescent="0.25">
      <c r="A590" s="35"/>
      <c r="B590" s="246"/>
      <c r="C590" s="35"/>
      <c r="D590" s="35"/>
      <c r="E590" s="20"/>
      <c r="F590" s="20"/>
      <c r="G590" s="20"/>
      <c r="H590" s="257"/>
      <c r="I590" s="293"/>
      <c r="J590" s="293"/>
      <c r="K590" s="293"/>
      <c r="L590" s="293"/>
      <c r="M590" s="279"/>
      <c r="N590" s="279"/>
      <c r="O590" s="279"/>
      <c r="P590" s="291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</row>
    <row r="591" spans="1:28" ht="15.75" customHeight="1" x14ac:dyDescent="0.25">
      <c r="A591" s="35"/>
      <c r="B591" s="246"/>
      <c r="C591" s="35"/>
      <c r="D591" s="35"/>
      <c r="E591" s="20"/>
      <c r="F591" s="20"/>
      <c r="G591" s="20"/>
      <c r="H591" s="257"/>
      <c r="I591" s="293"/>
      <c r="J591" s="293"/>
      <c r="K591" s="293"/>
      <c r="L591" s="293"/>
      <c r="M591" s="279"/>
      <c r="N591" s="279"/>
      <c r="O591" s="279"/>
      <c r="P591" s="291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</row>
    <row r="592" spans="1:28" ht="15.75" customHeight="1" x14ac:dyDescent="0.25">
      <c r="A592" s="35"/>
      <c r="B592" s="246"/>
      <c r="C592" s="35"/>
      <c r="D592" s="35"/>
      <c r="E592" s="20"/>
      <c r="F592" s="20"/>
      <c r="G592" s="20"/>
      <c r="H592" s="257"/>
      <c r="I592" s="293"/>
      <c r="J592" s="293"/>
      <c r="K592" s="293"/>
      <c r="L592" s="293"/>
      <c r="M592" s="279"/>
      <c r="N592" s="279"/>
      <c r="O592" s="279"/>
      <c r="P592" s="291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</row>
    <row r="593" spans="1:28" ht="15.75" customHeight="1" x14ac:dyDescent="0.25">
      <c r="A593" s="35"/>
      <c r="B593" s="246"/>
      <c r="C593" s="35"/>
      <c r="D593" s="35"/>
      <c r="E593" s="20"/>
      <c r="F593" s="20"/>
      <c r="G593" s="20"/>
      <c r="H593" s="257"/>
      <c r="I593" s="293"/>
      <c r="J593" s="293"/>
      <c r="K593" s="293"/>
      <c r="L593" s="293"/>
      <c r="M593" s="279"/>
      <c r="N593" s="279"/>
      <c r="O593" s="279"/>
      <c r="P593" s="291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</row>
    <row r="594" spans="1:28" ht="15.75" customHeight="1" x14ac:dyDescent="0.25">
      <c r="A594" s="35"/>
      <c r="B594" s="246"/>
      <c r="C594" s="35"/>
      <c r="D594" s="35"/>
      <c r="E594" s="20"/>
      <c r="F594" s="20"/>
      <c r="G594" s="20"/>
      <c r="H594" s="257"/>
      <c r="I594" s="293"/>
      <c r="J594" s="293"/>
      <c r="K594" s="293"/>
      <c r="L594" s="293"/>
      <c r="M594" s="279"/>
      <c r="N594" s="279"/>
      <c r="O594" s="279"/>
      <c r="P594" s="291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</row>
    <row r="595" spans="1:28" ht="15.75" customHeight="1" x14ac:dyDescent="0.25">
      <c r="A595" s="35"/>
      <c r="B595" s="246"/>
      <c r="C595" s="35"/>
      <c r="D595" s="35"/>
      <c r="E595" s="20"/>
      <c r="F595" s="20"/>
      <c r="G595" s="20"/>
      <c r="H595" s="257"/>
      <c r="I595" s="293"/>
      <c r="J595" s="293"/>
      <c r="K595" s="293"/>
      <c r="L595" s="293"/>
      <c r="M595" s="279"/>
      <c r="N595" s="279"/>
      <c r="O595" s="279"/>
      <c r="P595" s="291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</row>
    <row r="596" spans="1:28" ht="15.75" customHeight="1" x14ac:dyDescent="0.25">
      <c r="A596" s="35"/>
      <c r="B596" s="246"/>
      <c r="C596" s="35"/>
      <c r="D596" s="35"/>
      <c r="E596" s="20"/>
      <c r="F596" s="20"/>
      <c r="G596" s="20"/>
      <c r="H596" s="257"/>
      <c r="I596" s="293"/>
      <c r="J596" s="293"/>
      <c r="K596" s="293"/>
      <c r="L596" s="293"/>
      <c r="M596" s="279"/>
      <c r="N596" s="279"/>
      <c r="O596" s="279"/>
      <c r="P596" s="291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</row>
    <row r="597" spans="1:28" ht="15.75" customHeight="1" x14ac:dyDescent="0.25">
      <c r="A597" s="35"/>
      <c r="B597" s="246"/>
      <c r="C597" s="35"/>
      <c r="D597" s="35"/>
      <c r="E597" s="20"/>
      <c r="F597" s="20"/>
      <c r="G597" s="20"/>
      <c r="H597" s="257"/>
      <c r="I597" s="293"/>
      <c r="J597" s="293"/>
      <c r="K597" s="293"/>
      <c r="L597" s="293"/>
      <c r="M597" s="279"/>
      <c r="N597" s="279"/>
      <c r="O597" s="279"/>
      <c r="P597" s="291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</row>
    <row r="598" spans="1:28" ht="15.75" customHeight="1" x14ac:dyDescent="0.25">
      <c r="A598" s="35"/>
      <c r="B598" s="246"/>
      <c r="C598" s="35"/>
      <c r="D598" s="35"/>
      <c r="E598" s="20"/>
      <c r="F598" s="20"/>
      <c r="G598" s="20"/>
      <c r="H598" s="257"/>
      <c r="I598" s="293"/>
      <c r="J598" s="293"/>
      <c r="K598" s="293"/>
      <c r="L598" s="293"/>
      <c r="M598" s="279"/>
      <c r="N598" s="279"/>
      <c r="O598" s="279"/>
      <c r="P598" s="291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</row>
    <row r="599" spans="1:28" ht="15.75" customHeight="1" x14ac:dyDescent="0.25">
      <c r="A599" s="35"/>
      <c r="B599" s="246"/>
      <c r="C599" s="35"/>
      <c r="D599" s="35"/>
      <c r="E599" s="20"/>
      <c r="F599" s="20"/>
      <c r="G599" s="20"/>
      <c r="H599" s="257"/>
      <c r="I599" s="293"/>
      <c r="J599" s="293"/>
      <c r="K599" s="293"/>
      <c r="L599" s="293"/>
      <c r="M599" s="279"/>
      <c r="N599" s="279"/>
      <c r="O599" s="279"/>
      <c r="P599" s="291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</row>
    <row r="600" spans="1:28" ht="15.75" customHeight="1" x14ac:dyDescent="0.25">
      <c r="A600" s="35"/>
      <c r="B600" s="246"/>
      <c r="C600" s="35"/>
      <c r="D600" s="35"/>
      <c r="E600" s="20"/>
      <c r="F600" s="20"/>
      <c r="G600" s="20"/>
      <c r="H600" s="257"/>
      <c r="I600" s="293"/>
      <c r="J600" s="293"/>
      <c r="K600" s="293"/>
      <c r="L600" s="293"/>
      <c r="M600" s="279"/>
      <c r="N600" s="279"/>
      <c r="O600" s="279"/>
      <c r="P600" s="291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</row>
    <row r="601" spans="1:28" ht="15.75" customHeight="1" x14ac:dyDescent="0.25">
      <c r="A601" s="35"/>
      <c r="B601" s="246"/>
      <c r="C601" s="35"/>
      <c r="D601" s="35"/>
      <c r="E601" s="20"/>
      <c r="F601" s="20"/>
      <c r="G601" s="20"/>
      <c r="H601" s="257"/>
      <c r="I601" s="293"/>
      <c r="J601" s="293"/>
      <c r="K601" s="293"/>
      <c r="L601" s="293"/>
      <c r="M601" s="279"/>
      <c r="N601" s="279"/>
      <c r="O601" s="279"/>
      <c r="P601" s="291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</row>
    <row r="602" spans="1:28" ht="15.75" customHeight="1" x14ac:dyDescent="0.25">
      <c r="A602" s="35"/>
      <c r="B602" s="246"/>
      <c r="C602" s="35"/>
      <c r="D602" s="35"/>
      <c r="E602" s="20"/>
      <c r="F602" s="20"/>
      <c r="G602" s="20"/>
      <c r="H602" s="257"/>
      <c r="I602" s="293"/>
      <c r="J602" s="293"/>
      <c r="K602" s="293"/>
      <c r="L602" s="293"/>
      <c r="M602" s="279"/>
      <c r="N602" s="279"/>
      <c r="O602" s="279"/>
      <c r="P602" s="291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</row>
    <row r="603" spans="1:28" ht="15.75" customHeight="1" x14ac:dyDescent="0.25">
      <c r="A603" s="35"/>
      <c r="B603" s="246"/>
      <c r="C603" s="35"/>
      <c r="D603" s="35"/>
      <c r="E603" s="20"/>
      <c r="F603" s="20"/>
      <c r="G603" s="20"/>
      <c r="H603" s="257"/>
      <c r="I603" s="293"/>
      <c r="J603" s="293"/>
      <c r="K603" s="293"/>
      <c r="L603" s="293"/>
      <c r="M603" s="279"/>
      <c r="N603" s="279"/>
      <c r="O603" s="279"/>
      <c r="P603" s="291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</row>
    <row r="604" spans="1:28" ht="15.75" customHeight="1" x14ac:dyDescent="0.25">
      <c r="A604" s="35"/>
      <c r="B604" s="246"/>
      <c r="C604" s="35"/>
      <c r="D604" s="35"/>
      <c r="E604" s="20"/>
      <c r="F604" s="20"/>
      <c r="G604" s="20"/>
      <c r="H604" s="257"/>
      <c r="I604" s="293"/>
      <c r="J604" s="293"/>
      <c r="K604" s="293"/>
      <c r="L604" s="293"/>
      <c r="M604" s="279"/>
      <c r="N604" s="279"/>
      <c r="O604" s="279"/>
      <c r="P604" s="291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</row>
    <row r="605" spans="1:28" ht="15.75" customHeight="1" x14ac:dyDescent="0.25">
      <c r="A605" s="35"/>
      <c r="B605" s="246"/>
      <c r="C605" s="35"/>
      <c r="D605" s="35"/>
      <c r="E605" s="20"/>
      <c r="F605" s="20"/>
      <c r="G605" s="20"/>
      <c r="H605" s="257"/>
      <c r="I605" s="293"/>
      <c r="J605" s="293"/>
      <c r="K605" s="293"/>
      <c r="L605" s="293"/>
      <c r="M605" s="279"/>
      <c r="N605" s="279"/>
      <c r="O605" s="279"/>
      <c r="P605" s="291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</row>
    <row r="606" spans="1:28" ht="15.75" customHeight="1" x14ac:dyDescent="0.25">
      <c r="A606" s="35"/>
      <c r="B606" s="246"/>
      <c r="C606" s="35"/>
      <c r="D606" s="35"/>
      <c r="E606" s="20"/>
      <c r="F606" s="20"/>
      <c r="G606" s="20"/>
      <c r="H606" s="257"/>
      <c r="I606" s="293"/>
      <c r="J606" s="293"/>
      <c r="K606" s="293"/>
      <c r="L606" s="293"/>
      <c r="M606" s="279"/>
      <c r="N606" s="279"/>
      <c r="O606" s="279"/>
      <c r="P606" s="291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</row>
    <row r="607" spans="1:28" ht="15.75" customHeight="1" x14ac:dyDescent="0.25">
      <c r="A607" s="35"/>
      <c r="B607" s="246"/>
      <c r="C607" s="35"/>
      <c r="D607" s="35"/>
      <c r="E607" s="20"/>
      <c r="F607" s="20"/>
      <c r="G607" s="20"/>
      <c r="H607" s="257"/>
      <c r="I607" s="293"/>
      <c r="J607" s="293"/>
      <c r="K607" s="293"/>
      <c r="L607" s="293"/>
      <c r="M607" s="279"/>
      <c r="N607" s="279"/>
      <c r="O607" s="279"/>
      <c r="P607" s="291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</row>
    <row r="608" spans="1:28" ht="15.75" customHeight="1" x14ac:dyDescent="0.25">
      <c r="A608" s="35"/>
      <c r="B608" s="246"/>
      <c r="C608" s="35"/>
      <c r="D608" s="35"/>
      <c r="E608" s="20"/>
      <c r="F608" s="20"/>
      <c r="G608" s="20"/>
      <c r="H608" s="257"/>
      <c r="I608" s="293"/>
      <c r="J608" s="293"/>
      <c r="K608" s="293"/>
      <c r="L608" s="293"/>
      <c r="M608" s="279"/>
      <c r="N608" s="279"/>
      <c r="O608" s="279"/>
      <c r="P608" s="291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</row>
    <row r="609" spans="1:28" ht="15.75" customHeight="1" x14ac:dyDescent="0.25">
      <c r="A609" s="35"/>
      <c r="B609" s="246"/>
      <c r="C609" s="35"/>
      <c r="D609" s="35"/>
      <c r="E609" s="20"/>
      <c r="F609" s="20"/>
      <c r="G609" s="20"/>
      <c r="H609" s="257"/>
      <c r="I609" s="293"/>
      <c r="J609" s="293"/>
      <c r="K609" s="293"/>
      <c r="L609" s="293"/>
      <c r="M609" s="279"/>
      <c r="N609" s="279"/>
      <c r="O609" s="279"/>
      <c r="P609" s="291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</row>
    <row r="610" spans="1:28" ht="15.75" customHeight="1" x14ac:dyDescent="0.25">
      <c r="A610" s="35"/>
      <c r="B610" s="246"/>
      <c r="C610" s="35"/>
      <c r="D610" s="35"/>
      <c r="E610" s="20"/>
      <c r="F610" s="20"/>
      <c r="G610" s="20"/>
      <c r="H610" s="257"/>
      <c r="I610" s="293"/>
      <c r="J610" s="293"/>
      <c r="K610" s="293"/>
      <c r="L610" s="293"/>
      <c r="M610" s="279"/>
      <c r="N610" s="279"/>
      <c r="O610" s="279"/>
      <c r="P610" s="291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</row>
    <row r="611" spans="1:28" ht="15.75" customHeight="1" x14ac:dyDescent="0.25">
      <c r="A611" s="35"/>
      <c r="B611" s="246"/>
      <c r="C611" s="35"/>
      <c r="D611" s="35"/>
      <c r="E611" s="20"/>
      <c r="F611" s="20"/>
      <c r="G611" s="20"/>
      <c r="H611" s="257"/>
      <c r="I611" s="293"/>
      <c r="J611" s="293"/>
      <c r="K611" s="293"/>
      <c r="L611" s="293"/>
      <c r="M611" s="279"/>
      <c r="N611" s="279"/>
      <c r="O611" s="279"/>
      <c r="P611" s="291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</row>
    <row r="612" spans="1:28" ht="15.75" customHeight="1" x14ac:dyDescent="0.25">
      <c r="A612" s="35"/>
      <c r="B612" s="246"/>
      <c r="C612" s="35"/>
      <c r="D612" s="35"/>
      <c r="E612" s="20"/>
      <c r="F612" s="20"/>
      <c r="G612" s="20"/>
      <c r="H612" s="257"/>
      <c r="I612" s="293"/>
      <c r="J612" s="293"/>
      <c r="K612" s="293"/>
      <c r="L612" s="293"/>
      <c r="M612" s="279"/>
      <c r="N612" s="279"/>
      <c r="O612" s="279"/>
      <c r="P612" s="291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</row>
    <row r="613" spans="1:28" ht="15.75" customHeight="1" x14ac:dyDescent="0.25">
      <c r="A613" s="35"/>
      <c r="B613" s="246"/>
      <c r="C613" s="35"/>
      <c r="D613" s="35"/>
      <c r="E613" s="20"/>
      <c r="F613" s="20"/>
      <c r="G613" s="20"/>
      <c r="H613" s="257"/>
      <c r="I613" s="293"/>
      <c r="J613" s="293"/>
      <c r="K613" s="293"/>
      <c r="L613" s="293"/>
      <c r="M613" s="279"/>
      <c r="N613" s="279"/>
      <c r="O613" s="279"/>
      <c r="P613" s="291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</row>
    <row r="614" spans="1:28" ht="15.75" customHeight="1" x14ac:dyDescent="0.25">
      <c r="A614" s="35"/>
      <c r="B614" s="246"/>
      <c r="C614" s="35"/>
      <c r="D614" s="35"/>
      <c r="E614" s="20"/>
      <c r="F614" s="20"/>
      <c r="G614" s="20"/>
      <c r="H614" s="257"/>
      <c r="I614" s="293"/>
      <c r="J614" s="293"/>
      <c r="K614" s="293"/>
      <c r="L614" s="293"/>
      <c r="M614" s="279"/>
      <c r="N614" s="279"/>
      <c r="O614" s="279"/>
      <c r="P614" s="291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</row>
    <row r="615" spans="1:28" ht="15.75" customHeight="1" x14ac:dyDescent="0.25">
      <c r="A615" s="35"/>
      <c r="B615" s="246"/>
      <c r="C615" s="35"/>
      <c r="D615" s="35"/>
      <c r="E615" s="20"/>
      <c r="F615" s="20"/>
      <c r="G615" s="20"/>
      <c r="H615" s="257"/>
      <c r="I615" s="293"/>
      <c r="J615" s="293"/>
      <c r="K615" s="293"/>
      <c r="L615" s="293"/>
      <c r="M615" s="279"/>
      <c r="N615" s="279"/>
      <c r="O615" s="279"/>
      <c r="P615" s="291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</row>
    <row r="616" spans="1:28" ht="15.75" customHeight="1" x14ac:dyDescent="0.25">
      <c r="A616" s="35"/>
      <c r="B616" s="246"/>
      <c r="C616" s="35"/>
      <c r="D616" s="35"/>
      <c r="E616" s="20"/>
      <c r="F616" s="20"/>
      <c r="G616" s="20"/>
      <c r="H616" s="257"/>
      <c r="I616" s="293"/>
      <c r="J616" s="293"/>
      <c r="K616" s="293"/>
      <c r="L616" s="293"/>
      <c r="M616" s="279"/>
      <c r="N616" s="279"/>
      <c r="O616" s="279"/>
      <c r="P616" s="291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</row>
    <row r="617" spans="1:28" ht="15.75" customHeight="1" x14ac:dyDescent="0.25">
      <c r="A617" s="35"/>
      <c r="B617" s="246"/>
      <c r="C617" s="35"/>
      <c r="D617" s="35"/>
      <c r="E617" s="20"/>
      <c r="F617" s="20"/>
      <c r="G617" s="20"/>
      <c r="H617" s="257"/>
      <c r="I617" s="293"/>
      <c r="J617" s="293"/>
      <c r="K617" s="293"/>
      <c r="L617" s="293"/>
      <c r="M617" s="279"/>
      <c r="N617" s="279"/>
      <c r="O617" s="279"/>
      <c r="P617" s="291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</row>
    <row r="618" spans="1:28" ht="15.75" customHeight="1" x14ac:dyDescent="0.25">
      <c r="A618" s="35"/>
      <c r="B618" s="246"/>
      <c r="C618" s="35"/>
      <c r="D618" s="35"/>
      <c r="E618" s="20"/>
      <c r="F618" s="20"/>
      <c r="G618" s="20"/>
      <c r="H618" s="257"/>
      <c r="I618" s="293"/>
      <c r="J618" s="293"/>
      <c r="K618" s="293"/>
      <c r="L618" s="293"/>
      <c r="M618" s="279"/>
      <c r="N618" s="279"/>
      <c r="O618" s="279"/>
      <c r="P618" s="291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</row>
    <row r="619" spans="1:28" ht="15.75" customHeight="1" x14ac:dyDescent="0.25">
      <c r="A619" s="35"/>
      <c r="B619" s="246"/>
      <c r="C619" s="35"/>
      <c r="D619" s="35"/>
      <c r="E619" s="20"/>
      <c r="F619" s="20"/>
      <c r="G619" s="20"/>
      <c r="H619" s="257"/>
      <c r="I619" s="293"/>
      <c r="J619" s="293"/>
      <c r="K619" s="293"/>
      <c r="L619" s="293"/>
      <c r="M619" s="279"/>
      <c r="N619" s="279"/>
      <c r="O619" s="279"/>
      <c r="P619" s="291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</row>
    <row r="620" spans="1:28" ht="15.75" customHeight="1" x14ac:dyDescent="0.25">
      <c r="A620" s="35"/>
      <c r="B620" s="246"/>
      <c r="C620" s="35"/>
      <c r="D620" s="35"/>
      <c r="E620" s="20"/>
      <c r="F620" s="20"/>
      <c r="G620" s="20"/>
      <c r="H620" s="257"/>
      <c r="I620" s="293"/>
      <c r="J620" s="293"/>
      <c r="K620" s="293"/>
      <c r="L620" s="293"/>
      <c r="M620" s="279"/>
      <c r="N620" s="279"/>
      <c r="O620" s="279"/>
      <c r="P620" s="291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</row>
    <row r="621" spans="1:28" ht="15.75" customHeight="1" x14ac:dyDescent="0.25">
      <c r="A621" s="35"/>
      <c r="B621" s="246"/>
      <c r="C621" s="35"/>
      <c r="D621" s="35"/>
      <c r="E621" s="20"/>
      <c r="F621" s="20"/>
      <c r="G621" s="20"/>
      <c r="H621" s="257"/>
      <c r="I621" s="293"/>
      <c r="J621" s="293"/>
      <c r="K621" s="293"/>
      <c r="L621" s="293"/>
      <c r="M621" s="279"/>
      <c r="N621" s="279"/>
      <c r="O621" s="279"/>
      <c r="P621" s="291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</row>
    <row r="622" spans="1:28" ht="15.75" customHeight="1" x14ac:dyDescent="0.25">
      <c r="A622" s="35"/>
      <c r="B622" s="246"/>
      <c r="C622" s="35"/>
      <c r="D622" s="35"/>
      <c r="E622" s="20"/>
      <c r="F622" s="20"/>
      <c r="G622" s="20"/>
      <c r="H622" s="257"/>
      <c r="I622" s="293"/>
      <c r="J622" s="293"/>
      <c r="K622" s="293"/>
      <c r="L622" s="293"/>
      <c r="M622" s="279"/>
      <c r="N622" s="279"/>
      <c r="O622" s="279"/>
      <c r="P622" s="291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</row>
    <row r="623" spans="1:28" ht="15.75" customHeight="1" x14ac:dyDescent="0.25">
      <c r="A623" s="35"/>
      <c r="B623" s="246"/>
      <c r="C623" s="35"/>
      <c r="D623" s="35"/>
      <c r="E623" s="20"/>
      <c r="F623" s="20"/>
      <c r="G623" s="20"/>
      <c r="H623" s="257"/>
      <c r="I623" s="293"/>
      <c r="J623" s="293"/>
      <c r="K623" s="293"/>
      <c r="L623" s="293"/>
      <c r="M623" s="279"/>
      <c r="N623" s="279"/>
      <c r="O623" s="279"/>
      <c r="P623" s="291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</row>
    <row r="624" spans="1:28" ht="15.75" customHeight="1" x14ac:dyDescent="0.25">
      <c r="A624" s="35"/>
      <c r="B624" s="246"/>
      <c r="C624" s="35"/>
      <c r="D624" s="35"/>
      <c r="E624" s="20"/>
      <c r="F624" s="20"/>
      <c r="G624" s="20"/>
      <c r="H624" s="257"/>
      <c r="I624" s="293"/>
      <c r="J624" s="293"/>
      <c r="K624" s="293"/>
      <c r="L624" s="293"/>
      <c r="M624" s="279"/>
      <c r="N624" s="279"/>
      <c r="O624" s="279"/>
      <c r="P624" s="291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</row>
    <row r="625" spans="1:28" ht="15.75" customHeight="1" x14ac:dyDescent="0.25">
      <c r="A625" s="35"/>
      <c r="B625" s="246"/>
      <c r="C625" s="35"/>
      <c r="D625" s="35"/>
      <c r="E625" s="20"/>
      <c r="F625" s="20"/>
      <c r="G625" s="20"/>
      <c r="H625" s="257"/>
      <c r="I625" s="293"/>
      <c r="J625" s="293"/>
      <c r="K625" s="293"/>
      <c r="L625" s="293"/>
      <c r="M625" s="279"/>
      <c r="N625" s="279"/>
      <c r="O625" s="279"/>
      <c r="P625" s="291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</row>
    <row r="626" spans="1:28" ht="15.75" customHeight="1" x14ac:dyDescent="0.25">
      <c r="A626" s="35"/>
      <c r="B626" s="246"/>
      <c r="C626" s="35"/>
      <c r="D626" s="35"/>
      <c r="E626" s="20"/>
      <c r="F626" s="20"/>
      <c r="G626" s="20"/>
      <c r="H626" s="257"/>
      <c r="I626" s="293"/>
      <c r="J626" s="293"/>
      <c r="K626" s="293"/>
      <c r="L626" s="293"/>
      <c r="M626" s="279"/>
      <c r="N626" s="279"/>
      <c r="O626" s="279"/>
      <c r="P626" s="291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</row>
    <row r="627" spans="1:28" ht="15.75" customHeight="1" x14ac:dyDescent="0.25">
      <c r="A627" s="35"/>
      <c r="B627" s="246"/>
      <c r="C627" s="35"/>
      <c r="D627" s="35"/>
      <c r="E627" s="20"/>
      <c r="F627" s="20"/>
      <c r="G627" s="20"/>
      <c r="H627" s="257"/>
      <c r="I627" s="293"/>
      <c r="J627" s="293"/>
      <c r="K627" s="293"/>
      <c r="L627" s="293"/>
      <c r="M627" s="279"/>
      <c r="N627" s="279"/>
      <c r="O627" s="279"/>
      <c r="P627" s="291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</row>
    <row r="628" spans="1:28" ht="15.75" customHeight="1" x14ac:dyDescent="0.25">
      <c r="A628" s="35"/>
      <c r="B628" s="246"/>
      <c r="C628" s="35"/>
      <c r="D628" s="35"/>
      <c r="E628" s="20"/>
      <c r="F628" s="20"/>
      <c r="G628" s="20"/>
      <c r="H628" s="257"/>
      <c r="I628" s="293"/>
      <c r="J628" s="293"/>
      <c r="K628" s="293"/>
      <c r="L628" s="293"/>
      <c r="M628" s="279"/>
      <c r="N628" s="279"/>
      <c r="O628" s="279"/>
      <c r="P628" s="291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</row>
    <row r="629" spans="1:28" ht="15.75" customHeight="1" x14ac:dyDescent="0.25">
      <c r="A629" s="35"/>
      <c r="B629" s="246"/>
      <c r="C629" s="35"/>
      <c r="D629" s="35"/>
      <c r="E629" s="20"/>
      <c r="F629" s="20"/>
      <c r="G629" s="20"/>
      <c r="H629" s="257"/>
      <c r="I629" s="293"/>
      <c r="J629" s="293"/>
      <c r="K629" s="293"/>
      <c r="L629" s="293"/>
      <c r="M629" s="279"/>
      <c r="N629" s="279"/>
      <c r="O629" s="279"/>
      <c r="P629" s="291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</row>
    <row r="630" spans="1:28" ht="15.75" customHeight="1" x14ac:dyDescent="0.25">
      <c r="A630" s="35"/>
      <c r="B630" s="246"/>
      <c r="C630" s="35"/>
      <c r="D630" s="35"/>
      <c r="E630" s="20"/>
      <c r="F630" s="20"/>
      <c r="G630" s="20"/>
      <c r="H630" s="257"/>
      <c r="I630" s="293"/>
      <c r="J630" s="293"/>
      <c r="K630" s="293"/>
      <c r="L630" s="293"/>
      <c r="M630" s="279"/>
      <c r="N630" s="279"/>
      <c r="O630" s="279"/>
      <c r="P630" s="291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</row>
    <row r="631" spans="1:28" ht="15.75" customHeight="1" x14ac:dyDescent="0.25">
      <c r="A631" s="35"/>
      <c r="B631" s="246"/>
      <c r="C631" s="35"/>
      <c r="D631" s="35"/>
      <c r="E631" s="20"/>
      <c r="F631" s="20"/>
      <c r="G631" s="20"/>
      <c r="H631" s="257"/>
      <c r="I631" s="293"/>
      <c r="J631" s="293"/>
      <c r="K631" s="293"/>
      <c r="L631" s="293"/>
      <c r="M631" s="279"/>
      <c r="N631" s="279"/>
      <c r="O631" s="279"/>
      <c r="P631" s="291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</row>
    <row r="632" spans="1:28" ht="15.75" customHeight="1" x14ac:dyDescent="0.25">
      <c r="A632" s="35"/>
      <c r="B632" s="246"/>
      <c r="C632" s="35"/>
      <c r="D632" s="35"/>
      <c r="E632" s="20"/>
      <c r="F632" s="20"/>
      <c r="G632" s="20"/>
      <c r="H632" s="257"/>
      <c r="I632" s="293"/>
      <c r="J632" s="293"/>
      <c r="K632" s="293"/>
      <c r="L632" s="293"/>
      <c r="M632" s="279"/>
      <c r="N632" s="279"/>
      <c r="O632" s="279"/>
      <c r="P632" s="291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</row>
    <row r="633" spans="1:28" ht="15.75" customHeight="1" x14ac:dyDescent="0.25">
      <c r="A633" s="35"/>
      <c r="B633" s="246"/>
      <c r="C633" s="35"/>
      <c r="D633" s="35"/>
      <c r="E633" s="20"/>
      <c r="F633" s="20"/>
      <c r="G633" s="20"/>
      <c r="H633" s="257"/>
      <c r="I633" s="293"/>
      <c r="J633" s="293"/>
      <c r="K633" s="293"/>
      <c r="L633" s="293"/>
      <c r="M633" s="279"/>
      <c r="N633" s="279"/>
      <c r="O633" s="279"/>
      <c r="P633" s="291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</row>
    <row r="634" spans="1:28" ht="15.75" customHeight="1" x14ac:dyDescent="0.25">
      <c r="A634" s="35"/>
      <c r="B634" s="246"/>
      <c r="C634" s="35"/>
      <c r="D634" s="35"/>
      <c r="E634" s="20"/>
      <c r="F634" s="20"/>
      <c r="G634" s="20"/>
      <c r="H634" s="257"/>
      <c r="I634" s="293"/>
      <c r="J634" s="293"/>
      <c r="K634" s="293"/>
      <c r="L634" s="293"/>
      <c r="M634" s="279"/>
      <c r="N634" s="279"/>
      <c r="O634" s="279"/>
      <c r="P634" s="291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</row>
    <row r="635" spans="1:28" ht="15.75" customHeight="1" x14ac:dyDescent="0.25">
      <c r="A635" s="35"/>
      <c r="B635" s="246"/>
      <c r="C635" s="35"/>
      <c r="D635" s="35"/>
      <c r="E635" s="20"/>
      <c r="F635" s="20"/>
      <c r="G635" s="20"/>
      <c r="H635" s="257"/>
      <c r="I635" s="293"/>
      <c r="J635" s="293"/>
      <c r="K635" s="293"/>
      <c r="L635" s="293"/>
      <c r="M635" s="279"/>
      <c r="N635" s="279"/>
      <c r="O635" s="279"/>
      <c r="P635" s="291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</row>
    <row r="636" spans="1:28" ht="15.75" customHeight="1" x14ac:dyDescent="0.25">
      <c r="A636" s="35"/>
      <c r="B636" s="246"/>
      <c r="C636" s="35"/>
      <c r="D636" s="35"/>
      <c r="E636" s="20"/>
      <c r="F636" s="20"/>
      <c r="G636" s="20"/>
      <c r="H636" s="257"/>
      <c r="I636" s="293"/>
      <c r="J636" s="293"/>
      <c r="K636" s="293"/>
      <c r="L636" s="293"/>
      <c r="M636" s="279"/>
      <c r="N636" s="279"/>
      <c r="O636" s="279"/>
      <c r="P636" s="291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</row>
    <row r="637" spans="1:28" ht="15.75" customHeight="1" x14ac:dyDescent="0.25">
      <c r="A637" s="35"/>
      <c r="B637" s="246"/>
      <c r="C637" s="35"/>
      <c r="D637" s="35"/>
      <c r="E637" s="20"/>
      <c r="F637" s="20"/>
      <c r="G637" s="20"/>
      <c r="H637" s="257"/>
      <c r="I637" s="293"/>
      <c r="J637" s="293"/>
      <c r="K637" s="293"/>
      <c r="L637" s="293"/>
      <c r="M637" s="279"/>
      <c r="N637" s="279"/>
      <c r="O637" s="279"/>
      <c r="P637" s="291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</row>
    <row r="638" spans="1:28" ht="15.75" customHeight="1" x14ac:dyDescent="0.25">
      <c r="A638" s="35"/>
      <c r="B638" s="246"/>
      <c r="C638" s="35"/>
      <c r="D638" s="35"/>
      <c r="E638" s="20"/>
      <c r="F638" s="20"/>
      <c r="G638" s="20"/>
      <c r="H638" s="257"/>
      <c r="I638" s="293"/>
      <c r="J638" s="293"/>
      <c r="K638" s="293"/>
      <c r="L638" s="293"/>
      <c r="M638" s="279"/>
      <c r="N638" s="279"/>
      <c r="O638" s="279"/>
      <c r="P638" s="291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</row>
    <row r="639" spans="1:28" ht="15.75" customHeight="1" x14ac:dyDescent="0.25">
      <c r="A639" s="35"/>
      <c r="B639" s="246"/>
      <c r="C639" s="35"/>
      <c r="D639" s="35"/>
      <c r="E639" s="20"/>
      <c r="F639" s="20"/>
      <c r="G639" s="20"/>
      <c r="H639" s="257"/>
      <c r="I639" s="293"/>
      <c r="J639" s="293"/>
      <c r="K639" s="293"/>
      <c r="L639" s="293"/>
      <c r="M639" s="279"/>
      <c r="N639" s="279"/>
      <c r="O639" s="279"/>
      <c r="P639" s="291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</row>
    <row r="640" spans="1:28" ht="15.75" customHeight="1" x14ac:dyDescent="0.25">
      <c r="A640" s="35"/>
      <c r="B640" s="246"/>
      <c r="C640" s="35"/>
      <c r="D640" s="35"/>
      <c r="E640" s="20"/>
      <c r="F640" s="20"/>
      <c r="G640" s="20"/>
      <c r="H640" s="257"/>
      <c r="I640" s="293"/>
      <c r="J640" s="293"/>
      <c r="K640" s="293"/>
      <c r="L640" s="293"/>
      <c r="M640" s="279"/>
      <c r="N640" s="279"/>
      <c r="O640" s="279"/>
      <c r="P640" s="291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</row>
    <row r="641" spans="1:28" ht="15.75" customHeight="1" x14ac:dyDescent="0.25">
      <c r="A641" s="35"/>
      <c r="B641" s="246"/>
      <c r="C641" s="35"/>
      <c r="D641" s="35"/>
      <c r="E641" s="20"/>
      <c r="F641" s="20"/>
      <c r="G641" s="20"/>
      <c r="H641" s="257"/>
      <c r="I641" s="293"/>
      <c r="J641" s="293"/>
      <c r="K641" s="293"/>
      <c r="L641" s="293"/>
      <c r="M641" s="279"/>
      <c r="N641" s="279"/>
      <c r="O641" s="279"/>
      <c r="P641" s="291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</row>
    <row r="642" spans="1:28" ht="15.75" customHeight="1" x14ac:dyDescent="0.25">
      <c r="A642" s="35"/>
      <c r="B642" s="246"/>
      <c r="C642" s="35"/>
      <c r="D642" s="35"/>
      <c r="E642" s="20"/>
      <c r="F642" s="20"/>
      <c r="G642" s="20"/>
      <c r="H642" s="257"/>
      <c r="I642" s="293"/>
      <c r="J642" s="293"/>
      <c r="K642" s="293"/>
      <c r="L642" s="293"/>
      <c r="M642" s="279"/>
      <c r="N642" s="279"/>
      <c r="O642" s="279"/>
      <c r="P642" s="291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</row>
    <row r="643" spans="1:28" ht="15.75" customHeight="1" x14ac:dyDescent="0.25">
      <c r="A643" s="35"/>
      <c r="B643" s="246"/>
      <c r="C643" s="35"/>
      <c r="D643" s="35"/>
      <c r="E643" s="20"/>
      <c r="F643" s="20"/>
      <c r="G643" s="20"/>
      <c r="H643" s="257"/>
      <c r="I643" s="293"/>
      <c r="J643" s="293"/>
      <c r="K643" s="293"/>
      <c r="L643" s="293"/>
      <c r="M643" s="279"/>
      <c r="N643" s="279"/>
      <c r="O643" s="279"/>
      <c r="P643" s="291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</row>
    <row r="644" spans="1:28" ht="15.75" customHeight="1" x14ac:dyDescent="0.25">
      <c r="A644" s="35"/>
      <c r="B644" s="246"/>
      <c r="C644" s="35"/>
      <c r="D644" s="35"/>
      <c r="E644" s="20"/>
      <c r="F644" s="20"/>
      <c r="G644" s="20"/>
      <c r="H644" s="257"/>
      <c r="I644" s="293"/>
      <c r="J644" s="293"/>
      <c r="K644" s="293"/>
      <c r="L644" s="293"/>
      <c r="M644" s="279"/>
      <c r="N644" s="279"/>
      <c r="O644" s="279"/>
      <c r="P644" s="291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</row>
    <row r="645" spans="1:28" ht="15.75" customHeight="1" x14ac:dyDescent="0.25">
      <c r="A645" s="35"/>
      <c r="B645" s="246"/>
      <c r="C645" s="35"/>
      <c r="D645" s="35"/>
      <c r="E645" s="20"/>
      <c r="F645" s="20"/>
      <c r="G645" s="20"/>
      <c r="H645" s="257"/>
      <c r="I645" s="293"/>
      <c r="J645" s="293"/>
      <c r="K645" s="293"/>
      <c r="L645" s="293"/>
      <c r="M645" s="279"/>
      <c r="N645" s="279"/>
      <c r="O645" s="279"/>
      <c r="P645" s="291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</row>
    <row r="646" spans="1:28" ht="15.75" customHeight="1" x14ac:dyDescent="0.25">
      <c r="A646" s="35"/>
      <c r="B646" s="246"/>
      <c r="C646" s="35"/>
      <c r="D646" s="35"/>
      <c r="E646" s="20"/>
      <c r="F646" s="20"/>
      <c r="G646" s="20"/>
      <c r="H646" s="257"/>
      <c r="I646" s="293"/>
      <c r="J646" s="293"/>
      <c r="K646" s="293"/>
      <c r="L646" s="293"/>
      <c r="M646" s="279"/>
      <c r="N646" s="279"/>
      <c r="O646" s="279"/>
      <c r="P646" s="291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</row>
    <row r="647" spans="1:28" ht="15.75" customHeight="1" x14ac:dyDescent="0.25">
      <c r="A647" s="35"/>
      <c r="B647" s="246"/>
      <c r="C647" s="35"/>
      <c r="D647" s="35"/>
      <c r="E647" s="20"/>
      <c r="F647" s="20"/>
      <c r="G647" s="20"/>
      <c r="H647" s="257"/>
      <c r="I647" s="293"/>
      <c r="J647" s="293"/>
      <c r="K647" s="293"/>
      <c r="L647" s="293"/>
      <c r="M647" s="279"/>
      <c r="N647" s="279"/>
      <c r="O647" s="279"/>
      <c r="P647" s="291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</row>
    <row r="648" spans="1:28" ht="15.75" customHeight="1" x14ac:dyDescent="0.25">
      <c r="A648" s="35"/>
      <c r="B648" s="246"/>
      <c r="C648" s="35"/>
      <c r="D648" s="35"/>
      <c r="E648" s="20"/>
      <c r="F648" s="20"/>
      <c r="G648" s="20"/>
      <c r="H648" s="257"/>
      <c r="I648" s="293"/>
      <c r="J648" s="293"/>
      <c r="K648" s="293"/>
      <c r="L648" s="293"/>
      <c r="M648" s="279"/>
      <c r="N648" s="279"/>
      <c r="O648" s="279"/>
      <c r="P648" s="291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</row>
    <row r="649" spans="1:28" ht="15.75" customHeight="1" x14ac:dyDescent="0.25">
      <c r="A649" s="35"/>
      <c r="B649" s="246"/>
      <c r="C649" s="35"/>
      <c r="D649" s="35"/>
      <c r="E649" s="20"/>
      <c r="F649" s="20"/>
      <c r="G649" s="20"/>
      <c r="H649" s="257"/>
      <c r="I649" s="293"/>
      <c r="J649" s="293"/>
      <c r="K649" s="293"/>
      <c r="L649" s="293"/>
      <c r="M649" s="279"/>
      <c r="N649" s="279"/>
      <c r="O649" s="279"/>
      <c r="P649" s="291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</row>
    <row r="650" spans="1:28" ht="15.75" customHeight="1" x14ac:dyDescent="0.25">
      <c r="A650" s="35"/>
      <c r="B650" s="246"/>
      <c r="C650" s="35"/>
      <c r="D650" s="35"/>
      <c r="E650" s="20"/>
      <c r="F650" s="20"/>
      <c r="G650" s="20"/>
      <c r="H650" s="257"/>
      <c r="I650" s="293"/>
      <c r="J650" s="293"/>
      <c r="K650" s="293"/>
      <c r="L650" s="293"/>
      <c r="M650" s="279"/>
      <c r="N650" s="279"/>
      <c r="O650" s="279"/>
      <c r="P650" s="291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</row>
    <row r="651" spans="1:28" ht="15.75" customHeight="1" x14ac:dyDescent="0.25">
      <c r="A651" s="35"/>
      <c r="B651" s="246"/>
      <c r="C651" s="35"/>
      <c r="D651" s="35"/>
      <c r="E651" s="20"/>
      <c r="F651" s="20"/>
      <c r="G651" s="20"/>
      <c r="H651" s="257"/>
      <c r="I651" s="293"/>
      <c r="J651" s="293"/>
      <c r="K651" s="293"/>
      <c r="L651" s="293"/>
      <c r="M651" s="279"/>
      <c r="N651" s="279"/>
      <c r="O651" s="279"/>
      <c r="P651" s="291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</row>
    <row r="652" spans="1:28" ht="15.75" customHeight="1" x14ac:dyDescent="0.25">
      <c r="A652" s="35"/>
      <c r="B652" s="246"/>
      <c r="C652" s="35"/>
      <c r="D652" s="35"/>
      <c r="E652" s="20"/>
      <c r="F652" s="20"/>
      <c r="G652" s="20"/>
      <c r="H652" s="257"/>
      <c r="I652" s="293"/>
      <c r="J652" s="293"/>
      <c r="K652" s="293"/>
      <c r="L652" s="293"/>
      <c r="M652" s="279"/>
      <c r="N652" s="279"/>
      <c r="O652" s="279"/>
      <c r="P652" s="291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</row>
    <row r="653" spans="1:28" ht="15.75" customHeight="1" x14ac:dyDescent="0.25">
      <c r="A653" s="35"/>
      <c r="B653" s="246"/>
      <c r="C653" s="35"/>
      <c r="D653" s="35"/>
      <c r="E653" s="20"/>
      <c r="F653" s="20"/>
      <c r="G653" s="20"/>
      <c r="H653" s="257"/>
      <c r="I653" s="293"/>
      <c r="J653" s="293"/>
      <c r="K653" s="293"/>
      <c r="L653" s="293"/>
      <c r="M653" s="279"/>
      <c r="N653" s="279"/>
      <c r="O653" s="279"/>
      <c r="P653" s="291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</row>
    <row r="654" spans="1:28" ht="15.75" customHeight="1" x14ac:dyDescent="0.25">
      <c r="A654" s="35"/>
      <c r="B654" s="246"/>
      <c r="C654" s="35"/>
      <c r="D654" s="35"/>
      <c r="E654" s="20"/>
      <c r="F654" s="20"/>
      <c r="G654" s="20"/>
      <c r="H654" s="257"/>
      <c r="I654" s="293"/>
      <c r="J654" s="293"/>
      <c r="K654" s="293"/>
      <c r="L654" s="293"/>
      <c r="M654" s="279"/>
      <c r="N654" s="279"/>
      <c r="O654" s="279"/>
      <c r="P654" s="291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</row>
    <row r="655" spans="1:28" ht="15.75" customHeight="1" x14ac:dyDescent="0.25">
      <c r="A655" s="35"/>
      <c r="B655" s="246"/>
      <c r="C655" s="35"/>
      <c r="D655" s="35"/>
      <c r="E655" s="20"/>
      <c r="F655" s="20"/>
      <c r="G655" s="20"/>
      <c r="H655" s="257"/>
      <c r="I655" s="293"/>
      <c r="J655" s="293"/>
      <c r="K655" s="293"/>
      <c r="L655" s="293"/>
      <c r="M655" s="279"/>
      <c r="N655" s="279"/>
      <c r="O655" s="279"/>
      <c r="P655" s="291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</row>
    <row r="656" spans="1:28" ht="15.75" customHeight="1" x14ac:dyDescent="0.25">
      <c r="A656" s="35"/>
      <c r="B656" s="246"/>
      <c r="C656" s="35"/>
      <c r="D656" s="35"/>
      <c r="E656" s="20"/>
      <c r="F656" s="20"/>
      <c r="G656" s="20"/>
      <c r="H656" s="257"/>
      <c r="I656" s="293"/>
      <c r="J656" s="293"/>
      <c r="K656" s="293"/>
      <c r="L656" s="293"/>
      <c r="M656" s="279"/>
      <c r="N656" s="279"/>
      <c r="O656" s="279"/>
      <c r="P656" s="291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</row>
    <row r="657" spans="1:28" ht="15.75" customHeight="1" x14ac:dyDescent="0.25">
      <c r="A657" s="35"/>
      <c r="B657" s="246"/>
      <c r="C657" s="35"/>
      <c r="D657" s="35"/>
      <c r="E657" s="20"/>
      <c r="F657" s="20"/>
      <c r="G657" s="20"/>
      <c r="H657" s="257"/>
      <c r="I657" s="293"/>
      <c r="J657" s="293"/>
      <c r="K657" s="293"/>
      <c r="L657" s="293"/>
      <c r="M657" s="279"/>
      <c r="N657" s="279"/>
      <c r="O657" s="279"/>
      <c r="P657" s="291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</row>
    <row r="658" spans="1:28" ht="15.75" customHeight="1" x14ac:dyDescent="0.25">
      <c r="A658" s="35"/>
      <c r="B658" s="246"/>
      <c r="C658" s="35"/>
      <c r="D658" s="35"/>
      <c r="E658" s="20"/>
      <c r="F658" s="20"/>
      <c r="G658" s="20"/>
      <c r="H658" s="257"/>
      <c r="I658" s="293"/>
      <c r="J658" s="293"/>
      <c r="K658" s="293"/>
      <c r="L658" s="293"/>
      <c r="M658" s="279"/>
      <c r="N658" s="279"/>
      <c r="O658" s="279"/>
      <c r="P658" s="291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</row>
    <row r="659" spans="1:28" ht="15.75" customHeight="1" x14ac:dyDescent="0.25">
      <c r="A659" s="35"/>
      <c r="B659" s="246"/>
      <c r="C659" s="35"/>
      <c r="D659" s="35"/>
      <c r="E659" s="20"/>
      <c r="F659" s="20"/>
      <c r="G659" s="20"/>
      <c r="H659" s="257"/>
      <c r="I659" s="293"/>
      <c r="J659" s="293"/>
      <c r="K659" s="293"/>
      <c r="L659" s="293"/>
      <c r="M659" s="279"/>
      <c r="N659" s="279"/>
      <c r="O659" s="279"/>
      <c r="P659" s="291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</row>
    <row r="660" spans="1:28" ht="15.75" customHeight="1" x14ac:dyDescent="0.25">
      <c r="A660" s="35"/>
      <c r="B660" s="246"/>
      <c r="C660" s="35"/>
      <c r="D660" s="35"/>
      <c r="E660" s="20"/>
      <c r="F660" s="20"/>
      <c r="G660" s="20"/>
      <c r="H660" s="257"/>
      <c r="I660" s="293"/>
      <c r="J660" s="293"/>
      <c r="K660" s="293"/>
      <c r="L660" s="293"/>
      <c r="M660" s="279"/>
      <c r="N660" s="279"/>
      <c r="O660" s="279"/>
      <c r="P660" s="291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</row>
    <row r="661" spans="1:28" ht="15.75" customHeight="1" x14ac:dyDescent="0.25">
      <c r="A661" s="35"/>
      <c r="B661" s="246"/>
      <c r="C661" s="35"/>
      <c r="D661" s="35"/>
      <c r="E661" s="20"/>
      <c r="F661" s="20"/>
      <c r="G661" s="20"/>
      <c r="H661" s="257"/>
      <c r="I661" s="293"/>
      <c r="J661" s="293"/>
      <c r="K661" s="293"/>
      <c r="L661" s="293"/>
      <c r="M661" s="279"/>
      <c r="N661" s="279"/>
      <c r="O661" s="279"/>
      <c r="P661" s="291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</row>
    <row r="662" spans="1:28" ht="15.75" customHeight="1" x14ac:dyDescent="0.25">
      <c r="A662" s="35"/>
      <c r="B662" s="246"/>
      <c r="C662" s="35"/>
      <c r="D662" s="35"/>
      <c r="E662" s="20"/>
      <c r="F662" s="20"/>
      <c r="G662" s="20"/>
      <c r="H662" s="257"/>
      <c r="I662" s="293"/>
      <c r="J662" s="293"/>
      <c r="K662" s="293"/>
      <c r="L662" s="293"/>
      <c r="M662" s="279"/>
      <c r="N662" s="279"/>
      <c r="O662" s="279"/>
      <c r="P662" s="291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</row>
    <row r="663" spans="1:28" ht="15.75" customHeight="1" x14ac:dyDescent="0.25">
      <c r="A663" s="35"/>
      <c r="B663" s="246"/>
      <c r="C663" s="35"/>
      <c r="D663" s="35"/>
      <c r="E663" s="20"/>
      <c r="F663" s="20"/>
      <c r="G663" s="20"/>
      <c r="H663" s="257"/>
      <c r="I663" s="293"/>
      <c r="J663" s="293"/>
      <c r="K663" s="293"/>
      <c r="L663" s="293"/>
      <c r="M663" s="279"/>
      <c r="N663" s="279"/>
      <c r="O663" s="279"/>
      <c r="P663" s="291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</row>
    <row r="664" spans="1:28" ht="15.75" customHeight="1" x14ac:dyDescent="0.25">
      <c r="A664" s="35"/>
      <c r="B664" s="246"/>
      <c r="C664" s="35"/>
      <c r="D664" s="35"/>
      <c r="E664" s="20"/>
      <c r="F664" s="20"/>
      <c r="G664" s="20"/>
      <c r="H664" s="257"/>
      <c r="I664" s="293"/>
      <c r="J664" s="293"/>
      <c r="K664" s="293"/>
      <c r="L664" s="293"/>
      <c r="M664" s="279"/>
      <c r="N664" s="279"/>
      <c r="O664" s="279"/>
      <c r="P664" s="291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</row>
    <row r="665" spans="1:28" ht="15.75" customHeight="1" x14ac:dyDescent="0.25">
      <c r="A665" s="35"/>
      <c r="B665" s="246"/>
      <c r="C665" s="35"/>
      <c r="D665" s="35"/>
      <c r="E665" s="20"/>
      <c r="F665" s="20"/>
      <c r="G665" s="20"/>
      <c r="H665" s="257"/>
      <c r="I665" s="293"/>
      <c r="J665" s="293"/>
      <c r="K665" s="293"/>
      <c r="L665" s="293"/>
      <c r="M665" s="279"/>
      <c r="N665" s="279"/>
      <c r="O665" s="279"/>
      <c r="P665" s="291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</row>
    <row r="666" spans="1:28" ht="15.75" customHeight="1" x14ac:dyDescent="0.25">
      <c r="A666" s="35"/>
      <c r="B666" s="246"/>
      <c r="C666" s="35"/>
      <c r="D666" s="35"/>
      <c r="E666" s="20"/>
      <c r="F666" s="20"/>
      <c r="G666" s="20"/>
      <c r="H666" s="257"/>
      <c r="I666" s="293"/>
      <c r="J666" s="293"/>
      <c r="K666" s="293"/>
      <c r="L666" s="293"/>
      <c r="M666" s="279"/>
      <c r="N666" s="279"/>
      <c r="O666" s="279"/>
      <c r="P666" s="291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</row>
    <row r="667" spans="1:28" ht="15.75" customHeight="1" x14ac:dyDescent="0.25">
      <c r="A667" s="35"/>
      <c r="B667" s="246"/>
      <c r="C667" s="35"/>
      <c r="D667" s="35"/>
      <c r="E667" s="20"/>
      <c r="F667" s="20"/>
      <c r="G667" s="20"/>
      <c r="H667" s="257"/>
      <c r="I667" s="293"/>
      <c r="J667" s="293"/>
      <c r="K667" s="293"/>
      <c r="L667" s="293"/>
      <c r="M667" s="279"/>
      <c r="N667" s="279"/>
      <c r="O667" s="279"/>
      <c r="P667" s="291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</row>
    <row r="668" spans="1:28" ht="15.75" customHeight="1" x14ac:dyDescent="0.25">
      <c r="A668" s="35"/>
      <c r="B668" s="246"/>
      <c r="C668" s="35"/>
      <c r="D668" s="35"/>
      <c r="E668" s="20"/>
      <c r="F668" s="20"/>
      <c r="G668" s="20"/>
      <c r="H668" s="257"/>
      <c r="I668" s="293"/>
      <c r="J668" s="293"/>
      <c r="K668" s="293"/>
      <c r="L668" s="293"/>
      <c r="M668" s="279"/>
      <c r="N668" s="279"/>
      <c r="O668" s="279"/>
      <c r="P668" s="291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</row>
    <row r="669" spans="1:28" ht="15.75" customHeight="1" x14ac:dyDescent="0.25">
      <c r="A669" s="35"/>
      <c r="B669" s="246"/>
      <c r="C669" s="35"/>
      <c r="D669" s="35"/>
      <c r="E669" s="20"/>
      <c r="F669" s="20"/>
      <c r="G669" s="20"/>
      <c r="H669" s="257"/>
      <c r="I669" s="293"/>
      <c r="J669" s="293"/>
      <c r="K669" s="293"/>
      <c r="L669" s="293"/>
      <c r="M669" s="279"/>
      <c r="N669" s="279"/>
      <c r="O669" s="279"/>
      <c r="P669" s="291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</row>
    <row r="670" spans="1:28" ht="15.75" customHeight="1" x14ac:dyDescent="0.25">
      <c r="A670" s="35"/>
      <c r="B670" s="246"/>
      <c r="C670" s="35"/>
      <c r="D670" s="35"/>
      <c r="E670" s="20"/>
      <c r="F670" s="20"/>
      <c r="G670" s="20"/>
      <c r="H670" s="257"/>
      <c r="I670" s="293"/>
      <c r="J670" s="293"/>
      <c r="K670" s="293"/>
      <c r="L670" s="293"/>
      <c r="M670" s="279"/>
      <c r="N670" s="279"/>
      <c r="O670" s="279"/>
      <c r="P670" s="291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</row>
    <row r="671" spans="1:28" ht="15.75" customHeight="1" x14ac:dyDescent="0.25">
      <c r="A671" s="35"/>
      <c r="B671" s="246"/>
      <c r="C671" s="35"/>
      <c r="D671" s="35"/>
      <c r="E671" s="20"/>
      <c r="F671" s="20"/>
      <c r="G671" s="20"/>
      <c r="H671" s="257"/>
      <c r="I671" s="293"/>
      <c r="J671" s="293"/>
      <c r="K671" s="293"/>
      <c r="L671" s="293"/>
      <c r="M671" s="279"/>
      <c r="N671" s="279"/>
      <c r="O671" s="279"/>
      <c r="P671" s="291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</row>
    <row r="672" spans="1:28" ht="15.75" customHeight="1" x14ac:dyDescent="0.25">
      <c r="A672" s="35"/>
      <c r="B672" s="246"/>
      <c r="C672" s="35"/>
      <c r="D672" s="35"/>
      <c r="E672" s="20"/>
      <c r="F672" s="20"/>
      <c r="G672" s="20"/>
      <c r="H672" s="257"/>
      <c r="I672" s="293"/>
      <c r="J672" s="293"/>
      <c r="K672" s="293"/>
      <c r="L672" s="293"/>
      <c r="M672" s="279"/>
      <c r="N672" s="279"/>
      <c r="O672" s="279"/>
      <c r="P672" s="291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</row>
    <row r="673" spans="1:28" ht="15.75" customHeight="1" x14ac:dyDescent="0.25">
      <c r="A673" s="35"/>
      <c r="B673" s="246"/>
      <c r="C673" s="35"/>
      <c r="D673" s="35"/>
      <c r="E673" s="20"/>
      <c r="F673" s="20"/>
      <c r="G673" s="20"/>
      <c r="H673" s="257"/>
      <c r="I673" s="293"/>
      <c r="J673" s="293"/>
      <c r="K673" s="293"/>
      <c r="L673" s="293"/>
      <c r="M673" s="279"/>
      <c r="N673" s="279"/>
      <c r="O673" s="279"/>
      <c r="P673" s="291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</row>
    <row r="674" spans="1:28" ht="15.75" customHeight="1" x14ac:dyDescent="0.25">
      <c r="A674" s="35"/>
      <c r="B674" s="246"/>
      <c r="C674" s="35"/>
      <c r="D674" s="35"/>
      <c r="E674" s="20"/>
      <c r="F674" s="20"/>
      <c r="G674" s="20"/>
      <c r="H674" s="257"/>
      <c r="I674" s="293"/>
      <c r="J674" s="293"/>
      <c r="K674" s="293"/>
      <c r="L674" s="293"/>
      <c r="M674" s="279"/>
      <c r="N674" s="279"/>
      <c r="O674" s="279"/>
      <c r="P674" s="291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</row>
    <row r="675" spans="1:28" ht="15.75" customHeight="1" x14ac:dyDescent="0.25">
      <c r="A675" s="35"/>
      <c r="B675" s="246"/>
      <c r="C675" s="35"/>
      <c r="D675" s="35"/>
      <c r="E675" s="20"/>
      <c r="F675" s="20"/>
      <c r="G675" s="20"/>
      <c r="H675" s="257"/>
      <c r="I675" s="293"/>
      <c r="J675" s="293"/>
      <c r="K675" s="293"/>
      <c r="L675" s="293"/>
      <c r="M675" s="279"/>
      <c r="N675" s="279"/>
      <c r="O675" s="279"/>
      <c r="P675" s="291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</row>
    <row r="676" spans="1:28" ht="15.75" customHeight="1" x14ac:dyDescent="0.25">
      <c r="A676" s="35"/>
      <c r="B676" s="246"/>
      <c r="C676" s="35"/>
      <c r="D676" s="35"/>
      <c r="E676" s="20"/>
      <c r="F676" s="20"/>
      <c r="G676" s="20"/>
      <c r="H676" s="257"/>
      <c r="I676" s="293"/>
      <c r="J676" s="293"/>
      <c r="K676" s="293"/>
      <c r="L676" s="293"/>
      <c r="M676" s="279"/>
      <c r="N676" s="279"/>
      <c r="O676" s="279"/>
      <c r="P676" s="291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</row>
    <row r="677" spans="1:28" ht="15.75" customHeight="1" x14ac:dyDescent="0.25">
      <c r="A677" s="35"/>
      <c r="B677" s="246"/>
      <c r="C677" s="35"/>
      <c r="D677" s="35"/>
      <c r="E677" s="20"/>
      <c r="F677" s="20"/>
      <c r="G677" s="20"/>
      <c r="H677" s="257"/>
      <c r="I677" s="293"/>
      <c r="J677" s="293"/>
      <c r="K677" s="293"/>
      <c r="L677" s="293"/>
      <c r="M677" s="279"/>
      <c r="N677" s="279"/>
      <c r="O677" s="279"/>
      <c r="P677" s="291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</row>
    <row r="678" spans="1:28" ht="15.75" customHeight="1" x14ac:dyDescent="0.25">
      <c r="A678" s="35"/>
      <c r="B678" s="246"/>
      <c r="C678" s="35"/>
      <c r="D678" s="35"/>
      <c r="E678" s="20"/>
      <c r="F678" s="20"/>
      <c r="G678" s="20"/>
      <c r="H678" s="257"/>
      <c r="I678" s="293"/>
      <c r="J678" s="293"/>
      <c r="K678" s="293"/>
      <c r="L678" s="293"/>
      <c r="M678" s="279"/>
      <c r="N678" s="279"/>
      <c r="O678" s="279"/>
      <c r="P678" s="291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</row>
    <row r="679" spans="1:28" ht="15.75" customHeight="1" x14ac:dyDescent="0.25">
      <c r="A679" s="35"/>
      <c r="B679" s="246"/>
      <c r="C679" s="35"/>
      <c r="D679" s="35"/>
      <c r="E679" s="20"/>
      <c r="F679" s="20"/>
      <c r="G679" s="20"/>
      <c r="H679" s="257"/>
      <c r="I679" s="293"/>
      <c r="J679" s="293"/>
      <c r="K679" s="293"/>
      <c r="L679" s="293"/>
      <c r="M679" s="279"/>
      <c r="N679" s="279"/>
      <c r="O679" s="279"/>
      <c r="P679" s="291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</row>
    <row r="680" spans="1:28" ht="15.75" customHeight="1" x14ac:dyDescent="0.25">
      <c r="A680" s="35"/>
      <c r="B680" s="246"/>
      <c r="C680" s="35"/>
      <c r="D680" s="35"/>
      <c r="E680" s="20"/>
      <c r="F680" s="20"/>
      <c r="G680" s="20"/>
      <c r="H680" s="257"/>
      <c r="I680" s="293"/>
      <c r="J680" s="293"/>
      <c r="K680" s="293"/>
      <c r="L680" s="293"/>
      <c r="M680" s="279"/>
      <c r="N680" s="279"/>
      <c r="O680" s="279"/>
      <c r="P680" s="291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</row>
    <row r="681" spans="1:28" ht="15.75" customHeight="1" x14ac:dyDescent="0.25">
      <c r="A681" s="35"/>
      <c r="B681" s="246"/>
      <c r="C681" s="35"/>
      <c r="D681" s="35"/>
      <c r="E681" s="20"/>
      <c r="F681" s="20"/>
      <c r="G681" s="20"/>
      <c r="H681" s="257"/>
      <c r="I681" s="293"/>
      <c r="J681" s="293"/>
      <c r="K681" s="293"/>
      <c r="L681" s="293"/>
      <c r="M681" s="279"/>
      <c r="N681" s="279"/>
      <c r="O681" s="279"/>
      <c r="P681" s="291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</row>
    <row r="682" spans="1:28" ht="15.75" customHeight="1" x14ac:dyDescent="0.25">
      <c r="A682" s="35"/>
      <c r="B682" s="246"/>
      <c r="C682" s="35"/>
      <c r="D682" s="35"/>
      <c r="E682" s="20"/>
      <c r="F682" s="20"/>
      <c r="G682" s="20"/>
      <c r="H682" s="257"/>
      <c r="I682" s="293"/>
      <c r="J682" s="293"/>
      <c r="K682" s="293"/>
      <c r="L682" s="293"/>
      <c r="M682" s="279"/>
      <c r="N682" s="279"/>
      <c r="O682" s="279"/>
      <c r="P682" s="291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</row>
    <row r="683" spans="1:28" ht="15.75" customHeight="1" x14ac:dyDescent="0.25">
      <c r="A683" s="35"/>
      <c r="B683" s="246"/>
      <c r="C683" s="35"/>
      <c r="D683" s="35"/>
      <c r="E683" s="20"/>
      <c r="F683" s="20"/>
      <c r="G683" s="20"/>
      <c r="H683" s="257"/>
      <c r="I683" s="293"/>
      <c r="J683" s="293"/>
      <c r="K683" s="293"/>
      <c r="L683" s="293"/>
      <c r="M683" s="279"/>
      <c r="N683" s="279"/>
      <c r="O683" s="279"/>
      <c r="P683" s="291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</row>
    <row r="684" spans="1:28" ht="15.75" customHeight="1" x14ac:dyDescent="0.25">
      <c r="A684" s="35"/>
      <c r="B684" s="246"/>
      <c r="C684" s="35"/>
      <c r="D684" s="35"/>
      <c r="E684" s="20"/>
      <c r="F684" s="20"/>
      <c r="G684" s="20"/>
      <c r="H684" s="257"/>
      <c r="I684" s="293"/>
      <c r="J684" s="293"/>
      <c r="K684" s="293"/>
      <c r="L684" s="293"/>
      <c r="M684" s="279"/>
      <c r="N684" s="279"/>
      <c r="O684" s="279"/>
      <c r="P684" s="291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</row>
    <row r="685" spans="1:28" ht="15.75" customHeight="1" x14ac:dyDescent="0.25">
      <c r="A685" s="35"/>
      <c r="B685" s="246"/>
      <c r="C685" s="35"/>
      <c r="D685" s="35"/>
      <c r="E685" s="20"/>
      <c r="F685" s="20"/>
      <c r="G685" s="20"/>
      <c r="H685" s="257"/>
      <c r="I685" s="293"/>
      <c r="J685" s="293"/>
      <c r="K685" s="293"/>
      <c r="L685" s="293"/>
      <c r="M685" s="279"/>
      <c r="N685" s="279"/>
      <c r="O685" s="279"/>
      <c r="P685" s="291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</row>
    <row r="686" spans="1:28" ht="15.75" customHeight="1" x14ac:dyDescent="0.25">
      <c r="A686" s="35"/>
      <c r="B686" s="246"/>
      <c r="C686" s="35"/>
      <c r="D686" s="35"/>
      <c r="E686" s="20"/>
      <c r="F686" s="20"/>
      <c r="G686" s="20"/>
      <c r="H686" s="257"/>
      <c r="I686" s="293"/>
      <c r="J686" s="293"/>
      <c r="K686" s="293"/>
      <c r="L686" s="293"/>
      <c r="M686" s="279"/>
      <c r="N686" s="279"/>
      <c r="O686" s="279"/>
      <c r="P686" s="291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</row>
    <row r="687" spans="1:28" ht="15.75" customHeight="1" x14ac:dyDescent="0.25">
      <c r="A687" s="35"/>
      <c r="B687" s="246"/>
      <c r="C687" s="35"/>
      <c r="D687" s="35"/>
      <c r="E687" s="20"/>
      <c r="F687" s="20"/>
      <c r="G687" s="20"/>
      <c r="H687" s="257"/>
      <c r="I687" s="293"/>
      <c r="J687" s="293"/>
      <c r="K687" s="293"/>
      <c r="L687" s="293"/>
      <c r="M687" s="279"/>
      <c r="N687" s="279"/>
      <c r="O687" s="279"/>
      <c r="P687" s="291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</row>
    <row r="688" spans="1:28" ht="15.75" customHeight="1" x14ac:dyDescent="0.25">
      <c r="A688" s="35"/>
      <c r="B688" s="246"/>
      <c r="C688" s="35"/>
      <c r="D688" s="35"/>
      <c r="E688" s="20"/>
      <c r="F688" s="20"/>
      <c r="G688" s="20"/>
      <c r="H688" s="257"/>
      <c r="I688" s="293"/>
      <c r="J688" s="293"/>
      <c r="K688" s="293"/>
      <c r="L688" s="293"/>
      <c r="M688" s="279"/>
      <c r="N688" s="279"/>
      <c r="O688" s="279"/>
      <c r="P688" s="291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</row>
    <row r="689" spans="1:28" ht="15.75" customHeight="1" x14ac:dyDescent="0.25">
      <c r="A689" s="35"/>
      <c r="B689" s="246"/>
      <c r="C689" s="35"/>
      <c r="D689" s="35"/>
      <c r="E689" s="20"/>
      <c r="F689" s="20"/>
      <c r="G689" s="20"/>
      <c r="H689" s="257"/>
      <c r="I689" s="293"/>
      <c r="J689" s="293"/>
      <c r="K689" s="293"/>
      <c r="L689" s="293"/>
      <c r="M689" s="279"/>
      <c r="N689" s="279"/>
      <c r="O689" s="279"/>
      <c r="P689" s="291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</row>
    <row r="690" spans="1:28" ht="15.75" customHeight="1" x14ac:dyDescent="0.25">
      <c r="A690" s="35"/>
      <c r="B690" s="246"/>
      <c r="C690" s="35"/>
      <c r="D690" s="35"/>
      <c r="E690" s="20"/>
      <c r="F690" s="20"/>
      <c r="G690" s="20"/>
      <c r="H690" s="257"/>
      <c r="I690" s="293"/>
      <c r="J690" s="293"/>
      <c r="K690" s="293"/>
      <c r="L690" s="293"/>
      <c r="M690" s="279"/>
      <c r="N690" s="279"/>
      <c r="O690" s="279"/>
      <c r="P690" s="291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</row>
    <row r="691" spans="1:28" ht="15.75" customHeight="1" x14ac:dyDescent="0.25">
      <c r="A691" s="35"/>
      <c r="B691" s="246"/>
      <c r="C691" s="35"/>
      <c r="D691" s="35"/>
      <c r="E691" s="20"/>
      <c r="F691" s="20"/>
      <c r="G691" s="20"/>
      <c r="H691" s="257"/>
      <c r="I691" s="293"/>
      <c r="J691" s="293"/>
      <c r="K691" s="293"/>
      <c r="L691" s="293"/>
      <c r="M691" s="279"/>
      <c r="N691" s="279"/>
      <c r="O691" s="279"/>
      <c r="P691" s="291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</row>
    <row r="692" spans="1:28" ht="15.75" customHeight="1" x14ac:dyDescent="0.25">
      <c r="A692" s="35"/>
      <c r="B692" s="246"/>
      <c r="C692" s="35"/>
      <c r="D692" s="35"/>
      <c r="E692" s="20"/>
      <c r="F692" s="20"/>
      <c r="G692" s="20"/>
      <c r="H692" s="257"/>
      <c r="I692" s="293"/>
      <c r="J692" s="293"/>
      <c r="K692" s="293"/>
      <c r="L692" s="293"/>
      <c r="M692" s="279"/>
      <c r="N692" s="279"/>
      <c r="O692" s="279"/>
      <c r="P692" s="291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</row>
    <row r="693" spans="1:28" ht="15.75" customHeight="1" x14ac:dyDescent="0.25">
      <c r="A693" s="35"/>
      <c r="B693" s="246"/>
      <c r="C693" s="35"/>
      <c r="D693" s="35"/>
      <c r="E693" s="20"/>
      <c r="F693" s="20"/>
      <c r="G693" s="20"/>
      <c r="H693" s="257"/>
      <c r="I693" s="293"/>
      <c r="J693" s="293"/>
      <c r="K693" s="293"/>
      <c r="L693" s="293"/>
      <c r="M693" s="279"/>
      <c r="N693" s="279"/>
      <c r="O693" s="279"/>
      <c r="P693" s="291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</row>
    <row r="694" spans="1:28" ht="15.75" customHeight="1" x14ac:dyDescent="0.25">
      <c r="A694" s="35"/>
      <c r="B694" s="246"/>
      <c r="C694" s="35"/>
      <c r="D694" s="35"/>
      <c r="E694" s="20"/>
      <c r="F694" s="20"/>
      <c r="G694" s="20"/>
      <c r="H694" s="257"/>
      <c r="I694" s="293"/>
      <c r="J694" s="293"/>
      <c r="K694" s="293"/>
      <c r="L694" s="293"/>
      <c r="M694" s="279"/>
      <c r="N694" s="279"/>
      <c r="O694" s="279"/>
      <c r="P694" s="291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</row>
    <row r="695" spans="1:28" ht="15.75" customHeight="1" x14ac:dyDescent="0.25">
      <c r="A695" s="35"/>
      <c r="B695" s="246"/>
      <c r="C695" s="35"/>
      <c r="D695" s="35"/>
      <c r="E695" s="20"/>
      <c r="F695" s="20"/>
      <c r="G695" s="20"/>
      <c r="H695" s="257"/>
      <c r="I695" s="293"/>
      <c r="J695" s="293"/>
      <c r="K695" s="293"/>
      <c r="L695" s="293"/>
      <c r="M695" s="279"/>
      <c r="N695" s="279"/>
      <c r="O695" s="279"/>
      <c r="P695" s="291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</row>
    <row r="696" spans="1:28" ht="15.75" customHeight="1" x14ac:dyDescent="0.25">
      <c r="A696" s="35"/>
      <c r="B696" s="246"/>
      <c r="C696" s="35"/>
      <c r="D696" s="35"/>
      <c r="E696" s="20"/>
      <c r="F696" s="20"/>
      <c r="G696" s="20"/>
      <c r="H696" s="257"/>
      <c r="I696" s="293"/>
      <c r="J696" s="293"/>
      <c r="K696" s="293"/>
      <c r="L696" s="293"/>
      <c r="M696" s="279"/>
      <c r="N696" s="279"/>
      <c r="O696" s="279"/>
      <c r="P696" s="291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</row>
    <row r="697" spans="1:28" ht="15.75" customHeight="1" x14ac:dyDescent="0.25">
      <c r="A697" s="35"/>
      <c r="B697" s="246"/>
      <c r="C697" s="35"/>
      <c r="D697" s="35"/>
      <c r="E697" s="20"/>
      <c r="F697" s="20"/>
      <c r="G697" s="20"/>
      <c r="H697" s="257"/>
      <c r="I697" s="293"/>
      <c r="J697" s="293"/>
      <c r="K697" s="293"/>
      <c r="L697" s="293"/>
      <c r="M697" s="279"/>
      <c r="N697" s="279"/>
      <c r="O697" s="279"/>
      <c r="P697" s="291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</row>
    <row r="698" spans="1:28" ht="15.75" customHeight="1" x14ac:dyDescent="0.25">
      <c r="A698" s="35"/>
      <c r="B698" s="246"/>
      <c r="C698" s="35"/>
      <c r="D698" s="35"/>
      <c r="E698" s="20"/>
      <c r="F698" s="20"/>
      <c r="G698" s="20"/>
      <c r="H698" s="257"/>
      <c r="I698" s="293"/>
      <c r="J698" s="293"/>
      <c r="K698" s="293"/>
      <c r="L698" s="293"/>
      <c r="M698" s="279"/>
      <c r="N698" s="279"/>
      <c r="O698" s="279"/>
      <c r="P698" s="291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</row>
    <row r="699" spans="1:28" ht="15.75" customHeight="1" x14ac:dyDescent="0.25">
      <c r="A699" s="35"/>
      <c r="B699" s="246"/>
      <c r="C699" s="35"/>
      <c r="D699" s="35"/>
      <c r="E699" s="20"/>
      <c r="F699" s="20"/>
      <c r="G699" s="20"/>
      <c r="H699" s="257"/>
      <c r="I699" s="293"/>
      <c r="J699" s="293"/>
      <c r="K699" s="293"/>
      <c r="L699" s="293"/>
      <c r="M699" s="279"/>
      <c r="N699" s="279"/>
      <c r="O699" s="279"/>
      <c r="P699" s="291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</row>
    <row r="700" spans="1:28" ht="15.75" customHeight="1" x14ac:dyDescent="0.25">
      <c r="A700" s="35"/>
      <c r="B700" s="246"/>
      <c r="C700" s="35"/>
      <c r="D700" s="35"/>
      <c r="E700" s="20"/>
      <c r="F700" s="20"/>
      <c r="G700" s="20"/>
      <c r="H700" s="257"/>
      <c r="I700" s="293"/>
      <c r="J700" s="293"/>
      <c r="K700" s="293"/>
      <c r="L700" s="293"/>
      <c r="M700" s="279"/>
      <c r="N700" s="279"/>
      <c r="O700" s="279"/>
      <c r="P700" s="291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</row>
    <row r="701" spans="1:28" ht="15.75" customHeight="1" x14ac:dyDescent="0.25">
      <c r="A701" s="35"/>
      <c r="B701" s="246"/>
      <c r="C701" s="35"/>
      <c r="D701" s="35"/>
      <c r="E701" s="20"/>
      <c r="F701" s="20"/>
      <c r="G701" s="20"/>
      <c r="H701" s="257"/>
      <c r="I701" s="293"/>
      <c r="J701" s="293"/>
      <c r="K701" s="293"/>
      <c r="L701" s="293"/>
      <c r="M701" s="279"/>
      <c r="N701" s="279"/>
      <c r="O701" s="279"/>
      <c r="P701" s="291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</row>
    <row r="702" spans="1:28" ht="15.75" customHeight="1" x14ac:dyDescent="0.25">
      <c r="A702" s="35"/>
      <c r="B702" s="246"/>
      <c r="C702" s="35"/>
      <c r="D702" s="35"/>
      <c r="E702" s="20"/>
      <c r="F702" s="20"/>
      <c r="G702" s="20"/>
      <c r="H702" s="257"/>
      <c r="I702" s="293"/>
      <c r="J702" s="293"/>
      <c r="K702" s="293"/>
      <c r="L702" s="293"/>
      <c r="M702" s="279"/>
      <c r="N702" s="279"/>
      <c r="O702" s="279"/>
      <c r="P702" s="291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</row>
    <row r="703" spans="1:28" ht="15.75" customHeight="1" x14ac:dyDescent="0.25">
      <c r="A703" s="35"/>
      <c r="B703" s="246"/>
      <c r="C703" s="35"/>
      <c r="D703" s="35"/>
      <c r="E703" s="20"/>
      <c r="F703" s="20"/>
      <c r="G703" s="20"/>
      <c r="H703" s="257"/>
      <c r="I703" s="293"/>
      <c r="J703" s="293"/>
      <c r="K703" s="293"/>
      <c r="L703" s="293"/>
      <c r="M703" s="279"/>
      <c r="N703" s="279"/>
      <c r="O703" s="279"/>
      <c r="P703" s="291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</row>
    <row r="704" spans="1:28" ht="15.75" customHeight="1" x14ac:dyDescent="0.25">
      <c r="A704" s="35"/>
      <c r="B704" s="246"/>
      <c r="C704" s="35"/>
      <c r="D704" s="35"/>
      <c r="E704" s="20"/>
      <c r="F704" s="20"/>
      <c r="G704" s="20"/>
      <c r="H704" s="257"/>
      <c r="I704" s="293"/>
      <c r="J704" s="293"/>
      <c r="K704" s="293"/>
      <c r="L704" s="293"/>
      <c r="M704" s="279"/>
      <c r="N704" s="279"/>
      <c r="O704" s="279"/>
      <c r="P704" s="291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</row>
    <row r="705" spans="1:28" ht="15.75" customHeight="1" x14ac:dyDescent="0.25">
      <c r="A705" s="35"/>
      <c r="B705" s="246"/>
      <c r="C705" s="35"/>
      <c r="D705" s="35"/>
      <c r="E705" s="20"/>
      <c r="F705" s="20"/>
      <c r="G705" s="20"/>
      <c r="H705" s="257"/>
      <c r="I705" s="293"/>
      <c r="J705" s="293"/>
      <c r="K705" s="293"/>
      <c r="L705" s="293"/>
      <c r="M705" s="279"/>
      <c r="N705" s="279"/>
      <c r="O705" s="279"/>
      <c r="P705" s="291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</row>
    <row r="706" spans="1:28" ht="15.75" customHeight="1" x14ac:dyDescent="0.25">
      <c r="A706" s="35"/>
      <c r="B706" s="246"/>
      <c r="C706" s="35"/>
      <c r="D706" s="35"/>
      <c r="E706" s="20"/>
      <c r="F706" s="20"/>
      <c r="G706" s="20"/>
      <c r="H706" s="257"/>
      <c r="I706" s="293"/>
      <c r="J706" s="293"/>
      <c r="K706" s="293"/>
      <c r="L706" s="293"/>
      <c r="M706" s="279"/>
      <c r="N706" s="279"/>
      <c r="O706" s="279"/>
      <c r="P706" s="291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</row>
    <row r="707" spans="1:28" ht="15.75" customHeight="1" x14ac:dyDescent="0.25">
      <c r="A707" s="35"/>
      <c r="B707" s="246"/>
      <c r="C707" s="35"/>
      <c r="D707" s="35"/>
      <c r="E707" s="20"/>
      <c r="F707" s="20"/>
      <c r="G707" s="20"/>
      <c r="H707" s="257"/>
      <c r="I707" s="293"/>
      <c r="J707" s="293"/>
      <c r="K707" s="293"/>
      <c r="L707" s="293"/>
      <c r="M707" s="279"/>
      <c r="N707" s="279"/>
      <c r="O707" s="279"/>
      <c r="P707" s="291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</row>
    <row r="708" spans="1:28" ht="15.75" customHeight="1" x14ac:dyDescent="0.25">
      <c r="A708" s="35"/>
      <c r="B708" s="246"/>
      <c r="C708" s="35"/>
      <c r="D708" s="35"/>
      <c r="E708" s="20"/>
      <c r="F708" s="20"/>
      <c r="G708" s="20"/>
      <c r="H708" s="257"/>
      <c r="I708" s="293"/>
      <c r="J708" s="293"/>
      <c r="K708" s="293"/>
      <c r="L708" s="293"/>
      <c r="M708" s="279"/>
      <c r="N708" s="279"/>
      <c r="O708" s="279"/>
      <c r="P708" s="291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</row>
    <row r="709" spans="1:28" ht="15.75" customHeight="1" x14ac:dyDescent="0.25">
      <c r="A709" s="35"/>
      <c r="B709" s="246"/>
      <c r="C709" s="35"/>
      <c r="D709" s="35"/>
      <c r="E709" s="20"/>
      <c r="F709" s="20"/>
      <c r="G709" s="20"/>
      <c r="H709" s="257"/>
      <c r="I709" s="293"/>
      <c r="J709" s="293"/>
      <c r="K709" s="293"/>
      <c r="L709" s="293"/>
      <c r="M709" s="279"/>
      <c r="N709" s="279"/>
      <c r="O709" s="279"/>
      <c r="P709" s="291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</row>
    <row r="710" spans="1:28" ht="15.75" customHeight="1" x14ac:dyDescent="0.25">
      <c r="A710" s="35"/>
      <c r="B710" s="246"/>
      <c r="C710" s="35"/>
      <c r="D710" s="35"/>
      <c r="E710" s="20"/>
      <c r="F710" s="20"/>
      <c r="G710" s="20"/>
      <c r="H710" s="257"/>
      <c r="I710" s="293"/>
      <c r="J710" s="293"/>
      <c r="K710" s="293"/>
      <c r="L710" s="293"/>
      <c r="M710" s="279"/>
      <c r="N710" s="279"/>
      <c r="O710" s="279"/>
      <c r="P710" s="291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</row>
    <row r="711" spans="1:28" ht="15.75" customHeight="1" x14ac:dyDescent="0.25">
      <c r="A711" s="35"/>
      <c r="B711" s="246"/>
      <c r="C711" s="35"/>
      <c r="D711" s="35"/>
      <c r="E711" s="20"/>
      <c r="F711" s="20"/>
      <c r="G711" s="20"/>
      <c r="H711" s="257"/>
      <c r="I711" s="293"/>
      <c r="J711" s="293"/>
      <c r="K711" s="293"/>
      <c r="L711" s="293"/>
      <c r="M711" s="279"/>
      <c r="N711" s="279"/>
      <c r="O711" s="279"/>
      <c r="P711" s="291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</row>
    <row r="712" spans="1:28" ht="15.75" customHeight="1" x14ac:dyDescent="0.25">
      <c r="A712" s="35"/>
      <c r="B712" s="246"/>
      <c r="C712" s="35"/>
      <c r="D712" s="35"/>
      <c r="E712" s="20"/>
      <c r="F712" s="20"/>
      <c r="G712" s="20"/>
      <c r="H712" s="257"/>
      <c r="I712" s="293"/>
      <c r="J712" s="293"/>
      <c r="K712" s="293"/>
      <c r="L712" s="293"/>
      <c r="M712" s="279"/>
      <c r="N712" s="279"/>
      <c r="O712" s="279"/>
      <c r="P712" s="291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</row>
    <row r="713" spans="1:28" ht="15.75" customHeight="1" x14ac:dyDescent="0.25">
      <c r="A713" s="35"/>
      <c r="B713" s="246"/>
      <c r="C713" s="35"/>
      <c r="D713" s="35"/>
      <c r="E713" s="20"/>
      <c r="F713" s="20"/>
      <c r="G713" s="20"/>
      <c r="H713" s="257"/>
      <c r="I713" s="293"/>
      <c r="J713" s="293"/>
      <c r="K713" s="293"/>
      <c r="L713" s="293"/>
      <c r="M713" s="279"/>
      <c r="N713" s="279"/>
      <c r="O713" s="279"/>
      <c r="P713" s="291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</row>
    <row r="714" spans="1:28" ht="15.75" customHeight="1" x14ac:dyDescent="0.25">
      <c r="A714" s="35"/>
      <c r="B714" s="246"/>
      <c r="C714" s="35"/>
      <c r="D714" s="35"/>
      <c r="E714" s="20"/>
      <c r="F714" s="20"/>
      <c r="G714" s="20"/>
      <c r="H714" s="257"/>
      <c r="I714" s="293"/>
      <c r="J714" s="293"/>
      <c r="K714" s="293"/>
      <c r="L714" s="293"/>
      <c r="M714" s="279"/>
      <c r="N714" s="279"/>
      <c r="O714" s="279"/>
      <c r="P714" s="291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</row>
    <row r="715" spans="1:28" ht="15.75" customHeight="1" x14ac:dyDescent="0.25">
      <c r="A715" s="35"/>
      <c r="B715" s="246"/>
      <c r="C715" s="35"/>
      <c r="D715" s="35"/>
      <c r="E715" s="20"/>
      <c r="F715" s="20"/>
      <c r="G715" s="20"/>
      <c r="H715" s="257"/>
      <c r="I715" s="293"/>
      <c r="J715" s="293"/>
      <c r="K715" s="293"/>
      <c r="L715" s="293"/>
      <c r="M715" s="279"/>
      <c r="N715" s="279"/>
      <c r="O715" s="279"/>
      <c r="P715" s="291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</row>
    <row r="716" spans="1:28" ht="15.75" customHeight="1" x14ac:dyDescent="0.25">
      <c r="A716" s="35"/>
      <c r="B716" s="246"/>
      <c r="C716" s="35"/>
      <c r="D716" s="35"/>
      <c r="E716" s="20"/>
      <c r="F716" s="20"/>
      <c r="G716" s="20"/>
      <c r="H716" s="257"/>
      <c r="I716" s="293"/>
      <c r="J716" s="293"/>
      <c r="K716" s="293"/>
      <c r="L716" s="293"/>
      <c r="M716" s="279"/>
      <c r="N716" s="279"/>
      <c r="O716" s="279"/>
      <c r="P716" s="291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</row>
    <row r="717" spans="1:28" ht="15.75" customHeight="1" x14ac:dyDescent="0.25">
      <c r="A717" s="35"/>
      <c r="B717" s="246"/>
      <c r="C717" s="35"/>
      <c r="D717" s="35"/>
      <c r="E717" s="20"/>
      <c r="F717" s="20"/>
      <c r="G717" s="20"/>
      <c r="H717" s="257"/>
      <c r="I717" s="293"/>
      <c r="J717" s="293"/>
      <c r="K717" s="293"/>
      <c r="L717" s="293"/>
      <c r="M717" s="279"/>
      <c r="N717" s="279"/>
      <c r="O717" s="279"/>
      <c r="P717" s="291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</row>
    <row r="718" spans="1:28" ht="15.75" customHeight="1" x14ac:dyDescent="0.25">
      <c r="A718" s="35"/>
      <c r="B718" s="246"/>
      <c r="C718" s="35"/>
      <c r="D718" s="35"/>
      <c r="E718" s="20"/>
      <c r="F718" s="20"/>
      <c r="G718" s="20"/>
      <c r="H718" s="257"/>
      <c r="I718" s="293"/>
      <c r="J718" s="293"/>
      <c r="K718" s="293"/>
      <c r="L718" s="293"/>
      <c r="M718" s="279"/>
      <c r="N718" s="279"/>
      <c r="O718" s="279"/>
      <c r="P718" s="291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</row>
    <row r="719" spans="1:28" ht="15.75" customHeight="1" x14ac:dyDescent="0.25">
      <c r="A719" s="35"/>
      <c r="B719" s="246"/>
      <c r="C719" s="35"/>
      <c r="D719" s="35"/>
      <c r="E719" s="20"/>
      <c r="F719" s="20"/>
      <c r="G719" s="20"/>
      <c r="H719" s="257"/>
      <c r="I719" s="293"/>
      <c r="J719" s="293"/>
      <c r="K719" s="293"/>
      <c r="L719" s="293"/>
      <c r="M719" s="279"/>
      <c r="N719" s="279"/>
      <c r="O719" s="279"/>
      <c r="P719" s="291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</row>
    <row r="720" spans="1:28" ht="15.75" customHeight="1" x14ac:dyDescent="0.25">
      <c r="A720" s="35"/>
      <c r="B720" s="246"/>
      <c r="C720" s="35"/>
      <c r="D720" s="35"/>
      <c r="E720" s="20"/>
      <c r="F720" s="20"/>
      <c r="G720" s="20"/>
      <c r="H720" s="257"/>
      <c r="I720" s="293"/>
      <c r="J720" s="293"/>
      <c r="K720" s="293"/>
      <c r="L720" s="293"/>
      <c r="M720" s="279"/>
      <c r="N720" s="279"/>
      <c r="O720" s="279"/>
      <c r="P720" s="291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</row>
    <row r="721" spans="1:28" ht="15.75" customHeight="1" x14ac:dyDescent="0.25">
      <c r="A721" s="35"/>
      <c r="B721" s="246"/>
      <c r="C721" s="35"/>
      <c r="D721" s="35"/>
      <c r="E721" s="20"/>
      <c r="F721" s="20"/>
      <c r="G721" s="20"/>
      <c r="H721" s="257"/>
      <c r="I721" s="293"/>
      <c r="J721" s="293"/>
      <c r="K721" s="293"/>
      <c r="L721" s="293"/>
      <c r="M721" s="279"/>
      <c r="N721" s="279"/>
      <c r="O721" s="279"/>
      <c r="P721" s="291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</row>
    <row r="722" spans="1:28" ht="15.75" customHeight="1" x14ac:dyDescent="0.25">
      <c r="A722" s="35"/>
      <c r="B722" s="246"/>
      <c r="C722" s="35"/>
      <c r="D722" s="35"/>
      <c r="E722" s="20"/>
      <c r="F722" s="20"/>
      <c r="G722" s="20"/>
      <c r="H722" s="257"/>
      <c r="I722" s="293"/>
      <c r="J722" s="293"/>
      <c r="K722" s="293"/>
      <c r="L722" s="293"/>
      <c r="M722" s="279"/>
      <c r="N722" s="279"/>
      <c r="O722" s="279"/>
      <c r="P722" s="291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</row>
    <row r="723" spans="1:28" ht="15.75" customHeight="1" x14ac:dyDescent="0.25">
      <c r="A723" s="35"/>
      <c r="B723" s="246"/>
      <c r="C723" s="35"/>
      <c r="D723" s="35"/>
      <c r="E723" s="20"/>
      <c r="F723" s="20"/>
      <c r="G723" s="20"/>
      <c r="H723" s="257"/>
      <c r="I723" s="293"/>
      <c r="J723" s="293"/>
      <c r="K723" s="293"/>
      <c r="L723" s="293"/>
      <c r="M723" s="279"/>
      <c r="N723" s="279"/>
      <c r="O723" s="279"/>
      <c r="P723" s="291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</row>
    <row r="724" spans="1:28" ht="15.75" customHeight="1" x14ac:dyDescent="0.25">
      <c r="A724" s="35"/>
      <c r="B724" s="246"/>
      <c r="C724" s="35"/>
      <c r="D724" s="35"/>
      <c r="E724" s="20"/>
      <c r="F724" s="20"/>
      <c r="G724" s="20"/>
      <c r="H724" s="257"/>
      <c r="I724" s="293"/>
      <c r="J724" s="293"/>
      <c r="K724" s="293"/>
      <c r="L724" s="293"/>
      <c r="M724" s="279"/>
      <c r="N724" s="279"/>
      <c r="O724" s="279"/>
      <c r="P724" s="291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</row>
    <row r="725" spans="1:28" ht="15.75" customHeight="1" x14ac:dyDescent="0.25">
      <c r="A725" s="35"/>
      <c r="B725" s="246"/>
      <c r="C725" s="35"/>
      <c r="D725" s="35"/>
      <c r="E725" s="20"/>
      <c r="F725" s="20"/>
      <c r="G725" s="20"/>
      <c r="H725" s="257"/>
      <c r="I725" s="293"/>
      <c r="J725" s="293"/>
      <c r="K725" s="293"/>
      <c r="L725" s="293"/>
      <c r="M725" s="279"/>
      <c r="N725" s="279"/>
      <c r="O725" s="279"/>
      <c r="P725" s="291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</row>
    <row r="726" spans="1:28" ht="15.75" customHeight="1" x14ac:dyDescent="0.25">
      <c r="A726" s="35"/>
      <c r="B726" s="246"/>
      <c r="C726" s="35"/>
      <c r="D726" s="35"/>
      <c r="E726" s="20"/>
      <c r="F726" s="20"/>
      <c r="G726" s="20"/>
      <c r="H726" s="257"/>
      <c r="I726" s="293"/>
      <c r="J726" s="293"/>
      <c r="K726" s="293"/>
      <c r="L726" s="293"/>
      <c r="M726" s="279"/>
      <c r="N726" s="279"/>
      <c r="O726" s="279"/>
      <c r="P726" s="291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</row>
    <row r="727" spans="1:28" ht="15.75" customHeight="1" x14ac:dyDescent="0.25">
      <c r="A727" s="35"/>
      <c r="B727" s="246"/>
      <c r="C727" s="35"/>
      <c r="D727" s="35"/>
      <c r="E727" s="20"/>
      <c r="F727" s="20"/>
      <c r="G727" s="20"/>
      <c r="H727" s="257"/>
      <c r="I727" s="293"/>
      <c r="J727" s="293"/>
      <c r="K727" s="293"/>
      <c r="L727" s="293"/>
      <c r="M727" s="279"/>
      <c r="N727" s="279"/>
      <c r="O727" s="279"/>
      <c r="P727" s="291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</row>
    <row r="728" spans="1:28" ht="15.75" customHeight="1" x14ac:dyDescent="0.25">
      <c r="A728" s="35"/>
      <c r="B728" s="246"/>
      <c r="C728" s="35"/>
      <c r="D728" s="35"/>
      <c r="E728" s="20"/>
      <c r="F728" s="20"/>
      <c r="G728" s="20"/>
      <c r="H728" s="257"/>
      <c r="I728" s="293"/>
      <c r="J728" s="293"/>
      <c r="K728" s="293"/>
      <c r="L728" s="293"/>
      <c r="M728" s="279"/>
      <c r="N728" s="279"/>
      <c r="O728" s="279"/>
      <c r="P728" s="291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</row>
    <row r="729" spans="1:28" ht="15.75" customHeight="1" x14ac:dyDescent="0.25">
      <c r="A729" s="35"/>
      <c r="B729" s="246"/>
      <c r="C729" s="35"/>
      <c r="D729" s="35"/>
      <c r="E729" s="20"/>
      <c r="F729" s="20"/>
      <c r="G729" s="20"/>
      <c r="H729" s="257"/>
      <c r="I729" s="293"/>
      <c r="J729" s="293"/>
      <c r="K729" s="293"/>
      <c r="L729" s="293"/>
      <c r="M729" s="279"/>
      <c r="N729" s="279"/>
      <c r="O729" s="279"/>
      <c r="P729" s="291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</row>
    <row r="730" spans="1:28" ht="15.75" customHeight="1" x14ac:dyDescent="0.25">
      <c r="A730" s="35"/>
      <c r="B730" s="246"/>
      <c r="C730" s="35"/>
      <c r="D730" s="35"/>
      <c r="E730" s="20"/>
      <c r="F730" s="20"/>
      <c r="G730" s="20"/>
      <c r="H730" s="257"/>
      <c r="I730" s="293"/>
      <c r="J730" s="293"/>
      <c r="K730" s="293"/>
      <c r="L730" s="293"/>
      <c r="M730" s="279"/>
      <c r="N730" s="279"/>
      <c r="O730" s="279"/>
      <c r="P730" s="291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</row>
    <row r="731" spans="1:28" ht="15.75" customHeight="1" x14ac:dyDescent="0.25">
      <c r="A731" s="35"/>
      <c r="B731" s="246"/>
      <c r="C731" s="35"/>
      <c r="D731" s="35"/>
      <c r="E731" s="20"/>
      <c r="F731" s="20"/>
      <c r="G731" s="20"/>
      <c r="H731" s="257"/>
      <c r="I731" s="293"/>
      <c r="J731" s="293"/>
      <c r="K731" s="293"/>
      <c r="L731" s="293"/>
      <c r="M731" s="279"/>
      <c r="N731" s="279"/>
      <c r="O731" s="279"/>
      <c r="P731" s="291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</row>
    <row r="732" spans="1:28" ht="15.75" customHeight="1" x14ac:dyDescent="0.25">
      <c r="A732" s="35"/>
      <c r="B732" s="246"/>
      <c r="C732" s="35"/>
      <c r="D732" s="35"/>
      <c r="E732" s="20"/>
      <c r="F732" s="20"/>
      <c r="G732" s="20"/>
      <c r="H732" s="257"/>
      <c r="I732" s="293"/>
      <c r="J732" s="293"/>
      <c r="K732" s="293"/>
      <c r="L732" s="293"/>
      <c r="M732" s="279"/>
      <c r="N732" s="279"/>
      <c r="O732" s="279"/>
      <c r="P732" s="291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</row>
    <row r="733" spans="1:28" ht="15.75" customHeight="1" x14ac:dyDescent="0.25">
      <c r="A733" s="35"/>
      <c r="B733" s="246"/>
      <c r="C733" s="35"/>
      <c r="D733" s="35"/>
      <c r="E733" s="20"/>
      <c r="F733" s="20"/>
      <c r="G733" s="20"/>
      <c r="H733" s="257"/>
      <c r="I733" s="293"/>
      <c r="J733" s="293"/>
      <c r="K733" s="293"/>
      <c r="L733" s="293"/>
      <c r="M733" s="279"/>
      <c r="N733" s="279"/>
      <c r="O733" s="279"/>
      <c r="P733" s="291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</row>
    <row r="734" spans="1:28" ht="15.75" customHeight="1" x14ac:dyDescent="0.25">
      <c r="A734" s="35"/>
      <c r="B734" s="246"/>
      <c r="C734" s="35"/>
      <c r="D734" s="35"/>
      <c r="E734" s="20"/>
      <c r="F734" s="20"/>
      <c r="G734" s="20"/>
      <c r="H734" s="257"/>
      <c r="I734" s="293"/>
      <c r="J734" s="293"/>
      <c r="K734" s="293"/>
      <c r="L734" s="293"/>
      <c r="M734" s="279"/>
      <c r="N734" s="279"/>
      <c r="O734" s="279"/>
      <c r="P734" s="291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</row>
    <row r="735" spans="1:28" ht="15.75" customHeight="1" x14ac:dyDescent="0.25">
      <c r="A735" s="35"/>
      <c r="B735" s="246"/>
      <c r="C735" s="35"/>
      <c r="D735" s="35"/>
      <c r="E735" s="20"/>
      <c r="F735" s="20"/>
      <c r="G735" s="20"/>
      <c r="H735" s="257"/>
      <c r="I735" s="293"/>
      <c r="J735" s="293"/>
      <c r="K735" s="293"/>
      <c r="L735" s="293"/>
      <c r="M735" s="279"/>
      <c r="N735" s="279"/>
      <c r="O735" s="279"/>
      <c r="P735" s="291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</row>
    <row r="736" spans="1:28" ht="15.75" customHeight="1" x14ac:dyDescent="0.25">
      <c r="A736" s="35"/>
      <c r="B736" s="246"/>
      <c r="C736" s="35"/>
      <c r="D736" s="35"/>
      <c r="E736" s="20"/>
      <c r="F736" s="20"/>
      <c r="G736" s="20"/>
      <c r="H736" s="257"/>
      <c r="I736" s="293"/>
      <c r="J736" s="293"/>
      <c r="K736" s="293"/>
      <c r="L736" s="293"/>
      <c r="M736" s="279"/>
      <c r="N736" s="279"/>
      <c r="O736" s="279"/>
      <c r="P736" s="291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</row>
    <row r="737" spans="1:28" ht="15.75" customHeight="1" x14ac:dyDescent="0.25">
      <c r="A737" s="35"/>
      <c r="B737" s="246"/>
      <c r="C737" s="35"/>
      <c r="D737" s="35"/>
      <c r="E737" s="20"/>
      <c r="F737" s="20"/>
      <c r="G737" s="20"/>
      <c r="H737" s="257"/>
      <c r="I737" s="293"/>
      <c r="J737" s="293"/>
      <c r="K737" s="293"/>
      <c r="L737" s="293"/>
      <c r="M737" s="279"/>
      <c r="N737" s="279"/>
      <c r="O737" s="279"/>
      <c r="P737" s="291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</row>
    <row r="738" spans="1:28" ht="15.75" customHeight="1" x14ac:dyDescent="0.25">
      <c r="A738" s="35"/>
      <c r="B738" s="246"/>
      <c r="C738" s="35"/>
      <c r="D738" s="35"/>
      <c r="E738" s="20"/>
      <c r="F738" s="20"/>
      <c r="G738" s="20"/>
      <c r="H738" s="257"/>
      <c r="I738" s="293"/>
      <c r="J738" s="293"/>
      <c r="K738" s="293"/>
      <c r="L738" s="293"/>
      <c r="M738" s="279"/>
      <c r="N738" s="279"/>
      <c r="O738" s="279"/>
      <c r="P738" s="291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</row>
    <row r="739" spans="1:28" ht="15.75" customHeight="1" x14ac:dyDescent="0.25">
      <c r="A739" s="35"/>
      <c r="B739" s="246"/>
      <c r="C739" s="35"/>
      <c r="D739" s="35"/>
      <c r="E739" s="20"/>
      <c r="F739" s="20"/>
      <c r="G739" s="20"/>
      <c r="H739" s="257"/>
      <c r="I739" s="293"/>
      <c r="J739" s="293"/>
      <c r="K739" s="293"/>
      <c r="L739" s="293"/>
      <c r="M739" s="279"/>
      <c r="N739" s="279"/>
      <c r="O739" s="279"/>
      <c r="P739" s="291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</row>
    <row r="740" spans="1:28" ht="15.75" customHeight="1" x14ac:dyDescent="0.25">
      <c r="A740" s="35"/>
      <c r="B740" s="246"/>
      <c r="C740" s="35"/>
      <c r="D740" s="35"/>
      <c r="E740" s="20"/>
      <c r="F740" s="20"/>
      <c r="G740" s="20"/>
      <c r="H740" s="257"/>
      <c r="I740" s="293"/>
      <c r="J740" s="293"/>
      <c r="K740" s="293"/>
      <c r="L740" s="293"/>
      <c r="M740" s="279"/>
      <c r="N740" s="279"/>
      <c r="O740" s="279"/>
      <c r="P740" s="291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</row>
    <row r="741" spans="1:28" ht="15.75" customHeight="1" x14ac:dyDescent="0.25">
      <c r="A741" s="35"/>
      <c r="B741" s="246"/>
      <c r="C741" s="35"/>
      <c r="D741" s="35"/>
      <c r="E741" s="20"/>
      <c r="F741" s="20"/>
      <c r="G741" s="20"/>
      <c r="H741" s="257"/>
      <c r="I741" s="293"/>
      <c r="J741" s="293"/>
      <c r="K741" s="293"/>
      <c r="L741" s="293"/>
      <c r="M741" s="279"/>
      <c r="N741" s="279"/>
      <c r="O741" s="279"/>
      <c r="P741" s="291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</row>
    <row r="742" spans="1:28" ht="15.75" customHeight="1" x14ac:dyDescent="0.25">
      <c r="A742" s="35"/>
      <c r="B742" s="246"/>
      <c r="C742" s="35"/>
      <c r="D742" s="35"/>
      <c r="E742" s="20"/>
      <c r="F742" s="20"/>
      <c r="G742" s="20"/>
      <c r="H742" s="257"/>
      <c r="I742" s="293"/>
      <c r="J742" s="293"/>
      <c r="K742" s="293"/>
      <c r="L742" s="293"/>
      <c r="M742" s="279"/>
      <c r="N742" s="279"/>
      <c r="O742" s="279"/>
      <c r="P742" s="291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</row>
    <row r="743" spans="1:28" ht="15.75" customHeight="1" x14ac:dyDescent="0.25">
      <c r="A743" s="35"/>
      <c r="B743" s="246"/>
      <c r="C743" s="35"/>
      <c r="D743" s="35"/>
      <c r="E743" s="20"/>
      <c r="F743" s="20"/>
      <c r="G743" s="20"/>
      <c r="H743" s="257"/>
      <c r="I743" s="293"/>
      <c r="J743" s="293"/>
      <c r="K743" s="293"/>
      <c r="L743" s="293"/>
      <c r="M743" s="279"/>
      <c r="N743" s="279"/>
      <c r="O743" s="279"/>
      <c r="P743" s="291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</row>
    <row r="744" spans="1:28" ht="15.75" customHeight="1" x14ac:dyDescent="0.25">
      <c r="A744" s="35"/>
      <c r="B744" s="246"/>
      <c r="C744" s="35"/>
      <c r="D744" s="35"/>
      <c r="E744" s="20"/>
      <c r="F744" s="20"/>
      <c r="G744" s="20"/>
      <c r="H744" s="257"/>
      <c r="I744" s="293"/>
      <c r="J744" s="293"/>
      <c r="K744" s="293"/>
      <c r="L744" s="293"/>
      <c r="M744" s="279"/>
      <c r="N744" s="279"/>
      <c r="O744" s="279"/>
      <c r="P744" s="291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</row>
    <row r="745" spans="1:28" ht="15.75" customHeight="1" x14ac:dyDescent="0.25">
      <c r="A745" s="35"/>
      <c r="B745" s="246"/>
      <c r="C745" s="35"/>
      <c r="D745" s="35"/>
      <c r="E745" s="20"/>
      <c r="F745" s="20"/>
      <c r="G745" s="20"/>
      <c r="H745" s="257"/>
      <c r="I745" s="293"/>
      <c r="J745" s="293"/>
      <c r="K745" s="293"/>
      <c r="L745" s="293"/>
      <c r="M745" s="279"/>
      <c r="N745" s="279"/>
      <c r="O745" s="279"/>
      <c r="P745" s="291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</row>
    <row r="746" spans="1:28" ht="15.75" customHeight="1" x14ac:dyDescent="0.25">
      <c r="A746" s="35"/>
      <c r="B746" s="246"/>
      <c r="C746" s="35"/>
      <c r="D746" s="35"/>
      <c r="E746" s="20"/>
      <c r="F746" s="20"/>
      <c r="G746" s="20"/>
      <c r="H746" s="257"/>
      <c r="I746" s="293"/>
      <c r="J746" s="293"/>
      <c r="K746" s="293"/>
      <c r="L746" s="293"/>
      <c r="M746" s="279"/>
      <c r="N746" s="279"/>
      <c r="O746" s="279"/>
      <c r="P746" s="291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</row>
    <row r="747" spans="1:28" ht="15.75" customHeight="1" x14ac:dyDescent="0.25">
      <c r="A747" s="35"/>
      <c r="B747" s="246"/>
      <c r="C747" s="35"/>
      <c r="D747" s="35"/>
      <c r="E747" s="20"/>
      <c r="F747" s="20"/>
      <c r="G747" s="20"/>
      <c r="H747" s="257"/>
      <c r="I747" s="293"/>
      <c r="J747" s="293"/>
      <c r="K747" s="293"/>
      <c r="L747" s="293"/>
      <c r="M747" s="279"/>
      <c r="N747" s="279"/>
      <c r="O747" s="279"/>
      <c r="P747" s="291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</row>
    <row r="748" spans="1:28" ht="15.75" customHeight="1" x14ac:dyDescent="0.25">
      <c r="A748" s="35"/>
      <c r="B748" s="246"/>
      <c r="C748" s="35"/>
      <c r="D748" s="35"/>
      <c r="E748" s="20"/>
      <c r="F748" s="20"/>
      <c r="G748" s="20"/>
      <c r="H748" s="257"/>
      <c r="I748" s="293"/>
      <c r="J748" s="293"/>
      <c r="K748" s="293"/>
      <c r="L748" s="293"/>
      <c r="M748" s="279"/>
      <c r="N748" s="279"/>
      <c r="O748" s="279"/>
      <c r="P748" s="291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</row>
    <row r="749" spans="1:28" ht="15.75" customHeight="1" x14ac:dyDescent="0.25">
      <c r="A749" s="35"/>
      <c r="B749" s="246"/>
      <c r="C749" s="35"/>
      <c r="D749" s="35"/>
      <c r="E749" s="20"/>
      <c r="F749" s="20"/>
      <c r="G749" s="20"/>
      <c r="H749" s="257"/>
      <c r="I749" s="293"/>
      <c r="J749" s="293"/>
      <c r="K749" s="293"/>
      <c r="L749" s="293"/>
      <c r="M749" s="279"/>
      <c r="N749" s="279"/>
      <c r="O749" s="279"/>
      <c r="P749" s="291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</row>
    <row r="750" spans="1:28" ht="15.75" customHeight="1" x14ac:dyDescent="0.25">
      <c r="A750" s="35"/>
      <c r="B750" s="246"/>
      <c r="C750" s="35"/>
      <c r="D750" s="35"/>
      <c r="E750" s="20"/>
      <c r="F750" s="20"/>
      <c r="G750" s="20"/>
      <c r="H750" s="257"/>
      <c r="I750" s="293"/>
      <c r="J750" s="293"/>
      <c r="K750" s="293"/>
      <c r="L750" s="293"/>
      <c r="M750" s="279"/>
      <c r="N750" s="279"/>
      <c r="O750" s="279"/>
      <c r="P750" s="291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</row>
    <row r="751" spans="1:28" ht="15.75" customHeight="1" x14ac:dyDescent="0.25">
      <c r="A751" s="35"/>
      <c r="B751" s="246"/>
      <c r="C751" s="35"/>
      <c r="D751" s="35"/>
      <c r="E751" s="20"/>
      <c r="F751" s="20"/>
      <c r="G751" s="20"/>
      <c r="H751" s="257"/>
      <c r="I751" s="293"/>
      <c r="J751" s="293"/>
      <c r="K751" s="293"/>
      <c r="L751" s="293"/>
      <c r="M751" s="279"/>
      <c r="N751" s="279"/>
      <c r="O751" s="279"/>
      <c r="P751" s="291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</row>
    <row r="752" spans="1:28" ht="15.75" customHeight="1" x14ac:dyDescent="0.25">
      <c r="A752" s="35"/>
      <c r="B752" s="246"/>
      <c r="C752" s="35"/>
      <c r="D752" s="35"/>
      <c r="E752" s="20"/>
      <c r="F752" s="20"/>
      <c r="G752" s="20"/>
      <c r="H752" s="257"/>
      <c r="I752" s="293"/>
      <c r="J752" s="293"/>
      <c r="K752" s="293"/>
      <c r="L752" s="293"/>
      <c r="M752" s="279"/>
      <c r="N752" s="279"/>
      <c r="O752" s="279"/>
      <c r="P752" s="291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</row>
    <row r="753" spans="1:28" ht="15.75" customHeight="1" x14ac:dyDescent="0.25">
      <c r="A753" s="35"/>
      <c r="B753" s="246"/>
      <c r="C753" s="35"/>
      <c r="D753" s="35"/>
      <c r="E753" s="20"/>
      <c r="F753" s="20"/>
      <c r="G753" s="20"/>
      <c r="H753" s="257"/>
      <c r="I753" s="293"/>
      <c r="J753" s="293"/>
      <c r="K753" s="293"/>
      <c r="L753" s="293"/>
      <c r="M753" s="279"/>
      <c r="N753" s="279"/>
      <c r="O753" s="279"/>
      <c r="P753" s="291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</row>
    <row r="754" spans="1:28" ht="15.75" customHeight="1" x14ac:dyDescent="0.25">
      <c r="A754" s="35"/>
      <c r="B754" s="246"/>
      <c r="C754" s="35"/>
      <c r="D754" s="35"/>
      <c r="E754" s="20"/>
      <c r="F754" s="20"/>
      <c r="G754" s="20"/>
      <c r="H754" s="257"/>
      <c r="I754" s="293"/>
      <c r="J754" s="293"/>
      <c r="K754" s="293"/>
      <c r="L754" s="293"/>
      <c r="M754" s="279"/>
      <c r="N754" s="279"/>
      <c r="O754" s="279"/>
      <c r="P754" s="291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</row>
    <row r="755" spans="1:28" ht="15.75" customHeight="1" x14ac:dyDescent="0.25">
      <c r="A755" s="35"/>
      <c r="B755" s="246"/>
      <c r="C755" s="35"/>
      <c r="D755" s="35"/>
      <c r="E755" s="20"/>
      <c r="F755" s="20"/>
      <c r="G755" s="20"/>
      <c r="H755" s="257"/>
      <c r="I755" s="293"/>
      <c r="J755" s="293"/>
      <c r="K755" s="293"/>
      <c r="L755" s="293"/>
      <c r="M755" s="279"/>
      <c r="N755" s="279"/>
      <c r="O755" s="279"/>
      <c r="P755" s="291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</row>
    <row r="756" spans="1:28" ht="15.75" customHeight="1" x14ac:dyDescent="0.25">
      <c r="A756" s="35"/>
      <c r="B756" s="246"/>
      <c r="C756" s="35"/>
      <c r="D756" s="35"/>
      <c r="E756" s="20"/>
      <c r="F756" s="20"/>
      <c r="G756" s="20"/>
      <c r="H756" s="257"/>
      <c r="I756" s="293"/>
      <c r="J756" s="293"/>
      <c r="K756" s="293"/>
      <c r="L756" s="293"/>
      <c r="M756" s="279"/>
      <c r="N756" s="279"/>
      <c r="O756" s="279"/>
      <c r="P756" s="291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</row>
    <row r="757" spans="1:28" ht="15.75" customHeight="1" x14ac:dyDescent="0.25">
      <c r="A757" s="35"/>
      <c r="B757" s="246"/>
      <c r="C757" s="35"/>
      <c r="D757" s="35"/>
      <c r="E757" s="20"/>
      <c r="F757" s="20"/>
      <c r="G757" s="20"/>
      <c r="H757" s="257"/>
      <c r="I757" s="293"/>
      <c r="J757" s="293"/>
      <c r="K757" s="293"/>
      <c r="L757" s="293"/>
      <c r="M757" s="279"/>
      <c r="N757" s="279"/>
      <c r="O757" s="279"/>
      <c r="P757" s="291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</row>
    <row r="758" spans="1:28" ht="15.75" customHeight="1" x14ac:dyDescent="0.25">
      <c r="A758" s="35"/>
      <c r="B758" s="246"/>
      <c r="C758" s="35"/>
      <c r="D758" s="35"/>
      <c r="E758" s="20"/>
      <c r="F758" s="20"/>
      <c r="G758" s="20"/>
      <c r="H758" s="257"/>
      <c r="I758" s="293"/>
      <c r="J758" s="293"/>
      <c r="K758" s="293"/>
      <c r="L758" s="293"/>
      <c r="M758" s="279"/>
      <c r="N758" s="279"/>
      <c r="O758" s="279"/>
      <c r="P758" s="291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</row>
    <row r="759" spans="1:28" ht="15.75" customHeight="1" x14ac:dyDescent="0.25">
      <c r="A759" s="35"/>
      <c r="B759" s="246"/>
      <c r="C759" s="35"/>
      <c r="D759" s="35"/>
      <c r="E759" s="20"/>
      <c r="F759" s="20"/>
      <c r="G759" s="20"/>
      <c r="H759" s="257"/>
      <c r="I759" s="293"/>
      <c r="J759" s="293"/>
      <c r="K759" s="293"/>
      <c r="L759" s="293"/>
      <c r="M759" s="279"/>
      <c r="N759" s="279"/>
      <c r="O759" s="279"/>
      <c r="P759" s="291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</row>
    <row r="760" spans="1:28" ht="15.75" customHeight="1" x14ac:dyDescent="0.25">
      <c r="A760" s="35"/>
      <c r="B760" s="246"/>
      <c r="C760" s="35"/>
      <c r="D760" s="35"/>
      <c r="E760" s="20"/>
      <c r="F760" s="20"/>
      <c r="G760" s="20"/>
      <c r="H760" s="257"/>
      <c r="I760" s="293"/>
      <c r="J760" s="293"/>
      <c r="K760" s="293"/>
      <c r="L760" s="293"/>
      <c r="M760" s="279"/>
      <c r="N760" s="279"/>
      <c r="O760" s="279"/>
      <c r="P760" s="291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</row>
    <row r="761" spans="1:28" ht="15.75" customHeight="1" x14ac:dyDescent="0.25">
      <c r="A761" s="35"/>
      <c r="B761" s="246"/>
      <c r="C761" s="35"/>
      <c r="D761" s="35"/>
      <c r="E761" s="20"/>
      <c r="F761" s="20"/>
      <c r="G761" s="20"/>
      <c r="H761" s="257"/>
      <c r="I761" s="293"/>
      <c r="J761" s="293"/>
      <c r="K761" s="293"/>
      <c r="L761" s="293"/>
      <c r="M761" s="279"/>
      <c r="N761" s="279"/>
      <c r="O761" s="279"/>
      <c r="P761" s="291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</row>
    <row r="762" spans="1:28" ht="15.75" customHeight="1" x14ac:dyDescent="0.25">
      <c r="A762" s="35"/>
      <c r="B762" s="246"/>
      <c r="C762" s="35"/>
      <c r="D762" s="35"/>
      <c r="E762" s="20"/>
      <c r="F762" s="20"/>
      <c r="G762" s="20"/>
      <c r="H762" s="257"/>
      <c r="I762" s="293"/>
      <c r="J762" s="293"/>
      <c r="K762" s="293"/>
      <c r="L762" s="293"/>
      <c r="M762" s="279"/>
      <c r="N762" s="279"/>
      <c r="O762" s="279"/>
      <c r="P762" s="291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</row>
    <row r="763" spans="1:28" ht="15.75" customHeight="1" x14ac:dyDescent="0.25">
      <c r="A763" s="35"/>
      <c r="B763" s="246"/>
      <c r="C763" s="35"/>
      <c r="D763" s="35"/>
      <c r="E763" s="20"/>
      <c r="F763" s="20"/>
      <c r="G763" s="20"/>
      <c r="H763" s="257"/>
      <c r="I763" s="293"/>
      <c r="J763" s="293"/>
      <c r="K763" s="293"/>
      <c r="L763" s="293"/>
      <c r="M763" s="279"/>
      <c r="N763" s="279"/>
      <c r="O763" s="279"/>
      <c r="P763" s="291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</row>
    <row r="764" spans="1:28" ht="15.75" customHeight="1" x14ac:dyDescent="0.25">
      <c r="A764" s="35"/>
      <c r="B764" s="246"/>
      <c r="C764" s="35"/>
      <c r="D764" s="35"/>
      <c r="E764" s="20"/>
      <c r="F764" s="20"/>
      <c r="G764" s="20"/>
      <c r="H764" s="257"/>
      <c r="I764" s="293"/>
      <c r="J764" s="293"/>
      <c r="K764" s="293"/>
      <c r="L764" s="293"/>
      <c r="M764" s="279"/>
      <c r="N764" s="279"/>
      <c r="O764" s="279"/>
      <c r="P764" s="291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</row>
    <row r="765" spans="1:28" ht="15.75" customHeight="1" x14ac:dyDescent="0.25">
      <c r="A765" s="35"/>
      <c r="B765" s="246"/>
      <c r="C765" s="35"/>
      <c r="D765" s="35"/>
      <c r="E765" s="20"/>
      <c r="F765" s="20"/>
      <c r="G765" s="20"/>
      <c r="H765" s="257"/>
      <c r="I765" s="293"/>
      <c r="J765" s="293"/>
      <c r="K765" s="293"/>
      <c r="L765" s="293"/>
      <c r="M765" s="279"/>
      <c r="N765" s="279"/>
      <c r="O765" s="279"/>
      <c r="P765" s="291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</row>
    <row r="766" spans="1:28" ht="15.75" customHeight="1" x14ac:dyDescent="0.25">
      <c r="A766" s="35"/>
      <c r="B766" s="246"/>
      <c r="C766" s="35"/>
      <c r="D766" s="35"/>
      <c r="E766" s="20"/>
      <c r="F766" s="20"/>
      <c r="G766" s="20"/>
      <c r="H766" s="257"/>
      <c r="I766" s="293"/>
      <c r="J766" s="293"/>
      <c r="K766" s="293"/>
      <c r="L766" s="293"/>
      <c r="M766" s="279"/>
      <c r="N766" s="279"/>
      <c r="O766" s="279"/>
      <c r="P766" s="291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</row>
    <row r="767" spans="1:28" ht="15.75" customHeight="1" x14ac:dyDescent="0.25">
      <c r="A767" s="35"/>
      <c r="B767" s="246"/>
      <c r="C767" s="35"/>
      <c r="D767" s="35"/>
      <c r="E767" s="20"/>
      <c r="F767" s="20"/>
      <c r="G767" s="20"/>
      <c r="H767" s="257"/>
      <c r="I767" s="293"/>
      <c r="J767" s="293"/>
      <c r="K767" s="293"/>
      <c r="L767" s="293"/>
      <c r="M767" s="279"/>
      <c r="N767" s="279"/>
      <c r="O767" s="279"/>
      <c r="P767" s="291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</row>
    <row r="768" spans="1:28" ht="15.75" customHeight="1" x14ac:dyDescent="0.25">
      <c r="A768" s="35"/>
      <c r="B768" s="246"/>
      <c r="C768" s="35"/>
      <c r="D768" s="35"/>
      <c r="E768" s="20"/>
      <c r="F768" s="20"/>
      <c r="G768" s="20"/>
      <c r="H768" s="257"/>
      <c r="I768" s="293"/>
      <c r="J768" s="293"/>
      <c r="K768" s="293"/>
      <c r="L768" s="293"/>
      <c r="M768" s="279"/>
      <c r="N768" s="279"/>
      <c r="O768" s="279"/>
      <c r="P768" s="291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</row>
    <row r="769" spans="1:28" ht="15.75" customHeight="1" x14ac:dyDescent="0.25">
      <c r="A769" s="35"/>
      <c r="B769" s="246"/>
      <c r="C769" s="35"/>
      <c r="D769" s="35"/>
      <c r="E769" s="20"/>
      <c r="F769" s="20"/>
      <c r="G769" s="20"/>
      <c r="H769" s="257"/>
      <c r="I769" s="293"/>
      <c r="J769" s="293"/>
      <c r="K769" s="293"/>
      <c r="L769" s="293"/>
      <c r="M769" s="279"/>
      <c r="N769" s="279"/>
      <c r="O769" s="279"/>
      <c r="P769" s="291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</row>
    <row r="770" spans="1:28" ht="15.75" customHeight="1" x14ac:dyDescent="0.25">
      <c r="A770" s="35"/>
      <c r="B770" s="246"/>
      <c r="C770" s="35"/>
      <c r="D770" s="35"/>
      <c r="E770" s="20"/>
      <c r="F770" s="20"/>
      <c r="G770" s="20"/>
      <c r="H770" s="257"/>
      <c r="I770" s="293"/>
      <c r="J770" s="293"/>
      <c r="K770" s="293"/>
      <c r="L770" s="293"/>
      <c r="M770" s="279"/>
      <c r="N770" s="279"/>
      <c r="O770" s="279"/>
      <c r="P770" s="291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</row>
    <row r="771" spans="1:28" ht="15.75" customHeight="1" x14ac:dyDescent="0.25">
      <c r="A771" s="35"/>
      <c r="B771" s="246"/>
      <c r="C771" s="35"/>
      <c r="D771" s="35"/>
      <c r="E771" s="20"/>
      <c r="F771" s="20"/>
      <c r="G771" s="20"/>
      <c r="H771" s="257"/>
      <c r="I771" s="293"/>
      <c r="J771" s="293"/>
      <c r="K771" s="293"/>
      <c r="L771" s="293"/>
      <c r="M771" s="279"/>
      <c r="N771" s="279"/>
      <c r="O771" s="279"/>
      <c r="P771" s="291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</row>
    <row r="772" spans="1:28" ht="15.75" customHeight="1" x14ac:dyDescent="0.25">
      <c r="A772" s="35"/>
      <c r="B772" s="246"/>
      <c r="C772" s="35"/>
      <c r="D772" s="35"/>
      <c r="E772" s="20"/>
      <c r="F772" s="20"/>
      <c r="G772" s="20"/>
      <c r="H772" s="257"/>
      <c r="I772" s="293"/>
      <c r="J772" s="293"/>
      <c r="K772" s="293"/>
      <c r="L772" s="293"/>
      <c r="M772" s="279"/>
      <c r="N772" s="279"/>
      <c r="O772" s="279"/>
      <c r="P772" s="291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</row>
    <row r="773" spans="1:28" ht="15.75" customHeight="1" x14ac:dyDescent="0.25">
      <c r="A773" s="35"/>
      <c r="B773" s="246"/>
      <c r="C773" s="35"/>
      <c r="D773" s="35"/>
      <c r="E773" s="20"/>
      <c r="F773" s="20"/>
      <c r="G773" s="20"/>
      <c r="H773" s="257"/>
      <c r="I773" s="293"/>
      <c r="J773" s="293"/>
      <c r="K773" s="293"/>
      <c r="L773" s="293"/>
      <c r="M773" s="279"/>
      <c r="N773" s="279"/>
      <c r="O773" s="279"/>
      <c r="P773" s="291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</row>
    <row r="774" spans="1:28" ht="15.75" customHeight="1" x14ac:dyDescent="0.25">
      <c r="A774" s="35"/>
      <c r="B774" s="246"/>
      <c r="C774" s="35"/>
      <c r="D774" s="35"/>
      <c r="E774" s="20"/>
      <c r="F774" s="20"/>
      <c r="G774" s="20"/>
      <c r="H774" s="257"/>
      <c r="I774" s="293"/>
      <c r="J774" s="293"/>
      <c r="K774" s="293"/>
      <c r="L774" s="293"/>
      <c r="M774" s="279"/>
      <c r="N774" s="279"/>
      <c r="O774" s="279"/>
      <c r="P774" s="291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</row>
    <row r="775" spans="1:28" ht="15.75" customHeight="1" x14ac:dyDescent="0.25">
      <c r="A775" s="35"/>
      <c r="B775" s="246"/>
      <c r="C775" s="35"/>
      <c r="D775" s="35"/>
      <c r="E775" s="20"/>
      <c r="F775" s="20"/>
      <c r="G775" s="20"/>
      <c r="H775" s="257"/>
      <c r="I775" s="293"/>
      <c r="J775" s="293"/>
      <c r="K775" s="293"/>
      <c r="L775" s="293"/>
      <c r="M775" s="279"/>
      <c r="N775" s="279"/>
      <c r="O775" s="279"/>
      <c r="P775" s="291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</row>
    <row r="776" spans="1:28" ht="15.75" customHeight="1" x14ac:dyDescent="0.25">
      <c r="A776" s="35"/>
      <c r="B776" s="246"/>
      <c r="C776" s="35"/>
      <c r="D776" s="35"/>
      <c r="E776" s="20"/>
      <c r="F776" s="20"/>
      <c r="G776" s="20"/>
      <c r="H776" s="257"/>
      <c r="I776" s="293"/>
      <c r="J776" s="293"/>
      <c r="K776" s="293"/>
      <c r="L776" s="293"/>
      <c r="M776" s="279"/>
      <c r="N776" s="279"/>
      <c r="O776" s="279"/>
      <c r="P776" s="291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</row>
    <row r="777" spans="1:28" ht="15.75" customHeight="1" x14ac:dyDescent="0.25">
      <c r="A777" s="35"/>
      <c r="B777" s="246"/>
      <c r="C777" s="35"/>
      <c r="D777" s="35"/>
      <c r="E777" s="20"/>
      <c r="F777" s="20"/>
      <c r="G777" s="20"/>
      <c r="H777" s="257"/>
      <c r="I777" s="293"/>
      <c r="J777" s="293"/>
      <c r="K777" s="293"/>
      <c r="L777" s="293"/>
      <c r="M777" s="279"/>
      <c r="N777" s="279"/>
      <c r="O777" s="279"/>
      <c r="P777" s="291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</row>
    <row r="778" spans="1:28" ht="15.75" customHeight="1" x14ac:dyDescent="0.25">
      <c r="A778" s="35"/>
      <c r="B778" s="246"/>
      <c r="C778" s="35"/>
      <c r="D778" s="35"/>
      <c r="E778" s="20"/>
      <c r="F778" s="20"/>
      <c r="G778" s="20"/>
      <c r="H778" s="257"/>
      <c r="I778" s="293"/>
      <c r="J778" s="293"/>
      <c r="K778" s="293"/>
      <c r="L778" s="293"/>
      <c r="M778" s="279"/>
      <c r="N778" s="279"/>
      <c r="O778" s="279"/>
      <c r="P778" s="291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</row>
    <row r="779" spans="1:28" ht="15.75" customHeight="1" x14ac:dyDescent="0.25">
      <c r="A779" s="35"/>
      <c r="B779" s="246"/>
      <c r="C779" s="35"/>
      <c r="D779" s="35"/>
      <c r="E779" s="20"/>
      <c r="F779" s="20"/>
      <c r="G779" s="20"/>
      <c r="H779" s="257"/>
      <c r="I779" s="293"/>
      <c r="J779" s="293"/>
      <c r="K779" s="293"/>
      <c r="L779" s="293"/>
      <c r="M779" s="279"/>
      <c r="N779" s="279"/>
      <c r="O779" s="279"/>
      <c r="P779" s="291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</row>
    <row r="780" spans="1:28" ht="15.75" customHeight="1" x14ac:dyDescent="0.25">
      <c r="A780" s="35"/>
      <c r="B780" s="246"/>
      <c r="C780" s="35"/>
      <c r="D780" s="35"/>
      <c r="E780" s="20"/>
      <c r="F780" s="20"/>
      <c r="G780" s="20"/>
      <c r="H780" s="257"/>
      <c r="I780" s="293"/>
      <c r="J780" s="293"/>
      <c r="K780" s="293"/>
      <c r="L780" s="293"/>
      <c r="M780" s="279"/>
      <c r="N780" s="279"/>
      <c r="O780" s="279"/>
      <c r="P780" s="291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</row>
    <row r="781" spans="1:28" ht="15.75" customHeight="1" x14ac:dyDescent="0.25">
      <c r="A781" s="35"/>
      <c r="B781" s="246"/>
      <c r="C781" s="35"/>
      <c r="D781" s="35"/>
      <c r="E781" s="20"/>
      <c r="F781" s="20"/>
      <c r="G781" s="20"/>
      <c r="H781" s="257"/>
      <c r="I781" s="293"/>
      <c r="J781" s="293"/>
      <c r="K781" s="293"/>
      <c r="L781" s="293"/>
      <c r="M781" s="279"/>
      <c r="N781" s="279"/>
      <c r="O781" s="279"/>
      <c r="P781" s="291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</row>
    <row r="782" spans="1:28" ht="15.75" customHeight="1" x14ac:dyDescent="0.25">
      <c r="A782" s="35"/>
      <c r="B782" s="246"/>
      <c r="C782" s="35"/>
      <c r="D782" s="35"/>
      <c r="E782" s="20"/>
      <c r="F782" s="20"/>
      <c r="G782" s="20"/>
      <c r="H782" s="257"/>
      <c r="I782" s="293"/>
      <c r="J782" s="293"/>
      <c r="K782" s="293"/>
      <c r="L782" s="293"/>
      <c r="M782" s="279"/>
      <c r="N782" s="279"/>
      <c r="O782" s="279"/>
      <c r="P782" s="291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</row>
    <row r="783" spans="1:28" ht="15.75" customHeight="1" x14ac:dyDescent="0.25">
      <c r="A783" s="35"/>
      <c r="B783" s="246"/>
      <c r="C783" s="35"/>
      <c r="D783" s="35"/>
      <c r="E783" s="20"/>
      <c r="F783" s="20"/>
      <c r="G783" s="20"/>
      <c r="H783" s="257"/>
      <c r="I783" s="293"/>
      <c r="J783" s="293"/>
      <c r="K783" s="293"/>
      <c r="L783" s="293"/>
      <c r="M783" s="279"/>
      <c r="N783" s="279"/>
      <c r="O783" s="279"/>
      <c r="P783" s="291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</row>
    <row r="784" spans="1:28" ht="15.75" customHeight="1" x14ac:dyDescent="0.25">
      <c r="A784" s="35"/>
      <c r="B784" s="246"/>
      <c r="C784" s="35"/>
      <c r="D784" s="35"/>
      <c r="E784" s="20"/>
      <c r="F784" s="20"/>
      <c r="G784" s="20"/>
      <c r="H784" s="257"/>
      <c r="I784" s="293"/>
      <c r="J784" s="293"/>
      <c r="K784" s="293"/>
      <c r="L784" s="293"/>
      <c r="M784" s="279"/>
      <c r="N784" s="279"/>
      <c r="O784" s="279"/>
      <c r="P784" s="291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</row>
    <row r="785" spans="1:28" ht="15.75" customHeight="1" x14ac:dyDescent="0.25">
      <c r="A785" s="35"/>
      <c r="B785" s="246"/>
      <c r="C785" s="35"/>
      <c r="D785" s="35"/>
      <c r="E785" s="20"/>
      <c r="F785" s="20"/>
      <c r="G785" s="20"/>
      <c r="H785" s="257"/>
      <c r="I785" s="293"/>
      <c r="J785" s="293"/>
      <c r="K785" s="293"/>
      <c r="L785" s="293"/>
      <c r="M785" s="279"/>
      <c r="N785" s="279"/>
      <c r="O785" s="279"/>
      <c r="P785" s="291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</row>
    <row r="786" spans="1:28" ht="15.75" customHeight="1" x14ac:dyDescent="0.25">
      <c r="A786" s="35"/>
      <c r="B786" s="246"/>
      <c r="C786" s="35"/>
      <c r="D786" s="35"/>
      <c r="E786" s="20"/>
      <c r="F786" s="20"/>
      <c r="G786" s="20"/>
      <c r="H786" s="257"/>
      <c r="I786" s="293"/>
      <c r="J786" s="293"/>
      <c r="K786" s="293"/>
      <c r="L786" s="293"/>
      <c r="M786" s="279"/>
      <c r="N786" s="279"/>
      <c r="O786" s="279"/>
      <c r="P786" s="291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</row>
    <row r="787" spans="1:28" ht="15.75" customHeight="1" x14ac:dyDescent="0.25">
      <c r="A787" s="35"/>
      <c r="B787" s="246"/>
      <c r="C787" s="35"/>
      <c r="D787" s="35"/>
      <c r="E787" s="20"/>
      <c r="F787" s="20"/>
      <c r="G787" s="20"/>
      <c r="H787" s="257"/>
      <c r="I787" s="293"/>
      <c r="J787" s="293"/>
      <c r="K787" s="293"/>
      <c r="L787" s="293"/>
      <c r="M787" s="279"/>
      <c r="N787" s="279"/>
      <c r="O787" s="279"/>
      <c r="P787" s="291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</row>
    <row r="788" spans="1:28" ht="15.75" customHeight="1" x14ac:dyDescent="0.25">
      <c r="A788" s="35"/>
      <c r="B788" s="246"/>
      <c r="C788" s="35"/>
      <c r="D788" s="35"/>
      <c r="E788" s="20"/>
      <c r="F788" s="20"/>
      <c r="G788" s="20"/>
      <c r="H788" s="257"/>
      <c r="I788" s="293"/>
      <c r="J788" s="293"/>
      <c r="K788" s="293"/>
      <c r="L788" s="293"/>
      <c r="M788" s="279"/>
      <c r="N788" s="279"/>
      <c r="O788" s="279"/>
      <c r="P788" s="291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</row>
    <row r="789" spans="1:28" ht="15.75" customHeight="1" x14ac:dyDescent="0.25">
      <c r="A789" s="35"/>
      <c r="B789" s="246"/>
      <c r="C789" s="35"/>
      <c r="D789" s="35"/>
      <c r="E789" s="20"/>
      <c r="F789" s="20"/>
      <c r="G789" s="20"/>
      <c r="H789" s="257"/>
      <c r="I789" s="293"/>
      <c r="J789" s="293"/>
      <c r="K789" s="293"/>
      <c r="L789" s="293"/>
      <c r="M789" s="279"/>
      <c r="N789" s="279"/>
      <c r="O789" s="279"/>
      <c r="P789" s="291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</row>
    <row r="790" spans="1:28" ht="15.75" customHeight="1" x14ac:dyDescent="0.25">
      <c r="A790" s="35"/>
      <c r="B790" s="246"/>
      <c r="C790" s="35"/>
      <c r="D790" s="35"/>
      <c r="E790" s="20"/>
      <c r="F790" s="20"/>
      <c r="G790" s="20"/>
      <c r="H790" s="257"/>
      <c r="I790" s="293"/>
      <c r="J790" s="293"/>
      <c r="K790" s="293"/>
      <c r="L790" s="293"/>
      <c r="M790" s="279"/>
      <c r="N790" s="279"/>
      <c r="O790" s="279"/>
      <c r="P790" s="291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</row>
    <row r="791" spans="1:28" ht="15.75" customHeight="1" x14ac:dyDescent="0.25">
      <c r="A791" s="35"/>
      <c r="B791" s="246"/>
      <c r="C791" s="35"/>
      <c r="D791" s="35"/>
      <c r="E791" s="20"/>
      <c r="F791" s="20"/>
      <c r="G791" s="20"/>
      <c r="H791" s="257"/>
      <c r="I791" s="293"/>
      <c r="J791" s="293"/>
      <c r="K791" s="293"/>
      <c r="L791" s="293"/>
      <c r="M791" s="279"/>
      <c r="N791" s="279"/>
      <c r="O791" s="279"/>
      <c r="P791" s="291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</row>
    <row r="792" spans="1:28" ht="15.75" customHeight="1" x14ac:dyDescent="0.25">
      <c r="A792" s="35"/>
      <c r="B792" s="246"/>
      <c r="C792" s="35"/>
      <c r="D792" s="35"/>
      <c r="E792" s="20"/>
      <c r="F792" s="20"/>
      <c r="G792" s="20"/>
      <c r="H792" s="257"/>
      <c r="I792" s="293"/>
      <c r="J792" s="293"/>
      <c r="K792" s="293"/>
      <c r="L792" s="293"/>
      <c r="M792" s="279"/>
      <c r="N792" s="279"/>
      <c r="O792" s="279"/>
      <c r="P792" s="291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</row>
    <row r="793" spans="1:28" ht="15.75" customHeight="1" x14ac:dyDescent="0.25">
      <c r="A793" s="35"/>
      <c r="B793" s="246"/>
      <c r="C793" s="35"/>
      <c r="D793" s="35"/>
      <c r="E793" s="20"/>
      <c r="F793" s="20"/>
      <c r="G793" s="20"/>
      <c r="H793" s="257"/>
      <c r="I793" s="293"/>
      <c r="J793" s="293"/>
      <c r="K793" s="293"/>
      <c r="L793" s="293"/>
      <c r="M793" s="279"/>
      <c r="N793" s="279"/>
      <c r="O793" s="279"/>
      <c r="P793" s="291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</row>
    <row r="794" spans="1:28" ht="15.75" customHeight="1" x14ac:dyDescent="0.25">
      <c r="A794" s="35"/>
      <c r="B794" s="246"/>
      <c r="C794" s="35"/>
      <c r="D794" s="35"/>
      <c r="E794" s="20"/>
      <c r="F794" s="20"/>
      <c r="G794" s="20"/>
      <c r="H794" s="257"/>
      <c r="I794" s="293"/>
      <c r="J794" s="293"/>
      <c r="K794" s="293"/>
      <c r="L794" s="293"/>
      <c r="M794" s="279"/>
      <c r="N794" s="279"/>
      <c r="O794" s="279"/>
      <c r="P794" s="291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</row>
    <row r="795" spans="1:28" ht="15.75" customHeight="1" x14ac:dyDescent="0.25">
      <c r="A795" s="35"/>
      <c r="B795" s="246"/>
      <c r="C795" s="35"/>
      <c r="D795" s="35"/>
      <c r="E795" s="20"/>
      <c r="F795" s="20"/>
      <c r="G795" s="20"/>
      <c r="H795" s="257"/>
      <c r="I795" s="293"/>
      <c r="J795" s="293"/>
      <c r="K795" s="293"/>
      <c r="L795" s="293"/>
      <c r="M795" s="279"/>
      <c r="N795" s="279"/>
      <c r="O795" s="279"/>
      <c r="P795" s="291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</row>
    <row r="796" spans="1:28" ht="15.75" customHeight="1" x14ac:dyDescent="0.25">
      <c r="A796" s="35"/>
      <c r="B796" s="246"/>
      <c r="C796" s="35"/>
      <c r="D796" s="35"/>
      <c r="E796" s="20"/>
      <c r="F796" s="20"/>
      <c r="G796" s="20"/>
      <c r="H796" s="257"/>
      <c r="I796" s="293"/>
      <c r="J796" s="293"/>
      <c r="K796" s="293"/>
      <c r="L796" s="293"/>
      <c r="M796" s="279"/>
      <c r="N796" s="279"/>
      <c r="O796" s="279"/>
      <c r="P796" s="291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</row>
    <row r="797" spans="1:28" ht="15.75" customHeight="1" x14ac:dyDescent="0.25">
      <c r="A797" s="35"/>
      <c r="B797" s="246"/>
      <c r="C797" s="35"/>
      <c r="D797" s="35"/>
      <c r="E797" s="20"/>
      <c r="F797" s="20"/>
      <c r="G797" s="20"/>
      <c r="H797" s="257"/>
      <c r="I797" s="293"/>
      <c r="J797" s="293"/>
      <c r="K797" s="293"/>
      <c r="L797" s="293"/>
      <c r="M797" s="279"/>
      <c r="N797" s="279"/>
      <c r="O797" s="279"/>
      <c r="P797" s="291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</row>
    <row r="798" spans="1:28" ht="15.75" customHeight="1" x14ac:dyDescent="0.25">
      <c r="A798" s="35"/>
      <c r="B798" s="246"/>
      <c r="C798" s="35"/>
      <c r="D798" s="35"/>
      <c r="E798" s="20"/>
      <c r="F798" s="20"/>
      <c r="G798" s="20"/>
      <c r="H798" s="257"/>
      <c r="I798" s="293"/>
      <c r="J798" s="293"/>
      <c r="K798" s="293"/>
      <c r="L798" s="293"/>
      <c r="M798" s="279"/>
      <c r="N798" s="279"/>
      <c r="O798" s="279"/>
      <c r="P798" s="291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</row>
    <row r="799" spans="1:28" ht="15.75" customHeight="1" x14ac:dyDescent="0.25">
      <c r="A799" s="35"/>
      <c r="B799" s="246"/>
      <c r="C799" s="35"/>
      <c r="D799" s="35"/>
      <c r="E799" s="20"/>
      <c r="F799" s="20"/>
      <c r="G799" s="20"/>
      <c r="H799" s="257"/>
      <c r="I799" s="293"/>
      <c r="J799" s="293"/>
      <c r="K799" s="293"/>
      <c r="L799" s="293"/>
      <c r="M799" s="279"/>
      <c r="N799" s="279"/>
      <c r="O799" s="279"/>
      <c r="P799" s="291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</row>
    <row r="800" spans="1:28" ht="15.75" customHeight="1" x14ac:dyDescent="0.25">
      <c r="A800" s="35"/>
      <c r="B800" s="246"/>
      <c r="C800" s="35"/>
      <c r="D800" s="35"/>
      <c r="E800" s="20"/>
      <c r="F800" s="20"/>
      <c r="G800" s="20"/>
      <c r="H800" s="257"/>
      <c r="I800" s="293"/>
      <c r="J800" s="293"/>
      <c r="K800" s="293"/>
      <c r="L800" s="293"/>
      <c r="M800" s="279"/>
      <c r="N800" s="279"/>
      <c r="O800" s="279"/>
      <c r="P800" s="291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</row>
    <row r="801" spans="1:28" ht="15.75" customHeight="1" x14ac:dyDescent="0.25">
      <c r="A801" s="35"/>
      <c r="B801" s="246"/>
      <c r="C801" s="35"/>
      <c r="D801" s="35"/>
      <c r="E801" s="20"/>
      <c r="F801" s="20"/>
      <c r="G801" s="20"/>
      <c r="H801" s="257"/>
      <c r="I801" s="293"/>
      <c r="J801" s="293"/>
      <c r="K801" s="293"/>
      <c r="L801" s="293"/>
      <c r="M801" s="279"/>
      <c r="N801" s="279"/>
      <c r="O801" s="279"/>
      <c r="P801" s="291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</row>
    <row r="802" spans="1:28" ht="15.75" customHeight="1" x14ac:dyDescent="0.25">
      <c r="A802" s="35"/>
      <c r="B802" s="246"/>
      <c r="C802" s="35"/>
      <c r="D802" s="35"/>
      <c r="E802" s="20"/>
      <c r="F802" s="20"/>
      <c r="G802" s="20"/>
      <c r="H802" s="257"/>
      <c r="I802" s="293"/>
      <c r="J802" s="293"/>
      <c r="K802" s="293"/>
      <c r="L802" s="293"/>
      <c r="M802" s="279"/>
      <c r="N802" s="279"/>
      <c r="O802" s="279"/>
      <c r="P802" s="291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</row>
    <row r="803" spans="1:28" ht="15.75" customHeight="1" x14ac:dyDescent="0.25">
      <c r="A803" s="35"/>
      <c r="B803" s="246"/>
      <c r="C803" s="35"/>
      <c r="D803" s="35"/>
      <c r="E803" s="20"/>
      <c r="F803" s="20"/>
      <c r="G803" s="20"/>
      <c r="H803" s="257"/>
      <c r="I803" s="293"/>
      <c r="J803" s="293"/>
      <c r="K803" s="293"/>
      <c r="L803" s="293"/>
      <c r="M803" s="279"/>
      <c r="N803" s="279"/>
      <c r="O803" s="279"/>
      <c r="P803" s="291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</row>
    <row r="804" spans="1:28" ht="15.75" customHeight="1" x14ac:dyDescent="0.25">
      <c r="A804" s="35"/>
      <c r="B804" s="246"/>
      <c r="C804" s="35"/>
      <c r="D804" s="35"/>
      <c r="E804" s="20"/>
      <c r="F804" s="20"/>
      <c r="G804" s="20"/>
      <c r="H804" s="257"/>
      <c r="I804" s="293"/>
      <c r="J804" s="293"/>
      <c r="K804" s="293"/>
      <c r="L804" s="293"/>
      <c r="M804" s="279"/>
      <c r="N804" s="279"/>
      <c r="O804" s="279"/>
      <c r="P804" s="291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</row>
    <row r="805" spans="1:28" ht="15.75" customHeight="1" x14ac:dyDescent="0.25">
      <c r="A805" s="35"/>
      <c r="B805" s="246"/>
      <c r="C805" s="35"/>
      <c r="D805" s="35"/>
      <c r="E805" s="20"/>
      <c r="F805" s="20"/>
      <c r="G805" s="20"/>
      <c r="H805" s="257"/>
      <c r="I805" s="293"/>
      <c r="J805" s="293"/>
      <c r="K805" s="293"/>
      <c r="L805" s="293"/>
      <c r="M805" s="279"/>
      <c r="N805" s="279"/>
      <c r="O805" s="279"/>
      <c r="P805" s="291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</row>
    <row r="806" spans="1:28" ht="15.75" customHeight="1" x14ac:dyDescent="0.25">
      <c r="A806" s="35"/>
      <c r="B806" s="246"/>
      <c r="C806" s="35"/>
      <c r="D806" s="35"/>
      <c r="E806" s="20"/>
      <c r="F806" s="20"/>
      <c r="G806" s="20"/>
      <c r="H806" s="257"/>
      <c r="I806" s="293"/>
      <c r="J806" s="293"/>
      <c r="K806" s="293"/>
      <c r="L806" s="293"/>
      <c r="M806" s="279"/>
      <c r="N806" s="279"/>
      <c r="O806" s="279"/>
      <c r="P806" s="291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</row>
    <row r="807" spans="1:28" ht="15.75" customHeight="1" x14ac:dyDescent="0.25">
      <c r="A807" s="35"/>
      <c r="B807" s="246"/>
      <c r="C807" s="35"/>
      <c r="D807" s="35"/>
      <c r="E807" s="20"/>
      <c r="F807" s="20"/>
      <c r="G807" s="20"/>
      <c r="H807" s="257"/>
      <c r="I807" s="293"/>
      <c r="J807" s="293"/>
      <c r="K807" s="293"/>
      <c r="L807" s="293"/>
      <c r="M807" s="279"/>
      <c r="N807" s="279"/>
      <c r="O807" s="279"/>
      <c r="P807" s="291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</row>
    <row r="808" spans="1:28" ht="15.75" customHeight="1" x14ac:dyDescent="0.25">
      <c r="A808" s="35"/>
      <c r="B808" s="246"/>
      <c r="C808" s="35"/>
      <c r="D808" s="35"/>
      <c r="E808" s="20"/>
      <c r="F808" s="20"/>
      <c r="G808" s="20"/>
      <c r="H808" s="257"/>
      <c r="I808" s="293"/>
      <c r="J808" s="293"/>
      <c r="K808" s="293"/>
      <c r="L808" s="293"/>
      <c r="M808" s="279"/>
      <c r="N808" s="279"/>
      <c r="O808" s="279"/>
      <c r="P808" s="291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</row>
    <row r="809" spans="1:28" ht="15.75" customHeight="1" x14ac:dyDescent="0.25">
      <c r="A809" s="35"/>
      <c r="B809" s="246"/>
      <c r="C809" s="35"/>
      <c r="D809" s="35"/>
      <c r="E809" s="20"/>
      <c r="F809" s="20"/>
      <c r="G809" s="20"/>
      <c r="H809" s="257"/>
      <c r="I809" s="293"/>
      <c r="J809" s="293"/>
      <c r="K809" s="293"/>
      <c r="L809" s="293"/>
      <c r="M809" s="279"/>
      <c r="N809" s="279"/>
      <c r="O809" s="279"/>
      <c r="P809" s="291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</row>
    <row r="810" spans="1:28" ht="15.75" customHeight="1" x14ac:dyDescent="0.25">
      <c r="A810" s="35"/>
      <c r="B810" s="246"/>
      <c r="C810" s="35"/>
      <c r="D810" s="35"/>
      <c r="E810" s="20"/>
      <c r="F810" s="20"/>
      <c r="G810" s="20"/>
      <c r="H810" s="257"/>
      <c r="I810" s="293"/>
      <c r="J810" s="293"/>
      <c r="K810" s="293"/>
      <c r="L810" s="293"/>
      <c r="M810" s="279"/>
      <c r="N810" s="279"/>
      <c r="O810" s="279"/>
      <c r="P810" s="291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</row>
    <row r="811" spans="1:28" ht="15.75" customHeight="1" x14ac:dyDescent="0.25">
      <c r="A811" s="35"/>
      <c r="B811" s="246"/>
      <c r="C811" s="35"/>
      <c r="D811" s="35"/>
      <c r="E811" s="20"/>
      <c r="F811" s="20"/>
      <c r="G811" s="20"/>
      <c r="H811" s="257"/>
      <c r="I811" s="293"/>
      <c r="J811" s="293"/>
      <c r="K811" s="293"/>
      <c r="L811" s="293"/>
      <c r="M811" s="279"/>
      <c r="N811" s="279"/>
      <c r="O811" s="279"/>
      <c r="P811" s="291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</row>
    <row r="812" spans="1:28" ht="15.75" customHeight="1" x14ac:dyDescent="0.25">
      <c r="A812" s="35"/>
      <c r="B812" s="246"/>
      <c r="C812" s="35"/>
      <c r="D812" s="35"/>
      <c r="E812" s="20"/>
      <c r="F812" s="20"/>
      <c r="G812" s="20"/>
      <c r="H812" s="257"/>
      <c r="I812" s="293"/>
      <c r="J812" s="293"/>
      <c r="K812" s="293"/>
      <c r="L812" s="293"/>
      <c r="M812" s="279"/>
      <c r="N812" s="279"/>
      <c r="O812" s="279"/>
      <c r="P812" s="291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</row>
    <row r="813" spans="1:28" ht="15.75" customHeight="1" x14ac:dyDescent="0.25">
      <c r="A813" s="35"/>
      <c r="B813" s="246"/>
      <c r="C813" s="35"/>
      <c r="D813" s="35"/>
      <c r="E813" s="20"/>
      <c r="F813" s="20"/>
      <c r="G813" s="20"/>
      <c r="H813" s="257"/>
      <c r="I813" s="293"/>
      <c r="J813" s="293"/>
      <c r="K813" s="293"/>
      <c r="L813" s="293"/>
      <c r="M813" s="279"/>
      <c r="N813" s="279"/>
      <c r="O813" s="279"/>
      <c r="P813" s="291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</row>
    <row r="814" spans="1:28" ht="15.75" customHeight="1" x14ac:dyDescent="0.25">
      <c r="A814" s="35"/>
      <c r="B814" s="246"/>
      <c r="C814" s="35"/>
      <c r="D814" s="35"/>
      <c r="E814" s="20"/>
      <c r="F814" s="20"/>
      <c r="G814" s="20"/>
      <c r="H814" s="257"/>
      <c r="I814" s="293"/>
      <c r="J814" s="293"/>
      <c r="K814" s="293"/>
      <c r="L814" s="293"/>
      <c r="M814" s="279"/>
      <c r="N814" s="279"/>
      <c r="O814" s="279"/>
      <c r="P814" s="291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</row>
    <row r="815" spans="1:28" ht="15.75" customHeight="1" x14ac:dyDescent="0.25">
      <c r="A815" s="35"/>
      <c r="B815" s="246"/>
      <c r="C815" s="35"/>
      <c r="D815" s="35"/>
      <c r="E815" s="20"/>
      <c r="F815" s="20"/>
      <c r="G815" s="20"/>
      <c r="H815" s="257"/>
      <c r="I815" s="293"/>
      <c r="J815" s="293"/>
      <c r="K815" s="293"/>
      <c r="L815" s="293"/>
      <c r="M815" s="279"/>
      <c r="N815" s="279"/>
      <c r="O815" s="279"/>
      <c r="P815" s="291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</row>
    <row r="816" spans="1:28" ht="15.75" customHeight="1" x14ac:dyDescent="0.25">
      <c r="A816" s="35"/>
      <c r="B816" s="246"/>
      <c r="C816" s="35"/>
      <c r="D816" s="35"/>
      <c r="E816" s="20"/>
      <c r="F816" s="20"/>
      <c r="G816" s="20"/>
      <c r="H816" s="257"/>
      <c r="I816" s="293"/>
      <c r="J816" s="293"/>
      <c r="K816" s="293"/>
      <c r="L816" s="293"/>
      <c r="M816" s="279"/>
      <c r="N816" s="279"/>
      <c r="O816" s="279"/>
      <c r="P816" s="291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</row>
    <row r="817" spans="1:28" ht="15.75" customHeight="1" x14ac:dyDescent="0.25">
      <c r="A817" s="35"/>
      <c r="B817" s="246"/>
      <c r="C817" s="35"/>
      <c r="D817" s="35"/>
      <c r="E817" s="20"/>
      <c r="F817" s="20"/>
      <c r="G817" s="20"/>
      <c r="H817" s="257"/>
      <c r="I817" s="293"/>
      <c r="J817" s="293"/>
      <c r="K817" s="293"/>
      <c r="L817" s="293"/>
      <c r="M817" s="279"/>
      <c r="N817" s="279"/>
      <c r="O817" s="279"/>
      <c r="P817" s="291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</row>
    <row r="818" spans="1:28" ht="15.75" customHeight="1" x14ac:dyDescent="0.25">
      <c r="A818" s="35"/>
      <c r="B818" s="246"/>
      <c r="C818" s="35"/>
      <c r="D818" s="35"/>
      <c r="E818" s="20"/>
      <c r="F818" s="20"/>
      <c r="G818" s="20"/>
      <c r="H818" s="257"/>
      <c r="I818" s="293"/>
      <c r="J818" s="293"/>
      <c r="K818" s="293"/>
      <c r="L818" s="293"/>
      <c r="M818" s="279"/>
      <c r="N818" s="279"/>
      <c r="O818" s="279"/>
      <c r="P818" s="291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</row>
    <row r="819" spans="1:28" ht="15.75" customHeight="1" x14ac:dyDescent="0.25">
      <c r="A819" s="35"/>
      <c r="B819" s="246"/>
      <c r="C819" s="35"/>
      <c r="D819" s="35"/>
      <c r="E819" s="20"/>
      <c r="F819" s="20"/>
      <c r="G819" s="20"/>
      <c r="H819" s="257"/>
      <c r="I819" s="293"/>
      <c r="J819" s="293"/>
      <c r="K819" s="293"/>
      <c r="L819" s="293"/>
      <c r="M819" s="279"/>
      <c r="N819" s="279"/>
      <c r="O819" s="279"/>
      <c r="P819" s="291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</row>
    <row r="820" spans="1:28" ht="15.75" customHeight="1" x14ac:dyDescent="0.25">
      <c r="A820" s="35"/>
      <c r="B820" s="246"/>
      <c r="C820" s="35"/>
      <c r="D820" s="35"/>
      <c r="E820" s="20"/>
      <c r="F820" s="20"/>
      <c r="G820" s="20"/>
      <c r="H820" s="257"/>
      <c r="I820" s="293"/>
      <c r="J820" s="293"/>
      <c r="K820" s="293"/>
      <c r="L820" s="293"/>
      <c r="M820" s="279"/>
      <c r="N820" s="279"/>
      <c r="O820" s="279"/>
      <c r="P820" s="291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</row>
    <row r="821" spans="1:28" ht="15.75" customHeight="1" x14ac:dyDescent="0.25">
      <c r="A821" s="35"/>
      <c r="B821" s="246"/>
      <c r="C821" s="35"/>
      <c r="D821" s="35"/>
      <c r="E821" s="20"/>
      <c r="F821" s="20"/>
      <c r="G821" s="20"/>
      <c r="H821" s="257"/>
      <c r="I821" s="293"/>
      <c r="J821" s="293"/>
      <c r="K821" s="293"/>
      <c r="L821" s="293"/>
      <c r="M821" s="279"/>
      <c r="N821" s="279"/>
      <c r="O821" s="279"/>
      <c r="P821" s="291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</row>
    <row r="822" spans="1:28" ht="15.75" customHeight="1" x14ac:dyDescent="0.25">
      <c r="A822" s="35"/>
      <c r="B822" s="246"/>
      <c r="C822" s="35"/>
      <c r="D822" s="35"/>
      <c r="E822" s="20"/>
      <c r="F822" s="20"/>
      <c r="G822" s="20"/>
      <c r="H822" s="257"/>
      <c r="I822" s="293"/>
      <c r="J822" s="293"/>
      <c r="K822" s="293"/>
      <c r="L822" s="293"/>
      <c r="M822" s="279"/>
      <c r="N822" s="279"/>
      <c r="O822" s="279"/>
      <c r="P822" s="291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</row>
    <row r="823" spans="1:28" ht="15.75" customHeight="1" x14ac:dyDescent="0.25">
      <c r="A823" s="35"/>
      <c r="B823" s="246"/>
      <c r="C823" s="35"/>
      <c r="D823" s="35"/>
      <c r="E823" s="20"/>
      <c r="F823" s="20"/>
      <c r="G823" s="20"/>
      <c r="H823" s="257"/>
      <c r="I823" s="293"/>
      <c r="J823" s="293"/>
      <c r="K823" s="293"/>
      <c r="L823" s="293"/>
      <c r="M823" s="279"/>
      <c r="N823" s="279"/>
      <c r="O823" s="279"/>
      <c r="P823" s="291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</row>
    <row r="824" spans="1:28" ht="15.75" customHeight="1" x14ac:dyDescent="0.25">
      <c r="A824" s="35"/>
      <c r="B824" s="246"/>
      <c r="C824" s="35"/>
      <c r="D824" s="35"/>
      <c r="E824" s="20"/>
      <c r="F824" s="20"/>
      <c r="G824" s="20"/>
      <c r="H824" s="257"/>
      <c r="I824" s="293"/>
      <c r="J824" s="293"/>
      <c r="K824" s="293"/>
      <c r="L824" s="293"/>
      <c r="M824" s="279"/>
      <c r="N824" s="279"/>
      <c r="O824" s="279"/>
      <c r="P824" s="291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</row>
    <row r="825" spans="1:28" ht="15.75" customHeight="1" x14ac:dyDescent="0.25">
      <c r="A825" s="35"/>
      <c r="B825" s="246"/>
      <c r="C825" s="35"/>
      <c r="D825" s="35"/>
      <c r="E825" s="20"/>
      <c r="F825" s="20"/>
      <c r="G825" s="20"/>
      <c r="H825" s="257"/>
      <c r="I825" s="293"/>
      <c r="J825" s="293"/>
      <c r="K825" s="293"/>
      <c r="L825" s="293"/>
      <c r="M825" s="279"/>
      <c r="N825" s="279"/>
      <c r="O825" s="279"/>
      <c r="P825" s="291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</row>
    <row r="826" spans="1:28" ht="15.75" customHeight="1" x14ac:dyDescent="0.25">
      <c r="A826" s="35"/>
      <c r="B826" s="246"/>
      <c r="C826" s="35"/>
      <c r="D826" s="35"/>
      <c r="E826" s="20"/>
      <c r="F826" s="20"/>
      <c r="G826" s="20"/>
      <c r="H826" s="257"/>
      <c r="I826" s="293"/>
      <c r="J826" s="293"/>
      <c r="K826" s="293"/>
      <c r="L826" s="293"/>
      <c r="M826" s="279"/>
      <c r="N826" s="279"/>
      <c r="O826" s="279"/>
      <c r="P826" s="291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</row>
    <row r="827" spans="1:28" ht="15.75" customHeight="1" x14ac:dyDescent="0.25">
      <c r="A827" s="35"/>
      <c r="B827" s="246"/>
      <c r="C827" s="35"/>
      <c r="D827" s="35"/>
      <c r="E827" s="20"/>
      <c r="F827" s="20"/>
      <c r="G827" s="20"/>
      <c r="H827" s="257"/>
      <c r="I827" s="293"/>
      <c r="J827" s="293"/>
      <c r="K827" s="293"/>
      <c r="L827" s="293"/>
      <c r="M827" s="279"/>
      <c r="N827" s="279"/>
      <c r="O827" s="279"/>
      <c r="P827" s="291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</row>
    <row r="828" spans="1:28" ht="15.75" customHeight="1" x14ac:dyDescent="0.25">
      <c r="A828" s="35"/>
      <c r="B828" s="246"/>
      <c r="C828" s="35"/>
      <c r="D828" s="35"/>
      <c r="E828" s="20"/>
      <c r="F828" s="20"/>
      <c r="G828" s="20"/>
      <c r="H828" s="257"/>
      <c r="I828" s="293"/>
      <c r="J828" s="293"/>
      <c r="K828" s="293"/>
      <c r="L828" s="293"/>
      <c r="M828" s="279"/>
      <c r="N828" s="279"/>
      <c r="O828" s="279"/>
      <c r="P828" s="291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</row>
    <row r="829" spans="1:28" ht="15.75" customHeight="1" x14ac:dyDescent="0.25">
      <c r="A829" s="35"/>
      <c r="B829" s="246"/>
      <c r="C829" s="35"/>
      <c r="D829" s="35"/>
      <c r="E829" s="20"/>
      <c r="F829" s="20"/>
      <c r="G829" s="20"/>
      <c r="H829" s="257"/>
      <c r="I829" s="293"/>
      <c r="J829" s="293"/>
      <c r="K829" s="293"/>
      <c r="L829" s="293"/>
      <c r="M829" s="279"/>
      <c r="N829" s="279"/>
      <c r="O829" s="279"/>
      <c r="P829" s="291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</row>
    <row r="830" spans="1:28" ht="15.75" customHeight="1" x14ac:dyDescent="0.25">
      <c r="A830" s="35"/>
      <c r="B830" s="246"/>
      <c r="C830" s="35"/>
      <c r="D830" s="35"/>
      <c r="E830" s="20"/>
      <c r="F830" s="20"/>
      <c r="G830" s="20"/>
      <c r="H830" s="257"/>
      <c r="I830" s="293"/>
      <c r="J830" s="293"/>
      <c r="K830" s="293"/>
      <c r="L830" s="293"/>
      <c r="M830" s="279"/>
      <c r="N830" s="279"/>
      <c r="O830" s="279"/>
      <c r="P830" s="291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</row>
    <row r="831" spans="1:28" ht="15.75" customHeight="1" x14ac:dyDescent="0.25">
      <c r="A831" s="35"/>
      <c r="B831" s="246"/>
      <c r="C831" s="35"/>
      <c r="D831" s="35"/>
      <c r="E831" s="20"/>
      <c r="F831" s="20"/>
      <c r="G831" s="20"/>
      <c r="H831" s="257"/>
      <c r="I831" s="293"/>
      <c r="J831" s="293"/>
      <c r="K831" s="293"/>
      <c r="L831" s="293"/>
      <c r="M831" s="279"/>
      <c r="N831" s="279"/>
      <c r="O831" s="279"/>
      <c r="P831" s="291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</row>
    <row r="832" spans="1:28" ht="15.75" customHeight="1" x14ac:dyDescent="0.25">
      <c r="A832" s="35"/>
      <c r="B832" s="246"/>
      <c r="C832" s="35"/>
      <c r="D832" s="35"/>
      <c r="E832" s="20"/>
      <c r="F832" s="20"/>
      <c r="G832" s="20"/>
      <c r="H832" s="257"/>
      <c r="I832" s="293"/>
      <c r="J832" s="293"/>
      <c r="K832" s="293"/>
      <c r="L832" s="293"/>
      <c r="M832" s="279"/>
      <c r="N832" s="279"/>
      <c r="O832" s="279"/>
      <c r="P832" s="291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</row>
    <row r="833" spans="1:28" ht="15.75" customHeight="1" x14ac:dyDescent="0.25">
      <c r="A833" s="35"/>
      <c r="B833" s="246"/>
      <c r="C833" s="35"/>
      <c r="D833" s="35"/>
      <c r="E833" s="20"/>
      <c r="F833" s="20"/>
      <c r="G833" s="20"/>
      <c r="H833" s="257"/>
      <c r="I833" s="293"/>
      <c r="J833" s="293"/>
      <c r="K833" s="293"/>
      <c r="L833" s="293"/>
      <c r="M833" s="279"/>
      <c r="N833" s="279"/>
      <c r="O833" s="279"/>
      <c r="P833" s="291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</row>
    <row r="834" spans="1:28" ht="15.75" customHeight="1" x14ac:dyDescent="0.25">
      <c r="A834" s="35"/>
      <c r="B834" s="246"/>
      <c r="C834" s="35"/>
      <c r="D834" s="35"/>
      <c r="E834" s="20"/>
      <c r="F834" s="20"/>
      <c r="G834" s="20"/>
      <c r="H834" s="257"/>
      <c r="I834" s="293"/>
      <c r="J834" s="293"/>
      <c r="K834" s="293"/>
      <c r="L834" s="293"/>
      <c r="M834" s="279"/>
      <c r="N834" s="279"/>
      <c r="O834" s="279"/>
      <c r="P834" s="291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</row>
    <row r="835" spans="1:28" ht="15.75" customHeight="1" x14ac:dyDescent="0.25">
      <c r="A835" s="35"/>
      <c r="B835" s="246"/>
      <c r="C835" s="35"/>
      <c r="D835" s="35"/>
      <c r="E835" s="20"/>
      <c r="F835" s="20"/>
      <c r="G835" s="20"/>
      <c r="H835" s="257"/>
      <c r="I835" s="293"/>
      <c r="J835" s="293"/>
      <c r="K835" s="293"/>
      <c r="L835" s="293"/>
      <c r="M835" s="279"/>
      <c r="N835" s="279"/>
      <c r="O835" s="279"/>
      <c r="P835" s="291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</row>
    <row r="836" spans="1:28" ht="15.75" customHeight="1" x14ac:dyDescent="0.25">
      <c r="A836" s="35"/>
      <c r="B836" s="246"/>
      <c r="C836" s="35"/>
      <c r="D836" s="35"/>
      <c r="E836" s="20"/>
      <c r="F836" s="20"/>
      <c r="G836" s="20"/>
      <c r="H836" s="257"/>
      <c r="I836" s="293"/>
      <c r="J836" s="293"/>
      <c r="K836" s="293"/>
      <c r="L836" s="293"/>
      <c r="M836" s="279"/>
      <c r="N836" s="279"/>
      <c r="O836" s="279"/>
      <c r="P836" s="291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</row>
    <row r="837" spans="1:28" ht="15.75" customHeight="1" x14ac:dyDescent="0.25">
      <c r="A837" s="35"/>
      <c r="B837" s="246"/>
      <c r="C837" s="35"/>
      <c r="D837" s="35"/>
      <c r="E837" s="20"/>
      <c r="F837" s="20"/>
      <c r="G837" s="20"/>
      <c r="H837" s="257"/>
      <c r="I837" s="293"/>
      <c r="J837" s="293"/>
      <c r="K837" s="293"/>
      <c r="L837" s="293"/>
      <c r="M837" s="279"/>
      <c r="N837" s="279"/>
      <c r="O837" s="279"/>
      <c r="P837" s="291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</row>
    <row r="838" spans="1:28" ht="15.75" customHeight="1" x14ac:dyDescent="0.25">
      <c r="A838" s="35"/>
      <c r="B838" s="246"/>
      <c r="C838" s="35"/>
      <c r="D838" s="35"/>
      <c r="E838" s="20"/>
      <c r="F838" s="20"/>
      <c r="G838" s="20"/>
      <c r="H838" s="257"/>
      <c r="I838" s="293"/>
      <c r="J838" s="293"/>
      <c r="K838" s="293"/>
      <c r="L838" s="293"/>
      <c r="M838" s="279"/>
      <c r="N838" s="279"/>
      <c r="O838" s="279"/>
      <c r="P838" s="291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</row>
    <row r="839" spans="1:28" ht="15.75" customHeight="1" x14ac:dyDescent="0.25">
      <c r="A839" s="35"/>
      <c r="B839" s="246"/>
      <c r="C839" s="35"/>
      <c r="D839" s="35"/>
      <c r="E839" s="20"/>
      <c r="F839" s="20"/>
      <c r="G839" s="20"/>
      <c r="H839" s="257"/>
      <c r="I839" s="293"/>
      <c r="J839" s="293"/>
      <c r="K839" s="293"/>
      <c r="L839" s="293"/>
      <c r="M839" s="279"/>
      <c r="N839" s="279"/>
      <c r="O839" s="279"/>
      <c r="P839" s="291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</row>
    <row r="840" spans="1:28" ht="15.75" customHeight="1" x14ac:dyDescent="0.25">
      <c r="A840" s="35"/>
      <c r="B840" s="246"/>
      <c r="C840" s="35"/>
      <c r="D840" s="35"/>
      <c r="E840" s="20"/>
      <c r="F840" s="20"/>
      <c r="G840" s="20"/>
      <c r="H840" s="257"/>
      <c r="I840" s="293"/>
      <c r="J840" s="293"/>
      <c r="K840" s="293"/>
      <c r="L840" s="293"/>
      <c r="M840" s="279"/>
      <c r="N840" s="279"/>
      <c r="O840" s="279"/>
      <c r="P840" s="291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</row>
    <row r="841" spans="1:28" ht="15.75" customHeight="1" x14ac:dyDescent="0.25">
      <c r="A841" s="35"/>
      <c r="B841" s="246"/>
      <c r="C841" s="35"/>
      <c r="D841" s="35"/>
      <c r="E841" s="20"/>
      <c r="F841" s="20"/>
      <c r="G841" s="20"/>
      <c r="H841" s="257"/>
      <c r="I841" s="293"/>
      <c r="J841" s="293"/>
      <c r="K841" s="293"/>
      <c r="L841" s="293"/>
      <c r="M841" s="279"/>
      <c r="N841" s="279"/>
      <c r="O841" s="279"/>
      <c r="P841" s="291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</row>
    <row r="842" spans="1:28" ht="15.75" customHeight="1" x14ac:dyDescent="0.25">
      <c r="A842" s="35"/>
      <c r="B842" s="246"/>
      <c r="C842" s="35"/>
      <c r="D842" s="35"/>
      <c r="E842" s="20"/>
      <c r="F842" s="20"/>
      <c r="G842" s="20"/>
      <c r="H842" s="257"/>
      <c r="I842" s="293"/>
      <c r="J842" s="293"/>
      <c r="K842" s="293"/>
      <c r="L842" s="293"/>
      <c r="M842" s="279"/>
      <c r="N842" s="279"/>
      <c r="O842" s="279"/>
      <c r="P842" s="291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</row>
    <row r="843" spans="1:28" ht="15.75" customHeight="1" x14ac:dyDescent="0.25">
      <c r="A843" s="35"/>
      <c r="B843" s="246"/>
      <c r="C843" s="35"/>
      <c r="D843" s="35"/>
      <c r="E843" s="20"/>
      <c r="F843" s="20"/>
      <c r="G843" s="20"/>
      <c r="H843" s="257"/>
      <c r="I843" s="293"/>
      <c r="J843" s="293"/>
      <c r="K843" s="293"/>
      <c r="L843" s="293"/>
      <c r="M843" s="279"/>
      <c r="N843" s="279"/>
      <c r="O843" s="279"/>
      <c r="P843" s="291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</row>
    <row r="844" spans="1:28" ht="15.75" customHeight="1" x14ac:dyDescent="0.25">
      <c r="A844" s="35"/>
      <c r="B844" s="246"/>
      <c r="C844" s="35"/>
      <c r="D844" s="35"/>
      <c r="E844" s="20"/>
      <c r="F844" s="20"/>
      <c r="G844" s="20"/>
      <c r="H844" s="257"/>
      <c r="I844" s="293"/>
      <c r="J844" s="293"/>
      <c r="K844" s="293"/>
      <c r="L844" s="293"/>
      <c r="M844" s="279"/>
      <c r="N844" s="279"/>
      <c r="O844" s="279"/>
      <c r="P844" s="291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</row>
    <row r="845" spans="1:28" ht="15.75" customHeight="1" x14ac:dyDescent="0.25">
      <c r="A845" s="35"/>
      <c r="B845" s="246"/>
      <c r="C845" s="35"/>
      <c r="D845" s="35"/>
      <c r="E845" s="20"/>
      <c r="F845" s="20"/>
      <c r="G845" s="20"/>
      <c r="H845" s="257"/>
      <c r="I845" s="293"/>
      <c r="J845" s="293"/>
      <c r="K845" s="293"/>
      <c r="L845" s="293"/>
      <c r="M845" s="279"/>
      <c r="N845" s="279"/>
      <c r="O845" s="279"/>
      <c r="P845" s="291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</row>
    <row r="846" spans="1:28" ht="15.75" customHeight="1" x14ac:dyDescent="0.25">
      <c r="A846" s="35"/>
      <c r="B846" s="246"/>
      <c r="C846" s="35"/>
      <c r="D846" s="35"/>
      <c r="E846" s="20"/>
      <c r="F846" s="20"/>
      <c r="G846" s="20"/>
      <c r="H846" s="257"/>
      <c r="I846" s="293"/>
      <c r="J846" s="293"/>
      <c r="K846" s="293"/>
      <c r="L846" s="293"/>
      <c r="M846" s="279"/>
      <c r="N846" s="279"/>
      <c r="O846" s="279"/>
      <c r="P846" s="291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</row>
    <row r="847" spans="1:28" ht="15.75" customHeight="1" x14ac:dyDescent="0.25">
      <c r="A847" s="35"/>
      <c r="B847" s="246"/>
      <c r="C847" s="35"/>
      <c r="D847" s="35"/>
      <c r="E847" s="20"/>
      <c r="F847" s="20"/>
      <c r="G847" s="20"/>
      <c r="H847" s="257"/>
      <c r="I847" s="293"/>
      <c r="J847" s="293"/>
      <c r="K847" s="293"/>
      <c r="L847" s="293"/>
      <c r="M847" s="279"/>
      <c r="N847" s="279"/>
      <c r="O847" s="279"/>
      <c r="P847" s="291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</row>
    <row r="848" spans="1:28" ht="15.75" customHeight="1" x14ac:dyDescent="0.25">
      <c r="A848" s="35"/>
      <c r="B848" s="246"/>
      <c r="C848" s="35"/>
      <c r="D848" s="35"/>
      <c r="E848" s="20"/>
      <c r="F848" s="20"/>
      <c r="G848" s="20"/>
      <c r="H848" s="257"/>
      <c r="I848" s="293"/>
      <c r="J848" s="293"/>
      <c r="K848" s="293"/>
      <c r="L848" s="293"/>
      <c r="M848" s="279"/>
      <c r="N848" s="279"/>
      <c r="O848" s="279"/>
      <c r="P848" s="291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</row>
    <row r="849" spans="1:28" ht="15.75" customHeight="1" x14ac:dyDescent="0.25">
      <c r="A849" s="35"/>
      <c r="B849" s="246"/>
      <c r="C849" s="35"/>
      <c r="D849" s="35"/>
      <c r="E849" s="20"/>
      <c r="F849" s="20"/>
      <c r="G849" s="20"/>
      <c r="H849" s="257"/>
      <c r="I849" s="293"/>
      <c r="J849" s="293"/>
      <c r="K849" s="293"/>
      <c r="L849" s="293"/>
      <c r="M849" s="279"/>
      <c r="N849" s="279"/>
      <c r="O849" s="279"/>
      <c r="P849" s="291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</row>
    <row r="850" spans="1:28" ht="15.75" customHeight="1" x14ac:dyDescent="0.25">
      <c r="A850" s="35"/>
      <c r="B850" s="246"/>
      <c r="C850" s="35"/>
      <c r="D850" s="35"/>
      <c r="E850" s="20"/>
      <c r="F850" s="20"/>
      <c r="G850" s="20"/>
      <c r="H850" s="257"/>
      <c r="I850" s="293"/>
      <c r="J850" s="293"/>
      <c r="K850" s="293"/>
      <c r="L850" s="293"/>
      <c r="M850" s="279"/>
      <c r="N850" s="279"/>
      <c r="O850" s="279"/>
      <c r="P850" s="291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</row>
    <row r="851" spans="1:28" ht="15.75" customHeight="1" x14ac:dyDescent="0.25">
      <c r="A851" s="35"/>
      <c r="B851" s="246"/>
      <c r="C851" s="35"/>
      <c r="D851" s="35"/>
      <c r="E851" s="20"/>
      <c r="F851" s="20"/>
      <c r="G851" s="20"/>
      <c r="H851" s="257"/>
      <c r="I851" s="293"/>
      <c r="J851" s="293"/>
      <c r="K851" s="293"/>
      <c r="L851" s="293"/>
      <c r="M851" s="279"/>
      <c r="N851" s="279"/>
      <c r="O851" s="279"/>
      <c r="P851" s="291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</row>
    <row r="852" spans="1:28" ht="15.75" customHeight="1" x14ac:dyDescent="0.25">
      <c r="A852" s="35"/>
      <c r="B852" s="246"/>
      <c r="C852" s="35"/>
      <c r="D852" s="35"/>
      <c r="E852" s="20"/>
      <c r="F852" s="20"/>
      <c r="G852" s="20"/>
      <c r="H852" s="257"/>
      <c r="I852" s="293"/>
      <c r="J852" s="293"/>
      <c r="K852" s="293"/>
      <c r="L852" s="293"/>
      <c r="M852" s="279"/>
      <c r="N852" s="279"/>
      <c r="O852" s="279"/>
      <c r="P852" s="291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</row>
    <row r="853" spans="1:28" ht="15.75" customHeight="1" x14ac:dyDescent="0.25">
      <c r="A853" s="35"/>
      <c r="B853" s="246"/>
      <c r="C853" s="35"/>
      <c r="D853" s="35"/>
      <c r="E853" s="20"/>
      <c r="F853" s="20"/>
      <c r="G853" s="20"/>
      <c r="H853" s="257"/>
      <c r="I853" s="293"/>
      <c r="J853" s="293"/>
      <c r="K853" s="293"/>
      <c r="L853" s="293"/>
      <c r="M853" s="279"/>
      <c r="N853" s="279"/>
      <c r="O853" s="279"/>
      <c r="P853" s="291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</row>
    <row r="854" spans="1:28" ht="15.75" customHeight="1" x14ac:dyDescent="0.25">
      <c r="A854" s="35"/>
      <c r="B854" s="246"/>
      <c r="C854" s="35"/>
      <c r="D854" s="35"/>
      <c r="E854" s="20"/>
      <c r="F854" s="20"/>
      <c r="G854" s="20"/>
      <c r="H854" s="257"/>
      <c r="I854" s="293"/>
      <c r="J854" s="293"/>
      <c r="K854" s="293"/>
      <c r="L854" s="293"/>
      <c r="M854" s="279"/>
      <c r="N854" s="279"/>
      <c r="O854" s="279"/>
      <c r="P854" s="291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</row>
    <row r="855" spans="1:28" ht="15.75" customHeight="1" x14ac:dyDescent="0.25">
      <c r="A855" s="35"/>
      <c r="B855" s="246"/>
      <c r="C855" s="35"/>
      <c r="D855" s="35"/>
      <c r="E855" s="20"/>
      <c r="F855" s="20"/>
      <c r="G855" s="20"/>
      <c r="H855" s="257"/>
      <c r="I855" s="293"/>
      <c r="J855" s="293"/>
      <c r="K855" s="293"/>
      <c r="L855" s="293"/>
      <c r="M855" s="279"/>
      <c r="N855" s="279"/>
      <c r="O855" s="279"/>
      <c r="P855" s="291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</row>
    <row r="856" spans="1:28" ht="15.75" customHeight="1" x14ac:dyDescent="0.25">
      <c r="A856" s="35"/>
      <c r="B856" s="246"/>
      <c r="C856" s="35"/>
      <c r="D856" s="35"/>
      <c r="E856" s="20"/>
      <c r="F856" s="20"/>
      <c r="G856" s="20"/>
      <c r="H856" s="257"/>
      <c r="I856" s="293"/>
      <c r="J856" s="293"/>
      <c r="K856" s="293"/>
      <c r="L856" s="293"/>
      <c r="M856" s="279"/>
      <c r="N856" s="279"/>
      <c r="O856" s="279"/>
      <c r="P856" s="291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</row>
    <row r="857" spans="1:28" ht="15.75" customHeight="1" x14ac:dyDescent="0.25">
      <c r="A857" s="35"/>
      <c r="B857" s="246"/>
      <c r="C857" s="35"/>
      <c r="D857" s="35"/>
      <c r="E857" s="20"/>
      <c r="F857" s="20"/>
      <c r="G857" s="20"/>
      <c r="H857" s="257"/>
      <c r="I857" s="293"/>
      <c r="J857" s="293"/>
      <c r="K857" s="293"/>
      <c r="L857" s="293"/>
      <c r="M857" s="279"/>
      <c r="N857" s="279"/>
      <c r="O857" s="279"/>
      <c r="P857" s="291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</row>
    <row r="858" spans="1:28" ht="15.75" customHeight="1" x14ac:dyDescent="0.25">
      <c r="A858" s="35"/>
      <c r="B858" s="246"/>
      <c r="C858" s="35"/>
      <c r="D858" s="35"/>
      <c r="E858" s="20"/>
      <c r="F858" s="20"/>
      <c r="G858" s="20"/>
      <c r="H858" s="257"/>
      <c r="I858" s="293"/>
      <c r="J858" s="293"/>
      <c r="K858" s="293"/>
      <c r="L858" s="293"/>
      <c r="M858" s="279"/>
      <c r="N858" s="279"/>
      <c r="O858" s="279"/>
      <c r="P858" s="291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</row>
    <row r="859" spans="1:28" ht="15.75" customHeight="1" x14ac:dyDescent="0.25">
      <c r="A859" s="35"/>
      <c r="B859" s="246"/>
      <c r="C859" s="35"/>
      <c r="D859" s="35"/>
      <c r="E859" s="20"/>
      <c r="F859" s="20"/>
      <c r="G859" s="20"/>
      <c r="H859" s="257"/>
      <c r="I859" s="293"/>
      <c r="J859" s="293"/>
      <c r="K859" s="293"/>
      <c r="L859" s="293"/>
      <c r="M859" s="279"/>
      <c r="N859" s="279"/>
      <c r="O859" s="279"/>
      <c r="P859" s="291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</row>
    <row r="860" spans="1:28" ht="15.75" customHeight="1" x14ac:dyDescent="0.25">
      <c r="A860" s="35"/>
      <c r="B860" s="246"/>
      <c r="C860" s="35"/>
      <c r="D860" s="35"/>
      <c r="E860" s="20"/>
      <c r="F860" s="20"/>
      <c r="G860" s="20"/>
      <c r="H860" s="257"/>
      <c r="I860" s="293"/>
      <c r="J860" s="293"/>
      <c r="K860" s="293"/>
      <c r="L860" s="293"/>
      <c r="M860" s="279"/>
      <c r="N860" s="279"/>
      <c r="O860" s="279"/>
      <c r="P860" s="291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</row>
    <row r="861" spans="1:28" ht="15.75" customHeight="1" x14ac:dyDescent="0.25">
      <c r="A861" s="35"/>
      <c r="B861" s="246"/>
      <c r="C861" s="35"/>
      <c r="D861" s="35"/>
      <c r="E861" s="20"/>
      <c r="F861" s="20"/>
      <c r="G861" s="20"/>
      <c r="H861" s="257"/>
      <c r="I861" s="293"/>
      <c r="J861" s="293"/>
      <c r="K861" s="293"/>
      <c r="L861" s="293"/>
      <c r="M861" s="279"/>
      <c r="N861" s="279"/>
      <c r="O861" s="279"/>
      <c r="P861" s="291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</row>
    <row r="862" spans="1:28" ht="15.75" customHeight="1" x14ac:dyDescent="0.25">
      <c r="A862" s="35"/>
      <c r="B862" s="246"/>
      <c r="C862" s="35"/>
      <c r="D862" s="35"/>
      <c r="E862" s="20"/>
      <c r="F862" s="20"/>
      <c r="G862" s="20"/>
      <c r="H862" s="257"/>
      <c r="I862" s="293"/>
      <c r="J862" s="293"/>
      <c r="K862" s="293"/>
      <c r="L862" s="293"/>
      <c r="M862" s="279"/>
      <c r="N862" s="279"/>
      <c r="O862" s="279"/>
      <c r="P862" s="291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</row>
    <row r="863" spans="1:28" ht="15.75" customHeight="1" x14ac:dyDescent="0.25">
      <c r="A863" s="35"/>
      <c r="B863" s="246"/>
      <c r="C863" s="35"/>
      <c r="D863" s="35"/>
      <c r="E863" s="20"/>
      <c r="F863" s="20"/>
      <c r="G863" s="20"/>
      <c r="H863" s="257"/>
      <c r="I863" s="293"/>
      <c r="J863" s="293"/>
      <c r="K863" s="293"/>
      <c r="L863" s="293"/>
      <c r="M863" s="279"/>
      <c r="N863" s="279"/>
      <c r="O863" s="279"/>
      <c r="P863" s="291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</row>
    <row r="864" spans="1:28" ht="15.75" customHeight="1" x14ac:dyDescent="0.25">
      <c r="A864" s="35"/>
      <c r="B864" s="246"/>
      <c r="C864" s="35"/>
      <c r="D864" s="35"/>
      <c r="E864" s="20"/>
      <c r="F864" s="20"/>
      <c r="G864" s="20"/>
      <c r="H864" s="257"/>
      <c r="I864" s="293"/>
      <c r="J864" s="293"/>
      <c r="K864" s="293"/>
      <c r="L864" s="293"/>
      <c r="M864" s="279"/>
      <c r="N864" s="279"/>
      <c r="O864" s="279"/>
      <c r="P864" s="291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</row>
    <row r="865" spans="1:28" ht="15.75" customHeight="1" x14ac:dyDescent="0.25">
      <c r="A865" s="35"/>
      <c r="B865" s="246"/>
      <c r="C865" s="35"/>
      <c r="D865" s="35"/>
      <c r="E865" s="20"/>
      <c r="F865" s="20"/>
      <c r="G865" s="20"/>
      <c r="H865" s="257"/>
      <c r="I865" s="293"/>
      <c r="J865" s="293"/>
      <c r="K865" s="293"/>
      <c r="L865" s="293"/>
      <c r="M865" s="279"/>
      <c r="N865" s="279"/>
      <c r="O865" s="279"/>
      <c r="P865" s="291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</row>
    <row r="866" spans="1:28" ht="15.75" customHeight="1" x14ac:dyDescent="0.25">
      <c r="A866" s="35"/>
      <c r="B866" s="246"/>
      <c r="C866" s="35"/>
      <c r="D866" s="35"/>
      <c r="E866" s="20"/>
      <c r="F866" s="20"/>
      <c r="G866" s="20"/>
      <c r="H866" s="257"/>
      <c r="I866" s="293"/>
      <c r="J866" s="293"/>
      <c r="K866" s="293"/>
      <c r="L866" s="293"/>
      <c r="M866" s="279"/>
      <c r="N866" s="279"/>
      <c r="O866" s="279"/>
      <c r="P866" s="291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</row>
    <row r="867" spans="1:28" ht="15.75" customHeight="1" x14ac:dyDescent="0.25">
      <c r="A867" s="35"/>
      <c r="B867" s="246"/>
      <c r="C867" s="35"/>
      <c r="D867" s="35"/>
      <c r="E867" s="20"/>
      <c r="F867" s="20"/>
      <c r="G867" s="20"/>
      <c r="H867" s="257"/>
      <c r="I867" s="293"/>
      <c r="J867" s="293"/>
      <c r="K867" s="293"/>
      <c r="L867" s="293"/>
      <c r="M867" s="279"/>
      <c r="N867" s="279"/>
      <c r="O867" s="279"/>
      <c r="P867" s="291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</row>
    <row r="868" spans="1:28" ht="15.75" customHeight="1" x14ac:dyDescent="0.25">
      <c r="A868" s="35"/>
      <c r="B868" s="246"/>
      <c r="C868" s="35"/>
      <c r="D868" s="35"/>
      <c r="E868" s="20"/>
      <c r="F868" s="20"/>
      <c r="G868" s="20"/>
      <c r="H868" s="257"/>
      <c r="I868" s="293"/>
      <c r="J868" s="293"/>
      <c r="K868" s="293"/>
      <c r="L868" s="293"/>
      <c r="M868" s="279"/>
      <c r="N868" s="279"/>
      <c r="O868" s="279"/>
      <c r="P868" s="291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</row>
    <row r="869" spans="1:28" ht="15.75" customHeight="1" x14ac:dyDescent="0.25">
      <c r="A869" s="35"/>
      <c r="B869" s="246"/>
      <c r="C869" s="35"/>
      <c r="D869" s="35"/>
      <c r="E869" s="20"/>
      <c r="F869" s="20"/>
      <c r="G869" s="20"/>
      <c r="H869" s="257"/>
      <c r="I869" s="293"/>
      <c r="J869" s="293"/>
      <c r="K869" s="293"/>
      <c r="L869" s="293"/>
      <c r="M869" s="279"/>
      <c r="N869" s="279"/>
      <c r="O869" s="279"/>
      <c r="P869" s="291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</row>
    <row r="870" spans="1:28" ht="15.75" customHeight="1" x14ac:dyDescent="0.25">
      <c r="A870" s="35"/>
      <c r="B870" s="246"/>
      <c r="C870" s="35"/>
      <c r="D870" s="35"/>
      <c r="E870" s="20"/>
      <c r="F870" s="20"/>
      <c r="G870" s="20"/>
      <c r="H870" s="257"/>
      <c r="I870" s="293"/>
      <c r="J870" s="293"/>
      <c r="K870" s="293"/>
      <c r="L870" s="293"/>
      <c r="M870" s="279"/>
      <c r="N870" s="279"/>
      <c r="O870" s="279"/>
      <c r="P870" s="291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</row>
    <row r="871" spans="1:28" ht="15.75" customHeight="1" x14ac:dyDescent="0.25">
      <c r="A871" s="35"/>
      <c r="B871" s="246"/>
      <c r="C871" s="35"/>
      <c r="D871" s="35"/>
      <c r="E871" s="20"/>
      <c r="F871" s="20"/>
      <c r="G871" s="20"/>
      <c r="H871" s="257"/>
      <c r="I871" s="293"/>
      <c r="J871" s="293"/>
      <c r="K871" s="293"/>
      <c r="L871" s="293"/>
      <c r="M871" s="279"/>
      <c r="N871" s="279"/>
      <c r="O871" s="279"/>
      <c r="P871" s="291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</row>
    <row r="872" spans="1:28" ht="15.75" customHeight="1" x14ac:dyDescent="0.25">
      <c r="A872" s="35"/>
      <c r="B872" s="246"/>
      <c r="C872" s="35"/>
      <c r="D872" s="35"/>
      <c r="E872" s="20"/>
      <c r="F872" s="20"/>
      <c r="G872" s="20"/>
      <c r="H872" s="257"/>
      <c r="I872" s="293"/>
      <c r="J872" s="293"/>
      <c r="K872" s="293"/>
      <c r="L872" s="293"/>
      <c r="M872" s="279"/>
      <c r="N872" s="279"/>
      <c r="O872" s="279"/>
      <c r="P872" s="291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</row>
    <row r="873" spans="1:28" ht="15.75" customHeight="1" x14ac:dyDescent="0.25">
      <c r="A873" s="35"/>
      <c r="B873" s="246"/>
      <c r="C873" s="35"/>
      <c r="D873" s="35"/>
      <c r="E873" s="20"/>
      <c r="F873" s="20"/>
      <c r="G873" s="20"/>
      <c r="H873" s="257"/>
      <c r="I873" s="293"/>
      <c r="J873" s="293"/>
      <c r="K873" s="293"/>
      <c r="L873" s="293"/>
      <c r="M873" s="279"/>
      <c r="N873" s="279"/>
      <c r="O873" s="279"/>
      <c r="P873" s="291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</row>
    <row r="874" spans="1:28" ht="15.75" customHeight="1" x14ac:dyDescent="0.25">
      <c r="A874" s="35"/>
      <c r="B874" s="246"/>
      <c r="C874" s="35"/>
      <c r="D874" s="35"/>
      <c r="E874" s="20"/>
      <c r="F874" s="20"/>
      <c r="G874" s="20"/>
      <c r="H874" s="257"/>
      <c r="I874" s="293"/>
      <c r="J874" s="293"/>
      <c r="K874" s="293"/>
      <c r="L874" s="293"/>
      <c r="M874" s="279"/>
      <c r="N874" s="279"/>
      <c r="O874" s="279"/>
      <c r="P874" s="291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</row>
    <row r="875" spans="1:28" ht="15.75" customHeight="1" x14ac:dyDescent="0.25">
      <c r="A875" s="35"/>
      <c r="B875" s="246"/>
      <c r="C875" s="35"/>
      <c r="D875" s="35"/>
      <c r="E875" s="20"/>
      <c r="F875" s="20"/>
      <c r="G875" s="20"/>
      <c r="H875" s="257"/>
      <c r="I875" s="293"/>
      <c r="J875" s="293"/>
      <c r="K875" s="293"/>
      <c r="L875" s="293"/>
      <c r="M875" s="279"/>
      <c r="N875" s="279"/>
      <c r="O875" s="279"/>
      <c r="P875" s="291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</row>
    <row r="876" spans="1:28" ht="15.75" customHeight="1" x14ac:dyDescent="0.25">
      <c r="A876" s="35"/>
      <c r="B876" s="246"/>
      <c r="C876" s="35"/>
      <c r="D876" s="35"/>
      <c r="E876" s="20"/>
      <c r="F876" s="20"/>
      <c r="G876" s="20"/>
      <c r="H876" s="257"/>
      <c r="I876" s="293"/>
      <c r="J876" s="293"/>
      <c r="K876" s="293"/>
      <c r="L876" s="293"/>
      <c r="M876" s="279"/>
      <c r="N876" s="279"/>
      <c r="O876" s="279"/>
      <c r="P876" s="291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</row>
    <row r="877" spans="1:28" ht="15.75" customHeight="1" x14ac:dyDescent="0.25">
      <c r="A877" s="35"/>
      <c r="B877" s="246"/>
      <c r="C877" s="35"/>
      <c r="D877" s="35"/>
      <c r="E877" s="20"/>
      <c r="F877" s="20"/>
      <c r="G877" s="20"/>
      <c r="H877" s="257"/>
      <c r="I877" s="293"/>
      <c r="J877" s="293"/>
      <c r="K877" s="293"/>
      <c r="L877" s="293"/>
      <c r="M877" s="279"/>
      <c r="N877" s="279"/>
      <c r="O877" s="279"/>
      <c r="P877" s="291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</row>
    <row r="878" spans="1:28" ht="15.75" customHeight="1" x14ac:dyDescent="0.25">
      <c r="A878" s="35"/>
      <c r="B878" s="246"/>
      <c r="C878" s="35"/>
      <c r="D878" s="35"/>
      <c r="E878" s="20"/>
      <c r="F878" s="20"/>
      <c r="G878" s="20"/>
      <c r="H878" s="257"/>
      <c r="I878" s="293"/>
      <c r="J878" s="293"/>
      <c r="K878" s="293"/>
      <c r="L878" s="293"/>
      <c r="M878" s="279"/>
      <c r="N878" s="279"/>
      <c r="O878" s="279"/>
      <c r="P878" s="291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</row>
    <row r="879" spans="1:28" ht="15.75" customHeight="1" x14ac:dyDescent="0.25">
      <c r="A879" s="35"/>
      <c r="B879" s="246"/>
      <c r="C879" s="35"/>
      <c r="D879" s="35"/>
      <c r="E879" s="20"/>
      <c r="F879" s="20"/>
      <c r="G879" s="20"/>
      <c r="H879" s="257"/>
      <c r="I879" s="293"/>
      <c r="J879" s="293"/>
      <c r="K879" s="293"/>
      <c r="L879" s="293"/>
      <c r="M879" s="279"/>
      <c r="N879" s="279"/>
      <c r="O879" s="279"/>
      <c r="P879" s="291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</row>
    <row r="880" spans="1:28" ht="15.75" customHeight="1" x14ac:dyDescent="0.25">
      <c r="A880" s="35"/>
      <c r="B880" s="246"/>
      <c r="C880" s="35"/>
      <c r="D880" s="35"/>
      <c r="E880" s="20"/>
      <c r="F880" s="20"/>
      <c r="G880" s="20"/>
      <c r="H880" s="257"/>
      <c r="I880" s="293"/>
      <c r="J880" s="293"/>
      <c r="K880" s="293"/>
      <c r="L880" s="293"/>
      <c r="M880" s="279"/>
      <c r="N880" s="279"/>
      <c r="O880" s="279"/>
      <c r="P880" s="291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</row>
    <row r="881" spans="1:28" ht="15.75" customHeight="1" x14ac:dyDescent="0.25">
      <c r="A881" s="35"/>
      <c r="B881" s="246"/>
      <c r="C881" s="35"/>
      <c r="D881" s="35"/>
      <c r="E881" s="20"/>
      <c r="F881" s="20"/>
      <c r="G881" s="20"/>
      <c r="H881" s="257"/>
      <c r="I881" s="293"/>
      <c r="J881" s="293"/>
      <c r="K881" s="293"/>
      <c r="L881" s="293"/>
      <c r="M881" s="279"/>
      <c r="N881" s="279"/>
      <c r="O881" s="279"/>
      <c r="P881" s="291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</row>
    <row r="882" spans="1:28" ht="15.75" customHeight="1" x14ac:dyDescent="0.25">
      <c r="A882" s="35"/>
      <c r="B882" s="246"/>
      <c r="C882" s="35"/>
      <c r="D882" s="35"/>
      <c r="E882" s="20"/>
      <c r="F882" s="20"/>
      <c r="G882" s="20"/>
      <c r="H882" s="257"/>
      <c r="I882" s="293"/>
      <c r="J882" s="293"/>
      <c r="K882" s="293"/>
      <c r="L882" s="293"/>
      <c r="M882" s="279"/>
      <c r="N882" s="279"/>
      <c r="O882" s="279"/>
      <c r="P882" s="291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</row>
    <row r="883" spans="1:28" ht="15.75" customHeight="1" x14ac:dyDescent="0.25">
      <c r="A883" s="35"/>
      <c r="B883" s="246"/>
      <c r="C883" s="35"/>
      <c r="D883" s="35"/>
      <c r="E883" s="20"/>
      <c r="F883" s="20"/>
      <c r="G883" s="20"/>
      <c r="H883" s="257"/>
      <c r="I883" s="293"/>
      <c r="J883" s="293"/>
      <c r="K883" s="293"/>
      <c r="L883" s="293"/>
      <c r="M883" s="279"/>
      <c r="N883" s="279"/>
      <c r="O883" s="279"/>
      <c r="P883" s="291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</row>
    <row r="884" spans="1:28" ht="15.75" customHeight="1" x14ac:dyDescent="0.25">
      <c r="A884" s="35"/>
      <c r="B884" s="246"/>
      <c r="C884" s="35"/>
      <c r="D884" s="35"/>
      <c r="E884" s="20"/>
      <c r="F884" s="20"/>
      <c r="G884" s="20"/>
      <c r="H884" s="257"/>
      <c r="I884" s="293"/>
      <c r="J884" s="293"/>
      <c r="K884" s="293"/>
      <c r="L884" s="293"/>
      <c r="M884" s="279"/>
      <c r="N884" s="279"/>
      <c r="O884" s="279"/>
      <c r="P884" s="291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</row>
    <row r="885" spans="1:28" ht="15.75" customHeight="1" x14ac:dyDescent="0.25">
      <c r="A885" s="35"/>
      <c r="B885" s="246"/>
      <c r="C885" s="35"/>
      <c r="D885" s="35"/>
      <c r="E885" s="20"/>
      <c r="F885" s="20"/>
      <c r="G885" s="20"/>
      <c r="H885" s="257"/>
      <c r="I885" s="293"/>
      <c r="J885" s="293"/>
      <c r="K885" s="293"/>
      <c r="L885" s="293"/>
      <c r="M885" s="279"/>
      <c r="N885" s="279"/>
      <c r="O885" s="279"/>
      <c r="P885" s="291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</row>
    <row r="886" spans="1:28" ht="15.75" customHeight="1" x14ac:dyDescent="0.25">
      <c r="A886" s="35"/>
      <c r="B886" s="246"/>
      <c r="C886" s="35"/>
      <c r="D886" s="35"/>
      <c r="E886" s="20"/>
      <c r="F886" s="20"/>
      <c r="G886" s="20"/>
      <c r="H886" s="257"/>
      <c r="I886" s="293"/>
      <c r="J886" s="293"/>
      <c r="K886" s="293"/>
      <c r="L886" s="293"/>
      <c r="M886" s="279"/>
      <c r="N886" s="279"/>
      <c r="O886" s="279"/>
      <c r="P886" s="291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</row>
    <row r="887" spans="1:28" ht="15.75" customHeight="1" x14ac:dyDescent="0.25">
      <c r="A887" s="35"/>
      <c r="B887" s="246"/>
      <c r="C887" s="35"/>
      <c r="D887" s="35"/>
      <c r="E887" s="20"/>
      <c r="F887" s="20"/>
      <c r="G887" s="20"/>
      <c r="H887" s="257"/>
      <c r="I887" s="293"/>
      <c r="J887" s="293"/>
      <c r="K887" s="293"/>
      <c r="L887" s="293"/>
      <c r="M887" s="279"/>
      <c r="N887" s="279"/>
      <c r="O887" s="279"/>
      <c r="P887" s="291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</row>
    <row r="888" spans="1:28" ht="15.75" customHeight="1" x14ac:dyDescent="0.25">
      <c r="A888" s="35"/>
      <c r="B888" s="246"/>
      <c r="C888" s="35"/>
      <c r="D888" s="35"/>
      <c r="E888" s="20"/>
      <c r="F888" s="20"/>
      <c r="G888" s="20"/>
      <c r="H888" s="257"/>
      <c r="I888" s="293"/>
      <c r="J888" s="293"/>
      <c r="K888" s="293"/>
      <c r="L888" s="293"/>
      <c r="M888" s="279"/>
      <c r="N888" s="279"/>
      <c r="O888" s="279"/>
      <c r="P888" s="291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</row>
    <row r="889" spans="1:28" ht="15.75" customHeight="1" x14ac:dyDescent="0.25">
      <c r="A889" s="35"/>
      <c r="B889" s="246"/>
      <c r="C889" s="35"/>
      <c r="D889" s="35"/>
      <c r="E889" s="20"/>
      <c r="F889" s="20"/>
      <c r="G889" s="20"/>
      <c r="H889" s="257"/>
      <c r="I889" s="293"/>
      <c r="J889" s="293"/>
      <c r="K889" s="293"/>
      <c r="L889" s="293"/>
      <c r="M889" s="279"/>
      <c r="N889" s="279"/>
      <c r="O889" s="279"/>
      <c r="P889" s="291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</row>
    <row r="890" spans="1:28" ht="15.75" customHeight="1" x14ac:dyDescent="0.25">
      <c r="A890" s="35"/>
      <c r="B890" s="246"/>
      <c r="C890" s="35"/>
      <c r="D890" s="35"/>
      <c r="E890" s="20"/>
      <c r="F890" s="20"/>
      <c r="G890" s="20"/>
      <c r="H890" s="257"/>
      <c r="I890" s="293"/>
      <c r="J890" s="293"/>
      <c r="K890" s="293"/>
      <c r="L890" s="293"/>
      <c r="M890" s="279"/>
      <c r="N890" s="279"/>
      <c r="O890" s="279"/>
      <c r="P890" s="291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</row>
    <row r="891" spans="1:28" ht="15.75" customHeight="1" x14ac:dyDescent="0.25">
      <c r="A891" s="35"/>
      <c r="B891" s="246"/>
      <c r="C891" s="35"/>
      <c r="D891" s="35"/>
      <c r="E891" s="20"/>
      <c r="F891" s="20"/>
      <c r="G891" s="20"/>
      <c r="H891" s="257"/>
      <c r="I891" s="293"/>
      <c r="J891" s="293"/>
      <c r="K891" s="293"/>
      <c r="L891" s="293"/>
      <c r="M891" s="279"/>
      <c r="N891" s="279"/>
      <c r="O891" s="279"/>
      <c r="P891" s="291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</row>
    <row r="892" spans="1:28" ht="15.75" customHeight="1" x14ac:dyDescent="0.25">
      <c r="A892" s="35"/>
      <c r="B892" s="246"/>
      <c r="C892" s="35"/>
      <c r="D892" s="35"/>
      <c r="E892" s="20"/>
      <c r="F892" s="20"/>
      <c r="G892" s="20"/>
      <c r="H892" s="257"/>
      <c r="I892" s="293"/>
      <c r="J892" s="293"/>
      <c r="K892" s="293"/>
      <c r="L892" s="293"/>
      <c r="M892" s="279"/>
      <c r="N892" s="279"/>
      <c r="O892" s="279"/>
      <c r="P892" s="291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</row>
    <row r="893" spans="1:28" ht="15.75" customHeight="1" x14ac:dyDescent="0.25">
      <c r="A893" s="35"/>
      <c r="B893" s="246"/>
      <c r="C893" s="35"/>
      <c r="D893" s="35"/>
      <c r="E893" s="20"/>
      <c r="F893" s="20"/>
      <c r="G893" s="20"/>
      <c r="H893" s="257"/>
      <c r="I893" s="293"/>
      <c r="J893" s="293"/>
      <c r="K893" s="293"/>
      <c r="L893" s="293"/>
      <c r="M893" s="279"/>
      <c r="N893" s="279"/>
      <c r="O893" s="279"/>
      <c r="P893" s="291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</row>
    <row r="894" spans="1:28" ht="15.75" customHeight="1" x14ac:dyDescent="0.25">
      <c r="A894" s="35"/>
      <c r="B894" s="246"/>
      <c r="C894" s="35"/>
      <c r="D894" s="35"/>
      <c r="E894" s="20"/>
      <c r="F894" s="20"/>
      <c r="G894" s="20"/>
      <c r="H894" s="257"/>
      <c r="I894" s="293"/>
      <c r="J894" s="293"/>
      <c r="K894" s="293"/>
      <c r="L894" s="293"/>
      <c r="M894" s="279"/>
      <c r="N894" s="279"/>
      <c r="O894" s="279"/>
      <c r="P894" s="291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</row>
    <row r="895" spans="1:28" ht="15.75" customHeight="1" x14ac:dyDescent="0.25">
      <c r="A895" s="35"/>
      <c r="B895" s="246"/>
      <c r="C895" s="35"/>
      <c r="D895" s="35"/>
      <c r="E895" s="20"/>
      <c r="F895" s="20"/>
      <c r="G895" s="20"/>
      <c r="H895" s="257"/>
      <c r="I895" s="293"/>
      <c r="J895" s="293"/>
      <c r="K895" s="293"/>
      <c r="L895" s="293"/>
      <c r="M895" s="279"/>
      <c r="N895" s="279"/>
      <c r="O895" s="279"/>
      <c r="P895" s="291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</row>
    <row r="896" spans="1:28" ht="15.75" customHeight="1" x14ac:dyDescent="0.25">
      <c r="A896" s="35"/>
      <c r="B896" s="246"/>
      <c r="C896" s="35"/>
      <c r="D896" s="35"/>
      <c r="E896" s="20"/>
      <c r="F896" s="20"/>
      <c r="G896" s="20"/>
      <c r="H896" s="257"/>
      <c r="I896" s="293"/>
      <c r="J896" s="293"/>
      <c r="K896" s="293"/>
      <c r="L896" s="293"/>
      <c r="M896" s="279"/>
      <c r="N896" s="279"/>
      <c r="O896" s="279"/>
      <c r="P896" s="291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</row>
    <row r="897" spans="1:28" ht="15.75" customHeight="1" x14ac:dyDescent="0.25">
      <c r="A897" s="35"/>
      <c r="B897" s="246"/>
      <c r="C897" s="35"/>
      <c r="D897" s="35"/>
      <c r="E897" s="20"/>
      <c r="F897" s="20"/>
      <c r="G897" s="20"/>
      <c r="H897" s="257"/>
      <c r="I897" s="293"/>
      <c r="J897" s="293"/>
      <c r="K897" s="293"/>
      <c r="L897" s="293"/>
      <c r="M897" s="279"/>
      <c r="N897" s="279"/>
      <c r="O897" s="279"/>
      <c r="P897" s="291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</row>
    <row r="898" spans="1:28" ht="15.75" customHeight="1" x14ac:dyDescent="0.25">
      <c r="A898" s="35"/>
      <c r="B898" s="246"/>
      <c r="C898" s="35"/>
      <c r="D898" s="35"/>
      <c r="E898" s="20"/>
      <c r="F898" s="20"/>
      <c r="G898" s="20"/>
      <c r="H898" s="257"/>
      <c r="I898" s="293"/>
      <c r="J898" s="293"/>
      <c r="K898" s="293"/>
      <c r="L898" s="293"/>
      <c r="M898" s="279"/>
      <c r="N898" s="279"/>
      <c r="O898" s="279"/>
      <c r="P898" s="291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</row>
    <row r="899" spans="1:28" ht="15.75" customHeight="1" x14ac:dyDescent="0.25">
      <c r="A899" s="35"/>
      <c r="B899" s="246"/>
      <c r="C899" s="35"/>
      <c r="D899" s="35"/>
      <c r="E899" s="20"/>
      <c r="F899" s="20"/>
      <c r="G899" s="20"/>
      <c r="H899" s="257"/>
      <c r="I899" s="293"/>
      <c r="J899" s="293"/>
      <c r="K899" s="293"/>
      <c r="L899" s="293"/>
      <c r="M899" s="279"/>
      <c r="N899" s="279"/>
      <c r="O899" s="279"/>
      <c r="P899" s="291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</row>
    <row r="900" spans="1:28" ht="15.75" customHeight="1" x14ac:dyDescent="0.25">
      <c r="A900" s="35"/>
      <c r="B900" s="246"/>
      <c r="C900" s="35"/>
      <c r="D900" s="35"/>
      <c r="E900" s="20"/>
      <c r="F900" s="20"/>
      <c r="G900" s="20"/>
      <c r="H900" s="257"/>
      <c r="I900" s="293"/>
      <c r="J900" s="293"/>
      <c r="K900" s="293"/>
      <c r="L900" s="293"/>
      <c r="M900" s="279"/>
      <c r="N900" s="279"/>
      <c r="O900" s="279"/>
      <c r="P900" s="291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</row>
    <row r="901" spans="1:28" ht="15.75" customHeight="1" x14ac:dyDescent="0.25">
      <c r="A901" s="35"/>
      <c r="B901" s="246"/>
      <c r="C901" s="35"/>
      <c r="D901" s="35"/>
      <c r="E901" s="20"/>
      <c r="F901" s="20"/>
      <c r="G901" s="20"/>
      <c r="H901" s="257"/>
      <c r="I901" s="293"/>
      <c r="J901" s="293"/>
      <c r="K901" s="293"/>
      <c r="L901" s="293"/>
      <c r="M901" s="279"/>
      <c r="N901" s="279"/>
      <c r="O901" s="279"/>
      <c r="P901" s="291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</row>
    <row r="902" spans="1:28" ht="15.75" customHeight="1" x14ac:dyDescent="0.25">
      <c r="A902" s="35"/>
      <c r="B902" s="246"/>
      <c r="C902" s="35"/>
      <c r="D902" s="35"/>
      <c r="E902" s="20"/>
      <c r="F902" s="20"/>
      <c r="G902" s="20"/>
      <c r="H902" s="257"/>
      <c r="I902" s="293"/>
      <c r="J902" s="293"/>
      <c r="K902" s="293"/>
      <c r="L902" s="293"/>
      <c r="M902" s="279"/>
      <c r="N902" s="279"/>
      <c r="O902" s="279"/>
      <c r="P902" s="291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</row>
    <row r="903" spans="1:28" ht="15.75" customHeight="1" x14ac:dyDescent="0.25">
      <c r="A903" s="35"/>
      <c r="B903" s="246"/>
      <c r="C903" s="35"/>
      <c r="D903" s="35"/>
      <c r="E903" s="20"/>
      <c r="F903" s="20"/>
      <c r="G903" s="20"/>
      <c r="H903" s="257"/>
      <c r="I903" s="293"/>
      <c r="J903" s="293"/>
      <c r="K903" s="293"/>
      <c r="L903" s="293"/>
      <c r="M903" s="279"/>
      <c r="N903" s="279"/>
      <c r="O903" s="279"/>
      <c r="P903" s="291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</row>
    <row r="904" spans="1:28" ht="15.75" customHeight="1" x14ac:dyDescent="0.25">
      <c r="A904" s="35"/>
      <c r="B904" s="246"/>
      <c r="C904" s="35"/>
      <c r="D904" s="35"/>
      <c r="E904" s="20"/>
      <c r="F904" s="20"/>
      <c r="G904" s="20"/>
      <c r="H904" s="257"/>
      <c r="I904" s="293"/>
      <c r="J904" s="293"/>
      <c r="K904" s="293"/>
      <c r="L904" s="293"/>
      <c r="M904" s="279"/>
      <c r="N904" s="279"/>
      <c r="O904" s="279"/>
      <c r="P904" s="291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</row>
    <row r="905" spans="1:28" ht="15.75" customHeight="1" x14ac:dyDescent="0.25">
      <c r="A905" s="35"/>
      <c r="B905" s="246"/>
      <c r="C905" s="35"/>
      <c r="D905" s="35"/>
      <c r="E905" s="20"/>
      <c r="F905" s="20"/>
      <c r="G905" s="20"/>
      <c r="H905" s="257"/>
      <c r="I905" s="293"/>
      <c r="J905" s="293"/>
      <c r="K905" s="293"/>
      <c r="L905" s="293"/>
      <c r="M905" s="279"/>
      <c r="N905" s="279"/>
      <c r="O905" s="279"/>
      <c r="P905" s="291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</row>
    <row r="906" spans="1:28" ht="15.75" customHeight="1" x14ac:dyDescent="0.25">
      <c r="A906" s="35"/>
      <c r="B906" s="246"/>
      <c r="C906" s="35"/>
      <c r="D906" s="35"/>
      <c r="E906" s="20"/>
      <c r="F906" s="20"/>
      <c r="G906" s="20"/>
      <c r="H906" s="257"/>
      <c r="I906" s="293"/>
      <c r="J906" s="293"/>
      <c r="K906" s="293"/>
      <c r="L906" s="293"/>
      <c r="M906" s="279"/>
      <c r="N906" s="279"/>
      <c r="O906" s="279"/>
      <c r="P906" s="291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</row>
    <row r="907" spans="1:28" ht="15.75" customHeight="1" x14ac:dyDescent="0.25">
      <c r="A907" s="35"/>
      <c r="B907" s="246"/>
      <c r="C907" s="35"/>
      <c r="D907" s="35"/>
      <c r="E907" s="20"/>
      <c r="F907" s="20"/>
      <c r="G907" s="20"/>
      <c r="H907" s="257"/>
      <c r="I907" s="293"/>
      <c r="J907" s="293"/>
      <c r="K907" s="293"/>
      <c r="L907" s="293"/>
      <c r="M907" s="279"/>
      <c r="N907" s="279"/>
      <c r="O907" s="279"/>
      <c r="P907" s="291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</row>
    <row r="908" spans="1:28" ht="15.75" customHeight="1" x14ac:dyDescent="0.25">
      <c r="A908" s="35"/>
      <c r="B908" s="246"/>
      <c r="C908" s="35"/>
      <c r="D908" s="35"/>
      <c r="E908" s="20"/>
      <c r="F908" s="20"/>
      <c r="G908" s="20"/>
      <c r="H908" s="257"/>
      <c r="I908" s="293"/>
      <c r="J908" s="293"/>
      <c r="K908" s="293"/>
      <c r="L908" s="293"/>
      <c r="M908" s="279"/>
      <c r="N908" s="279"/>
      <c r="O908" s="279"/>
      <c r="P908" s="291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</row>
    <row r="909" spans="1:28" ht="15.75" customHeight="1" x14ac:dyDescent="0.25">
      <c r="A909" s="35"/>
      <c r="B909" s="246"/>
      <c r="C909" s="35"/>
      <c r="D909" s="35"/>
      <c r="E909" s="20"/>
      <c r="F909" s="20"/>
      <c r="G909" s="20"/>
      <c r="H909" s="257"/>
      <c r="I909" s="293"/>
      <c r="J909" s="293"/>
      <c r="K909" s="293"/>
      <c r="L909" s="293"/>
      <c r="M909" s="279"/>
      <c r="N909" s="279"/>
      <c r="O909" s="279"/>
      <c r="P909" s="291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</row>
    <row r="910" spans="1:28" ht="15.75" customHeight="1" x14ac:dyDescent="0.25">
      <c r="A910" s="35"/>
      <c r="B910" s="246"/>
      <c r="C910" s="35"/>
      <c r="D910" s="35"/>
      <c r="E910" s="20"/>
      <c r="F910" s="20"/>
      <c r="G910" s="20"/>
      <c r="H910" s="257"/>
      <c r="I910" s="293"/>
      <c r="J910" s="293"/>
      <c r="K910" s="293"/>
      <c r="L910" s="293"/>
      <c r="M910" s="279"/>
      <c r="N910" s="279"/>
      <c r="O910" s="279"/>
      <c r="P910" s="291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</row>
    <row r="911" spans="1:28" ht="15.75" customHeight="1" x14ac:dyDescent="0.25">
      <c r="A911" s="35"/>
      <c r="B911" s="246"/>
      <c r="C911" s="35"/>
      <c r="D911" s="35"/>
      <c r="E911" s="20"/>
      <c r="F911" s="20"/>
      <c r="G911" s="20"/>
      <c r="H911" s="257"/>
      <c r="I911" s="293"/>
      <c r="J911" s="293"/>
      <c r="K911" s="293"/>
      <c r="L911" s="293"/>
      <c r="M911" s="279"/>
      <c r="N911" s="279"/>
      <c r="O911" s="279"/>
      <c r="P911" s="291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</row>
    <row r="912" spans="1:28" ht="15.75" customHeight="1" x14ac:dyDescent="0.25">
      <c r="A912" s="35"/>
      <c r="B912" s="246"/>
      <c r="C912" s="35"/>
      <c r="D912" s="35"/>
      <c r="E912" s="20"/>
      <c r="F912" s="20"/>
      <c r="G912" s="20"/>
      <c r="H912" s="257"/>
      <c r="I912" s="293"/>
      <c r="J912" s="293"/>
      <c r="K912" s="293"/>
      <c r="L912" s="293"/>
      <c r="M912" s="279"/>
      <c r="N912" s="279"/>
      <c r="O912" s="279"/>
      <c r="P912" s="291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</row>
    <row r="913" spans="1:28" ht="15.75" customHeight="1" x14ac:dyDescent="0.25">
      <c r="A913" s="35"/>
      <c r="B913" s="246"/>
      <c r="C913" s="35"/>
      <c r="D913" s="35"/>
      <c r="E913" s="20"/>
      <c r="F913" s="20"/>
      <c r="G913" s="20"/>
      <c r="H913" s="257"/>
      <c r="I913" s="293"/>
      <c r="J913" s="293"/>
      <c r="K913" s="293"/>
      <c r="L913" s="293"/>
      <c r="M913" s="279"/>
      <c r="N913" s="279"/>
      <c r="O913" s="279"/>
      <c r="P913" s="291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</row>
    <row r="914" spans="1:28" ht="15.75" customHeight="1" x14ac:dyDescent="0.25">
      <c r="A914" s="35"/>
      <c r="B914" s="246"/>
      <c r="C914" s="35"/>
      <c r="D914" s="35"/>
      <c r="E914" s="20"/>
      <c r="F914" s="20"/>
      <c r="G914" s="20"/>
      <c r="H914" s="257"/>
      <c r="I914" s="293"/>
      <c r="J914" s="293"/>
      <c r="K914" s="293"/>
      <c r="L914" s="293"/>
      <c r="M914" s="279"/>
      <c r="N914" s="279"/>
      <c r="O914" s="279"/>
      <c r="P914" s="291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</row>
    <row r="915" spans="1:28" ht="15.75" customHeight="1" x14ac:dyDescent="0.25">
      <c r="A915" s="35"/>
      <c r="B915" s="246"/>
      <c r="C915" s="35"/>
      <c r="D915" s="35"/>
      <c r="E915" s="20"/>
      <c r="F915" s="20"/>
      <c r="G915" s="20"/>
      <c r="H915" s="257"/>
      <c r="I915" s="293"/>
      <c r="J915" s="293"/>
      <c r="K915" s="293"/>
      <c r="L915" s="293"/>
      <c r="M915" s="279"/>
      <c r="N915" s="279"/>
      <c r="O915" s="279"/>
      <c r="P915" s="291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</row>
    <row r="916" spans="1:28" ht="15.75" customHeight="1" x14ac:dyDescent="0.25">
      <c r="A916" s="35"/>
      <c r="B916" s="246"/>
      <c r="C916" s="35"/>
      <c r="D916" s="35"/>
      <c r="E916" s="20"/>
      <c r="F916" s="20"/>
      <c r="G916" s="20"/>
      <c r="H916" s="257"/>
      <c r="I916" s="293"/>
      <c r="J916" s="293"/>
      <c r="K916" s="293"/>
      <c r="L916" s="293"/>
      <c r="M916" s="279"/>
      <c r="N916" s="279"/>
      <c r="O916" s="279"/>
      <c r="P916" s="291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</row>
    <row r="917" spans="1:28" ht="15.75" customHeight="1" x14ac:dyDescent="0.25">
      <c r="A917" s="35"/>
      <c r="B917" s="246"/>
      <c r="C917" s="35"/>
      <c r="D917" s="35"/>
      <c r="E917" s="20"/>
      <c r="F917" s="20"/>
      <c r="G917" s="20"/>
      <c r="H917" s="257"/>
      <c r="I917" s="293"/>
      <c r="J917" s="293"/>
      <c r="K917" s="293"/>
      <c r="L917" s="293"/>
      <c r="M917" s="279"/>
      <c r="N917" s="279"/>
      <c r="O917" s="279"/>
      <c r="P917" s="291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</row>
    <row r="918" spans="1:28" ht="15.75" customHeight="1" x14ac:dyDescent="0.25">
      <c r="A918" s="35"/>
      <c r="B918" s="246"/>
      <c r="C918" s="35"/>
      <c r="D918" s="35"/>
      <c r="E918" s="20"/>
      <c r="F918" s="20"/>
      <c r="G918" s="20"/>
      <c r="H918" s="257"/>
      <c r="I918" s="293"/>
      <c r="J918" s="293"/>
      <c r="K918" s="293"/>
      <c r="L918" s="293"/>
      <c r="M918" s="279"/>
      <c r="N918" s="279"/>
      <c r="O918" s="279"/>
      <c r="P918" s="291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</row>
    <row r="919" spans="1:28" ht="15.75" customHeight="1" x14ac:dyDescent="0.25">
      <c r="A919" s="35"/>
      <c r="B919" s="246"/>
      <c r="C919" s="35"/>
      <c r="D919" s="35"/>
      <c r="E919" s="20"/>
      <c r="F919" s="20"/>
      <c r="G919" s="20"/>
      <c r="H919" s="257"/>
      <c r="I919" s="293"/>
      <c r="J919" s="293"/>
      <c r="K919" s="293"/>
      <c r="L919" s="293"/>
      <c r="M919" s="279"/>
      <c r="N919" s="279"/>
      <c r="O919" s="279"/>
      <c r="P919" s="291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</row>
    <row r="920" spans="1:28" ht="15.75" customHeight="1" x14ac:dyDescent="0.25">
      <c r="A920" s="35"/>
      <c r="B920" s="246"/>
      <c r="C920" s="35"/>
      <c r="D920" s="35"/>
      <c r="E920" s="20"/>
      <c r="F920" s="20"/>
      <c r="G920" s="20"/>
      <c r="H920" s="257"/>
      <c r="I920" s="293"/>
      <c r="J920" s="293"/>
      <c r="K920" s="293"/>
      <c r="L920" s="293"/>
      <c r="M920" s="279"/>
      <c r="N920" s="279"/>
      <c r="O920" s="279"/>
      <c r="P920" s="291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</row>
    <row r="921" spans="1:28" ht="15.75" customHeight="1" x14ac:dyDescent="0.25">
      <c r="A921" s="35"/>
      <c r="B921" s="246"/>
      <c r="C921" s="35"/>
      <c r="D921" s="35"/>
      <c r="E921" s="20"/>
      <c r="F921" s="20"/>
      <c r="G921" s="20"/>
      <c r="H921" s="257"/>
      <c r="I921" s="293"/>
      <c r="J921" s="293"/>
      <c r="K921" s="293"/>
      <c r="L921" s="293"/>
      <c r="M921" s="279"/>
      <c r="N921" s="279"/>
      <c r="O921" s="279"/>
      <c r="P921" s="291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</row>
    <row r="922" spans="1:28" ht="15.75" customHeight="1" x14ac:dyDescent="0.25">
      <c r="A922" s="35"/>
      <c r="B922" s="246"/>
      <c r="C922" s="35"/>
      <c r="D922" s="35"/>
      <c r="E922" s="20"/>
      <c r="F922" s="20"/>
      <c r="G922" s="20"/>
      <c r="H922" s="257"/>
      <c r="I922" s="293"/>
      <c r="J922" s="293"/>
      <c r="K922" s="293"/>
      <c r="L922" s="293"/>
      <c r="M922" s="279"/>
      <c r="N922" s="279"/>
      <c r="O922" s="279"/>
      <c r="P922" s="291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</row>
    <row r="923" spans="1:28" ht="15.75" customHeight="1" x14ac:dyDescent="0.25">
      <c r="A923" s="35"/>
      <c r="B923" s="246"/>
      <c r="C923" s="35"/>
      <c r="D923" s="35"/>
      <c r="E923" s="20"/>
      <c r="F923" s="20"/>
      <c r="G923" s="20"/>
      <c r="H923" s="257"/>
      <c r="I923" s="293"/>
      <c r="J923" s="293"/>
      <c r="K923" s="293"/>
      <c r="L923" s="293"/>
      <c r="M923" s="279"/>
      <c r="N923" s="279"/>
      <c r="O923" s="279"/>
      <c r="P923" s="291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</row>
    <row r="924" spans="1:28" ht="15.75" customHeight="1" x14ac:dyDescent="0.25">
      <c r="A924" s="35"/>
      <c r="B924" s="246"/>
      <c r="C924" s="35"/>
      <c r="D924" s="35"/>
      <c r="E924" s="20"/>
      <c r="F924" s="20"/>
      <c r="G924" s="20"/>
      <c r="H924" s="257"/>
      <c r="I924" s="293"/>
      <c r="J924" s="293"/>
      <c r="K924" s="293"/>
      <c r="L924" s="293"/>
      <c r="M924" s="279"/>
      <c r="N924" s="279"/>
      <c r="O924" s="279"/>
      <c r="P924" s="291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</row>
    <row r="925" spans="1:28" ht="15.75" customHeight="1" x14ac:dyDescent="0.25">
      <c r="A925" s="35"/>
      <c r="B925" s="246"/>
      <c r="C925" s="35"/>
      <c r="D925" s="35"/>
      <c r="E925" s="20"/>
      <c r="F925" s="20"/>
      <c r="G925" s="20"/>
      <c r="H925" s="257"/>
      <c r="I925" s="293"/>
      <c r="J925" s="293"/>
      <c r="K925" s="293"/>
      <c r="L925" s="293"/>
      <c r="M925" s="279"/>
      <c r="N925" s="279"/>
      <c r="O925" s="279"/>
      <c r="P925" s="291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</row>
    <row r="926" spans="1:28" ht="15.75" customHeight="1" x14ac:dyDescent="0.25">
      <c r="A926" s="35"/>
      <c r="B926" s="246"/>
      <c r="C926" s="35"/>
      <c r="D926" s="35"/>
      <c r="E926" s="20"/>
      <c r="F926" s="20"/>
      <c r="G926" s="20"/>
      <c r="H926" s="257"/>
      <c r="I926" s="293"/>
      <c r="J926" s="293"/>
      <c r="K926" s="293"/>
      <c r="L926" s="293"/>
      <c r="M926" s="279"/>
      <c r="N926" s="279"/>
      <c r="O926" s="279"/>
      <c r="P926" s="291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</row>
    <row r="927" spans="1:28" ht="15.75" customHeight="1" x14ac:dyDescent="0.25">
      <c r="A927" s="35"/>
      <c r="B927" s="246"/>
      <c r="C927" s="35"/>
      <c r="D927" s="35"/>
      <c r="E927" s="20"/>
      <c r="F927" s="20"/>
      <c r="G927" s="20"/>
      <c r="H927" s="257"/>
      <c r="I927" s="293"/>
      <c r="J927" s="293"/>
      <c r="K927" s="293"/>
      <c r="L927" s="293"/>
      <c r="M927" s="279"/>
      <c r="N927" s="279"/>
      <c r="O927" s="279"/>
      <c r="P927" s="291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</row>
    <row r="928" spans="1:28" ht="15.75" customHeight="1" x14ac:dyDescent="0.25">
      <c r="A928" s="35"/>
      <c r="B928" s="246"/>
      <c r="C928" s="35"/>
      <c r="D928" s="35"/>
      <c r="E928" s="20"/>
      <c r="F928" s="20"/>
      <c r="G928" s="20"/>
      <c r="H928" s="257"/>
      <c r="I928" s="293"/>
      <c r="J928" s="293"/>
      <c r="K928" s="293"/>
      <c r="L928" s="293"/>
      <c r="M928" s="279"/>
      <c r="N928" s="279"/>
      <c r="O928" s="279"/>
      <c r="P928" s="291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</row>
    <row r="929" spans="1:28" ht="15.75" customHeight="1" x14ac:dyDescent="0.25">
      <c r="A929" s="35"/>
      <c r="B929" s="246"/>
      <c r="C929" s="35"/>
      <c r="D929" s="35"/>
      <c r="E929" s="20"/>
      <c r="F929" s="20"/>
      <c r="G929" s="20"/>
      <c r="H929" s="257"/>
      <c r="I929" s="293"/>
      <c r="J929" s="293"/>
      <c r="K929" s="293"/>
      <c r="L929" s="293"/>
      <c r="M929" s="279"/>
      <c r="N929" s="279"/>
      <c r="O929" s="279"/>
      <c r="P929" s="291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</row>
    <row r="930" spans="1:28" ht="15.75" customHeight="1" x14ac:dyDescent="0.25">
      <c r="A930" s="35"/>
      <c r="B930" s="246"/>
      <c r="C930" s="35"/>
      <c r="D930" s="35"/>
      <c r="E930" s="20"/>
      <c r="F930" s="20"/>
      <c r="G930" s="20"/>
      <c r="H930" s="257"/>
      <c r="I930" s="293"/>
      <c r="J930" s="293"/>
      <c r="K930" s="293"/>
      <c r="L930" s="293"/>
      <c r="M930" s="279"/>
      <c r="N930" s="279"/>
      <c r="O930" s="279"/>
      <c r="P930" s="291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</row>
    <row r="931" spans="1:28" ht="15.75" customHeight="1" x14ac:dyDescent="0.25">
      <c r="A931" s="35"/>
      <c r="B931" s="246"/>
      <c r="C931" s="35"/>
      <c r="D931" s="35"/>
      <c r="E931" s="20"/>
      <c r="F931" s="20"/>
      <c r="G931" s="20"/>
      <c r="H931" s="257"/>
      <c r="I931" s="293"/>
      <c r="J931" s="293"/>
      <c r="K931" s="293"/>
      <c r="L931" s="293"/>
      <c r="M931" s="279"/>
      <c r="N931" s="279"/>
      <c r="O931" s="279"/>
      <c r="P931" s="291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</row>
    <row r="932" spans="1:28" ht="15.75" customHeight="1" x14ac:dyDescent="0.25">
      <c r="A932" s="35"/>
      <c r="B932" s="246"/>
      <c r="C932" s="35"/>
      <c r="D932" s="35"/>
      <c r="E932" s="20"/>
      <c r="F932" s="20"/>
      <c r="G932" s="20"/>
      <c r="H932" s="257"/>
      <c r="I932" s="293"/>
      <c r="J932" s="293"/>
      <c r="K932" s="293"/>
      <c r="L932" s="293"/>
      <c r="M932" s="279"/>
      <c r="N932" s="279"/>
      <c r="O932" s="279"/>
      <c r="P932" s="291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</row>
    <row r="933" spans="1:28" ht="15.75" customHeight="1" x14ac:dyDescent="0.25">
      <c r="A933" s="35"/>
      <c r="B933" s="246"/>
      <c r="C933" s="35"/>
      <c r="D933" s="35"/>
      <c r="E933" s="20"/>
      <c r="F933" s="20"/>
      <c r="G933" s="20"/>
      <c r="H933" s="257"/>
      <c r="I933" s="293"/>
      <c r="J933" s="293"/>
      <c r="K933" s="293"/>
      <c r="L933" s="293"/>
      <c r="M933" s="279"/>
      <c r="N933" s="279"/>
      <c r="O933" s="279"/>
      <c r="P933" s="291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</row>
    <row r="934" spans="1:28" ht="15.75" customHeight="1" x14ac:dyDescent="0.25">
      <c r="A934" s="35"/>
      <c r="B934" s="246"/>
      <c r="C934" s="35"/>
      <c r="D934" s="35"/>
      <c r="E934" s="20"/>
      <c r="F934" s="20"/>
      <c r="G934" s="20"/>
      <c r="H934" s="257"/>
      <c r="I934" s="293"/>
      <c r="J934" s="293"/>
      <c r="K934" s="293"/>
      <c r="L934" s="293"/>
      <c r="M934" s="279"/>
      <c r="N934" s="279"/>
      <c r="O934" s="279"/>
      <c r="P934" s="291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</row>
    <row r="935" spans="1:28" ht="15.75" customHeight="1" x14ac:dyDescent="0.25">
      <c r="A935" s="35"/>
      <c r="B935" s="246"/>
      <c r="C935" s="35"/>
      <c r="D935" s="35"/>
      <c r="E935" s="20"/>
      <c r="F935" s="20"/>
      <c r="G935" s="20"/>
      <c r="H935" s="257"/>
      <c r="I935" s="293"/>
      <c r="J935" s="293"/>
      <c r="K935" s="293"/>
      <c r="L935" s="293"/>
      <c r="M935" s="279"/>
      <c r="N935" s="279"/>
      <c r="O935" s="279"/>
      <c r="P935" s="291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</row>
    <row r="936" spans="1:28" ht="15.75" customHeight="1" x14ac:dyDescent="0.25">
      <c r="A936" s="35"/>
      <c r="B936" s="246"/>
      <c r="C936" s="35"/>
      <c r="D936" s="35"/>
      <c r="E936" s="20"/>
      <c r="F936" s="20"/>
      <c r="G936" s="20"/>
      <c r="H936" s="257"/>
      <c r="I936" s="293"/>
      <c r="J936" s="293"/>
      <c r="K936" s="293"/>
      <c r="L936" s="293"/>
      <c r="M936" s="279"/>
      <c r="N936" s="279"/>
      <c r="O936" s="279"/>
      <c r="P936" s="291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</row>
    <row r="937" spans="1:28" ht="15.75" customHeight="1" x14ac:dyDescent="0.25">
      <c r="A937" s="35"/>
      <c r="B937" s="246"/>
      <c r="C937" s="35"/>
      <c r="D937" s="35"/>
      <c r="E937" s="20"/>
      <c r="F937" s="20"/>
      <c r="G937" s="20"/>
      <c r="H937" s="257"/>
      <c r="I937" s="293"/>
      <c r="J937" s="293"/>
      <c r="K937" s="293"/>
      <c r="L937" s="293"/>
      <c r="M937" s="279"/>
      <c r="N937" s="279"/>
      <c r="O937" s="279"/>
      <c r="P937" s="291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</row>
    <row r="938" spans="1:28" ht="15.75" customHeight="1" x14ac:dyDescent="0.25">
      <c r="A938" s="35"/>
      <c r="B938" s="246"/>
      <c r="C938" s="35"/>
      <c r="D938" s="35"/>
      <c r="E938" s="20"/>
      <c r="F938" s="20"/>
      <c r="G938" s="20"/>
      <c r="H938" s="257"/>
      <c r="I938" s="293"/>
      <c r="J938" s="293"/>
      <c r="K938" s="293"/>
      <c r="L938" s="293"/>
      <c r="M938" s="279"/>
      <c r="N938" s="279"/>
      <c r="O938" s="279"/>
      <c r="P938" s="291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</row>
    <row r="939" spans="1:28" ht="15.75" customHeight="1" x14ac:dyDescent="0.25">
      <c r="A939" s="35"/>
      <c r="B939" s="246"/>
      <c r="C939" s="35"/>
      <c r="D939" s="35"/>
      <c r="E939" s="20"/>
      <c r="F939" s="20"/>
      <c r="G939" s="20"/>
      <c r="H939" s="257"/>
      <c r="I939" s="293"/>
      <c r="J939" s="293"/>
      <c r="K939" s="293"/>
      <c r="L939" s="293"/>
      <c r="M939" s="279"/>
      <c r="N939" s="279"/>
      <c r="O939" s="279"/>
      <c r="P939" s="291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</row>
    <row r="940" spans="1:28" ht="15.75" customHeight="1" x14ac:dyDescent="0.25">
      <c r="A940" s="35"/>
      <c r="B940" s="246"/>
      <c r="C940" s="35"/>
      <c r="D940" s="35"/>
      <c r="E940" s="20"/>
      <c r="F940" s="20"/>
      <c r="G940" s="20"/>
      <c r="H940" s="257"/>
      <c r="I940" s="293"/>
      <c r="J940" s="293"/>
      <c r="K940" s="293"/>
      <c r="L940" s="293"/>
      <c r="M940" s="279"/>
      <c r="N940" s="279"/>
      <c r="O940" s="279"/>
      <c r="P940" s="291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</row>
    <row r="941" spans="1:28" ht="15.75" customHeight="1" x14ac:dyDescent="0.25">
      <c r="A941" s="35"/>
      <c r="B941" s="246"/>
      <c r="C941" s="35"/>
      <c r="D941" s="35"/>
      <c r="E941" s="20"/>
      <c r="F941" s="20"/>
      <c r="G941" s="20"/>
      <c r="H941" s="257"/>
      <c r="I941" s="293"/>
      <c r="J941" s="293"/>
      <c r="K941" s="293"/>
      <c r="L941" s="293"/>
      <c r="M941" s="279"/>
      <c r="N941" s="279"/>
      <c r="O941" s="279"/>
      <c r="P941" s="291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</row>
    <row r="942" spans="1:28" ht="15.75" customHeight="1" x14ac:dyDescent="0.25">
      <c r="A942" s="35"/>
      <c r="B942" s="246"/>
      <c r="C942" s="35"/>
      <c r="D942" s="35"/>
      <c r="E942" s="20"/>
      <c r="F942" s="20"/>
      <c r="G942" s="20"/>
      <c r="H942" s="257"/>
      <c r="I942" s="293"/>
      <c r="J942" s="293"/>
      <c r="K942" s="293"/>
      <c r="L942" s="293"/>
      <c r="M942" s="279"/>
      <c r="N942" s="279"/>
      <c r="O942" s="279"/>
      <c r="P942" s="291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</row>
    <row r="943" spans="1:28" ht="15.75" customHeight="1" x14ac:dyDescent="0.25">
      <c r="A943" s="35"/>
      <c r="B943" s="246"/>
      <c r="C943" s="35"/>
      <c r="D943" s="35"/>
      <c r="E943" s="20"/>
      <c r="F943" s="20"/>
      <c r="G943" s="20"/>
      <c r="H943" s="257"/>
      <c r="I943" s="293"/>
      <c r="J943" s="293"/>
      <c r="K943" s="293"/>
      <c r="L943" s="293"/>
      <c r="M943" s="279"/>
      <c r="N943" s="279"/>
      <c r="O943" s="279"/>
      <c r="P943" s="291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</row>
    <row r="944" spans="1:28" ht="15.75" customHeight="1" x14ac:dyDescent="0.25">
      <c r="A944" s="35"/>
      <c r="B944" s="246"/>
      <c r="C944" s="35"/>
      <c r="D944" s="35"/>
      <c r="E944" s="20"/>
      <c r="F944" s="20"/>
      <c r="G944" s="20"/>
      <c r="H944" s="257"/>
      <c r="I944" s="293"/>
      <c r="J944" s="293"/>
      <c r="K944" s="293"/>
      <c r="L944" s="293"/>
      <c r="M944" s="279"/>
      <c r="N944" s="279"/>
      <c r="O944" s="279"/>
      <c r="P944" s="291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</row>
    <row r="945" spans="1:28" ht="15.75" customHeight="1" x14ac:dyDescent="0.25">
      <c r="A945" s="35"/>
      <c r="B945" s="246"/>
      <c r="C945" s="35"/>
      <c r="D945" s="35"/>
      <c r="E945" s="20"/>
      <c r="F945" s="20"/>
      <c r="G945" s="20"/>
      <c r="H945" s="257"/>
      <c r="I945" s="293"/>
      <c r="J945" s="293"/>
      <c r="K945" s="293"/>
      <c r="L945" s="293"/>
      <c r="M945" s="279"/>
      <c r="N945" s="279"/>
      <c r="O945" s="279"/>
      <c r="P945" s="291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</row>
    <row r="946" spans="1:28" ht="15.75" customHeight="1" x14ac:dyDescent="0.25">
      <c r="A946" s="35"/>
      <c r="B946" s="246"/>
      <c r="C946" s="35"/>
      <c r="D946" s="35"/>
      <c r="E946" s="20"/>
      <c r="F946" s="20"/>
      <c r="G946" s="20"/>
      <c r="H946" s="257"/>
      <c r="I946" s="293"/>
      <c r="J946" s="293"/>
      <c r="K946" s="293"/>
      <c r="L946" s="293"/>
      <c r="M946" s="279"/>
      <c r="N946" s="279"/>
      <c r="O946" s="279"/>
      <c r="P946" s="291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</row>
    <row r="947" spans="1:28" ht="15.75" customHeight="1" x14ac:dyDescent="0.25">
      <c r="A947" s="35"/>
      <c r="B947" s="246"/>
      <c r="C947" s="35"/>
      <c r="D947" s="35"/>
      <c r="E947" s="20"/>
      <c r="F947" s="20"/>
      <c r="G947" s="20"/>
      <c r="H947" s="257"/>
      <c r="I947" s="293"/>
      <c r="J947" s="293"/>
      <c r="K947" s="293"/>
      <c r="L947" s="293"/>
      <c r="M947" s="279"/>
      <c r="N947" s="279"/>
      <c r="O947" s="279"/>
      <c r="P947" s="291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</row>
    <row r="948" spans="1:28" ht="15.75" customHeight="1" x14ac:dyDescent="0.25">
      <c r="A948" s="35"/>
      <c r="B948" s="246"/>
      <c r="C948" s="35"/>
      <c r="D948" s="35"/>
      <c r="E948" s="20"/>
      <c r="F948" s="20"/>
      <c r="G948" s="20"/>
      <c r="H948" s="257"/>
      <c r="I948" s="293"/>
      <c r="J948" s="293"/>
      <c r="K948" s="293"/>
      <c r="L948" s="293"/>
      <c r="M948" s="279"/>
      <c r="N948" s="279"/>
      <c r="O948" s="279"/>
      <c r="P948" s="291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</row>
    <row r="949" spans="1:28" ht="15.75" customHeight="1" x14ac:dyDescent="0.25">
      <c r="A949" s="35"/>
      <c r="B949" s="246"/>
      <c r="C949" s="35"/>
      <c r="D949" s="35"/>
      <c r="E949" s="20"/>
      <c r="F949" s="20"/>
      <c r="G949" s="20"/>
      <c r="H949" s="257"/>
      <c r="I949" s="293"/>
      <c r="J949" s="293"/>
      <c r="K949" s="293"/>
      <c r="L949" s="293"/>
      <c r="M949" s="279"/>
      <c r="N949" s="279"/>
      <c r="O949" s="279"/>
      <c r="P949" s="291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</row>
    <row r="950" spans="1:28" ht="15.75" customHeight="1" x14ac:dyDescent="0.25">
      <c r="A950" s="35"/>
      <c r="B950" s="246"/>
      <c r="C950" s="35"/>
      <c r="D950" s="35"/>
      <c r="E950" s="20"/>
      <c r="F950" s="20"/>
      <c r="G950" s="20"/>
      <c r="H950" s="257"/>
      <c r="I950" s="293"/>
      <c r="J950" s="293"/>
      <c r="K950" s="293"/>
      <c r="L950" s="293"/>
      <c r="M950" s="279"/>
      <c r="N950" s="279"/>
      <c r="O950" s="279"/>
      <c r="P950" s="291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</row>
    <row r="951" spans="1:28" ht="15.75" customHeight="1" x14ac:dyDescent="0.25">
      <c r="A951" s="35"/>
      <c r="B951" s="246"/>
      <c r="C951" s="35"/>
      <c r="D951" s="35"/>
      <c r="E951" s="20"/>
      <c r="F951" s="20"/>
      <c r="G951" s="20"/>
      <c r="H951" s="257"/>
      <c r="I951" s="293"/>
      <c r="J951" s="293"/>
      <c r="K951" s="293"/>
      <c r="L951" s="293"/>
      <c r="M951" s="279"/>
      <c r="N951" s="279"/>
      <c r="O951" s="279"/>
      <c r="P951" s="291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</row>
    <row r="952" spans="1:28" ht="15.75" customHeight="1" x14ac:dyDescent="0.25">
      <c r="A952" s="35"/>
      <c r="B952" s="246"/>
      <c r="C952" s="35"/>
      <c r="D952" s="35"/>
      <c r="E952" s="20"/>
      <c r="F952" s="20"/>
      <c r="G952" s="20"/>
      <c r="H952" s="257"/>
      <c r="I952" s="293"/>
      <c r="J952" s="293"/>
      <c r="K952" s="293"/>
      <c r="L952" s="293"/>
      <c r="M952" s="279"/>
      <c r="N952" s="279"/>
      <c r="O952" s="279"/>
      <c r="P952" s="291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</row>
    <row r="953" spans="1:28" ht="15.75" customHeight="1" x14ac:dyDescent="0.25">
      <c r="A953" s="35"/>
      <c r="B953" s="246"/>
      <c r="C953" s="35"/>
      <c r="D953" s="35"/>
      <c r="E953" s="20"/>
      <c r="F953" s="20"/>
      <c r="G953" s="20"/>
      <c r="H953" s="257"/>
      <c r="I953" s="293"/>
      <c r="J953" s="293"/>
      <c r="K953" s="293"/>
      <c r="L953" s="293"/>
      <c r="M953" s="279"/>
      <c r="N953" s="279"/>
      <c r="O953" s="279"/>
      <c r="P953" s="291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</row>
    <row r="954" spans="1:28" ht="15.75" customHeight="1" x14ac:dyDescent="0.25">
      <c r="A954" s="35"/>
      <c r="B954" s="246"/>
      <c r="C954" s="35"/>
      <c r="D954" s="35"/>
      <c r="E954" s="20"/>
      <c r="F954" s="20"/>
      <c r="G954" s="20"/>
      <c r="H954" s="257"/>
      <c r="I954" s="293"/>
      <c r="J954" s="293"/>
      <c r="K954" s="293"/>
      <c r="L954" s="293"/>
      <c r="M954" s="279"/>
      <c r="N954" s="279"/>
      <c r="O954" s="279"/>
      <c r="P954" s="291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</row>
    <row r="955" spans="1:28" ht="15.75" customHeight="1" x14ac:dyDescent="0.25">
      <c r="A955" s="35"/>
      <c r="B955" s="246"/>
      <c r="C955" s="35"/>
      <c r="D955" s="35"/>
      <c r="E955" s="20"/>
      <c r="F955" s="20"/>
      <c r="G955" s="20"/>
      <c r="H955" s="257"/>
      <c r="I955" s="293"/>
      <c r="J955" s="293"/>
      <c r="K955" s="293"/>
      <c r="L955" s="293"/>
      <c r="M955" s="279"/>
      <c r="N955" s="279"/>
      <c r="O955" s="279"/>
      <c r="P955" s="291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</row>
    <row r="956" spans="1:28" ht="15.75" customHeight="1" x14ac:dyDescent="0.25">
      <c r="A956" s="35"/>
      <c r="B956" s="246"/>
      <c r="C956" s="35"/>
      <c r="D956" s="35"/>
      <c r="E956" s="20"/>
      <c r="F956" s="20"/>
      <c r="G956" s="20"/>
      <c r="H956" s="257"/>
      <c r="I956" s="293"/>
      <c r="J956" s="293"/>
      <c r="K956" s="293"/>
      <c r="L956" s="293"/>
      <c r="M956" s="279"/>
      <c r="N956" s="279"/>
      <c r="O956" s="279"/>
      <c r="P956" s="291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</row>
    <row r="957" spans="1:28" ht="15.75" customHeight="1" x14ac:dyDescent="0.25">
      <c r="A957" s="35"/>
      <c r="B957" s="246"/>
      <c r="C957" s="35"/>
      <c r="D957" s="35"/>
      <c r="E957" s="20"/>
      <c r="F957" s="20"/>
      <c r="G957" s="20"/>
      <c r="H957" s="257"/>
      <c r="I957" s="293"/>
      <c r="J957" s="293"/>
      <c r="K957" s="293"/>
      <c r="L957" s="293"/>
      <c r="M957" s="279"/>
      <c r="N957" s="279"/>
      <c r="O957" s="279"/>
      <c r="P957" s="291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</row>
    <row r="958" spans="1:28" ht="15.75" customHeight="1" x14ac:dyDescent="0.25">
      <c r="A958" s="35"/>
      <c r="B958" s="246"/>
      <c r="C958" s="35"/>
      <c r="D958" s="35"/>
      <c r="E958" s="20"/>
      <c r="F958" s="20"/>
      <c r="G958" s="20"/>
      <c r="H958" s="257"/>
      <c r="I958" s="293"/>
      <c r="J958" s="293"/>
      <c r="K958" s="293"/>
      <c r="L958" s="293"/>
      <c r="M958" s="279"/>
      <c r="N958" s="279"/>
      <c r="O958" s="279"/>
      <c r="P958" s="291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</row>
    <row r="959" spans="1:28" ht="15.75" customHeight="1" x14ac:dyDescent="0.25">
      <c r="A959" s="35"/>
      <c r="B959" s="246"/>
      <c r="C959" s="35"/>
      <c r="D959" s="35"/>
      <c r="E959" s="20"/>
      <c r="F959" s="20"/>
      <c r="G959" s="20"/>
      <c r="H959" s="257"/>
      <c r="I959" s="293"/>
      <c r="J959" s="293"/>
      <c r="K959" s="293"/>
      <c r="L959" s="293"/>
      <c r="M959" s="279"/>
      <c r="N959" s="279"/>
      <c r="O959" s="279"/>
      <c r="P959" s="291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</row>
    <row r="960" spans="1:28" ht="15.75" customHeight="1" x14ac:dyDescent="0.25">
      <c r="A960" s="35"/>
      <c r="B960" s="246"/>
      <c r="C960" s="35"/>
      <c r="D960" s="35"/>
      <c r="E960" s="20"/>
      <c r="F960" s="20"/>
      <c r="G960" s="20"/>
      <c r="H960" s="257"/>
      <c r="I960" s="293"/>
      <c r="J960" s="293"/>
      <c r="K960" s="293"/>
      <c r="L960" s="293"/>
      <c r="M960" s="279"/>
      <c r="N960" s="279"/>
      <c r="O960" s="279"/>
      <c r="P960" s="291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</row>
    <row r="961" spans="1:28" ht="15.75" customHeight="1" x14ac:dyDescent="0.25">
      <c r="A961" s="35"/>
      <c r="B961" s="246"/>
      <c r="C961" s="35"/>
      <c r="D961" s="35"/>
      <c r="E961" s="20"/>
      <c r="F961" s="20"/>
      <c r="G961" s="20"/>
      <c r="H961" s="257"/>
      <c r="I961" s="293"/>
      <c r="J961" s="293"/>
      <c r="K961" s="293"/>
      <c r="L961" s="293"/>
      <c r="M961" s="279"/>
      <c r="N961" s="279"/>
      <c r="O961" s="279"/>
      <c r="P961" s="291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</row>
    <row r="962" spans="1:28" ht="15.75" customHeight="1" x14ac:dyDescent="0.25">
      <c r="A962" s="35"/>
      <c r="B962" s="246"/>
      <c r="C962" s="35"/>
      <c r="D962" s="35"/>
      <c r="E962" s="20"/>
      <c r="F962" s="20"/>
      <c r="G962" s="20"/>
      <c r="H962" s="257"/>
      <c r="I962" s="293"/>
      <c r="J962" s="293"/>
      <c r="K962" s="293"/>
      <c r="L962" s="293"/>
      <c r="M962" s="279"/>
      <c r="N962" s="279"/>
      <c r="O962" s="279"/>
      <c r="P962" s="291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</row>
    <row r="963" spans="1:28" ht="15.75" customHeight="1" x14ac:dyDescent="0.25">
      <c r="A963" s="35"/>
      <c r="B963" s="246"/>
      <c r="C963" s="35"/>
      <c r="D963" s="35"/>
      <c r="E963" s="20"/>
      <c r="F963" s="20"/>
      <c r="G963" s="20"/>
      <c r="H963" s="257"/>
      <c r="I963" s="293"/>
      <c r="J963" s="293"/>
      <c r="K963" s="293"/>
      <c r="L963" s="293"/>
      <c r="M963" s="279"/>
      <c r="N963" s="279"/>
      <c r="O963" s="279"/>
      <c r="P963" s="291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</row>
    <row r="964" spans="1:28" ht="15.75" customHeight="1" x14ac:dyDescent="0.25">
      <c r="A964" s="35"/>
      <c r="B964" s="246"/>
      <c r="C964" s="35"/>
      <c r="D964" s="35"/>
      <c r="E964" s="20"/>
      <c r="F964" s="20"/>
      <c r="G964" s="20"/>
      <c r="H964" s="257"/>
      <c r="I964" s="293"/>
      <c r="J964" s="293"/>
      <c r="K964" s="293"/>
      <c r="L964" s="293"/>
      <c r="M964" s="279"/>
      <c r="N964" s="279"/>
      <c r="O964" s="279"/>
      <c r="P964" s="291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</row>
    <row r="965" spans="1:28" ht="15.75" customHeight="1" x14ac:dyDescent="0.25">
      <c r="A965" s="35"/>
      <c r="B965" s="246"/>
      <c r="C965" s="35"/>
      <c r="D965" s="35"/>
      <c r="E965" s="20"/>
      <c r="F965" s="20"/>
      <c r="G965" s="20"/>
      <c r="H965" s="257"/>
      <c r="I965" s="293"/>
      <c r="J965" s="293"/>
      <c r="K965" s="293"/>
      <c r="L965" s="293"/>
      <c r="M965" s="279"/>
      <c r="N965" s="279"/>
      <c r="O965" s="279"/>
      <c r="P965" s="291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</row>
    <row r="966" spans="1:28" ht="15.75" customHeight="1" x14ac:dyDescent="0.25">
      <c r="A966" s="35"/>
      <c r="B966" s="246"/>
      <c r="C966" s="35"/>
      <c r="D966" s="35"/>
      <c r="E966" s="20"/>
      <c r="F966" s="20"/>
      <c r="G966" s="20"/>
      <c r="H966" s="257"/>
      <c r="I966" s="293"/>
      <c r="J966" s="293"/>
      <c r="K966" s="293"/>
      <c r="L966" s="293"/>
      <c r="M966" s="279"/>
      <c r="N966" s="279"/>
      <c r="O966" s="279"/>
      <c r="P966" s="291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</row>
    <row r="967" spans="1:28" ht="15.75" customHeight="1" x14ac:dyDescent="0.25">
      <c r="A967" s="35"/>
      <c r="B967" s="246"/>
      <c r="C967" s="35"/>
      <c r="D967" s="35"/>
      <c r="E967" s="20"/>
      <c r="F967" s="20"/>
      <c r="G967" s="20"/>
      <c r="H967" s="257"/>
      <c r="I967" s="293"/>
      <c r="J967" s="293"/>
      <c r="K967" s="293"/>
      <c r="L967" s="293"/>
      <c r="M967" s="279"/>
      <c r="N967" s="279"/>
      <c r="O967" s="279"/>
      <c r="P967" s="291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</row>
    <row r="968" spans="1:28" ht="15.75" customHeight="1" x14ac:dyDescent="0.25">
      <c r="A968" s="35"/>
      <c r="B968" s="246"/>
      <c r="C968" s="35"/>
      <c r="D968" s="35"/>
      <c r="E968" s="20"/>
      <c r="F968" s="20"/>
      <c r="G968" s="20"/>
      <c r="H968" s="257"/>
      <c r="I968" s="293"/>
      <c r="J968" s="293"/>
      <c r="K968" s="293"/>
      <c r="L968" s="293"/>
      <c r="M968" s="279"/>
      <c r="N968" s="279"/>
      <c r="O968" s="279"/>
      <c r="P968" s="291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</row>
    <row r="969" spans="1:28" ht="15.75" customHeight="1" x14ac:dyDescent="0.25">
      <c r="A969" s="35"/>
      <c r="B969" s="246"/>
      <c r="C969" s="35"/>
      <c r="D969" s="35"/>
      <c r="E969" s="20"/>
      <c r="F969" s="20"/>
      <c r="G969" s="20"/>
      <c r="H969" s="257"/>
      <c r="I969" s="293"/>
      <c r="J969" s="293"/>
      <c r="K969" s="293"/>
      <c r="L969" s="293"/>
      <c r="M969" s="279"/>
      <c r="N969" s="279"/>
      <c r="O969" s="279"/>
      <c r="P969" s="291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</row>
    <row r="970" spans="1:28" ht="15.75" customHeight="1" x14ac:dyDescent="0.25">
      <c r="A970" s="35"/>
      <c r="B970" s="246"/>
      <c r="C970" s="35"/>
      <c r="D970" s="35"/>
      <c r="E970" s="20"/>
      <c r="F970" s="20"/>
      <c r="G970" s="20"/>
      <c r="H970" s="257"/>
      <c r="I970" s="293"/>
      <c r="J970" s="293"/>
      <c r="K970" s="293"/>
      <c r="L970" s="293"/>
      <c r="M970" s="279"/>
      <c r="N970" s="279"/>
      <c r="O970" s="279"/>
      <c r="P970" s="291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</row>
    <row r="971" spans="1:28" ht="15.75" customHeight="1" x14ac:dyDescent="0.25">
      <c r="A971" s="35"/>
      <c r="B971" s="246"/>
      <c r="C971" s="35"/>
      <c r="D971" s="35"/>
      <c r="E971" s="20"/>
      <c r="F971" s="20"/>
      <c r="G971" s="20"/>
      <c r="H971" s="257"/>
      <c r="I971" s="293"/>
      <c r="J971" s="293"/>
      <c r="K971" s="293"/>
      <c r="L971" s="293"/>
      <c r="M971" s="279"/>
      <c r="N971" s="279"/>
      <c r="O971" s="279"/>
      <c r="P971" s="291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</row>
    <row r="972" spans="1:28" ht="15.75" customHeight="1" x14ac:dyDescent="0.25">
      <c r="A972" s="35"/>
      <c r="B972" s="246"/>
      <c r="C972" s="35"/>
      <c r="D972" s="35"/>
      <c r="E972" s="20"/>
      <c r="F972" s="20"/>
      <c r="G972" s="20"/>
      <c r="H972" s="257"/>
      <c r="I972" s="293"/>
      <c r="J972" s="293"/>
      <c r="K972" s="293"/>
      <c r="L972" s="293"/>
      <c r="M972" s="279"/>
      <c r="N972" s="279"/>
      <c r="O972" s="279"/>
      <c r="P972" s="291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</row>
    <row r="973" spans="1:28" ht="15.75" customHeight="1" x14ac:dyDescent="0.25">
      <c r="A973" s="35"/>
      <c r="B973" s="246"/>
      <c r="C973" s="35"/>
      <c r="D973" s="35"/>
      <c r="E973" s="20"/>
      <c r="F973" s="20"/>
      <c r="G973" s="20"/>
      <c r="H973" s="257"/>
      <c r="I973" s="293"/>
      <c r="J973" s="293"/>
      <c r="K973" s="293"/>
      <c r="L973" s="293"/>
      <c r="M973" s="279"/>
      <c r="N973" s="279"/>
      <c r="O973" s="279"/>
      <c r="P973" s="291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</row>
    <row r="974" spans="1:28" ht="15.75" customHeight="1" x14ac:dyDescent="0.25">
      <c r="A974" s="35"/>
      <c r="B974" s="246"/>
      <c r="C974" s="35"/>
      <c r="D974" s="35"/>
      <c r="E974" s="20"/>
      <c r="F974" s="20"/>
      <c r="G974" s="20"/>
      <c r="H974" s="257"/>
      <c r="I974" s="293"/>
      <c r="J974" s="293"/>
      <c r="K974" s="293"/>
      <c r="L974" s="293"/>
      <c r="M974" s="279"/>
      <c r="N974" s="279"/>
      <c r="O974" s="279"/>
      <c r="P974" s="291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</row>
    <row r="975" spans="1:28" ht="15.75" customHeight="1" x14ac:dyDescent="0.25">
      <c r="A975" s="35"/>
      <c r="B975" s="246"/>
      <c r="C975" s="35"/>
      <c r="D975" s="35"/>
      <c r="E975" s="20"/>
      <c r="F975" s="20"/>
      <c r="G975" s="20"/>
      <c r="H975" s="257"/>
      <c r="I975" s="293"/>
      <c r="J975" s="293"/>
      <c r="K975" s="293"/>
      <c r="L975" s="293"/>
      <c r="M975" s="279"/>
      <c r="N975" s="279"/>
      <c r="O975" s="279"/>
      <c r="P975" s="291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</row>
    <row r="976" spans="1:28" ht="15.75" customHeight="1" x14ac:dyDescent="0.25">
      <c r="A976" s="35"/>
      <c r="B976" s="246"/>
      <c r="C976" s="35"/>
      <c r="D976" s="35"/>
      <c r="E976" s="20"/>
      <c r="F976" s="20"/>
      <c r="G976" s="20"/>
      <c r="H976" s="257"/>
      <c r="I976" s="293"/>
      <c r="J976" s="293"/>
      <c r="K976" s="293"/>
      <c r="L976" s="293"/>
      <c r="M976" s="279"/>
      <c r="N976" s="279"/>
      <c r="O976" s="279"/>
      <c r="P976" s="291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</row>
    <row r="977" spans="1:28" ht="15.75" customHeight="1" x14ac:dyDescent="0.25">
      <c r="A977" s="35"/>
      <c r="B977" s="246"/>
      <c r="C977" s="35"/>
      <c r="D977" s="35"/>
      <c r="E977" s="20"/>
      <c r="F977" s="20"/>
      <c r="G977" s="20"/>
      <c r="H977" s="257"/>
      <c r="I977" s="293"/>
      <c r="J977" s="293"/>
      <c r="K977" s="293"/>
      <c r="L977" s="293"/>
      <c r="M977" s="279"/>
      <c r="N977" s="279"/>
      <c r="O977" s="279"/>
      <c r="P977" s="291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</row>
    <row r="978" spans="1:28" ht="15.75" customHeight="1" x14ac:dyDescent="0.25">
      <c r="A978" s="35"/>
      <c r="B978" s="246"/>
      <c r="C978" s="35"/>
      <c r="D978" s="35"/>
      <c r="E978" s="20"/>
      <c r="F978" s="20"/>
      <c r="G978" s="20"/>
      <c r="H978" s="257"/>
      <c r="I978" s="293"/>
      <c r="J978" s="293"/>
      <c r="K978" s="293"/>
      <c r="L978" s="293"/>
      <c r="M978" s="279"/>
      <c r="N978" s="279"/>
      <c r="O978" s="279"/>
      <c r="P978" s="291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</row>
    <row r="979" spans="1:28" ht="15.75" customHeight="1" x14ac:dyDescent="0.25">
      <c r="A979" s="35"/>
      <c r="B979" s="246"/>
      <c r="C979" s="35"/>
      <c r="D979" s="35"/>
      <c r="E979" s="20"/>
      <c r="F979" s="20"/>
      <c r="G979" s="20"/>
      <c r="H979" s="257"/>
      <c r="I979" s="293"/>
      <c r="J979" s="293"/>
      <c r="K979" s="293"/>
      <c r="L979" s="293"/>
      <c r="M979" s="279"/>
      <c r="N979" s="279"/>
      <c r="O979" s="279"/>
      <c r="P979" s="291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</row>
    <row r="980" spans="1:28" ht="15.75" customHeight="1" x14ac:dyDescent="0.25">
      <c r="A980" s="35"/>
      <c r="B980" s="246"/>
      <c r="C980" s="35"/>
      <c r="D980" s="35"/>
      <c r="E980" s="20"/>
      <c r="F980" s="20"/>
      <c r="G980" s="20"/>
      <c r="H980" s="257"/>
      <c r="I980" s="293"/>
      <c r="J980" s="293"/>
      <c r="K980" s="293"/>
      <c r="L980" s="293"/>
      <c r="M980" s="279"/>
      <c r="N980" s="279"/>
      <c r="O980" s="279"/>
      <c r="P980" s="291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</row>
    <row r="981" spans="1:28" ht="15.75" customHeight="1" x14ac:dyDescent="0.25">
      <c r="A981" s="35"/>
      <c r="B981" s="246"/>
      <c r="C981" s="35"/>
      <c r="D981" s="35"/>
      <c r="E981" s="20"/>
      <c r="F981" s="20"/>
      <c r="G981" s="20"/>
      <c r="H981" s="257"/>
      <c r="I981" s="293"/>
      <c r="J981" s="293"/>
      <c r="K981" s="293"/>
      <c r="L981" s="293"/>
      <c r="M981" s="279"/>
      <c r="N981" s="279"/>
      <c r="O981" s="279"/>
      <c r="P981" s="291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</row>
    <row r="982" spans="1:28" ht="15.75" customHeight="1" x14ac:dyDescent="0.25">
      <c r="A982" s="35"/>
      <c r="B982" s="246"/>
      <c r="C982" s="35"/>
      <c r="D982" s="35"/>
      <c r="E982" s="20"/>
      <c r="F982" s="20"/>
      <c r="G982" s="20"/>
      <c r="H982" s="257"/>
      <c r="I982" s="293"/>
      <c r="J982" s="293"/>
      <c r="K982" s="293"/>
      <c r="L982" s="293"/>
      <c r="M982" s="279"/>
      <c r="N982" s="279"/>
      <c r="O982" s="279"/>
      <c r="P982" s="291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</row>
    <row r="983" spans="1:28" ht="15.75" customHeight="1" x14ac:dyDescent="0.25">
      <c r="A983" s="35"/>
      <c r="B983" s="246"/>
      <c r="C983" s="35"/>
      <c r="D983" s="35"/>
      <c r="E983" s="20"/>
      <c r="F983" s="20"/>
      <c r="G983" s="20"/>
      <c r="H983" s="257"/>
      <c r="I983" s="293"/>
      <c r="J983" s="293"/>
      <c r="K983" s="293"/>
      <c r="L983" s="293"/>
      <c r="M983" s="279"/>
      <c r="N983" s="279"/>
      <c r="O983" s="279"/>
      <c r="P983" s="291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</row>
    <row r="984" spans="1:28" ht="15.75" customHeight="1" x14ac:dyDescent="0.25">
      <c r="A984" s="35"/>
      <c r="B984" s="246"/>
      <c r="C984" s="35"/>
      <c r="D984" s="35"/>
      <c r="E984" s="20"/>
      <c r="F984" s="20"/>
      <c r="G984" s="20"/>
      <c r="H984" s="257"/>
      <c r="I984" s="293"/>
      <c r="J984" s="293"/>
      <c r="K984" s="293"/>
      <c r="L984" s="293"/>
      <c r="M984" s="279"/>
      <c r="N984" s="279"/>
      <c r="O984" s="279"/>
      <c r="P984" s="291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</row>
    <row r="985" spans="1:28" ht="15.75" customHeight="1" x14ac:dyDescent="0.25">
      <c r="A985" s="35"/>
      <c r="B985" s="246"/>
      <c r="C985" s="35"/>
      <c r="D985" s="35"/>
      <c r="E985" s="20"/>
      <c r="F985" s="20"/>
      <c r="G985" s="20"/>
      <c r="H985" s="257"/>
      <c r="I985" s="293"/>
      <c r="J985" s="293"/>
      <c r="K985" s="293"/>
      <c r="L985" s="293"/>
      <c r="M985" s="279"/>
      <c r="N985" s="279"/>
      <c r="O985" s="279"/>
      <c r="P985" s="291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</row>
    <row r="986" spans="1:28" ht="15.75" customHeight="1" x14ac:dyDescent="0.25">
      <c r="A986" s="35"/>
      <c r="B986" s="246"/>
      <c r="C986" s="35"/>
      <c r="D986" s="35"/>
      <c r="E986" s="20"/>
      <c r="F986" s="20"/>
      <c r="G986" s="20"/>
      <c r="H986" s="257"/>
      <c r="I986" s="293"/>
      <c r="J986" s="293"/>
      <c r="K986" s="293"/>
      <c r="L986" s="293"/>
      <c r="M986" s="279"/>
      <c r="N986" s="279"/>
      <c r="O986" s="279"/>
      <c r="P986" s="291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</row>
    <row r="987" spans="1:28" ht="15.75" customHeight="1" x14ac:dyDescent="0.25">
      <c r="A987" s="35"/>
      <c r="B987" s="246"/>
      <c r="C987" s="35"/>
      <c r="D987" s="35"/>
      <c r="E987" s="20"/>
      <c r="F987" s="20"/>
      <c r="G987" s="20"/>
      <c r="H987" s="257"/>
      <c r="I987" s="293"/>
      <c r="J987" s="293"/>
      <c r="K987" s="293"/>
      <c r="L987" s="293"/>
      <c r="M987" s="279"/>
      <c r="N987" s="279"/>
      <c r="O987" s="279"/>
      <c r="P987" s="291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</row>
    <row r="988" spans="1:28" ht="15.75" customHeight="1" x14ac:dyDescent="0.25">
      <c r="A988" s="35"/>
      <c r="B988" s="246"/>
      <c r="C988" s="35"/>
      <c r="D988" s="35"/>
      <c r="E988" s="20"/>
      <c r="F988" s="20"/>
      <c r="G988" s="20"/>
      <c r="H988" s="257"/>
      <c r="I988" s="293"/>
      <c r="J988" s="293"/>
      <c r="K988" s="293"/>
      <c r="L988" s="293"/>
      <c r="M988" s="279"/>
      <c r="N988" s="279"/>
      <c r="O988" s="279"/>
      <c r="P988" s="291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</row>
    <row r="989" spans="1:28" ht="15.75" customHeight="1" x14ac:dyDescent="0.25">
      <c r="A989" s="35"/>
      <c r="B989" s="246"/>
      <c r="C989" s="35"/>
      <c r="D989" s="35"/>
      <c r="E989" s="20"/>
      <c r="F989" s="20"/>
      <c r="G989" s="20"/>
      <c r="H989" s="257"/>
      <c r="I989" s="293"/>
      <c r="J989" s="293"/>
      <c r="K989" s="293"/>
      <c r="L989" s="293"/>
      <c r="M989" s="279"/>
      <c r="N989" s="279"/>
      <c r="O989" s="279"/>
      <c r="P989" s="291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</row>
    <row r="990" spans="1:28" ht="15.75" customHeight="1" x14ac:dyDescent="0.25">
      <c r="A990" s="35"/>
      <c r="B990" s="246"/>
      <c r="C990" s="35"/>
      <c r="D990" s="35"/>
      <c r="E990" s="20"/>
      <c r="F990" s="20"/>
      <c r="G990" s="20"/>
      <c r="H990" s="257"/>
      <c r="I990" s="293"/>
      <c r="J990" s="293"/>
      <c r="K990" s="293"/>
      <c r="L990" s="293"/>
      <c r="M990" s="279"/>
      <c r="N990" s="279"/>
      <c r="O990" s="279"/>
      <c r="P990" s="291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</row>
    <row r="991" spans="1:28" ht="15.75" customHeight="1" x14ac:dyDescent="0.25">
      <c r="A991" s="35"/>
      <c r="B991" s="246"/>
      <c r="C991" s="35"/>
      <c r="D991" s="35"/>
      <c r="E991" s="20"/>
      <c r="F991" s="20"/>
      <c r="G991" s="20"/>
      <c r="H991" s="257"/>
      <c r="I991" s="293"/>
      <c r="J991" s="293"/>
      <c r="K991" s="293"/>
      <c r="L991" s="293"/>
      <c r="M991" s="279"/>
      <c r="N991" s="279"/>
      <c r="O991" s="279"/>
      <c r="P991" s="291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</row>
    <row r="992" spans="1:28" ht="15.75" customHeight="1" x14ac:dyDescent="0.25">
      <c r="A992" s="35"/>
      <c r="B992" s="246"/>
      <c r="C992" s="35"/>
      <c r="D992" s="35"/>
      <c r="E992" s="20"/>
      <c r="F992" s="20"/>
      <c r="G992" s="20"/>
      <c r="H992" s="257"/>
      <c r="I992" s="293"/>
      <c r="J992" s="293"/>
      <c r="K992" s="293"/>
      <c r="L992" s="293"/>
      <c r="M992" s="279"/>
      <c r="N992" s="279"/>
      <c r="O992" s="279"/>
      <c r="P992" s="291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</row>
    <row r="993" spans="1:28" ht="15.75" customHeight="1" x14ac:dyDescent="0.25">
      <c r="A993" s="35"/>
      <c r="B993" s="246"/>
      <c r="C993" s="35"/>
      <c r="D993" s="35"/>
      <c r="E993" s="20"/>
      <c r="F993" s="20"/>
      <c r="G993" s="20"/>
      <c r="H993" s="257"/>
      <c r="I993" s="293"/>
      <c r="J993" s="293"/>
      <c r="K993" s="293"/>
      <c r="L993" s="293"/>
      <c r="M993" s="279"/>
      <c r="N993" s="279"/>
      <c r="O993" s="279"/>
      <c r="P993" s="291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</row>
    <row r="994" spans="1:28" ht="15.75" customHeight="1" x14ac:dyDescent="0.25">
      <c r="A994" s="35"/>
      <c r="B994" s="246"/>
      <c r="C994" s="35"/>
      <c r="D994" s="35"/>
      <c r="E994" s="20"/>
      <c r="F994" s="20"/>
      <c r="G994" s="20"/>
      <c r="H994" s="257"/>
      <c r="I994" s="293"/>
      <c r="J994" s="293"/>
      <c r="K994" s="293"/>
      <c r="L994" s="293"/>
      <c r="M994" s="279"/>
      <c r="N994" s="279"/>
      <c r="O994" s="279"/>
      <c r="P994" s="291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</row>
    <row r="995" spans="1:28" ht="15.75" customHeight="1" x14ac:dyDescent="0.25">
      <c r="A995" s="35"/>
      <c r="B995" s="246"/>
      <c r="C995" s="35"/>
      <c r="D995" s="35"/>
      <c r="E995" s="20"/>
      <c r="F995" s="20"/>
      <c r="G995" s="20"/>
      <c r="H995" s="257"/>
      <c r="I995" s="293"/>
      <c r="J995" s="293"/>
      <c r="K995" s="293"/>
      <c r="L995" s="293"/>
      <c r="M995" s="279"/>
      <c r="N995" s="279"/>
      <c r="O995" s="279"/>
      <c r="P995" s="291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</row>
    <row r="996" spans="1:28" ht="15.75" customHeight="1" x14ac:dyDescent="0.25">
      <c r="A996" s="35"/>
      <c r="B996" s="246"/>
      <c r="C996" s="35"/>
      <c r="D996" s="35"/>
      <c r="E996" s="20"/>
      <c r="F996" s="20"/>
      <c r="G996" s="20"/>
      <c r="H996" s="257"/>
      <c r="I996" s="293"/>
      <c r="J996" s="293"/>
      <c r="K996" s="293"/>
      <c r="L996" s="293"/>
      <c r="M996" s="279"/>
      <c r="N996" s="279"/>
      <c r="O996" s="279"/>
      <c r="P996" s="291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</row>
    <row r="997" spans="1:28" ht="15.75" customHeight="1" x14ac:dyDescent="0.25">
      <c r="A997" s="35"/>
      <c r="B997" s="246"/>
      <c r="C997" s="35"/>
      <c r="D997" s="35"/>
      <c r="E997" s="20"/>
      <c r="F997" s="20"/>
      <c r="G997" s="20"/>
      <c r="H997" s="257"/>
      <c r="I997" s="293"/>
      <c r="J997" s="293"/>
      <c r="K997" s="293"/>
      <c r="L997" s="293"/>
      <c r="M997" s="279"/>
      <c r="N997" s="279"/>
      <c r="O997" s="279"/>
      <c r="P997" s="291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</row>
    <row r="998" spans="1:28" ht="15.75" customHeight="1" x14ac:dyDescent="0.25">
      <c r="A998" s="35"/>
      <c r="B998" s="246"/>
      <c r="C998" s="35"/>
      <c r="D998" s="35"/>
      <c r="E998" s="20"/>
      <c r="F998" s="20"/>
      <c r="G998" s="20"/>
      <c r="H998" s="257"/>
      <c r="I998" s="293"/>
      <c r="J998" s="293"/>
      <c r="K998" s="293"/>
      <c r="L998" s="293"/>
      <c r="M998" s="279"/>
      <c r="N998" s="279"/>
      <c r="O998" s="279"/>
      <c r="P998" s="291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</row>
    <row r="999" spans="1:28" ht="15.75" customHeight="1" x14ac:dyDescent="0.25">
      <c r="A999" s="35"/>
      <c r="B999" s="246"/>
      <c r="C999" s="35"/>
      <c r="D999" s="35"/>
      <c r="E999" s="20"/>
      <c r="F999" s="20"/>
      <c r="G999" s="20"/>
      <c r="H999" s="257"/>
      <c r="I999" s="293"/>
      <c r="J999" s="293"/>
      <c r="K999" s="293"/>
      <c r="L999" s="293"/>
      <c r="M999" s="279"/>
      <c r="N999" s="279"/>
      <c r="O999" s="279"/>
      <c r="P999" s="291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</row>
    <row r="1000" spans="1:28" ht="15.75" customHeight="1" x14ac:dyDescent="0.25">
      <c r="A1000" s="35"/>
      <c r="B1000" s="246"/>
      <c r="C1000" s="35"/>
      <c r="D1000" s="35"/>
      <c r="E1000" s="20"/>
      <c r="F1000" s="20"/>
      <c r="G1000" s="20"/>
      <c r="H1000" s="257"/>
      <c r="I1000" s="293"/>
      <c r="J1000" s="293"/>
      <c r="K1000" s="293"/>
      <c r="L1000" s="293"/>
      <c r="M1000" s="279"/>
      <c r="N1000" s="279"/>
      <c r="O1000" s="279"/>
      <c r="P1000" s="291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</row>
    <row r="1001" spans="1:28" ht="15.75" customHeight="1" x14ac:dyDescent="0.25">
      <c r="A1001" s="35"/>
      <c r="B1001" s="246"/>
      <c r="C1001" s="35"/>
      <c r="D1001" s="35"/>
      <c r="E1001" s="20"/>
      <c r="F1001" s="20"/>
      <c r="G1001" s="20"/>
      <c r="H1001" s="257"/>
      <c r="I1001" s="293"/>
      <c r="J1001" s="293"/>
      <c r="K1001" s="293"/>
      <c r="L1001" s="293"/>
      <c r="M1001" s="279"/>
      <c r="N1001" s="279"/>
      <c r="O1001" s="279"/>
      <c r="P1001" s="291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  <c r="AA1001" s="20"/>
      <c r="AB1001" s="20"/>
    </row>
    <row r="1002" spans="1:28" ht="15.75" customHeight="1" x14ac:dyDescent="0.25">
      <c r="A1002" s="35"/>
      <c r="B1002" s="246"/>
      <c r="C1002" s="35"/>
      <c r="D1002" s="35"/>
      <c r="E1002" s="20"/>
      <c r="F1002" s="20"/>
      <c r="G1002" s="20"/>
      <c r="H1002" s="257"/>
      <c r="I1002" s="293"/>
      <c r="J1002" s="293"/>
      <c r="K1002" s="293"/>
      <c r="L1002" s="293"/>
      <c r="M1002" s="279"/>
      <c r="N1002" s="279"/>
      <c r="O1002" s="279"/>
      <c r="P1002" s="291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  <c r="AA1002" s="20"/>
      <c r="AB1002" s="20"/>
    </row>
    <row r="1003" spans="1:28" ht="15.75" customHeight="1" x14ac:dyDescent="0.25">
      <c r="A1003" s="35"/>
      <c r="B1003" s="246"/>
      <c r="C1003" s="35"/>
      <c r="D1003" s="35"/>
      <c r="E1003" s="20"/>
      <c r="F1003" s="20"/>
      <c r="G1003" s="20"/>
      <c r="H1003" s="257"/>
      <c r="I1003" s="293"/>
      <c r="J1003" s="293"/>
      <c r="K1003" s="293"/>
      <c r="L1003" s="293"/>
      <c r="M1003" s="279"/>
      <c r="N1003" s="279"/>
      <c r="O1003" s="279"/>
      <c r="P1003" s="291"/>
      <c r="Q1003" s="20"/>
      <c r="R1003" s="20"/>
      <c r="S1003" s="20"/>
      <c r="T1003" s="20"/>
      <c r="U1003" s="20"/>
      <c r="V1003" s="20"/>
      <c r="W1003" s="20"/>
      <c r="X1003" s="20"/>
      <c r="Y1003" s="20"/>
      <c r="Z1003" s="20"/>
      <c r="AA1003" s="20"/>
      <c r="AB1003" s="20"/>
    </row>
    <row r="1004" spans="1:28" ht="15.75" customHeight="1" x14ac:dyDescent="0.25">
      <c r="A1004" s="35"/>
      <c r="B1004" s="246"/>
      <c r="C1004" s="35"/>
      <c r="D1004" s="35"/>
      <c r="E1004" s="20"/>
      <c r="F1004" s="20"/>
      <c r="G1004" s="20"/>
      <c r="H1004" s="257"/>
      <c r="I1004" s="293"/>
      <c r="J1004" s="293"/>
      <c r="K1004" s="293"/>
      <c r="L1004" s="293"/>
      <c r="M1004" s="279"/>
      <c r="N1004" s="279"/>
      <c r="O1004" s="279"/>
      <c r="P1004" s="291"/>
      <c r="Q1004" s="20"/>
      <c r="R1004" s="20"/>
      <c r="S1004" s="20"/>
      <c r="T1004" s="20"/>
      <c r="U1004" s="20"/>
      <c r="V1004" s="20"/>
      <c r="W1004" s="20"/>
      <c r="X1004" s="20"/>
      <c r="Y1004" s="20"/>
      <c r="Z1004" s="20"/>
      <c r="AA1004" s="20"/>
      <c r="AB1004" s="20"/>
    </row>
    <row r="1005" spans="1:28" ht="15.75" customHeight="1" x14ac:dyDescent="0.25">
      <c r="A1005" s="35"/>
      <c r="B1005" s="246"/>
      <c r="C1005" s="35"/>
      <c r="D1005" s="35"/>
      <c r="E1005" s="20"/>
      <c r="F1005" s="20"/>
      <c r="G1005" s="20"/>
      <c r="H1005" s="257"/>
      <c r="I1005" s="293"/>
      <c r="J1005" s="293"/>
      <c r="K1005" s="293"/>
      <c r="L1005" s="293"/>
      <c r="M1005" s="279"/>
      <c r="N1005" s="279"/>
      <c r="O1005" s="279"/>
      <c r="P1005" s="291"/>
      <c r="Q1005" s="20"/>
      <c r="R1005" s="20"/>
      <c r="S1005" s="20"/>
      <c r="T1005" s="20"/>
      <c r="U1005" s="20"/>
      <c r="V1005" s="20"/>
      <c r="W1005" s="20"/>
      <c r="X1005" s="20"/>
      <c r="Y1005" s="20"/>
      <c r="Z1005" s="20"/>
      <c r="AA1005" s="20"/>
      <c r="AB1005" s="20"/>
    </row>
    <row r="1006" spans="1:28" ht="15.75" customHeight="1" x14ac:dyDescent="0.25">
      <c r="A1006" s="35"/>
      <c r="B1006" s="246"/>
      <c r="C1006" s="35"/>
      <c r="D1006" s="35"/>
      <c r="E1006" s="20"/>
      <c r="F1006" s="20"/>
      <c r="G1006" s="20"/>
      <c r="H1006" s="257"/>
      <c r="I1006" s="293"/>
      <c r="J1006" s="293"/>
      <c r="K1006" s="293"/>
      <c r="L1006" s="293"/>
      <c r="M1006" s="279"/>
      <c r="N1006" s="279"/>
      <c r="O1006" s="279"/>
      <c r="P1006" s="291"/>
      <c r="Q1006" s="20"/>
      <c r="R1006" s="20"/>
      <c r="S1006" s="20"/>
      <c r="T1006" s="20"/>
      <c r="U1006" s="20"/>
      <c r="V1006" s="20"/>
      <c r="W1006" s="20"/>
      <c r="X1006" s="20"/>
      <c r="Y1006" s="20"/>
      <c r="Z1006" s="20"/>
      <c r="AA1006" s="20"/>
      <c r="AB1006" s="20"/>
    </row>
    <row r="1007" spans="1:28" ht="15.75" customHeight="1" x14ac:dyDescent="0.25">
      <c r="A1007" s="35"/>
      <c r="B1007" s="246"/>
      <c r="C1007" s="35"/>
      <c r="D1007" s="35"/>
      <c r="E1007" s="20"/>
      <c r="F1007" s="20"/>
      <c r="G1007" s="20"/>
      <c r="H1007" s="257"/>
      <c r="I1007" s="293"/>
      <c r="J1007" s="293"/>
      <c r="K1007" s="293"/>
      <c r="L1007" s="293"/>
      <c r="M1007" s="279"/>
      <c r="N1007" s="279"/>
      <c r="O1007" s="279"/>
      <c r="P1007" s="291"/>
      <c r="Q1007" s="20"/>
      <c r="R1007" s="20"/>
      <c r="S1007" s="20"/>
      <c r="T1007" s="20"/>
      <c r="U1007" s="20"/>
      <c r="V1007" s="20"/>
      <c r="W1007" s="20"/>
      <c r="X1007" s="20"/>
      <c r="Y1007" s="20"/>
      <c r="Z1007" s="20"/>
      <c r="AA1007" s="20"/>
      <c r="AB1007" s="20"/>
    </row>
    <row r="1008" spans="1:28" ht="15.75" customHeight="1" x14ac:dyDescent="0.25">
      <c r="A1008" s="35"/>
      <c r="B1008" s="246"/>
      <c r="C1008" s="35"/>
      <c r="D1008" s="35"/>
      <c r="E1008" s="20"/>
      <c r="F1008" s="20"/>
      <c r="G1008" s="20"/>
      <c r="H1008" s="257"/>
      <c r="I1008" s="293"/>
      <c r="J1008" s="293"/>
      <c r="K1008" s="293"/>
      <c r="L1008" s="293"/>
      <c r="M1008" s="279"/>
      <c r="N1008" s="279"/>
      <c r="O1008" s="279"/>
      <c r="P1008" s="291"/>
      <c r="Q1008" s="20"/>
      <c r="R1008" s="20"/>
      <c r="S1008" s="20"/>
      <c r="T1008" s="20"/>
      <c r="U1008" s="20"/>
      <c r="V1008" s="20"/>
      <c r="W1008" s="20"/>
      <c r="X1008" s="20"/>
      <c r="Y1008" s="20"/>
      <c r="Z1008" s="20"/>
      <c r="AA1008" s="20"/>
      <c r="AB1008" s="20"/>
    </row>
    <row r="1009" spans="1:28" ht="15.75" customHeight="1" x14ac:dyDescent="0.25">
      <c r="A1009" s="35"/>
      <c r="B1009" s="246"/>
      <c r="C1009" s="35"/>
      <c r="D1009" s="35"/>
      <c r="E1009" s="20"/>
      <c r="F1009" s="20"/>
      <c r="G1009" s="20"/>
      <c r="H1009" s="257"/>
      <c r="I1009" s="293"/>
      <c r="J1009" s="293"/>
      <c r="K1009" s="293"/>
      <c r="L1009" s="293"/>
      <c r="M1009" s="279"/>
      <c r="N1009" s="279"/>
      <c r="O1009" s="279"/>
      <c r="P1009" s="291"/>
      <c r="Q1009" s="20"/>
      <c r="R1009" s="20"/>
      <c r="S1009" s="20"/>
      <c r="T1009" s="20"/>
      <c r="U1009" s="20"/>
      <c r="V1009" s="20"/>
      <c r="W1009" s="20"/>
      <c r="X1009" s="20"/>
      <c r="Y1009" s="20"/>
      <c r="Z1009" s="20"/>
      <c r="AA1009" s="20"/>
      <c r="AB1009" s="20"/>
    </row>
    <row r="1010" spans="1:28" ht="15.75" customHeight="1" x14ac:dyDescent="0.25">
      <c r="A1010" s="35"/>
      <c r="B1010" s="246"/>
      <c r="C1010" s="35"/>
      <c r="D1010" s="35"/>
      <c r="E1010" s="20"/>
      <c r="F1010" s="20"/>
      <c r="G1010" s="20"/>
      <c r="H1010" s="257"/>
      <c r="I1010" s="293"/>
      <c r="J1010" s="293"/>
      <c r="K1010" s="293"/>
      <c r="L1010" s="293"/>
      <c r="M1010" s="279"/>
      <c r="N1010" s="279"/>
      <c r="O1010" s="279"/>
      <c r="P1010" s="291"/>
      <c r="Q1010" s="20"/>
      <c r="R1010" s="20"/>
      <c r="S1010" s="20"/>
      <c r="T1010" s="20"/>
      <c r="U1010" s="20"/>
      <c r="V1010" s="20"/>
      <c r="W1010" s="20"/>
      <c r="X1010" s="20"/>
      <c r="Y1010" s="20"/>
      <c r="Z1010" s="20"/>
      <c r="AA1010" s="20"/>
      <c r="AB1010" s="20"/>
    </row>
    <row r="1011" spans="1:28" ht="15.75" customHeight="1" x14ac:dyDescent="0.25">
      <c r="A1011" s="35"/>
      <c r="B1011" s="246"/>
      <c r="C1011" s="35"/>
      <c r="D1011" s="35"/>
      <c r="E1011" s="20"/>
      <c r="F1011" s="20"/>
      <c r="G1011" s="20"/>
      <c r="H1011" s="257"/>
      <c r="I1011" s="293"/>
      <c r="J1011" s="293"/>
      <c r="K1011" s="293"/>
      <c r="L1011" s="293"/>
      <c r="M1011" s="279"/>
      <c r="N1011" s="279"/>
      <c r="O1011" s="279"/>
      <c r="P1011" s="291"/>
      <c r="Q1011" s="20"/>
      <c r="R1011" s="20"/>
      <c r="S1011" s="20"/>
      <c r="T1011" s="20"/>
      <c r="U1011" s="20"/>
      <c r="V1011" s="20"/>
      <c r="W1011" s="20"/>
      <c r="X1011" s="20"/>
      <c r="Y1011" s="20"/>
      <c r="Z1011" s="20"/>
      <c r="AA1011" s="20"/>
      <c r="AB1011" s="20"/>
    </row>
    <row r="1012" spans="1:28" ht="15.75" customHeight="1" x14ac:dyDescent="0.25">
      <c r="A1012" s="35"/>
      <c r="B1012" s="246"/>
      <c r="C1012" s="35"/>
      <c r="D1012" s="35"/>
      <c r="E1012" s="20"/>
      <c r="F1012" s="20"/>
      <c r="G1012" s="20"/>
      <c r="H1012" s="257"/>
      <c r="I1012" s="293"/>
      <c r="J1012" s="293"/>
      <c r="K1012" s="293"/>
      <c r="L1012" s="293"/>
      <c r="M1012" s="279"/>
      <c r="N1012" s="279"/>
      <c r="O1012" s="279"/>
      <c r="P1012" s="291"/>
      <c r="Q1012" s="20"/>
      <c r="R1012" s="20"/>
      <c r="S1012" s="20"/>
      <c r="T1012" s="20"/>
      <c r="U1012" s="20"/>
      <c r="V1012" s="20"/>
      <c r="W1012" s="20"/>
      <c r="X1012" s="20"/>
      <c r="Y1012" s="20"/>
      <c r="Z1012" s="20"/>
      <c r="AA1012" s="20"/>
      <c r="AB1012" s="20"/>
    </row>
    <row r="1013" spans="1:28" ht="15.75" customHeight="1" x14ac:dyDescent="0.25">
      <c r="A1013" s="35"/>
      <c r="B1013" s="246"/>
      <c r="C1013" s="35"/>
      <c r="D1013" s="35"/>
      <c r="E1013" s="20"/>
      <c r="F1013" s="20"/>
      <c r="G1013" s="20"/>
      <c r="H1013" s="257"/>
      <c r="I1013" s="293"/>
      <c r="J1013" s="293"/>
      <c r="K1013" s="293"/>
      <c r="L1013" s="293"/>
      <c r="M1013" s="279"/>
      <c r="N1013" s="279"/>
      <c r="O1013" s="279"/>
      <c r="P1013" s="291"/>
      <c r="Q1013" s="20"/>
      <c r="R1013" s="20"/>
      <c r="S1013" s="20"/>
      <c r="T1013" s="20"/>
      <c r="U1013" s="20"/>
      <c r="V1013" s="20"/>
      <c r="W1013" s="20"/>
      <c r="X1013" s="20"/>
      <c r="Y1013" s="20"/>
      <c r="Z1013" s="20"/>
      <c r="AA1013" s="20"/>
      <c r="AB1013" s="20"/>
    </row>
    <row r="1014" spans="1:28" ht="15.75" customHeight="1" x14ac:dyDescent="0.25">
      <c r="A1014" s="35"/>
      <c r="B1014" s="246"/>
      <c r="C1014" s="35"/>
      <c r="D1014" s="35"/>
      <c r="E1014" s="20"/>
      <c r="F1014" s="20"/>
      <c r="G1014" s="20"/>
      <c r="H1014" s="257"/>
      <c r="I1014" s="293"/>
      <c r="J1014" s="293"/>
      <c r="K1014" s="293"/>
      <c r="L1014" s="293"/>
      <c r="M1014" s="279"/>
      <c r="N1014" s="279"/>
      <c r="O1014" s="279"/>
      <c r="P1014" s="291"/>
      <c r="Q1014" s="20"/>
      <c r="R1014" s="20"/>
      <c r="S1014" s="20"/>
      <c r="T1014" s="20"/>
      <c r="U1014" s="20"/>
      <c r="V1014" s="20"/>
      <c r="W1014" s="20"/>
      <c r="X1014" s="20"/>
      <c r="Y1014" s="20"/>
      <c r="Z1014" s="20"/>
      <c r="AA1014" s="20"/>
      <c r="AB1014" s="20"/>
    </row>
    <row r="1015" spans="1:28" ht="15.75" customHeight="1" x14ac:dyDescent="0.25">
      <c r="A1015" s="35"/>
      <c r="B1015" s="246"/>
      <c r="C1015" s="35"/>
      <c r="D1015" s="35"/>
      <c r="E1015" s="20"/>
      <c r="F1015" s="20"/>
      <c r="G1015" s="20"/>
      <c r="H1015" s="257"/>
      <c r="I1015" s="293"/>
      <c r="J1015" s="293"/>
      <c r="K1015" s="293"/>
      <c r="L1015" s="293"/>
      <c r="M1015" s="279"/>
      <c r="N1015" s="279"/>
      <c r="O1015" s="279"/>
      <c r="P1015" s="291"/>
      <c r="Q1015" s="20"/>
      <c r="R1015" s="20"/>
      <c r="S1015" s="20"/>
      <c r="T1015" s="20"/>
      <c r="U1015" s="20"/>
      <c r="V1015" s="20"/>
      <c r="W1015" s="20"/>
      <c r="X1015" s="20"/>
      <c r="Y1015" s="20"/>
      <c r="Z1015" s="20"/>
      <c r="AA1015" s="20"/>
      <c r="AB1015" s="20"/>
    </row>
    <row r="1016" spans="1:28" ht="15.75" customHeight="1" x14ac:dyDescent="0.25">
      <c r="A1016" s="35"/>
      <c r="B1016" s="246"/>
      <c r="C1016" s="35"/>
      <c r="D1016" s="35"/>
      <c r="E1016" s="20"/>
      <c r="F1016" s="20"/>
      <c r="G1016" s="20"/>
      <c r="H1016" s="257"/>
      <c r="I1016" s="293"/>
      <c r="J1016" s="293"/>
      <c r="K1016" s="293"/>
      <c r="L1016" s="293"/>
      <c r="M1016" s="279"/>
      <c r="N1016" s="279"/>
      <c r="O1016" s="279"/>
      <c r="P1016" s="291"/>
      <c r="Q1016" s="20"/>
      <c r="R1016" s="20"/>
      <c r="S1016" s="20"/>
      <c r="T1016" s="20"/>
      <c r="U1016" s="20"/>
      <c r="V1016" s="20"/>
      <c r="W1016" s="20"/>
      <c r="X1016" s="20"/>
      <c r="Y1016" s="20"/>
      <c r="Z1016" s="20"/>
      <c r="AA1016" s="20"/>
      <c r="AB1016" s="20"/>
    </row>
    <row r="1017" spans="1:28" ht="15.75" customHeight="1" x14ac:dyDescent="0.25">
      <c r="A1017" s="35"/>
      <c r="B1017" s="246"/>
      <c r="C1017" s="35"/>
      <c r="D1017" s="35"/>
      <c r="E1017" s="20"/>
      <c r="F1017" s="20"/>
      <c r="G1017" s="20"/>
      <c r="H1017" s="257"/>
      <c r="I1017" s="293"/>
      <c r="J1017" s="293"/>
      <c r="K1017" s="293"/>
      <c r="L1017" s="293"/>
      <c r="M1017" s="279"/>
      <c r="N1017" s="279"/>
      <c r="O1017" s="279"/>
      <c r="P1017" s="291"/>
      <c r="Q1017" s="20"/>
      <c r="R1017" s="20"/>
      <c r="S1017" s="20"/>
      <c r="T1017" s="20"/>
      <c r="U1017" s="20"/>
      <c r="V1017" s="20"/>
      <c r="W1017" s="20"/>
      <c r="X1017" s="20"/>
      <c r="Y1017" s="20"/>
      <c r="Z1017" s="20"/>
      <c r="AA1017" s="20"/>
      <c r="AB1017" s="20"/>
    </row>
    <row r="1018" spans="1:28" ht="15.75" customHeight="1" x14ac:dyDescent="0.25">
      <c r="A1018" s="35"/>
      <c r="B1018" s="246"/>
      <c r="C1018" s="35"/>
      <c r="D1018" s="35"/>
      <c r="E1018" s="20"/>
      <c r="F1018" s="20"/>
      <c r="G1018" s="20"/>
      <c r="H1018" s="257"/>
      <c r="I1018" s="293"/>
      <c r="J1018" s="293"/>
      <c r="K1018" s="293"/>
      <c r="L1018" s="293"/>
      <c r="M1018" s="279"/>
      <c r="N1018" s="279"/>
      <c r="O1018" s="279"/>
      <c r="P1018" s="291"/>
      <c r="Q1018" s="20"/>
      <c r="R1018" s="20"/>
      <c r="S1018" s="20"/>
      <c r="T1018" s="20"/>
      <c r="U1018" s="20"/>
      <c r="V1018" s="20"/>
      <c r="W1018" s="20"/>
      <c r="X1018" s="20"/>
      <c r="Y1018" s="20"/>
      <c r="Z1018" s="20"/>
      <c r="AA1018" s="20"/>
      <c r="AB1018" s="20"/>
    </row>
    <row r="1019" spans="1:28" ht="15.75" customHeight="1" x14ac:dyDescent="0.25">
      <c r="A1019" s="35"/>
      <c r="B1019" s="246"/>
      <c r="C1019" s="35"/>
      <c r="D1019" s="35"/>
      <c r="E1019" s="20"/>
      <c r="F1019" s="20"/>
      <c r="G1019" s="20"/>
      <c r="H1019" s="257"/>
      <c r="I1019" s="293"/>
      <c r="J1019" s="293"/>
      <c r="K1019" s="293"/>
      <c r="L1019" s="293"/>
      <c r="M1019" s="279"/>
      <c r="N1019" s="279"/>
      <c r="O1019" s="279"/>
      <c r="P1019" s="291"/>
      <c r="Q1019" s="20"/>
      <c r="R1019" s="20"/>
      <c r="S1019" s="20"/>
      <c r="T1019" s="20"/>
      <c r="U1019" s="20"/>
      <c r="V1019" s="20"/>
      <c r="W1019" s="20"/>
      <c r="X1019" s="20"/>
      <c r="Y1019" s="20"/>
      <c r="Z1019" s="20"/>
      <c r="AA1019" s="20"/>
      <c r="AB1019" s="20"/>
    </row>
    <row r="1020" spans="1:28" ht="15.75" customHeight="1" x14ac:dyDescent="0.25">
      <c r="A1020" s="35"/>
      <c r="B1020" s="246"/>
      <c r="C1020" s="35"/>
      <c r="D1020" s="35"/>
      <c r="E1020" s="20"/>
      <c r="F1020" s="20"/>
      <c r="G1020" s="20"/>
      <c r="H1020" s="257"/>
      <c r="I1020" s="293"/>
      <c r="J1020" s="293"/>
      <c r="K1020" s="293"/>
      <c r="L1020" s="293"/>
      <c r="M1020" s="279"/>
      <c r="N1020" s="279"/>
      <c r="O1020" s="279"/>
      <c r="P1020" s="291"/>
      <c r="Q1020" s="20"/>
      <c r="R1020" s="20"/>
      <c r="S1020" s="20"/>
      <c r="T1020" s="20"/>
      <c r="U1020" s="20"/>
      <c r="V1020" s="20"/>
      <c r="W1020" s="20"/>
      <c r="X1020" s="20"/>
      <c r="Y1020" s="20"/>
      <c r="Z1020" s="20"/>
      <c r="AA1020" s="20"/>
      <c r="AB1020" s="20"/>
    </row>
    <row r="1021" spans="1:28" ht="15.75" customHeight="1" x14ac:dyDescent="0.25">
      <c r="A1021" s="35"/>
      <c r="B1021" s="246"/>
      <c r="C1021" s="35"/>
      <c r="D1021" s="35"/>
      <c r="E1021" s="20"/>
      <c r="F1021" s="20"/>
      <c r="G1021" s="20"/>
      <c r="H1021" s="257"/>
      <c r="I1021" s="293"/>
      <c r="J1021" s="293"/>
      <c r="K1021" s="293"/>
      <c r="L1021" s="293"/>
      <c r="M1021" s="279"/>
      <c r="N1021" s="279"/>
      <c r="O1021" s="279"/>
      <c r="P1021" s="291"/>
      <c r="Q1021" s="20"/>
      <c r="R1021" s="20"/>
      <c r="S1021" s="20"/>
      <c r="T1021" s="20"/>
      <c r="U1021" s="20"/>
      <c r="V1021" s="20"/>
      <c r="W1021" s="20"/>
      <c r="X1021" s="20"/>
      <c r="Y1021" s="20"/>
      <c r="Z1021" s="20"/>
      <c r="AA1021" s="20"/>
      <c r="AB1021" s="20"/>
    </row>
    <row r="1022" spans="1:28" ht="15.75" customHeight="1" x14ac:dyDescent="0.25">
      <c r="A1022" s="35"/>
      <c r="B1022" s="246"/>
      <c r="C1022" s="35"/>
      <c r="D1022" s="35"/>
      <c r="E1022" s="20"/>
      <c r="F1022" s="20"/>
      <c r="G1022" s="20"/>
      <c r="H1022" s="257"/>
      <c r="I1022" s="293"/>
      <c r="J1022" s="293"/>
      <c r="K1022" s="293"/>
      <c r="L1022" s="293"/>
      <c r="M1022" s="279"/>
      <c r="N1022" s="279"/>
      <c r="O1022" s="279"/>
      <c r="P1022" s="291"/>
      <c r="Q1022" s="20"/>
      <c r="R1022" s="20"/>
      <c r="S1022" s="20"/>
      <c r="T1022" s="20"/>
      <c r="U1022" s="20"/>
      <c r="V1022" s="20"/>
      <c r="W1022" s="20"/>
      <c r="X1022" s="20"/>
      <c r="Y1022" s="20"/>
      <c r="Z1022" s="20"/>
      <c r="AA1022" s="20"/>
      <c r="AB1022" s="20"/>
    </row>
    <row r="1023" spans="1:28" ht="15.75" customHeight="1" x14ac:dyDescent="0.25">
      <c r="A1023" s="35"/>
      <c r="B1023" s="246"/>
      <c r="C1023" s="35"/>
      <c r="D1023" s="35"/>
      <c r="E1023" s="20"/>
      <c r="F1023" s="20"/>
      <c r="G1023" s="20"/>
      <c r="H1023" s="257"/>
      <c r="I1023" s="293"/>
      <c r="J1023" s="293"/>
      <c r="K1023" s="293"/>
      <c r="L1023" s="293"/>
      <c r="M1023" s="279"/>
      <c r="N1023" s="279"/>
      <c r="O1023" s="279"/>
      <c r="P1023" s="291"/>
      <c r="Q1023" s="20"/>
      <c r="R1023" s="20"/>
      <c r="S1023" s="20"/>
      <c r="T1023" s="20"/>
      <c r="U1023" s="20"/>
      <c r="V1023" s="20"/>
      <c r="W1023" s="20"/>
      <c r="X1023" s="20"/>
      <c r="Y1023" s="20"/>
      <c r="Z1023" s="20"/>
      <c r="AA1023" s="20"/>
      <c r="AB1023" s="20"/>
    </row>
    <row r="1024" spans="1:28" ht="15.75" customHeight="1" x14ac:dyDescent="0.25">
      <c r="A1024" s="35"/>
      <c r="B1024" s="246"/>
      <c r="C1024" s="35"/>
      <c r="D1024" s="35"/>
      <c r="E1024" s="20"/>
      <c r="F1024" s="20"/>
      <c r="G1024" s="20"/>
      <c r="H1024" s="257"/>
      <c r="I1024" s="293"/>
      <c r="J1024" s="293"/>
      <c r="K1024" s="293"/>
      <c r="L1024" s="293"/>
      <c r="M1024" s="279"/>
      <c r="N1024" s="279"/>
      <c r="O1024" s="279"/>
      <c r="P1024" s="291"/>
      <c r="Q1024" s="20"/>
      <c r="R1024" s="20"/>
      <c r="S1024" s="20"/>
      <c r="T1024" s="20"/>
      <c r="U1024" s="20"/>
      <c r="V1024" s="20"/>
      <c r="W1024" s="20"/>
      <c r="X1024" s="20"/>
      <c r="Y1024" s="20"/>
      <c r="Z1024" s="20"/>
      <c r="AA1024" s="20"/>
      <c r="AB1024" s="20"/>
    </row>
    <row r="1025" spans="1:28" ht="15.75" customHeight="1" x14ac:dyDescent="0.25">
      <c r="A1025" s="35"/>
      <c r="B1025" s="246"/>
      <c r="C1025" s="35"/>
      <c r="D1025" s="35"/>
      <c r="E1025" s="20"/>
      <c r="F1025" s="20"/>
      <c r="G1025" s="20"/>
      <c r="H1025" s="257"/>
      <c r="I1025" s="293"/>
      <c r="J1025" s="293"/>
      <c r="K1025" s="293"/>
      <c r="L1025" s="293"/>
      <c r="M1025" s="279"/>
      <c r="N1025" s="279"/>
      <c r="O1025" s="279"/>
      <c r="P1025" s="291"/>
      <c r="Q1025" s="20"/>
      <c r="R1025" s="20"/>
      <c r="S1025" s="20"/>
      <c r="T1025" s="20"/>
      <c r="U1025" s="20"/>
      <c r="V1025" s="20"/>
      <c r="W1025" s="20"/>
      <c r="X1025" s="20"/>
      <c r="Y1025" s="20"/>
      <c r="Z1025" s="20"/>
      <c r="AA1025" s="20"/>
      <c r="AB1025" s="20"/>
    </row>
    <row r="1026" spans="1:28" ht="15.75" customHeight="1" x14ac:dyDescent="0.25">
      <c r="A1026" s="35"/>
      <c r="B1026" s="246"/>
      <c r="C1026" s="35"/>
      <c r="D1026" s="35"/>
      <c r="E1026" s="20"/>
      <c r="F1026" s="20"/>
      <c r="G1026" s="20"/>
      <c r="H1026" s="257"/>
      <c r="I1026" s="293"/>
      <c r="J1026" s="293"/>
      <c r="K1026" s="293"/>
      <c r="L1026" s="293"/>
      <c r="M1026" s="279"/>
      <c r="N1026" s="279"/>
      <c r="O1026" s="279"/>
      <c r="P1026" s="291"/>
      <c r="Q1026" s="20"/>
      <c r="R1026" s="20"/>
      <c r="S1026" s="20"/>
      <c r="T1026" s="20"/>
      <c r="U1026" s="20"/>
      <c r="V1026" s="20"/>
      <c r="W1026" s="20"/>
      <c r="X1026" s="20"/>
      <c r="Y1026" s="20"/>
      <c r="Z1026" s="20"/>
      <c r="AA1026" s="20"/>
      <c r="AB1026" s="20"/>
    </row>
    <row r="1027" spans="1:28" ht="15.75" customHeight="1" x14ac:dyDescent="0.25">
      <c r="A1027" s="35"/>
      <c r="B1027" s="246"/>
      <c r="C1027" s="35"/>
      <c r="D1027" s="35"/>
      <c r="E1027" s="20"/>
      <c r="F1027" s="20"/>
      <c r="G1027" s="20"/>
      <c r="H1027" s="257"/>
      <c r="I1027" s="293"/>
      <c r="J1027" s="293"/>
      <c r="K1027" s="293"/>
      <c r="L1027" s="293"/>
      <c r="M1027" s="279"/>
      <c r="N1027" s="279"/>
      <c r="O1027" s="279"/>
      <c r="P1027" s="291"/>
      <c r="Q1027" s="20"/>
      <c r="R1027" s="20"/>
      <c r="S1027" s="20"/>
      <c r="T1027" s="20"/>
      <c r="U1027" s="20"/>
      <c r="V1027" s="20"/>
      <c r="W1027" s="20"/>
      <c r="X1027" s="20"/>
      <c r="Y1027" s="20"/>
      <c r="Z1027" s="20"/>
      <c r="AA1027" s="20"/>
      <c r="AB1027" s="20"/>
    </row>
    <row r="1028" spans="1:28" ht="15.75" customHeight="1" x14ac:dyDescent="0.25">
      <c r="A1028" s="35"/>
      <c r="B1028" s="246"/>
      <c r="C1028" s="35"/>
      <c r="D1028" s="35"/>
      <c r="E1028" s="20"/>
      <c r="F1028" s="20"/>
      <c r="G1028" s="20"/>
      <c r="H1028" s="257"/>
      <c r="I1028" s="293"/>
      <c r="J1028" s="293"/>
      <c r="K1028" s="293"/>
      <c r="L1028" s="293"/>
      <c r="M1028" s="279"/>
      <c r="N1028" s="279"/>
      <c r="O1028" s="279"/>
      <c r="P1028" s="291"/>
      <c r="Q1028" s="20"/>
      <c r="R1028" s="20"/>
      <c r="S1028" s="20"/>
      <c r="T1028" s="20"/>
      <c r="U1028" s="20"/>
      <c r="V1028" s="20"/>
      <c r="W1028" s="20"/>
      <c r="X1028" s="20"/>
      <c r="Y1028" s="20"/>
      <c r="Z1028" s="20"/>
      <c r="AA1028" s="20"/>
      <c r="AB1028" s="20"/>
    </row>
    <row r="1029" spans="1:28" ht="15.75" customHeight="1" x14ac:dyDescent="0.25">
      <c r="A1029" s="35"/>
      <c r="B1029" s="246"/>
      <c r="C1029" s="35"/>
      <c r="D1029" s="35"/>
      <c r="E1029" s="20"/>
      <c r="F1029" s="20"/>
      <c r="G1029" s="20"/>
      <c r="H1029" s="257"/>
      <c r="I1029" s="293"/>
      <c r="J1029" s="293"/>
      <c r="K1029" s="293"/>
      <c r="L1029" s="293"/>
      <c r="M1029" s="279"/>
      <c r="N1029" s="279"/>
      <c r="O1029" s="279"/>
      <c r="P1029" s="291"/>
      <c r="Q1029" s="20"/>
      <c r="R1029" s="20"/>
      <c r="S1029" s="20"/>
      <c r="T1029" s="20"/>
      <c r="U1029" s="20"/>
      <c r="V1029" s="20"/>
      <c r="W1029" s="20"/>
      <c r="X1029" s="20"/>
      <c r="Y1029" s="20"/>
      <c r="Z1029" s="20"/>
      <c r="AA1029" s="20"/>
      <c r="AB1029" s="20"/>
    </row>
    <row r="1030" spans="1:28" ht="15.75" customHeight="1" x14ac:dyDescent="0.25">
      <c r="A1030" s="35"/>
      <c r="B1030" s="246"/>
      <c r="C1030" s="35"/>
      <c r="D1030" s="35"/>
      <c r="E1030" s="20"/>
      <c r="F1030" s="20"/>
      <c r="G1030" s="20"/>
      <c r="H1030" s="257"/>
      <c r="I1030" s="293"/>
      <c r="J1030" s="293"/>
      <c r="K1030" s="293"/>
      <c r="L1030" s="293"/>
      <c r="M1030" s="279"/>
      <c r="N1030" s="279"/>
      <c r="O1030" s="279"/>
      <c r="P1030" s="291"/>
      <c r="Q1030" s="20"/>
      <c r="R1030" s="20"/>
      <c r="S1030" s="20"/>
      <c r="T1030" s="20"/>
      <c r="U1030" s="20"/>
      <c r="V1030" s="20"/>
      <c r="W1030" s="20"/>
      <c r="X1030" s="20"/>
      <c r="Y1030" s="20"/>
      <c r="Z1030" s="20"/>
      <c r="AA1030" s="20"/>
      <c r="AB1030" s="20"/>
    </row>
    <row r="1031" spans="1:28" ht="15.75" customHeight="1" x14ac:dyDescent="0.25">
      <c r="A1031" s="35"/>
      <c r="B1031" s="246"/>
      <c r="C1031" s="35"/>
      <c r="D1031" s="35"/>
      <c r="E1031" s="20"/>
      <c r="F1031" s="20"/>
      <c r="G1031" s="20"/>
      <c r="H1031" s="257"/>
      <c r="I1031" s="293"/>
      <c r="J1031" s="293"/>
      <c r="K1031" s="293"/>
      <c r="L1031" s="293"/>
      <c r="M1031" s="279"/>
      <c r="N1031" s="279"/>
      <c r="O1031" s="279"/>
      <c r="P1031" s="291"/>
      <c r="Q1031" s="20"/>
      <c r="R1031" s="20"/>
      <c r="S1031" s="20"/>
      <c r="T1031" s="20"/>
      <c r="U1031" s="20"/>
      <c r="V1031" s="20"/>
      <c r="W1031" s="20"/>
      <c r="X1031" s="20"/>
      <c r="Y1031" s="20"/>
      <c r="Z1031" s="20"/>
      <c r="AA1031" s="20"/>
      <c r="AB1031" s="20"/>
    </row>
    <row r="1032" spans="1:28" ht="15.75" customHeight="1" x14ac:dyDescent="0.25">
      <c r="A1032" s="35"/>
      <c r="B1032" s="246"/>
      <c r="C1032" s="35"/>
      <c r="D1032" s="35"/>
      <c r="E1032" s="20"/>
      <c r="F1032" s="20"/>
      <c r="G1032" s="20"/>
      <c r="H1032" s="257"/>
      <c r="I1032" s="293"/>
      <c r="J1032" s="293"/>
      <c r="K1032" s="293"/>
      <c r="L1032" s="293"/>
      <c r="M1032" s="279"/>
      <c r="N1032" s="279"/>
      <c r="O1032" s="279"/>
      <c r="P1032" s="291"/>
      <c r="Q1032" s="20"/>
      <c r="R1032" s="20"/>
      <c r="S1032" s="20"/>
      <c r="T1032" s="20"/>
      <c r="U1032" s="20"/>
      <c r="V1032" s="20"/>
      <c r="W1032" s="20"/>
      <c r="X1032" s="20"/>
      <c r="Y1032" s="20"/>
      <c r="Z1032" s="20"/>
      <c r="AA1032" s="20"/>
      <c r="AB1032" s="20"/>
    </row>
    <row r="1033" spans="1:28" ht="15.75" customHeight="1" x14ac:dyDescent="0.25">
      <c r="A1033" s="35"/>
      <c r="B1033" s="246"/>
      <c r="C1033" s="35"/>
      <c r="D1033" s="35"/>
      <c r="E1033" s="20"/>
      <c r="F1033" s="20"/>
      <c r="G1033" s="20"/>
      <c r="H1033" s="257"/>
      <c r="I1033" s="293"/>
      <c r="J1033" s="293"/>
      <c r="K1033" s="293"/>
      <c r="L1033" s="293"/>
      <c r="M1033" s="279"/>
      <c r="N1033" s="279"/>
      <c r="O1033" s="279"/>
      <c r="P1033" s="291"/>
      <c r="Q1033" s="20"/>
      <c r="R1033" s="20"/>
      <c r="S1033" s="20"/>
      <c r="T1033" s="20"/>
      <c r="U1033" s="20"/>
      <c r="V1033" s="20"/>
      <c r="W1033" s="20"/>
      <c r="X1033" s="20"/>
      <c r="Y1033" s="20"/>
      <c r="Z1033" s="20"/>
      <c r="AA1033" s="20"/>
      <c r="AB1033" s="20"/>
    </row>
    <row r="1034" spans="1:28" ht="15.75" customHeight="1" x14ac:dyDescent="0.25">
      <c r="A1034" s="35"/>
      <c r="B1034" s="246"/>
      <c r="C1034" s="35"/>
      <c r="D1034" s="35"/>
      <c r="E1034" s="20"/>
      <c r="F1034" s="20"/>
      <c r="G1034" s="20"/>
      <c r="H1034" s="257"/>
      <c r="I1034" s="293"/>
      <c r="J1034" s="293"/>
      <c r="K1034" s="293"/>
      <c r="L1034" s="293"/>
      <c r="M1034" s="279"/>
      <c r="N1034" s="279"/>
      <c r="O1034" s="279"/>
      <c r="P1034" s="291"/>
      <c r="Q1034" s="20"/>
      <c r="R1034" s="20"/>
      <c r="S1034" s="20"/>
      <c r="T1034" s="20"/>
      <c r="U1034" s="20"/>
      <c r="V1034" s="20"/>
      <c r="W1034" s="20"/>
      <c r="X1034" s="20"/>
      <c r="Y1034" s="20"/>
      <c r="Z1034" s="20"/>
      <c r="AA1034" s="20"/>
      <c r="AB1034" s="20"/>
    </row>
    <row r="1035" spans="1:28" ht="15.75" customHeight="1" x14ac:dyDescent="0.25">
      <c r="A1035" s="35"/>
      <c r="B1035" s="246"/>
      <c r="C1035" s="35"/>
      <c r="D1035" s="35"/>
      <c r="E1035" s="20"/>
      <c r="F1035" s="20"/>
      <c r="G1035" s="20"/>
      <c r="H1035" s="257"/>
      <c r="I1035" s="293"/>
      <c r="J1035" s="293"/>
      <c r="K1035" s="293"/>
      <c r="L1035" s="293"/>
      <c r="M1035" s="279"/>
      <c r="N1035" s="279"/>
      <c r="O1035" s="279"/>
      <c r="P1035" s="291"/>
      <c r="Q1035" s="20"/>
      <c r="R1035" s="20"/>
      <c r="S1035" s="20"/>
      <c r="T1035" s="20"/>
      <c r="U1035" s="20"/>
      <c r="V1035" s="20"/>
      <c r="W1035" s="20"/>
      <c r="X1035" s="20"/>
      <c r="Y1035" s="20"/>
      <c r="Z1035" s="20"/>
      <c r="AA1035" s="20"/>
      <c r="AB1035" s="20"/>
    </row>
    <row r="1036" spans="1:28" ht="15.75" customHeight="1" x14ac:dyDescent="0.25">
      <c r="A1036" s="35"/>
      <c r="B1036" s="246"/>
      <c r="C1036" s="35"/>
      <c r="D1036" s="35"/>
      <c r="E1036" s="20"/>
      <c r="F1036" s="20"/>
      <c r="G1036" s="20"/>
      <c r="H1036" s="257"/>
      <c r="I1036" s="293"/>
      <c r="J1036" s="293"/>
      <c r="K1036" s="293"/>
      <c r="L1036" s="293"/>
      <c r="M1036" s="279"/>
      <c r="N1036" s="279"/>
      <c r="O1036" s="279"/>
      <c r="P1036" s="291"/>
      <c r="Q1036" s="20"/>
      <c r="R1036" s="20"/>
      <c r="S1036" s="20"/>
      <c r="T1036" s="20"/>
      <c r="U1036" s="20"/>
      <c r="V1036" s="20"/>
      <c r="W1036" s="20"/>
      <c r="X1036" s="20"/>
      <c r="Y1036" s="20"/>
      <c r="Z1036" s="20"/>
      <c r="AA1036" s="20"/>
      <c r="AB1036" s="20"/>
    </row>
    <row r="1037" spans="1:28" ht="15.75" customHeight="1" x14ac:dyDescent="0.25">
      <c r="A1037" s="35"/>
      <c r="B1037" s="246"/>
      <c r="C1037" s="35"/>
      <c r="D1037" s="35"/>
      <c r="E1037" s="20"/>
      <c r="F1037" s="20"/>
      <c r="G1037" s="20"/>
      <c r="H1037" s="257"/>
      <c r="I1037" s="293"/>
      <c r="J1037" s="293"/>
      <c r="K1037" s="293"/>
      <c r="L1037" s="293"/>
      <c r="M1037" s="279"/>
      <c r="N1037" s="279"/>
      <c r="O1037" s="279"/>
      <c r="P1037" s="291"/>
      <c r="Q1037" s="20"/>
      <c r="R1037" s="20"/>
      <c r="S1037" s="20"/>
      <c r="T1037" s="20"/>
      <c r="U1037" s="20"/>
      <c r="V1037" s="20"/>
      <c r="W1037" s="20"/>
      <c r="X1037" s="20"/>
      <c r="Y1037" s="20"/>
      <c r="Z1037" s="20"/>
      <c r="AA1037" s="20"/>
      <c r="AB1037" s="20"/>
    </row>
    <row r="1038" spans="1:28" ht="15.75" customHeight="1" x14ac:dyDescent="0.25">
      <c r="A1038" s="35"/>
      <c r="B1038" s="246"/>
      <c r="C1038" s="35"/>
      <c r="D1038" s="35"/>
      <c r="E1038" s="20"/>
      <c r="F1038" s="20"/>
      <c r="G1038" s="20"/>
      <c r="H1038" s="257"/>
      <c r="I1038" s="293"/>
      <c r="J1038" s="293"/>
      <c r="K1038" s="293"/>
      <c r="L1038" s="293"/>
      <c r="M1038" s="279"/>
      <c r="N1038" s="279"/>
      <c r="O1038" s="279"/>
      <c r="P1038" s="291"/>
      <c r="Q1038" s="20"/>
      <c r="R1038" s="20"/>
      <c r="S1038" s="20"/>
      <c r="T1038" s="20"/>
      <c r="U1038" s="20"/>
      <c r="V1038" s="20"/>
      <c r="W1038" s="20"/>
      <c r="X1038" s="20"/>
      <c r="Y1038" s="20"/>
      <c r="Z1038" s="20"/>
      <c r="AA1038" s="20"/>
      <c r="AB1038" s="20"/>
    </row>
    <row r="1039" spans="1:28" ht="15.75" customHeight="1" x14ac:dyDescent="0.25">
      <c r="A1039" s="35"/>
      <c r="B1039" s="246"/>
      <c r="C1039" s="35"/>
      <c r="D1039" s="35"/>
      <c r="E1039" s="20"/>
      <c r="F1039" s="20"/>
      <c r="G1039" s="20"/>
      <c r="H1039" s="257"/>
      <c r="I1039" s="293"/>
      <c r="J1039" s="293"/>
      <c r="K1039" s="293"/>
      <c r="L1039" s="293"/>
      <c r="M1039" s="279"/>
      <c r="N1039" s="279"/>
      <c r="O1039" s="279"/>
      <c r="P1039" s="291"/>
      <c r="Q1039" s="20"/>
      <c r="R1039" s="20"/>
      <c r="S1039" s="20"/>
      <c r="T1039" s="20"/>
      <c r="U1039" s="20"/>
      <c r="V1039" s="20"/>
      <c r="W1039" s="20"/>
      <c r="X1039" s="20"/>
      <c r="Y1039" s="20"/>
      <c r="Z1039" s="20"/>
      <c r="AA1039" s="20"/>
      <c r="AB1039" s="20"/>
    </row>
    <row r="1040" spans="1:28" ht="15.75" customHeight="1" x14ac:dyDescent="0.25">
      <c r="A1040" s="35"/>
      <c r="B1040" s="246"/>
      <c r="C1040" s="35"/>
      <c r="D1040" s="35"/>
      <c r="E1040" s="20"/>
      <c r="F1040" s="20"/>
      <c r="G1040" s="20"/>
      <c r="H1040" s="257"/>
      <c r="I1040" s="293"/>
      <c r="J1040" s="293"/>
      <c r="K1040" s="293"/>
      <c r="L1040" s="293"/>
      <c r="M1040" s="279"/>
      <c r="N1040" s="279"/>
      <c r="O1040" s="279"/>
      <c r="P1040" s="291"/>
      <c r="Q1040" s="20"/>
      <c r="R1040" s="20"/>
      <c r="S1040" s="20"/>
      <c r="T1040" s="20"/>
      <c r="U1040" s="20"/>
      <c r="V1040" s="20"/>
      <c r="W1040" s="20"/>
      <c r="X1040" s="20"/>
      <c r="Y1040" s="20"/>
      <c r="Z1040" s="20"/>
      <c r="AA1040" s="20"/>
      <c r="AB1040" s="20"/>
    </row>
    <row r="1041" spans="1:28" ht="15.75" customHeight="1" x14ac:dyDescent="0.25">
      <c r="A1041" s="35"/>
      <c r="B1041" s="246"/>
      <c r="C1041" s="35"/>
      <c r="D1041" s="35"/>
      <c r="E1041" s="20"/>
      <c r="F1041" s="20"/>
      <c r="G1041" s="20"/>
      <c r="H1041" s="257"/>
      <c r="I1041" s="293"/>
      <c r="J1041" s="293"/>
      <c r="K1041" s="293"/>
      <c r="L1041" s="293"/>
      <c r="M1041" s="279"/>
      <c r="N1041" s="279"/>
      <c r="O1041" s="279"/>
      <c r="P1041" s="291"/>
      <c r="Q1041" s="20"/>
      <c r="R1041" s="20"/>
      <c r="S1041" s="20"/>
      <c r="T1041" s="20"/>
      <c r="U1041" s="20"/>
      <c r="V1041" s="20"/>
      <c r="W1041" s="20"/>
      <c r="X1041" s="20"/>
      <c r="Y1041" s="20"/>
      <c r="Z1041" s="20"/>
      <c r="AA1041" s="20"/>
      <c r="AB1041" s="20"/>
    </row>
    <row r="1042" spans="1:28" ht="15.75" customHeight="1" x14ac:dyDescent="0.25">
      <c r="A1042" s="35"/>
      <c r="B1042" s="246"/>
      <c r="C1042" s="35"/>
      <c r="D1042" s="35"/>
      <c r="E1042" s="20"/>
      <c r="F1042" s="20"/>
      <c r="G1042" s="20"/>
      <c r="H1042" s="257"/>
      <c r="I1042" s="293"/>
      <c r="J1042" s="293"/>
      <c r="K1042" s="293"/>
      <c r="L1042" s="293"/>
      <c r="M1042" s="279"/>
      <c r="N1042" s="279"/>
      <c r="O1042" s="279"/>
      <c r="P1042" s="291"/>
      <c r="Q1042" s="20"/>
      <c r="R1042" s="20"/>
      <c r="S1042" s="20"/>
      <c r="T1042" s="20"/>
      <c r="U1042" s="20"/>
      <c r="V1042" s="20"/>
      <c r="W1042" s="20"/>
      <c r="X1042" s="20"/>
      <c r="Y1042" s="20"/>
      <c r="Z1042" s="20"/>
      <c r="AA1042" s="20"/>
      <c r="AB1042" s="20"/>
    </row>
    <row r="1043" spans="1:28" ht="15.75" customHeight="1" x14ac:dyDescent="0.25">
      <c r="A1043" s="35"/>
      <c r="B1043" s="246"/>
      <c r="C1043" s="35"/>
      <c r="D1043" s="35"/>
      <c r="E1043" s="20"/>
      <c r="F1043" s="20"/>
      <c r="G1043" s="20"/>
      <c r="H1043" s="257"/>
      <c r="I1043" s="293"/>
      <c r="J1043" s="293"/>
      <c r="K1043" s="293"/>
      <c r="L1043" s="293"/>
      <c r="M1043" s="279"/>
      <c r="N1043" s="279"/>
      <c r="O1043" s="279"/>
      <c r="P1043" s="291"/>
      <c r="Q1043" s="20"/>
      <c r="R1043" s="20"/>
      <c r="S1043" s="20"/>
      <c r="T1043" s="20"/>
      <c r="U1043" s="20"/>
      <c r="V1043" s="20"/>
      <c r="W1043" s="20"/>
      <c r="X1043" s="20"/>
      <c r="Y1043" s="20"/>
      <c r="Z1043" s="20"/>
      <c r="AA1043" s="20"/>
      <c r="AB1043" s="20"/>
    </row>
    <row r="1044" spans="1:28" ht="15.75" customHeight="1" x14ac:dyDescent="0.25">
      <c r="A1044" s="35"/>
      <c r="B1044" s="246"/>
      <c r="C1044" s="35"/>
      <c r="D1044" s="35"/>
      <c r="E1044" s="20"/>
      <c r="F1044" s="20"/>
      <c r="G1044" s="20"/>
      <c r="H1044" s="257"/>
      <c r="I1044" s="293"/>
      <c r="J1044" s="293"/>
      <c r="K1044" s="293"/>
      <c r="L1044" s="293"/>
      <c r="M1044" s="279"/>
      <c r="N1044" s="279"/>
      <c r="O1044" s="279"/>
      <c r="P1044" s="291"/>
      <c r="Q1044" s="20"/>
      <c r="R1044" s="20"/>
      <c r="S1044" s="20"/>
      <c r="T1044" s="20"/>
      <c r="U1044" s="20"/>
      <c r="V1044" s="20"/>
      <c r="W1044" s="20"/>
      <c r="X1044" s="20"/>
      <c r="Y1044" s="20"/>
      <c r="Z1044" s="20"/>
      <c r="AA1044" s="20"/>
      <c r="AB1044" s="20"/>
    </row>
    <row r="1045" spans="1:28" ht="15.75" customHeight="1" x14ac:dyDescent="0.25">
      <c r="A1045" s="35"/>
      <c r="B1045" s="246"/>
      <c r="C1045" s="35"/>
      <c r="D1045" s="35"/>
      <c r="E1045" s="20"/>
      <c r="F1045" s="20"/>
      <c r="G1045" s="20"/>
      <c r="H1045" s="257"/>
      <c r="I1045" s="293"/>
      <c r="J1045" s="293"/>
      <c r="K1045" s="293"/>
      <c r="L1045" s="293"/>
      <c r="M1045" s="279"/>
      <c r="N1045" s="279"/>
      <c r="O1045" s="279"/>
      <c r="P1045" s="291"/>
      <c r="Q1045" s="20"/>
      <c r="R1045" s="20"/>
      <c r="S1045" s="20"/>
      <c r="T1045" s="20"/>
      <c r="U1045" s="20"/>
      <c r="V1045" s="20"/>
      <c r="W1045" s="20"/>
      <c r="X1045" s="20"/>
      <c r="Y1045" s="20"/>
      <c r="Z1045" s="20"/>
      <c r="AA1045" s="20"/>
      <c r="AB1045" s="20"/>
    </row>
    <row r="1046" spans="1:28" ht="15.75" customHeight="1" x14ac:dyDescent="0.25">
      <c r="A1046" s="35"/>
      <c r="B1046" s="246"/>
      <c r="C1046" s="35"/>
      <c r="D1046" s="35"/>
      <c r="E1046" s="20"/>
      <c r="F1046" s="20"/>
      <c r="G1046" s="20"/>
      <c r="H1046" s="257"/>
      <c r="I1046" s="293"/>
      <c r="J1046" s="293"/>
      <c r="K1046" s="293"/>
      <c r="L1046" s="293"/>
      <c r="M1046" s="279"/>
      <c r="N1046" s="279"/>
      <c r="O1046" s="279"/>
      <c r="P1046" s="291"/>
      <c r="Q1046" s="20"/>
      <c r="R1046" s="20"/>
      <c r="S1046" s="20"/>
      <c r="T1046" s="20"/>
      <c r="U1046" s="20"/>
      <c r="V1046" s="20"/>
      <c r="W1046" s="20"/>
      <c r="X1046" s="20"/>
      <c r="Y1046" s="20"/>
      <c r="Z1046" s="20"/>
      <c r="AA1046" s="20"/>
      <c r="AB1046" s="20"/>
    </row>
    <row r="1047" spans="1:28" ht="15.75" customHeight="1" x14ac:dyDescent="0.25">
      <c r="A1047" s="35"/>
      <c r="B1047" s="246"/>
      <c r="C1047" s="35"/>
      <c r="D1047" s="35"/>
      <c r="E1047" s="20"/>
      <c r="F1047" s="20"/>
      <c r="G1047" s="20"/>
      <c r="H1047" s="257"/>
      <c r="I1047" s="293"/>
      <c r="J1047" s="293"/>
      <c r="K1047" s="293"/>
      <c r="L1047" s="293"/>
      <c r="M1047" s="279"/>
      <c r="N1047" s="279"/>
      <c r="O1047" s="279"/>
      <c r="P1047" s="291"/>
      <c r="Q1047" s="20"/>
      <c r="R1047" s="20"/>
      <c r="S1047" s="20"/>
      <c r="T1047" s="20"/>
      <c r="U1047" s="20"/>
      <c r="V1047" s="20"/>
      <c r="W1047" s="20"/>
      <c r="X1047" s="20"/>
      <c r="Y1047" s="20"/>
      <c r="Z1047" s="20"/>
      <c r="AA1047" s="20"/>
      <c r="AB1047" s="20"/>
    </row>
    <row r="1048" spans="1:28" ht="15.75" customHeight="1" x14ac:dyDescent="0.25">
      <c r="A1048" s="35"/>
      <c r="B1048" s="246"/>
      <c r="C1048" s="35"/>
      <c r="D1048" s="35"/>
      <c r="E1048" s="20"/>
      <c r="F1048" s="20"/>
      <c r="G1048" s="20"/>
      <c r="H1048" s="257"/>
      <c r="I1048" s="293"/>
      <c r="J1048" s="293"/>
      <c r="K1048" s="293"/>
      <c r="L1048" s="293"/>
      <c r="M1048" s="279"/>
      <c r="N1048" s="279"/>
      <c r="O1048" s="279"/>
      <c r="P1048" s="291"/>
      <c r="Q1048" s="20"/>
      <c r="R1048" s="20"/>
      <c r="S1048" s="20"/>
      <c r="T1048" s="20"/>
      <c r="U1048" s="20"/>
      <c r="V1048" s="20"/>
      <c r="W1048" s="20"/>
      <c r="X1048" s="20"/>
      <c r="Y1048" s="20"/>
      <c r="Z1048" s="20"/>
      <c r="AA1048" s="20"/>
      <c r="AB1048" s="20"/>
    </row>
    <row r="1049" spans="1:28" ht="15.75" customHeight="1" x14ac:dyDescent="0.25">
      <c r="A1049" s="35"/>
      <c r="B1049" s="246"/>
      <c r="C1049" s="35"/>
      <c r="D1049" s="35"/>
      <c r="E1049" s="20"/>
      <c r="F1049" s="20"/>
      <c r="G1049" s="20"/>
      <c r="H1049" s="257"/>
      <c r="I1049" s="293"/>
      <c r="J1049" s="293"/>
      <c r="K1049" s="293"/>
      <c r="L1049" s="293"/>
      <c r="M1049" s="279"/>
      <c r="N1049" s="279"/>
      <c r="O1049" s="279"/>
      <c r="P1049" s="291"/>
      <c r="Q1049" s="20"/>
      <c r="R1049" s="20"/>
      <c r="S1049" s="20"/>
      <c r="T1049" s="20"/>
      <c r="U1049" s="20"/>
      <c r="V1049" s="20"/>
      <c r="W1049" s="20"/>
      <c r="X1049" s="20"/>
      <c r="Y1049" s="20"/>
      <c r="Z1049" s="20"/>
      <c r="AA1049" s="20"/>
      <c r="AB1049" s="20"/>
    </row>
    <row r="1050" spans="1:28" ht="15.75" customHeight="1" x14ac:dyDescent="0.25">
      <c r="A1050" s="35"/>
      <c r="B1050" s="246"/>
      <c r="C1050" s="35"/>
      <c r="D1050" s="35"/>
      <c r="E1050" s="20"/>
      <c r="F1050" s="20"/>
      <c r="G1050" s="20"/>
      <c r="H1050" s="257"/>
      <c r="I1050" s="293"/>
      <c r="J1050" s="293"/>
      <c r="K1050" s="293"/>
      <c r="L1050" s="293"/>
      <c r="M1050" s="279"/>
      <c r="N1050" s="279"/>
      <c r="O1050" s="279"/>
      <c r="P1050" s="291"/>
      <c r="Q1050" s="20"/>
      <c r="R1050" s="20"/>
      <c r="S1050" s="20"/>
      <c r="T1050" s="20"/>
      <c r="U1050" s="20"/>
      <c r="V1050" s="20"/>
      <c r="W1050" s="20"/>
      <c r="X1050" s="20"/>
      <c r="Y1050" s="20"/>
      <c r="Z1050" s="20"/>
      <c r="AA1050" s="20"/>
      <c r="AB1050" s="20"/>
    </row>
    <row r="1051" spans="1:28" ht="15.75" customHeight="1" x14ac:dyDescent="0.25">
      <c r="A1051" s="35"/>
      <c r="B1051" s="246"/>
      <c r="C1051" s="35"/>
      <c r="D1051" s="35"/>
      <c r="E1051" s="20"/>
      <c r="F1051" s="20"/>
      <c r="G1051" s="20"/>
      <c r="H1051" s="257"/>
      <c r="I1051" s="293"/>
      <c r="J1051" s="293"/>
      <c r="K1051" s="293"/>
      <c r="L1051" s="293"/>
      <c r="M1051" s="279"/>
      <c r="N1051" s="279"/>
      <c r="O1051" s="279"/>
      <c r="P1051" s="291"/>
      <c r="Q1051" s="20"/>
      <c r="R1051" s="20"/>
      <c r="S1051" s="20"/>
      <c r="T1051" s="20"/>
      <c r="U1051" s="20"/>
      <c r="V1051" s="20"/>
      <c r="W1051" s="20"/>
      <c r="X1051" s="20"/>
      <c r="Y1051" s="20"/>
      <c r="Z1051" s="20"/>
      <c r="AA1051" s="20"/>
      <c r="AB1051" s="20"/>
    </row>
    <row r="1052" spans="1:28" ht="15.75" customHeight="1" x14ac:dyDescent="0.25">
      <c r="A1052" s="35"/>
      <c r="B1052" s="246"/>
      <c r="C1052" s="35"/>
      <c r="D1052" s="35"/>
      <c r="E1052" s="20"/>
      <c r="F1052" s="20"/>
      <c r="G1052" s="20"/>
      <c r="H1052" s="257"/>
      <c r="I1052" s="293"/>
      <c r="J1052" s="293"/>
      <c r="K1052" s="293"/>
      <c r="L1052" s="293"/>
      <c r="M1052" s="279"/>
      <c r="N1052" s="279"/>
      <c r="O1052" s="279"/>
      <c r="P1052" s="291"/>
      <c r="Q1052" s="20"/>
      <c r="R1052" s="20"/>
      <c r="S1052" s="20"/>
      <c r="T1052" s="20"/>
      <c r="U1052" s="20"/>
      <c r="V1052" s="20"/>
      <c r="W1052" s="20"/>
      <c r="X1052" s="20"/>
      <c r="Y1052" s="20"/>
      <c r="Z1052" s="20"/>
      <c r="AA1052" s="20"/>
      <c r="AB1052" s="20"/>
    </row>
    <row r="1053" spans="1:28" ht="15.75" customHeight="1" x14ac:dyDescent="0.25">
      <c r="A1053" s="35"/>
      <c r="B1053" s="246"/>
      <c r="C1053" s="35"/>
      <c r="D1053" s="35"/>
      <c r="E1053" s="20"/>
      <c r="F1053" s="20"/>
      <c r="G1053" s="20"/>
      <c r="H1053" s="257"/>
      <c r="I1053" s="293"/>
      <c r="J1053" s="293"/>
      <c r="K1053" s="293"/>
      <c r="L1053" s="293"/>
      <c r="M1053" s="279"/>
      <c r="N1053" s="279"/>
      <c r="O1053" s="279"/>
      <c r="P1053" s="291"/>
      <c r="Q1053" s="20"/>
      <c r="R1053" s="20"/>
      <c r="S1053" s="20"/>
      <c r="T1053" s="20"/>
      <c r="U1053" s="20"/>
      <c r="V1053" s="20"/>
      <c r="W1053" s="20"/>
      <c r="X1053" s="20"/>
      <c r="Y1053" s="20"/>
      <c r="Z1053" s="20"/>
      <c r="AA1053" s="20"/>
      <c r="AB1053" s="20"/>
    </row>
    <row r="1054" spans="1:28" ht="15.75" customHeight="1" x14ac:dyDescent="0.25">
      <c r="A1054" s="35"/>
      <c r="B1054" s="246"/>
      <c r="C1054" s="35"/>
      <c r="D1054" s="35"/>
      <c r="E1054" s="20"/>
      <c r="F1054" s="20"/>
      <c r="G1054" s="20"/>
      <c r="H1054" s="257"/>
      <c r="I1054" s="293"/>
      <c r="J1054" s="293"/>
      <c r="K1054" s="293"/>
      <c r="L1054" s="293"/>
      <c r="M1054" s="279"/>
      <c r="N1054" s="279"/>
      <c r="O1054" s="279"/>
      <c r="P1054" s="291"/>
      <c r="Q1054" s="20"/>
      <c r="R1054" s="20"/>
      <c r="S1054" s="20"/>
      <c r="T1054" s="20"/>
      <c r="U1054" s="20"/>
      <c r="V1054" s="20"/>
      <c r="W1054" s="20"/>
      <c r="X1054" s="20"/>
      <c r="Y1054" s="20"/>
      <c r="Z1054" s="20"/>
      <c r="AA1054" s="20"/>
      <c r="AB1054" s="20"/>
    </row>
    <row r="1055" spans="1:28" ht="15.75" customHeight="1" x14ac:dyDescent="0.25">
      <c r="A1055" s="35"/>
      <c r="B1055" s="246"/>
      <c r="C1055" s="35"/>
      <c r="D1055" s="35"/>
      <c r="E1055" s="20"/>
      <c r="F1055" s="20"/>
      <c r="G1055" s="20"/>
      <c r="H1055" s="257"/>
      <c r="I1055" s="293"/>
      <c r="J1055" s="293"/>
      <c r="K1055" s="293"/>
      <c r="L1055" s="293"/>
      <c r="M1055" s="279"/>
      <c r="N1055" s="279"/>
      <c r="O1055" s="279"/>
      <c r="P1055" s="291"/>
      <c r="Q1055" s="20"/>
      <c r="R1055" s="20"/>
      <c r="S1055" s="20"/>
      <c r="T1055" s="20"/>
      <c r="U1055" s="20"/>
      <c r="V1055" s="20"/>
      <c r="W1055" s="20"/>
      <c r="X1055" s="20"/>
      <c r="Y1055" s="20"/>
      <c r="Z1055" s="20"/>
      <c r="AA1055" s="20"/>
      <c r="AB1055" s="20"/>
    </row>
    <row r="1056" spans="1:28" ht="15.75" customHeight="1" x14ac:dyDescent="0.25">
      <c r="A1056" s="35"/>
      <c r="B1056" s="246"/>
      <c r="C1056" s="35"/>
      <c r="D1056" s="35"/>
      <c r="E1056" s="20"/>
      <c r="F1056" s="20"/>
      <c r="G1056" s="20"/>
      <c r="H1056" s="257"/>
      <c r="I1056" s="293"/>
      <c r="J1056" s="293"/>
      <c r="K1056" s="293"/>
      <c r="L1056" s="293"/>
      <c r="M1056" s="279"/>
      <c r="N1056" s="279"/>
      <c r="O1056" s="279"/>
      <c r="P1056" s="291"/>
      <c r="Q1056" s="20"/>
      <c r="R1056" s="20"/>
      <c r="S1056" s="20"/>
      <c r="T1056" s="20"/>
      <c r="U1056" s="20"/>
      <c r="V1056" s="20"/>
      <c r="W1056" s="20"/>
      <c r="X1056" s="20"/>
      <c r="Y1056" s="20"/>
      <c r="Z1056" s="20"/>
      <c r="AA1056" s="20"/>
      <c r="AB1056" s="20"/>
    </row>
    <row r="1057" spans="1:28" ht="15.75" customHeight="1" x14ac:dyDescent="0.25">
      <c r="A1057" s="35"/>
      <c r="B1057" s="246"/>
      <c r="C1057" s="35"/>
      <c r="D1057" s="35"/>
      <c r="E1057" s="20"/>
      <c r="F1057" s="20"/>
      <c r="G1057" s="20"/>
      <c r="H1057" s="257"/>
      <c r="I1057" s="293"/>
      <c r="J1057" s="293"/>
      <c r="K1057" s="293"/>
      <c r="L1057" s="293"/>
      <c r="M1057" s="279"/>
      <c r="N1057" s="279"/>
      <c r="O1057" s="279"/>
      <c r="P1057" s="291"/>
      <c r="Q1057" s="20"/>
      <c r="R1057" s="20"/>
      <c r="S1057" s="20"/>
      <c r="T1057" s="20"/>
      <c r="U1057" s="20"/>
      <c r="V1057" s="20"/>
      <c r="W1057" s="20"/>
      <c r="X1057" s="20"/>
      <c r="Y1057" s="20"/>
      <c r="Z1057" s="20"/>
      <c r="AA1057" s="20"/>
      <c r="AB1057" s="20"/>
    </row>
    <row r="1058" spans="1:28" ht="15.75" customHeight="1" x14ac:dyDescent="0.25">
      <c r="A1058" s="35"/>
      <c r="B1058" s="246"/>
      <c r="C1058" s="35"/>
      <c r="D1058" s="35"/>
      <c r="E1058" s="20"/>
      <c r="F1058" s="20"/>
      <c r="G1058" s="20"/>
      <c r="H1058" s="257"/>
      <c r="I1058" s="293"/>
      <c r="J1058" s="293"/>
      <c r="K1058" s="293"/>
      <c r="L1058" s="293"/>
      <c r="M1058" s="279"/>
      <c r="N1058" s="279"/>
      <c r="O1058" s="279"/>
      <c r="P1058" s="291"/>
      <c r="Q1058" s="20"/>
      <c r="R1058" s="20"/>
      <c r="S1058" s="20"/>
      <c r="T1058" s="20"/>
      <c r="U1058" s="20"/>
      <c r="V1058" s="20"/>
      <c r="W1058" s="20"/>
      <c r="X1058" s="20"/>
      <c r="Y1058" s="20"/>
      <c r="Z1058" s="20"/>
      <c r="AA1058" s="20"/>
      <c r="AB1058" s="20"/>
    </row>
    <row r="1059" spans="1:28" ht="15.75" customHeight="1" x14ac:dyDescent="0.25">
      <c r="A1059" s="35"/>
      <c r="B1059" s="246"/>
      <c r="C1059" s="35"/>
      <c r="D1059" s="35"/>
      <c r="E1059" s="20"/>
      <c r="F1059" s="20"/>
      <c r="G1059" s="20"/>
      <c r="H1059" s="257"/>
      <c r="I1059" s="293"/>
      <c r="J1059" s="293"/>
      <c r="K1059" s="293"/>
      <c r="L1059" s="293"/>
      <c r="M1059" s="279"/>
      <c r="N1059" s="279"/>
      <c r="O1059" s="279"/>
      <c r="P1059" s="291"/>
      <c r="Q1059" s="20"/>
      <c r="R1059" s="20"/>
      <c r="S1059" s="20"/>
      <c r="T1059" s="20"/>
      <c r="U1059" s="20"/>
      <c r="V1059" s="20"/>
      <c r="W1059" s="20"/>
      <c r="X1059" s="20"/>
      <c r="Y1059" s="20"/>
      <c r="Z1059" s="20"/>
      <c r="AA1059" s="20"/>
      <c r="AB1059" s="20"/>
    </row>
    <row r="1060" spans="1:28" ht="15.75" customHeight="1" x14ac:dyDescent="0.25">
      <c r="A1060" s="35"/>
      <c r="B1060" s="246"/>
      <c r="C1060" s="35"/>
      <c r="D1060" s="35"/>
      <c r="E1060" s="20"/>
      <c r="F1060" s="20"/>
      <c r="G1060" s="20"/>
      <c r="H1060" s="257"/>
      <c r="I1060" s="293"/>
      <c r="J1060" s="293"/>
      <c r="K1060" s="293"/>
      <c r="L1060" s="293"/>
      <c r="M1060" s="279"/>
      <c r="N1060" s="279"/>
      <c r="O1060" s="279"/>
      <c r="P1060" s="291"/>
      <c r="Q1060" s="20"/>
      <c r="R1060" s="20"/>
      <c r="S1060" s="20"/>
      <c r="T1060" s="20"/>
      <c r="U1060" s="20"/>
      <c r="V1060" s="20"/>
      <c r="W1060" s="20"/>
      <c r="X1060" s="20"/>
      <c r="Y1060" s="20"/>
      <c r="Z1060" s="20"/>
      <c r="AA1060" s="20"/>
      <c r="AB1060" s="20"/>
    </row>
    <row r="1061" spans="1:28" ht="15.75" customHeight="1" x14ac:dyDescent="0.25">
      <c r="A1061" s="35"/>
      <c r="B1061" s="246"/>
      <c r="C1061" s="35"/>
      <c r="D1061" s="35"/>
      <c r="E1061" s="20"/>
      <c r="F1061" s="20"/>
      <c r="G1061" s="20"/>
      <c r="H1061" s="257"/>
      <c r="I1061" s="293"/>
      <c r="J1061" s="293"/>
      <c r="K1061" s="293"/>
      <c r="L1061" s="293"/>
      <c r="M1061" s="279"/>
      <c r="N1061" s="279"/>
      <c r="O1061" s="279"/>
      <c r="P1061" s="291"/>
      <c r="Q1061" s="20"/>
      <c r="R1061" s="20"/>
      <c r="S1061" s="20"/>
      <c r="T1061" s="20"/>
      <c r="U1061" s="20"/>
      <c r="V1061" s="20"/>
      <c r="W1061" s="20"/>
      <c r="X1061" s="20"/>
      <c r="Y1061" s="20"/>
      <c r="Z1061" s="20"/>
      <c r="AA1061" s="20"/>
      <c r="AB1061" s="20"/>
    </row>
    <row r="1062" spans="1:28" ht="15.75" customHeight="1" x14ac:dyDescent="0.25">
      <c r="A1062" s="35"/>
      <c r="B1062" s="246"/>
      <c r="C1062" s="35"/>
      <c r="D1062" s="35"/>
      <c r="E1062" s="20"/>
      <c r="F1062" s="20"/>
      <c r="G1062" s="20"/>
      <c r="H1062" s="257"/>
      <c r="I1062" s="293"/>
      <c r="J1062" s="293"/>
      <c r="K1062" s="293"/>
      <c r="L1062" s="293"/>
      <c r="M1062" s="279"/>
      <c r="N1062" s="279"/>
      <c r="O1062" s="279"/>
      <c r="P1062" s="291"/>
      <c r="Q1062" s="20"/>
      <c r="R1062" s="20"/>
      <c r="S1062" s="20"/>
      <c r="T1062" s="20"/>
      <c r="U1062" s="20"/>
      <c r="V1062" s="20"/>
      <c r="W1062" s="20"/>
      <c r="X1062" s="20"/>
      <c r="Y1062" s="20"/>
      <c r="Z1062" s="20"/>
      <c r="AA1062" s="20"/>
      <c r="AB1062" s="20"/>
    </row>
    <row r="1063" spans="1:28" ht="15.75" customHeight="1" x14ac:dyDescent="0.25">
      <c r="A1063" s="35"/>
      <c r="B1063" s="246"/>
      <c r="C1063" s="35"/>
      <c r="D1063" s="35"/>
      <c r="E1063" s="20"/>
      <c r="F1063" s="20"/>
      <c r="G1063" s="20"/>
      <c r="H1063" s="257"/>
      <c r="I1063" s="293"/>
      <c r="J1063" s="293"/>
      <c r="K1063" s="293"/>
      <c r="L1063" s="293"/>
      <c r="M1063" s="279"/>
      <c r="N1063" s="279"/>
      <c r="O1063" s="279"/>
      <c r="P1063" s="291"/>
      <c r="Q1063" s="20"/>
      <c r="R1063" s="20"/>
      <c r="S1063" s="20"/>
      <c r="T1063" s="20"/>
      <c r="U1063" s="20"/>
      <c r="V1063" s="20"/>
      <c r="W1063" s="20"/>
      <c r="X1063" s="20"/>
      <c r="Y1063" s="20"/>
      <c r="Z1063" s="20"/>
      <c r="AA1063" s="20"/>
      <c r="AB1063" s="20"/>
    </row>
    <row r="1064" spans="1:28" ht="15.75" customHeight="1" x14ac:dyDescent="0.25">
      <c r="A1064" s="35"/>
      <c r="B1064" s="246"/>
      <c r="C1064" s="35"/>
      <c r="D1064" s="35"/>
      <c r="E1064" s="20"/>
      <c r="F1064" s="20"/>
      <c r="G1064" s="20"/>
      <c r="H1064" s="257"/>
      <c r="I1064" s="293"/>
      <c r="J1064" s="293"/>
      <c r="K1064" s="293"/>
      <c r="L1064" s="293"/>
      <c r="M1064" s="279"/>
      <c r="N1064" s="279"/>
      <c r="O1064" s="279"/>
      <c r="P1064" s="291"/>
      <c r="Q1064" s="20"/>
      <c r="R1064" s="20"/>
      <c r="S1064" s="20"/>
      <c r="T1064" s="20"/>
      <c r="U1064" s="20"/>
      <c r="V1064" s="20"/>
      <c r="W1064" s="20"/>
      <c r="X1064" s="20"/>
      <c r="Y1064" s="20"/>
      <c r="Z1064" s="20"/>
      <c r="AA1064" s="20"/>
      <c r="AB1064" s="20"/>
    </row>
    <row r="1065" spans="1:28" ht="15.75" customHeight="1" x14ac:dyDescent="0.25">
      <c r="A1065" s="35"/>
      <c r="B1065" s="246"/>
      <c r="C1065" s="35"/>
      <c r="D1065" s="35"/>
      <c r="E1065" s="20"/>
      <c r="F1065" s="20"/>
      <c r="G1065" s="20"/>
      <c r="H1065" s="257"/>
      <c r="I1065" s="293"/>
      <c r="J1065" s="293"/>
      <c r="K1065" s="293"/>
      <c r="L1065" s="293"/>
      <c r="M1065" s="279"/>
      <c r="N1065" s="279"/>
      <c r="O1065" s="279"/>
      <c r="P1065" s="291"/>
      <c r="Q1065" s="20"/>
      <c r="R1065" s="20"/>
      <c r="S1065" s="20"/>
      <c r="T1065" s="20"/>
      <c r="U1065" s="20"/>
      <c r="V1065" s="20"/>
      <c r="W1065" s="20"/>
      <c r="X1065" s="20"/>
      <c r="Y1065" s="20"/>
      <c r="Z1065" s="20"/>
      <c r="AA1065" s="20"/>
      <c r="AB1065" s="20"/>
    </row>
    <row r="1066" spans="1:28" ht="15.75" customHeight="1" x14ac:dyDescent="0.25">
      <c r="A1066" s="35"/>
      <c r="B1066" s="246"/>
      <c r="C1066" s="35"/>
      <c r="D1066" s="35"/>
      <c r="E1066" s="20"/>
      <c r="F1066" s="20"/>
      <c r="G1066" s="20"/>
      <c r="H1066" s="257"/>
      <c r="I1066" s="293"/>
      <c r="J1066" s="293"/>
      <c r="K1066" s="293"/>
      <c r="L1066" s="293"/>
      <c r="M1066" s="279"/>
      <c r="N1066" s="279"/>
      <c r="O1066" s="279"/>
      <c r="P1066" s="291"/>
      <c r="Q1066" s="20"/>
      <c r="R1066" s="20"/>
      <c r="S1066" s="20"/>
      <c r="T1066" s="20"/>
      <c r="U1066" s="20"/>
      <c r="V1066" s="20"/>
      <c r="W1066" s="20"/>
      <c r="X1066" s="20"/>
      <c r="Y1066" s="20"/>
      <c r="Z1066" s="20"/>
      <c r="AA1066" s="20"/>
      <c r="AB1066" s="20"/>
    </row>
    <row r="1067" spans="1:28" ht="15.75" customHeight="1" x14ac:dyDescent="0.25">
      <c r="A1067" s="35"/>
      <c r="B1067" s="246"/>
      <c r="C1067" s="35"/>
      <c r="D1067" s="35"/>
      <c r="E1067" s="20"/>
      <c r="F1067" s="20"/>
      <c r="G1067" s="20"/>
      <c r="H1067" s="257"/>
      <c r="I1067" s="293"/>
      <c r="J1067" s="293"/>
      <c r="K1067" s="293"/>
      <c r="L1067" s="293"/>
      <c r="M1067" s="279"/>
      <c r="N1067" s="279"/>
      <c r="O1067" s="279"/>
      <c r="P1067" s="291"/>
      <c r="Q1067" s="20"/>
      <c r="R1067" s="20"/>
      <c r="S1067" s="20"/>
      <c r="T1067" s="20"/>
      <c r="U1067" s="20"/>
      <c r="V1067" s="20"/>
      <c r="W1067" s="20"/>
      <c r="X1067" s="20"/>
      <c r="Y1067" s="20"/>
      <c r="Z1067" s="20"/>
      <c r="AA1067" s="20"/>
      <c r="AB1067" s="20"/>
    </row>
    <row r="1068" spans="1:28" ht="15.75" customHeight="1" x14ac:dyDescent="0.25">
      <c r="A1068" s="35"/>
      <c r="B1068" s="246"/>
      <c r="C1068" s="35"/>
      <c r="D1068" s="35"/>
      <c r="E1068" s="20"/>
      <c r="F1068" s="20"/>
      <c r="G1068" s="20"/>
      <c r="H1068" s="257"/>
      <c r="I1068" s="293"/>
      <c r="J1068" s="293"/>
      <c r="K1068" s="293"/>
      <c r="L1068" s="293"/>
      <c r="M1068" s="279"/>
      <c r="N1068" s="279"/>
      <c r="O1068" s="279"/>
      <c r="P1068" s="291"/>
      <c r="Q1068" s="20"/>
      <c r="R1068" s="20"/>
      <c r="S1068" s="20"/>
      <c r="T1068" s="20"/>
      <c r="U1068" s="20"/>
      <c r="V1068" s="20"/>
      <c r="W1068" s="20"/>
      <c r="X1068" s="20"/>
      <c r="Y1068" s="20"/>
      <c r="Z1068" s="20"/>
      <c r="AA1068" s="20"/>
      <c r="AB1068" s="20"/>
    </row>
    <row r="1069" spans="1:28" ht="15.75" customHeight="1" x14ac:dyDescent="0.25">
      <c r="A1069" s="35"/>
      <c r="B1069" s="246"/>
      <c r="C1069" s="35"/>
      <c r="D1069" s="35"/>
      <c r="E1069" s="20"/>
      <c r="F1069" s="20"/>
      <c r="G1069" s="20"/>
      <c r="H1069" s="257"/>
      <c r="I1069" s="293"/>
      <c r="J1069" s="293"/>
      <c r="K1069" s="293"/>
      <c r="L1069" s="293"/>
      <c r="M1069" s="279"/>
      <c r="N1069" s="279"/>
      <c r="O1069" s="279"/>
      <c r="P1069" s="291"/>
      <c r="Q1069" s="20"/>
      <c r="R1069" s="20"/>
      <c r="S1069" s="20"/>
      <c r="T1069" s="20"/>
      <c r="U1069" s="20"/>
      <c r="V1069" s="20"/>
      <c r="W1069" s="20"/>
      <c r="X1069" s="20"/>
      <c r="Y1069" s="20"/>
      <c r="Z1069" s="20"/>
      <c r="AA1069" s="20"/>
      <c r="AB1069" s="20"/>
    </row>
    <row r="1070" spans="1:28" ht="15.75" customHeight="1" x14ac:dyDescent="0.25">
      <c r="A1070" s="35"/>
      <c r="B1070" s="246"/>
      <c r="C1070" s="35"/>
      <c r="D1070" s="35"/>
      <c r="E1070" s="20"/>
      <c r="F1070" s="20"/>
      <c r="G1070" s="20"/>
      <c r="H1070" s="257"/>
      <c r="I1070" s="293"/>
      <c r="J1070" s="293"/>
      <c r="K1070" s="293"/>
      <c r="L1070" s="293"/>
      <c r="M1070" s="279"/>
      <c r="N1070" s="279"/>
      <c r="O1070" s="279"/>
      <c r="P1070" s="291"/>
      <c r="Q1070" s="20"/>
      <c r="R1070" s="20"/>
      <c r="S1070" s="20"/>
      <c r="T1070" s="20"/>
      <c r="U1070" s="20"/>
      <c r="V1070" s="20"/>
      <c r="W1070" s="20"/>
      <c r="X1070" s="20"/>
      <c r="Y1070" s="20"/>
      <c r="Z1070" s="20"/>
      <c r="AA1070" s="20"/>
      <c r="AB1070" s="20"/>
    </row>
    <row r="1071" spans="1:28" ht="15.75" customHeight="1" x14ac:dyDescent="0.25">
      <c r="A1071" s="35"/>
      <c r="B1071" s="246"/>
      <c r="C1071" s="35"/>
      <c r="D1071" s="35"/>
      <c r="E1071" s="20"/>
      <c r="F1071" s="20"/>
      <c r="G1071" s="20"/>
      <c r="H1071" s="257"/>
      <c r="I1071" s="293"/>
      <c r="J1071" s="293"/>
      <c r="K1071" s="293"/>
      <c r="L1071" s="293"/>
      <c r="M1071" s="279"/>
      <c r="N1071" s="279"/>
      <c r="O1071" s="279"/>
      <c r="P1071" s="291"/>
      <c r="Q1071" s="20"/>
      <c r="R1071" s="20"/>
      <c r="S1071" s="20"/>
      <c r="T1071" s="20"/>
      <c r="U1071" s="20"/>
      <c r="V1071" s="20"/>
      <c r="W1071" s="20"/>
      <c r="X1071" s="20"/>
      <c r="Y1071" s="20"/>
      <c r="Z1071" s="20"/>
      <c r="AA1071" s="20"/>
      <c r="AB1071" s="20"/>
    </row>
    <row r="1072" spans="1:28" ht="15.75" customHeight="1" x14ac:dyDescent="0.25">
      <c r="A1072" s="35"/>
      <c r="B1072" s="246"/>
      <c r="C1072" s="35"/>
      <c r="D1072" s="35"/>
      <c r="E1072" s="20"/>
      <c r="F1072" s="20"/>
      <c r="G1072" s="20"/>
      <c r="H1072" s="257"/>
      <c r="I1072" s="293"/>
      <c r="J1072" s="293"/>
      <c r="K1072" s="293"/>
      <c r="L1072" s="293"/>
      <c r="M1072" s="279"/>
      <c r="N1072" s="279"/>
      <c r="O1072" s="279"/>
      <c r="P1072" s="291"/>
      <c r="Q1072" s="20"/>
      <c r="R1072" s="20"/>
      <c r="S1072" s="20"/>
      <c r="T1072" s="20"/>
      <c r="U1072" s="20"/>
      <c r="V1072" s="20"/>
      <c r="W1072" s="20"/>
      <c r="X1072" s="20"/>
      <c r="Y1072" s="20"/>
      <c r="Z1072" s="20"/>
      <c r="AA1072" s="20"/>
      <c r="AB1072" s="20"/>
    </row>
    <row r="1073" spans="1:28" ht="15.75" customHeight="1" x14ac:dyDescent="0.25">
      <c r="A1073" s="35"/>
      <c r="B1073" s="246"/>
      <c r="C1073" s="35"/>
      <c r="D1073" s="35"/>
      <c r="E1073" s="20"/>
      <c r="F1073" s="20"/>
      <c r="G1073" s="20"/>
      <c r="H1073" s="257"/>
      <c r="I1073" s="293"/>
      <c r="J1073" s="293"/>
      <c r="K1073" s="293"/>
      <c r="L1073" s="293"/>
      <c r="M1073" s="279"/>
      <c r="N1073" s="279"/>
      <c r="O1073" s="279"/>
      <c r="P1073" s="291"/>
      <c r="Q1073" s="20"/>
      <c r="R1073" s="20"/>
      <c r="S1073" s="20"/>
      <c r="T1073" s="20"/>
      <c r="U1073" s="20"/>
      <c r="V1073" s="20"/>
      <c r="W1073" s="20"/>
      <c r="X1073" s="20"/>
      <c r="Y1073" s="20"/>
      <c r="Z1073" s="20"/>
      <c r="AA1073" s="20"/>
      <c r="AB1073" s="20"/>
    </row>
    <row r="1074" spans="1:28" ht="15.75" customHeight="1" x14ac:dyDescent="0.25">
      <c r="A1074" s="35"/>
      <c r="B1074" s="246"/>
      <c r="C1074" s="35"/>
      <c r="D1074" s="35"/>
      <c r="E1074" s="20"/>
      <c r="F1074" s="20"/>
      <c r="G1074" s="20"/>
      <c r="H1074" s="257"/>
      <c r="I1074" s="293"/>
      <c r="J1074" s="293"/>
      <c r="K1074" s="293"/>
      <c r="L1074" s="293"/>
      <c r="M1074" s="279"/>
      <c r="N1074" s="279"/>
      <c r="O1074" s="279"/>
      <c r="P1074" s="291"/>
      <c r="Q1074" s="20"/>
      <c r="R1074" s="20"/>
      <c r="S1074" s="20"/>
      <c r="T1074" s="20"/>
      <c r="U1074" s="20"/>
      <c r="V1074" s="20"/>
      <c r="W1074" s="20"/>
      <c r="X1074" s="20"/>
      <c r="Y1074" s="20"/>
      <c r="Z1074" s="20"/>
      <c r="AA1074" s="20"/>
      <c r="AB1074" s="20"/>
    </row>
    <row r="1075" spans="1:28" ht="15.75" customHeight="1" x14ac:dyDescent="0.25">
      <c r="A1075" s="35"/>
      <c r="B1075" s="246"/>
      <c r="C1075" s="35"/>
      <c r="D1075" s="35"/>
      <c r="E1075" s="20"/>
      <c r="F1075" s="20"/>
      <c r="G1075" s="20"/>
      <c r="H1075" s="257"/>
      <c r="I1075" s="293"/>
      <c r="J1075" s="293"/>
      <c r="K1075" s="293"/>
      <c r="L1075" s="293"/>
      <c r="M1075" s="279"/>
      <c r="N1075" s="279"/>
      <c r="O1075" s="279"/>
      <c r="P1075" s="291"/>
      <c r="Q1075" s="20"/>
      <c r="R1075" s="20"/>
      <c r="S1075" s="20"/>
      <c r="T1075" s="20"/>
      <c r="U1075" s="20"/>
      <c r="V1075" s="20"/>
      <c r="W1075" s="20"/>
      <c r="X1075" s="20"/>
      <c r="Y1075" s="20"/>
      <c r="Z1075" s="20"/>
      <c r="AA1075" s="20"/>
      <c r="AB1075" s="20"/>
    </row>
    <row r="1076" spans="1:28" ht="15.75" customHeight="1" x14ac:dyDescent="0.25">
      <c r="A1076" s="35"/>
      <c r="B1076" s="246"/>
      <c r="C1076" s="35"/>
      <c r="D1076" s="35"/>
      <c r="E1076" s="20"/>
      <c r="F1076" s="20"/>
      <c r="G1076" s="20"/>
      <c r="H1076" s="257"/>
      <c r="I1076" s="293"/>
      <c r="J1076" s="293"/>
      <c r="K1076" s="293"/>
      <c r="L1076" s="293"/>
      <c r="M1076" s="279"/>
      <c r="N1076" s="279"/>
      <c r="O1076" s="279"/>
      <c r="P1076" s="291"/>
      <c r="Q1076" s="20"/>
      <c r="R1076" s="20"/>
      <c r="S1076" s="20"/>
      <c r="T1076" s="20"/>
      <c r="U1076" s="20"/>
      <c r="V1076" s="20"/>
      <c r="W1076" s="20"/>
      <c r="X1076" s="20"/>
      <c r="Y1076" s="20"/>
      <c r="Z1076" s="20"/>
      <c r="AA1076" s="20"/>
      <c r="AB1076" s="20"/>
    </row>
    <row r="1077" spans="1:28" ht="15.75" customHeight="1" x14ac:dyDescent="0.25">
      <c r="A1077" s="35"/>
      <c r="B1077" s="246"/>
      <c r="C1077" s="35"/>
      <c r="D1077" s="35"/>
      <c r="E1077" s="20"/>
      <c r="F1077" s="20"/>
      <c r="G1077" s="20"/>
      <c r="H1077" s="257"/>
      <c r="I1077" s="293"/>
      <c r="J1077" s="293"/>
      <c r="K1077" s="293"/>
      <c r="L1077" s="293"/>
      <c r="M1077" s="279"/>
      <c r="N1077" s="279"/>
      <c r="O1077" s="279"/>
      <c r="P1077" s="291"/>
      <c r="Q1077" s="20"/>
      <c r="R1077" s="20"/>
      <c r="S1077" s="20"/>
      <c r="T1077" s="20"/>
      <c r="U1077" s="20"/>
      <c r="V1077" s="20"/>
      <c r="W1077" s="20"/>
      <c r="X1077" s="20"/>
      <c r="Y1077" s="20"/>
      <c r="Z1077" s="20"/>
      <c r="AA1077" s="20"/>
      <c r="AB1077" s="20"/>
    </row>
    <row r="1078" spans="1:28" ht="15.75" customHeight="1" x14ac:dyDescent="0.25">
      <c r="A1078" s="35"/>
      <c r="B1078" s="246"/>
      <c r="C1078" s="35"/>
      <c r="D1078" s="35"/>
      <c r="E1078" s="20"/>
      <c r="F1078" s="20"/>
      <c r="G1078" s="20"/>
      <c r="H1078" s="257"/>
      <c r="I1078" s="293"/>
      <c r="J1078" s="293"/>
      <c r="K1078" s="293"/>
      <c r="L1078" s="293"/>
      <c r="M1078" s="279"/>
      <c r="N1078" s="279"/>
      <c r="O1078" s="279"/>
      <c r="P1078" s="291"/>
      <c r="Q1078" s="20"/>
      <c r="R1078" s="20"/>
      <c r="S1078" s="20"/>
      <c r="T1078" s="20"/>
      <c r="U1078" s="20"/>
      <c r="V1078" s="20"/>
      <c r="W1078" s="20"/>
      <c r="X1078" s="20"/>
      <c r="Y1078" s="20"/>
      <c r="Z1078" s="20"/>
      <c r="AA1078" s="20"/>
      <c r="AB1078" s="20"/>
    </row>
    <row r="1079" spans="1:28" ht="15.75" customHeight="1" x14ac:dyDescent="0.25">
      <c r="A1079" s="35"/>
      <c r="B1079" s="246"/>
      <c r="C1079" s="35"/>
      <c r="D1079" s="35"/>
      <c r="E1079" s="20"/>
      <c r="F1079" s="20"/>
      <c r="G1079" s="20"/>
      <c r="H1079" s="257"/>
      <c r="I1079" s="293"/>
      <c r="J1079" s="293"/>
      <c r="K1079" s="293"/>
      <c r="L1079" s="293"/>
      <c r="M1079" s="279"/>
      <c r="N1079" s="279"/>
      <c r="O1079" s="279"/>
      <c r="P1079" s="291"/>
      <c r="Q1079" s="20"/>
      <c r="R1079" s="20"/>
      <c r="S1079" s="20"/>
      <c r="T1079" s="20"/>
      <c r="U1079" s="20"/>
      <c r="V1079" s="20"/>
      <c r="W1079" s="20"/>
      <c r="X1079" s="20"/>
      <c r="Y1079" s="20"/>
      <c r="Z1079" s="20"/>
      <c r="AA1079" s="20"/>
      <c r="AB1079" s="20"/>
    </row>
    <row r="1080" spans="1:28" ht="15.75" customHeight="1" x14ac:dyDescent="0.25">
      <c r="A1080" s="35"/>
      <c r="B1080" s="246"/>
      <c r="C1080" s="35"/>
      <c r="D1080" s="35"/>
      <c r="E1080" s="20"/>
      <c r="F1080" s="20"/>
      <c r="G1080" s="20"/>
      <c r="H1080" s="257"/>
      <c r="I1080" s="293"/>
      <c r="J1080" s="293"/>
      <c r="K1080" s="293"/>
      <c r="L1080" s="293"/>
      <c r="M1080" s="279"/>
      <c r="N1080" s="279"/>
      <c r="O1080" s="279"/>
      <c r="P1080" s="291"/>
      <c r="Q1080" s="20"/>
      <c r="R1080" s="20"/>
      <c r="S1080" s="20"/>
      <c r="T1080" s="20"/>
      <c r="U1080" s="20"/>
      <c r="V1080" s="20"/>
      <c r="W1080" s="20"/>
      <c r="X1080" s="20"/>
      <c r="Y1080" s="20"/>
      <c r="Z1080" s="20"/>
      <c r="AA1080" s="20"/>
      <c r="AB1080" s="20"/>
    </row>
    <row r="1081" spans="1:28" ht="15.75" customHeight="1" x14ac:dyDescent="0.25">
      <c r="A1081" s="35"/>
      <c r="B1081" s="246"/>
      <c r="C1081" s="35"/>
      <c r="D1081" s="35"/>
      <c r="E1081" s="20"/>
      <c r="F1081" s="20"/>
      <c r="G1081" s="20"/>
      <c r="H1081" s="257"/>
      <c r="I1081" s="293"/>
      <c r="J1081" s="293"/>
      <c r="K1081" s="293"/>
      <c r="L1081" s="293"/>
      <c r="M1081" s="279"/>
      <c r="N1081" s="279"/>
      <c r="O1081" s="279"/>
      <c r="P1081" s="291"/>
      <c r="Q1081" s="20"/>
      <c r="R1081" s="20"/>
      <c r="S1081" s="20"/>
      <c r="T1081" s="20"/>
      <c r="U1081" s="20"/>
      <c r="V1081" s="20"/>
      <c r="W1081" s="20"/>
      <c r="X1081" s="20"/>
      <c r="Y1081" s="20"/>
      <c r="Z1081" s="20"/>
      <c r="AA1081" s="20"/>
      <c r="AB1081" s="20"/>
    </row>
    <row r="1082" spans="1:28" ht="15.75" customHeight="1" x14ac:dyDescent="0.25">
      <c r="A1082" s="35"/>
      <c r="B1082" s="246"/>
      <c r="C1082" s="35"/>
      <c r="D1082" s="35"/>
      <c r="E1082" s="20"/>
      <c r="F1082" s="20"/>
      <c r="G1082" s="20"/>
      <c r="H1082" s="257"/>
      <c r="I1082" s="293"/>
      <c r="J1082" s="293"/>
      <c r="K1082" s="293"/>
      <c r="L1082" s="293"/>
      <c r="M1082" s="279"/>
      <c r="N1082" s="279"/>
      <c r="O1082" s="279"/>
      <c r="P1082" s="291"/>
      <c r="Q1082" s="20"/>
      <c r="R1082" s="20"/>
      <c r="S1082" s="20"/>
      <c r="T1082" s="20"/>
      <c r="U1082" s="20"/>
      <c r="V1082" s="20"/>
      <c r="W1082" s="20"/>
      <c r="X1082" s="20"/>
      <c r="Y1082" s="20"/>
      <c r="Z1082" s="20"/>
      <c r="AA1082" s="20"/>
      <c r="AB1082" s="20"/>
    </row>
    <row r="1083" spans="1:28" ht="15.75" customHeight="1" x14ac:dyDescent="0.25">
      <c r="A1083" s="35"/>
      <c r="B1083" s="246"/>
      <c r="C1083" s="35"/>
      <c r="D1083" s="35"/>
      <c r="E1083" s="20"/>
      <c r="F1083" s="20"/>
      <c r="G1083" s="20"/>
      <c r="H1083" s="257"/>
      <c r="I1083" s="293"/>
      <c r="J1083" s="293"/>
      <c r="K1083" s="293"/>
      <c r="L1083" s="293"/>
      <c r="M1083" s="279"/>
      <c r="N1083" s="279"/>
      <c r="O1083" s="279"/>
      <c r="P1083" s="291"/>
      <c r="Q1083" s="20"/>
      <c r="R1083" s="20"/>
      <c r="S1083" s="20"/>
      <c r="T1083" s="20"/>
      <c r="U1083" s="20"/>
      <c r="V1083" s="20"/>
      <c r="W1083" s="20"/>
      <c r="X1083" s="20"/>
      <c r="Y1083" s="20"/>
      <c r="Z1083" s="20"/>
      <c r="AA1083" s="20"/>
      <c r="AB1083" s="20"/>
    </row>
    <row r="1084" spans="1:28" ht="15.75" customHeight="1" x14ac:dyDescent="0.25">
      <c r="A1084" s="35"/>
      <c r="B1084" s="246"/>
      <c r="C1084" s="35"/>
      <c r="D1084" s="35"/>
      <c r="E1084" s="20"/>
      <c r="F1084" s="20"/>
      <c r="G1084" s="20"/>
      <c r="H1084" s="257"/>
      <c r="I1084" s="293"/>
      <c r="J1084" s="293"/>
      <c r="K1084" s="293"/>
      <c r="L1084" s="293"/>
      <c r="M1084" s="279"/>
      <c r="N1084" s="279"/>
      <c r="O1084" s="279"/>
      <c r="P1084" s="291"/>
      <c r="Q1084" s="20"/>
      <c r="R1084" s="20"/>
      <c r="S1084" s="20"/>
      <c r="T1084" s="20"/>
      <c r="U1084" s="20"/>
      <c r="V1084" s="20"/>
      <c r="W1084" s="20"/>
      <c r="X1084" s="20"/>
      <c r="Y1084" s="20"/>
      <c r="Z1084" s="20"/>
      <c r="AA1084" s="20"/>
      <c r="AB1084" s="20"/>
    </row>
    <row r="1085" spans="1:28" ht="15.75" customHeight="1" x14ac:dyDescent="0.25">
      <c r="A1085" s="35"/>
      <c r="B1085" s="246"/>
      <c r="C1085" s="35"/>
      <c r="D1085" s="35"/>
      <c r="E1085" s="20"/>
      <c r="F1085" s="20"/>
      <c r="G1085" s="20"/>
      <c r="H1085" s="257"/>
      <c r="I1085" s="293"/>
      <c r="J1085" s="293"/>
      <c r="K1085" s="293"/>
      <c r="L1085" s="293"/>
      <c r="M1085" s="279"/>
      <c r="N1085" s="279"/>
      <c r="O1085" s="279"/>
      <c r="P1085" s="291"/>
      <c r="Q1085" s="20"/>
      <c r="R1085" s="20"/>
      <c r="S1085" s="20"/>
      <c r="T1085" s="20"/>
      <c r="U1085" s="20"/>
      <c r="V1085" s="20"/>
      <c r="W1085" s="20"/>
      <c r="X1085" s="20"/>
      <c r="Y1085" s="20"/>
      <c r="Z1085" s="20"/>
      <c r="AA1085" s="20"/>
      <c r="AB1085" s="20"/>
    </row>
    <row r="1086" spans="1:28" ht="15.75" customHeight="1" x14ac:dyDescent="0.25">
      <c r="A1086" s="35"/>
      <c r="B1086" s="246"/>
      <c r="C1086" s="35"/>
      <c r="D1086" s="35"/>
      <c r="E1086" s="20"/>
      <c r="F1086" s="20"/>
      <c r="G1086" s="20"/>
      <c r="H1086" s="257"/>
      <c r="I1086" s="293"/>
      <c r="J1086" s="293"/>
      <c r="K1086" s="293"/>
      <c r="L1086" s="293"/>
      <c r="M1086" s="279"/>
      <c r="N1086" s="279"/>
      <c r="O1086" s="279"/>
      <c r="P1086" s="291"/>
      <c r="Q1086" s="20"/>
      <c r="R1086" s="20"/>
      <c r="S1086" s="20"/>
      <c r="T1086" s="20"/>
      <c r="U1086" s="20"/>
      <c r="V1086" s="20"/>
      <c r="W1086" s="20"/>
      <c r="X1086" s="20"/>
      <c r="Y1086" s="20"/>
      <c r="Z1086" s="20"/>
      <c r="AA1086" s="20"/>
      <c r="AB1086" s="20"/>
    </row>
    <row r="1087" spans="1:28" ht="15.75" customHeight="1" x14ac:dyDescent="0.25">
      <c r="A1087" s="35"/>
      <c r="B1087" s="246"/>
      <c r="C1087" s="35"/>
      <c r="D1087" s="35"/>
      <c r="E1087" s="20"/>
      <c r="F1087" s="20"/>
      <c r="G1087" s="20"/>
      <c r="H1087" s="257"/>
      <c r="I1087" s="293"/>
      <c r="J1087" s="293"/>
      <c r="K1087" s="293"/>
      <c r="L1087" s="293"/>
      <c r="M1087" s="279"/>
      <c r="N1087" s="279"/>
      <c r="O1087" s="279"/>
      <c r="P1087" s="291"/>
      <c r="Q1087" s="20"/>
      <c r="R1087" s="20"/>
      <c r="S1087" s="20"/>
      <c r="T1087" s="20"/>
      <c r="U1087" s="20"/>
      <c r="V1087" s="20"/>
      <c r="W1087" s="20"/>
      <c r="X1087" s="20"/>
      <c r="Y1087" s="20"/>
      <c r="Z1087" s="20"/>
      <c r="AA1087" s="20"/>
      <c r="AB1087" s="20"/>
    </row>
    <row r="1088" spans="1:28" ht="15.75" customHeight="1" x14ac:dyDescent="0.25">
      <c r="A1088" s="35"/>
      <c r="B1088" s="246"/>
      <c r="C1088" s="35"/>
      <c r="D1088" s="35"/>
      <c r="E1088" s="20"/>
      <c r="F1088" s="20"/>
      <c r="G1088" s="20"/>
      <c r="H1088" s="257"/>
      <c r="I1088" s="293"/>
      <c r="J1088" s="293"/>
      <c r="K1088" s="293"/>
      <c r="L1088" s="293"/>
      <c r="M1088" s="279"/>
      <c r="N1088" s="279"/>
      <c r="O1088" s="279"/>
      <c r="P1088" s="291"/>
      <c r="Q1088" s="20"/>
      <c r="R1088" s="20"/>
      <c r="S1088" s="20"/>
      <c r="T1088" s="20"/>
      <c r="U1088" s="20"/>
      <c r="V1088" s="20"/>
      <c r="W1088" s="20"/>
      <c r="X1088" s="20"/>
      <c r="Y1088" s="20"/>
      <c r="Z1088" s="20"/>
      <c r="AA1088" s="20"/>
      <c r="AB1088" s="20"/>
    </row>
    <row r="1089" spans="1:28" ht="15.75" customHeight="1" x14ac:dyDescent="0.25">
      <c r="A1089" s="35"/>
      <c r="B1089" s="246"/>
      <c r="C1089" s="35"/>
      <c r="D1089" s="35"/>
      <c r="E1089" s="20"/>
      <c r="F1089" s="20"/>
      <c r="G1089" s="20"/>
      <c r="H1089" s="257"/>
      <c r="I1089" s="293"/>
      <c r="J1089" s="293"/>
      <c r="K1089" s="293"/>
      <c r="L1089" s="293"/>
      <c r="M1089" s="279"/>
      <c r="N1089" s="279"/>
      <c r="O1089" s="279"/>
      <c r="P1089" s="291"/>
      <c r="Q1089" s="20"/>
      <c r="R1089" s="20"/>
      <c r="S1089" s="20"/>
      <c r="T1089" s="20"/>
      <c r="U1089" s="20"/>
      <c r="V1089" s="20"/>
      <c r="W1089" s="20"/>
      <c r="X1089" s="20"/>
      <c r="Y1089" s="20"/>
      <c r="Z1089" s="20"/>
      <c r="AA1089" s="20"/>
      <c r="AB1089" s="20"/>
    </row>
    <row r="1090" spans="1:28" ht="15.75" customHeight="1" x14ac:dyDescent="0.25">
      <c r="A1090" s="35"/>
      <c r="B1090" s="246"/>
      <c r="C1090" s="35"/>
      <c r="D1090" s="35"/>
      <c r="E1090" s="20"/>
      <c r="F1090" s="20"/>
      <c r="G1090" s="20"/>
      <c r="H1090" s="257"/>
      <c r="I1090" s="293"/>
      <c r="J1090" s="293"/>
      <c r="K1090" s="293"/>
      <c r="L1090" s="293"/>
      <c r="M1090" s="279"/>
      <c r="N1090" s="279"/>
      <c r="O1090" s="279"/>
      <c r="P1090" s="291"/>
      <c r="Q1090" s="20"/>
      <c r="R1090" s="20"/>
      <c r="S1090" s="20"/>
      <c r="T1090" s="20"/>
      <c r="U1090" s="20"/>
      <c r="V1090" s="20"/>
      <c r="W1090" s="20"/>
      <c r="X1090" s="20"/>
      <c r="Y1090" s="20"/>
      <c r="Z1090" s="20"/>
      <c r="AA1090" s="20"/>
      <c r="AB1090" s="20"/>
    </row>
    <row r="1091" spans="1:28" ht="15.75" customHeight="1" x14ac:dyDescent="0.25">
      <c r="A1091" s="35"/>
      <c r="B1091" s="246"/>
      <c r="C1091" s="35"/>
      <c r="D1091" s="35"/>
      <c r="E1091" s="20"/>
      <c r="F1091" s="20"/>
      <c r="G1091" s="20"/>
      <c r="H1091" s="257"/>
      <c r="I1091" s="293"/>
      <c r="J1091" s="293"/>
      <c r="K1091" s="293"/>
      <c r="L1091" s="293"/>
      <c r="M1091" s="279"/>
      <c r="N1091" s="279"/>
      <c r="O1091" s="279"/>
      <c r="P1091" s="291"/>
      <c r="Q1091" s="20"/>
      <c r="R1091" s="20"/>
      <c r="S1091" s="20"/>
      <c r="T1091" s="20"/>
      <c r="U1091" s="20"/>
      <c r="V1091" s="20"/>
      <c r="W1091" s="20"/>
      <c r="X1091" s="20"/>
      <c r="Y1091" s="20"/>
      <c r="Z1091" s="20"/>
      <c r="AA1091" s="20"/>
      <c r="AB1091" s="20"/>
    </row>
    <row r="1092" spans="1:28" ht="15.75" customHeight="1" x14ac:dyDescent="0.25">
      <c r="A1092" s="35"/>
      <c r="B1092" s="246"/>
      <c r="C1092" s="35"/>
      <c r="D1092" s="35"/>
      <c r="E1092" s="20"/>
      <c r="F1092" s="20"/>
      <c r="G1092" s="20"/>
      <c r="H1092" s="257"/>
      <c r="I1092" s="293"/>
      <c r="J1092" s="293"/>
      <c r="K1092" s="293"/>
      <c r="L1092" s="293"/>
      <c r="M1092" s="279"/>
      <c r="N1092" s="279"/>
      <c r="O1092" s="279"/>
      <c r="P1092" s="291"/>
      <c r="Q1092" s="20"/>
      <c r="R1092" s="20"/>
      <c r="S1092" s="20"/>
      <c r="T1092" s="20"/>
      <c r="U1092" s="20"/>
      <c r="V1092" s="20"/>
      <c r="W1092" s="20"/>
      <c r="X1092" s="20"/>
      <c r="Y1092" s="20"/>
      <c r="Z1092" s="20"/>
      <c r="AA1092" s="20"/>
      <c r="AB1092" s="20"/>
    </row>
    <row r="1093" spans="1:28" ht="15.75" customHeight="1" x14ac:dyDescent="0.25">
      <c r="A1093" s="35"/>
      <c r="B1093" s="246"/>
      <c r="C1093" s="35"/>
      <c r="D1093" s="35"/>
      <c r="E1093" s="20"/>
      <c r="F1093" s="20"/>
      <c r="G1093" s="20"/>
      <c r="H1093" s="257"/>
      <c r="I1093" s="293"/>
      <c r="J1093" s="293"/>
      <c r="K1093" s="293"/>
      <c r="L1093" s="293"/>
      <c r="M1093" s="279"/>
      <c r="N1093" s="279"/>
      <c r="O1093" s="279"/>
      <c r="P1093" s="291"/>
      <c r="Q1093" s="20"/>
      <c r="R1093" s="20"/>
      <c r="S1093" s="20"/>
      <c r="T1093" s="20"/>
      <c r="U1093" s="20"/>
      <c r="V1093" s="20"/>
      <c r="W1093" s="20"/>
      <c r="X1093" s="20"/>
      <c r="Y1093" s="20"/>
      <c r="Z1093" s="20"/>
      <c r="AA1093" s="20"/>
      <c r="AB1093" s="20"/>
    </row>
    <row r="1094" spans="1:28" ht="15.75" customHeight="1" x14ac:dyDescent="0.25">
      <c r="A1094" s="35"/>
      <c r="B1094" s="246"/>
      <c r="C1094" s="35"/>
      <c r="D1094" s="35"/>
      <c r="E1094" s="20"/>
      <c r="F1094" s="20"/>
      <c r="G1094" s="20"/>
      <c r="H1094" s="257"/>
      <c r="I1094" s="293"/>
      <c r="J1094" s="293"/>
      <c r="K1094" s="293"/>
      <c r="L1094" s="293"/>
      <c r="M1094" s="279"/>
      <c r="N1094" s="279"/>
      <c r="O1094" s="279"/>
      <c r="P1094" s="291"/>
      <c r="Q1094" s="20"/>
      <c r="R1094" s="20"/>
      <c r="S1094" s="20"/>
      <c r="T1094" s="20"/>
      <c r="U1094" s="20"/>
      <c r="V1094" s="20"/>
      <c r="W1094" s="20"/>
      <c r="X1094" s="20"/>
      <c r="Y1094" s="20"/>
      <c r="Z1094" s="20"/>
      <c r="AA1094" s="20"/>
      <c r="AB1094" s="20"/>
    </row>
    <row r="1095" spans="1:28" ht="15.75" customHeight="1" x14ac:dyDescent="0.25">
      <c r="A1095" s="35"/>
      <c r="B1095" s="246"/>
      <c r="C1095" s="35"/>
      <c r="D1095" s="35"/>
      <c r="E1095" s="20"/>
      <c r="F1095" s="20"/>
      <c r="G1095" s="20"/>
      <c r="H1095" s="257"/>
      <c r="I1095" s="293"/>
      <c r="J1095" s="293"/>
      <c r="K1095" s="293"/>
      <c r="L1095" s="293"/>
      <c r="M1095" s="279"/>
      <c r="N1095" s="279"/>
      <c r="O1095" s="279"/>
      <c r="P1095" s="291"/>
      <c r="Q1095" s="20"/>
      <c r="R1095" s="20"/>
      <c r="S1095" s="20"/>
      <c r="T1095" s="20"/>
      <c r="U1095" s="20"/>
      <c r="V1095" s="20"/>
      <c r="W1095" s="20"/>
      <c r="X1095" s="20"/>
      <c r="Y1095" s="20"/>
      <c r="Z1095" s="20"/>
      <c r="AA1095" s="20"/>
      <c r="AB1095" s="20"/>
    </row>
    <row r="1096" spans="1:28" ht="15.75" customHeight="1" x14ac:dyDescent="0.25">
      <c r="A1096" s="35"/>
      <c r="B1096" s="246"/>
      <c r="C1096" s="35"/>
      <c r="D1096" s="35"/>
      <c r="E1096" s="20"/>
      <c r="F1096" s="20"/>
      <c r="G1096" s="20"/>
      <c r="H1096" s="257"/>
      <c r="I1096" s="293"/>
      <c r="J1096" s="293"/>
      <c r="K1096" s="293"/>
      <c r="L1096" s="293"/>
      <c r="M1096" s="279"/>
      <c r="N1096" s="279"/>
      <c r="O1096" s="279"/>
      <c r="P1096" s="291"/>
      <c r="Q1096" s="20"/>
      <c r="R1096" s="20"/>
      <c r="S1096" s="20"/>
      <c r="T1096" s="20"/>
      <c r="U1096" s="20"/>
      <c r="V1096" s="20"/>
      <c r="W1096" s="20"/>
      <c r="X1096" s="20"/>
      <c r="Y1096" s="20"/>
      <c r="Z1096" s="20"/>
      <c r="AA1096" s="20"/>
      <c r="AB1096" s="20"/>
    </row>
    <row r="1097" spans="1:28" ht="15.75" customHeight="1" x14ac:dyDescent="0.25">
      <c r="A1097" s="35"/>
      <c r="B1097" s="246"/>
      <c r="C1097" s="35"/>
      <c r="D1097" s="35"/>
      <c r="E1097" s="20"/>
      <c r="F1097" s="20"/>
      <c r="G1097" s="20"/>
      <c r="H1097" s="257"/>
      <c r="I1097" s="293"/>
      <c r="J1097" s="293"/>
      <c r="K1097" s="293"/>
      <c r="L1097" s="293"/>
      <c r="M1097" s="279"/>
      <c r="N1097" s="279"/>
      <c r="O1097" s="279"/>
      <c r="P1097" s="291"/>
      <c r="Q1097" s="20"/>
      <c r="R1097" s="20"/>
      <c r="S1097" s="20"/>
      <c r="T1097" s="20"/>
      <c r="U1097" s="20"/>
      <c r="V1097" s="20"/>
      <c r="W1097" s="20"/>
      <c r="X1097" s="20"/>
      <c r="Y1097" s="20"/>
      <c r="Z1097" s="20"/>
      <c r="AA1097" s="20"/>
      <c r="AB1097" s="20"/>
    </row>
    <row r="1098" spans="1:28" ht="15.75" customHeight="1" x14ac:dyDescent="0.25">
      <c r="A1098" s="35"/>
      <c r="B1098" s="246"/>
      <c r="C1098" s="35"/>
      <c r="D1098" s="35"/>
      <c r="E1098" s="20"/>
      <c r="F1098" s="20"/>
      <c r="G1098" s="20"/>
      <c r="H1098" s="257"/>
      <c r="I1098" s="293"/>
      <c r="J1098" s="293"/>
      <c r="K1098" s="293"/>
      <c r="L1098" s="293"/>
      <c r="M1098" s="279"/>
      <c r="N1098" s="279"/>
      <c r="O1098" s="279"/>
      <c r="P1098" s="291"/>
      <c r="Q1098" s="20"/>
      <c r="R1098" s="20"/>
      <c r="S1098" s="20"/>
      <c r="T1098" s="20"/>
      <c r="U1098" s="20"/>
      <c r="V1098" s="20"/>
      <c r="W1098" s="20"/>
      <c r="X1098" s="20"/>
      <c r="Y1098" s="20"/>
      <c r="Z1098" s="20"/>
      <c r="AA1098" s="20"/>
      <c r="AB1098" s="20"/>
    </row>
    <row r="1099" spans="1:28" ht="15.75" customHeight="1" x14ac:dyDescent="0.25">
      <c r="A1099" s="35"/>
      <c r="B1099" s="246"/>
      <c r="C1099" s="35"/>
      <c r="D1099" s="35"/>
      <c r="E1099" s="20"/>
      <c r="F1099" s="20"/>
      <c r="G1099" s="20"/>
      <c r="H1099" s="257"/>
      <c r="I1099" s="293"/>
      <c r="J1099" s="293"/>
      <c r="K1099" s="293"/>
      <c r="L1099" s="293"/>
      <c r="M1099" s="279"/>
      <c r="N1099" s="279"/>
      <c r="O1099" s="279"/>
      <c r="P1099" s="291"/>
      <c r="Q1099" s="20"/>
      <c r="R1099" s="20"/>
      <c r="S1099" s="20"/>
      <c r="T1099" s="20"/>
      <c r="U1099" s="20"/>
      <c r="V1099" s="20"/>
      <c r="W1099" s="20"/>
      <c r="X1099" s="20"/>
      <c r="Y1099" s="20"/>
      <c r="Z1099" s="20"/>
      <c r="AA1099" s="20"/>
      <c r="AB1099" s="20"/>
    </row>
    <row r="1100" spans="1:28" ht="15.75" customHeight="1" x14ac:dyDescent="0.25">
      <c r="A1100" s="35"/>
      <c r="B1100" s="246"/>
      <c r="C1100" s="35"/>
      <c r="D1100" s="35"/>
      <c r="E1100" s="20"/>
      <c r="F1100" s="20"/>
      <c r="G1100" s="20"/>
      <c r="H1100" s="257"/>
      <c r="I1100" s="293"/>
      <c r="J1100" s="293"/>
      <c r="K1100" s="293"/>
      <c r="L1100" s="293"/>
      <c r="M1100" s="279"/>
      <c r="N1100" s="279"/>
      <c r="O1100" s="279"/>
      <c r="P1100" s="291"/>
      <c r="Q1100" s="20"/>
      <c r="R1100" s="20"/>
      <c r="S1100" s="20"/>
      <c r="T1100" s="20"/>
      <c r="U1100" s="20"/>
      <c r="V1100" s="20"/>
      <c r="W1100" s="20"/>
      <c r="X1100" s="20"/>
      <c r="Y1100" s="20"/>
      <c r="Z1100" s="20"/>
      <c r="AA1100" s="20"/>
      <c r="AB1100" s="20"/>
    </row>
    <row r="1101" spans="1:28" ht="15.75" customHeight="1" x14ac:dyDescent="0.25">
      <c r="A1101" s="35"/>
      <c r="B1101" s="246"/>
      <c r="C1101" s="35"/>
      <c r="D1101" s="35"/>
      <c r="E1101" s="20"/>
      <c r="F1101" s="20"/>
      <c r="G1101" s="20"/>
      <c r="H1101" s="257"/>
      <c r="I1101" s="293"/>
      <c r="J1101" s="293"/>
      <c r="K1101" s="293"/>
      <c r="L1101" s="293"/>
      <c r="M1101" s="279"/>
      <c r="N1101" s="279"/>
      <c r="O1101" s="279"/>
      <c r="P1101" s="291"/>
      <c r="Q1101" s="20"/>
      <c r="R1101" s="20"/>
      <c r="S1101" s="20"/>
      <c r="T1101" s="20"/>
      <c r="U1101" s="20"/>
      <c r="V1101" s="20"/>
      <c r="W1101" s="20"/>
      <c r="X1101" s="20"/>
      <c r="Y1101" s="20"/>
      <c r="Z1101" s="20"/>
      <c r="AA1101" s="20"/>
      <c r="AB1101" s="20"/>
    </row>
    <row r="1102" spans="1:28" ht="15.75" customHeight="1" x14ac:dyDescent="0.25">
      <c r="A1102" s="35"/>
      <c r="B1102" s="246"/>
      <c r="C1102" s="35"/>
      <c r="D1102" s="35"/>
      <c r="E1102" s="20"/>
      <c r="F1102" s="20"/>
      <c r="G1102" s="20"/>
      <c r="H1102" s="257"/>
      <c r="I1102" s="293"/>
      <c r="J1102" s="293"/>
      <c r="K1102" s="293"/>
      <c r="L1102" s="293"/>
      <c r="M1102" s="279"/>
      <c r="N1102" s="279"/>
      <c r="O1102" s="279"/>
      <c r="P1102" s="291"/>
      <c r="Q1102" s="20"/>
      <c r="R1102" s="20"/>
      <c r="S1102" s="20"/>
      <c r="T1102" s="20"/>
      <c r="U1102" s="20"/>
      <c r="V1102" s="20"/>
      <c r="W1102" s="20"/>
      <c r="X1102" s="20"/>
      <c r="Y1102" s="20"/>
      <c r="Z1102" s="20"/>
      <c r="AA1102" s="20"/>
      <c r="AB1102" s="20"/>
    </row>
    <row r="1103" spans="1:28" ht="15.75" customHeight="1" x14ac:dyDescent="0.25">
      <c r="A1103" s="35"/>
      <c r="B1103" s="246"/>
      <c r="C1103" s="35"/>
      <c r="D1103" s="35"/>
      <c r="E1103" s="20"/>
      <c r="F1103" s="20"/>
      <c r="G1103" s="20"/>
      <c r="H1103" s="257"/>
      <c r="I1103" s="293"/>
      <c r="J1103" s="293"/>
      <c r="K1103" s="293"/>
      <c r="L1103" s="293"/>
      <c r="M1103" s="279"/>
      <c r="N1103" s="279"/>
      <c r="O1103" s="279"/>
      <c r="P1103" s="291"/>
      <c r="Q1103" s="20"/>
      <c r="R1103" s="20"/>
      <c r="S1103" s="20"/>
      <c r="T1103" s="20"/>
      <c r="U1103" s="20"/>
      <c r="V1103" s="20"/>
      <c r="W1103" s="20"/>
      <c r="X1103" s="20"/>
      <c r="Y1103" s="20"/>
      <c r="Z1103" s="20"/>
      <c r="AA1103" s="20"/>
      <c r="AB1103" s="20"/>
    </row>
    <row r="1104" spans="1:28" ht="15.75" customHeight="1" x14ac:dyDescent="0.25">
      <c r="A1104" s="35"/>
      <c r="B1104" s="246"/>
      <c r="C1104" s="35"/>
      <c r="D1104" s="35"/>
      <c r="E1104" s="20"/>
      <c r="F1104" s="20"/>
      <c r="G1104" s="20"/>
      <c r="H1104" s="257"/>
      <c r="I1104" s="293"/>
      <c r="J1104" s="293"/>
      <c r="K1104" s="293"/>
      <c r="L1104" s="293"/>
      <c r="M1104" s="279"/>
      <c r="N1104" s="279"/>
      <c r="O1104" s="279"/>
      <c r="P1104" s="291"/>
      <c r="Q1104" s="20"/>
      <c r="R1104" s="20"/>
      <c r="S1104" s="20"/>
      <c r="T1104" s="20"/>
      <c r="U1104" s="20"/>
      <c r="V1104" s="20"/>
      <c r="W1104" s="20"/>
      <c r="X1104" s="20"/>
      <c r="Y1104" s="20"/>
      <c r="Z1104" s="20"/>
      <c r="AA1104" s="20"/>
      <c r="AB1104" s="20"/>
    </row>
    <row r="1105" spans="1:28" ht="15.75" customHeight="1" x14ac:dyDescent="0.25">
      <c r="A1105" s="35"/>
      <c r="B1105" s="246"/>
      <c r="C1105" s="35"/>
      <c r="D1105" s="35"/>
      <c r="E1105" s="20"/>
      <c r="F1105" s="20"/>
      <c r="G1105" s="20"/>
      <c r="H1105" s="257"/>
      <c r="I1105" s="293"/>
      <c r="J1105" s="293"/>
      <c r="K1105" s="293"/>
      <c r="L1105" s="293"/>
      <c r="M1105" s="279"/>
      <c r="N1105" s="279"/>
      <c r="O1105" s="279"/>
      <c r="P1105" s="291"/>
      <c r="Q1105" s="20"/>
      <c r="R1105" s="20"/>
      <c r="S1105" s="20"/>
      <c r="T1105" s="20"/>
      <c r="U1105" s="20"/>
      <c r="V1105" s="20"/>
      <c r="W1105" s="20"/>
      <c r="X1105" s="20"/>
      <c r="Y1105" s="20"/>
      <c r="Z1105" s="20"/>
      <c r="AA1105" s="20"/>
      <c r="AB1105" s="20"/>
    </row>
    <row r="1106" spans="1:28" ht="15.75" customHeight="1" x14ac:dyDescent="0.25">
      <c r="A1106" s="35"/>
      <c r="B1106" s="246"/>
      <c r="C1106" s="35"/>
      <c r="D1106" s="35"/>
      <c r="E1106" s="20"/>
      <c r="F1106" s="20"/>
      <c r="G1106" s="20"/>
      <c r="H1106" s="257"/>
      <c r="I1106" s="293"/>
      <c r="J1106" s="293"/>
      <c r="K1106" s="293"/>
      <c r="L1106" s="293"/>
      <c r="M1106" s="279"/>
      <c r="N1106" s="279"/>
      <c r="O1106" s="279"/>
      <c r="P1106" s="291"/>
      <c r="Q1106" s="20"/>
      <c r="R1106" s="20"/>
      <c r="S1106" s="20"/>
      <c r="T1106" s="20"/>
      <c r="U1106" s="20"/>
      <c r="V1106" s="20"/>
      <c r="W1106" s="20"/>
      <c r="X1106" s="20"/>
      <c r="Y1106" s="20"/>
      <c r="Z1106" s="20"/>
      <c r="AA1106" s="20"/>
      <c r="AB1106" s="20"/>
    </row>
    <row r="1107" spans="1:28" ht="15.75" customHeight="1" x14ac:dyDescent="0.25">
      <c r="A1107" s="35"/>
      <c r="B1107" s="246"/>
      <c r="C1107" s="35"/>
      <c r="D1107" s="35"/>
      <c r="E1107" s="20"/>
      <c r="F1107" s="20"/>
      <c r="G1107" s="20"/>
      <c r="H1107" s="257"/>
      <c r="I1107" s="293"/>
      <c r="J1107" s="293"/>
      <c r="K1107" s="293"/>
      <c r="L1107" s="293"/>
      <c r="M1107" s="279"/>
      <c r="N1107" s="279"/>
      <c r="O1107" s="279"/>
      <c r="P1107" s="291"/>
      <c r="Q1107" s="20"/>
      <c r="R1107" s="20"/>
      <c r="S1107" s="20"/>
      <c r="T1107" s="20"/>
      <c r="U1107" s="20"/>
      <c r="V1107" s="20"/>
      <c r="W1107" s="20"/>
      <c r="X1107" s="20"/>
      <c r="Y1107" s="20"/>
      <c r="Z1107" s="20"/>
      <c r="AA1107" s="20"/>
      <c r="AB1107" s="20"/>
    </row>
    <row r="1108" spans="1:28" ht="15.75" customHeight="1" x14ac:dyDescent="0.25">
      <c r="A1108" s="35"/>
      <c r="B1108" s="246"/>
      <c r="C1108" s="35"/>
      <c r="D1108" s="35"/>
      <c r="E1108" s="20"/>
      <c r="F1108" s="20"/>
      <c r="G1108" s="20"/>
      <c r="H1108" s="257"/>
      <c r="I1108" s="293"/>
      <c r="J1108" s="293"/>
      <c r="K1108" s="293"/>
      <c r="L1108" s="293"/>
      <c r="M1108" s="279"/>
      <c r="N1108" s="279"/>
      <c r="O1108" s="279"/>
      <c r="P1108" s="291"/>
      <c r="Q1108" s="20"/>
      <c r="R1108" s="20"/>
      <c r="S1108" s="20"/>
      <c r="T1108" s="20"/>
      <c r="U1108" s="20"/>
      <c r="V1108" s="20"/>
      <c r="W1108" s="20"/>
      <c r="X1108" s="20"/>
      <c r="Y1108" s="20"/>
      <c r="Z1108" s="20"/>
      <c r="AA1108" s="20"/>
      <c r="AB1108" s="20"/>
    </row>
    <row r="1109" spans="1:28" ht="15.75" customHeight="1" x14ac:dyDescent="0.25">
      <c r="A1109" s="35"/>
      <c r="B1109" s="246"/>
      <c r="C1109" s="35"/>
      <c r="D1109" s="35"/>
      <c r="E1109" s="20"/>
      <c r="F1109" s="20"/>
      <c r="G1109" s="20"/>
      <c r="H1109" s="257"/>
      <c r="I1109" s="293"/>
      <c r="J1109" s="293"/>
      <c r="K1109" s="293"/>
      <c r="L1109" s="293"/>
      <c r="M1109" s="279"/>
      <c r="N1109" s="279"/>
      <c r="O1109" s="279"/>
      <c r="P1109" s="291"/>
      <c r="Q1109" s="20"/>
      <c r="R1109" s="20"/>
      <c r="S1109" s="20"/>
      <c r="T1109" s="20"/>
      <c r="U1109" s="20"/>
      <c r="V1109" s="20"/>
      <c r="W1109" s="20"/>
      <c r="X1109" s="20"/>
      <c r="Y1109" s="20"/>
      <c r="Z1109" s="20"/>
      <c r="AA1109" s="20"/>
      <c r="AB1109" s="20"/>
    </row>
  </sheetData>
  <mergeCells count="156">
    <mergeCell ref="A1:P1"/>
    <mergeCell ref="I5:P5"/>
    <mergeCell ref="N2:P4"/>
    <mergeCell ref="B30:C30"/>
    <mergeCell ref="B31:C31"/>
    <mergeCell ref="B32:C32"/>
    <mergeCell ref="B33:C33"/>
    <mergeCell ref="B2:M2"/>
    <mergeCell ref="B3:M3"/>
    <mergeCell ref="B4:M4"/>
    <mergeCell ref="B8:C8"/>
    <mergeCell ref="G33:H33"/>
    <mergeCell ref="D5:D6"/>
    <mergeCell ref="E5:E6"/>
    <mergeCell ref="F5:F6"/>
    <mergeCell ref="H5:H6"/>
    <mergeCell ref="G30:H30"/>
    <mergeCell ref="G31:H31"/>
    <mergeCell ref="G32:H32"/>
    <mergeCell ref="B34:C34"/>
    <mergeCell ref="B92:C92"/>
    <mergeCell ref="B93:C93"/>
    <mergeCell ref="B94:C94"/>
    <mergeCell ref="B95:C95"/>
    <mergeCell ref="B142:C142"/>
    <mergeCell ref="B143:C143"/>
    <mergeCell ref="A5:A6"/>
    <mergeCell ref="B5:C6"/>
    <mergeCell ref="B48:C48"/>
    <mergeCell ref="B44:C44"/>
    <mergeCell ref="B45:C45"/>
    <mergeCell ref="B46:C46"/>
    <mergeCell ref="B47:C47"/>
    <mergeCell ref="B91:C91"/>
    <mergeCell ref="B71:C71"/>
    <mergeCell ref="G423:H423"/>
    <mergeCell ref="G179:H179"/>
    <mergeCell ref="G218:H218"/>
    <mergeCell ref="G219:H219"/>
    <mergeCell ref="G220:H220"/>
    <mergeCell ref="G221:H221"/>
    <mergeCell ref="G424:H424"/>
    <mergeCell ref="G244:H244"/>
    <mergeCell ref="G245:H245"/>
    <mergeCell ref="G256:H256"/>
    <mergeCell ref="G311:H311"/>
    <mergeCell ref="B422:C422"/>
    <mergeCell ref="B423:C423"/>
    <mergeCell ref="B424:C424"/>
    <mergeCell ref="B425:C425"/>
    <mergeCell ref="B222:C222"/>
    <mergeCell ref="B246:C246"/>
    <mergeCell ref="G176:H176"/>
    <mergeCell ref="G177:H177"/>
    <mergeCell ref="G178:H178"/>
    <mergeCell ref="G253:H253"/>
    <mergeCell ref="G254:H254"/>
    <mergeCell ref="G255:H255"/>
    <mergeCell ref="G242:H242"/>
    <mergeCell ref="B242:C242"/>
    <mergeCell ref="G243:H243"/>
    <mergeCell ref="B243:C243"/>
    <mergeCell ref="B244:C244"/>
    <mergeCell ref="B245:C245"/>
    <mergeCell ref="B253:C253"/>
    <mergeCell ref="B254:C254"/>
    <mergeCell ref="B255:C255"/>
    <mergeCell ref="B176:C176"/>
    <mergeCell ref="G425:H425"/>
    <mergeCell ref="G422:H422"/>
    <mergeCell ref="B419:C419"/>
    <mergeCell ref="G94:H94"/>
    <mergeCell ref="G144:H144"/>
    <mergeCell ref="G145:H145"/>
    <mergeCell ref="B256:C256"/>
    <mergeCell ref="B218:C218"/>
    <mergeCell ref="B219:C219"/>
    <mergeCell ref="B220:C220"/>
    <mergeCell ref="B221:C221"/>
    <mergeCell ref="G142:H142"/>
    <mergeCell ref="G143:H143"/>
    <mergeCell ref="B144:C144"/>
    <mergeCell ref="B145:C145"/>
    <mergeCell ref="B258:C258"/>
    <mergeCell ref="B274:C274"/>
    <mergeCell ref="G274:H274"/>
    <mergeCell ref="B275:C275"/>
    <mergeCell ref="G275:H275"/>
    <mergeCell ref="B276:C276"/>
    <mergeCell ref="G276:H276"/>
    <mergeCell ref="B277:C277"/>
    <mergeCell ref="G277:H277"/>
    <mergeCell ref="B278:C278"/>
    <mergeCell ref="B311:C311"/>
    <mergeCell ref="G44:H44"/>
    <mergeCell ref="G45:H45"/>
    <mergeCell ref="G46:H46"/>
    <mergeCell ref="G47:H47"/>
    <mergeCell ref="B177:C177"/>
    <mergeCell ref="B178:C178"/>
    <mergeCell ref="B179:C179"/>
    <mergeCell ref="B146:C146"/>
    <mergeCell ref="B180:C180"/>
    <mergeCell ref="B67:C67"/>
    <mergeCell ref="B68:C68"/>
    <mergeCell ref="B69:C69"/>
    <mergeCell ref="B70:C70"/>
    <mergeCell ref="G67:H67"/>
    <mergeCell ref="G68:H68"/>
    <mergeCell ref="G69:H69"/>
    <mergeCell ref="G70:H70"/>
    <mergeCell ref="G91:H91"/>
    <mergeCell ref="G92:H92"/>
    <mergeCell ref="G93:H93"/>
    <mergeCell ref="B312:C312"/>
    <mergeCell ref="G312:H312"/>
    <mergeCell ref="B313:C313"/>
    <mergeCell ref="G313:H313"/>
    <mergeCell ref="B314:C314"/>
    <mergeCell ref="G314:H314"/>
    <mergeCell ref="B315:C315"/>
    <mergeCell ref="B337:C337"/>
    <mergeCell ref="G337:H337"/>
    <mergeCell ref="B338:C338"/>
    <mergeCell ref="G338:H338"/>
    <mergeCell ref="B339:C339"/>
    <mergeCell ref="G339:H339"/>
    <mergeCell ref="B340:C340"/>
    <mergeCell ref="G340:H340"/>
    <mergeCell ref="B341:C341"/>
    <mergeCell ref="B375:C375"/>
    <mergeCell ref="G375:H375"/>
    <mergeCell ref="B376:C376"/>
    <mergeCell ref="G376:H376"/>
    <mergeCell ref="B377:C377"/>
    <mergeCell ref="G377:H377"/>
    <mergeCell ref="B378:C378"/>
    <mergeCell ref="G378:H378"/>
    <mergeCell ref="B379:C379"/>
    <mergeCell ref="B399:C399"/>
    <mergeCell ref="G399:H399"/>
    <mergeCell ref="B416:C416"/>
    <mergeCell ref="G416:H416"/>
    <mergeCell ref="B417:C417"/>
    <mergeCell ref="G417:H417"/>
    <mergeCell ref="B418:C418"/>
    <mergeCell ref="G418:H418"/>
    <mergeCell ref="B400:C400"/>
    <mergeCell ref="G400:H400"/>
    <mergeCell ref="B401:C401"/>
    <mergeCell ref="G401:H401"/>
    <mergeCell ref="B402:C402"/>
    <mergeCell ref="G402:H402"/>
    <mergeCell ref="B403:C403"/>
    <mergeCell ref="B415:C415"/>
    <mergeCell ref="G415:H415"/>
  </mergeCells>
  <phoneticPr fontId="64" type="noConversion"/>
  <printOptions horizontalCentered="1"/>
  <pageMargins left="0.51181102362204722" right="0.27559055118110237" top="0.47" bottom="0.6" header="0" footer="0.27559055118110237"/>
  <pageSetup paperSize="9" scale="77" orientation="landscape" r:id="rId1"/>
  <headerFooter>
    <oddFooter>&amp;LMetrado de Acero Corrugado Construcción de Vivienda Multifamiliar - Villa el Salvador&amp;RPágina &amp;P de &amp;N</oddFooter>
  </headerFooter>
  <rowBreaks count="5" manualBreakCount="5">
    <brk id="70" max="14" man="1"/>
    <brk id="33" max="14" man="1"/>
    <brk id="221" max="14" man="1"/>
    <brk id="256" max="14" man="1"/>
    <brk id="179" max="14" man="1"/>
  </rowBreaks>
  <colBreaks count="1" manualBreakCount="1">
    <brk id="16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</sheetPr>
  <dimension ref="A1:Z1048506"/>
  <sheetViews>
    <sheetView view="pageBreakPreview" zoomScaleNormal="70" zoomScaleSheetLayoutView="100" workbookViewId="0">
      <pane ySplit="6" topLeftCell="A60" activePane="bottomLeft" state="frozen"/>
      <selection pane="bottomLeft" activeCell="C68" sqref="C68"/>
    </sheetView>
  </sheetViews>
  <sheetFormatPr baseColWidth="10" defaultColWidth="12.5546875" defaultRowHeight="13.2" outlineLevelRow="1" outlineLevelCol="1" x14ac:dyDescent="0.25"/>
  <cols>
    <col min="1" max="1" width="17.5546875" customWidth="1"/>
    <col min="2" max="2" width="18.33203125" customWidth="1"/>
    <col min="3" max="3" width="13.6640625" customWidth="1"/>
    <col min="4" max="4" width="8.5546875" customWidth="1"/>
    <col min="5" max="5" width="8.5546875" customWidth="1" outlineLevel="1"/>
    <col min="6" max="6" width="11.109375" customWidth="1" outlineLevel="1"/>
    <col min="7" max="7" width="9.5546875" customWidth="1" outlineLevel="1"/>
    <col min="8" max="8" width="9.44140625" customWidth="1" outlineLevel="1"/>
    <col min="9" max="9" width="9.5546875" customWidth="1" outlineLevel="1"/>
    <col min="10" max="10" width="11.21875" customWidth="1"/>
    <col min="11" max="26" width="11.44140625" customWidth="1"/>
  </cols>
  <sheetData>
    <row r="1" spans="1:26" ht="47.25" customHeight="1" x14ac:dyDescent="0.25">
      <c r="A1" s="792"/>
      <c r="B1" s="793"/>
      <c r="C1" s="793"/>
      <c r="D1" s="793"/>
      <c r="E1" s="793"/>
      <c r="F1" s="793"/>
      <c r="G1" s="793"/>
      <c r="H1" s="793"/>
      <c r="I1" s="793"/>
      <c r="J1" s="79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s="230" customFormat="1" ht="23.4" hidden="1" customHeight="1" outlineLevel="1" x14ac:dyDescent="0.25">
      <c r="A2" s="266" t="str">
        <f>Valorización!A2</f>
        <v xml:space="preserve">PROYECTO: </v>
      </c>
      <c r="B2" s="764">
        <f>Valorización!B2</f>
        <v>0</v>
      </c>
      <c r="C2" s="765"/>
      <c r="D2" s="765"/>
      <c r="E2" s="765"/>
      <c r="F2" s="765"/>
      <c r="G2" s="765"/>
      <c r="H2" s="766"/>
      <c r="I2" s="767"/>
      <c r="J2" s="767"/>
    </row>
    <row r="3" spans="1:26" s="230" customFormat="1" ht="23.4" hidden="1" customHeight="1" outlineLevel="1" x14ac:dyDescent="0.25">
      <c r="A3" s="266" t="str">
        <f>Valorización!A3</f>
        <v>PROPIETARIO(S) :</v>
      </c>
      <c r="B3" s="764">
        <f>Valorización!B3</f>
        <v>0</v>
      </c>
      <c r="C3" s="765"/>
      <c r="D3" s="765"/>
      <c r="E3" s="765"/>
      <c r="F3" s="765"/>
      <c r="G3" s="765"/>
      <c r="H3" s="766"/>
      <c r="I3" s="767"/>
      <c r="J3" s="767"/>
    </row>
    <row r="4" spans="1:26" s="230" customFormat="1" ht="33" hidden="1" customHeight="1" outlineLevel="1" x14ac:dyDescent="0.25">
      <c r="A4" s="266" t="str">
        <f>Valorización!A4</f>
        <v>UBICACIÓN:</v>
      </c>
      <c r="B4" s="768" t="s">
        <v>434</v>
      </c>
      <c r="C4" s="769"/>
      <c r="D4" s="769"/>
      <c r="E4" s="769"/>
      <c r="F4" s="769"/>
      <c r="G4" s="769"/>
      <c r="H4" s="770"/>
      <c r="I4" s="767"/>
      <c r="J4" s="767"/>
    </row>
    <row r="5" spans="1:26" ht="15" customHeight="1" collapsed="1" x14ac:dyDescent="0.25">
      <c r="A5" s="794" t="s">
        <v>0</v>
      </c>
      <c r="B5" s="796" t="s">
        <v>1</v>
      </c>
      <c r="C5" s="797"/>
      <c r="D5" s="794" t="s">
        <v>126</v>
      </c>
      <c r="E5" s="794" t="s">
        <v>28</v>
      </c>
      <c r="F5" s="801" t="s">
        <v>29</v>
      </c>
      <c r="G5" s="802"/>
      <c r="H5" s="803"/>
      <c r="I5" s="794" t="s">
        <v>30</v>
      </c>
      <c r="J5" s="848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 x14ac:dyDescent="0.25">
      <c r="A6" s="795"/>
      <c r="B6" s="798"/>
      <c r="C6" s="799"/>
      <c r="D6" s="800"/>
      <c r="E6" s="800"/>
      <c r="F6" s="4" t="s">
        <v>32</v>
      </c>
      <c r="G6" s="4" t="s">
        <v>33</v>
      </c>
      <c r="H6" s="4" t="s">
        <v>34</v>
      </c>
      <c r="I6" s="800"/>
      <c r="J6" s="849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s="521" customFormat="1" ht="15" customHeight="1" x14ac:dyDescent="0.2">
      <c r="A7" s="519" t="s">
        <v>347</v>
      </c>
      <c r="B7" s="613" t="s">
        <v>417</v>
      </c>
      <c r="C7" s="614"/>
      <c r="D7" s="519"/>
      <c r="E7" s="615"/>
      <c r="F7" s="615"/>
      <c r="G7" s="615"/>
      <c r="H7" s="615"/>
      <c r="I7" s="615"/>
      <c r="J7" s="615"/>
      <c r="K7" s="520"/>
      <c r="L7" s="520"/>
      <c r="M7" s="520"/>
      <c r="N7" s="520"/>
      <c r="O7" s="520"/>
      <c r="P7" s="520"/>
      <c r="Q7" s="520"/>
      <c r="R7" s="520"/>
      <c r="S7" s="520"/>
      <c r="T7" s="520"/>
      <c r="U7" s="520"/>
      <c r="V7" s="520"/>
      <c r="W7" s="520"/>
      <c r="X7" s="520"/>
      <c r="Y7" s="520"/>
      <c r="Z7" s="520"/>
    </row>
    <row r="8" spans="1:26" s="612" customFormat="1" ht="15" customHeight="1" x14ac:dyDescent="0.2">
      <c r="A8" s="607" t="s">
        <v>347</v>
      </c>
      <c r="B8" s="608" t="s">
        <v>317</v>
      </c>
      <c r="C8" s="609"/>
      <c r="D8" s="607"/>
      <c r="E8" s="610"/>
      <c r="F8" s="610"/>
      <c r="G8" s="610"/>
      <c r="H8" s="610"/>
      <c r="I8" s="610"/>
      <c r="J8" s="610"/>
      <c r="K8" s="611"/>
      <c r="L8" s="611"/>
      <c r="M8" s="611"/>
      <c r="N8" s="611"/>
      <c r="O8" s="611"/>
      <c r="P8" s="611"/>
      <c r="Q8" s="611"/>
      <c r="R8" s="611"/>
      <c r="S8" s="611"/>
      <c r="T8" s="611"/>
      <c r="U8" s="611"/>
      <c r="V8" s="611"/>
      <c r="W8" s="611"/>
      <c r="X8" s="611"/>
      <c r="Y8" s="611"/>
      <c r="Z8" s="611"/>
    </row>
    <row r="9" spans="1:26" s="523" customFormat="1" ht="15" customHeight="1" x14ac:dyDescent="0.2">
      <c r="A9" s="276" t="s">
        <v>348</v>
      </c>
      <c r="B9" s="524" t="s">
        <v>418</v>
      </c>
      <c r="C9" s="525"/>
      <c r="D9" s="276"/>
      <c r="E9" s="276"/>
      <c r="F9" s="276"/>
      <c r="G9" s="276"/>
      <c r="H9" s="276"/>
      <c r="I9" s="276"/>
      <c r="J9" s="276"/>
      <c r="K9" s="522"/>
      <c r="L9" s="522"/>
      <c r="M9" s="522"/>
      <c r="N9" s="522"/>
      <c r="O9" s="522"/>
      <c r="P9" s="522"/>
      <c r="Q9" s="522"/>
      <c r="R9" s="522"/>
      <c r="S9" s="522"/>
      <c r="T9" s="522"/>
      <c r="U9" s="522"/>
      <c r="V9" s="522"/>
      <c r="W9" s="522"/>
      <c r="X9" s="522"/>
      <c r="Y9" s="522"/>
      <c r="Z9" s="522"/>
    </row>
    <row r="10" spans="1:26" s="523" customFormat="1" ht="15" customHeight="1" x14ac:dyDescent="0.2">
      <c r="A10" s="526" t="s">
        <v>419</v>
      </c>
      <c r="B10" s="527" t="s">
        <v>189</v>
      </c>
      <c r="C10" s="527"/>
      <c r="D10" s="526" t="s">
        <v>408</v>
      </c>
      <c r="E10" s="526"/>
      <c r="F10" s="526"/>
      <c r="G10" s="526"/>
      <c r="H10" s="526"/>
      <c r="I10" s="526"/>
      <c r="J10" s="528">
        <f>SUM(I11:I23)</f>
        <v>92.25</v>
      </c>
      <c r="K10" s="522"/>
      <c r="L10" s="522"/>
      <c r="M10" s="522"/>
      <c r="N10" s="522"/>
      <c r="O10" s="522"/>
      <c r="P10" s="522"/>
      <c r="Q10" s="522"/>
      <c r="R10" s="522"/>
      <c r="S10" s="522"/>
      <c r="T10" s="522"/>
      <c r="U10" s="522"/>
      <c r="V10" s="522"/>
      <c r="W10" s="522"/>
      <c r="X10" s="522"/>
      <c r="Y10" s="522"/>
      <c r="Z10" s="522"/>
    </row>
    <row r="11" spans="1:26" s="523" customFormat="1" ht="10.199999999999999" outlineLevel="1" x14ac:dyDescent="0.2">
      <c r="A11" s="529"/>
      <c r="B11" s="530" t="s">
        <v>561</v>
      </c>
      <c r="C11" s="531"/>
      <c r="D11" s="532" t="s">
        <v>38</v>
      </c>
      <c r="E11" s="529">
        <v>1</v>
      </c>
      <c r="F11" s="457">
        <v>2.2000000000000002</v>
      </c>
      <c r="G11" s="532"/>
      <c r="H11" s="28">
        <v>3</v>
      </c>
      <c r="I11" s="532">
        <f t="shared" ref="I11:I19" si="0">PRODUCT(E11:H11)</f>
        <v>6.6000000000000005</v>
      </c>
      <c r="J11" s="534"/>
      <c r="K11" s="522"/>
      <c r="L11" s="522"/>
      <c r="M11" s="522"/>
      <c r="N11" s="522"/>
      <c r="O11" s="522"/>
      <c r="P11" s="522"/>
      <c r="Q11" s="522"/>
      <c r="R11" s="522"/>
      <c r="S11" s="522"/>
      <c r="T11" s="522"/>
      <c r="U11" s="522"/>
      <c r="V11" s="522"/>
      <c r="W11" s="522"/>
      <c r="X11" s="522"/>
      <c r="Y11" s="522"/>
      <c r="Z11" s="522"/>
    </row>
    <row r="12" spans="1:26" s="523" customFormat="1" ht="10.199999999999999" outlineLevel="1" x14ac:dyDescent="0.2">
      <c r="A12" s="529"/>
      <c r="B12" s="530" t="s">
        <v>562</v>
      </c>
      <c r="C12" s="531"/>
      <c r="D12" s="532" t="s">
        <v>38</v>
      </c>
      <c r="E12" s="529">
        <v>1</v>
      </c>
      <c r="F12" s="148">
        <v>3.95</v>
      </c>
      <c r="G12" s="532"/>
      <c r="H12" s="28">
        <v>3</v>
      </c>
      <c r="I12" s="532">
        <f t="shared" si="0"/>
        <v>11.850000000000001</v>
      </c>
      <c r="J12" s="534"/>
      <c r="K12" s="522"/>
      <c r="L12" s="522"/>
      <c r="M12" s="522"/>
      <c r="N12" s="522"/>
      <c r="O12" s="522"/>
      <c r="P12" s="522"/>
      <c r="Q12" s="522"/>
      <c r="R12" s="522"/>
      <c r="S12" s="522"/>
      <c r="T12" s="522"/>
      <c r="U12" s="522"/>
      <c r="V12" s="522"/>
      <c r="W12" s="522"/>
      <c r="X12" s="522"/>
      <c r="Y12" s="522"/>
      <c r="Z12" s="522"/>
    </row>
    <row r="13" spans="1:26" s="523" customFormat="1" ht="10.199999999999999" outlineLevel="1" x14ac:dyDescent="0.2">
      <c r="A13" s="529"/>
      <c r="B13" s="530" t="s">
        <v>563</v>
      </c>
      <c r="C13" s="531"/>
      <c r="D13" s="532" t="s">
        <v>38</v>
      </c>
      <c r="E13" s="529">
        <v>1</v>
      </c>
      <c r="F13" s="148">
        <v>2.2000000000000002</v>
      </c>
      <c r="G13" s="532"/>
      <c r="H13" s="28">
        <v>3</v>
      </c>
      <c r="I13" s="532">
        <f t="shared" si="0"/>
        <v>6.6000000000000005</v>
      </c>
      <c r="J13" s="534"/>
      <c r="K13" s="522"/>
      <c r="L13" s="522"/>
      <c r="M13" s="522"/>
      <c r="N13" s="522"/>
      <c r="O13" s="522"/>
      <c r="P13" s="522"/>
      <c r="Q13" s="522"/>
      <c r="R13" s="522"/>
      <c r="S13" s="522"/>
      <c r="T13" s="522"/>
      <c r="U13" s="522"/>
      <c r="V13" s="522"/>
      <c r="W13" s="522"/>
      <c r="X13" s="522"/>
      <c r="Y13" s="522"/>
      <c r="Z13" s="522"/>
    </row>
    <row r="14" spans="1:26" s="523" customFormat="1" ht="10.199999999999999" outlineLevel="1" x14ac:dyDescent="0.2">
      <c r="A14" s="529"/>
      <c r="B14" s="530" t="s">
        <v>564</v>
      </c>
      <c r="C14" s="531"/>
      <c r="D14" s="532" t="s">
        <v>38</v>
      </c>
      <c r="E14" s="529">
        <v>1</v>
      </c>
      <c r="F14" s="148">
        <v>1.8</v>
      </c>
      <c r="G14" s="532"/>
      <c r="H14" s="28">
        <v>3</v>
      </c>
      <c r="I14" s="532">
        <f t="shared" si="0"/>
        <v>5.4</v>
      </c>
      <c r="J14" s="534"/>
      <c r="K14" s="522"/>
      <c r="L14" s="522"/>
      <c r="M14" s="522"/>
      <c r="N14" s="522"/>
      <c r="O14" s="522"/>
      <c r="P14" s="522"/>
      <c r="Q14" s="522"/>
      <c r="R14" s="522"/>
      <c r="S14" s="522"/>
      <c r="T14" s="522"/>
      <c r="U14" s="522"/>
      <c r="V14" s="522"/>
      <c r="W14" s="522"/>
      <c r="X14" s="522"/>
      <c r="Y14" s="522"/>
      <c r="Z14" s="522"/>
    </row>
    <row r="15" spans="1:26" s="523" customFormat="1" ht="10.199999999999999" outlineLevel="1" x14ac:dyDescent="0.2">
      <c r="A15" s="529"/>
      <c r="B15" s="530" t="s">
        <v>565</v>
      </c>
      <c r="C15" s="531"/>
      <c r="D15" s="532" t="s">
        <v>38</v>
      </c>
      <c r="E15" s="529">
        <v>1</v>
      </c>
      <c r="F15" s="148">
        <v>1.2</v>
      </c>
      <c r="G15" s="532"/>
      <c r="H15" s="28">
        <v>3</v>
      </c>
      <c r="I15" s="532">
        <f t="shared" si="0"/>
        <v>3.5999999999999996</v>
      </c>
      <c r="J15" s="534"/>
      <c r="K15" s="522"/>
      <c r="L15" s="522"/>
      <c r="M15" s="522"/>
      <c r="N15" s="522"/>
      <c r="O15" s="522"/>
      <c r="P15" s="522"/>
      <c r="Q15" s="522"/>
      <c r="R15" s="522"/>
      <c r="S15" s="522"/>
      <c r="T15" s="522"/>
      <c r="U15" s="522"/>
      <c r="V15" s="522"/>
      <c r="W15" s="522"/>
      <c r="X15" s="522"/>
      <c r="Y15" s="522"/>
      <c r="Z15" s="522"/>
    </row>
    <row r="16" spans="1:26" s="523" customFormat="1" ht="10.199999999999999" outlineLevel="1" x14ac:dyDescent="0.2">
      <c r="A16" s="529"/>
      <c r="B16" s="530" t="s">
        <v>566</v>
      </c>
      <c r="C16" s="531"/>
      <c r="D16" s="532" t="s">
        <v>38</v>
      </c>
      <c r="E16" s="529">
        <v>1</v>
      </c>
      <c r="F16" s="148">
        <v>0.65</v>
      </c>
      <c r="G16" s="532"/>
      <c r="H16" s="28">
        <v>3</v>
      </c>
      <c r="I16" s="532">
        <f t="shared" si="0"/>
        <v>1.9500000000000002</v>
      </c>
      <c r="J16" s="534"/>
      <c r="K16" s="522"/>
      <c r="L16" s="522"/>
      <c r="M16" s="522"/>
      <c r="N16" s="522"/>
      <c r="O16" s="522"/>
      <c r="P16" s="522"/>
      <c r="Q16" s="522"/>
      <c r="R16" s="522"/>
      <c r="S16" s="522"/>
      <c r="T16" s="522"/>
      <c r="U16" s="522"/>
      <c r="V16" s="522"/>
      <c r="W16" s="522"/>
      <c r="X16" s="522"/>
      <c r="Y16" s="522"/>
      <c r="Z16" s="522"/>
    </row>
    <row r="17" spans="1:26" s="523" customFormat="1" ht="10.199999999999999" outlineLevel="1" x14ac:dyDescent="0.2">
      <c r="A17" s="529"/>
      <c r="B17" s="530" t="s">
        <v>567</v>
      </c>
      <c r="C17" s="531"/>
      <c r="D17" s="532" t="s">
        <v>38</v>
      </c>
      <c r="E17" s="529">
        <v>1</v>
      </c>
      <c r="F17" s="148">
        <v>2.4</v>
      </c>
      <c r="G17" s="532"/>
      <c r="H17" s="28">
        <v>3</v>
      </c>
      <c r="I17" s="532">
        <f t="shared" si="0"/>
        <v>7.1999999999999993</v>
      </c>
      <c r="J17" s="534"/>
      <c r="K17" s="522"/>
      <c r="L17" s="522"/>
      <c r="M17" s="522"/>
      <c r="N17" s="522"/>
      <c r="O17" s="522"/>
      <c r="P17" s="522"/>
      <c r="Q17" s="522"/>
      <c r="R17" s="522"/>
      <c r="S17" s="522"/>
      <c r="T17" s="522"/>
      <c r="U17" s="522"/>
      <c r="V17" s="522"/>
      <c r="W17" s="522"/>
      <c r="X17" s="522"/>
      <c r="Y17" s="522"/>
      <c r="Z17" s="522"/>
    </row>
    <row r="18" spans="1:26" s="523" customFormat="1" ht="10.199999999999999" outlineLevel="1" x14ac:dyDescent="0.2">
      <c r="A18" s="529"/>
      <c r="B18" s="530" t="s">
        <v>568</v>
      </c>
      <c r="C18" s="531"/>
      <c r="D18" s="532" t="s">
        <v>38</v>
      </c>
      <c r="E18" s="529">
        <v>1</v>
      </c>
      <c r="F18" s="148">
        <v>2.95</v>
      </c>
      <c r="G18" s="532"/>
      <c r="H18" s="28">
        <v>3</v>
      </c>
      <c r="I18" s="532">
        <f t="shared" si="0"/>
        <v>8.8500000000000014</v>
      </c>
      <c r="J18" s="534"/>
      <c r="K18" s="522"/>
      <c r="L18" s="522"/>
      <c r="M18" s="522"/>
      <c r="N18" s="522"/>
      <c r="O18" s="522"/>
      <c r="P18" s="522"/>
      <c r="Q18" s="522"/>
      <c r="R18" s="522"/>
      <c r="S18" s="522"/>
      <c r="T18" s="522"/>
      <c r="U18" s="522"/>
      <c r="V18" s="522"/>
      <c r="W18" s="522"/>
      <c r="X18" s="522"/>
      <c r="Y18" s="522"/>
      <c r="Z18" s="522"/>
    </row>
    <row r="19" spans="1:26" s="523" customFormat="1" ht="10.199999999999999" outlineLevel="1" x14ac:dyDescent="0.2">
      <c r="A19" s="529"/>
      <c r="B19" s="530" t="s">
        <v>569</v>
      </c>
      <c r="C19" s="531"/>
      <c r="D19" s="532" t="s">
        <v>38</v>
      </c>
      <c r="E19" s="529">
        <v>1</v>
      </c>
      <c r="F19" s="148">
        <v>3.2</v>
      </c>
      <c r="G19" s="532"/>
      <c r="H19" s="28">
        <v>3</v>
      </c>
      <c r="I19" s="532">
        <f t="shared" si="0"/>
        <v>9.6000000000000014</v>
      </c>
      <c r="J19" s="534"/>
      <c r="K19" s="522"/>
      <c r="L19" s="522"/>
      <c r="M19" s="522"/>
      <c r="N19" s="522"/>
      <c r="O19" s="522"/>
      <c r="P19" s="522"/>
      <c r="Q19" s="522"/>
      <c r="R19" s="522"/>
      <c r="S19" s="522"/>
      <c r="T19" s="522"/>
      <c r="U19" s="522"/>
      <c r="V19" s="522"/>
      <c r="W19" s="522"/>
      <c r="X19" s="522"/>
      <c r="Y19" s="522"/>
      <c r="Z19" s="522"/>
    </row>
    <row r="20" spans="1:26" s="523" customFormat="1" ht="10.199999999999999" outlineLevel="1" x14ac:dyDescent="0.2">
      <c r="A20" s="529"/>
      <c r="B20" s="530" t="s">
        <v>570</v>
      </c>
      <c r="C20" s="531"/>
      <c r="D20" s="532" t="s">
        <v>38</v>
      </c>
      <c r="E20" s="529">
        <v>1</v>
      </c>
      <c r="F20" s="457">
        <v>5.45</v>
      </c>
      <c r="G20" s="532"/>
      <c r="H20" s="28">
        <v>3</v>
      </c>
      <c r="I20" s="532">
        <f>PRODUCT(E20:H20)</f>
        <v>16.350000000000001</v>
      </c>
      <c r="J20" s="534"/>
      <c r="K20" s="522"/>
      <c r="L20" s="522"/>
      <c r="M20" s="522"/>
      <c r="N20" s="522"/>
      <c r="O20" s="522"/>
      <c r="P20" s="522"/>
      <c r="Q20" s="522"/>
      <c r="R20" s="522"/>
      <c r="S20" s="522"/>
      <c r="T20" s="522"/>
      <c r="U20" s="522"/>
      <c r="V20" s="522"/>
      <c r="W20" s="522"/>
      <c r="X20" s="522"/>
      <c r="Y20" s="522"/>
      <c r="Z20" s="522"/>
    </row>
    <row r="21" spans="1:26" s="523" customFormat="1" ht="10.199999999999999" outlineLevel="1" x14ac:dyDescent="0.2">
      <c r="A21" s="529"/>
      <c r="B21" s="530" t="s">
        <v>571</v>
      </c>
      <c r="C21" s="531"/>
      <c r="D21" s="532" t="s">
        <v>38</v>
      </c>
      <c r="E21" s="529">
        <v>1</v>
      </c>
      <c r="F21" s="457">
        <v>1.25</v>
      </c>
      <c r="G21" s="532"/>
      <c r="H21" s="28">
        <v>3</v>
      </c>
      <c r="I21" s="532">
        <f>PRODUCT(E21:H21)</f>
        <v>3.75</v>
      </c>
      <c r="J21" s="534"/>
      <c r="K21" s="522"/>
      <c r="L21" s="522"/>
      <c r="M21" s="522"/>
      <c r="N21" s="522"/>
      <c r="O21" s="522"/>
      <c r="P21" s="522"/>
      <c r="Q21" s="522"/>
      <c r="R21" s="522"/>
      <c r="S21" s="522"/>
      <c r="T21" s="522"/>
      <c r="U21" s="522"/>
      <c r="V21" s="522"/>
      <c r="W21" s="522"/>
      <c r="X21" s="522"/>
      <c r="Y21" s="522"/>
      <c r="Z21" s="522"/>
    </row>
    <row r="22" spans="1:26" s="523" customFormat="1" ht="10.199999999999999" outlineLevel="1" x14ac:dyDescent="0.2">
      <c r="A22" s="529"/>
      <c r="B22" s="530" t="s">
        <v>572</v>
      </c>
      <c r="C22" s="531"/>
      <c r="D22" s="532" t="s">
        <v>38</v>
      </c>
      <c r="E22" s="529">
        <v>1</v>
      </c>
      <c r="F22" s="457">
        <v>3.5</v>
      </c>
      <c r="G22" s="532"/>
      <c r="H22" s="28">
        <v>3</v>
      </c>
      <c r="I22" s="532">
        <f>PRODUCT(E22:H22)</f>
        <v>10.5</v>
      </c>
      <c r="J22" s="534"/>
      <c r="K22" s="522"/>
      <c r="L22" s="522"/>
      <c r="M22" s="522"/>
      <c r="N22" s="522"/>
      <c r="O22" s="522"/>
      <c r="P22" s="522"/>
      <c r="Q22" s="522"/>
      <c r="R22" s="522"/>
      <c r="S22" s="522"/>
      <c r="T22" s="522"/>
      <c r="U22" s="522"/>
      <c r="V22" s="522"/>
      <c r="W22" s="522"/>
      <c r="X22" s="522"/>
      <c r="Y22" s="522"/>
      <c r="Z22" s="522"/>
    </row>
    <row r="23" spans="1:26" s="523" customFormat="1" ht="15" customHeight="1" outlineLevel="1" x14ac:dyDescent="0.2">
      <c r="A23" s="529"/>
      <c r="B23" s="530"/>
      <c r="C23" s="531"/>
      <c r="D23" s="532"/>
      <c r="E23" s="529"/>
      <c r="F23" s="28"/>
      <c r="G23" s="535"/>
      <c r="H23" s="28"/>
      <c r="I23" s="532"/>
      <c r="J23" s="534"/>
      <c r="K23" s="522"/>
      <c r="L23" s="522"/>
      <c r="M23" s="522"/>
      <c r="N23" s="522"/>
      <c r="O23" s="522"/>
      <c r="P23" s="522"/>
      <c r="Q23" s="522"/>
      <c r="R23" s="522"/>
      <c r="S23" s="522"/>
      <c r="T23" s="522"/>
      <c r="U23" s="522"/>
      <c r="V23" s="522"/>
      <c r="W23" s="522"/>
      <c r="X23" s="522"/>
      <c r="Y23" s="522"/>
      <c r="Z23" s="522"/>
    </row>
    <row r="24" spans="1:26" s="523" customFormat="1" ht="15" customHeight="1" x14ac:dyDescent="0.2">
      <c r="A24" s="526" t="s">
        <v>419</v>
      </c>
      <c r="B24" s="527" t="s">
        <v>650</v>
      </c>
      <c r="C24" s="527"/>
      <c r="D24" s="526" t="s">
        <v>2</v>
      </c>
      <c r="E24" s="526"/>
      <c r="F24" s="526"/>
      <c r="G24" s="526"/>
      <c r="H24" s="526"/>
      <c r="I24" s="526"/>
      <c r="J24" s="528">
        <f>SUM(I25:I25)</f>
        <v>12</v>
      </c>
      <c r="K24" s="522"/>
      <c r="L24" s="522"/>
      <c r="M24" s="522"/>
      <c r="N24" s="522"/>
      <c r="O24" s="522"/>
      <c r="P24" s="522"/>
      <c r="Q24" s="522"/>
      <c r="R24" s="522"/>
      <c r="S24" s="522"/>
      <c r="T24" s="522"/>
      <c r="U24" s="522"/>
      <c r="V24" s="522"/>
      <c r="W24" s="522"/>
      <c r="X24" s="522"/>
      <c r="Y24" s="522"/>
      <c r="Z24" s="522"/>
    </row>
    <row r="25" spans="1:26" s="523" customFormat="1" ht="15" customHeight="1" outlineLevel="1" x14ac:dyDescent="0.2">
      <c r="A25" s="529"/>
      <c r="B25" s="530" t="s">
        <v>368</v>
      </c>
      <c r="C25" s="531"/>
      <c r="D25" s="532" t="s">
        <v>2</v>
      </c>
      <c r="E25" s="529">
        <v>12</v>
      </c>
      <c r="F25" s="28"/>
      <c r="G25" s="532"/>
      <c r="H25" s="28"/>
      <c r="I25" s="532">
        <f>PRODUCT(E25:H25)</f>
        <v>12</v>
      </c>
      <c r="J25" s="533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Y25" s="522"/>
      <c r="Z25" s="522"/>
    </row>
    <row r="26" spans="1:26" s="523" customFormat="1" ht="15" customHeight="1" outlineLevel="1" x14ac:dyDescent="0.2">
      <c r="A26" s="529"/>
      <c r="B26" s="536"/>
      <c r="C26" s="536"/>
      <c r="D26" s="537"/>
      <c r="E26" s="401"/>
      <c r="F26" s="401"/>
      <c r="G26" s="537"/>
      <c r="H26" s="401"/>
      <c r="I26" s="537"/>
      <c r="J26" s="538"/>
      <c r="K26" s="522"/>
      <c r="L26" s="522"/>
      <c r="M26" s="522"/>
      <c r="N26" s="522"/>
      <c r="O26" s="522"/>
      <c r="P26" s="522"/>
      <c r="Q26" s="522"/>
      <c r="R26" s="522"/>
      <c r="S26" s="522"/>
      <c r="T26" s="522"/>
      <c r="U26" s="522"/>
      <c r="V26" s="522"/>
      <c r="W26" s="522"/>
      <c r="X26" s="522"/>
      <c r="Y26" s="522"/>
      <c r="Z26" s="522"/>
    </row>
    <row r="27" spans="1:26" s="523" customFormat="1" ht="15" customHeight="1" x14ac:dyDescent="0.2">
      <c r="A27" s="276" t="s">
        <v>420</v>
      </c>
      <c r="B27" s="524" t="s">
        <v>409</v>
      </c>
      <c r="C27" s="525"/>
      <c r="D27" s="539"/>
      <c r="E27" s="539"/>
      <c r="F27" s="539"/>
      <c r="G27" s="539"/>
      <c r="H27" s="539"/>
      <c r="I27" s="539"/>
      <c r="J27" s="539"/>
      <c r="K27" s="522"/>
      <c r="L27" s="522"/>
      <c r="M27" s="522"/>
      <c r="N27" s="522"/>
      <c r="O27" s="522"/>
      <c r="P27" s="522"/>
      <c r="Q27" s="522"/>
      <c r="R27" s="522"/>
      <c r="S27" s="522"/>
      <c r="T27" s="522"/>
      <c r="U27" s="522"/>
      <c r="V27" s="522"/>
      <c r="W27" s="522"/>
      <c r="X27" s="522"/>
      <c r="Y27" s="522"/>
      <c r="Z27" s="522"/>
    </row>
    <row r="28" spans="1:26" s="523" customFormat="1" ht="15" customHeight="1" x14ac:dyDescent="0.2">
      <c r="A28" s="526" t="s">
        <v>421</v>
      </c>
      <c r="B28" s="540" t="s">
        <v>410</v>
      </c>
      <c r="C28" s="541"/>
      <c r="D28" s="542" t="s">
        <v>408</v>
      </c>
      <c r="E28" s="542"/>
      <c r="F28" s="542"/>
      <c r="G28" s="526"/>
      <c r="H28" s="526"/>
      <c r="I28" s="526"/>
      <c r="J28" s="528">
        <f>SUM(I29:I41)</f>
        <v>184.5</v>
      </c>
      <c r="K28" s="522"/>
      <c r="L28" s="522"/>
      <c r="M28" s="522"/>
      <c r="N28" s="522"/>
      <c r="O28" s="522"/>
      <c r="P28" s="522"/>
      <c r="Q28" s="522"/>
      <c r="R28" s="522"/>
      <c r="S28" s="522"/>
      <c r="T28" s="522"/>
      <c r="U28" s="522"/>
      <c r="V28" s="522"/>
      <c r="W28" s="522"/>
      <c r="X28" s="522"/>
      <c r="Y28" s="522"/>
      <c r="Z28" s="522"/>
    </row>
    <row r="29" spans="1:26" s="523" customFormat="1" ht="15" customHeight="1" outlineLevel="1" x14ac:dyDescent="0.2">
      <c r="A29" s="543"/>
      <c r="B29" s="530" t="s">
        <v>561</v>
      </c>
      <c r="C29" s="531"/>
      <c r="D29" s="532" t="s">
        <v>38</v>
      </c>
      <c r="E29" s="529">
        <v>2</v>
      </c>
      <c r="F29" s="457">
        <v>2.2000000000000002</v>
      </c>
      <c r="G29" s="532"/>
      <c r="H29" s="28">
        <v>3</v>
      </c>
      <c r="I29" s="532">
        <f t="shared" ref="I29:I40" si="1">PRODUCT(E29:H29)</f>
        <v>13.200000000000001</v>
      </c>
      <c r="J29" s="533"/>
      <c r="K29" s="522"/>
      <c r="L29" s="522"/>
      <c r="M29" s="522"/>
      <c r="N29" s="522"/>
      <c r="O29" s="522"/>
      <c r="P29" s="522"/>
      <c r="Q29" s="522"/>
      <c r="R29" s="522"/>
      <c r="S29" s="522"/>
      <c r="T29" s="522"/>
      <c r="U29" s="522"/>
      <c r="V29" s="522"/>
      <c r="W29" s="522"/>
      <c r="X29" s="522"/>
      <c r="Y29" s="522"/>
      <c r="Z29" s="522"/>
    </row>
    <row r="30" spans="1:26" s="523" customFormat="1" ht="15" customHeight="1" outlineLevel="1" x14ac:dyDescent="0.2">
      <c r="A30" s="543"/>
      <c r="B30" s="530" t="s">
        <v>562</v>
      </c>
      <c r="C30" s="531"/>
      <c r="D30" s="532" t="s">
        <v>38</v>
      </c>
      <c r="E30" s="529">
        <v>2</v>
      </c>
      <c r="F30" s="148">
        <v>3.95</v>
      </c>
      <c r="G30" s="532"/>
      <c r="H30" s="28">
        <v>3</v>
      </c>
      <c r="I30" s="532">
        <f t="shared" si="1"/>
        <v>23.700000000000003</v>
      </c>
      <c r="J30" s="534"/>
      <c r="K30" s="522"/>
      <c r="L30" s="522"/>
      <c r="M30" s="522"/>
      <c r="N30" s="522"/>
      <c r="O30" s="522"/>
      <c r="P30" s="522"/>
      <c r="Q30" s="522"/>
      <c r="R30" s="522"/>
      <c r="S30" s="522"/>
      <c r="T30" s="522"/>
      <c r="U30" s="522"/>
      <c r="V30" s="522"/>
      <c r="W30" s="522"/>
      <c r="X30" s="522"/>
      <c r="Y30" s="522"/>
      <c r="Z30" s="522"/>
    </row>
    <row r="31" spans="1:26" s="523" customFormat="1" ht="15" customHeight="1" outlineLevel="1" x14ac:dyDescent="0.2">
      <c r="A31" s="543"/>
      <c r="B31" s="530" t="s">
        <v>563</v>
      </c>
      <c r="C31" s="531"/>
      <c r="D31" s="532" t="s">
        <v>38</v>
      </c>
      <c r="E31" s="529">
        <v>2</v>
      </c>
      <c r="F31" s="148">
        <v>2.2000000000000002</v>
      </c>
      <c r="G31" s="532"/>
      <c r="H31" s="28">
        <v>3</v>
      </c>
      <c r="I31" s="532">
        <f t="shared" si="1"/>
        <v>13.200000000000001</v>
      </c>
      <c r="J31" s="544"/>
      <c r="K31" s="522"/>
      <c r="L31" s="522"/>
      <c r="M31" s="522"/>
      <c r="N31" s="522"/>
      <c r="O31" s="522"/>
      <c r="P31" s="522"/>
      <c r="Q31" s="522"/>
      <c r="R31" s="522"/>
      <c r="S31" s="522"/>
      <c r="T31" s="522"/>
      <c r="U31" s="522"/>
      <c r="V31" s="522"/>
      <c r="W31" s="522"/>
      <c r="X31" s="522"/>
      <c r="Y31" s="522"/>
      <c r="Z31" s="522"/>
    </row>
    <row r="32" spans="1:26" s="523" customFormat="1" ht="15" customHeight="1" outlineLevel="1" x14ac:dyDescent="0.2">
      <c r="A32" s="543"/>
      <c r="B32" s="530" t="s">
        <v>564</v>
      </c>
      <c r="C32" s="531"/>
      <c r="D32" s="532" t="s">
        <v>38</v>
      </c>
      <c r="E32" s="529">
        <v>2</v>
      </c>
      <c r="F32" s="148">
        <v>1.8</v>
      </c>
      <c r="G32" s="532"/>
      <c r="H32" s="28">
        <v>3</v>
      </c>
      <c r="I32" s="532">
        <f t="shared" si="1"/>
        <v>10.8</v>
      </c>
      <c r="J32" s="545"/>
      <c r="K32" s="522"/>
      <c r="L32" s="522"/>
      <c r="M32" s="522"/>
      <c r="N32" s="522"/>
      <c r="O32" s="522"/>
      <c r="P32" s="522"/>
      <c r="Q32" s="522"/>
      <c r="R32" s="522"/>
      <c r="S32" s="522"/>
      <c r="T32" s="522"/>
      <c r="U32" s="522"/>
      <c r="V32" s="522"/>
      <c r="W32" s="522"/>
      <c r="X32" s="522"/>
      <c r="Y32" s="522"/>
      <c r="Z32" s="522"/>
    </row>
    <row r="33" spans="1:26" s="523" customFormat="1" ht="15" customHeight="1" outlineLevel="1" x14ac:dyDescent="0.2">
      <c r="A33" s="543"/>
      <c r="B33" s="530" t="s">
        <v>565</v>
      </c>
      <c r="C33" s="531"/>
      <c r="D33" s="532" t="s">
        <v>38</v>
      </c>
      <c r="E33" s="529">
        <v>2</v>
      </c>
      <c r="F33" s="148">
        <v>1.2</v>
      </c>
      <c r="G33" s="532"/>
      <c r="H33" s="28">
        <v>3</v>
      </c>
      <c r="I33" s="532">
        <f t="shared" si="1"/>
        <v>7.1999999999999993</v>
      </c>
      <c r="J33" s="545"/>
      <c r="K33" s="522"/>
      <c r="L33" s="522"/>
      <c r="M33" s="522"/>
      <c r="N33" s="522"/>
      <c r="O33" s="522"/>
      <c r="P33" s="522"/>
      <c r="Q33" s="522"/>
      <c r="R33" s="522"/>
      <c r="S33" s="522"/>
      <c r="T33" s="522"/>
      <c r="U33" s="522"/>
      <c r="V33" s="522"/>
      <c r="W33" s="522"/>
      <c r="X33" s="522"/>
      <c r="Y33" s="522"/>
      <c r="Z33" s="522"/>
    </row>
    <row r="34" spans="1:26" s="523" customFormat="1" ht="15" customHeight="1" outlineLevel="1" x14ac:dyDescent="0.2">
      <c r="A34" s="543"/>
      <c r="B34" s="530" t="s">
        <v>566</v>
      </c>
      <c r="C34" s="531"/>
      <c r="D34" s="532" t="s">
        <v>38</v>
      </c>
      <c r="E34" s="529">
        <v>2</v>
      </c>
      <c r="F34" s="148">
        <v>0.65</v>
      </c>
      <c r="G34" s="532"/>
      <c r="H34" s="28">
        <v>3</v>
      </c>
      <c r="I34" s="532">
        <f t="shared" si="1"/>
        <v>3.9000000000000004</v>
      </c>
      <c r="J34" s="545"/>
      <c r="K34" s="522"/>
      <c r="L34" s="522"/>
      <c r="M34" s="522"/>
      <c r="N34" s="522"/>
      <c r="O34" s="522"/>
      <c r="P34" s="522"/>
      <c r="Q34" s="522"/>
      <c r="R34" s="522"/>
      <c r="S34" s="522"/>
      <c r="T34" s="522"/>
      <c r="U34" s="522"/>
      <c r="V34" s="522"/>
      <c r="W34" s="522"/>
      <c r="X34" s="522"/>
      <c r="Y34" s="522"/>
      <c r="Z34" s="522"/>
    </row>
    <row r="35" spans="1:26" s="523" customFormat="1" ht="15" customHeight="1" outlineLevel="1" x14ac:dyDescent="0.2">
      <c r="A35" s="543"/>
      <c r="B35" s="530" t="s">
        <v>567</v>
      </c>
      <c r="C35" s="531"/>
      <c r="D35" s="532" t="s">
        <v>38</v>
      </c>
      <c r="E35" s="529">
        <v>2</v>
      </c>
      <c r="F35" s="148">
        <v>2.4</v>
      </c>
      <c r="G35" s="532"/>
      <c r="H35" s="28">
        <v>3</v>
      </c>
      <c r="I35" s="532">
        <f t="shared" si="1"/>
        <v>14.399999999999999</v>
      </c>
      <c r="J35" s="546"/>
      <c r="K35" s="522"/>
      <c r="L35" s="522"/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Y35" s="522"/>
      <c r="Z35" s="522"/>
    </row>
    <row r="36" spans="1:26" s="523" customFormat="1" ht="15" customHeight="1" outlineLevel="1" x14ac:dyDescent="0.2">
      <c r="A36" s="543"/>
      <c r="B36" s="530" t="s">
        <v>568</v>
      </c>
      <c r="C36" s="531"/>
      <c r="D36" s="532" t="s">
        <v>38</v>
      </c>
      <c r="E36" s="529">
        <v>2</v>
      </c>
      <c r="F36" s="148">
        <v>2.95</v>
      </c>
      <c r="G36" s="532"/>
      <c r="H36" s="28">
        <v>3</v>
      </c>
      <c r="I36" s="532">
        <f t="shared" si="1"/>
        <v>17.700000000000003</v>
      </c>
      <c r="J36" s="546"/>
      <c r="K36" s="522"/>
      <c r="L36" s="522"/>
      <c r="M36" s="522"/>
      <c r="N36" s="522"/>
      <c r="O36" s="522"/>
      <c r="P36" s="522"/>
      <c r="Q36" s="522"/>
      <c r="R36" s="522"/>
      <c r="S36" s="522"/>
      <c r="T36" s="522"/>
      <c r="U36" s="522"/>
      <c r="V36" s="522"/>
      <c r="W36" s="522"/>
      <c r="X36" s="522"/>
      <c r="Y36" s="522"/>
      <c r="Z36" s="522"/>
    </row>
    <row r="37" spans="1:26" s="523" customFormat="1" ht="15" customHeight="1" outlineLevel="1" x14ac:dyDescent="0.2">
      <c r="A37" s="543"/>
      <c r="B37" s="530" t="s">
        <v>569</v>
      </c>
      <c r="C37" s="531"/>
      <c r="D37" s="532" t="s">
        <v>38</v>
      </c>
      <c r="E37" s="529">
        <v>2</v>
      </c>
      <c r="F37" s="148">
        <v>3.2</v>
      </c>
      <c r="G37" s="532"/>
      <c r="H37" s="28">
        <v>3</v>
      </c>
      <c r="I37" s="532">
        <f t="shared" si="1"/>
        <v>19.200000000000003</v>
      </c>
      <c r="J37" s="546"/>
      <c r="K37" s="522"/>
      <c r="L37" s="522"/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Y37" s="522"/>
      <c r="Z37" s="522"/>
    </row>
    <row r="38" spans="1:26" s="523" customFormat="1" ht="15" customHeight="1" outlineLevel="1" x14ac:dyDescent="0.2">
      <c r="A38" s="543"/>
      <c r="B38" s="530" t="s">
        <v>570</v>
      </c>
      <c r="C38" s="531"/>
      <c r="D38" s="532" t="s">
        <v>38</v>
      </c>
      <c r="E38" s="529">
        <v>2</v>
      </c>
      <c r="F38" s="457">
        <v>5.45</v>
      </c>
      <c r="G38" s="532"/>
      <c r="H38" s="28">
        <v>3</v>
      </c>
      <c r="I38" s="532">
        <f t="shared" si="1"/>
        <v>32.700000000000003</v>
      </c>
      <c r="J38" s="546"/>
      <c r="K38" s="522"/>
      <c r="L38" s="522"/>
      <c r="M38" s="522"/>
      <c r="N38" s="522"/>
      <c r="O38" s="522"/>
      <c r="P38" s="522"/>
      <c r="Q38" s="522"/>
      <c r="R38" s="522"/>
      <c r="S38" s="522"/>
      <c r="T38" s="522"/>
      <c r="U38" s="522"/>
      <c r="V38" s="522"/>
      <c r="W38" s="522"/>
      <c r="X38" s="522"/>
      <c r="Y38" s="522"/>
      <c r="Z38" s="522"/>
    </row>
    <row r="39" spans="1:26" s="523" customFormat="1" ht="15" customHeight="1" outlineLevel="1" x14ac:dyDescent="0.2">
      <c r="A39" s="543"/>
      <c r="B39" s="530" t="s">
        <v>571</v>
      </c>
      <c r="C39" s="531"/>
      <c r="D39" s="532" t="s">
        <v>38</v>
      </c>
      <c r="E39" s="529">
        <v>2</v>
      </c>
      <c r="F39" s="457">
        <v>1.25</v>
      </c>
      <c r="G39" s="532"/>
      <c r="H39" s="28">
        <v>3</v>
      </c>
      <c r="I39" s="532">
        <f t="shared" si="1"/>
        <v>7.5</v>
      </c>
      <c r="J39" s="546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Y39" s="522"/>
      <c r="Z39" s="522"/>
    </row>
    <row r="40" spans="1:26" s="523" customFormat="1" ht="15" customHeight="1" outlineLevel="1" x14ac:dyDescent="0.2">
      <c r="A40" s="543"/>
      <c r="B40" s="530" t="s">
        <v>572</v>
      </c>
      <c r="C40" s="531"/>
      <c r="D40" s="532" t="s">
        <v>38</v>
      </c>
      <c r="E40" s="529">
        <v>2</v>
      </c>
      <c r="F40" s="457">
        <v>3.5</v>
      </c>
      <c r="G40" s="532"/>
      <c r="H40" s="28">
        <v>3</v>
      </c>
      <c r="I40" s="532">
        <f t="shared" si="1"/>
        <v>21</v>
      </c>
      <c r="J40" s="546"/>
      <c r="K40" s="522"/>
      <c r="L40" s="522"/>
      <c r="M40" s="522"/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Y40" s="522"/>
      <c r="Z40" s="522"/>
    </row>
    <row r="41" spans="1:26" s="523" customFormat="1" ht="15" customHeight="1" outlineLevel="1" x14ac:dyDescent="0.2">
      <c r="A41" s="543"/>
      <c r="B41" s="530"/>
      <c r="C41" s="531"/>
      <c r="D41" s="532"/>
      <c r="E41" s="148"/>
      <c r="F41" s="134"/>
      <c r="G41" s="547"/>
      <c r="H41" s="134"/>
      <c r="I41" s="532"/>
      <c r="J41" s="546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Y41" s="522"/>
      <c r="Z41" s="522"/>
    </row>
    <row r="42" spans="1:26" s="523" customFormat="1" ht="15.75" customHeight="1" x14ac:dyDescent="0.2">
      <c r="A42" s="526" t="s">
        <v>422</v>
      </c>
      <c r="B42" s="548" t="s">
        <v>630</v>
      </c>
      <c r="C42" s="527"/>
      <c r="D42" s="526" t="s">
        <v>408</v>
      </c>
      <c r="E42" s="526"/>
      <c r="F42" s="526"/>
      <c r="G42" s="526"/>
      <c r="H42" s="526"/>
      <c r="I42" s="526"/>
      <c r="J42" s="528">
        <f>SUM(I43:I71)</f>
        <v>96.75200000000001</v>
      </c>
      <c r="K42" s="522"/>
      <c r="L42" s="522"/>
      <c r="M42" s="522"/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Y42" s="522"/>
      <c r="Z42" s="522"/>
    </row>
    <row r="43" spans="1:26" s="523" customFormat="1" ht="15.75" customHeight="1" outlineLevel="1" x14ac:dyDescent="0.2">
      <c r="A43" s="28"/>
      <c r="B43" s="549" t="s">
        <v>72</v>
      </c>
      <c r="C43" s="536"/>
      <c r="D43" s="148" t="s">
        <v>38</v>
      </c>
      <c r="E43" s="148">
        <v>1</v>
      </c>
      <c r="F43" s="28" t="s">
        <v>402</v>
      </c>
      <c r="G43" s="28">
        <v>0.9</v>
      </c>
      <c r="H43" s="28">
        <v>3</v>
      </c>
      <c r="I43" s="532">
        <f t="shared" ref="I43:I70" si="2">PRODUCT(E43:H43)</f>
        <v>2.7</v>
      </c>
      <c r="J43" s="550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Y43" s="522"/>
      <c r="Z43" s="522"/>
    </row>
    <row r="44" spans="1:26" s="523" customFormat="1" ht="15.75" customHeight="1" outlineLevel="1" x14ac:dyDescent="0.2">
      <c r="A44" s="28"/>
      <c r="B44" s="549" t="s">
        <v>509</v>
      </c>
      <c r="C44" s="536"/>
      <c r="D44" s="148" t="s">
        <v>38</v>
      </c>
      <c r="E44" s="148">
        <v>1</v>
      </c>
      <c r="F44" s="28" t="s">
        <v>402</v>
      </c>
      <c r="G44" s="28">
        <v>1.1499999999999999</v>
      </c>
      <c r="H44" s="28">
        <v>3</v>
      </c>
      <c r="I44" s="532">
        <f t="shared" si="2"/>
        <v>3.4499999999999997</v>
      </c>
      <c r="J44" s="551"/>
      <c r="K44" s="522"/>
      <c r="L44" s="522"/>
      <c r="M44" s="522"/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Y44" s="522"/>
      <c r="Z44" s="522"/>
    </row>
    <row r="45" spans="1:26" s="523" customFormat="1" ht="15.75" customHeight="1" outlineLevel="1" x14ac:dyDescent="0.2">
      <c r="A45" s="28"/>
      <c r="B45" s="549" t="s">
        <v>388</v>
      </c>
      <c r="C45" s="536"/>
      <c r="D45" s="148" t="s">
        <v>38</v>
      </c>
      <c r="E45" s="148">
        <v>1</v>
      </c>
      <c r="F45" s="28" t="s">
        <v>402</v>
      </c>
      <c r="G45" s="28">
        <v>0.8</v>
      </c>
      <c r="H45" s="28">
        <v>3</v>
      </c>
      <c r="I45" s="532">
        <f t="shared" si="2"/>
        <v>2.4000000000000004</v>
      </c>
      <c r="J45" s="551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Y45" s="522"/>
      <c r="Z45" s="522"/>
    </row>
    <row r="46" spans="1:26" s="523" customFormat="1" ht="15.75" customHeight="1" outlineLevel="1" x14ac:dyDescent="0.2">
      <c r="A46" s="28"/>
      <c r="B46" s="549" t="s">
        <v>517</v>
      </c>
      <c r="C46" s="536"/>
      <c r="D46" s="148" t="s">
        <v>38</v>
      </c>
      <c r="E46" s="148">
        <v>1</v>
      </c>
      <c r="F46" s="28" t="s">
        <v>402</v>
      </c>
      <c r="G46" s="28">
        <v>0.9</v>
      </c>
      <c r="H46" s="28">
        <v>3</v>
      </c>
      <c r="I46" s="532">
        <f t="shared" si="2"/>
        <v>2.7</v>
      </c>
      <c r="J46" s="551"/>
      <c r="K46" s="522"/>
      <c r="L46" s="522"/>
      <c r="M46" s="522"/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Y46" s="522"/>
      <c r="Z46" s="522"/>
    </row>
    <row r="47" spans="1:26" s="523" customFormat="1" ht="15.75" customHeight="1" outlineLevel="1" x14ac:dyDescent="0.2">
      <c r="A47" s="28"/>
      <c r="B47" s="549" t="s">
        <v>652</v>
      </c>
      <c r="C47" s="536"/>
      <c r="D47" s="148" t="s">
        <v>38</v>
      </c>
      <c r="E47" s="148">
        <v>1</v>
      </c>
      <c r="F47" s="28" t="s">
        <v>402</v>
      </c>
      <c r="G47" s="28">
        <v>0.8</v>
      </c>
      <c r="H47" s="28">
        <v>3</v>
      </c>
      <c r="I47" s="532">
        <f t="shared" si="2"/>
        <v>2.4000000000000004</v>
      </c>
      <c r="J47" s="551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Y47" s="522"/>
      <c r="Z47" s="522"/>
    </row>
    <row r="48" spans="1:26" s="523" customFormat="1" ht="15.75" customHeight="1" outlineLevel="1" x14ac:dyDescent="0.2">
      <c r="A48" s="28"/>
      <c r="B48" s="549" t="s">
        <v>653</v>
      </c>
      <c r="C48" s="536"/>
      <c r="D48" s="148" t="s">
        <v>38</v>
      </c>
      <c r="E48" s="148">
        <v>1</v>
      </c>
      <c r="F48" s="28" t="s">
        <v>402</v>
      </c>
      <c r="G48" s="28">
        <v>0.9</v>
      </c>
      <c r="H48" s="28">
        <v>3</v>
      </c>
      <c r="I48" s="532">
        <f t="shared" si="2"/>
        <v>2.7</v>
      </c>
      <c r="J48" s="551"/>
      <c r="K48" s="522"/>
      <c r="L48" s="522"/>
      <c r="M48" s="522"/>
      <c r="N48" s="522"/>
      <c r="O48" s="522"/>
      <c r="P48" s="522"/>
      <c r="Q48" s="522"/>
      <c r="R48" s="522"/>
      <c r="S48" s="522"/>
      <c r="T48" s="522"/>
      <c r="U48" s="522"/>
      <c r="V48" s="522"/>
      <c r="W48" s="522"/>
      <c r="X48" s="522"/>
      <c r="Y48" s="522"/>
      <c r="Z48" s="522"/>
    </row>
    <row r="49" spans="1:26" s="523" customFormat="1" ht="15.75" customHeight="1" outlineLevel="1" x14ac:dyDescent="0.2">
      <c r="A49" s="28"/>
      <c r="B49" s="549" t="s">
        <v>654</v>
      </c>
      <c r="C49" s="536"/>
      <c r="D49" s="148" t="s">
        <v>38</v>
      </c>
      <c r="E49" s="148">
        <v>1</v>
      </c>
      <c r="F49" s="28" t="s">
        <v>402</v>
      </c>
      <c r="G49" s="28">
        <v>0.67500000000000004</v>
      </c>
      <c r="H49" s="28">
        <v>3</v>
      </c>
      <c r="I49" s="532">
        <f t="shared" si="2"/>
        <v>2.0250000000000004</v>
      </c>
      <c r="J49" s="551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Y49" s="522"/>
      <c r="Z49" s="522"/>
    </row>
    <row r="50" spans="1:26" s="523" customFormat="1" ht="15.75" customHeight="1" outlineLevel="1" x14ac:dyDescent="0.2">
      <c r="A50" s="28"/>
      <c r="B50" s="549"/>
      <c r="C50" s="536"/>
      <c r="D50" s="148"/>
      <c r="E50" s="148"/>
      <c r="F50" s="28"/>
      <c r="G50" s="28"/>
      <c r="H50" s="28"/>
      <c r="I50" s="532"/>
      <c r="J50" s="551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Y50" s="522"/>
      <c r="Z50" s="522"/>
    </row>
    <row r="51" spans="1:26" s="523" customFormat="1" ht="15.75" customHeight="1" outlineLevel="1" x14ac:dyDescent="0.2">
      <c r="A51" s="28"/>
      <c r="B51" s="549" t="s">
        <v>655</v>
      </c>
      <c r="C51" s="536"/>
      <c r="D51" s="148" t="s">
        <v>38</v>
      </c>
      <c r="E51" s="148">
        <v>1</v>
      </c>
      <c r="F51" s="28" t="s">
        <v>402</v>
      </c>
      <c r="G51" s="28">
        <v>0.25</v>
      </c>
      <c r="H51" s="28">
        <v>2.7</v>
      </c>
      <c r="I51" s="532">
        <f t="shared" si="2"/>
        <v>0.67500000000000004</v>
      </c>
      <c r="J51" s="551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Y51" s="522"/>
      <c r="Z51" s="522"/>
    </row>
    <row r="52" spans="1:26" s="523" customFormat="1" ht="15.75" customHeight="1" outlineLevel="1" x14ac:dyDescent="0.2">
      <c r="A52" s="28"/>
      <c r="B52" s="549" t="s">
        <v>656</v>
      </c>
      <c r="C52" s="536"/>
      <c r="D52" s="148" t="s">
        <v>38</v>
      </c>
      <c r="E52" s="148">
        <v>2</v>
      </c>
      <c r="F52" s="28" t="s">
        <v>402</v>
      </c>
      <c r="G52" s="28">
        <v>0.24</v>
      </c>
      <c r="H52" s="28">
        <v>2.7</v>
      </c>
      <c r="I52" s="532">
        <f t="shared" si="2"/>
        <v>1.296</v>
      </c>
      <c r="J52" s="551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Y52" s="522"/>
      <c r="Z52" s="522"/>
    </row>
    <row r="53" spans="1:26" s="523" customFormat="1" ht="15.75" customHeight="1" outlineLevel="1" x14ac:dyDescent="0.2">
      <c r="A53" s="28"/>
      <c r="B53" s="549" t="s">
        <v>657</v>
      </c>
      <c r="C53" s="536"/>
      <c r="D53" s="148" t="s">
        <v>38</v>
      </c>
      <c r="E53" s="148">
        <v>1</v>
      </c>
      <c r="F53" s="28" t="s">
        <v>402</v>
      </c>
      <c r="G53" s="28">
        <v>0.63</v>
      </c>
      <c r="H53" s="28">
        <v>2.7</v>
      </c>
      <c r="I53" s="532">
        <f t="shared" si="2"/>
        <v>1.7010000000000001</v>
      </c>
      <c r="J53" s="551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Y53" s="522"/>
      <c r="Z53" s="522"/>
    </row>
    <row r="54" spans="1:26" s="523" customFormat="1" ht="15.75" customHeight="1" outlineLevel="1" x14ac:dyDescent="0.2">
      <c r="A54" s="28"/>
      <c r="B54" s="549" t="s">
        <v>658</v>
      </c>
      <c r="C54" s="536"/>
      <c r="D54" s="148" t="s">
        <v>38</v>
      </c>
      <c r="E54" s="148">
        <v>1</v>
      </c>
      <c r="F54" s="28" t="s">
        <v>402</v>
      </c>
      <c r="G54" s="28">
        <v>0.25</v>
      </c>
      <c r="H54" s="28">
        <v>2.8</v>
      </c>
      <c r="I54" s="532">
        <f t="shared" si="2"/>
        <v>0.7</v>
      </c>
      <c r="J54" s="551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Y54" s="522"/>
      <c r="Z54" s="522"/>
    </row>
    <row r="55" spans="1:26" s="523" customFormat="1" ht="15.75" customHeight="1" outlineLevel="1" x14ac:dyDescent="0.2">
      <c r="A55" s="28"/>
      <c r="B55" s="549" t="s">
        <v>659</v>
      </c>
      <c r="C55" s="536"/>
      <c r="D55" s="148" t="s">
        <v>38</v>
      </c>
      <c r="E55" s="148">
        <v>1</v>
      </c>
      <c r="F55" s="28" t="s">
        <v>402</v>
      </c>
      <c r="G55" s="28">
        <v>0.25</v>
      </c>
      <c r="H55" s="28">
        <v>2.8</v>
      </c>
      <c r="I55" s="532">
        <f t="shared" si="2"/>
        <v>0.7</v>
      </c>
      <c r="J55" s="551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Y55" s="522"/>
      <c r="Z55" s="522"/>
    </row>
    <row r="56" spans="1:26" s="523" customFormat="1" ht="15.75" customHeight="1" outlineLevel="1" x14ac:dyDescent="0.2">
      <c r="A56" s="28"/>
      <c r="B56" s="549" t="s">
        <v>660</v>
      </c>
      <c r="C56" s="536"/>
      <c r="D56" s="148" t="s">
        <v>38</v>
      </c>
      <c r="E56" s="148">
        <v>1</v>
      </c>
      <c r="F56" s="28" t="s">
        <v>402</v>
      </c>
      <c r="G56" s="28">
        <v>0.15</v>
      </c>
      <c r="H56" s="28">
        <v>2.7</v>
      </c>
      <c r="I56" s="532">
        <f t="shared" si="2"/>
        <v>0.40500000000000003</v>
      </c>
      <c r="J56" s="551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Y56" s="522"/>
      <c r="Z56" s="522"/>
    </row>
    <row r="57" spans="1:26" s="523" customFormat="1" ht="15.75" customHeight="1" outlineLevel="1" x14ac:dyDescent="0.2">
      <c r="A57" s="28"/>
      <c r="B57" s="549" t="s">
        <v>661</v>
      </c>
      <c r="C57" s="536"/>
      <c r="D57" s="148" t="s">
        <v>38</v>
      </c>
      <c r="E57" s="148">
        <v>1</v>
      </c>
      <c r="F57" s="28" t="s">
        <v>402</v>
      </c>
      <c r="G57" s="28">
        <v>0.15</v>
      </c>
      <c r="H57" s="28">
        <v>2.7</v>
      </c>
      <c r="I57" s="532">
        <f t="shared" si="2"/>
        <v>0.40500000000000003</v>
      </c>
      <c r="J57" s="551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Y57" s="522"/>
      <c r="Z57" s="522"/>
    </row>
    <row r="58" spans="1:26" s="523" customFormat="1" ht="15.75" customHeight="1" outlineLevel="1" x14ac:dyDescent="0.2">
      <c r="A58" s="28"/>
      <c r="B58" s="358"/>
      <c r="C58" s="536"/>
      <c r="D58" s="148"/>
      <c r="E58" s="148"/>
      <c r="F58" s="28"/>
      <c r="G58" s="28"/>
      <c r="H58" s="28"/>
      <c r="I58" s="532"/>
      <c r="J58" s="551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Y58" s="522"/>
      <c r="Z58" s="522"/>
    </row>
    <row r="59" spans="1:26" s="523" customFormat="1" ht="15.75" customHeight="1" outlineLevel="1" x14ac:dyDescent="0.2">
      <c r="A59" s="28"/>
      <c r="B59" s="358" t="s">
        <v>662</v>
      </c>
      <c r="C59" s="536"/>
      <c r="D59" s="148" t="s">
        <v>38</v>
      </c>
      <c r="E59" s="148">
        <v>1</v>
      </c>
      <c r="F59" s="28" t="s">
        <v>402</v>
      </c>
      <c r="G59" s="28">
        <v>0.4</v>
      </c>
      <c r="H59" s="28">
        <v>2.8</v>
      </c>
      <c r="I59" s="532">
        <f t="shared" si="2"/>
        <v>1.1199999999999999</v>
      </c>
      <c r="J59" s="551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Y59" s="522"/>
      <c r="Z59" s="522"/>
    </row>
    <row r="60" spans="1:26" s="523" customFormat="1" ht="15.75" customHeight="1" outlineLevel="1" x14ac:dyDescent="0.2">
      <c r="A60" s="28"/>
      <c r="B60" s="358" t="s">
        <v>663</v>
      </c>
      <c r="C60" s="536"/>
      <c r="D60" s="148" t="s">
        <v>38</v>
      </c>
      <c r="E60" s="148">
        <v>1</v>
      </c>
      <c r="F60" s="28" t="s">
        <v>402</v>
      </c>
      <c r="G60" s="28">
        <v>0.4</v>
      </c>
      <c r="H60" s="28">
        <v>2.8</v>
      </c>
      <c r="I60" s="532">
        <f t="shared" si="2"/>
        <v>1.1199999999999999</v>
      </c>
      <c r="J60" s="551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Y60" s="522"/>
      <c r="Z60" s="522"/>
    </row>
    <row r="61" spans="1:26" s="523" customFormat="1" ht="15.75" customHeight="1" outlineLevel="1" x14ac:dyDescent="0.2">
      <c r="A61" s="28"/>
      <c r="B61" s="358" t="s">
        <v>664</v>
      </c>
      <c r="C61" s="536"/>
      <c r="D61" s="148" t="s">
        <v>38</v>
      </c>
      <c r="E61" s="148">
        <v>1</v>
      </c>
      <c r="F61" s="28" t="s">
        <v>402</v>
      </c>
      <c r="G61" s="28">
        <v>0.4</v>
      </c>
      <c r="H61" s="28">
        <v>2.8</v>
      </c>
      <c r="I61" s="532">
        <f t="shared" si="2"/>
        <v>1.1199999999999999</v>
      </c>
      <c r="J61" s="551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Y61" s="522"/>
      <c r="Z61" s="522"/>
    </row>
    <row r="62" spans="1:26" s="523" customFormat="1" ht="15.75" customHeight="1" outlineLevel="1" x14ac:dyDescent="0.2">
      <c r="A62" s="28"/>
      <c r="B62" s="358" t="s">
        <v>665</v>
      </c>
      <c r="C62" s="536"/>
      <c r="D62" s="148" t="s">
        <v>38</v>
      </c>
      <c r="E62" s="148">
        <v>1</v>
      </c>
      <c r="F62" s="28" t="s">
        <v>402</v>
      </c>
      <c r="G62" s="28">
        <v>0.4</v>
      </c>
      <c r="H62" s="28">
        <v>2.8</v>
      </c>
      <c r="I62" s="532">
        <f t="shared" si="2"/>
        <v>1.1199999999999999</v>
      </c>
      <c r="J62" s="551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Y62" s="522"/>
      <c r="Z62" s="522"/>
    </row>
    <row r="63" spans="1:26" s="523" customFormat="1" ht="15.75" customHeight="1" outlineLevel="1" x14ac:dyDescent="0.2">
      <c r="A63" s="28"/>
      <c r="B63" s="358" t="s">
        <v>666</v>
      </c>
      <c r="C63" s="536"/>
      <c r="D63" s="148" t="s">
        <v>38</v>
      </c>
      <c r="E63" s="148">
        <v>1</v>
      </c>
      <c r="F63" s="28" t="s">
        <v>402</v>
      </c>
      <c r="G63" s="28">
        <v>0.4</v>
      </c>
      <c r="H63" s="28">
        <v>2.8</v>
      </c>
      <c r="I63" s="532">
        <f t="shared" si="2"/>
        <v>1.1199999999999999</v>
      </c>
      <c r="J63" s="551"/>
      <c r="K63" s="522"/>
      <c r="L63" s="522"/>
      <c r="M63" s="522"/>
      <c r="N63" s="522"/>
      <c r="O63" s="522"/>
      <c r="P63" s="522"/>
      <c r="Q63" s="522"/>
      <c r="R63" s="522"/>
      <c r="S63" s="522"/>
      <c r="T63" s="522"/>
      <c r="U63" s="522"/>
      <c r="V63" s="522"/>
      <c r="W63" s="522"/>
      <c r="X63" s="522"/>
      <c r="Y63" s="522"/>
      <c r="Z63" s="522"/>
    </row>
    <row r="64" spans="1:26" s="523" customFormat="1" ht="15.75" customHeight="1" outlineLevel="1" x14ac:dyDescent="0.2">
      <c r="A64" s="28"/>
      <c r="B64" s="358" t="s">
        <v>667</v>
      </c>
      <c r="C64" s="536"/>
      <c r="D64" s="148" t="s">
        <v>38</v>
      </c>
      <c r="E64" s="148">
        <v>1</v>
      </c>
      <c r="F64" s="28" t="s">
        <v>402</v>
      </c>
      <c r="G64" s="28">
        <v>0.4</v>
      </c>
      <c r="H64" s="28">
        <v>2.8</v>
      </c>
      <c r="I64" s="532">
        <f t="shared" si="2"/>
        <v>1.1199999999999999</v>
      </c>
      <c r="J64" s="551"/>
      <c r="K64" s="522"/>
      <c r="L64" s="522"/>
      <c r="M64" s="522"/>
      <c r="N64" s="522"/>
      <c r="O64" s="522"/>
      <c r="P64" s="522"/>
      <c r="Q64" s="522"/>
      <c r="R64" s="522"/>
      <c r="S64" s="522"/>
      <c r="T64" s="522"/>
      <c r="U64" s="522"/>
      <c r="V64" s="522"/>
      <c r="W64" s="522"/>
      <c r="X64" s="522"/>
      <c r="Y64" s="522"/>
      <c r="Z64" s="522"/>
    </row>
    <row r="65" spans="1:26" s="523" customFormat="1" ht="15.75" customHeight="1" outlineLevel="1" x14ac:dyDescent="0.2">
      <c r="A65" s="28"/>
      <c r="B65" s="358"/>
      <c r="C65" s="536"/>
      <c r="D65" s="148"/>
      <c r="E65" s="148"/>
      <c r="F65" s="28"/>
      <c r="G65" s="28"/>
      <c r="H65" s="28"/>
      <c r="I65" s="532"/>
      <c r="J65" s="551"/>
      <c r="K65" s="522"/>
      <c r="L65" s="522"/>
      <c r="M65" s="522"/>
      <c r="N65" s="522"/>
      <c r="O65" s="522"/>
      <c r="P65" s="522"/>
      <c r="Q65" s="522"/>
      <c r="R65" s="522"/>
      <c r="S65" s="522"/>
      <c r="T65" s="522"/>
      <c r="U65" s="522"/>
      <c r="V65" s="522"/>
      <c r="W65" s="522"/>
      <c r="X65" s="522"/>
      <c r="Y65" s="522"/>
      <c r="Z65" s="522"/>
    </row>
    <row r="66" spans="1:26" s="523" customFormat="1" ht="15.75" customHeight="1" outlineLevel="1" x14ac:dyDescent="0.2">
      <c r="A66" s="28"/>
      <c r="B66" s="358" t="s">
        <v>45</v>
      </c>
      <c r="C66" s="536"/>
      <c r="D66" s="148" t="s">
        <v>38</v>
      </c>
      <c r="E66" s="148">
        <v>1</v>
      </c>
      <c r="F66" s="28" t="s">
        <v>402</v>
      </c>
      <c r="G66" s="28">
        <v>4</v>
      </c>
      <c r="H66" s="28">
        <v>3</v>
      </c>
      <c r="I66" s="532">
        <f t="shared" si="2"/>
        <v>12</v>
      </c>
      <c r="J66" s="551"/>
      <c r="K66" s="522"/>
      <c r="L66" s="522"/>
      <c r="M66" s="522"/>
      <c r="N66" s="522"/>
      <c r="O66" s="522"/>
      <c r="P66" s="522"/>
      <c r="Q66" s="522"/>
      <c r="R66" s="522"/>
      <c r="S66" s="522"/>
      <c r="T66" s="522"/>
      <c r="U66" s="522"/>
      <c r="V66" s="522"/>
      <c r="W66" s="522"/>
      <c r="X66" s="522"/>
      <c r="Y66" s="522"/>
      <c r="Z66" s="522"/>
    </row>
    <row r="67" spans="1:26" s="523" customFormat="1" ht="15.75" customHeight="1" outlineLevel="1" x14ac:dyDescent="0.2">
      <c r="A67" s="28"/>
      <c r="B67" s="358" t="s">
        <v>46</v>
      </c>
      <c r="C67" s="536"/>
      <c r="D67" s="148" t="s">
        <v>38</v>
      </c>
      <c r="E67" s="148">
        <v>1</v>
      </c>
      <c r="F67" s="28" t="s">
        <v>402</v>
      </c>
      <c r="G67" s="28">
        <v>4.8499999999999996</v>
      </c>
      <c r="H67" s="28">
        <v>3</v>
      </c>
      <c r="I67" s="532">
        <f>PRODUCT(E67:H67)</f>
        <v>14.549999999999999</v>
      </c>
      <c r="J67" s="551"/>
      <c r="K67" s="522"/>
      <c r="L67" s="522"/>
      <c r="M67" s="522"/>
      <c r="N67" s="522"/>
      <c r="O67" s="522"/>
      <c r="P67" s="522"/>
      <c r="Q67" s="522"/>
      <c r="R67" s="522"/>
      <c r="S67" s="522"/>
      <c r="T67" s="522"/>
      <c r="U67" s="522"/>
      <c r="V67" s="522"/>
      <c r="W67" s="522"/>
      <c r="X67" s="522"/>
      <c r="Y67" s="522"/>
      <c r="Z67" s="522"/>
    </row>
    <row r="68" spans="1:26" s="523" customFormat="1" ht="15.75" customHeight="1" outlineLevel="1" x14ac:dyDescent="0.2">
      <c r="A68" s="28"/>
      <c r="B68" s="358" t="s">
        <v>504</v>
      </c>
      <c r="C68" s="536"/>
      <c r="D68" s="148" t="s">
        <v>38</v>
      </c>
      <c r="E68" s="148">
        <v>1</v>
      </c>
      <c r="F68" s="28" t="s">
        <v>402</v>
      </c>
      <c r="G68" s="28">
        <v>3.7</v>
      </c>
      <c r="H68" s="28">
        <v>3</v>
      </c>
      <c r="I68" s="532">
        <f t="shared" si="2"/>
        <v>11.100000000000001</v>
      </c>
      <c r="J68" s="551"/>
      <c r="K68" s="522"/>
      <c r="L68" s="522"/>
      <c r="M68" s="522"/>
      <c r="N68" s="522"/>
      <c r="O68" s="522"/>
      <c r="P68" s="522"/>
      <c r="Q68" s="522"/>
      <c r="R68" s="522"/>
      <c r="S68" s="522"/>
      <c r="T68" s="522"/>
      <c r="U68" s="522"/>
      <c r="V68" s="522"/>
      <c r="W68" s="522"/>
      <c r="X68" s="522"/>
      <c r="Y68" s="522"/>
      <c r="Z68" s="522"/>
    </row>
    <row r="69" spans="1:26" s="523" customFormat="1" ht="15.75" customHeight="1" outlineLevel="1" x14ac:dyDescent="0.2">
      <c r="A69" s="28"/>
      <c r="B69" s="358" t="s">
        <v>540</v>
      </c>
      <c r="C69" s="536"/>
      <c r="D69" s="148" t="s">
        <v>38</v>
      </c>
      <c r="E69" s="148">
        <v>1</v>
      </c>
      <c r="F69" s="28" t="s">
        <v>402</v>
      </c>
      <c r="G69" s="28">
        <v>8.1</v>
      </c>
      <c r="H69" s="28">
        <v>3</v>
      </c>
      <c r="I69" s="532">
        <f>PRODUCT(E69:H69)</f>
        <v>24.299999999999997</v>
      </c>
      <c r="J69" s="551"/>
      <c r="K69" s="522"/>
      <c r="L69" s="522"/>
      <c r="M69" s="522"/>
      <c r="N69" s="522"/>
      <c r="O69" s="522"/>
      <c r="P69" s="522"/>
      <c r="Q69" s="522"/>
      <c r="R69" s="522"/>
      <c r="S69" s="522"/>
      <c r="T69" s="522"/>
      <c r="U69" s="522"/>
      <c r="V69" s="522"/>
      <c r="W69" s="522"/>
      <c r="X69" s="522"/>
      <c r="Y69" s="522"/>
      <c r="Z69" s="522"/>
    </row>
    <row r="70" spans="1:26" s="523" customFormat="1" ht="15.75" customHeight="1" outlineLevel="1" x14ac:dyDescent="0.2">
      <c r="A70" s="28"/>
      <c r="B70" s="358" t="s">
        <v>541</v>
      </c>
      <c r="C70" s="536"/>
      <c r="D70" s="148" t="s">
        <v>38</v>
      </c>
      <c r="E70" s="148">
        <v>1</v>
      </c>
      <c r="F70" s="28" t="s">
        <v>402</v>
      </c>
      <c r="G70" s="28">
        <v>1.2749999999999999</v>
      </c>
      <c r="H70" s="28">
        <v>3</v>
      </c>
      <c r="I70" s="532">
        <f t="shared" si="2"/>
        <v>3.8249999999999997</v>
      </c>
      <c r="J70" s="551"/>
      <c r="K70" s="522"/>
      <c r="L70" s="522"/>
      <c r="M70" s="522"/>
      <c r="N70" s="522"/>
      <c r="O70" s="522"/>
      <c r="P70" s="522"/>
      <c r="Q70" s="522"/>
      <c r="R70" s="522"/>
      <c r="S70" s="522"/>
      <c r="T70" s="522"/>
      <c r="U70" s="522"/>
      <c r="V70" s="522"/>
      <c r="W70" s="522"/>
      <c r="X70" s="522"/>
      <c r="Y70" s="522"/>
      <c r="Z70" s="522"/>
    </row>
    <row r="71" spans="1:26" s="523" customFormat="1" ht="15.75" customHeight="1" outlineLevel="1" x14ac:dyDescent="0.2">
      <c r="A71" s="28"/>
      <c r="B71" s="358"/>
      <c r="C71" s="536"/>
      <c r="D71" s="148"/>
      <c r="E71" s="148"/>
      <c r="F71" s="28"/>
      <c r="G71" s="28"/>
      <c r="H71" s="28"/>
      <c r="I71" s="532"/>
      <c r="J71" s="551"/>
      <c r="K71" s="522"/>
      <c r="L71" s="522"/>
      <c r="M71" s="522"/>
      <c r="N71" s="522"/>
      <c r="O71" s="522"/>
      <c r="P71" s="522"/>
      <c r="Q71" s="522"/>
      <c r="R71" s="522"/>
      <c r="S71" s="522"/>
      <c r="T71" s="522"/>
      <c r="U71" s="522"/>
      <c r="V71" s="522"/>
      <c r="W71" s="522"/>
      <c r="X71" s="522"/>
      <c r="Y71" s="522"/>
      <c r="Z71" s="522"/>
    </row>
    <row r="72" spans="1:26" s="523" customFormat="1" ht="15.75" customHeight="1" x14ac:dyDescent="0.2">
      <c r="A72" s="526" t="s">
        <v>423</v>
      </c>
      <c r="B72" s="548" t="s">
        <v>412</v>
      </c>
      <c r="C72" s="527"/>
      <c r="D72" s="526" t="s">
        <v>408</v>
      </c>
      <c r="E72" s="526"/>
      <c r="F72" s="526"/>
      <c r="G72" s="526"/>
      <c r="H72" s="526"/>
      <c r="I72" s="526"/>
      <c r="J72" s="528">
        <f>SUM(I73:I92)</f>
        <v>33.512500000000003</v>
      </c>
      <c r="K72" s="522"/>
      <c r="L72" s="522"/>
      <c r="M72" s="522"/>
      <c r="N72" s="522"/>
      <c r="O72" s="522"/>
      <c r="P72" s="522"/>
      <c r="Q72" s="522"/>
      <c r="R72" s="522"/>
      <c r="S72" s="522"/>
      <c r="T72" s="522"/>
      <c r="U72" s="522"/>
      <c r="V72" s="522"/>
      <c r="W72" s="522"/>
      <c r="X72" s="522"/>
      <c r="Y72" s="522"/>
      <c r="Z72" s="522"/>
    </row>
    <row r="73" spans="1:26" s="523" customFormat="1" ht="15" hidden="1" customHeight="1" outlineLevel="1" x14ac:dyDescent="0.2">
      <c r="A73" s="552"/>
      <c r="B73" s="553" t="s">
        <v>631</v>
      </c>
      <c r="C73" s="554"/>
      <c r="D73" s="28" t="s">
        <v>38</v>
      </c>
      <c r="E73" s="28">
        <v>1</v>
      </c>
      <c r="F73" s="28">
        <v>3.85</v>
      </c>
      <c r="G73" s="28"/>
      <c r="H73" s="28">
        <v>0.55000000000000004</v>
      </c>
      <c r="I73" s="28">
        <f t="shared" ref="I73:I91" si="3">PRODUCT(E73:H73)</f>
        <v>2.1175000000000002</v>
      </c>
      <c r="J73" s="555"/>
      <c r="K73" s="522"/>
      <c r="L73" s="522"/>
      <c r="M73" s="522"/>
      <c r="N73" s="522"/>
      <c r="O73" s="522"/>
      <c r="P73" s="522"/>
      <c r="Q73" s="522"/>
      <c r="R73" s="522"/>
      <c r="S73" s="522"/>
      <c r="T73" s="522"/>
      <c r="U73" s="522"/>
      <c r="V73" s="522"/>
      <c r="W73" s="522"/>
      <c r="X73" s="522"/>
      <c r="Y73" s="522"/>
      <c r="Z73" s="522"/>
    </row>
    <row r="74" spans="1:26" s="523" customFormat="1" ht="15" hidden="1" customHeight="1" outlineLevel="1" x14ac:dyDescent="0.2">
      <c r="A74" s="552"/>
      <c r="B74" s="556" t="s">
        <v>632</v>
      </c>
      <c r="C74" s="554"/>
      <c r="D74" s="28" t="s">
        <v>38</v>
      </c>
      <c r="E74" s="28">
        <v>1</v>
      </c>
      <c r="F74" s="28">
        <v>4.05</v>
      </c>
      <c r="G74" s="28"/>
      <c r="H74" s="28">
        <v>0.85</v>
      </c>
      <c r="I74" s="28">
        <f t="shared" si="3"/>
        <v>3.4424999999999999</v>
      </c>
      <c r="J74" s="557"/>
      <c r="K74" s="522"/>
      <c r="L74" s="522"/>
      <c r="M74" s="522"/>
      <c r="N74" s="522"/>
      <c r="O74" s="522"/>
      <c r="P74" s="522"/>
      <c r="Q74" s="522"/>
      <c r="R74" s="522"/>
      <c r="S74" s="522"/>
      <c r="T74" s="522"/>
      <c r="U74" s="522"/>
      <c r="V74" s="522"/>
      <c r="W74" s="522"/>
      <c r="X74" s="522"/>
      <c r="Y74" s="522"/>
      <c r="Z74" s="522"/>
    </row>
    <row r="75" spans="1:26" s="523" customFormat="1" ht="15" hidden="1" customHeight="1" outlineLevel="1" x14ac:dyDescent="0.2">
      <c r="A75" s="552"/>
      <c r="B75" s="556" t="s">
        <v>633</v>
      </c>
      <c r="C75" s="554"/>
      <c r="D75" s="28" t="s">
        <v>38</v>
      </c>
      <c r="E75" s="28">
        <v>1</v>
      </c>
      <c r="F75" s="28">
        <v>3.8</v>
      </c>
      <c r="G75" s="28"/>
      <c r="H75" s="28">
        <v>0.2</v>
      </c>
      <c r="I75" s="28">
        <f t="shared" si="3"/>
        <v>0.76</v>
      </c>
      <c r="J75" s="557"/>
      <c r="K75" s="522"/>
      <c r="L75" s="522"/>
      <c r="M75" s="522"/>
      <c r="N75" s="522"/>
      <c r="O75" s="522"/>
      <c r="P75" s="522"/>
      <c r="Q75" s="522"/>
      <c r="R75" s="522"/>
      <c r="S75" s="522"/>
      <c r="T75" s="522"/>
      <c r="U75" s="522"/>
      <c r="V75" s="522"/>
      <c r="W75" s="522"/>
      <c r="X75" s="522"/>
      <c r="Y75" s="522"/>
      <c r="Z75" s="522"/>
    </row>
    <row r="76" spans="1:26" s="523" customFormat="1" ht="15" hidden="1" customHeight="1" outlineLevel="1" x14ac:dyDescent="0.2">
      <c r="A76" s="552"/>
      <c r="B76" s="553" t="s">
        <v>634</v>
      </c>
      <c r="C76" s="554"/>
      <c r="D76" s="28" t="s">
        <v>38</v>
      </c>
      <c r="E76" s="28">
        <v>1</v>
      </c>
      <c r="F76" s="28">
        <v>4.2</v>
      </c>
      <c r="G76" s="28"/>
      <c r="H76" s="28">
        <v>0.6</v>
      </c>
      <c r="I76" s="28">
        <f t="shared" si="3"/>
        <v>2.52</v>
      </c>
      <c r="J76" s="557"/>
      <c r="K76" s="522"/>
      <c r="L76" s="522"/>
      <c r="M76" s="522"/>
      <c r="N76" s="522"/>
      <c r="O76" s="522"/>
      <c r="P76" s="522"/>
      <c r="Q76" s="522"/>
      <c r="R76" s="522"/>
      <c r="S76" s="522"/>
      <c r="T76" s="522"/>
      <c r="U76" s="522"/>
      <c r="V76" s="522"/>
      <c r="W76" s="522"/>
      <c r="X76" s="522"/>
      <c r="Y76" s="522"/>
      <c r="Z76" s="522"/>
    </row>
    <row r="77" spans="1:26" s="523" customFormat="1" ht="15" hidden="1" customHeight="1" outlineLevel="1" x14ac:dyDescent="0.2">
      <c r="A77" s="552"/>
      <c r="B77" s="556" t="s">
        <v>635</v>
      </c>
      <c r="C77" s="554"/>
      <c r="D77" s="28" t="s">
        <v>38</v>
      </c>
      <c r="E77" s="28">
        <v>1</v>
      </c>
      <c r="F77" s="28">
        <v>4.2</v>
      </c>
      <c r="G77" s="28"/>
      <c r="H77" s="28">
        <v>0.2</v>
      </c>
      <c r="I77" s="28">
        <f t="shared" si="3"/>
        <v>0.84000000000000008</v>
      </c>
      <c r="J77" s="557"/>
      <c r="K77" s="522"/>
      <c r="L77" s="522"/>
      <c r="M77" s="522"/>
      <c r="N77" s="522"/>
      <c r="O77" s="522"/>
      <c r="P77" s="522"/>
      <c r="Q77" s="522"/>
      <c r="R77" s="522"/>
      <c r="S77" s="522"/>
      <c r="T77" s="522"/>
      <c r="U77" s="522"/>
      <c r="V77" s="522"/>
      <c r="W77" s="522"/>
      <c r="X77" s="522"/>
      <c r="Y77" s="522"/>
      <c r="Z77" s="522"/>
    </row>
    <row r="78" spans="1:26" s="523" customFormat="1" ht="15" hidden="1" customHeight="1" outlineLevel="1" x14ac:dyDescent="0.2">
      <c r="A78" s="552"/>
      <c r="B78" s="556" t="s">
        <v>636</v>
      </c>
      <c r="C78" s="554"/>
      <c r="D78" s="28" t="s">
        <v>38</v>
      </c>
      <c r="E78" s="28">
        <v>1</v>
      </c>
      <c r="F78" s="28">
        <v>4.05</v>
      </c>
      <c r="G78" s="28"/>
      <c r="H78" s="28">
        <v>0.85</v>
      </c>
      <c r="I78" s="28">
        <f t="shared" si="3"/>
        <v>3.4424999999999999</v>
      </c>
      <c r="J78" s="557"/>
      <c r="K78" s="522"/>
      <c r="L78" s="522"/>
      <c r="M78" s="522"/>
      <c r="N78" s="522"/>
      <c r="O78" s="522"/>
      <c r="P78" s="522"/>
      <c r="Q78" s="522"/>
      <c r="R78" s="522"/>
      <c r="S78" s="522"/>
      <c r="T78" s="522"/>
      <c r="U78" s="522"/>
      <c r="V78" s="522"/>
      <c r="W78" s="522"/>
      <c r="X78" s="522"/>
      <c r="Y78" s="522"/>
      <c r="Z78" s="522"/>
    </row>
    <row r="79" spans="1:26" s="523" customFormat="1" ht="15" hidden="1" customHeight="1" outlineLevel="1" x14ac:dyDescent="0.2">
      <c r="A79" s="552"/>
      <c r="B79" s="553" t="s">
        <v>637</v>
      </c>
      <c r="C79" s="554"/>
      <c r="D79" s="28" t="s">
        <v>38</v>
      </c>
      <c r="E79" s="28">
        <v>1</v>
      </c>
      <c r="F79" s="28">
        <v>4.3</v>
      </c>
      <c r="G79" s="28"/>
      <c r="H79" s="28">
        <v>0.2</v>
      </c>
      <c r="I79" s="28">
        <f t="shared" si="3"/>
        <v>0.86</v>
      </c>
      <c r="J79" s="557"/>
      <c r="K79" s="522"/>
      <c r="L79" s="522"/>
      <c r="M79" s="522"/>
      <c r="N79" s="522"/>
      <c r="O79" s="522"/>
      <c r="P79" s="522"/>
      <c r="Q79" s="522"/>
      <c r="R79" s="522"/>
      <c r="S79" s="522"/>
      <c r="T79" s="522"/>
      <c r="U79" s="522"/>
      <c r="V79" s="522"/>
      <c r="W79" s="522"/>
      <c r="X79" s="522"/>
      <c r="Y79" s="522"/>
      <c r="Z79" s="522"/>
    </row>
    <row r="80" spans="1:26" s="523" customFormat="1" ht="15" hidden="1" customHeight="1" outlineLevel="1" x14ac:dyDescent="0.2">
      <c r="A80" s="552"/>
      <c r="B80" s="556" t="s">
        <v>638</v>
      </c>
      <c r="C80" s="554"/>
      <c r="D80" s="28" t="s">
        <v>38</v>
      </c>
      <c r="E80" s="28">
        <v>1</v>
      </c>
      <c r="F80" s="28">
        <v>4.7</v>
      </c>
      <c r="G80" s="28"/>
      <c r="H80" s="28">
        <v>0.2</v>
      </c>
      <c r="I80" s="28">
        <f t="shared" si="3"/>
        <v>0.94000000000000006</v>
      </c>
      <c r="J80" s="557"/>
      <c r="K80" s="522"/>
      <c r="L80" s="522"/>
      <c r="M80" s="522"/>
      <c r="N80" s="522"/>
      <c r="O80" s="522"/>
      <c r="P80" s="522"/>
      <c r="Q80" s="522"/>
      <c r="R80" s="522"/>
      <c r="S80" s="522"/>
      <c r="T80" s="522"/>
      <c r="U80" s="522"/>
      <c r="V80" s="522"/>
      <c r="W80" s="522"/>
      <c r="X80" s="522"/>
      <c r="Y80" s="522"/>
      <c r="Z80" s="522"/>
    </row>
    <row r="81" spans="1:26" s="523" customFormat="1" ht="15" hidden="1" customHeight="1" outlineLevel="1" x14ac:dyDescent="0.2">
      <c r="A81" s="552"/>
      <c r="B81" s="556" t="s">
        <v>639</v>
      </c>
      <c r="C81" s="554"/>
      <c r="D81" s="28" t="s">
        <v>38</v>
      </c>
      <c r="E81" s="28">
        <v>1</v>
      </c>
      <c r="F81" s="28">
        <v>3.15</v>
      </c>
      <c r="G81" s="28"/>
      <c r="H81" s="28">
        <v>0.85</v>
      </c>
      <c r="I81" s="28">
        <f t="shared" si="3"/>
        <v>2.6774999999999998</v>
      </c>
      <c r="J81" s="557"/>
      <c r="K81" s="522"/>
      <c r="L81" s="522"/>
      <c r="M81" s="522"/>
      <c r="N81" s="522"/>
      <c r="O81" s="522"/>
      <c r="P81" s="522"/>
      <c r="Q81" s="522"/>
      <c r="R81" s="522"/>
      <c r="S81" s="522"/>
      <c r="T81" s="522"/>
      <c r="U81" s="522"/>
      <c r="V81" s="522"/>
      <c r="W81" s="522"/>
      <c r="X81" s="522"/>
      <c r="Y81" s="522"/>
      <c r="Z81" s="522"/>
    </row>
    <row r="82" spans="1:26" s="523" customFormat="1" ht="15" hidden="1" customHeight="1" outlineLevel="1" x14ac:dyDescent="0.2">
      <c r="A82" s="552"/>
      <c r="B82" s="553" t="s">
        <v>640</v>
      </c>
      <c r="C82" s="554"/>
      <c r="D82" s="28" t="s">
        <v>38</v>
      </c>
      <c r="E82" s="28">
        <v>1</v>
      </c>
      <c r="F82" s="28">
        <v>3.15</v>
      </c>
      <c r="G82" s="28"/>
      <c r="H82" s="28">
        <v>0.85</v>
      </c>
      <c r="I82" s="28">
        <f t="shared" si="3"/>
        <v>2.6774999999999998</v>
      </c>
      <c r="J82" s="557"/>
      <c r="K82" s="522"/>
      <c r="L82" s="522"/>
      <c r="M82" s="522"/>
      <c r="N82" s="522"/>
      <c r="O82" s="522"/>
      <c r="P82" s="522"/>
      <c r="Q82" s="522"/>
      <c r="R82" s="522"/>
      <c r="S82" s="522"/>
      <c r="T82" s="522"/>
      <c r="U82" s="522"/>
      <c r="V82" s="522"/>
      <c r="W82" s="522"/>
      <c r="X82" s="522"/>
      <c r="Y82" s="522"/>
      <c r="Z82" s="522"/>
    </row>
    <row r="83" spans="1:26" s="523" customFormat="1" ht="15" hidden="1" customHeight="1" outlineLevel="1" x14ac:dyDescent="0.2">
      <c r="A83" s="552"/>
      <c r="B83" s="556" t="s">
        <v>641</v>
      </c>
      <c r="C83" s="554"/>
      <c r="D83" s="28" t="s">
        <v>38</v>
      </c>
      <c r="E83" s="28">
        <v>1</v>
      </c>
      <c r="F83" s="28">
        <v>6.15</v>
      </c>
      <c r="G83" s="28"/>
      <c r="H83" s="28">
        <v>0.2</v>
      </c>
      <c r="I83" s="28">
        <f t="shared" si="3"/>
        <v>1.2300000000000002</v>
      </c>
      <c r="J83" s="557"/>
      <c r="K83" s="522"/>
      <c r="L83" s="522"/>
      <c r="M83" s="522"/>
      <c r="N83" s="522"/>
      <c r="O83" s="522"/>
      <c r="P83" s="522"/>
      <c r="Q83" s="522"/>
      <c r="R83" s="522"/>
      <c r="S83" s="522"/>
      <c r="T83" s="522"/>
      <c r="U83" s="522"/>
      <c r="V83" s="522"/>
      <c r="W83" s="522"/>
      <c r="X83" s="522"/>
      <c r="Y83" s="522"/>
      <c r="Z83" s="522"/>
    </row>
    <row r="84" spans="1:26" s="523" customFormat="1" ht="15" hidden="1" customHeight="1" outlineLevel="1" x14ac:dyDescent="0.2">
      <c r="A84" s="552"/>
      <c r="B84" s="556" t="s">
        <v>642</v>
      </c>
      <c r="C84" s="554"/>
      <c r="D84" s="28" t="s">
        <v>38</v>
      </c>
      <c r="E84" s="28">
        <v>1</v>
      </c>
      <c r="F84" s="28">
        <v>6.4</v>
      </c>
      <c r="G84" s="28"/>
      <c r="H84" s="28">
        <v>0.2</v>
      </c>
      <c r="I84" s="28">
        <f t="shared" si="3"/>
        <v>1.2800000000000002</v>
      </c>
      <c r="J84" s="557"/>
      <c r="K84" s="522"/>
      <c r="L84" s="522"/>
      <c r="M84" s="522"/>
      <c r="N84" s="522"/>
      <c r="O84" s="522"/>
      <c r="P84" s="522"/>
      <c r="Q84" s="522"/>
      <c r="R84" s="522"/>
      <c r="S84" s="522"/>
      <c r="T84" s="522"/>
      <c r="U84" s="522"/>
      <c r="V84" s="522"/>
      <c r="W84" s="522"/>
      <c r="X84" s="522"/>
      <c r="Y84" s="522"/>
      <c r="Z84" s="522"/>
    </row>
    <row r="85" spans="1:26" s="523" customFormat="1" ht="15" hidden="1" customHeight="1" outlineLevel="1" x14ac:dyDescent="0.2">
      <c r="A85" s="552"/>
      <c r="B85" s="553" t="s">
        <v>643</v>
      </c>
      <c r="C85" s="554"/>
      <c r="D85" s="28" t="s">
        <v>38</v>
      </c>
      <c r="E85" s="28">
        <v>1</v>
      </c>
      <c r="F85" s="28">
        <v>4.25</v>
      </c>
      <c r="G85" s="28"/>
      <c r="H85" s="28">
        <v>0.85</v>
      </c>
      <c r="I85" s="28">
        <f t="shared" si="3"/>
        <v>3.6124999999999998</v>
      </c>
      <c r="J85" s="557"/>
      <c r="K85" s="522"/>
      <c r="L85" s="522"/>
      <c r="M85" s="522"/>
      <c r="N85" s="522"/>
      <c r="O85" s="522"/>
      <c r="P85" s="522"/>
      <c r="Q85" s="522"/>
      <c r="R85" s="522"/>
      <c r="S85" s="522"/>
      <c r="T85" s="522"/>
      <c r="U85" s="522"/>
      <c r="V85" s="522"/>
      <c r="W85" s="522"/>
      <c r="X85" s="522"/>
      <c r="Y85" s="522"/>
      <c r="Z85" s="522"/>
    </row>
    <row r="86" spans="1:26" s="523" customFormat="1" ht="15" hidden="1" customHeight="1" outlineLevel="1" x14ac:dyDescent="0.2">
      <c r="A86" s="552"/>
      <c r="B86" s="556" t="s">
        <v>644</v>
      </c>
      <c r="C86" s="554"/>
      <c r="D86" s="28" t="s">
        <v>38</v>
      </c>
      <c r="E86" s="28">
        <v>1</v>
      </c>
      <c r="F86" s="28">
        <v>4</v>
      </c>
      <c r="G86" s="28"/>
      <c r="H86" s="28">
        <v>0.2</v>
      </c>
      <c r="I86" s="28">
        <f t="shared" si="3"/>
        <v>0.8</v>
      </c>
      <c r="J86" s="557"/>
      <c r="K86" s="522"/>
      <c r="L86" s="522"/>
      <c r="M86" s="522"/>
      <c r="N86" s="522"/>
      <c r="O86" s="522"/>
      <c r="P86" s="522"/>
      <c r="Q86" s="522"/>
      <c r="R86" s="522"/>
      <c r="S86" s="522"/>
      <c r="T86" s="522"/>
      <c r="U86" s="522"/>
      <c r="V86" s="522"/>
      <c r="W86" s="522"/>
      <c r="X86" s="522"/>
      <c r="Y86" s="522"/>
      <c r="Z86" s="522"/>
    </row>
    <row r="87" spans="1:26" s="523" customFormat="1" ht="15" hidden="1" customHeight="1" outlineLevel="1" x14ac:dyDescent="0.2">
      <c r="A87" s="552"/>
      <c r="B87" s="556" t="s">
        <v>645</v>
      </c>
      <c r="C87" s="554"/>
      <c r="D87" s="28" t="s">
        <v>38</v>
      </c>
      <c r="E87" s="28">
        <v>1</v>
      </c>
      <c r="F87" s="28">
        <v>4.1500000000000004</v>
      </c>
      <c r="G87" s="28"/>
      <c r="H87" s="28">
        <v>0.2</v>
      </c>
      <c r="I87" s="28">
        <f t="shared" si="3"/>
        <v>0.83000000000000007</v>
      </c>
      <c r="J87" s="557"/>
      <c r="K87" s="522"/>
      <c r="L87" s="522"/>
      <c r="M87" s="522"/>
      <c r="N87" s="522"/>
      <c r="O87" s="522"/>
      <c r="P87" s="522"/>
      <c r="Q87" s="522"/>
      <c r="R87" s="522"/>
      <c r="S87" s="522"/>
      <c r="T87" s="522"/>
      <c r="U87" s="522"/>
      <c r="V87" s="522"/>
      <c r="W87" s="522"/>
      <c r="X87" s="522"/>
      <c r="Y87" s="522"/>
      <c r="Z87" s="522"/>
    </row>
    <row r="88" spans="1:26" s="523" customFormat="1" ht="15" hidden="1" customHeight="1" outlineLevel="1" x14ac:dyDescent="0.2">
      <c r="A88" s="552"/>
      <c r="B88" s="553" t="s">
        <v>646</v>
      </c>
      <c r="C88" s="554"/>
      <c r="D88" s="28" t="s">
        <v>38</v>
      </c>
      <c r="E88" s="28">
        <v>1</v>
      </c>
      <c r="F88" s="28">
        <v>4.25</v>
      </c>
      <c r="G88" s="28"/>
      <c r="H88" s="28">
        <v>0.85</v>
      </c>
      <c r="I88" s="28">
        <f t="shared" si="3"/>
        <v>3.6124999999999998</v>
      </c>
      <c r="J88" s="557"/>
      <c r="K88" s="522"/>
      <c r="L88" s="522"/>
      <c r="M88" s="522"/>
      <c r="N88" s="522"/>
      <c r="O88" s="522"/>
      <c r="P88" s="522"/>
      <c r="Q88" s="522"/>
      <c r="R88" s="522"/>
      <c r="S88" s="522"/>
      <c r="T88" s="522"/>
      <c r="U88" s="522"/>
      <c r="V88" s="522"/>
      <c r="W88" s="522"/>
      <c r="X88" s="522"/>
      <c r="Y88" s="522"/>
      <c r="Z88" s="522"/>
    </row>
    <row r="89" spans="1:26" s="523" customFormat="1" ht="15" hidden="1" customHeight="1" outlineLevel="1" x14ac:dyDescent="0.2">
      <c r="A89" s="552"/>
      <c r="B89" s="556" t="s">
        <v>647</v>
      </c>
      <c r="C89" s="554"/>
      <c r="D89" s="28" t="s">
        <v>38</v>
      </c>
      <c r="E89" s="28">
        <v>1</v>
      </c>
      <c r="F89" s="28">
        <v>2.5499999999999998</v>
      </c>
      <c r="G89" s="28"/>
      <c r="H89" s="28">
        <v>0.2</v>
      </c>
      <c r="I89" s="28">
        <f t="shared" si="3"/>
        <v>0.51</v>
      </c>
      <c r="J89" s="557"/>
      <c r="K89" s="522"/>
      <c r="L89" s="522"/>
      <c r="M89" s="522"/>
      <c r="N89" s="522"/>
      <c r="O89" s="522"/>
      <c r="P89" s="522"/>
      <c r="Q89" s="522"/>
      <c r="R89" s="522"/>
      <c r="S89" s="522"/>
      <c r="T89" s="522"/>
      <c r="U89" s="522"/>
      <c r="V89" s="522"/>
      <c r="W89" s="522"/>
      <c r="X89" s="522"/>
      <c r="Y89" s="522"/>
      <c r="Z89" s="522"/>
    </row>
    <row r="90" spans="1:26" s="523" customFormat="1" ht="15" hidden="1" customHeight="1" outlineLevel="1" x14ac:dyDescent="0.2">
      <c r="A90" s="552"/>
      <c r="B90" s="556" t="s">
        <v>648</v>
      </c>
      <c r="C90" s="554"/>
      <c r="D90" s="28" t="s">
        <v>38</v>
      </c>
      <c r="E90" s="28">
        <v>1</v>
      </c>
      <c r="F90" s="28">
        <v>2.75</v>
      </c>
      <c r="G90" s="28"/>
      <c r="H90" s="28">
        <v>0.2</v>
      </c>
      <c r="I90" s="28">
        <f t="shared" si="3"/>
        <v>0.55000000000000004</v>
      </c>
      <c r="J90" s="557"/>
      <c r="K90" s="522"/>
      <c r="L90" s="522"/>
      <c r="M90" s="522"/>
      <c r="N90" s="522"/>
      <c r="O90" s="522"/>
      <c r="P90" s="522"/>
      <c r="Q90" s="522"/>
      <c r="R90" s="522"/>
      <c r="S90" s="522"/>
      <c r="T90" s="522"/>
      <c r="U90" s="522"/>
      <c r="V90" s="522"/>
      <c r="W90" s="522"/>
      <c r="X90" s="522"/>
      <c r="Y90" s="522"/>
      <c r="Z90" s="522"/>
    </row>
    <row r="91" spans="1:26" s="523" customFormat="1" ht="15" hidden="1" customHeight="1" outlineLevel="1" x14ac:dyDescent="0.2">
      <c r="A91" s="552"/>
      <c r="B91" s="553" t="s">
        <v>649</v>
      </c>
      <c r="C91" s="554"/>
      <c r="D91" s="28" t="s">
        <v>38</v>
      </c>
      <c r="E91" s="28">
        <v>1</v>
      </c>
      <c r="F91" s="28">
        <v>2.7</v>
      </c>
      <c r="G91" s="28"/>
      <c r="H91" s="28">
        <v>0.3</v>
      </c>
      <c r="I91" s="28">
        <f t="shared" si="3"/>
        <v>0.81</v>
      </c>
      <c r="J91" s="557"/>
      <c r="K91" s="522"/>
      <c r="L91" s="522"/>
      <c r="M91" s="522"/>
      <c r="N91" s="522"/>
      <c r="O91" s="522"/>
      <c r="P91" s="522"/>
      <c r="Q91" s="522"/>
      <c r="R91" s="522"/>
      <c r="S91" s="522"/>
      <c r="T91" s="522"/>
      <c r="U91" s="522"/>
      <c r="V91" s="522"/>
      <c r="W91" s="522"/>
      <c r="X91" s="522"/>
      <c r="Y91" s="522"/>
      <c r="Z91" s="522"/>
    </row>
    <row r="92" spans="1:26" s="523" customFormat="1" ht="15.75" hidden="1" customHeight="1" outlineLevel="1" x14ac:dyDescent="0.2">
      <c r="A92" s="28"/>
      <c r="B92" s="358"/>
      <c r="C92" s="536"/>
      <c r="D92" s="28"/>
      <c r="E92" s="28"/>
      <c r="F92" s="28"/>
      <c r="G92" s="28"/>
      <c r="H92" s="28"/>
      <c r="I92" s="28"/>
      <c r="J92" s="558"/>
      <c r="K92" s="522"/>
      <c r="L92" s="522"/>
      <c r="M92" s="522"/>
      <c r="N92" s="522"/>
      <c r="O92" s="522"/>
      <c r="P92" s="522"/>
      <c r="Q92" s="522"/>
      <c r="R92" s="522"/>
      <c r="S92" s="522"/>
      <c r="T92" s="522"/>
      <c r="U92" s="522"/>
      <c r="V92" s="522"/>
      <c r="W92" s="522"/>
      <c r="X92" s="522"/>
      <c r="Y92" s="522"/>
      <c r="Z92" s="522"/>
    </row>
    <row r="93" spans="1:26" s="523" customFormat="1" ht="15.75" customHeight="1" collapsed="1" x14ac:dyDescent="0.2">
      <c r="A93" s="526" t="s">
        <v>426</v>
      </c>
      <c r="B93" s="616" t="s">
        <v>415</v>
      </c>
      <c r="C93" s="617"/>
      <c r="D93" s="526" t="s">
        <v>416</v>
      </c>
      <c r="E93" s="526"/>
      <c r="F93" s="526"/>
      <c r="G93" s="526"/>
      <c r="H93" s="526"/>
      <c r="I93" s="526"/>
      <c r="J93" s="559">
        <f>SUM(I94:I99)</f>
        <v>28.95</v>
      </c>
      <c r="K93" s="522"/>
      <c r="L93" s="522"/>
      <c r="M93" s="522"/>
      <c r="N93" s="522"/>
      <c r="O93" s="522"/>
      <c r="P93" s="522"/>
      <c r="Q93" s="522"/>
      <c r="R93" s="522"/>
      <c r="S93" s="522"/>
      <c r="T93" s="522"/>
      <c r="U93" s="522"/>
      <c r="V93" s="522"/>
      <c r="W93" s="522"/>
      <c r="X93" s="522"/>
      <c r="Y93" s="522"/>
      <c r="Z93" s="522"/>
    </row>
    <row r="94" spans="1:26" s="523" customFormat="1" ht="15.75" hidden="1" customHeight="1" outlineLevel="1" x14ac:dyDescent="0.2">
      <c r="A94" s="529"/>
      <c r="B94" s="560" t="s">
        <v>668</v>
      </c>
      <c r="C94" s="561"/>
      <c r="D94" s="532" t="s">
        <v>54</v>
      </c>
      <c r="E94" s="28">
        <v>1</v>
      </c>
      <c r="F94" s="28" t="s">
        <v>402</v>
      </c>
      <c r="G94" s="28">
        <v>7.4</v>
      </c>
      <c r="H94" s="28"/>
      <c r="I94" s="532">
        <f>PRODUCT(E94:H94)</f>
        <v>7.4</v>
      </c>
      <c r="J94" s="550"/>
      <c r="K94" s="522"/>
      <c r="L94" s="522"/>
      <c r="M94" s="522"/>
      <c r="N94" s="522"/>
      <c r="O94" s="522"/>
      <c r="P94" s="522"/>
      <c r="Q94" s="522"/>
      <c r="R94" s="522"/>
      <c r="S94" s="522"/>
      <c r="T94" s="522"/>
      <c r="U94" s="522"/>
      <c r="V94" s="522"/>
      <c r="W94" s="522"/>
      <c r="X94" s="522"/>
      <c r="Y94" s="522"/>
      <c r="Z94" s="522"/>
    </row>
    <row r="95" spans="1:26" s="523" customFormat="1" ht="15.75" hidden="1" customHeight="1" outlineLevel="1" x14ac:dyDescent="0.2">
      <c r="A95" s="529"/>
      <c r="B95" s="560" t="s">
        <v>669</v>
      </c>
      <c r="C95" s="561"/>
      <c r="D95" s="532" t="s">
        <v>54</v>
      </c>
      <c r="E95" s="28">
        <v>1</v>
      </c>
      <c r="F95" s="28" t="s">
        <v>402</v>
      </c>
      <c r="G95" s="28">
        <v>6.75</v>
      </c>
      <c r="H95" s="28"/>
      <c r="I95" s="532">
        <f>PRODUCT(E95:H95)</f>
        <v>6.75</v>
      </c>
      <c r="J95" s="551"/>
      <c r="K95" s="522"/>
      <c r="L95" s="522"/>
      <c r="M95" s="522"/>
      <c r="N95" s="522"/>
      <c r="O95" s="522"/>
      <c r="P95" s="522"/>
      <c r="Q95" s="522"/>
      <c r="R95" s="522"/>
      <c r="S95" s="522"/>
      <c r="T95" s="522"/>
      <c r="U95" s="522"/>
      <c r="V95" s="522"/>
      <c r="W95" s="522"/>
      <c r="X95" s="522"/>
      <c r="Y95" s="522"/>
      <c r="Z95" s="522"/>
    </row>
    <row r="96" spans="1:26" s="523" customFormat="1" ht="15.75" hidden="1" customHeight="1" outlineLevel="1" x14ac:dyDescent="0.2">
      <c r="A96" s="529"/>
      <c r="B96" s="560" t="s">
        <v>670</v>
      </c>
      <c r="C96" s="561"/>
      <c r="D96" s="532" t="s">
        <v>54</v>
      </c>
      <c r="E96" s="28">
        <v>1</v>
      </c>
      <c r="F96" s="28" t="s">
        <v>402</v>
      </c>
      <c r="G96" s="28">
        <v>6.2</v>
      </c>
      <c r="H96" s="28"/>
      <c r="I96" s="532">
        <f>PRODUCT(E96:H96)</f>
        <v>6.2</v>
      </c>
      <c r="J96" s="551"/>
      <c r="K96" s="522"/>
      <c r="L96" s="522"/>
      <c r="M96" s="522"/>
      <c r="N96" s="522"/>
      <c r="O96" s="522"/>
      <c r="P96" s="522"/>
      <c r="Q96" s="522"/>
      <c r="R96" s="522"/>
      <c r="S96" s="522"/>
      <c r="T96" s="522"/>
      <c r="U96" s="522"/>
      <c r="V96" s="522"/>
      <c r="W96" s="522"/>
      <c r="X96" s="522"/>
      <c r="Y96" s="522"/>
      <c r="Z96" s="522"/>
    </row>
    <row r="97" spans="1:26" s="523" customFormat="1" ht="15.75" hidden="1" customHeight="1" outlineLevel="1" x14ac:dyDescent="0.2">
      <c r="A97" s="529"/>
      <c r="B97" s="560" t="s">
        <v>671</v>
      </c>
      <c r="C97" s="561"/>
      <c r="D97" s="532" t="s">
        <v>54</v>
      </c>
      <c r="E97" s="28">
        <v>1</v>
      </c>
      <c r="F97" s="28" t="s">
        <v>402</v>
      </c>
      <c r="G97" s="28">
        <v>6.7</v>
      </c>
      <c r="H97" s="28"/>
      <c r="I97" s="532">
        <f>PRODUCT(E97:H97)</f>
        <v>6.7</v>
      </c>
      <c r="J97" s="551"/>
      <c r="K97" s="522"/>
      <c r="L97" s="522"/>
      <c r="M97" s="522"/>
      <c r="N97" s="522"/>
      <c r="O97" s="522"/>
      <c r="P97" s="522"/>
      <c r="Q97" s="522"/>
      <c r="R97" s="522"/>
      <c r="S97" s="522"/>
      <c r="T97" s="522"/>
      <c r="U97" s="522"/>
      <c r="V97" s="522"/>
      <c r="W97" s="522"/>
      <c r="X97" s="522"/>
      <c r="Y97" s="522"/>
      <c r="Z97" s="522"/>
    </row>
    <row r="98" spans="1:26" s="523" customFormat="1" ht="15.75" hidden="1" customHeight="1" outlineLevel="1" x14ac:dyDescent="0.2">
      <c r="A98" s="529"/>
      <c r="B98" s="560" t="s">
        <v>672</v>
      </c>
      <c r="C98" s="561"/>
      <c r="D98" s="532" t="s">
        <v>54</v>
      </c>
      <c r="E98" s="28">
        <v>1</v>
      </c>
      <c r="F98" s="28" t="s">
        <v>402</v>
      </c>
      <c r="G98" s="28">
        <v>1.9</v>
      </c>
      <c r="H98" s="28"/>
      <c r="I98" s="532">
        <f>PRODUCT(E98:H98)</f>
        <v>1.9</v>
      </c>
      <c r="J98" s="551"/>
      <c r="K98" s="522"/>
      <c r="L98" s="522"/>
      <c r="M98" s="522"/>
      <c r="N98" s="522"/>
      <c r="O98" s="522"/>
      <c r="P98" s="522"/>
      <c r="Q98" s="522"/>
      <c r="R98" s="522"/>
      <c r="S98" s="522"/>
      <c r="T98" s="522"/>
      <c r="U98" s="522"/>
      <c r="V98" s="522"/>
      <c r="W98" s="522"/>
      <c r="X98" s="522"/>
      <c r="Y98" s="522"/>
      <c r="Z98" s="522"/>
    </row>
    <row r="99" spans="1:26" s="523" customFormat="1" ht="15.75" hidden="1" customHeight="1" outlineLevel="1" x14ac:dyDescent="0.2">
      <c r="A99" s="148"/>
      <c r="B99" s="562"/>
      <c r="C99" s="563"/>
      <c r="D99" s="535"/>
      <c r="E99" s="529"/>
      <c r="F99" s="148"/>
      <c r="G99" s="148"/>
      <c r="H99" s="148"/>
      <c r="I99" s="148"/>
      <c r="J99" s="564"/>
      <c r="K99" s="565"/>
      <c r="L99" s="522"/>
      <c r="M99" s="522"/>
      <c r="N99" s="522"/>
      <c r="O99" s="522"/>
      <c r="P99" s="522"/>
      <c r="Q99" s="522"/>
      <c r="R99" s="522"/>
      <c r="S99" s="522"/>
      <c r="T99" s="522"/>
      <c r="U99" s="522"/>
      <c r="V99" s="522"/>
      <c r="W99" s="522"/>
      <c r="X99" s="522"/>
      <c r="Y99" s="522"/>
      <c r="Z99" s="522"/>
    </row>
    <row r="100" spans="1:26" s="523" customFormat="1" ht="15.75" customHeight="1" collapsed="1" x14ac:dyDescent="0.2">
      <c r="A100" s="526" t="s">
        <v>424</v>
      </c>
      <c r="B100" s="548" t="s">
        <v>413</v>
      </c>
      <c r="C100" s="527"/>
      <c r="D100" s="526" t="s">
        <v>408</v>
      </c>
      <c r="E100" s="526"/>
      <c r="F100" s="526"/>
      <c r="G100" s="526"/>
      <c r="H100" s="526"/>
      <c r="I100" s="526"/>
      <c r="J100" s="528">
        <f>SUM(I101:I110)</f>
        <v>121.54499999999999</v>
      </c>
      <c r="K100" s="522"/>
      <c r="L100" s="522"/>
      <c r="M100" s="522"/>
      <c r="N100" s="522"/>
      <c r="O100" s="522"/>
      <c r="P100" s="522"/>
      <c r="Q100" s="522"/>
      <c r="R100" s="522"/>
      <c r="S100" s="522"/>
      <c r="T100" s="522"/>
      <c r="U100" s="522"/>
      <c r="V100" s="522"/>
      <c r="W100" s="522"/>
      <c r="X100" s="522"/>
      <c r="Y100" s="522"/>
      <c r="Z100" s="522"/>
    </row>
    <row r="101" spans="1:26" s="523" customFormat="1" ht="15.75" hidden="1" customHeight="1" outlineLevel="1" x14ac:dyDescent="0.2">
      <c r="A101" s="566"/>
      <c r="B101" s="567" t="s">
        <v>673</v>
      </c>
      <c r="C101" s="568"/>
      <c r="D101" s="166" t="s">
        <v>38</v>
      </c>
      <c r="E101" s="148">
        <v>1</v>
      </c>
      <c r="F101" s="148" t="s">
        <v>49</v>
      </c>
      <c r="G101" s="148">
        <v>3.28</v>
      </c>
      <c r="H101" s="566"/>
      <c r="I101" s="532">
        <f t="shared" ref="I101:I122" si="4">PRODUCT(E101:H101)</f>
        <v>3.28</v>
      </c>
      <c r="J101" s="569"/>
      <c r="K101" s="522"/>
      <c r="L101" s="522"/>
      <c r="M101" s="522"/>
      <c r="N101" s="522"/>
      <c r="O101" s="522"/>
      <c r="P101" s="522"/>
      <c r="Q101" s="522"/>
      <c r="R101" s="522"/>
      <c r="S101" s="522"/>
      <c r="T101" s="522"/>
      <c r="U101" s="522"/>
      <c r="V101" s="522"/>
      <c r="W101" s="522"/>
      <c r="X101" s="522"/>
      <c r="Y101" s="522"/>
      <c r="Z101" s="522"/>
    </row>
    <row r="102" spans="1:26" s="523" customFormat="1" ht="15.75" hidden="1" customHeight="1" outlineLevel="1" x14ac:dyDescent="0.2">
      <c r="A102" s="566"/>
      <c r="B102" s="570" t="s">
        <v>674</v>
      </c>
      <c r="C102" s="571"/>
      <c r="D102" s="166" t="s">
        <v>38</v>
      </c>
      <c r="E102" s="148">
        <v>1</v>
      </c>
      <c r="F102" s="148" t="s">
        <v>49</v>
      </c>
      <c r="G102" s="148">
        <v>10.217499999999999</v>
      </c>
      <c r="H102" s="566"/>
      <c r="I102" s="532">
        <f t="shared" si="4"/>
        <v>10.217499999999999</v>
      </c>
      <c r="J102" s="572"/>
      <c r="K102" s="522"/>
      <c r="L102" s="522"/>
      <c r="M102" s="522"/>
      <c r="N102" s="522"/>
      <c r="O102" s="522"/>
      <c r="P102" s="522"/>
      <c r="Q102" s="522"/>
      <c r="R102" s="522"/>
      <c r="S102" s="522"/>
      <c r="T102" s="522"/>
      <c r="U102" s="522"/>
      <c r="V102" s="522"/>
      <c r="W102" s="522"/>
      <c r="X102" s="522"/>
      <c r="Y102" s="522"/>
      <c r="Z102" s="522"/>
    </row>
    <row r="103" spans="1:26" s="523" customFormat="1" ht="15.75" hidden="1" customHeight="1" outlineLevel="1" x14ac:dyDescent="0.2">
      <c r="A103" s="566"/>
      <c r="B103" s="570" t="s">
        <v>675</v>
      </c>
      <c r="C103" s="571"/>
      <c r="D103" s="166" t="s">
        <v>38</v>
      </c>
      <c r="E103" s="148">
        <v>1</v>
      </c>
      <c r="F103" s="148" t="s">
        <v>49</v>
      </c>
      <c r="G103" s="148">
        <v>14.07</v>
      </c>
      <c r="H103" s="566"/>
      <c r="I103" s="532">
        <f t="shared" si="4"/>
        <v>14.07</v>
      </c>
      <c r="J103" s="572"/>
      <c r="K103" s="522"/>
      <c r="L103" s="522"/>
      <c r="M103" s="522"/>
      <c r="N103" s="522"/>
      <c r="O103" s="522"/>
      <c r="P103" s="522"/>
      <c r="Q103" s="522"/>
      <c r="R103" s="522"/>
      <c r="S103" s="522"/>
      <c r="T103" s="522"/>
      <c r="U103" s="522"/>
      <c r="V103" s="522"/>
      <c r="W103" s="522"/>
      <c r="X103" s="522"/>
      <c r="Y103" s="522"/>
      <c r="Z103" s="522"/>
    </row>
    <row r="104" spans="1:26" s="523" customFormat="1" ht="15.75" hidden="1" customHeight="1" outlineLevel="1" x14ac:dyDescent="0.2">
      <c r="A104" s="566"/>
      <c r="B104" s="567" t="s">
        <v>676</v>
      </c>
      <c r="C104" s="571"/>
      <c r="D104" s="166" t="s">
        <v>38</v>
      </c>
      <c r="E104" s="148">
        <v>1</v>
      </c>
      <c r="F104" s="148" t="s">
        <v>49</v>
      </c>
      <c r="G104" s="148">
        <v>21.58</v>
      </c>
      <c r="H104" s="566"/>
      <c r="I104" s="532">
        <f t="shared" si="4"/>
        <v>21.58</v>
      </c>
      <c r="J104" s="572"/>
      <c r="K104" s="522"/>
      <c r="L104" s="522"/>
      <c r="M104" s="522"/>
      <c r="N104" s="522"/>
      <c r="O104" s="522"/>
      <c r="P104" s="522"/>
      <c r="Q104" s="522"/>
      <c r="R104" s="522"/>
      <c r="S104" s="522"/>
      <c r="T104" s="522"/>
      <c r="U104" s="522"/>
      <c r="V104" s="522"/>
      <c r="W104" s="522"/>
      <c r="X104" s="522"/>
      <c r="Y104" s="522"/>
      <c r="Z104" s="522"/>
    </row>
    <row r="105" spans="1:26" s="523" customFormat="1" ht="15.75" hidden="1" customHeight="1" outlineLevel="1" x14ac:dyDescent="0.2">
      <c r="A105" s="566"/>
      <c r="B105" s="570" t="s">
        <v>677</v>
      </c>
      <c r="C105" s="571"/>
      <c r="D105" s="166" t="s">
        <v>38</v>
      </c>
      <c r="E105" s="148">
        <v>1</v>
      </c>
      <c r="F105" s="148" t="s">
        <v>49</v>
      </c>
      <c r="G105" s="148">
        <v>10.77</v>
      </c>
      <c r="H105" s="566"/>
      <c r="I105" s="532">
        <f t="shared" si="4"/>
        <v>10.77</v>
      </c>
      <c r="J105" s="572"/>
      <c r="K105" s="522"/>
      <c r="L105" s="522"/>
      <c r="M105" s="522"/>
      <c r="N105" s="522"/>
      <c r="O105" s="522"/>
      <c r="P105" s="522"/>
      <c r="Q105" s="522"/>
      <c r="R105" s="522"/>
      <c r="S105" s="522"/>
      <c r="T105" s="522"/>
      <c r="U105" s="522"/>
      <c r="V105" s="522"/>
      <c r="W105" s="522"/>
      <c r="X105" s="522"/>
      <c r="Y105" s="522"/>
      <c r="Z105" s="522"/>
    </row>
    <row r="106" spans="1:26" s="523" customFormat="1" ht="15.75" hidden="1" customHeight="1" outlineLevel="1" x14ac:dyDescent="0.2">
      <c r="A106" s="566"/>
      <c r="B106" s="570" t="s">
        <v>678</v>
      </c>
      <c r="C106" s="573"/>
      <c r="D106" s="166" t="s">
        <v>38</v>
      </c>
      <c r="E106" s="148">
        <v>1</v>
      </c>
      <c r="F106" s="148" t="s">
        <v>49</v>
      </c>
      <c r="G106" s="148">
        <v>30.052499999999998</v>
      </c>
      <c r="H106" s="566"/>
      <c r="I106" s="532">
        <f t="shared" si="4"/>
        <v>30.052499999999998</v>
      </c>
      <c r="J106" s="572"/>
      <c r="K106" s="522"/>
      <c r="L106" s="522"/>
      <c r="M106" s="522"/>
      <c r="N106" s="522"/>
      <c r="O106" s="522"/>
      <c r="P106" s="522"/>
      <c r="Q106" s="522"/>
      <c r="R106" s="522"/>
      <c r="S106" s="522"/>
      <c r="T106" s="522"/>
      <c r="U106" s="522"/>
      <c r="V106" s="522"/>
      <c r="W106" s="522"/>
      <c r="X106" s="522"/>
      <c r="Y106" s="522"/>
      <c r="Z106" s="522"/>
    </row>
    <row r="107" spans="1:26" s="523" customFormat="1" ht="15.75" hidden="1" customHeight="1" outlineLevel="1" x14ac:dyDescent="0.2">
      <c r="A107" s="566"/>
      <c r="B107" s="567" t="s">
        <v>679</v>
      </c>
      <c r="C107" s="352"/>
      <c r="D107" s="166" t="s">
        <v>38</v>
      </c>
      <c r="E107" s="148">
        <v>1</v>
      </c>
      <c r="F107" s="28" t="s">
        <v>49</v>
      </c>
      <c r="G107" s="148">
        <v>16.195</v>
      </c>
      <c r="H107" s="566"/>
      <c r="I107" s="532">
        <f t="shared" si="4"/>
        <v>16.195</v>
      </c>
      <c r="J107" s="572"/>
      <c r="K107" s="522"/>
      <c r="L107" s="522"/>
      <c r="M107" s="522"/>
      <c r="N107" s="522"/>
      <c r="O107" s="522"/>
      <c r="P107" s="522"/>
      <c r="Q107" s="522"/>
      <c r="R107" s="522"/>
      <c r="S107" s="522"/>
      <c r="T107" s="522"/>
      <c r="U107" s="522"/>
      <c r="V107" s="522"/>
      <c r="W107" s="522"/>
      <c r="X107" s="522"/>
      <c r="Y107" s="522"/>
      <c r="Z107" s="522"/>
    </row>
    <row r="108" spans="1:26" s="523" customFormat="1" ht="15.75" hidden="1" customHeight="1" outlineLevel="1" x14ac:dyDescent="0.2">
      <c r="A108" s="566"/>
      <c r="B108" s="570" t="s">
        <v>680</v>
      </c>
      <c r="C108" s="353"/>
      <c r="D108" s="166" t="s">
        <v>38</v>
      </c>
      <c r="E108" s="148">
        <v>1</v>
      </c>
      <c r="F108" s="28" t="s">
        <v>49</v>
      </c>
      <c r="G108" s="148">
        <v>12.44</v>
      </c>
      <c r="H108" s="566"/>
      <c r="I108" s="532">
        <f t="shared" si="4"/>
        <v>12.44</v>
      </c>
      <c r="J108" s="572"/>
      <c r="K108" s="522"/>
      <c r="L108" s="522"/>
      <c r="M108" s="522"/>
      <c r="N108" s="522"/>
      <c r="O108" s="522"/>
      <c r="P108" s="522"/>
      <c r="Q108" s="522"/>
      <c r="R108" s="522"/>
      <c r="S108" s="522"/>
      <c r="T108" s="522"/>
      <c r="U108" s="522"/>
      <c r="V108" s="522"/>
      <c r="W108" s="522"/>
      <c r="X108" s="522"/>
      <c r="Y108" s="522"/>
      <c r="Z108" s="522"/>
    </row>
    <row r="109" spans="1:26" s="523" customFormat="1" ht="15.75" hidden="1" customHeight="1" outlineLevel="1" x14ac:dyDescent="0.2">
      <c r="A109" s="566"/>
      <c r="B109" s="574" t="s">
        <v>681</v>
      </c>
      <c r="C109" s="353"/>
      <c r="D109" s="166" t="s">
        <v>38</v>
      </c>
      <c r="E109" s="148">
        <v>1</v>
      </c>
      <c r="F109" s="28" t="s">
        <v>49</v>
      </c>
      <c r="G109" s="148">
        <v>2.94</v>
      </c>
      <c r="H109" s="566"/>
      <c r="I109" s="532">
        <f t="shared" si="4"/>
        <v>2.94</v>
      </c>
      <c r="J109" s="572"/>
      <c r="K109" s="522"/>
      <c r="L109" s="522"/>
      <c r="M109" s="522"/>
      <c r="N109" s="522"/>
      <c r="O109" s="522"/>
      <c r="P109" s="522"/>
      <c r="Q109" s="522"/>
      <c r="R109" s="522"/>
      <c r="S109" s="522"/>
      <c r="T109" s="522"/>
      <c r="U109" s="522"/>
      <c r="V109" s="522"/>
      <c r="W109" s="522"/>
      <c r="X109" s="522"/>
      <c r="Y109" s="522"/>
      <c r="Z109" s="522"/>
    </row>
    <row r="110" spans="1:26" s="523" customFormat="1" ht="15.75" hidden="1" customHeight="1" outlineLevel="1" x14ac:dyDescent="0.2">
      <c r="A110" s="575"/>
      <c r="B110" s="574"/>
      <c r="C110" s="353"/>
      <c r="D110" s="576"/>
      <c r="E110" s="577"/>
      <c r="F110" s="28"/>
      <c r="G110" s="577"/>
      <c r="H110" s="566"/>
      <c r="I110" s="532"/>
      <c r="J110" s="572"/>
      <c r="K110" s="522"/>
      <c r="L110" s="522"/>
      <c r="M110" s="522"/>
      <c r="N110" s="522"/>
      <c r="O110" s="522"/>
      <c r="P110" s="522"/>
      <c r="Q110" s="522"/>
      <c r="R110" s="522"/>
      <c r="S110" s="522"/>
      <c r="T110" s="522"/>
      <c r="U110" s="522"/>
      <c r="V110" s="522"/>
      <c r="W110" s="522"/>
      <c r="X110" s="522"/>
      <c r="Y110" s="522"/>
      <c r="Z110" s="522"/>
    </row>
    <row r="111" spans="1:26" s="523" customFormat="1" ht="15" customHeight="1" collapsed="1" x14ac:dyDescent="0.2">
      <c r="A111" s="526" t="s">
        <v>427</v>
      </c>
      <c r="B111" s="578" t="s">
        <v>428</v>
      </c>
      <c r="C111" s="579"/>
      <c r="D111" s="526" t="s">
        <v>408</v>
      </c>
      <c r="E111" s="526"/>
      <c r="F111" s="526"/>
      <c r="G111" s="526"/>
      <c r="H111" s="526"/>
      <c r="I111" s="526"/>
      <c r="J111" s="528">
        <f>SUM(I112:I113)</f>
        <v>132.19</v>
      </c>
    </row>
    <row r="112" spans="1:26" s="523" customFormat="1" ht="15" hidden="1" customHeight="1" outlineLevel="1" x14ac:dyDescent="0.2">
      <c r="A112" s="580"/>
      <c r="B112" s="358" t="s">
        <v>505</v>
      </c>
      <c r="C112" s="536"/>
      <c r="D112" s="148" t="s">
        <v>38</v>
      </c>
      <c r="E112" s="28">
        <v>1</v>
      </c>
      <c r="F112" s="28" t="s">
        <v>49</v>
      </c>
      <c r="G112" s="28">
        <v>132.19</v>
      </c>
      <c r="H112" s="28"/>
      <c r="I112" s="532">
        <f>PRODUCT(E112:H112)</f>
        <v>132.19</v>
      </c>
      <c r="J112" s="581"/>
    </row>
    <row r="113" spans="1:26" s="523" customFormat="1" ht="15" hidden="1" customHeight="1" outlineLevel="1" x14ac:dyDescent="0.2">
      <c r="A113" s="580"/>
      <c r="B113" s="358"/>
      <c r="C113" s="536"/>
      <c r="D113" s="148"/>
      <c r="E113" s="28"/>
      <c r="F113" s="28"/>
      <c r="G113" s="28"/>
      <c r="H113" s="28"/>
      <c r="I113" s="532"/>
      <c r="J113" s="582"/>
    </row>
    <row r="114" spans="1:26" s="523" customFormat="1" ht="15.75" customHeight="1" collapsed="1" x14ac:dyDescent="0.2">
      <c r="A114" s="583" t="s">
        <v>425</v>
      </c>
      <c r="B114" s="584" t="s">
        <v>414</v>
      </c>
      <c r="C114" s="585"/>
      <c r="D114" s="586" t="s">
        <v>408</v>
      </c>
      <c r="E114" s="526"/>
      <c r="F114" s="526"/>
      <c r="G114" s="526"/>
      <c r="H114" s="526"/>
      <c r="I114" s="526"/>
      <c r="J114" s="587">
        <f>SUM(I115:I123)</f>
        <v>15.664</v>
      </c>
      <c r="K114" s="522"/>
      <c r="L114" s="522"/>
      <c r="M114" s="522"/>
      <c r="N114" s="522"/>
      <c r="O114" s="522"/>
      <c r="P114" s="522"/>
      <c r="Q114" s="522"/>
      <c r="R114" s="522"/>
      <c r="S114" s="522"/>
      <c r="T114" s="522"/>
      <c r="U114" s="522"/>
      <c r="V114" s="522"/>
      <c r="W114" s="522"/>
      <c r="X114" s="522"/>
      <c r="Y114" s="522"/>
      <c r="Z114" s="522"/>
    </row>
    <row r="115" spans="1:26" s="523" customFormat="1" ht="15.75" hidden="1" customHeight="1" outlineLevel="1" x14ac:dyDescent="0.2">
      <c r="A115" s="588" t="s">
        <v>240</v>
      </c>
      <c r="B115" s="358" t="s">
        <v>384</v>
      </c>
      <c r="C115" s="536"/>
      <c r="D115" s="166" t="s">
        <v>38</v>
      </c>
      <c r="E115" s="28">
        <v>1</v>
      </c>
      <c r="F115" s="28">
        <v>1.1000000000000001</v>
      </c>
      <c r="G115" s="28">
        <v>2</v>
      </c>
      <c r="H115" s="566"/>
      <c r="I115" s="532">
        <f t="shared" si="4"/>
        <v>2.2000000000000002</v>
      </c>
      <c r="J115" s="569"/>
      <c r="K115" s="522"/>
      <c r="L115" s="522"/>
      <c r="M115" s="522"/>
      <c r="N115" s="522"/>
      <c r="O115" s="522"/>
      <c r="P115" s="522"/>
      <c r="Q115" s="522"/>
      <c r="R115" s="522"/>
      <c r="S115" s="522"/>
      <c r="T115" s="522"/>
      <c r="U115" s="522"/>
      <c r="V115" s="522"/>
      <c r="W115" s="522"/>
      <c r="X115" s="522"/>
      <c r="Y115" s="522"/>
      <c r="Z115" s="522"/>
    </row>
    <row r="116" spans="1:26" s="523" customFormat="1" ht="15.75" hidden="1" customHeight="1" outlineLevel="1" x14ac:dyDescent="0.2">
      <c r="A116" s="588"/>
      <c r="B116" s="358" t="s">
        <v>682</v>
      </c>
      <c r="C116" s="536"/>
      <c r="D116" s="166" t="s">
        <v>38</v>
      </c>
      <c r="E116" s="28">
        <v>7</v>
      </c>
      <c r="F116" s="28">
        <v>1.1000000000000001</v>
      </c>
      <c r="G116" s="28">
        <v>0.25</v>
      </c>
      <c r="H116" s="588"/>
      <c r="I116" s="532">
        <f t="shared" si="4"/>
        <v>1.9250000000000003</v>
      </c>
      <c r="J116" s="572"/>
      <c r="K116" s="522"/>
      <c r="L116" s="522"/>
      <c r="M116" s="522"/>
      <c r="N116" s="522"/>
      <c r="O116" s="522"/>
      <c r="P116" s="522"/>
      <c r="Q116" s="522"/>
      <c r="R116" s="522"/>
      <c r="S116" s="522"/>
      <c r="T116" s="522"/>
      <c r="U116" s="522"/>
      <c r="V116" s="522"/>
      <c r="W116" s="522"/>
      <c r="X116" s="522"/>
      <c r="Y116" s="522"/>
      <c r="Z116" s="522"/>
    </row>
    <row r="117" spans="1:26" s="523" customFormat="1" ht="15.75" hidden="1" customHeight="1" outlineLevel="1" x14ac:dyDescent="0.2">
      <c r="A117" s="588"/>
      <c r="B117" s="358" t="s">
        <v>683</v>
      </c>
      <c r="C117" s="536"/>
      <c r="D117" s="166" t="s">
        <v>38</v>
      </c>
      <c r="E117" s="28">
        <v>8</v>
      </c>
      <c r="F117" s="28">
        <v>1.1000000000000001</v>
      </c>
      <c r="G117" s="28">
        <v>0.18</v>
      </c>
      <c r="H117" s="588"/>
      <c r="I117" s="532">
        <f t="shared" si="4"/>
        <v>1.5840000000000001</v>
      </c>
      <c r="J117" s="572"/>
      <c r="K117" s="522"/>
      <c r="L117" s="522"/>
      <c r="M117" s="522"/>
      <c r="N117" s="522"/>
      <c r="O117" s="522"/>
      <c r="P117" s="522"/>
      <c r="Q117" s="522"/>
      <c r="R117" s="522"/>
      <c r="S117" s="522"/>
      <c r="T117" s="522"/>
      <c r="U117" s="522"/>
      <c r="V117" s="522"/>
      <c r="W117" s="522"/>
      <c r="X117" s="522"/>
      <c r="Y117" s="522"/>
      <c r="Z117" s="522"/>
    </row>
    <row r="118" spans="1:26" s="523" customFormat="1" ht="15.75" hidden="1" customHeight="1" outlineLevel="1" x14ac:dyDescent="0.2">
      <c r="A118" s="588" t="s">
        <v>684</v>
      </c>
      <c r="B118" s="358" t="s">
        <v>384</v>
      </c>
      <c r="C118" s="536"/>
      <c r="D118" s="166" t="s">
        <v>38</v>
      </c>
      <c r="E118" s="28">
        <v>1</v>
      </c>
      <c r="F118" s="28">
        <v>1.1000000000000001</v>
      </c>
      <c r="G118" s="28">
        <v>1</v>
      </c>
      <c r="H118" s="588"/>
      <c r="I118" s="532">
        <f>PRODUCT(E118:H118)</f>
        <v>1.1000000000000001</v>
      </c>
      <c r="J118" s="572"/>
      <c r="K118" s="522"/>
      <c r="L118" s="522"/>
      <c r="M118" s="522"/>
      <c r="N118" s="522"/>
      <c r="O118" s="522"/>
      <c r="P118" s="522"/>
      <c r="Q118" s="522"/>
      <c r="R118" s="522"/>
      <c r="S118" s="522"/>
      <c r="T118" s="522"/>
      <c r="U118" s="522"/>
      <c r="V118" s="522"/>
      <c r="W118" s="522"/>
      <c r="X118" s="522"/>
      <c r="Y118" s="522"/>
      <c r="Z118" s="522"/>
    </row>
    <row r="119" spans="1:26" s="523" customFormat="1" ht="15.75" hidden="1" customHeight="1" outlineLevel="1" x14ac:dyDescent="0.2">
      <c r="A119" s="588"/>
      <c r="B119" s="358" t="s">
        <v>685</v>
      </c>
      <c r="C119" s="536"/>
      <c r="D119" s="166" t="s">
        <v>38</v>
      </c>
      <c r="E119" s="28">
        <v>1</v>
      </c>
      <c r="F119" s="28">
        <v>1.1000000000000001</v>
      </c>
      <c r="G119" s="28">
        <v>1</v>
      </c>
      <c r="H119" s="588"/>
      <c r="I119" s="532">
        <f t="shared" si="4"/>
        <v>1.1000000000000001</v>
      </c>
      <c r="J119" s="572"/>
      <c r="K119" s="522"/>
      <c r="L119" s="522"/>
      <c r="M119" s="522"/>
      <c r="N119" s="522"/>
      <c r="O119" s="522"/>
      <c r="P119" s="522"/>
      <c r="Q119" s="522"/>
      <c r="R119" s="522"/>
      <c r="S119" s="522"/>
      <c r="T119" s="522"/>
      <c r="U119" s="522"/>
      <c r="V119" s="522"/>
      <c r="W119" s="522"/>
      <c r="X119" s="522"/>
      <c r="Y119" s="522"/>
      <c r="Z119" s="522"/>
    </row>
    <row r="120" spans="1:26" s="523" customFormat="1" ht="15.75" hidden="1" customHeight="1" outlineLevel="1" x14ac:dyDescent="0.2">
      <c r="A120" s="588" t="s">
        <v>241</v>
      </c>
      <c r="B120" s="358" t="s">
        <v>384</v>
      </c>
      <c r="C120" s="536"/>
      <c r="D120" s="166" t="s">
        <v>38</v>
      </c>
      <c r="E120" s="28">
        <v>1</v>
      </c>
      <c r="F120" s="28">
        <v>1.1000000000000001</v>
      </c>
      <c r="G120" s="28">
        <v>3</v>
      </c>
      <c r="H120" s="588"/>
      <c r="I120" s="532">
        <f t="shared" si="4"/>
        <v>3.3000000000000003</v>
      </c>
      <c r="J120" s="572"/>
      <c r="K120" s="522"/>
      <c r="L120" s="522"/>
      <c r="M120" s="522"/>
      <c r="N120" s="522"/>
      <c r="O120" s="522"/>
      <c r="P120" s="522"/>
      <c r="Q120" s="522"/>
      <c r="R120" s="522"/>
      <c r="S120" s="522"/>
      <c r="T120" s="522"/>
      <c r="U120" s="522"/>
      <c r="V120" s="522"/>
      <c r="W120" s="522"/>
      <c r="X120" s="522"/>
      <c r="Y120" s="522"/>
      <c r="Z120" s="522"/>
    </row>
    <row r="121" spans="1:26" s="523" customFormat="1" ht="15.75" hidden="1" customHeight="1" outlineLevel="1" x14ac:dyDescent="0.2">
      <c r="A121" s="588"/>
      <c r="B121" s="358" t="s">
        <v>682</v>
      </c>
      <c r="C121" s="536"/>
      <c r="D121" s="166" t="s">
        <v>38</v>
      </c>
      <c r="E121" s="28">
        <v>9</v>
      </c>
      <c r="F121" s="28">
        <v>1.1000000000000001</v>
      </c>
      <c r="G121" s="28">
        <v>0.25</v>
      </c>
      <c r="H121" s="588"/>
      <c r="I121" s="532">
        <f t="shared" si="4"/>
        <v>2.4750000000000001</v>
      </c>
      <c r="J121" s="572"/>
      <c r="K121" s="522"/>
      <c r="L121" s="522"/>
      <c r="M121" s="522"/>
      <c r="N121" s="522"/>
      <c r="O121" s="522"/>
      <c r="P121" s="522"/>
      <c r="Q121" s="522"/>
      <c r="R121" s="522"/>
      <c r="S121" s="522"/>
      <c r="T121" s="522"/>
      <c r="U121" s="522"/>
      <c r="V121" s="522"/>
      <c r="W121" s="522"/>
      <c r="X121" s="522"/>
      <c r="Y121" s="522"/>
      <c r="Z121" s="522"/>
    </row>
    <row r="122" spans="1:26" s="523" customFormat="1" ht="15.75" hidden="1" customHeight="1" outlineLevel="1" x14ac:dyDescent="0.2">
      <c r="A122" s="588"/>
      <c r="B122" s="358" t="s">
        <v>683</v>
      </c>
      <c r="C122" s="536"/>
      <c r="D122" s="166" t="s">
        <v>38</v>
      </c>
      <c r="E122" s="28">
        <v>10</v>
      </c>
      <c r="F122" s="28">
        <v>1.1000000000000001</v>
      </c>
      <c r="G122" s="28">
        <v>0.18</v>
      </c>
      <c r="H122" s="588"/>
      <c r="I122" s="532">
        <f t="shared" si="4"/>
        <v>1.98</v>
      </c>
      <c r="J122" s="572"/>
      <c r="K122" s="522"/>
      <c r="L122" s="522"/>
      <c r="M122" s="522"/>
      <c r="N122" s="522"/>
      <c r="O122" s="522"/>
      <c r="P122" s="522"/>
      <c r="Q122" s="522"/>
      <c r="R122" s="522"/>
      <c r="S122" s="522"/>
      <c r="T122" s="522"/>
      <c r="U122" s="522"/>
      <c r="V122" s="522"/>
      <c r="W122" s="522"/>
      <c r="X122" s="522"/>
      <c r="Y122" s="522"/>
      <c r="Z122" s="522"/>
    </row>
    <row r="123" spans="1:26" s="523" customFormat="1" ht="15.75" hidden="1" customHeight="1" outlineLevel="1" x14ac:dyDescent="0.2">
      <c r="A123" s="588"/>
      <c r="B123" s="589"/>
      <c r="C123" s="590"/>
      <c r="D123" s="28"/>
      <c r="E123" s="28"/>
      <c r="F123" s="28"/>
      <c r="G123" s="28"/>
      <c r="H123" s="588"/>
      <c r="I123" s="532"/>
      <c r="J123" s="572"/>
      <c r="K123" s="522"/>
      <c r="L123" s="522"/>
      <c r="M123" s="522"/>
      <c r="N123" s="522"/>
      <c r="O123" s="522"/>
      <c r="P123" s="522"/>
      <c r="Q123" s="522"/>
      <c r="R123" s="522"/>
      <c r="S123" s="522"/>
      <c r="T123" s="522"/>
      <c r="U123" s="522"/>
      <c r="V123" s="522"/>
      <c r="W123" s="522"/>
      <c r="X123" s="522"/>
      <c r="Y123" s="522"/>
      <c r="Z123" s="522"/>
    </row>
    <row r="124" spans="1:26" s="523" customFormat="1" ht="15" customHeight="1" collapsed="1" x14ac:dyDescent="0.2">
      <c r="A124" s="526" t="s">
        <v>421</v>
      </c>
      <c r="B124" s="540" t="s">
        <v>411</v>
      </c>
      <c r="C124" s="541"/>
      <c r="D124" s="526" t="s">
        <v>408</v>
      </c>
      <c r="E124" s="591"/>
      <c r="F124" s="526"/>
      <c r="G124" s="526"/>
      <c r="H124" s="526"/>
      <c r="I124" s="526"/>
      <c r="J124" s="528">
        <f>SUM(I125:I126)</f>
        <v>1</v>
      </c>
      <c r="K124" s="522"/>
      <c r="L124" s="522"/>
      <c r="M124" s="522"/>
      <c r="N124" s="522"/>
      <c r="O124" s="522"/>
      <c r="P124" s="522"/>
      <c r="Q124" s="522"/>
      <c r="R124" s="522"/>
      <c r="S124" s="522"/>
      <c r="T124" s="522"/>
      <c r="U124" s="522"/>
      <c r="V124" s="522"/>
      <c r="W124" s="522"/>
      <c r="X124" s="522"/>
      <c r="Y124" s="522"/>
      <c r="Z124" s="522"/>
    </row>
    <row r="125" spans="1:26" s="523" customFormat="1" ht="15.75" hidden="1" customHeight="1" outlineLevel="1" x14ac:dyDescent="0.2">
      <c r="A125" s="529"/>
      <c r="B125" s="592"/>
      <c r="C125" s="593"/>
      <c r="D125" s="532" t="s">
        <v>38</v>
      </c>
      <c r="E125" s="529">
        <v>1</v>
      </c>
      <c r="F125" s="28"/>
      <c r="G125" s="28"/>
      <c r="H125" s="28"/>
      <c r="I125" s="532">
        <f>PRODUCT(E125:H125)</f>
        <v>1</v>
      </c>
      <c r="J125" s="551"/>
      <c r="L125" s="522"/>
      <c r="M125" s="522"/>
      <c r="N125" s="522"/>
      <c r="O125" s="522"/>
      <c r="P125" s="522"/>
      <c r="Q125" s="522"/>
      <c r="R125" s="522"/>
      <c r="S125" s="522"/>
      <c r="T125" s="522"/>
      <c r="U125" s="522"/>
      <c r="V125" s="522"/>
      <c r="W125" s="522"/>
      <c r="X125" s="522"/>
      <c r="Y125" s="522"/>
      <c r="Z125" s="522"/>
    </row>
    <row r="126" spans="1:26" s="523" customFormat="1" ht="15.75" hidden="1" customHeight="1" outlineLevel="1" x14ac:dyDescent="0.2">
      <c r="A126" s="529"/>
      <c r="B126" s="592"/>
      <c r="C126" s="593"/>
      <c r="D126" s="532"/>
      <c r="E126" s="529"/>
      <c r="F126" s="28"/>
      <c r="G126" s="28"/>
      <c r="H126" s="28"/>
      <c r="I126" s="532"/>
      <c r="J126" s="551"/>
      <c r="L126" s="522"/>
      <c r="M126" s="522"/>
      <c r="N126" s="522"/>
      <c r="O126" s="522"/>
      <c r="P126" s="522"/>
      <c r="Q126" s="522"/>
      <c r="R126" s="522"/>
      <c r="S126" s="522"/>
      <c r="T126" s="522"/>
      <c r="U126" s="522"/>
      <c r="V126" s="522"/>
      <c r="W126" s="522"/>
      <c r="X126" s="522"/>
      <c r="Y126" s="522"/>
      <c r="Z126" s="522"/>
    </row>
    <row r="127" spans="1:26" s="612" customFormat="1" ht="15" customHeight="1" collapsed="1" x14ac:dyDescent="0.2">
      <c r="A127" s="607" t="s">
        <v>347</v>
      </c>
      <c r="B127" s="608" t="s">
        <v>318</v>
      </c>
      <c r="C127" s="609"/>
      <c r="D127" s="607"/>
      <c r="E127" s="610"/>
      <c r="F127" s="610"/>
      <c r="G127" s="610"/>
      <c r="H127" s="610"/>
      <c r="I127" s="610"/>
      <c r="J127" s="610"/>
      <c r="K127" s="611"/>
      <c r="L127" s="611"/>
      <c r="M127" s="611"/>
      <c r="N127" s="611"/>
      <c r="O127" s="611"/>
      <c r="P127" s="611"/>
      <c r="Q127" s="611"/>
      <c r="R127" s="611"/>
      <c r="S127" s="611"/>
      <c r="T127" s="611"/>
      <c r="U127" s="611"/>
      <c r="V127" s="611"/>
      <c r="W127" s="611"/>
      <c r="X127" s="611"/>
      <c r="Y127" s="611"/>
      <c r="Z127" s="611"/>
    </row>
    <row r="128" spans="1:26" s="523" customFormat="1" ht="15" customHeight="1" x14ac:dyDescent="0.2">
      <c r="A128" s="276" t="s">
        <v>348</v>
      </c>
      <c r="B128" s="524" t="s">
        <v>418</v>
      </c>
      <c r="C128" s="525"/>
      <c r="D128" s="276"/>
      <c r="E128" s="276"/>
      <c r="F128" s="276"/>
      <c r="G128" s="276"/>
      <c r="H128" s="276"/>
      <c r="I128" s="276"/>
      <c r="J128" s="276"/>
      <c r="K128" s="522"/>
      <c r="L128" s="522"/>
      <c r="M128" s="522"/>
      <c r="N128" s="522"/>
      <c r="O128" s="522"/>
      <c r="P128" s="522"/>
      <c r="Q128" s="522"/>
      <c r="R128" s="522"/>
      <c r="S128" s="522"/>
      <c r="T128" s="522"/>
      <c r="U128" s="522"/>
      <c r="V128" s="522"/>
      <c r="W128" s="522"/>
      <c r="X128" s="522"/>
      <c r="Y128" s="522"/>
      <c r="Z128" s="522"/>
    </row>
    <row r="129" spans="1:26" s="523" customFormat="1" ht="15" customHeight="1" x14ac:dyDescent="0.2">
      <c r="A129" s="526" t="s">
        <v>349</v>
      </c>
      <c r="B129" s="527" t="s">
        <v>186</v>
      </c>
      <c r="C129" s="527"/>
      <c r="D129" s="526" t="s">
        <v>408</v>
      </c>
      <c r="E129" s="526"/>
      <c r="F129" s="526"/>
      <c r="G129" s="526"/>
      <c r="H129" s="526"/>
      <c r="I129" s="526"/>
      <c r="J129" s="528">
        <f>SUM(I130:I153)</f>
        <v>109.16499999999999</v>
      </c>
      <c r="K129" s="522"/>
      <c r="L129" s="522"/>
      <c r="M129" s="522"/>
      <c r="N129" s="522"/>
      <c r="O129" s="522"/>
      <c r="P129" s="522"/>
      <c r="Q129" s="522"/>
      <c r="R129" s="522"/>
      <c r="S129" s="522"/>
      <c r="T129" s="522"/>
      <c r="U129" s="522"/>
      <c r="V129" s="522"/>
      <c r="W129" s="522"/>
      <c r="X129" s="522"/>
      <c r="Y129" s="522"/>
      <c r="Z129" s="522"/>
    </row>
    <row r="130" spans="1:26" s="523" customFormat="1" ht="15" hidden="1" customHeight="1" outlineLevel="1" x14ac:dyDescent="0.2">
      <c r="A130" s="529"/>
      <c r="B130" s="530" t="s">
        <v>561</v>
      </c>
      <c r="C130" s="531"/>
      <c r="D130" s="532" t="s">
        <v>38</v>
      </c>
      <c r="E130" s="529">
        <v>1</v>
      </c>
      <c r="F130" s="28">
        <v>3.8</v>
      </c>
      <c r="G130" s="532"/>
      <c r="H130" s="28">
        <v>2.4</v>
      </c>
      <c r="I130" s="532">
        <f t="shared" ref="I130:I142" si="5">PRODUCT(E130:H130)</f>
        <v>9.1199999999999992</v>
      </c>
      <c r="J130" s="533"/>
      <c r="K130" s="522"/>
      <c r="L130" s="522"/>
      <c r="M130" s="522"/>
      <c r="N130" s="522"/>
      <c r="O130" s="522"/>
      <c r="P130" s="522"/>
      <c r="Q130" s="522"/>
      <c r="R130" s="522"/>
      <c r="S130" s="522"/>
      <c r="T130" s="522"/>
      <c r="U130" s="522"/>
      <c r="V130" s="522"/>
      <c r="W130" s="522"/>
      <c r="X130" s="522"/>
      <c r="Y130" s="522"/>
      <c r="Z130" s="522"/>
    </row>
    <row r="131" spans="1:26" s="523" customFormat="1" ht="15" hidden="1" customHeight="1" outlineLevel="1" x14ac:dyDescent="0.2">
      <c r="A131" s="529"/>
      <c r="B131" s="530" t="s">
        <v>562</v>
      </c>
      <c r="C131" s="531"/>
      <c r="D131" s="532" t="s">
        <v>38</v>
      </c>
      <c r="E131" s="529">
        <v>1</v>
      </c>
      <c r="F131" s="28">
        <v>4.2</v>
      </c>
      <c r="G131" s="532"/>
      <c r="H131" s="28">
        <v>2.4</v>
      </c>
      <c r="I131" s="532">
        <f t="shared" si="5"/>
        <v>10.08</v>
      </c>
      <c r="J131" s="534"/>
      <c r="K131" s="522"/>
      <c r="L131" s="522"/>
      <c r="M131" s="522"/>
      <c r="N131" s="522"/>
      <c r="O131" s="522"/>
      <c r="P131" s="522"/>
      <c r="Q131" s="522"/>
      <c r="R131" s="522"/>
      <c r="S131" s="522"/>
      <c r="T131" s="522"/>
      <c r="U131" s="522"/>
      <c r="V131" s="522"/>
      <c r="W131" s="522"/>
      <c r="X131" s="522"/>
      <c r="Y131" s="522"/>
      <c r="Z131" s="522"/>
    </row>
    <row r="132" spans="1:26" s="523" customFormat="1" ht="15" hidden="1" customHeight="1" outlineLevel="1" x14ac:dyDescent="0.2">
      <c r="A132" s="529"/>
      <c r="B132" s="530" t="s">
        <v>563</v>
      </c>
      <c r="C132" s="531"/>
      <c r="D132" s="532" t="s">
        <v>38</v>
      </c>
      <c r="E132" s="529">
        <v>1</v>
      </c>
      <c r="F132" s="28">
        <v>1.6</v>
      </c>
      <c r="G132" s="532"/>
      <c r="H132" s="28">
        <v>2.4</v>
      </c>
      <c r="I132" s="532">
        <f t="shared" si="5"/>
        <v>3.84</v>
      </c>
      <c r="J132" s="534"/>
      <c r="K132" s="522"/>
      <c r="L132" s="522"/>
      <c r="M132" s="522"/>
      <c r="N132" s="522"/>
      <c r="O132" s="522"/>
      <c r="P132" s="522"/>
      <c r="Q132" s="522"/>
      <c r="R132" s="522"/>
      <c r="S132" s="522"/>
      <c r="T132" s="522"/>
      <c r="U132" s="522"/>
      <c r="V132" s="522"/>
      <c r="W132" s="522"/>
      <c r="X132" s="522"/>
      <c r="Y132" s="522"/>
      <c r="Z132" s="522"/>
    </row>
    <row r="133" spans="1:26" s="523" customFormat="1" ht="15" hidden="1" customHeight="1" outlineLevel="1" x14ac:dyDescent="0.2">
      <c r="A133" s="529"/>
      <c r="B133" s="530" t="s">
        <v>564</v>
      </c>
      <c r="C133" s="531"/>
      <c r="D133" s="532" t="s">
        <v>38</v>
      </c>
      <c r="E133" s="529">
        <v>1</v>
      </c>
      <c r="F133" s="28">
        <v>1.8</v>
      </c>
      <c r="G133" s="532"/>
      <c r="H133" s="28">
        <v>2.4</v>
      </c>
      <c r="I133" s="532">
        <f t="shared" si="5"/>
        <v>4.32</v>
      </c>
      <c r="J133" s="534"/>
      <c r="K133" s="522"/>
      <c r="L133" s="522"/>
      <c r="M133" s="522"/>
      <c r="N133" s="522"/>
      <c r="O133" s="522"/>
      <c r="P133" s="522"/>
      <c r="Q133" s="522"/>
      <c r="R133" s="522"/>
      <c r="S133" s="522"/>
      <c r="T133" s="522"/>
      <c r="U133" s="522"/>
      <c r="V133" s="522"/>
      <c r="W133" s="522"/>
      <c r="X133" s="522"/>
      <c r="Y133" s="522"/>
      <c r="Z133" s="522"/>
    </row>
    <row r="134" spans="1:26" s="523" customFormat="1" ht="15" hidden="1" customHeight="1" outlineLevel="1" x14ac:dyDescent="0.2">
      <c r="A134" s="529"/>
      <c r="B134" s="530" t="s">
        <v>565</v>
      </c>
      <c r="C134" s="531"/>
      <c r="D134" s="532" t="s">
        <v>38</v>
      </c>
      <c r="E134" s="529">
        <v>1</v>
      </c>
      <c r="F134" s="28">
        <v>2.2999999999999998</v>
      </c>
      <c r="G134" s="532"/>
      <c r="H134" s="28">
        <v>2.4</v>
      </c>
      <c r="I134" s="532">
        <f t="shared" si="5"/>
        <v>5.52</v>
      </c>
      <c r="J134" s="534"/>
      <c r="K134" s="522"/>
      <c r="L134" s="522"/>
      <c r="M134" s="522"/>
      <c r="N134" s="522"/>
      <c r="O134" s="522"/>
      <c r="P134" s="522"/>
      <c r="Q134" s="522"/>
      <c r="R134" s="522"/>
      <c r="S134" s="522"/>
      <c r="T134" s="522"/>
      <c r="U134" s="522"/>
      <c r="V134" s="522"/>
      <c r="W134" s="522"/>
      <c r="X134" s="522"/>
      <c r="Y134" s="522"/>
      <c r="Z134" s="522"/>
    </row>
    <row r="135" spans="1:26" s="523" customFormat="1" ht="15" hidden="1" customHeight="1" outlineLevel="1" x14ac:dyDescent="0.2">
      <c r="A135" s="529"/>
      <c r="B135" s="530" t="s">
        <v>566</v>
      </c>
      <c r="C135" s="531"/>
      <c r="D135" s="532" t="s">
        <v>38</v>
      </c>
      <c r="E135" s="529">
        <v>1</v>
      </c>
      <c r="F135" s="28">
        <v>2.5</v>
      </c>
      <c r="G135" s="532"/>
      <c r="H135" s="28">
        <v>2.4</v>
      </c>
      <c r="I135" s="532">
        <f t="shared" si="5"/>
        <v>6</v>
      </c>
      <c r="J135" s="534"/>
      <c r="K135" s="522"/>
      <c r="L135" s="522"/>
      <c r="M135" s="522"/>
      <c r="N135" s="522"/>
      <c r="O135" s="522"/>
      <c r="P135" s="522"/>
      <c r="Q135" s="522"/>
      <c r="R135" s="522"/>
      <c r="S135" s="522"/>
      <c r="T135" s="522"/>
      <c r="U135" s="522"/>
      <c r="V135" s="522"/>
      <c r="W135" s="522"/>
      <c r="X135" s="522"/>
      <c r="Y135" s="522"/>
      <c r="Z135" s="522"/>
    </row>
    <row r="136" spans="1:26" s="523" customFormat="1" ht="15" hidden="1" customHeight="1" outlineLevel="1" x14ac:dyDescent="0.2">
      <c r="A136" s="529"/>
      <c r="B136" s="530" t="s">
        <v>567</v>
      </c>
      <c r="C136" s="531"/>
      <c r="D136" s="532" t="s">
        <v>38</v>
      </c>
      <c r="E136" s="529">
        <v>1</v>
      </c>
      <c r="F136" s="28">
        <v>1.35</v>
      </c>
      <c r="G136" s="532"/>
      <c r="H136" s="28">
        <v>2.4</v>
      </c>
      <c r="I136" s="532">
        <f t="shared" si="5"/>
        <v>3.24</v>
      </c>
      <c r="J136" s="534"/>
      <c r="K136" s="522"/>
      <c r="L136" s="522"/>
      <c r="M136" s="522"/>
      <c r="N136" s="522"/>
      <c r="O136" s="522"/>
      <c r="P136" s="522"/>
      <c r="Q136" s="522"/>
      <c r="R136" s="522"/>
      <c r="S136" s="522"/>
      <c r="T136" s="522"/>
      <c r="U136" s="522"/>
      <c r="V136" s="522"/>
      <c r="W136" s="522"/>
      <c r="X136" s="522"/>
      <c r="Y136" s="522"/>
      <c r="Z136" s="522"/>
    </row>
    <row r="137" spans="1:26" s="523" customFormat="1" ht="15" hidden="1" customHeight="1" outlineLevel="1" x14ac:dyDescent="0.2">
      <c r="A137" s="529"/>
      <c r="B137" s="530" t="s">
        <v>568</v>
      </c>
      <c r="C137" s="531"/>
      <c r="D137" s="532" t="s">
        <v>38</v>
      </c>
      <c r="E137" s="529">
        <v>1</v>
      </c>
      <c r="F137" s="28">
        <v>1.55</v>
      </c>
      <c r="G137" s="532"/>
      <c r="H137" s="28">
        <v>2.4</v>
      </c>
      <c r="I137" s="532">
        <f t="shared" si="5"/>
        <v>3.7199999999999998</v>
      </c>
      <c r="J137" s="534"/>
      <c r="K137" s="522"/>
      <c r="L137" s="522"/>
      <c r="M137" s="522"/>
      <c r="N137" s="522"/>
      <c r="O137" s="522"/>
      <c r="P137" s="522"/>
      <c r="Q137" s="522"/>
      <c r="R137" s="522"/>
      <c r="S137" s="522"/>
      <c r="T137" s="522"/>
      <c r="U137" s="522"/>
      <c r="V137" s="522"/>
      <c r="W137" s="522"/>
      <c r="X137" s="522"/>
      <c r="Y137" s="522"/>
      <c r="Z137" s="522"/>
    </row>
    <row r="138" spans="1:26" s="523" customFormat="1" ht="15" hidden="1" customHeight="1" outlineLevel="1" x14ac:dyDescent="0.2">
      <c r="A138" s="529"/>
      <c r="B138" s="530" t="s">
        <v>569</v>
      </c>
      <c r="C138" s="531"/>
      <c r="D138" s="532" t="s">
        <v>38</v>
      </c>
      <c r="E138" s="529">
        <v>1</v>
      </c>
      <c r="F138" s="28">
        <v>2.4500000000000002</v>
      </c>
      <c r="G138" s="532"/>
      <c r="H138" s="28">
        <v>2.4</v>
      </c>
      <c r="I138" s="532">
        <f t="shared" si="5"/>
        <v>5.88</v>
      </c>
      <c r="J138" s="534"/>
      <c r="K138" s="522"/>
      <c r="L138" s="522"/>
      <c r="M138" s="522"/>
      <c r="N138" s="522"/>
      <c r="O138" s="522"/>
      <c r="P138" s="522"/>
      <c r="Q138" s="522"/>
      <c r="R138" s="522"/>
      <c r="S138" s="522"/>
      <c r="T138" s="522"/>
      <c r="U138" s="522"/>
      <c r="V138" s="522"/>
      <c r="W138" s="522"/>
      <c r="X138" s="522"/>
      <c r="Y138" s="522"/>
      <c r="Z138" s="522"/>
    </row>
    <row r="139" spans="1:26" s="523" customFormat="1" ht="15" hidden="1" customHeight="1" outlineLevel="1" x14ac:dyDescent="0.2">
      <c r="A139" s="529"/>
      <c r="B139" s="530" t="s">
        <v>570</v>
      </c>
      <c r="C139" s="531"/>
      <c r="D139" s="532" t="s">
        <v>38</v>
      </c>
      <c r="E139" s="529">
        <v>1</v>
      </c>
      <c r="F139" s="28">
        <v>2.4500000000000002</v>
      </c>
      <c r="G139" s="532"/>
      <c r="H139" s="28">
        <v>2.4</v>
      </c>
      <c r="I139" s="532">
        <f t="shared" si="5"/>
        <v>5.88</v>
      </c>
      <c r="J139" s="534"/>
      <c r="K139" s="522"/>
      <c r="L139" s="522"/>
      <c r="M139" s="522"/>
      <c r="N139" s="522"/>
      <c r="O139" s="522"/>
      <c r="P139" s="522"/>
      <c r="Q139" s="522"/>
      <c r="R139" s="522"/>
      <c r="S139" s="522"/>
      <c r="T139" s="522"/>
      <c r="U139" s="522"/>
      <c r="V139" s="522"/>
      <c r="W139" s="522"/>
      <c r="X139" s="522"/>
      <c r="Y139" s="522"/>
      <c r="Z139" s="522"/>
    </row>
    <row r="140" spans="1:26" s="523" customFormat="1" ht="15" hidden="1" customHeight="1" outlineLevel="1" x14ac:dyDescent="0.2">
      <c r="A140" s="529"/>
      <c r="B140" s="530" t="s">
        <v>571</v>
      </c>
      <c r="C140" s="531"/>
      <c r="D140" s="532" t="s">
        <v>38</v>
      </c>
      <c r="E140" s="529">
        <v>1</v>
      </c>
      <c r="F140" s="28">
        <v>1.7</v>
      </c>
      <c r="G140" s="532"/>
      <c r="H140" s="28">
        <v>2.4</v>
      </c>
      <c r="I140" s="532">
        <f t="shared" si="5"/>
        <v>4.08</v>
      </c>
      <c r="J140" s="534"/>
      <c r="K140" s="522"/>
      <c r="L140" s="522"/>
      <c r="M140" s="522"/>
      <c r="N140" s="522"/>
      <c r="O140" s="522"/>
      <c r="P140" s="522"/>
      <c r="Q140" s="522"/>
      <c r="R140" s="522"/>
      <c r="S140" s="522"/>
      <c r="T140" s="522"/>
      <c r="U140" s="522"/>
      <c r="V140" s="522"/>
      <c r="W140" s="522"/>
      <c r="X140" s="522"/>
      <c r="Y140" s="522"/>
      <c r="Z140" s="522"/>
    </row>
    <row r="141" spans="1:26" s="523" customFormat="1" ht="15" hidden="1" customHeight="1" outlineLevel="1" x14ac:dyDescent="0.2">
      <c r="A141" s="529"/>
      <c r="B141" s="530" t="s">
        <v>572</v>
      </c>
      <c r="C141" s="531"/>
      <c r="D141" s="532" t="s">
        <v>38</v>
      </c>
      <c r="E141" s="529">
        <v>1</v>
      </c>
      <c r="F141" s="28">
        <v>1.75</v>
      </c>
      <c r="G141" s="532"/>
      <c r="H141" s="28">
        <v>2.4</v>
      </c>
      <c r="I141" s="532">
        <f t="shared" si="5"/>
        <v>4.2</v>
      </c>
      <c r="J141" s="534"/>
      <c r="K141" s="522"/>
      <c r="L141" s="522"/>
      <c r="M141" s="522"/>
      <c r="N141" s="522"/>
      <c r="O141" s="522"/>
      <c r="P141" s="522"/>
      <c r="Q141" s="522"/>
      <c r="R141" s="522"/>
      <c r="S141" s="522"/>
      <c r="T141" s="522"/>
      <c r="U141" s="522"/>
      <c r="V141" s="522"/>
      <c r="W141" s="522"/>
      <c r="X141" s="522"/>
      <c r="Y141" s="522"/>
      <c r="Z141" s="522"/>
    </row>
    <row r="142" spans="1:26" s="523" customFormat="1" ht="15" hidden="1" customHeight="1" outlineLevel="1" x14ac:dyDescent="0.2">
      <c r="A142" s="529"/>
      <c r="B142" s="530" t="s">
        <v>573</v>
      </c>
      <c r="C142" s="531"/>
      <c r="D142" s="532" t="s">
        <v>38</v>
      </c>
      <c r="E142" s="529">
        <v>1</v>
      </c>
      <c r="F142" s="28">
        <v>1.8</v>
      </c>
      <c r="G142" s="532"/>
      <c r="H142" s="28">
        <v>2.4</v>
      </c>
      <c r="I142" s="532">
        <f t="shared" si="5"/>
        <v>4.32</v>
      </c>
      <c r="J142" s="534"/>
      <c r="K142" s="522"/>
      <c r="L142" s="522"/>
      <c r="M142" s="522"/>
      <c r="N142" s="522"/>
      <c r="O142" s="522"/>
      <c r="P142" s="522"/>
      <c r="Q142" s="522"/>
      <c r="R142" s="522"/>
      <c r="S142" s="522"/>
      <c r="T142" s="522"/>
      <c r="U142" s="522"/>
      <c r="V142" s="522"/>
      <c r="W142" s="522"/>
      <c r="X142" s="522"/>
      <c r="Y142" s="522"/>
      <c r="Z142" s="522"/>
    </row>
    <row r="143" spans="1:26" s="523" customFormat="1" ht="15" hidden="1" customHeight="1" outlineLevel="1" x14ac:dyDescent="0.2">
      <c r="A143" s="529"/>
      <c r="B143" s="530" t="s">
        <v>574</v>
      </c>
      <c r="C143" s="531"/>
      <c r="D143" s="532" t="s">
        <v>38</v>
      </c>
      <c r="E143" s="529">
        <v>1</v>
      </c>
      <c r="F143" s="28">
        <v>1.95</v>
      </c>
      <c r="G143" s="532"/>
      <c r="H143" s="28">
        <v>2.4</v>
      </c>
      <c r="I143" s="532">
        <f t="shared" ref="I143:I152" si="6">PRODUCT(E143:H143)</f>
        <v>4.68</v>
      </c>
      <c r="J143" s="534"/>
      <c r="K143" s="522"/>
      <c r="L143" s="522"/>
      <c r="M143" s="522"/>
      <c r="N143" s="522"/>
      <c r="O143" s="522"/>
      <c r="P143" s="522"/>
      <c r="Q143" s="522"/>
      <c r="R143" s="522"/>
      <c r="S143" s="522"/>
      <c r="T143" s="522"/>
      <c r="U143" s="522"/>
      <c r="V143" s="522"/>
      <c r="W143" s="522"/>
      <c r="X143" s="522"/>
      <c r="Y143" s="522"/>
      <c r="Z143" s="522"/>
    </row>
    <row r="144" spans="1:26" s="523" customFormat="1" ht="15" hidden="1" customHeight="1" outlineLevel="1" x14ac:dyDescent="0.2">
      <c r="A144" s="529"/>
      <c r="B144" s="530" t="s">
        <v>620</v>
      </c>
      <c r="C144" s="531"/>
      <c r="D144" s="532" t="s">
        <v>38</v>
      </c>
      <c r="E144" s="529">
        <v>1</v>
      </c>
      <c r="F144" s="28">
        <v>1.8</v>
      </c>
      <c r="G144" s="532"/>
      <c r="H144" s="28">
        <v>2.4</v>
      </c>
      <c r="I144" s="532">
        <f t="shared" si="6"/>
        <v>4.32</v>
      </c>
      <c r="J144" s="534"/>
      <c r="K144" s="522"/>
      <c r="L144" s="522"/>
      <c r="M144" s="522"/>
      <c r="N144" s="522"/>
      <c r="O144" s="522"/>
      <c r="P144" s="522"/>
      <c r="Q144" s="522"/>
      <c r="R144" s="522"/>
      <c r="S144" s="522"/>
      <c r="T144" s="522"/>
      <c r="U144" s="522"/>
      <c r="V144" s="522"/>
      <c r="W144" s="522"/>
      <c r="X144" s="522"/>
      <c r="Y144" s="522"/>
      <c r="Z144" s="522"/>
    </row>
    <row r="145" spans="1:26" s="523" customFormat="1" ht="15" hidden="1" customHeight="1" outlineLevel="1" x14ac:dyDescent="0.2">
      <c r="A145" s="529"/>
      <c r="B145" s="530" t="s">
        <v>621</v>
      </c>
      <c r="C145" s="531"/>
      <c r="D145" s="532" t="s">
        <v>38</v>
      </c>
      <c r="E145" s="529">
        <v>1</v>
      </c>
      <c r="F145" s="28">
        <v>1.8</v>
      </c>
      <c r="G145" s="532"/>
      <c r="H145" s="28">
        <v>2.4</v>
      </c>
      <c r="I145" s="532">
        <f t="shared" si="6"/>
        <v>4.32</v>
      </c>
      <c r="J145" s="534"/>
      <c r="K145" s="522"/>
      <c r="L145" s="522"/>
      <c r="M145" s="522"/>
      <c r="N145" s="522"/>
      <c r="O145" s="522"/>
      <c r="P145" s="522"/>
      <c r="Q145" s="522"/>
      <c r="R145" s="522"/>
      <c r="S145" s="522"/>
      <c r="T145" s="522"/>
      <c r="U145" s="522"/>
      <c r="V145" s="522"/>
      <c r="W145" s="522"/>
      <c r="X145" s="522"/>
      <c r="Y145" s="522"/>
      <c r="Z145" s="522"/>
    </row>
    <row r="146" spans="1:26" s="523" customFormat="1" ht="15" hidden="1" customHeight="1" outlineLevel="1" x14ac:dyDescent="0.2">
      <c r="A146" s="529"/>
      <c r="B146" s="530" t="s">
        <v>622</v>
      </c>
      <c r="C146" s="531"/>
      <c r="D146" s="532" t="s">
        <v>38</v>
      </c>
      <c r="E146" s="529">
        <v>1</v>
      </c>
      <c r="F146" s="28">
        <v>2.5499999999999998</v>
      </c>
      <c r="G146" s="532"/>
      <c r="H146" s="28">
        <v>2.4</v>
      </c>
      <c r="I146" s="532">
        <f t="shared" si="6"/>
        <v>6.1199999999999992</v>
      </c>
      <c r="J146" s="534"/>
      <c r="K146" s="522"/>
      <c r="L146" s="522"/>
      <c r="M146" s="522"/>
      <c r="N146" s="522"/>
      <c r="O146" s="522"/>
      <c r="P146" s="522"/>
      <c r="Q146" s="522"/>
      <c r="R146" s="522"/>
      <c r="S146" s="522"/>
      <c r="T146" s="522"/>
      <c r="U146" s="522"/>
      <c r="V146" s="522"/>
      <c r="W146" s="522"/>
      <c r="X146" s="522"/>
      <c r="Y146" s="522"/>
      <c r="Z146" s="522"/>
    </row>
    <row r="147" spans="1:26" s="523" customFormat="1" ht="15" hidden="1" customHeight="1" outlineLevel="1" x14ac:dyDescent="0.2">
      <c r="A147" s="529"/>
      <c r="B147" s="530" t="s">
        <v>623</v>
      </c>
      <c r="C147" s="531"/>
      <c r="D147" s="532" t="s">
        <v>38</v>
      </c>
      <c r="E147" s="529">
        <v>1</v>
      </c>
      <c r="F147" s="28">
        <v>2.75</v>
      </c>
      <c r="G147" s="532"/>
      <c r="H147" s="28">
        <v>2.4</v>
      </c>
      <c r="I147" s="532">
        <f t="shared" si="6"/>
        <v>6.6</v>
      </c>
      <c r="J147" s="534"/>
      <c r="K147" s="522"/>
      <c r="L147" s="522"/>
      <c r="M147" s="522"/>
      <c r="N147" s="522"/>
      <c r="O147" s="522"/>
      <c r="P147" s="522"/>
      <c r="Q147" s="522"/>
      <c r="R147" s="522"/>
      <c r="S147" s="522"/>
      <c r="T147" s="522"/>
      <c r="U147" s="522"/>
      <c r="V147" s="522"/>
      <c r="W147" s="522"/>
      <c r="X147" s="522"/>
      <c r="Y147" s="522"/>
      <c r="Z147" s="522"/>
    </row>
    <row r="148" spans="1:26" s="523" customFormat="1" ht="15" hidden="1" customHeight="1" outlineLevel="1" x14ac:dyDescent="0.2">
      <c r="A148" s="529" t="s">
        <v>628</v>
      </c>
      <c r="B148" s="530" t="s">
        <v>624</v>
      </c>
      <c r="C148" s="531"/>
      <c r="D148" s="532" t="s">
        <v>38</v>
      </c>
      <c r="E148" s="529">
        <v>1</v>
      </c>
      <c r="F148" s="28">
        <v>2.35</v>
      </c>
      <c r="G148" s="532"/>
      <c r="H148" s="28">
        <v>2.2999999999999998</v>
      </c>
      <c r="I148" s="532">
        <f>PRODUCT(E148:H148)</f>
        <v>5.4049999999999994</v>
      </c>
      <c r="J148" s="534"/>
      <c r="K148" s="522"/>
      <c r="L148" s="522"/>
      <c r="M148" s="522"/>
      <c r="N148" s="522"/>
      <c r="O148" s="522"/>
      <c r="P148" s="522"/>
      <c r="Q148" s="522"/>
      <c r="R148" s="522"/>
      <c r="S148" s="522"/>
      <c r="T148" s="522"/>
      <c r="U148" s="522"/>
      <c r="V148" s="522"/>
      <c r="W148" s="522"/>
      <c r="X148" s="522"/>
      <c r="Y148" s="522"/>
      <c r="Z148" s="522"/>
    </row>
    <row r="149" spans="1:26" s="523" customFormat="1" ht="15" hidden="1" customHeight="1" outlineLevel="1" x14ac:dyDescent="0.2">
      <c r="A149" s="529"/>
      <c r="B149" s="530"/>
      <c r="C149" s="531"/>
      <c r="D149" s="532"/>
      <c r="E149" s="529"/>
      <c r="F149" s="28"/>
      <c r="G149" s="532"/>
      <c r="H149" s="28"/>
      <c r="I149" s="532"/>
      <c r="J149" s="534"/>
      <c r="K149" s="522"/>
      <c r="L149" s="522"/>
      <c r="M149" s="522"/>
      <c r="N149" s="522"/>
      <c r="O149" s="522"/>
      <c r="P149" s="522"/>
      <c r="Q149" s="522"/>
      <c r="R149" s="522"/>
      <c r="S149" s="522"/>
      <c r="T149" s="522"/>
      <c r="U149" s="522"/>
      <c r="V149" s="522"/>
      <c r="W149" s="522"/>
      <c r="X149" s="522"/>
      <c r="Y149" s="522"/>
      <c r="Z149" s="522"/>
    </row>
    <row r="150" spans="1:26" s="523" customFormat="1" ht="15" hidden="1" customHeight="1" outlineLevel="1" x14ac:dyDescent="0.2">
      <c r="A150" s="529" t="s">
        <v>628</v>
      </c>
      <c r="B150" s="530" t="s">
        <v>712</v>
      </c>
      <c r="C150" s="531"/>
      <c r="D150" s="532" t="s">
        <v>38</v>
      </c>
      <c r="E150" s="529">
        <v>1</v>
      </c>
      <c r="F150" s="28">
        <v>0.6</v>
      </c>
      <c r="G150" s="532"/>
      <c r="H150" s="28">
        <v>2.6</v>
      </c>
      <c r="I150" s="532">
        <f t="shared" si="6"/>
        <v>1.56</v>
      </c>
      <c r="J150" s="534"/>
      <c r="K150" s="522"/>
      <c r="L150" s="522"/>
      <c r="M150" s="522"/>
      <c r="N150" s="522"/>
      <c r="O150" s="522"/>
      <c r="P150" s="522"/>
      <c r="Q150" s="522"/>
      <c r="R150" s="522"/>
      <c r="S150" s="522"/>
      <c r="T150" s="522"/>
      <c r="U150" s="522"/>
      <c r="V150" s="522"/>
      <c r="W150" s="522"/>
      <c r="X150" s="522"/>
      <c r="Y150" s="522"/>
      <c r="Z150" s="522"/>
    </row>
    <row r="151" spans="1:26" s="523" customFormat="1" ht="15" hidden="1" customHeight="1" outlineLevel="1" x14ac:dyDescent="0.2">
      <c r="A151" s="529" t="s">
        <v>629</v>
      </c>
      <c r="B151" s="530" t="s">
        <v>713</v>
      </c>
      <c r="C151" s="531"/>
      <c r="D151" s="532" t="s">
        <v>38</v>
      </c>
      <c r="E151" s="529">
        <v>1</v>
      </c>
      <c r="F151" s="28">
        <v>4.4000000000000004</v>
      </c>
      <c r="G151" s="532"/>
      <c r="H151" s="28">
        <v>1</v>
      </c>
      <c r="I151" s="532">
        <f>PRODUCT(E151:H151)</f>
        <v>4.4000000000000004</v>
      </c>
      <c r="J151" s="534"/>
      <c r="K151" s="522"/>
      <c r="L151" s="522"/>
      <c r="M151" s="522"/>
      <c r="N151" s="522"/>
      <c r="O151" s="522"/>
      <c r="P151" s="522"/>
      <c r="Q151" s="522"/>
      <c r="R151" s="522"/>
      <c r="S151" s="522"/>
      <c r="T151" s="522"/>
      <c r="U151" s="522"/>
      <c r="V151" s="522"/>
      <c r="W151" s="522"/>
      <c r="X151" s="522"/>
      <c r="Y151" s="522"/>
      <c r="Z151" s="522"/>
    </row>
    <row r="152" spans="1:26" s="523" customFormat="1" ht="15" hidden="1" customHeight="1" outlineLevel="1" x14ac:dyDescent="0.2">
      <c r="A152" s="529" t="s">
        <v>628</v>
      </c>
      <c r="B152" s="530" t="s">
        <v>714</v>
      </c>
      <c r="C152" s="531"/>
      <c r="D152" s="532" t="s">
        <v>38</v>
      </c>
      <c r="E152" s="529">
        <v>1</v>
      </c>
      <c r="F152" s="28">
        <v>0.6</v>
      </c>
      <c r="G152" s="532"/>
      <c r="H152" s="28">
        <v>2.6</v>
      </c>
      <c r="I152" s="532">
        <f t="shared" si="6"/>
        <v>1.56</v>
      </c>
      <c r="J152" s="534"/>
      <c r="K152" s="522"/>
      <c r="L152" s="522"/>
      <c r="M152" s="522"/>
      <c r="N152" s="522"/>
      <c r="O152" s="522"/>
      <c r="P152" s="522"/>
      <c r="Q152" s="522"/>
      <c r="R152" s="522"/>
      <c r="S152" s="522"/>
      <c r="T152" s="522"/>
      <c r="U152" s="522"/>
      <c r="V152" s="522"/>
      <c r="W152" s="522"/>
      <c r="X152" s="522"/>
      <c r="Y152" s="522"/>
      <c r="Z152" s="522"/>
    </row>
    <row r="153" spans="1:26" s="523" customFormat="1" ht="15" hidden="1" customHeight="1" outlineLevel="1" x14ac:dyDescent="0.2">
      <c r="A153" s="529"/>
      <c r="B153" s="530"/>
      <c r="C153" s="531"/>
      <c r="D153" s="532"/>
      <c r="E153" s="529"/>
      <c r="F153" s="28"/>
      <c r="G153" s="532"/>
      <c r="H153" s="28"/>
      <c r="I153" s="532"/>
      <c r="J153" s="534"/>
      <c r="K153" s="522"/>
      <c r="L153" s="522"/>
      <c r="M153" s="522"/>
      <c r="N153" s="522"/>
      <c r="O153" s="522"/>
      <c r="P153" s="522"/>
      <c r="Q153" s="522"/>
      <c r="R153" s="522"/>
      <c r="S153" s="522"/>
      <c r="T153" s="522"/>
      <c r="U153" s="522"/>
      <c r="V153" s="522"/>
      <c r="W153" s="522"/>
      <c r="X153" s="522"/>
      <c r="Y153" s="522"/>
      <c r="Z153" s="522"/>
    </row>
    <row r="154" spans="1:26" s="523" customFormat="1" ht="15" customHeight="1" collapsed="1" x14ac:dyDescent="0.2">
      <c r="A154" s="526" t="s">
        <v>419</v>
      </c>
      <c r="B154" s="527" t="s">
        <v>189</v>
      </c>
      <c r="C154" s="527"/>
      <c r="D154" s="526" t="s">
        <v>408</v>
      </c>
      <c r="E154" s="526"/>
      <c r="F154" s="526"/>
      <c r="G154" s="526"/>
      <c r="H154" s="526"/>
      <c r="I154" s="526"/>
      <c r="J154" s="528">
        <f>SUM(I155:I190)</f>
        <v>113.91513999999999</v>
      </c>
      <c r="K154" s="522"/>
      <c r="L154" s="522"/>
      <c r="M154" s="522"/>
      <c r="N154" s="522"/>
      <c r="O154" s="522"/>
      <c r="P154" s="522"/>
      <c r="Q154" s="522"/>
      <c r="R154" s="522"/>
      <c r="S154" s="522"/>
      <c r="T154" s="522"/>
      <c r="U154" s="522"/>
      <c r="V154" s="522"/>
      <c r="W154" s="522"/>
      <c r="X154" s="522"/>
      <c r="Y154" s="522"/>
      <c r="Z154" s="522"/>
    </row>
    <row r="155" spans="1:26" s="523" customFormat="1" ht="15" hidden="1" customHeight="1" outlineLevel="1" x14ac:dyDescent="0.2">
      <c r="A155" s="529"/>
      <c r="B155" s="530" t="s">
        <v>575</v>
      </c>
      <c r="C155" s="531"/>
      <c r="D155" s="532" t="s">
        <v>38</v>
      </c>
      <c r="E155" s="529">
        <v>1</v>
      </c>
      <c r="F155" s="28">
        <v>1.1499999999999999</v>
      </c>
      <c r="G155" s="532"/>
      <c r="H155" s="28">
        <v>2.6</v>
      </c>
      <c r="I155" s="532">
        <f t="shared" ref="I155:I172" si="7">PRODUCT(E155:H155)</f>
        <v>2.9899999999999998</v>
      </c>
      <c r="J155" s="533"/>
      <c r="K155" s="522"/>
      <c r="L155" s="522"/>
      <c r="M155" s="522"/>
      <c r="N155" s="522"/>
      <c r="O155" s="522"/>
      <c r="P155" s="522"/>
      <c r="Q155" s="522"/>
      <c r="R155" s="522"/>
      <c r="S155" s="522"/>
      <c r="T155" s="522"/>
      <c r="U155" s="522"/>
      <c r="V155" s="522"/>
      <c r="W155" s="522"/>
      <c r="X155" s="522"/>
      <c r="Y155" s="522"/>
      <c r="Z155" s="522"/>
    </row>
    <row r="156" spans="1:26" s="523" customFormat="1" ht="15" hidden="1" customHeight="1" outlineLevel="1" x14ac:dyDescent="0.2">
      <c r="A156" s="529"/>
      <c r="B156" s="530" t="s">
        <v>576</v>
      </c>
      <c r="C156" s="531"/>
      <c r="D156" s="532" t="s">
        <v>38</v>
      </c>
      <c r="E156" s="529">
        <v>1</v>
      </c>
      <c r="F156" s="28">
        <v>0.5</v>
      </c>
      <c r="G156" s="532"/>
      <c r="H156" s="28">
        <v>2.2999999999999998</v>
      </c>
      <c r="I156" s="532">
        <f t="shared" si="7"/>
        <v>1.1499999999999999</v>
      </c>
      <c r="J156" s="534"/>
      <c r="K156" s="522"/>
      <c r="L156" s="522"/>
      <c r="M156" s="522"/>
      <c r="N156" s="522"/>
      <c r="O156" s="522"/>
      <c r="P156" s="522"/>
      <c r="Q156" s="522"/>
      <c r="R156" s="522"/>
      <c r="S156" s="522"/>
      <c r="T156" s="522"/>
      <c r="U156" s="522"/>
      <c r="V156" s="522"/>
      <c r="W156" s="522"/>
      <c r="X156" s="522"/>
      <c r="Y156" s="522"/>
      <c r="Z156" s="522"/>
    </row>
    <row r="157" spans="1:26" s="523" customFormat="1" ht="15" hidden="1" customHeight="1" outlineLevel="1" x14ac:dyDescent="0.2">
      <c r="A157" s="529"/>
      <c r="B157" s="530" t="s">
        <v>577</v>
      </c>
      <c r="C157" s="531"/>
      <c r="D157" s="532" t="s">
        <v>38</v>
      </c>
      <c r="E157" s="529">
        <v>1</v>
      </c>
      <c r="F157" s="28">
        <v>4.8499999999999996</v>
      </c>
      <c r="G157" s="532"/>
      <c r="H157" s="28">
        <v>2.6</v>
      </c>
      <c r="I157" s="532">
        <f t="shared" si="7"/>
        <v>12.61</v>
      </c>
      <c r="J157" s="534"/>
      <c r="K157" s="522"/>
      <c r="L157" s="522"/>
      <c r="M157" s="522"/>
      <c r="N157" s="522"/>
      <c r="O157" s="522"/>
      <c r="P157" s="522"/>
      <c r="Q157" s="522"/>
      <c r="R157" s="522"/>
      <c r="S157" s="522"/>
      <c r="T157" s="522"/>
      <c r="U157" s="522"/>
      <c r="V157" s="522"/>
      <c r="W157" s="522"/>
      <c r="X157" s="522"/>
      <c r="Y157" s="522"/>
      <c r="Z157" s="522"/>
    </row>
    <row r="158" spans="1:26" s="523" customFormat="1" ht="15" hidden="1" customHeight="1" outlineLevel="1" x14ac:dyDescent="0.2">
      <c r="A158" s="529"/>
      <c r="B158" s="530" t="s">
        <v>578</v>
      </c>
      <c r="C158" s="531"/>
      <c r="D158" s="532" t="s">
        <v>38</v>
      </c>
      <c r="E158" s="529">
        <v>1</v>
      </c>
      <c r="F158" s="28">
        <v>2.5499999999999998</v>
      </c>
      <c r="G158" s="532"/>
      <c r="H158" s="28">
        <v>2.6</v>
      </c>
      <c r="I158" s="532">
        <f t="shared" si="7"/>
        <v>6.63</v>
      </c>
      <c r="J158" s="534"/>
      <c r="K158" s="522"/>
      <c r="L158" s="522"/>
      <c r="M158" s="522"/>
      <c r="N158" s="522"/>
      <c r="O158" s="522"/>
      <c r="P158" s="522"/>
      <c r="Q158" s="522"/>
      <c r="R158" s="522"/>
      <c r="S158" s="522"/>
      <c r="T158" s="522"/>
      <c r="U158" s="522"/>
      <c r="V158" s="522"/>
      <c r="W158" s="522"/>
      <c r="X158" s="522"/>
      <c r="Y158" s="522"/>
      <c r="Z158" s="522"/>
    </row>
    <row r="159" spans="1:26" s="523" customFormat="1" ht="15" hidden="1" customHeight="1" outlineLevel="1" x14ac:dyDescent="0.2">
      <c r="A159" s="529"/>
      <c r="B159" s="530" t="s">
        <v>579</v>
      </c>
      <c r="C159" s="531"/>
      <c r="D159" s="532" t="s">
        <v>38</v>
      </c>
      <c r="E159" s="529">
        <v>1</v>
      </c>
      <c r="F159" s="28">
        <v>1.3917999999999999</v>
      </c>
      <c r="G159" s="532"/>
      <c r="H159" s="28">
        <v>2.6</v>
      </c>
      <c r="I159" s="532">
        <f t="shared" si="7"/>
        <v>3.6186799999999999</v>
      </c>
      <c r="J159" s="534"/>
      <c r="K159" s="522"/>
      <c r="L159" s="522"/>
      <c r="M159" s="522"/>
      <c r="N159" s="522"/>
      <c r="O159" s="522"/>
      <c r="P159" s="522"/>
      <c r="Q159" s="522"/>
      <c r="R159" s="522"/>
      <c r="S159" s="522"/>
      <c r="T159" s="522"/>
      <c r="U159" s="522"/>
      <c r="V159" s="522"/>
      <c r="W159" s="522"/>
      <c r="X159" s="522"/>
      <c r="Y159" s="522"/>
      <c r="Z159" s="522"/>
    </row>
    <row r="160" spans="1:26" s="523" customFormat="1" ht="15" hidden="1" customHeight="1" outlineLevel="1" x14ac:dyDescent="0.2">
      <c r="A160" s="529"/>
      <c r="B160" s="530" t="s">
        <v>591</v>
      </c>
      <c r="C160" s="531"/>
      <c r="D160" s="532" t="s">
        <v>38</v>
      </c>
      <c r="E160" s="529">
        <v>1</v>
      </c>
      <c r="F160" s="28">
        <v>0.7</v>
      </c>
      <c r="G160" s="532"/>
      <c r="H160" s="28">
        <v>1.9</v>
      </c>
      <c r="I160" s="532">
        <f t="shared" si="7"/>
        <v>1.3299999999999998</v>
      </c>
      <c r="J160" s="534"/>
      <c r="K160" s="522"/>
      <c r="L160" s="522"/>
      <c r="M160" s="522"/>
      <c r="N160" s="522"/>
      <c r="O160" s="522"/>
      <c r="P160" s="522"/>
      <c r="Q160" s="522"/>
      <c r="R160" s="522"/>
      <c r="S160" s="522"/>
      <c r="T160" s="522"/>
      <c r="U160" s="522"/>
      <c r="V160" s="522"/>
      <c r="W160" s="522"/>
      <c r="X160" s="522"/>
      <c r="Y160" s="522"/>
      <c r="Z160" s="522"/>
    </row>
    <row r="161" spans="1:26" s="523" customFormat="1" ht="15" hidden="1" customHeight="1" outlineLevel="1" x14ac:dyDescent="0.2">
      <c r="A161" s="529"/>
      <c r="B161" s="530" t="s">
        <v>625</v>
      </c>
      <c r="C161" s="531"/>
      <c r="D161" s="532" t="s">
        <v>38</v>
      </c>
      <c r="E161" s="529">
        <v>1</v>
      </c>
      <c r="F161" s="28">
        <v>1.4</v>
      </c>
      <c r="G161" s="532"/>
      <c r="H161" s="28">
        <v>2.2999999999999998</v>
      </c>
      <c r="I161" s="532">
        <f t="shared" si="7"/>
        <v>3.2199999999999998</v>
      </c>
      <c r="J161" s="534"/>
      <c r="K161" s="522"/>
      <c r="L161" s="522"/>
      <c r="M161" s="522"/>
      <c r="N161" s="522"/>
      <c r="O161" s="522"/>
      <c r="P161" s="522"/>
      <c r="Q161" s="522"/>
      <c r="R161" s="522"/>
      <c r="S161" s="522"/>
      <c r="T161" s="522"/>
      <c r="U161" s="522"/>
      <c r="V161" s="522"/>
      <c r="W161" s="522"/>
      <c r="X161" s="522"/>
      <c r="Y161" s="522"/>
      <c r="Z161" s="522"/>
    </row>
    <row r="162" spans="1:26" s="523" customFormat="1" ht="15" hidden="1" customHeight="1" outlineLevel="1" x14ac:dyDescent="0.2">
      <c r="A162" s="529"/>
      <c r="B162" s="530" t="s">
        <v>626</v>
      </c>
      <c r="C162" s="531"/>
      <c r="D162" s="532" t="s">
        <v>38</v>
      </c>
      <c r="E162" s="529">
        <v>1</v>
      </c>
      <c r="F162" s="28">
        <v>0.55000000000000004</v>
      </c>
      <c r="G162" s="532"/>
      <c r="H162" s="28">
        <v>2.6</v>
      </c>
      <c r="I162" s="532">
        <f t="shared" si="7"/>
        <v>1.4300000000000002</v>
      </c>
      <c r="J162" s="534"/>
      <c r="K162" s="522"/>
      <c r="L162" s="522"/>
      <c r="M162" s="522"/>
      <c r="N162" s="522"/>
      <c r="O162" s="522"/>
      <c r="P162" s="522"/>
      <c r="Q162" s="522"/>
      <c r="R162" s="522"/>
      <c r="S162" s="522"/>
      <c r="T162" s="522"/>
      <c r="U162" s="522"/>
      <c r="V162" s="522"/>
      <c r="W162" s="522"/>
      <c r="X162" s="522"/>
      <c r="Y162" s="522"/>
      <c r="Z162" s="522"/>
    </row>
    <row r="163" spans="1:26" s="523" customFormat="1" ht="15" hidden="1" customHeight="1" outlineLevel="1" x14ac:dyDescent="0.2">
      <c r="A163" s="529"/>
      <c r="B163" s="530" t="s">
        <v>627</v>
      </c>
      <c r="C163" s="531"/>
      <c r="D163" s="532" t="s">
        <v>38</v>
      </c>
      <c r="E163" s="529">
        <v>1</v>
      </c>
      <c r="F163" s="28">
        <v>0.6</v>
      </c>
      <c r="G163" s="532"/>
      <c r="H163" s="28">
        <v>2.2000000000000002</v>
      </c>
      <c r="I163" s="532">
        <f t="shared" si="7"/>
        <v>1.32</v>
      </c>
      <c r="J163" s="534"/>
      <c r="K163" s="522"/>
      <c r="L163" s="522"/>
      <c r="M163" s="522"/>
      <c r="N163" s="522"/>
      <c r="O163" s="522"/>
      <c r="P163" s="522"/>
      <c r="Q163" s="522"/>
      <c r="R163" s="522"/>
      <c r="S163" s="522"/>
      <c r="T163" s="522"/>
      <c r="U163" s="522"/>
      <c r="V163" s="522"/>
      <c r="W163" s="522"/>
      <c r="X163" s="522"/>
      <c r="Y163" s="522"/>
      <c r="Z163" s="522"/>
    </row>
    <row r="164" spans="1:26" s="523" customFormat="1" ht="15" hidden="1" customHeight="1" outlineLevel="1" x14ac:dyDescent="0.2">
      <c r="A164" s="529"/>
      <c r="B164" s="530" t="s">
        <v>686</v>
      </c>
      <c r="C164" s="531"/>
      <c r="D164" s="532" t="s">
        <v>38</v>
      </c>
      <c r="E164" s="529">
        <v>1</v>
      </c>
      <c r="F164" s="28">
        <v>1.1499999999999999</v>
      </c>
      <c r="G164" s="532"/>
      <c r="H164" s="28">
        <v>2.6</v>
      </c>
      <c r="I164" s="532">
        <f t="shared" si="7"/>
        <v>2.9899999999999998</v>
      </c>
      <c r="J164" s="594"/>
      <c r="K164" s="522"/>
      <c r="L164" s="522"/>
      <c r="M164" s="522"/>
      <c r="N164" s="522"/>
      <c r="O164" s="522"/>
      <c r="P164" s="522"/>
      <c r="Q164" s="522"/>
      <c r="R164" s="522"/>
      <c r="S164" s="522"/>
      <c r="T164" s="522"/>
      <c r="U164" s="522"/>
      <c r="V164" s="522"/>
      <c r="W164" s="522"/>
      <c r="X164" s="522"/>
      <c r="Y164" s="522"/>
      <c r="Z164" s="522"/>
    </row>
    <row r="165" spans="1:26" s="523" customFormat="1" ht="15" hidden="1" customHeight="1" outlineLevel="1" x14ac:dyDescent="0.2">
      <c r="A165" s="529"/>
      <c r="B165" s="530" t="s">
        <v>687</v>
      </c>
      <c r="C165" s="531"/>
      <c r="D165" s="532" t="s">
        <v>38</v>
      </c>
      <c r="E165" s="529">
        <v>1</v>
      </c>
      <c r="F165" s="28">
        <v>1.1494</v>
      </c>
      <c r="G165" s="532"/>
      <c r="H165" s="28">
        <v>1</v>
      </c>
      <c r="I165" s="532">
        <f t="shared" si="7"/>
        <v>1.1494</v>
      </c>
      <c r="J165" s="534"/>
      <c r="K165" s="522"/>
      <c r="L165" s="522"/>
      <c r="M165" s="522"/>
      <c r="N165" s="522"/>
      <c r="O165" s="522"/>
      <c r="P165" s="522"/>
      <c r="Q165" s="522"/>
      <c r="R165" s="522"/>
      <c r="S165" s="522"/>
      <c r="T165" s="522"/>
      <c r="U165" s="522"/>
      <c r="V165" s="522"/>
      <c r="W165" s="522"/>
      <c r="X165" s="522"/>
      <c r="Y165" s="522"/>
      <c r="Z165" s="522"/>
    </row>
    <row r="166" spans="1:26" s="523" customFormat="1" ht="15" hidden="1" customHeight="1" outlineLevel="1" x14ac:dyDescent="0.2">
      <c r="A166" s="529"/>
      <c r="B166" s="530" t="s">
        <v>688</v>
      </c>
      <c r="C166" s="531"/>
      <c r="D166" s="532" t="s">
        <v>38</v>
      </c>
      <c r="E166" s="529">
        <v>1</v>
      </c>
      <c r="F166" s="28">
        <v>1.25</v>
      </c>
      <c r="G166" s="532"/>
      <c r="H166" s="28">
        <v>2.6</v>
      </c>
      <c r="I166" s="532">
        <f t="shared" si="7"/>
        <v>3.25</v>
      </c>
      <c r="J166" s="534"/>
      <c r="K166" s="522"/>
      <c r="L166" s="522"/>
      <c r="M166" s="522"/>
      <c r="N166" s="522"/>
      <c r="O166" s="522"/>
      <c r="P166" s="522"/>
      <c r="Q166" s="522"/>
      <c r="R166" s="522"/>
      <c r="S166" s="522"/>
      <c r="T166" s="522"/>
      <c r="U166" s="522"/>
      <c r="V166" s="522"/>
      <c r="W166" s="522"/>
      <c r="X166" s="522"/>
      <c r="Y166" s="522"/>
      <c r="Z166" s="522"/>
    </row>
    <row r="167" spans="1:26" s="523" customFormat="1" ht="15" hidden="1" customHeight="1" outlineLevel="1" x14ac:dyDescent="0.2">
      <c r="A167" s="529"/>
      <c r="B167" s="530" t="s">
        <v>689</v>
      </c>
      <c r="C167" s="531"/>
      <c r="D167" s="532" t="s">
        <v>38</v>
      </c>
      <c r="E167" s="529">
        <v>1</v>
      </c>
      <c r="F167" s="28">
        <v>1.35</v>
      </c>
      <c r="G167" s="532"/>
      <c r="H167" s="28">
        <v>2.6</v>
      </c>
      <c r="I167" s="532">
        <f t="shared" si="7"/>
        <v>3.5100000000000002</v>
      </c>
      <c r="J167" s="534"/>
      <c r="K167" s="522"/>
      <c r="L167" s="522"/>
      <c r="M167" s="522"/>
      <c r="N167" s="522"/>
      <c r="O167" s="522"/>
      <c r="P167" s="522"/>
      <c r="Q167" s="522"/>
      <c r="R167" s="522"/>
      <c r="S167" s="522"/>
      <c r="T167" s="522"/>
      <c r="U167" s="522"/>
      <c r="V167" s="522"/>
      <c r="W167" s="522"/>
      <c r="X167" s="522"/>
      <c r="Y167" s="522"/>
      <c r="Z167" s="522"/>
    </row>
    <row r="168" spans="1:26" s="523" customFormat="1" ht="15" hidden="1" customHeight="1" outlineLevel="1" x14ac:dyDescent="0.2">
      <c r="A168" s="529"/>
      <c r="B168" s="530" t="s">
        <v>690</v>
      </c>
      <c r="C168" s="531"/>
      <c r="D168" s="532" t="s">
        <v>38</v>
      </c>
      <c r="E168" s="529">
        <v>1</v>
      </c>
      <c r="F168" s="28">
        <v>3.9</v>
      </c>
      <c r="G168" s="532"/>
      <c r="H168" s="28">
        <v>2.6</v>
      </c>
      <c r="I168" s="532">
        <f t="shared" si="7"/>
        <v>10.14</v>
      </c>
      <c r="J168" s="534"/>
      <c r="K168" s="522"/>
      <c r="L168" s="522"/>
      <c r="M168" s="522"/>
      <c r="N168" s="522"/>
      <c r="O168" s="522"/>
      <c r="P168" s="522"/>
      <c r="Q168" s="522"/>
      <c r="R168" s="522"/>
      <c r="S168" s="522"/>
      <c r="T168" s="522"/>
      <c r="U168" s="522"/>
      <c r="V168" s="522"/>
      <c r="W168" s="522"/>
      <c r="X168" s="522"/>
      <c r="Y168" s="522"/>
      <c r="Z168" s="522"/>
    </row>
    <row r="169" spans="1:26" s="523" customFormat="1" ht="15" hidden="1" customHeight="1" outlineLevel="1" x14ac:dyDescent="0.2">
      <c r="A169" s="529"/>
      <c r="B169" s="530" t="s">
        <v>691</v>
      </c>
      <c r="C169" s="531"/>
      <c r="D169" s="532" t="s">
        <v>38</v>
      </c>
      <c r="E169" s="529">
        <v>1</v>
      </c>
      <c r="F169" s="28">
        <v>2.15</v>
      </c>
      <c r="G169" s="532"/>
      <c r="H169" s="28">
        <v>2.2999999999999998</v>
      </c>
      <c r="I169" s="532">
        <f t="shared" si="7"/>
        <v>4.9449999999999994</v>
      </c>
      <c r="J169" s="534"/>
      <c r="K169" s="522"/>
      <c r="L169" s="522"/>
      <c r="M169" s="522"/>
      <c r="N169" s="522"/>
      <c r="O169" s="522"/>
      <c r="P169" s="522"/>
      <c r="Q169" s="522"/>
      <c r="R169" s="522"/>
      <c r="S169" s="522"/>
      <c r="T169" s="522"/>
      <c r="U169" s="522"/>
      <c r="V169" s="522"/>
      <c r="W169" s="522"/>
      <c r="X169" s="522"/>
      <c r="Y169" s="522"/>
      <c r="Z169" s="522"/>
    </row>
    <row r="170" spans="1:26" s="523" customFormat="1" ht="15" hidden="1" customHeight="1" outlineLevel="1" x14ac:dyDescent="0.2">
      <c r="A170" s="529"/>
      <c r="B170" s="530" t="s">
        <v>692</v>
      </c>
      <c r="C170" s="531"/>
      <c r="D170" s="532" t="s">
        <v>38</v>
      </c>
      <c r="E170" s="529">
        <v>1</v>
      </c>
      <c r="F170" s="28">
        <v>2.15</v>
      </c>
      <c r="G170" s="532"/>
      <c r="H170" s="28">
        <v>2.2999999999999998</v>
      </c>
      <c r="I170" s="532">
        <f t="shared" si="7"/>
        <v>4.9449999999999994</v>
      </c>
      <c r="J170" s="534"/>
      <c r="K170" s="522"/>
      <c r="L170" s="522"/>
      <c r="M170" s="522"/>
      <c r="N170" s="522"/>
      <c r="O170" s="522"/>
      <c r="P170" s="522"/>
      <c r="Q170" s="522"/>
      <c r="R170" s="522"/>
      <c r="S170" s="522"/>
      <c r="T170" s="522"/>
      <c r="U170" s="522"/>
      <c r="V170" s="522"/>
      <c r="W170" s="522"/>
      <c r="X170" s="522"/>
      <c r="Y170" s="522"/>
      <c r="Z170" s="522"/>
    </row>
    <row r="171" spans="1:26" s="523" customFormat="1" ht="15" hidden="1" customHeight="1" outlineLevel="1" x14ac:dyDescent="0.2">
      <c r="A171" s="529"/>
      <c r="B171" s="530" t="s">
        <v>693</v>
      </c>
      <c r="C171" s="531"/>
      <c r="D171" s="532" t="s">
        <v>38</v>
      </c>
      <c r="E171" s="529">
        <v>1</v>
      </c>
      <c r="F171" s="28">
        <v>1.2</v>
      </c>
      <c r="G171" s="532"/>
      <c r="H171" s="28">
        <v>1</v>
      </c>
      <c r="I171" s="532">
        <f t="shared" si="7"/>
        <v>1.2</v>
      </c>
      <c r="J171" s="534"/>
      <c r="K171" s="522"/>
      <c r="L171" s="522"/>
      <c r="M171" s="522"/>
      <c r="N171" s="522"/>
      <c r="O171" s="522"/>
      <c r="P171" s="522"/>
      <c r="Q171" s="522"/>
      <c r="R171" s="522"/>
      <c r="S171" s="522"/>
      <c r="T171" s="522"/>
      <c r="U171" s="522"/>
      <c r="V171" s="522"/>
      <c r="W171" s="522"/>
      <c r="X171" s="522"/>
      <c r="Y171" s="522"/>
      <c r="Z171" s="522"/>
    </row>
    <row r="172" spans="1:26" s="523" customFormat="1" ht="15" hidden="1" customHeight="1" outlineLevel="1" x14ac:dyDescent="0.2">
      <c r="A172" s="529"/>
      <c r="B172" s="530" t="s">
        <v>694</v>
      </c>
      <c r="C172" s="531"/>
      <c r="D172" s="532" t="s">
        <v>38</v>
      </c>
      <c r="E172" s="529">
        <v>1</v>
      </c>
      <c r="F172" s="28">
        <v>2.6</v>
      </c>
      <c r="G172" s="532"/>
      <c r="H172" s="28">
        <v>1</v>
      </c>
      <c r="I172" s="532">
        <f t="shared" si="7"/>
        <v>2.6</v>
      </c>
      <c r="J172" s="534"/>
      <c r="K172" s="522"/>
      <c r="L172" s="522"/>
      <c r="M172" s="522"/>
      <c r="N172" s="522"/>
      <c r="O172" s="522"/>
      <c r="P172" s="522"/>
      <c r="Q172" s="522"/>
      <c r="R172" s="522"/>
      <c r="S172" s="522"/>
      <c r="T172" s="522"/>
      <c r="U172" s="522"/>
      <c r="V172" s="522"/>
      <c r="W172" s="522"/>
      <c r="X172" s="522"/>
      <c r="Y172" s="522"/>
      <c r="Z172" s="522"/>
    </row>
    <row r="173" spans="1:26" s="523" customFormat="1" ht="15" hidden="1" customHeight="1" outlineLevel="1" x14ac:dyDescent="0.2">
      <c r="A173" s="529"/>
      <c r="B173" s="530" t="s">
        <v>695</v>
      </c>
      <c r="C173" s="531"/>
      <c r="D173" s="532" t="s">
        <v>38</v>
      </c>
      <c r="E173" s="529">
        <v>1</v>
      </c>
      <c r="F173" s="28">
        <v>1.35</v>
      </c>
      <c r="G173" s="532"/>
      <c r="H173" s="28">
        <v>2.6</v>
      </c>
      <c r="I173" s="532">
        <f t="shared" ref="I173:I187" si="8">PRODUCT(E173:H173)</f>
        <v>3.5100000000000002</v>
      </c>
      <c r="J173" s="594"/>
      <c r="K173" s="522"/>
      <c r="L173" s="522"/>
      <c r="M173" s="522"/>
      <c r="N173" s="522"/>
      <c r="O173" s="522"/>
      <c r="P173" s="522"/>
      <c r="Q173" s="522"/>
      <c r="R173" s="522"/>
      <c r="S173" s="522"/>
      <c r="T173" s="522"/>
      <c r="U173" s="522"/>
      <c r="V173" s="522"/>
      <c r="W173" s="522"/>
      <c r="X173" s="522"/>
      <c r="Y173" s="522"/>
      <c r="Z173" s="522"/>
    </row>
    <row r="174" spans="1:26" s="523" customFormat="1" ht="15" hidden="1" customHeight="1" outlineLevel="1" x14ac:dyDescent="0.2">
      <c r="A174" s="529"/>
      <c r="B174" s="530" t="s">
        <v>696</v>
      </c>
      <c r="C174" s="531"/>
      <c r="D174" s="532" t="s">
        <v>38</v>
      </c>
      <c r="E174" s="529">
        <v>1</v>
      </c>
      <c r="F174" s="28">
        <v>3.35</v>
      </c>
      <c r="G174" s="532"/>
      <c r="H174" s="28">
        <v>2.2999999999999998</v>
      </c>
      <c r="I174" s="532">
        <f t="shared" si="8"/>
        <v>7.7049999999999992</v>
      </c>
      <c r="J174" s="534"/>
      <c r="K174" s="522"/>
      <c r="L174" s="522"/>
      <c r="M174" s="522"/>
      <c r="N174" s="522"/>
      <c r="O174" s="522"/>
      <c r="P174" s="522"/>
      <c r="Q174" s="522"/>
      <c r="R174" s="522"/>
      <c r="S174" s="522"/>
      <c r="T174" s="522"/>
      <c r="U174" s="522"/>
      <c r="V174" s="522"/>
      <c r="W174" s="522"/>
      <c r="X174" s="522"/>
      <c r="Y174" s="522"/>
      <c r="Z174" s="522"/>
    </row>
    <row r="175" spans="1:26" s="523" customFormat="1" ht="15" hidden="1" customHeight="1" outlineLevel="1" x14ac:dyDescent="0.2">
      <c r="A175" s="529"/>
      <c r="B175" s="530" t="s">
        <v>697</v>
      </c>
      <c r="C175" s="531"/>
      <c r="D175" s="532" t="s">
        <v>38</v>
      </c>
      <c r="E175" s="529">
        <v>1</v>
      </c>
      <c r="F175" s="28">
        <v>1.4</v>
      </c>
      <c r="G175" s="532"/>
      <c r="H175" s="28">
        <v>2.6</v>
      </c>
      <c r="I175" s="532">
        <f t="shared" si="8"/>
        <v>3.6399999999999997</v>
      </c>
      <c r="J175" s="534"/>
      <c r="K175" s="522"/>
      <c r="L175" s="522"/>
      <c r="M175" s="522"/>
      <c r="N175" s="522"/>
      <c r="O175" s="522"/>
      <c r="P175" s="522"/>
      <c r="Q175" s="522"/>
      <c r="R175" s="522"/>
      <c r="S175" s="522"/>
      <c r="T175" s="522"/>
      <c r="U175" s="522"/>
      <c r="V175" s="522"/>
      <c r="W175" s="522"/>
      <c r="X175" s="522"/>
      <c r="Y175" s="522"/>
      <c r="Z175" s="522"/>
    </row>
    <row r="176" spans="1:26" s="523" customFormat="1" ht="15" hidden="1" customHeight="1" outlineLevel="1" x14ac:dyDescent="0.2">
      <c r="A176" s="529"/>
      <c r="B176" s="530" t="s">
        <v>698</v>
      </c>
      <c r="C176" s="531"/>
      <c r="D176" s="532" t="s">
        <v>38</v>
      </c>
      <c r="E176" s="529">
        <v>1</v>
      </c>
      <c r="F176" s="28">
        <v>1.6</v>
      </c>
      <c r="G176" s="532"/>
      <c r="H176" s="28">
        <v>1</v>
      </c>
      <c r="I176" s="532">
        <f t="shared" si="8"/>
        <v>1.6</v>
      </c>
      <c r="J176" s="534"/>
      <c r="K176" s="522"/>
      <c r="L176" s="522"/>
      <c r="M176" s="522"/>
      <c r="N176" s="522"/>
      <c r="O176" s="522"/>
      <c r="P176" s="522"/>
      <c r="Q176" s="522"/>
      <c r="R176" s="522"/>
      <c r="S176" s="522"/>
      <c r="T176" s="522"/>
      <c r="U176" s="522"/>
      <c r="V176" s="522"/>
      <c r="W176" s="522"/>
      <c r="X176" s="522"/>
      <c r="Y176" s="522"/>
      <c r="Z176" s="522"/>
    </row>
    <row r="177" spans="1:26" s="523" customFormat="1" ht="15" hidden="1" customHeight="1" outlineLevel="1" x14ac:dyDescent="0.2">
      <c r="A177" s="529"/>
      <c r="B177" s="530" t="s">
        <v>699</v>
      </c>
      <c r="C177" s="531"/>
      <c r="D177" s="532" t="s">
        <v>38</v>
      </c>
      <c r="E177" s="529">
        <v>1</v>
      </c>
      <c r="F177" s="28">
        <v>2</v>
      </c>
      <c r="G177" s="532"/>
      <c r="H177" s="28">
        <v>2.6</v>
      </c>
      <c r="I177" s="532">
        <f t="shared" si="8"/>
        <v>5.2</v>
      </c>
      <c r="J177" s="534"/>
      <c r="K177" s="522"/>
      <c r="L177" s="522"/>
      <c r="M177" s="522"/>
      <c r="N177" s="522"/>
      <c r="O177" s="522"/>
      <c r="P177" s="522"/>
      <c r="Q177" s="522"/>
      <c r="R177" s="522"/>
      <c r="S177" s="522"/>
      <c r="T177" s="522"/>
      <c r="U177" s="522"/>
      <c r="V177" s="522"/>
      <c r="W177" s="522"/>
      <c r="X177" s="522"/>
      <c r="Y177" s="522"/>
      <c r="Z177" s="522"/>
    </row>
    <row r="178" spans="1:26" s="523" customFormat="1" ht="15" hidden="1" customHeight="1" outlineLevel="1" x14ac:dyDescent="0.2">
      <c r="A178" s="529"/>
      <c r="B178" s="530" t="s">
        <v>700</v>
      </c>
      <c r="C178" s="531"/>
      <c r="D178" s="532" t="s">
        <v>38</v>
      </c>
      <c r="E178" s="529">
        <v>1</v>
      </c>
      <c r="F178" s="28">
        <v>0.7</v>
      </c>
      <c r="G178" s="532"/>
      <c r="H178" s="28">
        <v>2.6</v>
      </c>
      <c r="I178" s="532">
        <f t="shared" si="8"/>
        <v>1.8199999999999998</v>
      </c>
      <c r="J178" s="534"/>
      <c r="K178" s="522"/>
      <c r="L178" s="522"/>
      <c r="M178" s="522"/>
      <c r="N178" s="522"/>
      <c r="O178" s="522"/>
      <c r="P178" s="522"/>
      <c r="Q178" s="522"/>
      <c r="R178" s="522"/>
      <c r="S178" s="522"/>
      <c r="T178" s="522"/>
      <c r="U178" s="522"/>
      <c r="V178" s="522"/>
      <c r="W178" s="522"/>
      <c r="X178" s="522"/>
      <c r="Y178" s="522"/>
      <c r="Z178" s="522"/>
    </row>
    <row r="179" spans="1:26" s="523" customFormat="1" ht="15" hidden="1" customHeight="1" outlineLevel="1" x14ac:dyDescent="0.2">
      <c r="A179" s="529"/>
      <c r="B179" s="530" t="s">
        <v>701</v>
      </c>
      <c r="C179" s="531"/>
      <c r="D179" s="532" t="s">
        <v>38</v>
      </c>
      <c r="E179" s="529">
        <v>1</v>
      </c>
      <c r="F179" s="28">
        <v>0.8</v>
      </c>
      <c r="G179" s="532"/>
      <c r="H179" s="28">
        <v>2.2000000000000002</v>
      </c>
      <c r="I179" s="532">
        <f t="shared" si="8"/>
        <v>1.7600000000000002</v>
      </c>
      <c r="J179" s="534"/>
      <c r="K179" s="522"/>
      <c r="L179" s="522"/>
      <c r="M179" s="522"/>
      <c r="N179" s="522"/>
      <c r="O179" s="522"/>
      <c r="P179" s="522"/>
      <c r="Q179" s="522"/>
      <c r="R179" s="522"/>
      <c r="S179" s="522"/>
      <c r="T179" s="522"/>
      <c r="U179" s="522"/>
      <c r="V179" s="522"/>
      <c r="W179" s="522"/>
      <c r="X179" s="522"/>
      <c r="Y179" s="522"/>
      <c r="Z179" s="522"/>
    </row>
    <row r="180" spans="1:26" s="523" customFormat="1" ht="15" hidden="1" customHeight="1" outlineLevel="1" x14ac:dyDescent="0.2">
      <c r="A180" s="529"/>
      <c r="B180" s="530" t="s">
        <v>702</v>
      </c>
      <c r="C180" s="531"/>
      <c r="D180" s="532" t="s">
        <v>38</v>
      </c>
      <c r="E180" s="529">
        <v>1</v>
      </c>
      <c r="F180" s="28">
        <v>1.3493999999999999</v>
      </c>
      <c r="G180" s="532"/>
      <c r="H180" s="28">
        <v>1</v>
      </c>
      <c r="I180" s="532">
        <f t="shared" si="8"/>
        <v>1.3493999999999999</v>
      </c>
      <c r="J180" s="534"/>
      <c r="K180" s="522"/>
      <c r="L180" s="522"/>
      <c r="M180" s="522"/>
      <c r="N180" s="522"/>
      <c r="O180" s="522"/>
      <c r="P180" s="522"/>
      <c r="Q180" s="522"/>
      <c r="R180" s="522"/>
      <c r="S180" s="522"/>
      <c r="T180" s="522"/>
      <c r="U180" s="522"/>
      <c r="V180" s="522"/>
      <c r="W180" s="522"/>
      <c r="X180" s="522"/>
      <c r="Y180" s="522"/>
      <c r="Z180" s="522"/>
    </row>
    <row r="181" spans="1:26" s="523" customFormat="1" ht="15" hidden="1" customHeight="1" outlineLevel="1" x14ac:dyDescent="0.2">
      <c r="A181" s="529"/>
      <c r="B181" s="530" t="s">
        <v>703</v>
      </c>
      <c r="C181" s="531"/>
      <c r="D181" s="532" t="s">
        <v>38</v>
      </c>
      <c r="E181" s="529">
        <v>1</v>
      </c>
      <c r="F181" s="28">
        <v>0.4491</v>
      </c>
      <c r="G181" s="532"/>
      <c r="H181" s="28">
        <v>2.6</v>
      </c>
      <c r="I181" s="532">
        <f t="shared" si="8"/>
        <v>1.1676600000000001</v>
      </c>
      <c r="J181" s="534"/>
      <c r="K181" s="522"/>
      <c r="L181" s="522"/>
      <c r="M181" s="522"/>
      <c r="N181" s="522"/>
      <c r="O181" s="522"/>
      <c r="P181" s="522"/>
      <c r="Q181" s="522"/>
      <c r="R181" s="522"/>
      <c r="S181" s="522"/>
      <c r="T181" s="522"/>
      <c r="U181" s="522"/>
      <c r="V181" s="522"/>
      <c r="W181" s="522"/>
      <c r="X181" s="522"/>
      <c r="Y181" s="522"/>
      <c r="Z181" s="522"/>
    </row>
    <row r="182" spans="1:26" s="523" customFormat="1" ht="15" hidden="1" customHeight="1" outlineLevel="1" x14ac:dyDescent="0.2">
      <c r="A182" s="529" t="s">
        <v>628</v>
      </c>
      <c r="B182" s="530" t="s">
        <v>704</v>
      </c>
      <c r="C182" s="531"/>
      <c r="D182" s="532" t="s">
        <v>38</v>
      </c>
      <c r="E182" s="529">
        <v>1</v>
      </c>
      <c r="F182" s="28">
        <v>0.9</v>
      </c>
      <c r="G182" s="532"/>
      <c r="H182" s="28">
        <v>2.2999999999999998</v>
      </c>
      <c r="I182" s="532">
        <f t="shared" si="8"/>
        <v>2.0699999999999998</v>
      </c>
      <c r="J182" s="534"/>
      <c r="K182" s="522"/>
      <c r="L182" s="522"/>
      <c r="M182" s="522"/>
      <c r="N182" s="522"/>
      <c r="O182" s="522"/>
      <c r="P182" s="522"/>
      <c r="Q182" s="522"/>
      <c r="R182" s="522"/>
      <c r="S182" s="522"/>
      <c r="T182" s="522"/>
      <c r="U182" s="522"/>
      <c r="V182" s="522"/>
      <c r="W182" s="522"/>
      <c r="X182" s="522"/>
      <c r="Y182" s="522"/>
      <c r="Z182" s="522"/>
    </row>
    <row r="183" spans="1:26" s="523" customFormat="1" ht="15" hidden="1" customHeight="1" outlineLevel="1" x14ac:dyDescent="0.2">
      <c r="A183" s="529"/>
      <c r="B183" s="530" t="s">
        <v>705</v>
      </c>
      <c r="C183" s="531"/>
      <c r="D183" s="532" t="s">
        <v>38</v>
      </c>
      <c r="E183" s="529">
        <v>1</v>
      </c>
      <c r="F183" s="28">
        <v>1.05</v>
      </c>
      <c r="G183" s="532"/>
      <c r="H183" s="28">
        <v>2.2999999999999998</v>
      </c>
      <c r="I183" s="532">
        <f t="shared" si="8"/>
        <v>2.415</v>
      </c>
      <c r="J183" s="534"/>
      <c r="K183" s="522"/>
      <c r="L183" s="522"/>
      <c r="M183" s="522"/>
      <c r="N183" s="522"/>
      <c r="O183" s="522"/>
      <c r="P183" s="522"/>
      <c r="Q183" s="522"/>
      <c r="R183" s="522"/>
      <c r="S183" s="522"/>
      <c r="T183" s="522"/>
      <c r="U183" s="522"/>
      <c r="V183" s="522"/>
      <c r="W183" s="522"/>
      <c r="X183" s="522"/>
      <c r="Y183" s="522"/>
      <c r="Z183" s="522"/>
    </row>
    <row r="184" spans="1:26" s="523" customFormat="1" ht="15" hidden="1" customHeight="1" outlineLevel="1" x14ac:dyDescent="0.2">
      <c r="A184" s="529"/>
      <c r="B184" s="530" t="s">
        <v>706</v>
      </c>
      <c r="C184" s="531"/>
      <c r="D184" s="532" t="s">
        <v>38</v>
      </c>
      <c r="E184" s="529">
        <v>1</v>
      </c>
      <c r="F184" s="28">
        <v>1.1000000000000001</v>
      </c>
      <c r="G184" s="532"/>
      <c r="H184" s="28">
        <v>2.6</v>
      </c>
      <c r="I184" s="532">
        <f t="shared" si="8"/>
        <v>2.8600000000000003</v>
      </c>
      <c r="J184" s="534"/>
      <c r="K184" s="522"/>
      <c r="L184" s="522"/>
      <c r="M184" s="522"/>
      <c r="N184" s="522"/>
      <c r="O184" s="522"/>
      <c r="P184" s="522"/>
      <c r="Q184" s="522"/>
      <c r="R184" s="522"/>
      <c r="S184" s="522"/>
      <c r="T184" s="522"/>
      <c r="U184" s="522"/>
      <c r="V184" s="522"/>
      <c r="W184" s="522"/>
      <c r="X184" s="522"/>
      <c r="Y184" s="522"/>
      <c r="Z184" s="522"/>
    </row>
    <row r="185" spans="1:26" s="523" customFormat="1" ht="15" hidden="1" customHeight="1" outlineLevel="1" x14ac:dyDescent="0.2">
      <c r="A185" s="529"/>
      <c r="B185" s="530" t="s">
        <v>707</v>
      </c>
      <c r="C185" s="531"/>
      <c r="D185" s="532" t="s">
        <v>38</v>
      </c>
      <c r="E185" s="529">
        <v>1</v>
      </c>
      <c r="F185" s="28">
        <v>0.5</v>
      </c>
      <c r="G185" s="532"/>
      <c r="H185" s="28">
        <v>2.6</v>
      </c>
      <c r="I185" s="532">
        <f t="shared" si="8"/>
        <v>1.3</v>
      </c>
      <c r="J185" s="534"/>
      <c r="K185" s="522"/>
      <c r="L185" s="522"/>
      <c r="M185" s="522"/>
      <c r="N185" s="522"/>
      <c r="O185" s="522"/>
      <c r="P185" s="522"/>
      <c r="Q185" s="522"/>
      <c r="R185" s="522"/>
      <c r="S185" s="522"/>
      <c r="T185" s="522"/>
      <c r="U185" s="522"/>
      <c r="V185" s="522"/>
      <c r="W185" s="522"/>
      <c r="X185" s="522"/>
      <c r="Y185" s="522"/>
      <c r="Z185" s="522"/>
    </row>
    <row r="186" spans="1:26" s="523" customFormat="1" ht="15" hidden="1" customHeight="1" outlineLevel="1" x14ac:dyDescent="0.2">
      <c r="A186" s="529"/>
      <c r="B186" s="530" t="s">
        <v>708</v>
      </c>
      <c r="C186" s="531"/>
      <c r="D186" s="532" t="s">
        <v>38</v>
      </c>
      <c r="E186" s="529">
        <v>1</v>
      </c>
      <c r="F186" s="28">
        <v>1.65</v>
      </c>
      <c r="G186" s="532"/>
      <c r="H186" s="28">
        <v>2.6</v>
      </c>
      <c r="I186" s="532">
        <f t="shared" si="8"/>
        <v>4.29</v>
      </c>
      <c r="J186" s="534"/>
      <c r="K186" s="522"/>
      <c r="L186" s="522"/>
      <c r="M186" s="522"/>
      <c r="N186" s="522"/>
      <c r="O186" s="522"/>
      <c r="P186" s="522"/>
      <c r="Q186" s="522"/>
      <c r="R186" s="522"/>
      <c r="S186" s="522"/>
      <c r="T186" s="522"/>
      <c r="U186" s="522"/>
      <c r="V186" s="522"/>
      <c r="W186" s="522"/>
      <c r="X186" s="522"/>
      <c r="Y186" s="522"/>
      <c r="Z186" s="522"/>
    </row>
    <row r="187" spans="1:26" s="523" customFormat="1" ht="15" hidden="1" customHeight="1" outlineLevel="1" x14ac:dyDescent="0.2">
      <c r="A187" s="529"/>
      <c r="B187" s="530" t="s">
        <v>709</v>
      </c>
      <c r="C187" s="531"/>
      <c r="D187" s="532" t="s">
        <v>38</v>
      </c>
      <c r="E187" s="529">
        <v>1</v>
      </c>
      <c r="F187" s="28">
        <v>0.6</v>
      </c>
      <c r="G187" s="532"/>
      <c r="H187" s="28">
        <v>2.6</v>
      </c>
      <c r="I187" s="532">
        <f t="shared" si="8"/>
        <v>1.56</v>
      </c>
      <c r="J187" s="534"/>
      <c r="K187" s="522"/>
      <c r="L187" s="522"/>
      <c r="M187" s="522"/>
      <c r="N187" s="522"/>
      <c r="O187" s="522"/>
      <c r="P187" s="522"/>
      <c r="Q187" s="522"/>
      <c r="R187" s="522"/>
      <c r="S187" s="522"/>
      <c r="T187" s="522"/>
      <c r="U187" s="522"/>
      <c r="V187" s="522"/>
      <c r="W187" s="522"/>
      <c r="X187" s="522"/>
      <c r="Y187" s="522"/>
      <c r="Z187" s="522"/>
    </row>
    <row r="188" spans="1:26" s="523" customFormat="1" ht="15" hidden="1" customHeight="1" outlineLevel="1" x14ac:dyDescent="0.2">
      <c r="A188" s="529"/>
      <c r="B188" s="530" t="s">
        <v>710</v>
      </c>
      <c r="C188" s="531"/>
      <c r="D188" s="532" t="s">
        <v>38</v>
      </c>
      <c r="E188" s="529">
        <v>1</v>
      </c>
      <c r="F188" s="28">
        <v>0.55000000000000004</v>
      </c>
      <c r="G188" s="532"/>
      <c r="H188" s="28">
        <v>2.6</v>
      </c>
      <c r="I188" s="532">
        <f>PRODUCT(E188:H188)</f>
        <v>1.4300000000000002</v>
      </c>
      <c r="J188" s="594"/>
      <c r="K188" s="522"/>
      <c r="L188" s="522"/>
      <c r="M188" s="522"/>
      <c r="N188" s="522"/>
      <c r="O188" s="522"/>
      <c r="P188" s="522"/>
      <c r="Q188" s="522"/>
      <c r="R188" s="522"/>
      <c r="S188" s="522"/>
      <c r="T188" s="522"/>
      <c r="U188" s="522"/>
      <c r="V188" s="522"/>
      <c r="W188" s="522"/>
      <c r="X188" s="522"/>
      <c r="Y188" s="522"/>
      <c r="Z188" s="522"/>
    </row>
    <row r="189" spans="1:26" s="523" customFormat="1" ht="15" hidden="1" customHeight="1" outlineLevel="1" x14ac:dyDescent="0.2">
      <c r="A189" s="529"/>
      <c r="B189" s="530" t="s">
        <v>711</v>
      </c>
      <c r="C189" s="531"/>
      <c r="D189" s="532" t="s">
        <v>38</v>
      </c>
      <c r="E189" s="529">
        <v>1</v>
      </c>
      <c r="F189" s="28">
        <v>0.55000000000000004</v>
      </c>
      <c r="G189" s="532"/>
      <c r="H189" s="28">
        <v>2.2000000000000002</v>
      </c>
      <c r="I189" s="532">
        <f>PRODUCT(E189:H189)</f>
        <v>1.2100000000000002</v>
      </c>
      <c r="J189" s="534"/>
      <c r="K189" s="522"/>
      <c r="L189" s="522"/>
      <c r="M189" s="522"/>
      <c r="N189" s="522"/>
      <c r="O189" s="522"/>
      <c r="P189" s="522"/>
      <c r="Q189" s="522"/>
      <c r="R189" s="522"/>
      <c r="S189" s="522"/>
      <c r="T189" s="522"/>
      <c r="U189" s="522"/>
      <c r="V189" s="522"/>
      <c r="W189" s="522"/>
      <c r="X189" s="522"/>
      <c r="Y189" s="522"/>
      <c r="Z189" s="522"/>
    </row>
    <row r="190" spans="1:26" s="523" customFormat="1" ht="15" hidden="1" customHeight="1" outlineLevel="1" x14ac:dyDescent="0.2">
      <c r="A190" s="529"/>
      <c r="B190" s="530"/>
      <c r="C190" s="531"/>
      <c r="D190" s="532"/>
      <c r="E190" s="529"/>
      <c r="F190" s="28"/>
      <c r="G190" s="535"/>
      <c r="H190" s="28"/>
      <c r="I190" s="532"/>
      <c r="J190" s="534"/>
      <c r="K190" s="522"/>
      <c r="L190" s="522"/>
      <c r="M190" s="522"/>
      <c r="N190" s="522"/>
      <c r="O190" s="522"/>
      <c r="P190" s="522"/>
      <c r="Q190" s="522"/>
      <c r="R190" s="522"/>
      <c r="S190" s="522"/>
      <c r="T190" s="522"/>
      <c r="U190" s="522"/>
      <c r="V190" s="522"/>
      <c r="W190" s="522"/>
      <c r="X190" s="522"/>
      <c r="Y190" s="522"/>
      <c r="Z190" s="522"/>
    </row>
    <row r="191" spans="1:26" s="523" customFormat="1" ht="15" customHeight="1" collapsed="1" x14ac:dyDescent="0.2">
      <c r="A191" s="526" t="s">
        <v>419</v>
      </c>
      <c r="B191" s="527" t="s">
        <v>650</v>
      </c>
      <c r="C191" s="527"/>
      <c r="D191" s="526" t="s">
        <v>2</v>
      </c>
      <c r="E191" s="526"/>
      <c r="F191" s="526"/>
      <c r="G191" s="526"/>
      <c r="H191" s="526"/>
      <c r="I191" s="526"/>
      <c r="J191" s="528">
        <f>SUM(I192:I193)</f>
        <v>10</v>
      </c>
      <c r="K191" s="522"/>
      <c r="L191" s="522"/>
      <c r="M191" s="522"/>
      <c r="N191" s="522"/>
      <c r="O191" s="522"/>
      <c r="P191" s="522"/>
      <c r="Q191" s="522"/>
      <c r="R191" s="522"/>
      <c r="S191" s="522"/>
      <c r="T191" s="522"/>
      <c r="U191" s="522"/>
      <c r="V191" s="522"/>
      <c r="W191" s="522"/>
      <c r="X191" s="522"/>
      <c r="Y191" s="522"/>
      <c r="Z191" s="522"/>
    </row>
    <row r="192" spans="1:26" s="523" customFormat="1" ht="15" hidden="1" customHeight="1" outlineLevel="1" x14ac:dyDescent="0.2">
      <c r="A192" s="529"/>
      <c r="B192" s="530" t="s">
        <v>368</v>
      </c>
      <c r="C192" s="531"/>
      <c r="D192" s="532" t="s">
        <v>2</v>
      </c>
      <c r="E192" s="529">
        <v>4</v>
      </c>
      <c r="F192" s="28"/>
      <c r="G192" s="532"/>
      <c r="H192" s="28"/>
      <c r="I192" s="532">
        <f>PRODUCT(E192:H192)</f>
        <v>4</v>
      </c>
      <c r="J192" s="533"/>
      <c r="K192" s="522"/>
      <c r="L192" s="522"/>
      <c r="M192" s="522"/>
      <c r="N192" s="522"/>
      <c r="O192" s="522"/>
      <c r="P192" s="522"/>
      <c r="Q192" s="522"/>
      <c r="R192" s="522"/>
      <c r="S192" s="522"/>
      <c r="T192" s="522"/>
      <c r="U192" s="522"/>
      <c r="V192" s="522"/>
      <c r="W192" s="522"/>
      <c r="X192" s="522"/>
      <c r="Y192" s="522"/>
      <c r="Z192" s="522"/>
    </row>
    <row r="193" spans="1:26" s="523" customFormat="1" ht="15" hidden="1" customHeight="1" outlineLevel="1" x14ac:dyDescent="0.2">
      <c r="A193" s="529"/>
      <c r="B193" s="530" t="s">
        <v>651</v>
      </c>
      <c r="C193" s="531"/>
      <c r="D193" s="532" t="s">
        <v>2</v>
      </c>
      <c r="E193" s="529">
        <v>6</v>
      </c>
      <c r="F193" s="28"/>
      <c r="G193" s="535"/>
      <c r="H193" s="28"/>
      <c r="I193" s="532">
        <f>PRODUCT(E193:H193)</f>
        <v>6</v>
      </c>
      <c r="J193" s="534"/>
      <c r="K193" s="522"/>
      <c r="L193" s="522"/>
      <c r="M193" s="522"/>
      <c r="N193" s="522"/>
      <c r="O193" s="522"/>
      <c r="P193" s="522"/>
      <c r="Q193" s="522"/>
      <c r="R193" s="522"/>
      <c r="S193" s="522"/>
      <c r="T193" s="522"/>
      <c r="U193" s="522"/>
      <c r="V193" s="522"/>
      <c r="W193" s="522"/>
      <c r="X193" s="522"/>
      <c r="Y193" s="522"/>
      <c r="Z193" s="522"/>
    </row>
    <row r="194" spans="1:26" s="523" customFormat="1" ht="15" hidden="1" customHeight="1" outlineLevel="1" x14ac:dyDescent="0.2">
      <c r="A194" s="529"/>
      <c r="B194" s="536"/>
      <c r="C194" s="536"/>
      <c r="D194" s="537"/>
      <c r="E194" s="401"/>
      <c r="F194" s="401"/>
      <c r="G194" s="537"/>
      <c r="H194" s="401"/>
      <c r="I194" s="537"/>
      <c r="J194" s="538"/>
      <c r="K194" s="522"/>
      <c r="L194" s="522"/>
      <c r="M194" s="522"/>
      <c r="N194" s="522"/>
      <c r="O194" s="522"/>
      <c r="P194" s="522"/>
      <c r="Q194" s="522"/>
      <c r="R194" s="522"/>
      <c r="S194" s="522"/>
      <c r="T194" s="522"/>
      <c r="U194" s="522"/>
      <c r="V194" s="522"/>
      <c r="W194" s="522"/>
      <c r="X194" s="522"/>
      <c r="Y194" s="522"/>
      <c r="Z194" s="522"/>
    </row>
    <row r="195" spans="1:26" s="523" customFormat="1" ht="15" customHeight="1" collapsed="1" x14ac:dyDescent="0.2">
      <c r="A195" s="276" t="s">
        <v>420</v>
      </c>
      <c r="B195" s="524" t="s">
        <v>409</v>
      </c>
      <c r="C195" s="525"/>
      <c r="D195" s="539"/>
      <c r="E195" s="539"/>
      <c r="F195" s="539"/>
      <c r="G195" s="539"/>
      <c r="H195" s="539"/>
      <c r="I195" s="539"/>
      <c r="J195" s="539"/>
      <c r="K195" s="522"/>
      <c r="L195" s="522"/>
      <c r="M195" s="522"/>
      <c r="N195" s="522"/>
      <c r="O195" s="522"/>
      <c r="P195" s="522"/>
      <c r="Q195" s="522"/>
      <c r="R195" s="522"/>
      <c r="S195" s="522"/>
      <c r="T195" s="522"/>
      <c r="U195" s="522"/>
      <c r="V195" s="522"/>
      <c r="W195" s="522"/>
      <c r="X195" s="522"/>
      <c r="Y195" s="522"/>
      <c r="Z195" s="522"/>
    </row>
    <row r="196" spans="1:26" s="523" customFormat="1" ht="15" customHeight="1" x14ac:dyDescent="0.2">
      <c r="A196" s="526" t="s">
        <v>421</v>
      </c>
      <c r="B196" s="540" t="s">
        <v>410</v>
      </c>
      <c r="C196" s="541"/>
      <c r="D196" s="542" t="s">
        <v>408</v>
      </c>
      <c r="E196" s="542"/>
      <c r="F196" s="542"/>
      <c r="G196" s="526"/>
      <c r="H196" s="526"/>
      <c r="I196" s="526"/>
      <c r="J196" s="528">
        <f>SUM(I197:I256)</f>
        <v>332.79527999999988</v>
      </c>
      <c r="K196" s="522"/>
      <c r="L196" s="522"/>
      <c r="M196" s="522"/>
      <c r="N196" s="522"/>
      <c r="O196" s="522"/>
      <c r="P196" s="522"/>
      <c r="Q196" s="522"/>
      <c r="R196" s="522"/>
      <c r="S196" s="522"/>
      <c r="T196" s="522"/>
      <c r="U196" s="522"/>
      <c r="V196" s="522"/>
      <c r="W196" s="522"/>
      <c r="X196" s="522"/>
      <c r="Y196" s="522"/>
      <c r="Z196" s="522"/>
    </row>
    <row r="197" spans="1:26" s="523" customFormat="1" ht="15" hidden="1" customHeight="1" outlineLevel="1" x14ac:dyDescent="0.2">
      <c r="A197" s="543"/>
      <c r="B197" s="530" t="s">
        <v>561</v>
      </c>
      <c r="C197" s="531"/>
      <c r="D197" s="532" t="s">
        <v>38</v>
      </c>
      <c r="E197" s="529">
        <v>1</v>
      </c>
      <c r="F197" s="28">
        <v>3.8</v>
      </c>
      <c r="G197" s="532"/>
      <c r="H197" s="28">
        <v>2.4</v>
      </c>
      <c r="I197" s="532">
        <f t="shared" ref="I197:I214" si="9">PRODUCT(E197:H197)</f>
        <v>9.1199999999999992</v>
      </c>
      <c r="J197" s="533"/>
      <c r="K197" s="522"/>
      <c r="L197" s="522"/>
      <c r="M197" s="522"/>
      <c r="N197" s="522"/>
      <c r="O197" s="522"/>
      <c r="P197" s="522"/>
      <c r="Q197" s="522"/>
      <c r="R197" s="522"/>
      <c r="S197" s="522"/>
      <c r="T197" s="522"/>
      <c r="U197" s="522"/>
      <c r="V197" s="522"/>
      <c r="W197" s="522"/>
      <c r="X197" s="522"/>
      <c r="Y197" s="522"/>
      <c r="Z197" s="522"/>
    </row>
    <row r="198" spans="1:26" s="523" customFormat="1" ht="15" hidden="1" customHeight="1" outlineLevel="1" x14ac:dyDescent="0.2">
      <c r="A198" s="543"/>
      <c r="B198" s="530" t="s">
        <v>562</v>
      </c>
      <c r="C198" s="531"/>
      <c r="D198" s="532" t="s">
        <v>38</v>
      </c>
      <c r="E198" s="529">
        <v>1</v>
      </c>
      <c r="F198" s="28">
        <v>4.2</v>
      </c>
      <c r="G198" s="532"/>
      <c r="H198" s="28">
        <v>2.4</v>
      </c>
      <c r="I198" s="532">
        <f t="shared" si="9"/>
        <v>10.08</v>
      </c>
      <c r="J198" s="534"/>
      <c r="K198" s="522"/>
      <c r="L198" s="522"/>
      <c r="M198" s="522"/>
      <c r="N198" s="522"/>
      <c r="O198" s="522"/>
      <c r="P198" s="522"/>
      <c r="Q198" s="522"/>
      <c r="R198" s="522"/>
      <c r="S198" s="522"/>
      <c r="T198" s="522"/>
      <c r="U198" s="522"/>
      <c r="V198" s="522"/>
      <c r="W198" s="522"/>
      <c r="X198" s="522"/>
      <c r="Y198" s="522"/>
      <c r="Z198" s="522"/>
    </row>
    <row r="199" spans="1:26" s="523" customFormat="1" ht="15" hidden="1" customHeight="1" outlineLevel="1" x14ac:dyDescent="0.2">
      <c r="A199" s="543"/>
      <c r="B199" s="530" t="s">
        <v>563</v>
      </c>
      <c r="C199" s="531"/>
      <c r="D199" s="532" t="s">
        <v>38</v>
      </c>
      <c r="E199" s="529">
        <v>1</v>
      </c>
      <c r="F199" s="28">
        <v>1.6</v>
      </c>
      <c r="G199" s="532"/>
      <c r="H199" s="28">
        <v>2.4</v>
      </c>
      <c r="I199" s="532">
        <f t="shared" si="9"/>
        <v>3.84</v>
      </c>
      <c r="J199" s="544"/>
      <c r="K199" s="522"/>
      <c r="L199" s="522"/>
      <c r="M199" s="522"/>
      <c r="N199" s="522"/>
      <c r="O199" s="522"/>
      <c r="P199" s="522"/>
      <c r="Q199" s="522"/>
      <c r="R199" s="522"/>
      <c r="S199" s="522"/>
      <c r="T199" s="522"/>
      <c r="U199" s="522"/>
      <c r="V199" s="522"/>
      <c r="W199" s="522"/>
      <c r="X199" s="522"/>
      <c r="Y199" s="522"/>
      <c r="Z199" s="522"/>
    </row>
    <row r="200" spans="1:26" s="523" customFormat="1" ht="15" hidden="1" customHeight="1" outlineLevel="1" x14ac:dyDescent="0.2">
      <c r="A200" s="543"/>
      <c r="B200" s="530" t="s">
        <v>564</v>
      </c>
      <c r="C200" s="531"/>
      <c r="D200" s="532" t="s">
        <v>38</v>
      </c>
      <c r="E200" s="529">
        <v>1</v>
      </c>
      <c r="F200" s="28">
        <v>1.8</v>
      </c>
      <c r="G200" s="532"/>
      <c r="H200" s="28">
        <v>2.4</v>
      </c>
      <c r="I200" s="532">
        <f t="shared" si="9"/>
        <v>4.32</v>
      </c>
      <c r="J200" s="545"/>
      <c r="K200" s="522"/>
      <c r="L200" s="522"/>
      <c r="M200" s="522"/>
      <c r="N200" s="522"/>
      <c r="O200" s="522"/>
      <c r="P200" s="522"/>
      <c r="Q200" s="522"/>
      <c r="R200" s="522"/>
      <c r="S200" s="522"/>
      <c r="T200" s="522"/>
      <c r="U200" s="522"/>
      <c r="V200" s="522"/>
      <c r="W200" s="522"/>
      <c r="X200" s="522"/>
      <c r="Y200" s="522"/>
      <c r="Z200" s="522"/>
    </row>
    <row r="201" spans="1:26" s="523" customFormat="1" ht="15" hidden="1" customHeight="1" outlineLevel="1" x14ac:dyDescent="0.2">
      <c r="A201" s="543"/>
      <c r="B201" s="530" t="s">
        <v>565</v>
      </c>
      <c r="C201" s="531"/>
      <c r="D201" s="532" t="s">
        <v>38</v>
      </c>
      <c r="E201" s="529">
        <v>1</v>
      </c>
      <c r="F201" s="28">
        <v>2.2999999999999998</v>
      </c>
      <c r="G201" s="532"/>
      <c r="H201" s="28">
        <v>2.4</v>
      </c>
      <c r="I201" s="532">
        <f t="shared" si="9"/>
        <v>5.52</v>
      </c>
      <c r="J201" s="545"/>
      <c r="K201" s="522"/>
      <c r="L201" s="522"/>
      <c r="M201" s="522"/>
      <c r="N201" s="522"/>
      <c r="O201" s="522"/>
      <c r="P201" s="522"/>
      <c r="Q201" s="522"/>
      <c r="R201" s="522"/>
      <c r="S201" s="522"/>
      <c r="T201" s="522"/>
      <c r="U201" s="522"/>
      <c r="V201" s="522"/>
      <c r="W201" s="522"/>
      <c r="X201" s="522"/>
      <c r="Y201" s="522"/>
      <c r="Z201" s="522"/>
    </row>
    <row r="202" spans="1:26" s="523" customFormat="1" ht="15" hidden="1" customHeight="1" outlineLevel="1" x14ac:dyDescent="0.2">
      <c r="A202" s="543"/>
      <c r="B202" s="530" t="s">
        <v>566</v>
      </c>
      <c r="C202" s="531"/>
      <c r="D202" s="532" t="s">
        <v>38</v>
      </c>
      <c r="E202" s="529">
        <v>1</v>
      </c>
      <c r="F202" s="28">
        <v>2.5</v>
      </c>
      <c r="G202" s="532"/>
      <c r="H202" s="28">
        <v>2.4</v>
      </c>
      <c r="I202" s="532">
        <f t="shared" si="9"/>
        <v>6</v>
      </c>
      <c r="J202" s="545"/>
      <c r="K202" s="522"/>
      <c r="L202" s="522"/>
      <c r="M202" s="522"/>
      <c r="N202" s="522"/>
      <c r="O202" s="522"/>
      <c r="P202" s="522"/>
      <c r="Q202" s="522"/>
      <c r="R202" s="522"/>
      <c r="S202" s="522"/>
      <c r="T202" s="522"/>
      <c r="U202" s="522"/>
      <c r="V202" s="522"/>
      <c r="W202" s="522"/>
      <c r="X202" s="522"/>
      <c r="Y202" s="522"/>
      <c r="Z202" s="522"/>
    </row>
    <row r="203" spans="1:26" s="523" customFormat="1" ht="15" hidden="1" customHeight="1" outlineLevel="1" x14ac:dyDescent="0.2">
      <c r="A203" s="543"/>
      <c r="B203" s="530" t="s">
        <v>567</v>
      </c>
      <c r="C203" s="531"/>
      <c r="D203" s="532" t="s">
        <v>38</v>
      </c>
      <c r="E203" s="529">
        <v>1</v>
      </c>
      <c r="F203" s="28">
        <v>1.35</v>
      </c>
      <c r="G203" s="532"/>
      <c r="H203" s="28">
        <v>2.4</v>
      </c>
      <c r="I203" s="532">
        <f>PRODUCT(E203:H203)</f>
        <v>3.24</v>
      </c>
      <c r="J203" s="546"/>
      <c r="K203" s="522"/>
      <c r="L203" s="522"/>
      <c r="M203" s="522"/>
      <c r="N203" s="522"/>
      <c r="O203" s="522"/>
      <c r="P203" s="522"/>
      <c r="Q203" s="522"/>
      <c r="R203" s="522"/>
      <c r="S203" s="522"/>
      <c r="T203" s="522"/>
      <c r="U203" s="522"/>
      <c r="V203" s="522"/>
      <c r="W203" s="522"/>
      <c r="X203" s="522"/>
      <c r="Y203" s="522"/>
      <c r="Z203" s="522"/>
    </row>
    <row r="204" spans="1:26" s="523" customFormat="1" ht="15" hidden="1" customHeight="1" outlineLevel="1" x14ac:dyDescent="0.2">
      <c r="A204" s="543"/>
      <c r="B204" s="530" t="s">
        <v>568</v>
      </c>
      <c r="C204" s="531"/>
      <c r="D204" s="532" t="s">
        <v>38</v>
      </c>
      <c r="E204" s="529">
        <v>1</v>
      </c>
      <c r="F204" s="28">
        <v>1.55</v>
      </c>
      <c r="G204" s="532"/>
      <c r="H204" s="28">
        <v>2.4</v>
      </c>
      <c r="I204" s="532">
        <f t="shared" si="9"/>
        <v>3.7199999999999998</v>
      </c>
      <c r="J204" s="546"/>
      <c r="K204" s="522"/>
      <c r="L204" s="522"/>
      <c r="M204" s="522"/>
      <c r="N204" s="522"/>
      <c r="O204" s="522"/>
      <c r="P204" s="522"/>
      <c r="Q204" s="522"/>
      <c r="R204" s="522"/>
      <c r="S204" s="522"/>
      <c r="T204" s="522"/>
      <c r="U204" s="522"/>
      <c r="V204" s="522"/>
      <c r="W204" s="522"/>
      <c r="X204" s="522"/>
      <c r="Y204" s="522"/>
      <c r="Z204" s="522"/>
    </row>
    <row r="205" spans="1:26" s="523" customFormat="1" ht="15" hidden="1" customHeight="1" outlineLevel="1" x14ac:dyDescent="0.2">
      <c r="A205" s="543"/>
      <c r="B205" s="530" t="s">
        <v>569</v>
      </c>
      <c r="C205" s="531"/>
      <c r="D205" s="532" t="s">
        <v>38</v>
      </c>
      <c r="E205" s="529">
        <v>1</v>
      </c>
      <c r="F205" s="28">
        <v>2.4500000000000002</v>
      </c>
      <c r="G205" s="532"/>
      <c r="H205" s="28">
        <v>2.4</v>
      </c>
      <c r="I205" s="532">
        <f t="shared" si="9"/>
        <v>5.88</v>
      </c>
      <c r="J205" s="546"/>
      <c r="K205" s="522"/>
      <c r="L205" s="522"/>
      <c r="M205" s="522"/>
      <c r="N205" s="522"/>
      <c r="O205" s="522"/>
      <c r="P205" s="522"/>
      <c r="Q205" s="522"/>
      <c r="R205" s="522"/>
      <c r="S205" s="522"/>
      <c r="T205" s="522"/>
      <c r="U205" s="522"/>
      <c r="V205" s="522"/>
      <c r="W205" s="522"/>
      <c r="X205" s="522"/>
      <c r="Y205" s="522"/>
      <c r="Z205" s="522"/>
    </row>
    <row r="206" spans="1:26" s="523" customFormat="1" ht="15" hidden="1" customHeight="1" outlineLevel="1" x14ac:dyDescent="0.2">
      <c r="A206" s="543"/>
      <c r="B206" s="530" t="s">
        <v>570</v>
      </c>
      <c r="C206" s="531"/>
      <c r="D206" s="532" t="s">
        <v>38</v>
      </c>
      <c r="E206" s="529">
        <v>1</v>
      </c>
      <c r="F206" s="28">
        <v>2.4500000000000002</v>
      </c>
      <c r="G206" s="532"/>
      <c r="H206" s="28">
        <v>2.4</v>
      </c>
      <c r="I206" s="532">
        <f t="shared" si="9"/>
        <v>5.88</v>
      </c>
      <c r="J206" s="546"/>
      <c r="K206" s="522"/>
      <c r="L206" s="522"/>
      <c r="M206" s="522"/>
      <c r="N206" s="522"/>
      <c r="O206" s="522"/>
      <c r="P206" s="522"/>
      <c r="Q206" s="522"/>
      <c r="R206" s="522"/>
      <c r="S206" s="522"/>
      <c r="T206" s="522"/>
      <c r="U206" s="522"/>
      <c r="V206" s="522"/>
      <c r="W206" s="522"/>
      <c r="X206" s="522"/>
      <c r="Y206" s="522"/>
      <c r="Z206" s="522"/>
    </row>
    <row r="207" spans="1:26" s="523" customFormat="1" ht="15" hidden="1" customHeight="1" outlineLevel="1" x14ac:dyDescent="0.2">
      <c r="A207" s="543"/>
      <c r="B207" s="530" t="s">
        <v>571</v>
      </c>
      <c r="C207" s="531"/>
      <c r="D207" s="532" t="s">
        <v>38</v>
      </c>
      <c r="E207" s="529">
        <v>1</v>
      </c>
      <c r="F207" s="28">
        <v>1.7</v>
      </c>
      <c r="G207" s="532"/>
      <c r="H207" s="28">
        <v>2.4</v>
      </c>
      <c r="I207" s="532">
        <f t="shared" si="9"/>
        <v>4.08</v>
      </c>
      <c r="J207" s="546"/>
      <c r="K207" s="522"/>
      <c r="L207" s="522"/>
      <c r="M207" s="522"/>
      <c r="N207" s="522"/>
      <c r="O207" s="522"/>
      <c r="P207" s="522"/>
      <c r="Q207" s="522"/>
      <c r="R207" s="522"/>
      <c r="S207" s="522"/>
      <c r="T207" s="522"/>
      <c r="U207" s="522"/>
      <c r="V207" s="522"/>
      <c r="W207" s="522"/>
      <c r="X207" s="522"/>
      <c r="Y207" s="522"/>
      <c r="Z207" s="522"/>
    </row>
    <row r="208" spans="1:26" s="523" customFormat="1" ht="15" hidden="1" customHeight="1" outlineLevel="1" x14ac:dyDescent="0.2">
      <c r="A208" s="543"/>
      <c r="B208" s="530" t="s">
        <v>572</v>
      </c>
      <c r="C208" s="531"/>
      <c r="D208" s="532" t="s">
        <v>38</v>
      </c>
      <c r="E208" s="529">
        <v>1</v>
      </c>
      <c r="F208" s="28">
        <v>1.75</v>
      </c>
      <c r="G208" s="532"/>
      <c r="H208" s="28">
        <v>2.4</v>
      </c>
      <c r="I208" s="532">
        <f>PRODUCT(E208:H208)</f>
        <v>4.2</v>
      </c>
      <c r="J208" s="546"/>
      <c r="K208" s="522"/>
      <c r="L208" s="522"/>
      <c r="M208" s="522"/>
      <c r="N208" s="522"/>
      <c r="O208" s="522"/>
      <c r="P208" s="522"/>
      <c r="Q208" s="522"/>
      <c r="R208" s="522"/>
      <c r="S208" s="522"/>
      <c r="T208" s="522"/>
      <c r="U208" s="522"/>
      <c r="V208" s="522"/>
      <c r="W208" s="522"/>
      <c r="X208" s="522"/>
      <c r="Y208" s="522"/>
      <c r="Z208" s="522"/>
    </row>
    <row r="209" spans="1:26" s="523" customFormat="1" ht="15" hidden="1" customHeight="1" outlineLevel="1" x14ac:dyDescent="0.2">
      <c r="A209" s="543"/>
      <c r="B209" s="530" t="s">
        <v>573</v>
      </c>
      <c r="C209" s="531"/>
      <c r="D209" s="532" t="s">
        <v>38</v>
      </c>
      <c r="E209" s="529">
        <v>1</v>
      </c>
      <c r="F209" s="28">
        <v>1.8</v>
      </c>
      <c r="G209" s="532"/>
      <c r="H209" s="28">
        <v>2.4</v>
      </c>
      <c r="I209" s="532">
        <f t="shared" si="9"/>
        <v>4.32</v>
      </c>
      <c r="J209" s="546"/>
      <c r="K209" s="522"/>
      <c r="L209" s="522"/>
      <c r="M209" s="522"/>
      <c r="N209" s="522"/>
      <c r="O209" s="522"/>
      <c r="P209" s="522"/>
      <c r="Q209" s="522"/>
      <c r="R209" s="522"/>
      <c r="S209" s="522"/>
      <c r="T209" s="522"/>
      <c r="U209" s="522"/>
      <c r="V209" s="522"/>
      <c r="W209" s="522"/>
      <c r="X209" s="522"/>
      <c r="Y209" s="522"/>
      <c r="Z209" s="522"/>
    </row>
    <row r="210" spans="1:26" s="523" customFormat="1" ht="15" hidden="1" customHeight="1" outlineLevel="1" x14ac:dyDescent="0.2">
      <c r="A210" s="543"/>
      <c r="B210" s="530" t="s">
        <v>574</v>
      </c>
      <c r="C210" s="531"/>
      <c r="D210" s="532" t="s">
        <v>38</v>
      </c>
      <c r="E210" s="529">
        <v>1</v>
      </c>
      <c r="F210" s="28">
        <v>1.95</v>
      </c>
      <c r="G210" s="532"/>
      <c r="H210" s="28">
        <v>2.4</v>
      </c>
      <c r="I210" s="532">
        <f t="shared" si="9"/>
        <v>4.68</v>
      </c>
      <c r="J210" s="546"/>
      <c r="K210" s="522"/>
      <c r="L210" s="522"/>
      <c r="M210" s="522"/>
      <c r="N210" s="522"/>
      <c r="O210" s="522"/>
      <c r="P210" s="522"/>
      <c r="Q210" s="522"/>
      <c r="R210" s="522"/>
      <c r="S210" s="522"/>
      <c r="T210" s="522"/>
      <c r="U210" s="522"/>
      <c r="V210" s="522"/>
      <c r="W210" s="522"/>
      <c r="X210" s="522"/>
      <c r="Y210" s="522"/>
      <c r="Z210" s="522"/>
    </row>
    <row r="211" spans="1:26" s="523" customFormat="1" ht="15" hidden="1" customHeight="1" outlineLevel="1" x14ac:dyDescent="0.2">
      <c r="A211" s="543"/>
      <c r="B211" s="530" t="s">
        <v>620</v>
      </c>
      <c r="C211" s="531"/>
      <c r="D211" s="532" t="s">
        <v>38</v>
      </c>
      <c r="E211" s="529">
        <v>1</v>
      </c>
      <c r="F211" s="28">
        <v>1.8</v>
      </c>
      <c r="G211" s="532"/>
      <c r="H211" s="28">
        <v>2.4</v>
      </c>
      <c r="I211" s="532">
        <f t="shared" si="9"/>
        <v>4.32</v>
      </c>
      <c r="J211" s="546"/>
      <c r="K211" s="522"/>
      <c r="L211" s="522"/>
      <c r="M211" s="522"/>
      <c r="N211" s="522"/>
      <c r="O211" s="522"/>
      <c r="P211" s="522"/>
      <c r="Q211" s="522"/>
      <c r="R211" s="522"/>
      <c r="S211" s="522"/>
      <c r="T211" s="522"/>
      <c r="U211" s="522"/>
      <c r="V211" s="522"/>
      <c r="W211" s="522"/>
      <c r="X211" s="522"/>
      <c r="Y211" s="522"/>
      <c r="Z211" s="522"/>
    </row>
    <row r="212" spans="1:26" s="523" customFormat="1" ht="15" hidden="1" customHeight="1" outlineLevel="1" x14ac:dyDescent="0.2">
      <c r="A212" s="543"/>
      <c r="B212" s="530" t="s">
        <v>621</v>
      </c>
      <c r="C212" s="531"/>
      <c r="D212" s="532" t="s">
        <v>38</v>
      </c>
      <c r="E212" s="529">
        <v>1</v>
      </c>
      <c r="F212" s="28">
        <v>1.8</v>
      </c>
      <c r="G212" s="532"/>
      <c r="H212" s="28">
        <v>2.4</v>
      </c>
      <c r="I212" s="532">
        <f t="shared" si="9"/>
        <v>4.32</v>
      </c>
      <c r="J212" s="546"/>
      <c r="K212" s="522"/>
      <c r="L212" s="522"/>
      <c r="M212" s="522"/>
      <c r="N212" s="522"/>
      <c r="O212" s="522"/>
      <c r="P212" s="522"/>
      <c r="Q212" s="522"/>
      <c r="R212" s="522"/>
      <c r="S212" s="522"/>
      <c r="T212" s="522"/>
      <c r="U212" s="522"/>
      <c r="V212" s="522"/>
      <c r="W212" s="522"/>
      <c r="X212" s="522"/>
      <c r="Y212" s="522"/>
      <c r="Z212" s="522"/>
    </row>
    <row r="213" spans="1:26" s="523" customFormat="1" ht="15" hidden="1" customHeight="1" outlineLevel="1" x14ac:dyDescent="0.2">
      <c r="A213" s="543"/>
      <c r="B213" s="530" t="s">
        <v>622</v>
      </c>
      <c r="C213" s="531"/>
      <c r="D213" s="532" t="s">
        <v>38</v>
      </c>
      <c r="E213" s="529">
        <v>1</v>
      </c>
      <c r="F213" s="28">
        <v>2.5499999999999998</v>
      </c>
      <c r="G213" s="532"/>
      <c r="H213" s="28">
        <v>2.4</v>
      </c>
      <c r="I213" s="532">
        <f t="shared" si="9"/>
        <v>6.1199999999999992</v>
      </c>
      <c r="J213" s="546"/>
      <c r="K213" s="522"/>
      <c r="L213" s="522"/>
      <c r="M213" s="522"/>
      <c r="N213" s="522"/>
      <c r="O213" s="522"/>
      <c r="P213" s="522"/>
      <c r="Q213" s="522"/>
      <c r="R213" s="522"/>
      <c r="S213" s="522"/>
      <c r="T213" s="522"/>
      <c r="U213" s="522"/>
      <c r="V213" s="522"/>
      <c r="W213" s="522"/>
      <c r="X213" s="522"/>
      <c r="Y213" s="522"/>
      <c r="Z213" s="522"/>
    </row>
    <row r="214" spans="1:26" s="523" customFormat="1" ht="15" hidden="1" customHeight="1" outlineLevel="1" x14ac:dyDescent="0.2">
      <c r="A214" s="543"/>
      <c r="B214" s="530" t="s">
        <v>623</v>
      </c>
      <c r="C214" s="531"/>
      <c r="D214" s="532" t="s">
        <v>38</v>
      </c>
      <c r="E214" s="529">
        <v>1</v>
      </c>
      <c r="F214" s="28">
        <v>2.75</v>
      </c>
      <c r="G214" s="532"/>
      <c r="H214" s="28">
        <v>2.4</v>
      </c>
      <c r="I214" s="532">
        <f t="shared" si="9"/>
        <v>6.6</v>
      </c>
      <c r="J214" s="546"/>
      <c r="K214" s="522"/>
      <c r="L214" s="522"/>
      <c r="M214" s="522"/>
      <c r="N214" s="522"/>
      <c r="O214" s="522"/>
      <c r="P214" s="522"/>
      <c r="Q214" s="522"/>
      <c r="R214" s="522"/>
      <c r="S214" s="522"/>
      <c r="T214" s="522"/>
      <c r="U214" s="522"/>
      <c r="V214" s="522"/>
      <c r="W214" s="522"/>
      <c r="X214" s="522"/>
      <c r="Y214" s="522"/>
      <c r="Z214" s="522"/>
    </row>
    <row r="215" spans="1:26" s="523" customFormat="1" ht="15" hidden="1" customHeight="1" outlineLevel="1" x14ac:dyDescent="0.2">
      <c r="A215" s="543"/>
      <c r="B215" s="530" t="s">
        <v>624</v>
      </c>
      <c r="C215" s="531"/>
      <c r="D215" s="532" t="s">
        <v>38</v>
      </c>
      <c r="E215" s="529">
        <v>1</v>
      </c>
      <c r="F215" s="28">
        <v>2.35</v>
      </c>
      <c r="G215" s="532"/>
      <c r="H215" s="28">
        <v>2.2999999999999998</v>
      </c>
      <c r="I215" s="532">
        <f>PRODUCT(E215:H215)</f>
        <v>5.4049999999999994</v>
      </c>
      <c r="J215" s="595"/>
      <c r="K215" s="522"/>
      <c r="L215" s="522"/>
      <c r="M215" s="522"/>
      <c r="N215" s="522"/>
      <c r="O215" s="522"/>
      <c r="P215" s="522"/>
      <c r="Q215" s="522"/>
      <c r="R215" s="522"/>
      <c r="S215" s="522"/>
      <c r="T215" s="522"/>
      <c r="U215" s="522"/>
      <c r="V215" s="522"/>
      <c r="W215" s="522"/>
      <c r="X215" s="522"/>
      <c r="Y215" s="522"/>
      <c r="Z215" s="522"/>
    </row>
    <row r="216" spans="1:26" s="523" customFormat="1" ht="15" hidden="1" customHeight="1" outlineLevel="1" x14ac:dyDescent="0.2">
      <c r="A216" s="543"/>
      <c r="B216" s="530"/>
      <c r="C216" s="531"/>
      <c r="D216" s="532"/>
      <c r="E216" s="148"/>
      <c r="F216" s="134"/>
      <c r="G216" s="547"/>
      <c r="H216" s="134"/>
      <c r="I216" s="532"/>
      <c r="J216" s="546"/>
      <c r="K216" s="522"/>
      <c r="L216" s="522"/>
      <c r="M216" s="522"/>
      <c r="N216" s="522"/>
      <c r="O216" s="522"/>
      <c r="P216" s="522"/>
      <c r="Q216" s="522"/>
      <c r="R216" s="522"/>
      <c r="S216" s="522"/>
      <c r="T216" s="522"/>
      <c r="U216" s="522"/>
      <c r="V216" s="522"/>
      <c r="W216" s="522"/>
      <c r="X216" s="522"/>
      <c r="Y216" s="522"/>
      <c r="Z216" s="522"/>
    </row>
    <row r="217" spans="1:26" s="523" customFormat="1" ht="15" hidden="1" customHeight="1" outlineLevel="1" x14ac:dyDescent="0.2">
      <c r="A217" s="529"/>
      <c r="B217" s="530" t="s">
        <v>575</v>
      </c>
      <c r="C217" s="531"/>
      <c r="D217" s="532" t="s">
        <v>38</v>
      </c>
      <c r="E217" s="529">
        <v>2</v>
      </c>
      <c r="F217" s="28">
        <v>1.1499999999999999</v>
      </c>
      <c r="G217" s="532"/>
      <c r="H217" s="28">
        <v>2.6</v>
      </c>
      <c r="I217" s="532">
        <f t="shared" ref="I217:I251" si="10">PRODUCT(E217:H217)</f>
        <v>5.9799999999999995</v>
      </c>
      <c r="J217" s="594"/>
      <c r="K217" s="522"/>
      <c r="L217" s="522"/>
      <c r="M217" s="522"/>
      <c r="N217" s="522"/>
      <c r="O217" s="522"/>
      <c r="P217" s="522"/>
      <c r="Q217" s="522"/>
      <c r="R217" s="522"/>
      <c r="S217" s="522"/>
      <c r="T217" s="522"/>
      <c r="U217" s="522"/>
      <c r="V217" s="522"/>
      <c r="W217" s="522"/>
      <c r="X217" s="522"/>
      <c r="Y217" s="522"/>
      <c r="Z217" s="522"/>
    </row>
    <row r="218" spans="1:26" s="523" customFormat="1" ht="15" hidden="1" customHeight="1" outlineLevel="1" x14ac:dyDescent="0.2">
      <c r="A218" s="529"/>
      <c r="B218" s="530" t="s">
        <v>576</v>
      </c>
      <c r="C218" s="531"/>
      <c r="D218" s="532" t="s">
        <v>38</v>
      </c>
      <c r="E218" s="529">
        <v>2</v>
      </c>
      <c r="F218" s="28">
        <v>0.5</v>
      </c>
      <c r="G218" s="532"/>
      <c r="H218" s="28">
        <v>2.2999999999999998</v>
      </c>
      <c r="I218" s="532">
        <f t="shared" si="10"/>
        <v>2.2999999999999998</v>
      </c>
      <c r="J218" s="534"/>
      <c r="K218" s="522"/>
      <c r="L218" s="522"/>
      <c r="M218" s="522"/>
      <c r="N218" s="522"/>
      <c r="O218" s="522"/>
      <c r="P218" s="522"/>
      <c r="Q218" s="522"/>
      <c r="R218" s="522"/>
      <c r="S218" s="522"/>
      <c r="T218" s="522"/>
      <c r="U218" s="522"/>
      <c r="V218" s="522"/>
      <c r="W218" s="522"/>
      <c r="X218" s="522"/>
      <c r="Y218" s="522"/>
      <c r="Z218" s="522"/>
    </row>
    <row r="219" spans="1:26" s="523" customFormat="1" ht="15" hidden="1" customHeight="1" outlineLevel="1" x14ac:dyDescent="0.2">
      <c r="A219" s="529"/>
      <c r="B219" s="530" t="s">
        <v>577</v>
      </c>
      <c r="C219" s="531"/>
      <c r="D219" s="532" t="s">
        <v>38</v>
      </c>
      <c r="E219" s="529">
        <v>2</v>
      </c>
      <c r="F219" s="28">
        <v>4.8499999999999996</v>
      </c>
      <c r="G219" s="532"/>
      <c r="H219" s="28">
        <v>2.6</v>
      </c>
      <c r="I219" s="532">
        <f t="shared" si="10"/>
        <v>25.22</v>
      </c>
      <c r="J219" s="534"/>
      <c r="K219" s="522"/>
      <c r="L219" s="522"/>
      <c r="M219" s="522"/>
      <c r="N219" s="522"/>
      <c r="O219" s="522"/>
      <c r="P219" s="522"/>
      <c r="Q219" s="522"/>
      <c r="R219" s="522"/>
      <c r="S219" s="522"/>
      <c r="T219" s="522"/>
      <c r="U219" s="522"/>
      <c r="V219" s="522"/>
      <c r="W219" s="522"/>
      <c r="X219" s="522"/>
      <c r="Y219" s="522"/>
      <c r="Z219" s="522"/>
    </row>
    <row r="220" spans="1:26" s="523" customFormat="1" ht="15" hidden="1" customHeight="1" outlineLevel="1" x14ac:dyDescent="0.2">
      <c r="A220" s="529"/>
      <c r="B220" s="530" t="s">
        <v>578</v>
      </c>
      <c r="C220" s="531"/>
      <c r="D220" s="532" t="s">
        <v>38</v>
      </c>
      <c r="E220" s="529">
        <v>2</v>
      </c>
      <c r="F220" s="28">
        <v>2.5499999999999998</v>
      </c>
      <c r="G220" s="532"/>
      <c r="H220" s="28">
        <v>2.6</v>
      </c>
      <c r="I220" s="532">
        <f t="shared" si="10"/>
        <v>13.26</v>
      </c>
      <c r="J220" s="534"/>
      <c r="K220" s="522"/>
      <c r="L220" s="522"/>
      <c r="M220" s="522"/>
      <c r="N220" s="522"/>
      <c r="O220" s="522"/>
      <c r="P220" s="522"/>
      <c r="Q220" s="522"/>
      <c r="R220" s="522"/>
      <c r="S220" s="522"/>
      <c r="T220" s="522"/>
      <c r="U220" s="522"/>
      <c r="V220" s="522"/>
      <c r="W220" s="522"/>
      <c r="X220" s="522"/>
      <c r="Y220" s="522"/>
      <c r="Z220" s="522"/>
    </row>
    <row r="221" spans="1:26" s="523" customFormat="1" ht="15" hidden="1" customHeight="1" outlineLevel="1" x14ac:dyDescent="0.2">
      <c r="A221" s="529"/>
      <c r="B221" s="530" t="s">
        <v>579</v>
      </c>
      <c r="C221" s="531"/>
      <c r="D221" s="532" t="s">
        <v>38</v>
      </c>
      <c r="E221" s="529">
        <v>2</v>
      </c>
      <c r="F221" s="28">
        <v>1.3917999999999999</v>
      </c>
      <c r="G221" s="532"/>
      <c r="H221" s="28">
        <v>2.6</v>
      </c>
      <c r="I221" s="532">
        <f t="shared" si="10"/>
        <v>7.2373599999999998</v>
      </c>
      <c r="J221" s="534"/>
      <c r="K221" s="522"/>
      <c r="L221" s="522"/>
      <c r="M221" s="522"/>
      <c r="N221" s="522"/>
      <c r="O221" s="522"/>
      <c r="P221" s="522"/>
      <c r="Q221" s="522"/>
      <c r="R221" s="522"/>
      <c r="S221" s="522"/>
      <c r="T221" s="522"/>
      <c r="U221" s="522"/>
      <c r="V221" s="522"/>
      <c r="W221" s="522"/>
      <c r="X221" s="522"/>
      <c r="Y221" s="522"/>
      <c r="Z221" s="522"/>
    </row>
    <row r="222" spans="1:26" s="523" customFormat="1" ht="15" hidden="1" customHeight="1" outlineLevel="1" x14ac:dyDescent="0.2">
      <c r="A222" s="529"/>
      <c r="B222" s="530" t="s">
        <v>591</v>
      </c>
      <c r="C222" s="531"/>
      <c r="D222" s="532" t="s">
        <v>38</v>
      </c>
      <c r="E222" s="529">
        <v>2</v>
      </c>
      <c r="F222" s="28">
        <v>0.7</v>
      </c>
      <c r="G222" s="532"/>
      <c r="H222" s="28">
        <v>1.9</v>
      </c>
      <c r="I222" s="532">
        <f t="shared" si="10"/>
        <v>2.6599999999999997</v>
      </c>
      <c r="J222" s="534"/>
      <c r="K222" s="522"/>
      <c r="L222" s="522"/>
      <c r="M222" s="522"/>
      <c r="N222" s="522"/>
      <c r="O222" s="522"/>
      <c r="P222" s="522"/>
      <c r="Q222" s="522"/>
      <c r="R222" s="522"/>
      <c r="S222" s="522"/>
      <c r="T222" s="522"/>
      <c r="U222" s="522"/>
      <c r="V222" s="522"/>
      <c r="W222" s="522"/>
      <c r="X222" s="522"/>
      <c r="Y222" s="522"/>
      <c r="Z222" s="522"/>
    </row>
    <row r="223" spans="1:26" s="523" customFormat="1" ht="15" hidden="1" customHeight="1" outlineLevel="1" x14ac:dyDescent="0.2">
      <c r="A223" s="529"/>
      <c r="B223" s="530" t="s">
        <v>625</v>
      </c>
      <c r="C223" s="531"/>
      <c r="D223" s="532" t="s">
        <v>38</v>
      </c>
      <c r="E223" s="529">
        <v>2</v>
      </c>
      <c r="F223" s="28">
        <v>1.4</v>
      </c>
      <c r="G223" s="532"/>
      <c r="H223" s="28">
        <v>2.2999999999999998</v>
      </c>
      <c r="I223" s="532">
        <f t="shared" si="10"/>
        <v>6.4399999999999995</v>
      </c>
      <c r="J223" s="534"/>
      <c r="K223" s="522"/>
      <c r="L223" s="522"/>
      <c r="M223" s="522"/>
      <c r="N223" s="522"/>
      <c r="O223" s="522"/>
      <c r="P223" s="522"/>
      <c r="Q223" s="522"/>
      <c r="R223" s="522"/>
      <c r="S223" s="522"/>
      <c r="T223" s="522"/>
      <c r="U223" s="522"/>
      <c r="V223" s="522"/>
      <c r="W223" s="522"/>
      <c r="X223" s="522"/>
      <c r="Y223" s="522"/>
      <c r="Z223" s="522"/>
    </row>
    <row r="224" spans="1:26" s="523" customFormat="1" ht="15" hidden="1" customHeight="1" outlineLevel="1" x14ac:dyDescent="0.2">
      <c r="A224" s="529"/>
      <c r="B224" s="530" t="s">
        <v>626</v>
      </c>
      <c r="C224" s="531"/>
      <c r="D224" s="532" t="s">
        <v>38</v>
      </c>
      <c r="E224" s="529">
        <v>2</v>
      </c>
      <c r="F224" s="28">
        <v>0.55000000000000004</v>
      </c>
      <c r="G224" s="532"/>
      <c r="H224" s="28">
        <v>2.6</v>
      </c>
      <c r="I224" s="532">
        <f t="shared" si="10"/>
        <v>2.8600000000000003</v>
      </c>
      <c r="J224" s="534"/>
      <c r="K224" s="522"/>
      <c r="L224" s="522"/>
      <c r="M224" s="522"/>
      <c r="N224" s="522"/>
      <c r="O224" s="522"/>
      <c r="P224" s="522"/>
      <c r="Q224" s="522"/>
      <c r="R224" s="522"/>
      <c r="S224" s="522"/>
      <c r="T224" s="522"/>
      <c r="U224" s="522"/>
      <c r="V224" s="522"/>
      <c r="W224" s="522"/>
      <c r="X224" s="522"/>
      <c r="Y224" s="522"/>
      <c r="Z224" s="522"/>
    </row>
    <row r="225" spans="1:26" s="523" customFormat="1" ht="15" hidden="1" customHeight="1" outlineLevel="1" x14ac:dyDescent="0.2">
      <c r="A225" s="529"/>
      <c r="B225" s="530" t="s">
        <v>627</v>
      </c>
      <c r="C225" s="531"/>
      <c r="D225" s="532" t="s">
        <v>38</v>
      </c>
      <c r="E225" s="529">
        <v>2</v>
      </c>
      <c r="F225" s="28">
        <v>0.6</v>
      </c>
      <c r="G225" s="532"/>
      <c r="H225" s="28">
        <v>2.2000000000000002</v>
      </c>
      <c r="I225" s="532">
        <f t="shared" si="10"/>
        <v>2.64</v>
      </c>
      <c r="J225" s="534"/>
      <c r="K225" s="522"/>
      <c r="L225" s="522"/>
      <c r="M225" s="522"/>
      <c r="N225" s="522"/>
      <c r="O225" s="522"/>
      <c r="P225" s="522"/>
      <c r="Q225" s="522"/>
      <c r="R225" s="522"/>
      <c r="S225" s="522"/>
      <c r="T225" s="522"/>
      <c r="U225" s="522"/>
      <c r="V225" s="522"/>
      <c r="W225" s="522"/>
      <c r="X225" s="522"/>
      <c r="Y225" s="522"/>
      <c r="Z225" s="522"/>
    </row>
    <row r="226" spans="1:26" s="523" customFormat="1" ht="15" hidden="1" customHeight="1" outlineLevel="1" x14ac:dyDescent="0.2">
      <c r="A226" s="529"/>
      <c r="B226" s="530" t="s">
        <v>686</v>
      </c>
      <c r="C226" s="531"/>
      <c r="D226" s="532" t="s">
        <v>38</v>
      </c>
      <c r="E226" s="529">
        <v>2</v>
      </c>
      <c r="F226" s="28">
        <v>1.1499999999999999</v>
      </c>
      <c r="G226" s="532"/>
      <c r="H226" s="28">
        <v>2.6</v>
      </c>
      <c r="I226" s="532">
        <f t="shared" si="10"/>
        <v>5.9799999999999995</v>
      </c>
      <c r="J226" s="594"/>
      <c r="K226" s="522"/>
      <c r="L226" s="522"/>
      <c r="M226" s="522"/>
      <c r="N226" s="522"/>
      <c r="O226" s="522"/>
      <c r="P226" s="522"/>
      <c r="Q226" s="522"/>
      <c r="R226" s="522"/>
      <c r="S226" s="522"/>
      <c r="T226" s="522"/>
      <c r="U226" s="522"/>
      <c r="V226" s="522"/>
      <c r="W226" s="522"/>
      <c r="X226" s="522"/>
      <c r="Y226" s="522"/>
      <c r="Z226" s="522"/>
    </row>
    <row r="227" spans="1:26" s="523" customFormat="1" ht="15" hidden="1" customHeight="1" outlineLevel="1" x14ac:dyDescent="0.2">
      <c r="A227" s="529"/>
      <c r="B227" s="530" t="s">
        <v>687</v>
      </c>
      <c r="C227" s="531"/>
      <c r="D227" s="532" t="s">
        <v>38</v>
      </c>
      <c r="E227" s="529">
        <v>2</v>
      </c>
      <c r="F227" s="28">
        <v>1.1494</v>
      </c>
      <c r="G227" s="532"/>
      <c r="H227" s="28">
        <v>1</v>
      </c>
      <c r="I227" s="532">
        <f t="shared" si="10"/>
        <v>2.2988</v>
      </c>
      <c r="J227" s="534"/>
      <c r="K227" s="522"/>
      <c r="L227" s="522"/>
      <c r="M227" s="522"/>
      <c r="N227" s="522"/>
      <c r="O227" s="522"/>
      <c r="P227" s="522"/>
      <c r="Q227" s="522"/>
      <c r="R227" s="522"/>
      <c r="S227" s="522"/>
      <c r="T227" s="522"/>
      <c r="U227" s="522"/>
      <c r="V227" s="522"/>
      <c r="W227" s="522"/>
      <c r="X227" s="522"/>
      <c r="Y227" s="522"/>
      <c r="Z227" s="522"/>
    </row>
    <row r="228" spans="1:26" s="523" customFormat="1" ht="15" hidden="1" customHeight="1" outlineLevel="1" x14ac:dyDescent="0.2">
      <c r="A228" s="529"/>
      <c r="B228" s="530" t="s">
        <v>688</v>
      </c>
      <c r="C228" s="531"/>
      <c r="D228" s="532" t="s">
        <v>38</v>
      </c>
      <c r="E228" s="529">
        <v>2</v>
      </c>
      <c r="F228" s="28">
        <v>1.25</v>
      </c>
      <c r="G228" s="532"/>
      <c r="H228" s="28">
        <v>2.6</v>
      </c>
      <c r="I228" s="532">
        <f t="shared" si="10"/>
        <v>6.5</v>
      </c>
      <c r="J228" s="534"/>
      <c r="K228" s="522"/>
      <c r="L228" s="522"/>
      <c r="M228" s="522"/>
      <c r="N228" s="522"/>
      <c r="O228" s="522"/>
      <c r="P228" s="522"/>
      <c r="Q228" s="522"/>
      <c r="R228" s="522"/>
      <c r="S228" s="522"/>
      <c r="T228" s="522"/>
      <c r="U228" s="522"/>
      <c r="V228" s="522"/>
      <c r="W228" s="522"/>
      <c r="X228" s="522"/>
      <c r="Y228" s="522"/>
      <c r="Z228" s="522"/>
    </row>
    <row r="229" spans="1:26" s="523" customFormat="1" ht="15" hidden="1" customHeight="1" outlineLevel="1" x14ac:dyDescent="0.2">
      <c r="A229" s="529"/>
      <c r="B229" s="530" t="s">
        <v>689</v>
      </c>
      <c r="C229" s="531"/>
      <c r="D229" s="532" t="s">
        <v>38</v>
      </c>
      <c r="E229" s="529">
        <v>2</v>
      </c>
      <c r="F229" s="28">
        <v>1.35</v>
      </c>
      <c r="G229" s="532"/>
      <c r="H229" s="28">
        <v>2.6</v>
      </c>
      <c r="I229" s="532">
        <f t="shared" si="10"/>
        <v>7.0200000000000005</v>
      </c>
      <c r="J229" s="534"/>
      <c r="K229" s="522"/>
      <c r="L229" s="522"/>
      <c r="M229" s="522"/>
      <c r="N229" s="522"/>
      <c r="O229" s="522"/>
      <c r="P229" s="522"/>
      <c r="Q229" s="522"/>
      <c r="R229" s="522"/>
      <c r="S229" s="522"/>
      <c r="T229" s="522"/>
      <c r="U229" s="522"/>
      <c r="V229" s="522"/>
      <c r="W229" s="522"/>
      <c r="X229" s="522"/>
      <c r="Y229" s="522"/>
      <c r="Z229" s="522"/>
    </row>
    <row r="230" spans="1:26" s="523" customFormat="1" ht="15" hidden="1" customHeight="1" outlineLevel="1" x14ac:dyDescent="0.2">
      <c r="A230" s="529"/>
      <c r="B230" s="530" t="s">
        <v>690</v>
      </c>
      <c r="C230" s="531"/>
      <c r="D230" s="532" t="s">
        <v>38</v>
      </c>
      <c r="E230" s="529">
        <v>2</v>
      </c>
      <c r="F230" s="28">
        <v>3.9</v>
      </c>
      <c r="G230" s="532"/>
      <c r="H230" s="28">
        <v>2.6</v>
      </c>
      <c r="I230" s="532">
        <f t="shared" si="10"/>
        <v>20.28</v>
      </c>
      <c r="J230" s="534"/>
      <c r="K230" s="522"/>
      <c r="L230" s="522"/>
      <c r="M230" s="522"/>
      <c r="N230" s="522"/>
      <c r="O230" s="522"/>
      <c r="P230" s="522"/>
      <c r="Q230" s="522"/>
      <c r="R230" s="522"/>
      <c r="S230" s="522"/>
      <c r="T230" s="522"/>
      <c r="U230" s="522"/>
      <c r="V230" s="522"/>
      <c r="W230" s="522"/>
      <c r="X230" s="522"/>
      <c r="Y230" s="522"/>
      <c r="Z230" s="522"/>
    </row>
    <row r="231" spans="1:26" s="523" customFormat="1" ht="15" hidden="1" customHeight="1" outlineLevel="1" x14ac:dyDescent="0.2">
      <c r="A231" s="529"/>
      <c r="B231" s="530" t="s">
        <v>691</v>
      </c>
      <c r="C231" s="531"/>
      <c r="D231" s="532" t="s">
        <v>38</v>
      </c>
      <c r="E231" s="529">
        <v>2</v>
      </c>
      <c r="F231" s="28">
        <v>2.15</v>
      </c>
      <c r="G231" s="532"/>
      <c r="H231" s="28">
        <v>2.2999999999999998</v>
      </c>
      <c r="I231" s="532">
        <f t="shared" si="10"/>
        <v>9.8899999999999988</v>
      </c>
      <c r="J231" s="534"/>
      <c r="K231" s="522"/>
      <c r="L231" s="522"/>
      <c r="M231" s="522"/>
      <c r="N231" s="522"/>
      <c r="O231" s="522"/>
      <c r="P231" s="522"/>
      <c r="Q231" s="522"/>
      <c r="R231" s="522"/>
      <c r="S231" s="522"/>
      <c r="T231" s="522"/>
      <c r="U231" s="522"/>
      <c r="V231" s="522"/>
      <c r="W231" s="522"/>
      <c r="X231" s="522"/>
      <c r="Y231" s="522"/>
      <c r="Z231" s="522"/>
    </row>
    <row r="232" spans="1:26" s="523" customFormat="1" ht="15" hidden="1" customHeight="1" outlineLevel="1" x14ac:dyDescent="0.2">
      <c r="A232" s="529"/>
      <c r="B232" s="530" t="s">
        <v>692</v>
      </c>
      <c r="C232" s="531"/>
      <c r="D232" s="532" t="s">
        <v>38</v>
      </c>
      <c r="E232" s="529">
        <v>2</v>
      </c>
      <c r="F232" s="28">
        <v>2.15</v>
      </c>
      <c r="G232" s="532"/>
      <c r="H232" s="28">
        <v>2.2999999999999998</v>
      </c>
      <c r="I232" s="532">
        <f t="shared" si="10"/>
        <v>9.8899999999999988</v>
      </c>
      <c r="J232" s="534"/>
      <c r="K232" s="522"/>
      <c r="L232" s="522"/>
      <c r="M232" s="522"/>
      <c r="N232" s="522"/>
      <c r="O232" s="522"/>
      <c r="P232" s="522"/>
      <c r="Q232" s="522"/>
      <c r="R232" s="522"/>
      <c r="S232" s="522"/>
      <c r="T232" s="522"/>
      <c r="U232" s="522"/>
      <c r="V232" s="522"/>
      <c r="W232" s="522"/>
      <c r="X232" s="522"/>
      <c r="Y232" s="522"/>
      <c r="Z232" s="522"/>
    </row>
    <row r="233" spans="1:26" s="523" customFormat="1" ht="15" hidden="1" customHeight="1" outlineLevel="1" x14ac:dyDescent="0.2">
      <c r="A233" s="529"/>
      <c r="B233" s="530" t="s">
        <v>693</v>
      </c>
      <c r="C233" s="531"/>
      <c r="D233" s="532" t="s">
        <v>38</v>
      </c>
      <c r="E233" s="529">
        <v>2</v>
      </c>
      <c r="F233" s="28">
        <v>1.2</v>
      </c>
      <c r="G233" s="532"/>
      <c r="H233" s="28">
        <v>1</v>
      </c>
      <c r="I233" s="532">
        <f t="shared" si="10"/>
        <v>2.4</v>
      </c>
      <c r="J233" s="534"/>
      <c r="K233" s="522"/>
      <c r="L233" s="522"/>
      <c r="M233" s="522"/>
      <c r="N233" s="522"/>
      <c r="O233" s="522"/>
      <c r="P233" s="522"/>
      <c r="Q233" s="522"/>
      <c r="R233" s="522"/>
      <c r="S233" s="522"/>
      <c r="T233" s="522"/>
      <c r="U233" s="522"/>
      <c r="V233" s="522"/>
      <c r="W233" s="522"/>
      <c r="X233" s="522"/>
      <c r="Y233" s="522"/>
      <c r="Z233" s="522"/>
    </row>
    <row r="234" spans="1:26" s="523" customFormat="1" ht="15" hidden="1" customHeight="1" outlineLevel="1" x14ac:dyDescent="0.2">
      <c r="A234" s="529"/>
      <c r="B234" s="530" t="s">
        <v>694</v>
      </c>
      <c r="C234" s="531"/>
      <c r="D234" s="532" t="s">
        <v>38</v>
      </c>
      <c r="E234" s="529">
        <v>2</v>
      </c>
      <c r="F234" s="28">
        <v>2.6</v>
      </c>
      <c r="G234" s="532"/>
      <c r="H234" s="28">
        <v>1</v>
      </c>
      <c r="I234" s="532">
        <f t="shared" si="10"/>
        <v>5.2</v>
      </c>
      <c r="J234" s="534"/>
      <c r="K234" s="522"/>
      <c r="L234" s="522"/>
      <c r="M234" s="522"/>
      <c r="N234" s="522"/>
      <c r="O234" s="522"/>
      <c r="P234" s="522"/>
      <c r="Q234" s="522"/>
      <c r="R234" s="522"/>
      <c r="S234" s="522"/>
      <c r="T234" s="522"/>
      <c r="U234" s="522"/>
      <c r="V234" s="522"/>
      <c r="W234" s="522"/>
      <c r="X234" s="522"/>
      <c r="Y234" s="522"/>
      <c r="Z234" s="522"/>
    </row>
    <row r="235" spans="1:26" s="523" customFormat="1" ht="15" hidden="1" customHeight="1" outlineLevel="1" x14ac:dyDescent="0.2">
      <c r="A235" s="529"/>
      <c r="B235" s="530" t="s">
        <v>695</v>
      </c>
      <c r="C235" s="531"/>
      <c r="D235" s="532" t="s">
        <v>38</v>
      </c>
      <c r="E235" s="529">
        <v>2</v>
      </c>
      <c r="F235" s="28">
        <v>1.35</v>
      </c>
      <c r="G235" s="532"/>
      <c r="H235" s="28">
        <v>2.6</v>
      </c>
      <c r="I235" s="532">
        <f t="shared" si="10"/>
        <v>7.0200000000000005</v>
      </c>
      <c r="J235" s="594"/>
      <c r="K235" s="522"/>
      <c r="L235" s="522"/>
      <c r="M235" s="522"/>
      <c r="N235" s="522"/>
      <c r="O235" s="522"/>
      <c r="P235" s="522"/>
      <c r="Q235" s="522"/>
      <c r="R235" s="522"/>
      <c r="S235" s="522"/>
      <c r="T235" s="522"/>
      <c r="U235" s="522"/>
      <c r="V235" s="522"/>
      <c r="W235" s="522"/>
      <c r="X235" s="522"/>
      <c r="Y235" s="522"/>
      <c r="Z235" s="522"/>
    </row>
    <row r="236" spans="1:26" s="523" customFormat="1" ht="15" hidden="1" customHeight="1" outlineLevel="1" x14ac:dyDescent="0.2">
      <c r="A236" s="529"/>
      <c r="B236" s="530" t="s">
        <v>696</v>
      </c>
      <c r="C236" s="531"/>
      <c r="D236" s="532" t="s">
        <v>38</v>
      </c>
      <c r="E236" s="529">
        <v>2</v>
      </c>
      <c r="F236" s="28">
        <v>3.35</v>
      </c>
      <c r="G236" s="532"/>
      <c r="H236" s="28">
        <v>2.2999999999999998</v>
      </c>
      <c r="I236" s="532">
        <f t="shared" si="10"/>
        <v>15.409999999999998</v>
      </c>
      <c r="J236" s="534"/>
      <c r="K236" s="522"/>
      <c r="L236" s="522"/>
      <c r="M236" s="522"/>
      <c r="N236" s="522"/>
      <c r="O236" s="522"/>
      <c r="P236" s="522"/>
      <c r="Q236" s="522"/>
      <c r="R236" s="522"/>
      <c r="S236" s="522"/>
      <c r="T236" s="522"/>
      <c r="U236" s="522"/>
      <c r="V236" s="522"/>
      <c r="W236" s="522"/>
      <c r="X236" s="522"/>
      <c r="Y236" s="522"/>
      <c r="Z236" s="522"/>
    </row>
    <row r="237" spans="1:26" s="523" customFormat="1" ht="15" hidden="1" customHeight="1" outlineLevel="1" x14ac:dyDescent="0.2">
      <c r="A237" s="529"/>
      <c r="B237" s="530" t="s">
        <v>697</v>
      </c>
      <c r="C237" s="531"/>
      <c r="D237" s="532" t="s">
        <v>38</v>
      </c>
      <c r="E237" s="529">
        <v>2</v>
      </c>
      <c r="F237" s="28">
        <v>1.4</v>
      </c>
      <c r="G237" s="532"/>
      <c r="H237" s="28">
        <v>2.6</v>
      </c>
      <c r="I237" s="532">
        <f t="shared" si="10"/>
        <v>7.2799999999999994</v>
      </c>
      <c r="J237" s="534"/>
      <c r="K237" s="522"/>
      <c r="L237" s="522"/>
      <c r="M237" s="522"/>
      <c r="N237" s="522"/>
      <c r="O237" s="522"/>
      <c r="P237" s="522"/>
      <c r="Q237" s="522"/>
      <c r="R237" s="522"/>
      <c r="S237" s="522"/>
      <c r="T237" s="522"/>
      <c r="U237" s="522"/>
      <c r="V237" s="522"/>
      <c r="W237" s="522"/>
      <c r="X237" s="522"/>
      <c r="Y237" s="522"/>
      <c r="Z237" s="522"/>
    </row>
    <row r="238" spans="1:26" s="523" customFormat="1" ht="15" hidden="1" customHeight="1" outlineLevel="1" x14ac:dyDescent="0.2">
      <c r="A238" s="529"/>
      <c r="B238" s="530" t="s">
        <v>698</v>
      </c>
      <c r="C238" s="531"/>
      <c r="D238" s="532" t="s">
        <v>38</v>
      </c>
      <c r="E238" s="529">
        <v>2</v>
      </c>
      <c r="F238" s="28">
        <v>1.6</v>
      </c>
      <c r="G238" s="532"/>
      <c r="H238" s="28">
        <v>1</v>
      </c>
      <c r="I238" s="532">
        <f t="shared" ref="I238:I245" si="11">PRODUCT(E238:H238)</f>
        <v>3.2</v>
      </c>
      <c r="J238" s="534"/>
      <c r="K238" s="522"/>
      <c r="L238" s="522"/>
      <c r="M238" s="522"/>
      <c r="N238" s="522"/>
      <c r="O238" s="522"/>
      <c r="P238" s="522"/>
      <c r="Q238" s="522"/>
      <c r="R238" s="522"/>
      <c r="S238" s="522"/>
      <c r="T238" s="522"/>
      <c r="U238" s="522"/>
      <c r="V238" s="522"/>
      <c r="W238" s="522"/>
      <c r="X238" s="522"/>
      <c r="Y238" s="522"/>
      <c r="Z238" s="522"/>
    </row>
    <row r="239" spans="1:26" s="523" customFormat="1" ht="15" hidden="1" customHeight="1" outlineLevel="1" x14ac:dyDescent="0.2">
      <c r="A239" s="529"/>
      <c r="B239" s="530" t="s">
        <v>699</v>
      </c>
      <c r="C239" s="531"/>
      <c r="D239" s="532" t="s">
        <v>38</v>
      </c>
      <c r="E239" s="529">
        <v>2</v>
      </c>
      <c r="F239" s="28">
        <v>2</v>
      </c>
      <c r="G239" s="532"/>
      <c r="H239" s="28">
        <v>2.6</v>
      </c>
      <c r="I239" s="532">
        <f t="shared" si="11"/>
        <v>10.4</v>
      </c>
      <c r="J239" s="534"/>
      <c r="K239" s="522"/>
      <c r="L239" s="522"/>
      <c r="M239" s="522"/>
      <c r="N239" s="522"/>
      <c r="O239" s="522"/>
      <c r="P239" s="522"/>
      <c r="Q239" s="522"/>
      <c r="R239" s="522"/>
      <c r="S239" s="522"/>
      <c r="T239" s="522"/>
      <c r="U239" s="522"/>
      <c r="V239" s="522"/>
      <c r="W239" s="522"/>
      <c r="X239" s="522"/>
      <c r="Y239" s="522"/>
      <c r="Z239" s="522"/>
    </row>
    <row r="240" spans="1:26" s="523" customFormat="1" ht="15" hidden="1" customHeight="1" outlineLevel="1" x14ac:dyDescent="0.2">
      <c r="A240" s="529"/>
      <c r="B240" s="530" t="s">
        <v>700</v>
      </c>
      <c r="C240" s="531"/>
      <c r="D240" s="532" t="s">
        <v>38</v>
      </c>
      <c r="E240" s="529">
        <v>2</v>
      </c>
      <c r="F240" s="28">
        <v>0.7</v>
      </c>
      <c r="G240" s="532"/>
      <c r="H240" s="28">
        <v>2.6</v>
      </c>
      <c r="I240" s="532">
        <f t="shared" si="11"/>
        <v>3.6399999999999997</v>
      </c>
      <c r="J240" s="534"/>
      <c r="K240" s="522"/>
      <c r="L240" s="522"/>
      <c r="M240" s="522"/>
      <c r="N240" s="522"/>
      <c r="O240" s="522"/>
      <c r="P240" s="522"/>
      <c r="Q240" s="522"/>
      <c r="R240" s="522"/>
      <c r="S240" s="522"/>
      <c r="T240" s="522"/>
      <c r="U240" s="522"/>
      <c r="V240" s="522"/>
      <c r="W240" s="522"/>
      <c r="X240" s="522"/>
      <c r="Y240" s="522"/>
      <c r="Z240" s="522"/>
    </row>
    <row r="241" spans="1:26" s="523" customFormat="1" ht="15" hidden="1" customHeight="1" outlineLevel="1" x14ac:dyDescent="0.2">
      <c r="A241" s="529"/>
      <c r="B241" s="530" t="s">
        <v>701</v>
      </c>
      <c r="C241" s="531"/>
      <c r="D241" s="532" t="s">
        <v>38</v>
      </c>
      <c r="E241" s="529">
        <v>2</v>
      </c>
      <c r="F241" s="28">
        <v>0.8</v>
      </c>
      <c r="G241" s="532"/>
      <c r="H241" s="28">
        <v>2.2000000000000002</v>
      </c>
      <c r="I241" s="532">
        <f t="shared" si="11"/>
        <v>3.5200000000000005</v>
      </c>
      <c r="J241" s="534"/>
      <c r="K241" s="522"/>
      <c r="L241" s="522"/>
      <c r="M241" s="522"/>
      <c r="N241" s="522"/>
      <c r="O241" s="522"/>
      <c r="P241" s="522"/>
      <c r="Q241" s="522"/>
      <c r="R241" s="522"/>
      <c r="S241" s="522"/>
      <c r="T241" s="522"/>
      <c r="U241" s="522"/>
      <c r="V241" s="522"/>
      <c r="W241" s="522"/>
      <c r="X241" s="522"/>
      <c r="Y241" s="522"/>
      <c r="Z241" s="522"/>
    </row>
    <row r="242" spans="1:26" s="523" customFormat="1" ht="15" hidden="1" customHeight="1" outlineLevel="1" x14ac:dyDescent="0.2">
      <c r="A242" s="529"/>
      <c r="B242" s="530" t="s">
        <v>702</v>
      </c>
      <c r="C242" s="531"/>
      <c r="D242" s="532" t="s">
        <v>38</v>
      </c>
      <c r="E242" s="529">
        <v>2</v>
      </c>
      <c r="F242" s="28">
        <v>1.3493999999999999</v>
      </c>
      <c r="G242" s="532"/>
      <c r="H242" s="28">
        <v>1</v>
      </c>
      <c r="I242" s="532">
        <f t="shared" si="11"/>
        <v>2.6987999999999999</v>
      </c>
      <c r="J242" s="534"/>
      <c r="K242" s="522"/>
      <c r="L242" s="522"/>
      <c r="M242" s="522"/>
      <c r="N242" s="522"/>
      <c r="O242" s="522"/>
      <c r="P242" s="522"/>
      <c r="Q242" s="522"/>
      <c r="R242" s="522"/>
      <c r="S242" s="522"/>
      <c r="T242" s="522"/>
      <c r="U242" s="522"/>
      <c r="V242" s="522"/>
      <c r="W242" s="522"/>
      <c r="X242" s="522"/>
      <c r="Y242" s="522"/>
      <c r="Z242" s="522"/>
    </row>
    <row r="243" spans="1:26" s="523" customFormat="1" ht="15" hidden="1" customHeight="1" outlineLevel="1" x14ac:dyDescent="0.2">
      <c r="A243" s="529"/>
      <c r="B243" s="530" t="s">
        <v>703</v>
      </c>
      <c r="C243" s="531"/>
      <c r="D243" s="532" t="s">
        <v>38</v>
      </c>
      <c r="E243" s="529">
        <v>2</v>
      </c>
      <c r="F243" s="28">
        <v>0.4491</v>
      </c>
      <c r="G243" s="532"/>
      <c r="H243" s="28">
        <v>2.6</v>
      </c>
      <c r="I243" s="532">
        <f t="shared" si="11"/>
        <v>2.3353200000000003</v>
      </c>
      <c r="J243" s="534"/>
      <c r="K243" s="522"/>
      <c r="L243" s="522"/>
      <c r="M243" s="522"/>
      <c r="N243" s="522"/>
      <c r="O243" s="522"/>
      <c r="P243" s="522"/>
      <c r="Q243" s="522"/>
      <c r="R243" s="522"/>
      <c r="S243" s="522"/>
      <c r="T243" s="522"/>
      <c r="U243" s="522"/>
      <c r="V243" s="522"/>
      <c r="W243" s="522"/>
      <c r="X243" s="522"/>
      <c r="Y243" s="522"/>
      <c r="Z243" s="522"/>
    </row>
    <row r="244" spans="1:26" s="523" customFormat="1" ht="15" hidden="1" customHeight="1" outlineLevel="1" x14ac:dyDescent="0.2">
      <c r="A244" s="529" t="s">
        <v>628</v>
      </c>
      <c r="B244" s="530" t="s">
        <v>704</v>
      </c>
      <c r="C244" s="531"/>
      <c r="D244" s="532" t="s">
        <v>38</v>
      </c>
      <c r="E244" s="529">
        <v>2</v>
      </c>
      <c r="F244" s="28">
        <v>0.9</v>
      </c>
      <c r="G244" s="532"/>
      <c r="H244" s="28">
        <v>2.2999999999999998</v>
      </c>
      <c r="I244" s="532">
        <f t="shared" si="11"/>
        <v>4.1399999999999997</v>
      </c>
      <c r="J244" s="534"/>
      <c r="K244" s="522"/>
      <c r="L244" s="522"/>
      <c r="M244" s="522"/>
      <c r="N244" s="522"/>
      <c r="O244" s="522"/>
      <c r="P244" s="522"/>
      <c r="Q244" s="522"/>
      <c r="R244" s="522"/>
      <c r="S244" s="522"/>
      <c r="T244" s="522"/>
      <c r="U244" s="522"/>
      <c r="V244" s="522"/>
      <c r="W244" s="522"/>
      <c r="X244" s="522"/>
      <c r="Y244" s="522"/>
      <c r="Z244" s="522"/>
    </row>
    <row r="245" spans="1:26" s="523" customFormat="1" ht="15" hidden="1" customHeight="1" outlineLevel="1" x14ac:dyDescent="0.2">
      <c r="A245" s="529"/>
      <c r="B245" s="530" t="s">
        <v>705</v>
      </c>
      <c r="C245" s="531"/>
      <c r="D245" s="532" t="s">
        <v>38</v>
      </c>
      <c r="E245" s="529">
        <v>2</v>
      </c>
      <c r="F245" s="28">
        <v>1.05</v>
      </c>
      <c r="G245" s="532"/>
      <c r="H245" s="28">
        <v>2.2999999999999998</v>
      </c>
      <c r="I245" s="532">
        <f t="shared" si="11"/>
        <v>4.83</v>
      </c>
      <c r="J245" s="534"/>
      <c r="K245" s="522"/>
      <c r="L245" s="522"/>
      <c r="M245" s="522"/>
      <c r="N245" s="522"/>
      <c r="O245" s="522"/>
      <c r="P245" s="522"/>
      <c r="Q245" s="522"/>
      <c r="R245" s="522"/>
      <c r="S245" s="522"/>
      <c r="T245" s="522"/>
      <c r="U245" s="522"/>
      <c r="V245" s="522"/>
      <c r="W245" s="522"/>
      <c r="X245" s="522"/>
      <c r="Y245" s="522"/>
      <c r="Z245" s="522"/>
    </row>
    <row r="246" spans="1:26" s="523" customFormat="1" ht="15" hidden="1" customHeight="1" outlineLevel="1" x14ac:dyDescent="0.2">
      <c r="A246" s="529"/>
      <c r="B246" s="530" t="s">
        <v>706</v>
      </c>
      <c r="C246" s="531"/>
      <c r="D246" s="532" t="s">
        <v>38</v>
      </c>
      <c r="E246" s="529">
        <v>2</v>
      </c>
      <c r="F246" s="28">
        <v>1.1000000000000001</v>
      </c>
      <c r="G246" s="532"/>
      <c r="H246" s="28">
        <v>2.6</v>
      </c>
      <c r="I246" s="532">
        <f t="shared" si="10"/>
        <v>5.7200000000000006</v>
      </c>
      <c r="J246" s="534"/>
      <c r="K246" s="522"/>
      <c r="L246" s="522"/>
      <c r="M246" s="522"/>
      <c r="N246" s="522"/>
      <c r="O246" s="522"/>
      <c r="P246" s="522"/>
      <c r="Q246" s="522"/>
      <c r="R246" s="522"/>
      <c r="S246" s="522"/>
      <c r="T246" s="522"/>
      <c r="U246" s="522"/>
      <c r="V246" s="522"/>
      <c r="W246" s="522"/>
      <c r="X246" s="522"/>
      <c r="Y246" s="522"/>
      <c r="Z246" s="522"/>
    </row>
    <row r="247" spans="1:26" s="523" customFormat="1" ht="15" hidden="1" customHeight="1" outlineLevel="1" x14ac:dyDescent="0.2">
      <c r="A247" s="529"/>
      <c r="B247" s="530" t="s">
        <v>707</v>
      </c>
      <c r="C247" s="531"/>
      <c r="D247" s="532" t="s">
        <v>38</v>
      </c>
      <c r="E247" s="529">
        <v>2</v>
      </c>
      <c r="F247" s="28">
        <v>0.5</v>
      </c>
      <c r="G247" s="532"/>
      <c r="H247" s="28">
        <v>2.6</v>
      </c>
      <c r="I247" s="532">
        <f t="shared" si="10"/>
        <v>2.6</v>
      </c>
      <c r="J247" s="534"/>
      <c r="K247" s="522"/>
      <c r="L247" s="522"/>
      <c r="M247" s="522"/>
      <c r="N247" s="522"/>
      <c r="O247" s="522"/>
      <c r="P247" s="522"/>
      <c r="Q247" s="522"/>
      <c r="R247" s="522"/>
      <c r="S247" s="522"/>
      <c r="T247" s="522"/>
      <c r="U247" s="522"/>
      <c r="V247" s="522"/>
      <c r="W247" s="522"/>
      <c r="X247" s="522"/>
      <c r="Y247" s="522"/>
      <c r="Z247" s="522"/>
    </row>
    <row r="248" spans="1:26" s="523" customFormat="1" ht="15" hidden="1" customHeight="1" outlineLevel="1" x14ac:dyDescent="0.2">
      <c r="A248" s="529"/>
      <c r="B248" s="530" t="s">
        <v>708</v>
      </c>
      <c r="C248" s="531"/>
      <c r="D248" s="532" t="s">
        <v>38</v>
      </c>
      <c r="E248" s="529">
        <v>2</v>
      </c>
      <c r="F248" s="28">
        <v>1.65</v>
      </c>
      <c r="G248" s="532"/>
      <c r="H248" s="28">
        <v>2.6</v>
      </c>
      <c r="I248" s="532">
        <f t="shared" si="10"/>
        <v>8.58</v>
      </c>
      <c r="J248" s="534"/>
      <c r="K248" s="522"/>
      <c r="L248" s="522"/>
      <c r="M248" s="522"/>
      <c r="N248" s="522"/>
      <c r="O248" s="522"/>
      <c r="P248" s="522"/>
      <c r="Q248" s="522"/>
      <c r="R248" s="522"/>
      <c r="S248" s="522"/>
      <c r="T248" s="522"/>
      <c r="U248" s="522"/>
      <c r="V248" s="522"/>
      <c r="W248" s="522"/>
      <c r="X248" s="522"/>
      <c r="Y248" s="522"/>
      <c r="Z248" s="522"/>
    </row>
    <row r="249" spans="1:26" s="523" customFormat="1" ht="15" hidden="1" customHeight="1" outlineLevel="1" x14ac:dyDescent="0.2">
      <c r="A249" s="529"/>
      <c r="B249" s="530" t="s">
        <v>709</v>
      </c>
      <c r="C249" s="531"/>
      <c r="D249" s="532" t="s">
        <v>38</v>
      </c>
      <c r="E249" s="529">
        <v>1</v>
      </c>
      <c r="F249" s="28">
        <v>0.6</v>
      </c>
      <c r="G249" s="532"/>
      <c r="H249" s="28">
        <v>2.6</v>
      </c>
      <c r="I249" s="532">
        <f t="shared" si="10"/>
        <v>1.56</v>
      </c>
      <c r="J249" s="534"/>
      <c r="K249" s="522"/>
      <c r="L249" s="522"/>
      <c r="M249" s="522"/>
      <c r="N249" s="522"/>
      <c r="O249" s="522"/>
      <c r="P249" s="522"/>
      <c r="Q249" s="522"/>
      <c r="R249" s="522"/>
      <c r="S249" s="522"/>
      <c r="T249" s="522"/>
      <c r="U249" s="522"/>
      <c r="V249" s="522"/>
      <c r="W249" s="522"/>
      <c r="X249" s="522"/>
      <c r="Y249" s="522"/>
      <c r="Z249" s="522"/>
    </row>
    <row r="250" spans="1:26" s="523" customFormat="1" ht="15" hidden="1" customHeight="1" outlineLevel="1" x14ac:dyDescent="0.2">
      <c r="A250" s="529"/>
      <c r="B250" s="530" t="s">
        <v>710</v>
      </c>
      <c r="C250" s="531"/>
      <c r="D250" s="532" t="s">
        <v>38</v>
      </c>
      <c r="E250" s="529">
        <v>1</v>
      </c>
      <c r="F250" s="28">
        <v>0.55000000000000004</v>
      </c>
      <c r="G250" s="532"/>
      <c r="H250" s="28">
        <v>2.6</v>
      </c>
      <c r="I250" s="532">
        <f t="shared" si="10"/>
        <v>1.4300000000000002</v>
      </c>
      <c r="J250" s="594"/>
      <c r="K250" s="522"/>
      <c r="L250" s="522"/>
      <c r="M250" s="522"/>
      <c r="N250" s="522"/>
      <c r="O250" s="522"/>
      <c r="P250" s="522"/>
      <c r="Q250" s="522"/>
      <c r="R250" s="522"/>
      <c r="S250" s="522"/>
      <c r="T250" s="522"/>
      <c r="U250" s="522"/>
      <c r="V250" s="522"/>
      <c r="W250" s="522"/>
      <c r="X250" s="522"/>
      <c r="Y250" s="522"/>
      <c r="Z250" s="522"/>
    </row>
    <row r="251" spans="1:26" s="523" customFormat="1" ht="15" hidden="1" customHeight="1" outlineLevel="1" x14ac:dyDescent="0.2">
      <c r="A251" s="529"/>
      <c r="B251" s="530" t="s">
        <v>711</v>
      </c>
      <c r="C251" s="531"/>
      <c r="D251" s="532" t="s">
        <v>38</v>
      </c>
      <c r="E251" s="529">
        <v>1</v>
      </c>
      <c r="F251" s="28">
        <v>0.55000000000000004</v>
      </c>
      <c r="G251" s="532"/>
      <c r="H251" s="28">
        <v>2.2000000000000002</v>
      </c>
      <c r="I251" s="532">
        <f t="shared" si="10"/>
        <v>1.2100000000000002</v>
      </c>
      <c r="J251" s="534"/>
      <c r="K251" s="522"/>
      <c r="L251" s="522"/>
      <c r="M251" s="522"/>
      <c r="N251" s="522"/>
      <c r="O251" s="522"/>
      <c r="P251" s="522"/>
      <c r="Q251" s="522"/>
      <c r="R251" s="522"/>
      <c r="S251" s="522"/>
      <c r="T251" s="522"/>
      <c r="U251" s="522"/>
      <c r="V251" s="522"/>
      <c r="W251" s="522"/>
      <c r="X251" s="522"/>
      <c r="Y251" s="522"/>
      <c r="Z251" s="522"/>
    </row>
    <row r="252" spans="1:26" s="523" customFormat="1" ht="15" hidden="1" customHeight="1" outlineLevel="1" x14ac:dyDescent="0.2">
      <c r="A252" s="543"/>
      <c r="B252" s="530"/>
      <c r="C252" s="531"/>
      <c r="D252" s="532"/>
      <c r="E252" s="148"/>
      <c r="F252" s="134"/>
      <c r="G252" s="547"/>
      <c r="H252" s="134"/>
      <c r="I252" s="532"/>
      <c r="J252" s="546"/>
      <c r="K252" s="522"/>
      <c r="L252" s="522"/>
      <c r="M252" s="522"/>
      <c r="N252" s="522"/>
      <c r="O252" s="522"/>
      <c r="P252" s="522"/>
      <c r="Q252" s="522"/>
      <c r="R252" s="522"/>
      <c r="S252" s="522"/>
      <c r="T252" s="522"/>
      <c r="U252" s="522"/>
      <c r="V252" s="522"/>
      <c r="W252" s="522"/>
      <c r="X252" s="522"/>
      <c r="Y252" s="522"/>
      <c r="Z252" s="522"/>
    </row>
    <row r="253" spans="1:26" s="523" customFormat="1" ht="15" hidden="1" customHeight="1" outlineLevel="1" x14ac:dyDescent="0.2">
      <c r="A253" s="529" t="s">
        <v>628</v>
      </c>
      <c r="B253" s="530" t="s">
        <v>712</v>
      </c>
      <c r="C253" s="531"/>
      <c r="D253" s="532" t="s">
        <v>38</v>
      </c>
      <c r="E253" s="529">
        <v>1</v>
      </c>
      <c r="F253" s="28">
        <v>0.6</v>
      </c>
      <c r="G253" s="532"/>
      <c r="H253" s="28">
        <v>2.6</v>
      </c>
      <c r="I253" s="532">
        <f>PRODUCT(E253:H253)</f>
        <v>1.56</v>
      </c>
      <c r="J253" s="534"/>
      <c r="K253" s="522"/>
      <c r="L253" s="522"/>
      <c r="M253" s="522"/>
      <c r="N253" s="522"/>
      <c r="O253" s="522"/>
      <c r="P253" s="522"/>
      <c r="Q253" s="522"/>
      <c r="R253" s="522"/>
      <c r="S253" s="522"/>
      <c r="T253" s="522"/>
      <c r="U253" s="522"/>
      <c r="V253" s="522"/>
      <c r="W253" s="522"/>
      <c r="X253" s="522"/>
      <c r="Y253" s="522"/>
      <c r="Z253" s="522"/>
    </row>
    <row r="254" spans="1:26" s="523" customFormat="1" ht="15" hidden="1" customHeight="1" outlineLevel="1" x14ac:dyDescent="0.2">
      <c r="A254" s="529" t="s">
        <v>629</v>
      </c>
      <c r="B254" s="530" t="s">
        <v>713</v>
      </c>
      <c r="C254" s="531"/>
      <c r="D254" s="532" t="s">
        <v>38</v>
      </c>
      <c r="E254" s="529">
        <v>1</v>
      </c>
      <c r="F254" s="28">
        <v>4.4000000000000004</v>
      </c>
      <c r="G254" s="532"/>
      <c r="H254" s="28">
        <v>1</v>
      </c>
      <c r="I254" s="532">
        <f>PRODUCT(E254:H254)</f>
        <v>4.4000000000000004</v>
      </c>
      <c r="J254" s="534"/>
      <c r="K254" s="522"/>
      <c r="L254" s="522"/>
      <c r="M254" s="522"/>
      <c r="N254" s="522"/>
      <c r="O254" s="522"/>
      <c r="P254" s="522"/>
      <c r="Q254" s="522"/>
      <c r="R254" s="522"/>
      <c r="S254" s="522"/>
      <c r="T254" s="522"/>
      <c r="U254" s="522"/>
      <c r="V254" s="522"/>
      <c r="W254" s="522"/>
      <c r="X254" s="522"/>
      <c r="Y254" s="522"/>
      <c r="Z254" s="522"/>
    </row>
    <row r="255" spans="1:26" s="523" customFormat="1" ht="15" hidden="1" customHeight="1" outlineLevel="1" x14ac:dyDescent="0.2">
      <c r="A255" s="529" t="s">
        <v>628</v>
      </c>
      <c r="B255" s="530" t="s">
        <v>714</v>
      </c>
      <c r="C255" s="531"/>
      <c r="D255" s="532" t="s">
        <v>38</v>
      </c>
      <c r="E255" s="529">
        <v>1</v>
      </c>
      <c r="F255" s="28">
        <v>0.6</v>
      </c>
      <c r="G255" s="532"/>
      <c r="H255" s="28">
        <v>2.6</v>
      </c>
      <c r="I255" s="532">
        <f>PRODUCT(E255:H255)</f>
        <v>1.56</v>
      </c>
      <c r="J255" s="534"/>
      <c r="K255" s="522"/>
      <c r="L255" s="522"/>
      <c r="M255" s="522"/>
      <c r="N255" s="522"/>
      <c r="O255" s="522"/>
      <c r="P255" s="522"/>
      <c r="Q255" s="522"/>
      <c r="R255" s="522"/>
      <c r="S255" s="522"/>
      <c r="T255" s="522"/>
      <c r="U255" s="522"/>
      <c r="V255" s="522"/>
      <c r="W255" s="522"/>
      <c r="X255" s="522"/>
      <c r="Y255" s="522"/>
      <c r="Z255" s="522"/>
    </row>
    <row r="256" spans="1:26" s="523" customFormat="1" ht="15" hidden="1" customHeight="1" outlineLevel="1" x14ac:dyDescent="0.2">
      <c r="A256" s="529"/>
      <c r="B256" s="536"/>
      <c r="C256" s="536"/>
      <c r="D256" s="532"/>
      <c r="E256" s="529"/>
      <c r="F256" s="28"/>
      <c r="G256" s="532"/>
      <c r="H256" s="28"/>
      <c r="I256" s="532"/>
      <c r="J256" s="534"/>
      <c r="K256" s="522"/>
      <c r="L256" s="522"/>
      <c r="M256" s="522"/>
      <c r="N256" s="522"/>
      <c r="O256" s="522"/>
      <c r="P256" s="522"/>
      <c r="Q256" s="522"/>
      <c r="R256" s="522"/>
      <c r="S256" s="522"/>
      <c r="T256" s="522"/>
      <c r="U256" s="522"/>
      <c r="V256" s="522"/>
      <c r="W256" s="522"/>
      <c r="X256" s="522"/>
      <c r="Y256" s="522"/>
      <c r="Z256" s="522"/>
    </row>
    <row r="257" spans="1:26" s="523" customFormat="1" ht="15.75" customHeight="1" collapsed="1" x14ac:dyDescent="0.2">
      <c r="A257" s="526" t="s">
        <v>422</v>
      </c>
      <c r="B257" s="548" t="s">
        <v>630</v>
      </c>
      <c r="C257" s="527"/>
      <c r="D257" s="526" t="s">
        <v>408</v>
      </c>
      <c r="E257" s="526"/>
      <c r="F257" s="526"/>
      <c r="G257" s="526"/>
      <c r="H257" s="526"/>
      <c r="I257" s="526"/>
      <c r="J257" s="528">
        <f>SUM(I258:I283)</f>
        <v>82.660000000000011</v>
      </c>
      <c r="K257" s="522"/>
      <c r="L257" s="522"/>
      <c r="M257" s="522"/>
      <c r="N257" s="522"/>
      <c r="O257" s="522"/>
      <c r="P257" s="522"/>
      <c r="Q257" s="522"/>
      <c r="R257" s="522"/>
      <c r="S257" s="522"/>
      <c r="T257" s="522"/>
      <c r="U257" s="522"/>
      <c r="V257" s="522"/>
      <c r="W257" s="522"/>
      <c r="X257" s="522"/>
      <c r="Y257" s="522"/>
      <c r="Z257" s="522"/>
    </row>
    <row r="258" spans="1:26" s="523" customFormat="1" ht="15.75" hidden="1" customHeight="1" outlineLevel="1" x14ac:dyDescent="0.2">
      <c r="A258" s="28"/>
      <c r="B258" s="549" t="s">
        <v>72</v>
      </c>
      <c r="C258" s="536"/>
      <c r="D258" s="148" t="s">
        <v>38</v>
      </c>
      <c r="E258" s="148">
        <v>1</v>
      </c>
      <c r="F258" s="28" t="s">
        <v>402</v>
      </c>
      <c r="G258" s="28">
        <v>0.9</v>
      </c>
      <c r="H258" s="28">
        <v>2.6</v>
      </c>
      <c r="I258" s="532">
        <f t="shared" ref="I258:I264" si="12">PRODUCT(E258:H258)</f>
        <v>2.3400000000000003</v>
      </c>
      <c r="J258" s="550"/>
      <c r="K258" s="522"/>
      <c r="L258" s="522"/>
      <c r="M258" s="522"/>
      <c r="N258" s="522"/>
      <c r="O258" s="522"/>
      <c r="P258" s="522"/>
      <c r="Q258" s="522"/>
      <c r="R258" s="522"/>
      <c r="S258" s="522"/>
      <c r="T258" s="522"/>
      <c r="U258" s="522"/>
      <c r="V258" s="522"/>
      <c r="W258" s="522"/>
      <c r="X258" s="522"/>
      <c r="Y258" s="522"/>
      <c r="Z258" s="522"/>
    </row>
    <row r="259" spans="1:26" s="523" customFormat="1" ht="15.75" hidden="1" customHeight="1" outlineLevel="1" x14ac:dyDescent="0.2">
      <c r="A259" s="28"/>
      <c r="B259" s="549" t="s">
        <v>509</v>
      </c>
      <c r="C259" s="536"/>
      <c r="D259" s="148" t="s">
        <v>38</v>
      </c>
      <c r="E259" s="148">
        <v>1</v>
      </c>
      <c r="F259" s="28" t="s">
        <v>402</v>
      </c>
      <c r="G259" s="28">
        <v>1.1499999999999999</v>
      </c>
      <c r="H259" s="28">
        <v>2.6</v>
      </c>
      <c r="I259" s="532">
        <f t="shared" si="12"/>
        <v>2.9899999999999998</v>
      </c>
      <c r="J259" s="551"/>
      <c r="K259" s="522"/>
      <c r="L259" s="522"/>
      <c r="M259" s="522"/>
      <c r="N259" s="522"/>
      <c r="O259" s="522"/>
      <c r="P259" s="522"/>
      <c r="Q259" s="522"/>
      <c r="R259" s="522"/>
      <c r="S259" s="522"/>
      <c r="T259" s="522"/>
      <c r="U259" s="522"/>
      <c r="V259" s="522"/>
      <c r="W259" s="522"/>
      <c r="X259" s="522"/>
      <c r="Y259" s="522"/>
      <c r="Z259" s="522"/>
    </row>
    <row r="260" spans="1:26" s="523" customFormat="1" ht="15.75" hidden="1" customHeight="1" outlineLevel="1" x14ac:dyDescent="0.2">
      <c r="A260" s="28"/>
      <c r="B260" s="549" t="s">
        <v>388</v>
      </c>
      <c r="C260" s="536"/>
      <c r="D260" s="148" t="s">
        <v>38</v>
      </c>
      <c r="E260" s="148">
        <v>1</v>
      </c>
      <c r="F260" s="28" t="s">
        <v>402</v>
      </c>
      <c r="G260" s="28">
        <v>0.8</v>
      </c>
      <c r="H260" s="28">
        <v>2.6</v>
      </c>
      <c r="I260" s="532">
        <f t="shared" si="12"/>
        <v>2.08</v>
      </c>
      <c r="J260" s="551"/>
      <c r="K260" s="522"/>
      <c r="L260" s="522"/>
      <c r="M260" s="522"/>
      <c r="N260" s="522"/>
      <c r="O260" s="522"/>
      <c r="P260" s="522"/>
      <c r="Q260" s="522"/>
      <c r="R260" s="522"/>
      <c r="S260" s="522"/>
      <c r="T260" s="522"/>
      <c r="U260" s="522"/>
      <c r="V260" s="522"/>
      <c r="W260" s="522"/>
      <c r="X260" s="522"/>
      <c r="Y260" s="522"/>
      <c r="Z260" s="522"/>
    </row>
    <row r="261" spans="1:26" s="523" customFormat="1" ht="15.75" hidden="1" customHeight="1" outlineLevel="1" x14ac:dyDescent="0.2">
      <c r="A261" s="28"/>
      <c r="B261" s="549" t="s">
        <v>517</v>
      </c>
      <c r="C261" s="536"/>
      <c r="D261" s="148" t="s">
        <v>38</v>
      </c>
      <c r="E261" s="148">
        <v>1</v>
      </c>
      <c r="F261" s="28" t="s">
        <v>402</v>
      </c>
      <c r="G261" s="28">
        <v>0.9</v>
      </c>
      <c r="H261" s="28">
        <v>2.6</v>
      </c>
      <c r="I261" s="532">
        <f t="shared" si="12"/>
        <v>2.3400000000000003</v>
      </c>
      <c r="J261" s="551"/>
      <c r="K261" s="522"/>
      <c r="L261" s="522"/>
      <c r="M261" s="522"/>
      <c r="N261" s="522"/>
      <c r="O261" s="522"/>
      <c r="P261" s="522"/>
      <c r="Q261" s="522"/>
      <c r="R261" s="522"/>
      <c r="S261" s="522"/>
      <c r="T261" s="522"/>
      <c r="U261" s="522"/>
      <c r="V261" s="522"/>
      <c r="W261" s="522"/>
      <c r="X261" s="522"/>
      <c r="Y261" s="522"/>
      <c r="Z261" s="522"/>
    </row>
    <row r="262" spans="1:26" s="523" customFormat="1" ht="15.75" hidden="1" customHeight="1" outlineLevel="1" x14ac:dyDescent="0.2">
      <c r="A262" s="28"/>
      <c r="B262" s="549" t="s">
        <v>652</v>
      </c>
      <c r="C262" s="536"/>
      <c r="D262" s="148" t="s">
        <v>38</v>
      </c>
      <c r="E262" s="148">
        <v>1</v>
      </c>
      <c r="F262" s="28" t="s">
        <v>402</v>
      </c>
      <c r="G262" s="28">
        <v>0.8</v>
      </c>
      <c r="H262" s="28">
        <v>2.6</v>
      </c>
      <c r="I262" s="532">
        <f t="shared" si="12"/>
        <v>2.08</v>
      </c>
      <c r="J262" s="551"/>
      <c r="K262" s="522"/>
      <c r="L262" s="522"/>
      <c r="M262" s="522"/>
      <c r="N262" s="522"/>
      <c r="O262" s="522"/>
      <c r="P262" s="522"/>
      <c r="Q262" s="522"/>
      <c r="R262" s="522"/>
      <c r="S262" s="522"/>
      <c r="T262" s="522"/>
      <c r="U262" s="522"/>
      <c r="V262" s="522"/>
      <c r="W262" s="522"/>
      <c r="X262" s="522"/>
      <c r="Y262" s="522"/>
      <c r="Z262" s="522"/>
    </row>
    <row r="263" spans="1:26" s="523" customFormat="1" ht="15.75" hidden="1" customHeight="1" outlineLevel="1" x14ac:dyDescent="0.2">
      <c r="A263" s="28"/>
      <c r="B263" s="549" t="s">
        <v>653</v>
      </c>
      <c r="C263" s="536"/>
      <c r="D263" s="148" t="s">
        <v>38</v>
      </c>
      <c r="E263" s="148">
        <v>1</v>
      </c>
      <c r="F263" s="28" t="s">
        <v>402</v>
      </c>
      <c r="G263" s="28">
        <v>0.9</v>
      </c>
      <c r="H263" s="28">
        <v>2.6</v>
      </c>
      <c r="I263" s="532">
        <f t="shared" si="12"/>
        <v>2.3400000000000003</v>
      </c>
      <c r="J263" s="551"/>
      <c r="K263" s="522"/>
      <c r="L263" s="522"/>
      <c r="M263" s="522"/>
      <c r="N263" s="522"/>
      <c r="O263" s="522"/>
      <c r="P263" s="522"/>
      <c r="Q263" s="522"/>
      <c r="R263" s="522"/>
      <c r="S263" s="522"/>
      <c r="T263" s="522"/>
      <c r="U263" s="522"/>
      <c r="V263" s="522"/>
      <c r="W263" s="522"/>
      <c r="X263" s="522"/>
      <c r="Y263" s="522"/>
      <c r="Z263" s="522"/>
    </row>
    <row r="264" spans="1:26" s="523" customFormat="1" ht="15.75" hidden="1" customHeight="1" outlineLevel="1" x14ac:dyDescent="0.2">
      <c r="A264" s="28"/>
      <c r="B264" s="549" t="s">
        <v>654</v>
      </c>
      <c r="C264" s="536"/>
      <c r="D264" s="148" t="s">
        <v>38</v>
      </c>
      <c r="E264" s="148">
        <v>1</v>
      </c>
      <c r="F264" s="28" t="s">
        <v>402</v>
      </c>
      <c r="G264" s="28">
        <v>0.67500000000000004</v>
      </c>
      <c r="H264" s="28">
        <v>2.6</v>
      </c>
      <c r="I264" s="532">
        <f t="shared" si="12"/>
        <v>1.7550000000000001</v>
      </c>
      <c r="J264" s="551"/>
      <c r="K264" s="522"/>
      <c r="L264" s="522"/>
      <c r="M264" s="522"/>
      <c r="N264" s="522"/>
      <c r="O264" s="522"/>
      <c r="P264" s="522"/>
      <c r="Q264" s="522"/>
      <c r="R264" s="522"/>
      <c r="S264" s="522"/>
      <c r="T264" s="522"/>
      <c r="U264" s="522"/>
      <c r="V264" s="522"/>
      <c r="W264" s="522"/>
      <c r="X264" s="522"/>
      <c r="Y264" s="522"/>
      <c r="Z264" s="522"/>
    </row>
    <row r="265" spans="1:26" s="523" customFormat="1" ht="15.75" hidden="1" customHeight="1" outlineLevel="1" x14ac:dyDescent="0.2">
      <c r="A265" s="28"/>
      <c r="B265" s="549"/>
      <c r="C265" s="536"/>
      <c r="D265" s="148"/>
      <c r="E265" s="148"/>
      <c r="F265" s="28"/>
      <c r="G265" s="28"/>
      <c r="H265" s="28"/>
      <c r="I265" s="532"/>
      <c r="J265" s="551"/>
      <c r="K265" s="522"/>
      <c r="L265" s="522"/>
      <c r="M265" s="522"/>
      <c r="N265" s="522"/>
      <c r="O265" s="522"/>
      <c r="P265" s="522"/>
      <c r="Q265" s="522"/>
      <c r="R265" s="522"/>
      <c r="S265" s="522"/>
      <c r="T265" s="522"/>
      <c r="U265" s="522"/>
      <c r="V265" s="522"/>
      <c r="W265" s="522"/>
      <c r="X265" s="522"/>
      <c r="Y265" s="522"/>
      <c r="Z265" s="522"/>
    </row>
    <row r="266" spans="1:26" s="523" customFormat="1" ht="15.75" hidden="1" customHeight="1" outlineLevel="1" x14ac:dyDescent="0.2">
      <c r="A266" s="28"/>
      <c r="B266" s="549" t="s">
        <v>658</v>
      </c>
      <c r="C266" s="536"/>
      <c r="D266" s="148" t="s">
        <v>38</v>
      </c>
      <c r="E266" s="148">
        <v>1</v>
      </c>
      <c r="F266" s="28" t="s">
        <v>402</v>
      </c>
      <c r="G266" s="28">
        <v>0.25</v>
      </c>
      <c r="H266" s="28">
        <v>2.4</v>
      </c>
      <c r="I266" s="532">
        <f>PRODUCT(E266:H266)</f>
        <v>0.6</v>
      </c>
      <c r="J266" s="551"/>
      <c r="K266" s="522"/>
      <c r="L266" s="522"/>
      <c r="M266" s="522"/>
      <c r="N266" s="522"/>
      <c r="O266" s="522"/>
      <c r="P266" s="522"/>
      <c r="Q266" s="522"/>
      <c r="R266" s="522"/>
      <c r="S266" s="522"/>
      <c r="T266" s="522"/>
      <c r="U266" s="522"/>
      <c r="V266" s="522"/>
      <c r="W266" s="522"/>
      <c r="X266" s="522"/>
      <c r="Y266" s="522"/>
      <c r="Z266" s="522"/>
    </row>
    <row r="267" spans="1:26" s="523" customFormat="1" ht="15.75" hidden="1" customHeight="1" outlineLevel="1" x14ac:dyDescent="0.2">
      <c r="A267" s="28"/>
      <c r="B267" s="549" t="s">
        <v>659</v>
      </c>
      <c r="C267" s="536"/>
      <c r="D267" s="148" t="s">
        <v>38</v>
      </c>
      <c r="E267" s="148">
        <v>1</v>
      </c>
      <c r="F267" s="28" t="s">
        <v>402</v>
      </c>
      <c r="G267" s="28">
        <v>0.25</v>
      </c>
      <c r="H267" s="28">
        <v>2.4</v>
      </c>
      <c r="I267" s="532">
        <f>PRODUCT(E267:H267)</f>
        <v>0.6</v>
      </c>
      <c r="J267" s="551"/>
      <c r="K267" s="522"/>
      <c r="L267" s="522"/>
      <c r="M267" s="522"/>
      <c r="N267" s="522"/>
      <c r="O267" s="522"/>
      <c r="P267" s="522"/>
      <c r="Q267" s="522"/>
      <c r="R267" s="522"/>
      <c r="S267" s="522"/>
      <c r="T267" s="522"/>
      <c r="U267" s="522"/>
      <c r="V267" s="522"/>
      <c r="W267" s="522"/>
      <c r="X267" s="522"/>
      <c r="Y267" s="522"/>
      <c r="Z267" s="522"/>
    </row>
    <row r="268" spans="1:26" s="523" customFormat="1" ht="15.75" hidden="1" customHeight="1" outlineLevel="1" x14ac:dyDescent="0.2">
      <c r="A268" s="28"/>
      <c r="B268" s="549" t="s">
        <v>660</v>
      </c>
      <c r="C268" s="536"/>
      <c r="D268" s="148" t="s">
        <v>38</v>
      </c>
      <c r="E268" s="148">
        <v>1</v>
      </c>
      <c r="F268" s="28" t="s">
        <v>402</v>
      </c>
      <c r="G268" s="28">
        <v>0.15</v>
      </c>
      <c r="H268" s="28">
        <v>2.2999999999999998</v>
      </c>
      <c r="I268" s="532">
        <f>PRODUCT(E268:H268)</f>
        <v>0.34499999999999997</v>
      </c>
      <c r="J268" s="551"/>
      <c r="K268" s="522"/>
      <c r="L268" s="522"/>
      <c r="M268" s="522"/>
      <c r="N268" s="522"/>
      <c r="O268" s="522"/>
      <c r="P268" s="522"/>
      <c r="Q268" s="522"/>
      <c r="R268" s="522"/>
      <c r="S268" s="522"/>
      <c r="T268" s="522"/>
      <c r="U268" s="522"/>
      <c r="V268" s="522"/>
      <c r="W268" s="522"/>
      <c r="X268" s="522"/>
      <c r="Y268" s="522"/>
      <c r="Z268" s="522"/>
    </row>
    <row r="269" spans="1:26" s="523" customFormat="1" ht="15.75" hidden="1" customHeight="1" outlineLevel="1" x14ac:dyDescent="0.2">
      <c r="A269" s="28"/>
      <c r="B269" s="549" t="s">
        <v>661</v>
      </c>
      <c r="C269" s="536"/>
      <c r="D269" s="148" t="s">
        <v>38</v>
      </c>
      <c r="E269" s="148">
        <v>1</v>
      </c>
      <c r="F269" s="28" t="s">
        <v>402</v>
      </c>
      <c r="G269" s="28">
        <v>0.15</v>
      </c>
      <c r="H269" s="28">
        <v>2.2999999999999998</v>
      </c>
      <c r="I269" s="532">
        <f>PRODUCT(E269:H269)</f>
        <v>0.34499999999999997</v>
      </c>
      <c r="J269" s="551"/>
      <c r="K269" s="522"/>
      <c r="L269" s="522"/>
      <c r="M269" s="522"/>
      <c r="N269" s="522"/>
      <c r="O269" s="522"/>
      <c r="P269" s="522"/>
      <c r="Q269" s="522"/>
      <c r="R269" s="522"/>
      <c r="S269" s="522"/>
      <c r="T269" s="522"/>
      <c r="U269" s="522"/>
      <c r="V269" s="522"/>
      <c r="W269" s="522"/>
      <c r="X269" s="522"/>
      <c r="Y269" s="522"/>
      <c r="Z269" s="522"/>
    </row>
    <row r="270" spans="1:26" s="523" customFormat="1" ht="15.75" hidden="1" customHeight="1" outlineLevel="1" x14ac:dyDescent="0.2">
      <c r="A270" s="28"/>
      <c r="B270" s="358"/>
      <c r="C270" s="536"/>
      <c r="D270" s="148"/>
      <c r="E270" s="148"/>
      <c r="F270" s="28"/>
      <c r="G270" s="28"/>
      <c r="H270" s="28"/>
      <c r="I270" s="532"/>
      <c r="J270" s="551"/>
      <c r="K270" s="522"/>
      <c r="L270" s="522"/>
      <c r="M270" s="522"/>
      <c r="N270" s="522"/>
      <c r="O270" s="522"/>
      <c r="P270" s="522"/>
      <c r="Q270" s="522"/>
      <c r="R270" s="522"/>
      <c r="S270" s="522"/>
      <c r="T270" s="522"/>
      <c r="U270" s="522"/>
      <c r="V270" s="522"/>
      <c r="W270" s="522"/>
      <c r="X270" s="522"/>
      <c r="Y270" s="522"/>
      <c r="Z270" s="522"/>
    </row>
    <row r="271" spans="1:26" s="523" customFormat="1" ht="15.75" hidden="1" customHeight="1" outlineLevel="1" x14ac:dyDescent="0.2">
      <c r="A271" s="28"/>
      <c r="B271" s="358" t="s">
        <v>662</v>
      </c>
      <c r="C271" s="536"/>
      <c r="D271" s="148" t="s">
        <v>38</v>
      </c>
      <c r="E271" s="148">
        <v>1</v>
      </c>
      <c r="F271" s="28" t="s">
        <v>402</v>
      </c>
      <c r="G271" s="28">
        <v>0.4</v>
      </c>
      <c r="H271" s="28">
        <v>2.4</v>
      </c>
      <c r="I271" s="532">
        <f t="shared" ref="I271:I276" si="13">PRODUCT(E271:H271)</f>
        <v>0.96</v>
      </c>
      <c r="J271" s="551"/>
      <c r="K271" s="522"/>
      <c r="L271" s="522"/>
      <c r="M271" s="522"/>
      <c r="N271" s="522"/>
      <c r="O271" s="522"/>
      <c r="P271" s="522"/>
      <c r="Q271" s="522"/>
      <c r="R271" s="522"/>
      <c r="S271" s="522"/>
      <c r="T271" s="522"/>
      <c r="U271" s="522"/>
      <c r="V271" s="522"/>
      <c r="W271" s="522"/>
      <c r="X271" s="522"/>
      <c r="Y271" s="522"/>
      <c r="Z271" s="522"/>
    </row>
    <row r="272" spans="1:26" s="523" customFormat="1" ht="15.75" hidden="1" customHeight="1" outlineLevel="1" x14ac:dyDescent="0.2">
      <c r="A272" s="28"/>
      <c r="B272" s="358" t="s">
        <v>663</v>
      </c>
      <c r="C272" s="536"/>
      <c r="D272" s="148" t="s">
        <v>38</v>
      </c>
      <c r="E272" s="148">
        <v>1</v>
      </c>
      <c r="F272" s="28" t="s">
        <v>402</v>
      </c>
      <c r="G272" s="28">
        <v>0.4</v>
      </c>
      <c r="H272" s="28">
        <v>2.4</v>
      </c>
      <c r="I272" s="532">
        <f t="shared" si="13"/>
        <v>0.96</v>
      </c>
      <c r="J272" s="551"/>
      <c r="K272" s="522"/>
      <c r="L272" s="522"/>
      <c r="M272" s="522"/>
      <c r="N272" s="522"/>
      <c r="O272" s="522"/>
      <c r="P272" s="522"/>
      <c r="Q272" s="522"/>
      <c r="R272" s="522"/>
      <c r="S272" s="522"/>
      <c r="T272" s="522"/>
      <c r="U272" s="522"/>
      <c r="V272" s="522"/>
      <c r="W272" s="522"/>
      <c r="X272" s="522"/>
      <c r="Y272" s="522"/>
      <c r="Z272" s="522"/>
    </row>
    <row r="273" spans="1:26" s="523" customFormat="1" ht="15.75" hidden="1" customHeight="1" outlineLevel="1" x14ac:dyDescent="0.2">
      <c r="A273" s="28"/>
      <c r="B273" s="358" t="s">
        <v>664</v>
      </c>
      <c r="C273" s="536"/>
      <c r="D273" s="148" t="s">
        <v>38</v>
      </c>
      <c r="E273" s="148">
        <v>1</v>
      </c>
      <c r="F273" s="28" t="s">
        <v>402</v>
      </c>
      <c r="G273" s="28">
        <v>0.4</v>
      </c>
      <c r="H273" s="28">
        <v>2.4</v>
      </c>
      <c r="I273" s="532">
        <f t="shared" si="13"/>
        <v>0.96</v>
      </c>
      <c r="J273" s="551"/>
      <c r="K273" s="522"/>
      <c r="L273" s="522"/>
      <c r="M273" s="522"/>
      <c r="N273" s="522"/>
      <c r="O273" s="522"/>
      <c r="P273" s="522"/>
      <c r="Q273" s="522"/>
      <c r="R273" s="522"/>
      <c r="S273" s="522"/>
      <c r="T273" s="522"/>
      <c r="U273" s="522"/>
      <c r="V273" s="522"/>
      <c r="W273" s="522"/>
      <c r="X273" s="522"/>
      <c r="Y273" s="522"/>
      <c r="Z273" s="522"/>
    </row>
    <row r="274" spans="1:26" s="523" customFormat="1" ht="15.75" hidden="1" customHeight="1" outlineLevel="1" x14ac:dyDescent="0.2">
      <c r="A274" s="28"/>
      <c r="B274" s="358" t="s">
        <v>665</v>
      </c>
      <c r="C274" s="536"/>
      <c r="D274" s="148" t="s">
        <v>38</v>
      </c>
      <c r="E274" s="148">
        <v>1</v>
      </c>
      <c r="F274" s="28" t="s">
        <v>402</v>
      </c>
      <c r="G274" s="28">
        <v>0.4</v>
      </c>
      <c r="H274" s="28">
        <v>2.4</v>
      </c>
      <c r="I274" s="532">
        <f t="shared" si="13"/>
        <v>0.96</v>
      </c>
      <c r="J274" s="551"/>
      <c r="K274" s="522"/>
      <c r="L274" s="522"/>
      <c r="M274" s="522"/>
      <c r="N274" s="522"/>
      <c r="O274" s="522"/>
      <c r="P274" s="522"/>
      <c r="Q274" s="522"/>
      <c r="R274" s="522"/>
      <c r="S274" s="522"/>
      <c r="T274" s="522"/>
      <c r="U274" s="522"/>
      <c r="V274" s="522"/>
      <c r="W274" s="522"/>
      <c r="X274" s="522"/>
      <c r="Y274" s="522"/>
      <c r="Z274" s="522"/>
    </row>
    <row r="275" spans="1:26" s="523" customFormat="1" ht="15.75" hidden="1" customHeight="1" outlineLevel="1" x14ac:dyDescent="0.2">
      <c r="A275" s="28"/>
      <c r="B275" s="358" t="s">
        <v>666</v>
      </c>
      <c r="C275" s="536"/>
      <c r="D275" s="148" t="s">
        <v>38</v>
      </c>
      <c r="E275" s="148">
        <v>1</v>
      </c>
      <c r="F275" s="28" t="s">
        <v>402</v>
      </c>
      <c r="G275" s="28">
        <v>0.4</v>
      </c>
      <c r="H275" s="28">
        <v>2.4</v>
      </c>
      <c r="I275" s="532">
        <f t="shared" si="13"/>
        <v>0.96</v>
      </c>
      <c r="J275" s="551"/>
      <c r="K275" s="522"/>
      <c r="L275" s="522"/>
      <c r="M275" s="522"/>
      <c r="N275" s="522"/>
      <c r="O275" s="522"/>
      <c r="P275" s="522"/>
      <c r="Q275" s="522"/>
      <c r="R275" s="522"/>
      <c r="S275" s="522"/>
      <c r="T275" s="522"/>
      <c r="U275" s="522"/>
      <c r="V275" s="522"/>
      <c r="W275" s="522"/>
      <c r="X275" s="522"/>
      <c r="Y275" s="522"/>
      <c r="Z275" s="522"/>
    </row>
    <row r="276" spans="1:26" s="523" customFormat="1" ht="15.75" hidden="1" customHeight="1" outlineLevel="1" x14ac:dyDescent="0.2">
      <c r="A276" s="28"/>
      <c r="B276" s="358" t="s">
        <v>667</v>
      </c>
      <c r="C276" s="536"/>
      <c r="D276" s="148" t="s">
        <v>38</v>
      </c>
      <c r="E276" s="148">
        <v>1</v>
      </c>
      <c r="F276" s="28" t="s">
        <v>402</v>
      </c>
      <c r="G276" s="28">
        <v>0.4</v>
      </c>
      <c r="H276" s="28">
        <v>2.4</v>
      </c>
      <c r="I276" s="532">
        <f t="shared" si="13"/>
        <v>0.96</v>
      </c>
      <c r="J276" s="551"/>
      <c r="K276" s="522"/>
      <c r="L276" s="522"/>
      <c r="M276" s="522"/>
      <c r="N276" s="522"/>
      <c r="O276" s="522"/>
      <c r="P276" s="522"/>
      <c r="Q276" s="522"/>
      <c r="R276" s="522"/>
      <c r="S276" s="522"/>
      <c r="T276" s="522"/>
      <c r="U276" s="522"/>
      <c r="V276" s="522"/>
      <c r="W276" s="522"/>
      <c r="X276" s="522"/>
      <c r="Y276" s="522"/>
      <c r="Z276" s="522"/>
    </row>
    <row r="277" spans="1:26" s="523" customFormat="1" ht="15.75" hidden="1" customHeight="1" outlineLevel="1" x14ac:dyDescent="0.2">
      <c r="A277" s="28"/>
      <c r="B277" s="358"/>
      <c r="C277" s="536"/>
      <c r="D277" s="148"/>
      <c r="E277" s="148"/>
      <c r="F277" s="28"/>
      <c r="G277" s="28"/>
      <c r="H277" s="28"/>
      <c r="I277" s="532"/>
      <c r="J277" s="551"/>
      <c r="K277" s="522"/>
      <c r="L277" s="522"/>
      <c r="M277" s="522"/>
      <c r="N277" s="522"/>
      <c r="O277" s="522"/>
      <c r="P277" s="522"/>
      <c r="Q277" s="522"/>
      <c r="R277" s="522"/>
      <c r="S277" s="522"/>
      <c r="T277" s="522"/>
      <c r="U277" s="522"/>
      <c r="V277" s="522"/>
      <c r="W277" s="522"/>
      <c r="X277" s="522"/>
      <c r="Y277" s="522"/>
      <c r="Z277" s="522"/>
    </row>
    <row r="278" spans="1:26" s="523" customFormat="1" ht="15.75" hidden="1" customHeight="1" outlineLevel="1" x14ac:dyDescent="0.2">
      <c r="A278" s="28"/>
      <c r="B278" s="358" t="s">
        <v>45</v>
      </c>
      <c r="C278" s="536"/>
      <c r="D278" s="148" t="s">
        <v>38</v>
      </c>
      <c r="E278" s="148">
        <v>1</v>
      </c>
      <c r="F278" s="28" t="s">
        <v>402</v>
      </c>
      <c r="G278" s="28">
        <v>4</v>
      </c>
      <c r="H278" s="28">
        <v>2.6</v>
      </c>
      <c r="I278" s="532">
        <f>PRODUCT(E278:H278)</f>
        <v>10.4</v>
      </c>
      <c r="J278" s="551"/>
      <c r="K278" s="522"/>
      <c r="L278" s="522"/>
      <c r="M278" s="522"/>
      <c r="N278" s="522"/>
      <c r="O278" s="522"/>
      <c r="P278" s="522"/>
      <c r="Q278" s="522"/>
      <c r="R278" s="522"/>
      <c r="S278" s="522"/>
      <c r="T278" s="522"/>
      <c r="U278" s="522"/>
      <c r="V278" s="522"/>
      <c r="W278" s="522"/>
      <c r="X278" s="522"/>
      <c r="Y278" s="522"/>
      <c r="Z278" s="522"/>
    </row>
    <row r="279" spans="1:26" s="523" customFormat="1" ht="15.75" hidden="1" customHeight="1" outlineLevel="1" x14ac:dyDescent="0.2">
      <c r="A279" s="28"/>
      <c r="B279" s="358" t="s">
        <v>46</v>
      </c>
      <c r="C279" s="536"/>
      <c r="D279" s="148" t="s">
        <v>38</v>
      </c>
      <c r="E279" s="148">
        <v>1</v>
      </c>
      <c r="F279" s="28" t="s">
        <v>402</v>
      </c>
      <c r="G279" s="28">
        <v>5.65</v>
      </c>
      <c r="H279" s="28">
        <v>2.6</v>
      </c>
      <c r="I279" s="532">
        <f>PRODUCT(E279:H279)</f>
        <v>14.690000000000001</v>
      </c>
      <c r="J279" s="551"/>
      <c r="K279" s="522"/>
      <c r="L279" s="522"/>
      <c r="M279" s="522"/>
      <c r="N279" s="522"/>
      <c r="O279" s="522"/>
      <c r="P279" s="522"/>
      <c r="Q279" s="522"/>
      <c r="R279" s="522"/>
      <c r="S279" s="522"/>
      <c r="T279" s="522"/>
      <c r="U279" s="522"/>
      <c r="V279" s="522"/>
      <c r="W279" s="522"/>
      <c r="X279" s="522"/>
      <c r="Y279" s="522"/>
      <c r="Z279" s="522"/>
    </row>
    <row r="280" spans="1:26" s="523" customFormat="1" ht="15.75" hidden="1" customHeight="1" outlineLevel="1" x14ac:dyDescent="0.2">
      <c r="A280" s="28"/>
      <c r="B280" s="358" t="s">
        <v>504</v>
      </c>
      <c r="C280" s="536"/>
      <c r="D280" s="148" t="s">
        <v>38</v>
      </c>
      <c r="E280" s="148">
        <v>1</v>
      </c>
      <c r="F280" s="28" t="s">
        <v>402</v>
      </c>
      <c r="G280" s="28">
        <v>3.7</v>
      </c>
      <c r="H280" s="28">
        <v>2.6</v>
      </c>
      <c r="I280" s="532">
        <f>PRODUCT(E280:H280)</f>
        <v>9.620000000000001</v>
      </c>
      <c r="J280" s="551"/>
      <c r="K280" s="522"/>
      <c r="L280" s="522"/>
      <c r="M280" s="522"/>
      <c r="N280" s="522"/>
      <c r="O280" s="522"/>
      <c r="P280" s="522"/>
      <c r="Q280" s="522"/>
      <c r="R280" s="522"/>
      <c r="S280" s="522"/>
      <c r="T280" s="522"/>
      <c r="U280" s="522"/>
      <c r="V280" s="522"/>
      <c r="W280" s="522"/>
      <c r="X280" s="522"/>
      <c r="Y280" s="522"/>
      <c r="Z280" s="522"/>
    </row>
    <row r="281" spans="1:26" s="523" customFormat="1" ht="15.75" hidden="1" customHeight="1" outlineLevel="1" x14ac:dyDescent="0.2">
      <c r="A281" s="28"/>
      <c r="B281" s="358" t="s">
        <v>540</v>
      </c>
      <c r="C281" s="536"/>
      <c r="D281" s="148" t="s">
        <v>38</v>
      </c>
      <c r="E281" s="148">
        <v>1</v>
      </c>
      <c r="F281" s="28" t="s">
        <v>402</v>
      </c>
      <c r="G281" s="28">
        <v>8.1</v>
      </c>
      <c r="H281" s="28">
        <v>2.6</v>
      </c>
      <c r="I281" s="532">
        <f>PRODUCT(E281:H281)</f>
        <v>21.06</v>
      </c>
      <c r="J281" s="551"/>
      <c r="K281" s="522"/>
      <c r="L281" s="522"/>
      <c r="M281" s="522"/>
      <c r="N281" s="522"/>
      <c r="O281" s="522"/>
      <c r="P281" s="522"/>
      <c r="Q281" s="522"/>
      <c r="R281" s="522"/>
      <c r="S281" s="522"/>
      <c r="T281" s="522"/>
      <c r="U281" s="522"/>
      <c r="V281" s="522"/>
      <c r="W281" s="522"/>
      <c r="X281" s="522"/>
      <c r="Y281" s="522"/>
      <c r="Z281" s="522"/>
    </row>
    <row r="282" spans="1:26" s="523" customFormat="1" ht="15.75" hidden="1" customHeight="1" outlineLevel="1" x14ac:dyDescent="0.2">
      <c r="A282" s="28"/>
      <c r="B282" s="358" t="s">
        <v>541</v>
      </c>
      <c r="C282" s="536"/>
      <c r="D282" s="148" t="s">
        <v>38</v>
      </c>
      <c r="E282" s="148">
        <v>1</v>
      </c>
      <c r="F282" s="28" t="s">
        <v>402</v>
      </c>
      <c r="G282" s="28">
        <v>1.2749999999999999</v>
      </c>
      <c r="H282" s="28">
        <v>2.6</v>
      </c>
      <c r="I282" s="532">
        <f>PRODUCT(E282:H282)</f>
        <v>3.3149999999999999</v>
      </c>
      <c r="J282" s="551"/>
      <c r="K282" s="522"/>
      <c r="L282" s="522"/>
      <c r="M282" s="522"/>
      <c r="N282" s="522"/>
      <c r="O282" s="522"/>
      <c r="P282" s="522"/>
      <c r="Q282" s="522"/>
      <c r="R282" s="522"/>
      <c r="S282" s="522"/>
      <c r="T282" s="522"/>
      <c r="U282" s="522"/>
      <c r="V282" s="522"/>
      <c r="W282" s="522"/>
      <c r="X282" s="522"/>
      <c r="Y282" s="522"/>
      <c r="Z282" s="522"/>
    </row>
    <row r="283" spans="1:26" s="523" customFormat="1" ht="15.75" hidden="1" customHeight="1" outlineLevel="1" x14ac:dyDescent="0.2">
      <c r="A283" s="28"/>
      <c r="B283" s="358"/>
      <c r="C283" s="536"/>
      <c r="D283" s="148"/>
      <c r="E283" s="148"/>
      <c r="F283" s="28"/>
      <c r="G283" s="28"/>
      <c r="H283" s="28"/>
      <c r="I283" s="532"/>
      <c r="J283" s="551"/>
      <c r="K283" s="522"/>
      <c r="L283" s="522"/>
      <c r="M283" s="522"/>
      <c r="N283" s="522"/>
      <c r="O283" s="522"/>
      <c r="P283" s="522"/>
      <c r="Q283" s="522"/>
      <c r="R283" s="522"/>
      <c r="S283" s="522"/>
      <c r="T283" s="522"/>
      <c r="U283" s="522"/>
      <c r="V283" s="522"/>
      <c r="W283" s="522"/>
      <c r="X283" s="522"/>
      <c r="Y283" s="522"/>
      <c r="Z283" s="522"/>
    </row>
    <row r="284" spans="1:26" s="523" customFormat="1" ht="15.75" customHeight="1" collapsed="1" x14ac:dyDescent="0.2">
      <c r="A284" s="526" t="s">
        <v>423</v>
      </c>
      <c r="B284" s="548" t="s">
        <v>412</v>
      </c>
      <c r="C284" s="527"/>
      <c r="D284" s="526" t="s">
        <v>408</v>
      </c>
      <c r="E284" s="526"/>
      <c r="F284" s="526"/>
      <c r="G284" s="526"/>
      <c r="H284" s="526"/>
      <c r="I284" s="526"/>
      <c r="J284" s="528">
        <f>SUM(I285:I302)</f>
        <v>32.147500000000001</v>
      </c>
      <c r="K284" s="522"/>
      <c r="L284" s="522"/>
      <c r="M284" s="522"/>
      <c r="N284" s="522"/>
      <c r="O284" s="522"/>
      <c r="P284" s="522"/>
      <c r="Q284" s="522"/>
      <c r="R284" s="522"/>
      <c r="S284" s="522"/>
      <c r="T284" s="522"/>
      <c r="U284" s="522"/>
      <c r="V284" s="522"/>
      <c r="W284" s="522"/>
      <c r="X284" s="522"/>
      <c r="Y284" s="522"/>
      <c r="Z284" s="522"/>
    </row>
    <row r="285" spans="1:26" s="523" customFormat="1" ht="15" hidden="1" customHeight="1" outlineLevel="1" x14ac:dyDescent="0.2">
      <c r="A285" s="552"/>
      <c r="B285" s="553" t="s">
        <v>631</v>
      </c>
      <c r="C285" s="554"/>
      <c r="D285" s="28" t="s">
        <v>38</v>
      </c>
      <c r="E285" s="28">
        <v>1</v>
      </c>
      <c r="F285" s="28">
        <v>3.85</v>
      </c>
      <c r="G285" s="28"/>
      <c r="H285" s="28">
        <v>0.85</v>
      </c>
      <c r="I285" s="28">
        <f t="shared" ref="I285:I302" si="14">PRODUCT(E285:H285)</f>
        <v>3.2725</v>
      </c>
      <c r="J285" s="555"/>
      <c r="K285" s="522"/>
      <c r="L285" s="522"/>
      <c r="M285" s="522"/>
      <c r="N285" s="522"/>
      <c r="O285" s="522"/>
      <c r="P285" s="522"/>
      <c r="Q285" s="522"/>
      <c r="R285" s="522"/>
      <c r="S285" s="522"/>
      <c r="T285" s="522"/>
      <c r="U285" s="522"/>
      <c r="V285" s="522"/>
      <c r="W285" s="522"/>
      <c r="X285" s="522"/>
      <c r="Y285" s="522"/>
      <c r="Z285" s="522"/>
    </row>
    <row r="286" spans="1:26" s="523" customFormat="1" ht="15" hidden="1" customHeight="1" outlineLevel="1" x14ac:dyDescent="0.2">
      <c r="A286" s="552"/>
      <c r="B286" s="556" t="s">
        <v>632</v>
      </c>
      <c r="C286" s="554"/>
      <c r="D286" s="28" t="s">
        <v>38</v>
      </c>
      <c r="E286" s="28">
        <v>1</v>
      </c>
      <c r="F286" s="28">
        <v>4.05</v>
      </c>
      <c r="G286" s="28"/>
      <c r="H286" s="28">
        <v>0.85</v>
      </c>
      <c r="I286" s="28">
        <f t="shared" si="14"/>
        <v>3.4424999999999999</v>
      </c>
      <c r="J286" s="557"/>
      <c r="K286" s="522"/>
      <c r="L286" s="522"/>
      <c r="M286" s="522"/>
      <c r="N286" s="522"/>
      <c r="O286" s="522"/>
      <c r="P286" s="522"/>
      <c r="Q286" s="522"/>
      <c r="R286" s="522"/>
      <c r="S286" s="522"/>
      <c r="T286" s="522"/>
      <c r="U286" s="522"/>
      <c r="V286" s="522"/>
      <c r="W286" s="522"/>
      <c r="X286" s="522"/>
      <c r="Y286" s="522"/>
      <c r="Z286" s="522"/>
    </row>
    <row r="287" spans="1:26" s="523" customFormat="1" ht="15" hidden="1" customHeight="1" outlineLevel="1" x14ac:dyDescent="0.2">
      <c r="A287" s="552"/>
      <c r="B287" s="556" t="s">
        <v>633</v>
      </c>
      <c r="C287" s="554"/>
      <c r="D287" s="28" t="s">
        <v>38</v>
      </c>
      <c r="E287" s="28">
        <v>1</v>
      </c>
      <c r="F287" s="28">
        <v>3.8</v>
      </c>
      <c r="G287" s="28"/>
      <c r="H287" s="28">
        <v>0.2</v>
      </c>
      <c r="I287" s="28">
        <f t="shared" si="14"/>
        <v>0.76</v>
      </c>
      <c r="J287" s="557"/>
      <c r="K287" s="522"/>
      <c r="L287" s="522"/>
      <c r="M287" s="522"/>
      <c r="N287" s="522"/>
      <c r="O287" s="522"/>
      <c r="P287" s="522"/>
      <c r="Q287" s="522"/>
      <c r="R287" s="522"/>
      <c r="S287" s="522"/>
      <c r="T287" s="522"/>
      <c r="U287" s="522"/>
      <c r="V287" s="522"/>
      <c r="W287" s="522"/>
      <c r="X287" s="522"/>
      <c r="Y287" s="522"/>
      <c r="Z287" s="522"/>
    </row>
    <row r="288" spans="1:26" s="523" customFormat="1" ht="15" hidden="1" customHeight="1" outlineLevel="1" x14ac:dyDescent="0.2">
      <c r="A288" s="552"/>
      <c r="B288" s="556" t="s">
        <v>635</v>
      </c>
      <c r="C288" s="554"/>
      <c r="D288" s="28" t="s">
        <v>38</v>
      </c>
      <c r="E288" s="28">
        <v>1</v>
      </c>
      <c r="F288" s="28">
        <v>4.2</v>
      </c>
      <c r="G288" s="28"/>
      <c r="H288" s="28">
        <v>0.2</v>
      </c>
      <c r="I288" s="28">
        <f t="shared" si="14"/>
        <v>0.84000000000000008</v>
      </c>
      <c r="J288" s="557"/>
      <c r="K288" s="522"/>
      <c r="L288" s="522"/>
      <c r="M288" s="522"/>
      <c r="N288" s="522"/>
      <c r="O288" s="522"/>
      <c r="P288" s="522"/>
      <c r="Q288" s="522"/>
      <c r="R288" s="522"/>
      <c r="S288" s="522"/>
      <c r="T288" s="522"/>
      <c r="U288" s="522"/>
      <c r="V288" s="522"/>
      <c r="W288" s="522"/>
      <c r="X288" s="522"/>
      <c r="Y288" s="522"/>
      <c r="Z288" s="522"/>
    </row>
    <row r="289" spans="1:26" s="523" customFormat="1" ht="15" hidden="1" customHeight="1" outlineLevel="1" x14ac:dyDescent="0.2">
      <c r="A289" s="552"/>
      <c r="B289" s="556" t="s">
        <v>636</v>
      </c>
      <c r="C289" s="554"/>
      <c r="D289" s="28" t="s">
        <v>38</v>
      </c>
      <c r="E289" s="28">
        <v>1</v>
      </c>
      <c r="F289" s="28">
        <v>4.05</v>
      </c>
      <c r="G289" s="28"/>
      <c r="H289" s="28">
        <v>0.85</v>
      </c>
      <c r="I289" s="28">
        <f t="shared" si="14"/>
        <v>3.4424999999999999</v>
      </c>
      <c r="J289" s="557"/>
      <c r="K289" s="522"/>
      <c r="L289" s="522"/>
      <c r="M289" s="522"/>
      <c r="N289" s="522"/>
      <c r="O289" s="522"/>
      <c r="P289" s="522"/>
      <c r="Q289" s="522"/>
      <c r="R289" s="522"/>
      <c r="S289" s="522"/>
      <c r="T289" s="522"/>
      <c r="U289" s="522"/>
      <c r="V289" s="522"/>
      <c r="W289" s="522"/>
      <c r="X289" s="522"/>
      <c r="Y289" s="522"/>
      <c r="Z289" s="522"/>
    </row>
    <row r="290" spans="1:26" s="523" customFormat="1" ht="15" hidden="1" customHeight="1" outlineLevel="1" x14ac:dyDescent="0.2">
      <c r="A290" s="552"/>
      <c r="B290" s="553" t="s">
        <v>637</v>
      </c>
      <c r="C290" s="554"/>
      <c r="D290" s="28" t="s">
        <v>38</v>
      </c>
      <c r="E290" s="28">
        <v>1</v>
      </c>
      <c r="F290" s="28">
        <v>4.3</v>
      </c>
      <c r="G290" s="28"/>
      <c r="H290" s="28">
        <v>0.2</v>
      </c>
      <c r="I290" s="28">
        <f t="shared" si="14"/>
        <v>0.86</v>
      </c>
      <c r="J290" s="557"/>
      <c r="K290" s="522"/>
      <c r="L290" s="522"/>
      <c r="M290" s="522"/>
      <c r="N290" s="522"/>
      <c r="O290" s="522"/>
      <c r="P290" s="522"/>
      <c r="Q290" s="522"/>
      <c r="R290" s="522"/>
      <c r="S290" s="522"/>
      <c r="T290" s="522"/>
      <c r="U290" s="522"/>
      <c r="V290" s="522"/>
      <c r="W290" s="522"/>
      <c r="X290" s="522"/>
      <c r="Y290" s="522"/>
      <c r="Z290" s="522"/>
    </row>
    <row r="291" spans="1:26" s="523" customFormat="1" ht="15" hidden="1" customHeight="1" outlineLevel="1" x14ac:dyDescent="0.2">
      <c r="A291" s="552"/>
      <c r="B291" s="556" t="s">
        <v>638</v>
      </c>
      <c r="C291" s="554"/>
      <c r="D291" s="28" t="s">
        <v>38</v>
      </c>
      <c r="E291" s="28">
        <v>1</v>
      </c>
      <c r="F291" s="28">
        <v>4.7</v>
      </c>
      <c r="G291" s="28"/>
      <c r="H291" s="28">
        <v>0.2</v>
      </c>
      <c r="I291" s="28">
        <f t="shared" si="14"/>
        <v>0.94000000000000006</v>
      </c>
      <c r="J291" s="557"/>
      <c r="K291" s="522"/>
      <c r="L291" s="522"/>
      <c r="M291" s="522"/>
      <c r="N291" s="522"/>
      <c r="O291" s="522"/>
      <c r="P291" s="522"/>
      <c r="Q291" s="522"/>
      <c r="R291" s="522"/>
      <c r="S291" s="522"/>
      <c r="T291" s="522"/>
      <c r="U291" s="522"/>
      <c r="V291" s="522"/>
      <c r="W291" s="522"/>
      <c r="X291" s="522"/>
      <c r="Y291" s="522"/>
      <c r="Z291" s="522"/>
    </row>
    <row r="292" spans="1:26" s="523" customFormat="1" ht="15" hidden="1" customHeight="1" outlineLevel="1" x14ac:dyDescent="0.2">
      <c r="A292" s="552"/>
      <c r="B292" s="556" t="s">
        <v>639</v>
      </c>
      <c r="C292" s="554"/>
      <c r="D292" s="28" t="s">
        <v>38</v>
      </c>
      <c r="E292" s="28">
        <v>1</v>
      </c>
      <c r="F292" s="28">
        <v>3.15</v>
      </c>
      <c r="G292" s="28"/>
      <c r="H292" s="28">
        <v>0.85</v>
      </c>
      <c r="I292" s="28">
        <f t="shared" si="14"/>
        <v>2.6774999999999998</v>
      </c>
      <c r="J292" s="557"/>
      <c r="K292" s="522"/>
      <c r="L292" s="522"/>
      <c r="M292" s="522"/>
      <c r="N292" s="522"/>
      <c r="O292" s="522"/>
      <c r="P292" s="522"/>
      <c r="Q292" s="522"/>
      <c r="R292" s="522"/>
      <c r="S292" s="522"/>
      <c r="T292" s="522"/>
      <c r="U292" s="522"/>
      <c r="V292" s="522"/>
      <c r="W292" s="522"/>
      <c r="X292" s="522"/>
      <c r="Y292" s="522"/>
      <c r="Z292" s="522"/>
    </row>
    <row r="293" spans="1:26" s="523" customFormat="1" ht="15" hidden="1" customHeight="1" outlineLevel="1" x14ac:dyDescent="0.2">
      <c r="A293" s="552"/>
      <c r="B293" s="553" t="s">
        <v>640</v>
      </c>
      <c r="C293" s="554"/>
      <c r="D293" s="28" t="s">
        <v>38</v>
      </c>
      <c r="E293" s="28">
        <v>1</v>
      </c>
      <c r="F293" s="28">
        <v>3.15</v>
      </c>
      <c r="G293" s="28"/>
      <c r="H293" s="28">
        <v>0.85</v>
      </c>
      <c r="I293" s="28">
        <f t="shared" si="14"/>
        <v>2.6774999999999998</v>
      </c>
      <c r="J293" s="557"/>
      <c r="K293" s="522"/>
      <c r="L293" s="522"/>
      <c r="M293" s="522"/>
      <c r="N293" s="522"/>
      <c r="O293" s="522"/>
      <c r="P293" s="522"/>
      <c r="Q293" s="522"/>
      <c r="R293" s="522"/>
      <c r="S293" s="522"/>
      <c r="T293" s="522"/>
      <c r="U293" s="522"/>
      <c r="V293" s="522"/>
      <c r="W293" s="522"/>
      <c r="X293" s="522"/>
      <c r="Y293" s="522"/>
      <c r="Z293" s="522"/>
    </row>
    <row r="294" spans="1:26" s="523" customFormat="1" ht="15" hidden="1" customHeight="1" outlineLevel="1" x14ac:dyDescent="0.2">
      <c r="A294" s="552"/>
      <c r="B294" s="556" t="s">
        <v>641</v>
      </c>
      <c r="C294" s="554"/>
      <c r="D294" s="28" t="s">
        <v>38</v>
      </c>
      <c r="E294" s="28">
        <v>1</v>
      </c>
      <c r="F294" s="28">
        <v>6.15</v>
      </c>
      <c r="G294" s="28"/>
      <c r="H294" s="28">
        <v>0.2</v>
      </c>
      <c r="I294" s="28">
        <f t="shared" si="14"/>
        <v>1.2300000000000002</v>
      </c>
      <c r="J294" s="557"/>
      <c r="K294" s="522"/>
      <c r="L294" s="522"/>
      <c r="M294" s="522"/>
      <c r="N294" s="522"/>
      <c r="O294" s="522"/>
      <c r="P294" s="522"/>
      <c r="Q294" s="522"/>
      <c r="R294" s="522"/>
      <c r="S294" s="522"/>
      <c r="T294" s="522"/>
      <c r="U294" s="522"/>
      <c r="V294" s="522"/>
      <c r="W294" s="522"/>
      <c r="X294" s="522"/>
      <c r="Y294" s="522"/>
      <c r="Z294" s="522"/>
    </row>
    <row r="295" spans="1:26" s="523" customFormat="1" ht="15" hidden="1" customHeight="1" outlineLevel="1" x14ac:dyDescent="0.2">
      <c r="A295" s="552"/>
      <c r="B295" s="556" t="s">
        <v>642</v>
      </c>
      <c r="C295" s="554"/>
      <c r="D295" s="28" t="s">
        <v>38</v>
      </c>
      <c r="E295" s="28">
        <v>1</v>
      </c>
      <c r="F295" s="28">
        <v>6.4</v>
      </c>
      <c r="G295" s="28"/>
      <c r="H295" s="28">
        <v>0.2</v>
      </c>
      <c r="I295" s="28">
        <f t="shared" si="14"/>
        <v>1.2800000000000002</v>
      </c>
      <c r="J295" s="557"/>
      <c r="K295" s="522"/>
      <c r="L295" s="522"/>
      <c r="M295" s="522"/>
      <c r="N295" s="522"/>
      <c r="O295" s="522"/>
      <c r="P295" s="522"/>
      <c r="Q295" s="522"/>
      <c r="R295" s="522"/>
      <c r="S295" s="522"/>
      <c r="T295" s="522"/>
      <c r="U295" s="522"/>
      <c r="V295" s="522"/>
      <c r="W295" s="522"/>
      <c r="X295" s="522"/>
      <c r="Y295" s="522"/>
      <c r="Z295" s="522"/>
    </row>
    <row r="296" spans="1:26" s="523" customFormat="1" ht="15" hidden="1" customHeight="1" outlineLevel="1" x14ac:dyDescent="0.2">
      <c r="A296" s="552"/>
      <c r="B296" s="553" t="s">
        <v>643</v>
      </c>
      <c r="C296" s="554"/>
      <c r="D296" s="28" t="s">
        <v>38</v>
      </c>
      <c r="E296" s="28">
        <v>1</v>
      </c>
      <c r="F296" s="28">
        <v>4.25</v>
      </c>
      <c r="G296" s="28"/>
      <c r="H296" s="28">
        <v>0.85</v>
      </c>
      <c r="I296" s="28">
        <f t="shared" si="14"/>
        <v>3.6124999999999998</v>
      </c>
      <c r="J296" s="557"/>
      <c r="K296" s="522"/>
      <c r="L296" s="522"/>
      <c r="M296" s="522"/>
      <c r="N296" s="522"/>
      <c r="O296" s="522"/>
      <c r="P296" s="522"/>
      <c r="Q296" s="522"/>
      <c r="R296" s="522"/>
      <c r="S296" s="522"/>
      <c r="T296" s="522"/>
      <c r="U296" s="522"/>
      <c r="V296" s="522"/>
      <c r="W296" s="522"/>
      <c r="X296" s="522"/>
      <c r="Y296" s="522"/>
      <c r="Z296" s="522"/>
    </row>
    <row r="297" spans="1:26" s="523" customFormat="1" ht="15" hidden="1" customHeight="1" outlineLevel="1" x14ac:dyDescent="0.2">
      <c r="A297" s="552"/>
      <c r="B297" s="556" t="s">
        <v>644</v>
      </c>
      <c r="C297" s="554"/>
      <c r="D297" s="28" t="s">
        <v>38</v>
      </c>
      <c r="E297" s="28">
        <v>1</v>
      </c>
      <c r="F297" s="28">
        <v>4</v>
      </c>
      <c r="G297" s="28"/>
      <c r="H297" s="28">
        <v>0.2</v>
      </c>
      <c r="I297" s="28">
        <f t="shared" si="14"/>
        <v>0.8</v>
      </c>
      <c r="J297" s="557"/>
      <c r="K297" s="522"/>
      <c r="L297" s="522"/>
      <c r="M297" s="522"/>
      <c r="N297" s="522"/>
      <c r="O297" s="522"/>
      <c r="P297" s="522"/>
      <c r="Q297" s="522"/>
      <c r="R297" s="522"/>
      <c r="S297" s="522"/>
      <c r="T297" s="522"/>
      <c r="U297" s="522"/>
      <c r="V297" s="522"/>
      <c r="W297" s="522"/>
      <c r="X297" s="522"/>
      <c r="Y297" s="522"/>
      <c r="Z297" s="522"/>
    </row>
    <row r="298" spans="1:26" s="523" customFormat="1" ht="15" hidden="1" customHeight="1" outlineLevel="1" x14ac:dyDescent="0.2">
      <c r="A298" s="552"/>
      <c r="B298" s="556" t="s">
        <v>645</v>
      </c>
      <c r="C298" s="554"/>
      <c r="D298" s="28" t="s">
        <v>38</v>
      </c>
      <c r="E298" s="28">
        <v>1</v>
      </c>
      <c r="F298" s="28">
        <v>4.1500000000000004</v>
      </c>
      <c r="G298" s="28"/>
      <c r="H298" s="28">
        <v>0.2</v>
      </c>
      <c r="I298" s="28">
        <f t="shared" si="14"/>
        <v>0.83000000000000007</v>
      </c>
      <c r="J298" s="557"/>
      <c r="K298" s="522"/>
      <c r="L298" s="522"/>
      <c r="M298" s="522"/>
      <c r="N298" s="522"/>
      <c r="O298" s="522"/>
      <c r="P298" s="522"/>
      <c r="Q298" s="522"/>
      <c r="R298" s="522"/>
      <c r="S298" s="522"/>
      <c r="T298" s="522"/>
      <c r="U298" s="522"/>
      <c r="V298" s="522"/>
      <c r="W298" s="522"/>
      <c r="X298" s="522"/>
      <c r="Y298" s="522"/>
      <c r="Z298" s="522"/>
    </row>
    <row r="299" spans="1:26" s="523" customFormat="1" ht="15" hidden="1" customHeight="1" outlineLevel="1" x14ac:dyDescent="0.2">
      <c r="A299" s="552"/>
      <c r="B299" s="553" t="s">
        <v>646</v>
      </c>
      <c r="C299" s="554"/>
      <c r="D299" s="28" t="s">
        <v>38</v>
      </c>
      <c r="E299" s="28">
        <v>1</v>
      </c>
      <c r="F299" s="28">
        <v>4.25</v>
      </c>
      <c r="G299" s="28"/>
      <c r="H299" s="28">
        <v>0.85</v>
      </c>
      <c r="I299" s="28">
        <f t="shared" si="14"/>
        <v>3.6124999999999998</v>
      </c>
      <c r="J299" s="557"/>
      <c r="K299" s="522"/>
      <c r="L299" s="522"/>
      <c r="M299" s="522"/>
      <c r="N299" s="522"/>
      <c r="O299" s="522"/>
      <c r="P299" s="522"/>
      <c r="Q299" s="522"/>
      <c r="R299" s="522"/>
      <c r="S299" s="522"/>
      <c r="T299" s="522"/>
      <c r="U299" s="522"/>
      <c r="V299" s="522"/>
      <c r="W299" s="522"/>
      <c r="X299" s="522"/>
      <c r="Y299" s="522"/>
      <c r="Z299" s="522"/>
    </row>
    <row r="300" spans="1:26" s="523" customFormat="1" ht="15" hidden="1" customHeight="1" outlineLevel="1" x14ac:dyDescent="0.2">
      <c r="A300" s="552"/>
      <c r="B300" s="556" t="s">
        <v>647</v>
      </c>
      <c r="C300" s="554"/>
      <c r="D300" s="28" t="s">
        <v>38</v>
      </c>
      <c r="E300" s="28">
        <v>1</v>
      </c>
      <c r="F300" s="28">
        <v>2.5499999999999998</v>
      </c>
      <c r="G300" s="28"/>
      <c r="H300" s="28">
        <v>0.2</v>
      </c>
      <c r="I300" s="28">
        <f t="shared" si="14"/>
        <v>0.51</v>
      </c>
      <c r="J300" s="557"/>
      <c r="K300" s="522"/>
      <c r="L300" s="522"/>
      <c r="M300" s="522"/>
      <c r="N300" s="522"/>
      <c r="O300" s="522"/>
      <c r="P300" s="522"/>
      <c r="Q300" s="522"/>
      <c r="R300" s="522"/>
      <c r="S300" s="522"/>
      <c r="T300" s="522"/>
      <c r="U300" s="522"/>
      <c r="V300" s="522"/>
      <c r="W300" s="522"/>
      <c r="X300" s="522"/>
      <c r="Y300" s="522"/>
      <c r="Z300" s="522"/>
    </row>
    <row r="301" spans="1:26" s="523" customFormat="1" ht="15" hidden="1" customHeight="1" outlineLevel="1" x14ac:dyDescent="0.2">
      <c r="A301" s="552"/>
      <c r="B301" s="556" t="s">
        <v>648</v>
      </c>
      <c r="C301" s="554"/>
      <c r="D301" s="28" t="s">
        <v>38</v>
      </c>
      <c r="E301" s="28">
        <v>1</v>
      </c>
      <c r="F301" s="28">
        <v>2.75</v>
      </c>
      <c r="G301" s="28"/>
      <c r="H301" s="28">
        <v>0.2</v>
      </c>
      <c r="I301" s="28">
        <f t="shared" si="14"/>
        <v>0.55000000000000004</v>
      </c>
      <c r="J301" s="557"/>
      <c r="K301" s="522"/>
      <c r="L301" s="522"/>
      <c r="M301" s="522"/>
      <c r="N301" s="522"/>
      <c r="O301" s="522"/>
      <c r="P301" s="522"/>
      <c r="Q301" s="522"/>
      <c r="R301" s="522"/>
      <c r="S301" s="522"/>
      <c r="T301" s="522"/>
      <c r="U301" s="522"/>
      <c r="V301" s="522"/>
      <c r="W301" s="522"/>
      <c r="X301" s="522"/>
      <c r="Y301" s="522"/>
      <c r="Z301" s="522"/>
    </row>
    <row r="302" spans="1:26" s="523" customFormat="1" ht="15" hidden="1" customHeight="1" outlineLevel="1" x14ac:dyDescent="0.2">
      <c r="A302" s="552"/>
      <c r="B302" s="553" t="s">
        <v>649</v>
      </c>
      <c r="C302" s="554"/>
      <c r="D302" s="28" t="s">
        <v>38</v>
      </c>
      <c r="E302" s="28">
        <v>1</v>
      </c>
      <c r="F302" s="28">
        <v>2.7</v>
      </c>
      <c r="G302" s="28"/>
      <c r="H302" s="28">
        <v>0.3</v>
      </c>
      <c r="I302" s="28">
        <f t="shared" si="14"/>
        <v>0.81</v>
      </c>
      <c r="J302" s="557"/>
      <c r="K302" s="522"/>
      <c r="L302" s="522"/>
      <c r="M302" s="522"/>
      <c r="N302" s="522"/>
      <c r="O302" s="522"/>
      <c r="P302" s="522"/>
      <c r="Q302" s="522"/>
      <c r="R302" s="522"/>
      <c r="S302" s="522"/>
      <c r="T302" s="522"/>
      <c r="U302" s="522"/>
      <c r="V302" s="522"/>
      <c r="W302" s="522"/>
      <c r="X302" s="522"/>
      <c r="Y302" s="522"/>
      <c r="Z302" s="522"/>
    </row>
    <row r="303" spans="1:26" s="523" customFormat="1" ht="15.75" hidden="1" customHeight="1" outlineLevel="1" x14ac:dyDescent="0.2">
      <c r="A303" s="28"/>
      <c r="B303" s="358"/>
      <c r="C303" s="536"/>
      <c r="D303" s="28"/>
      <c r="E303" s="28"/>
      <c r="F303" s="28"/>
      <c r="G303" s="28"/>
      <c r="H303" s="28"/>
      <c r="I303" s="28"/>
      <c r="J303" s="558"/>
      <c r="K303" s="522"/>
      <c r="L303" s="522"/>
      <c r="M303" s="522"/>
      <c r="N303" s="522"/>
      <c r="O303" s="522"/>
      <c r="P303" s="522"/>
      <c r="Q303" s="522"/>
      <c r="R303" s="522"/>
      <c r="S303" s="522"/>
      <c r="T303" s="522"/>
      <c r="U303" s="522"/>
      <c r="V303" s="522"/>
      <c r="W303" s="522"/>
      <c r="X303" s="522"/>
      <c r="Y303" s="522"/>
      <c r="Z303" s="522"/>
    </row>
    <row r="304" spans="1:26" s="523" customFormat="1" ht="15.75" customHeight="1" collapsed="1" x14ac:dyDescent="0.2">
      <c r="A304" s="526" t="s">
        <v>426</v>
      </c>
      <c r="B304" s="616" t="s">
        <v>415</v>
      </c>
      <c r="C304" s="617"/>
      <c r="D304" s="526" t="s">
        <v>416</v>
      </c>
      <c r="E304" s="526"/>
      <c r="F304" s="526"/>
      <c r="G304" s="526"/>
      <c r="H304" s="526"/>
      <c r="I304" s="526"/>
      <c r="J304" s="559">
        <f>SUM(I305:I324)</f>
        <v>95.80000000000004</v>
      </c>
      <c r="K304" s="522"/>
      <c r="L304" s="522"/>
      <c r="M304" s="522"/>
      <c r="N304" s="522"/>
      <c r="O304" s="522"/>
      <c r="P304" s="522"/>
      <c r="Q304" s="522"/>
      <c r="R304" s="522"/>
      <c r="S304" s="522"/>
      <c r="T304" s="522"/>
      <c r="U304" s="522"/>
      <c r="V304" s="522"/>
      <c r="W304" s="522"/>
      <c r="X304" s="522"/>
      <c r="Y304" s="522"/>
      <c r="Z304" s="522"/>
    </row>
    <row r="305" spans="1:26" s="523" customFormat="1" ht="15.75" hidden="1" customHeight="1" outlineLevel="1" x14ac:dyDescent="0.2">
      <c r="A305" s="529"/>
      <c r="B305" s="560" t="s">
        <v>715</v>
      </c>
      <c r="C305" s="561"/>
      <c r="D305" s="532" t="s">
        <v>54</v>
      </c>
      <c r="E305" s="28">
        <v>1</v>
      </c>
      <c r="F305" s="28" t="s">
        <v>402</v>
      </c>
      <c r="G305" s="596">
        <v>7.4</v>
      </c>
      <c r="H305" s="28"/>
      <c r="I305" s="532">
        <f t="shared" ref="I305:I323" si="15">PRODUCT(E305:H305)</f>
        <v>7.4</v>
      </c>
      <c r="J305" s="550"/>
      <c r="K305" s="522"/>
      <c r="L305" s="522"/>
      <c r="M305" s="522"/>
      <c r="N305" s="522"/>
      <c r="O305" s="522"/>
      <c r="P305" s="522"/>
      <c r="Q305" s="522"/>
      <c r="R305" s="522"/>
      <c r="S305" s="522"/>
      <c r="T305" s="522"/>
      <c r="U305" s="522"/>
      <c r="V305" s="522"/>
      <c r="W305" s="522"/>
      <c r="X305" s="522"/>
      <c r="Y305" s="522"/>
      <c r="Z305" s="522"/>
    </row>
    <row r="306" spans="1:26" s="523" customFormat="1" ht="15.75" hidden="1" customHeight="1" outlineLevel="1" x14ac:dyDescent="0.2">
      <c r="A306" s="529"/>
      <c r="B306" s="560" t="s">
        <v>668</v>
      </c>
      <c r="C306" s="561"/>
      <c r="D306" s="532" t="s">
        <v>54</v>
      </c>
      <c r="E306" s="28">
        <v>1</v>
      </c>
      <c r="F306" s="28" t="s">
        <v>402</v>
      </c>
      <c r="G306" s="596">
        <v>2.2999999999999998</v>
      </c>
      <c r="H306" s="28"/>
      <c r="I306" s="532">
        <f t="shared" si="15"/>
        <v>2.2999999999999998</v>
      </c>
      <c r="J306" s="551"/>
      <c r="K306" s="522"/>
      <c r="L306" s="522"/>
      <c r="M306" s="522"/>
      <c r="N306" s="522"/>
      <c r="O306" s="522"/>
      <c r="P306" s="522"/>
      <c r="Q306" s="522"/>
      <c r="R306" s="522"/>
      <c r="S306" s="522"/>
      <c r="T306" s="522"/>
      <c r="U306" s="522"/>
      <c r="V306" s="522"/>
      <c r="W306" s="522"/>
      <c r="X306" s="522"/>
      <c r="Y306" s="522"/>
      <c r="Z306" s="522"/>
    </row>
    <row r="307" spans="1:26" s="523" customFormat="1" ht="15.75" hidden="1" customHeight="1" outlineLevel="1" x14ac:dyDescent="0.2">
      <c r="A307" s="529"/>
      <c r="B307" s="560" t="s">
        <v>669</v>
      </c>
      <c r="C307" s="561"/>
      <c r="D307" s="532" t="s">
        <v>54</v>
      </c>
      <c r="E307" s="28">
        <v>1</v>
      </c>
      <c r="F307" s="28" t="s">
        <v>402</v>
      </c>
      <c r="G307" s="596">
        <v>5.7</v>
      </c>
      <c r="H307" s="28"/>
      <c r="I307" s="532">
        <f t="shared" si="15"/>
        <v>5.7</v>
      </c>
      <c r="J307" s="551"/>
      <c r="K307" s="522"/>
      <c r="L307" s="522"/>
      <c r="M307" s="522"/>
      <c r="N307" s="522"/>
      <c r="O307" s="522"/>
      <c r="P307" s="522"/>
      <c r="Q307" s="522"/>
      <c r="R307" s="522"/>
      <c r="S307" s="522"/>
      <c r="T307" s="522"/>
      <c r="U307" s="522"/>
      <c r="V307" s="522"/>
      <c r="W307" s="522"/>
      <c r="X307" s="522"/>
      <c r="Y307" s="522"/>
      <c r="Z307" s="522"/>
    </row>
    <row r="308" spans="1:26" s="523" customFormat="1" ht="15.75" hidden="1" customHeight="1" outlineLevel="1" x14ac:dyDescent="0.2">
      <c r="A308" s="529"/>
      <c r="B308" s="560" t="s">
        <v>670</v>
      </c>
      <c r="C308" s="561"/>
      <c r="D308" s="532" t="s">
        <v>54</v>
      </c>
      <c r="E308" s="28">
        <v>1</v>
      </c>
      <c r="F308" s="28" t="s">
        <v>402</v>
      </c>
      <c r="G308" s="596">
        <v>1.8</v>
      </c>
      <c r="H308" s="28"/>
      <c r="I308" s="532">
        <f t="shared" si="15"/>
        <v>1.8</v>
      </c>
      <c r="J308" s="551"/>
      <c r="K308" s="522"/>
      <c r="L308" s="522"/>
      <c r="M308" s="522"/>
      <c r="N308" s="522"/>
      <c r="O308" s="522"/>
      <c r="P308" s="522"/>
      <c r="Q308" s="522"/>
      <c r="R308" s="522"/>
      <c r="S308" s="522"/>
      <c r="T308" s="522"/>
      <c r="U308" s="522"/>
      <c r="V308" s="522"/>
      <c r="W308" s="522"/>
      <c r="X308" s="522"/>
      <c r="Y308" s="522"/>
      <c r="Z308" s="522"/>
    </row>
    <row r="309" spans="1:26" s="523" customFormat="1" ht="15.75" hidden="1" customHeight="1" outlineLevel="1" x14ac:dyDescent="0.2">
      <c r="A309" s="529"/>
      <c r="B309" s="560" t="s">
        <v>671</v>
      </c>
      <c r="C309" s="561"/>
      <c r="D309" s="532" t="s">
        <v>54</v>
      </c>
      <c r="E309" s="28">
        <v>1</v>
      </c>
      <c r="F309" s="28" t="s">
        <v>402</v>
      </c>
      <c r="G309" s="596">
        <v>2</v>
      </c>
      <c r="H309" s="28"/>
      <c r="I309" s="532">
        <f t="shared" si="15"/>
        <v>2</v>
      </c>
      <c r="J309" s="551"/>
      <c r="K309" s="522"/>
      <c r="L309" s="522"/>
      <c r="M309" s="522"/>
      <c r="N309" s="522"/>
      <c r="O309" s="522"/>
      <c r="P309" s="522"/>
      <c r="Q309" s="522"/>
      <c r="R309" s="522"/>
      <c r="S309" s="522"/>
      <c r="T309" s="522"/>
      <c r="U309" s="522"/>
      <c r="V309" s="522"/>
      <c r="W309" s="522"/>
      <c r="X309" s="522"/>
      <c r="Y309" s="522"/>
      <c r="Z309" s="522"/>
    </row>
    <row r="310" spans="1:26" s="523" customFormat="1" ht="15.75" hidden="1" customHeight="1" outlineLevel="1" x14ac:dyDescent="0.2">
      <c r="A310" s="529"/>
      <c r="B310" s="560" t="s">
        <v>672</v>
      </c>
      <c r="C310" s="561"/>
      <c r="D310" s="532" t="s">
        <v>54</v>
      </c>
      <c r="E310" s="28">
        <v>1</v>
      </c>
      <c r="F310" s="28" t="s">
        <v>402</v>
      </c>
      <c r="G310" s="596">
        <v>5.9</v>
      </c>
      <c r="H310" s="28"/>
      <c r="I310" s="532">
        <f t="shared" si="15"/>
        <v>5.9</v>
      </c>
      <c r="J310" s="597"/>
      <c r="K310" s="522"/>
      <c r="L310" s="522"/>
      <c r="M310" s="522"/>
      <c r="N310" s="522"/>
      <c r="O310" s="522"/>
      <c r="P310" s="522"/>
      <c r="Q310" s="522"/>
      <c r="R310" s="522"/>
      <c r="S310" s="522"/>
      <c r="T310" s="522"/>
      <c r="U310" s="522"/>
      <c r="V310" s="522"/>
      <c r="W310" s="522"/>
      <c r="X310" s="522"/>
      <c r="Y310" s="522"/>
      <c r="Z310" s="522"/>
    </row>
    <row r="311" spans="1:26" s="523" customFormat="1" ht="15.75" hidden="1" customHeight="1" outlineLevel="1" x14ac:dyDescent="0.2">
      <c r="A311" s="529"/>
      <c r="B311" s="560" t="s">
        <v>716</v>
      </c>
      <c r="C311" s="561"/>
      <c r="D311" s="532" t="s">
        <v>54</v>
      </c>
      <c r="E311" s="28">
        <v>1</v>
      </c>
      <c r="F311" s="28" t="s">
        <v>402</v>
      </c>
      <c r="G311" s="596">
        <v>6.1</v>
      </c>
      <c r="H311" s="28"/>
      <c r="I311" s="532">
        <f t="shared" si="15"/>
        <v>6.1</v>
      </c>
      <c r="J311" s="551"/>
      <c r="K311" s="522"/>
      <c r="L311" s="522"/>
      <c r="M311" s="522"/>
      <c r="N311" s="522"/>
      <c r="O311" s="522"/>
      <c r="P311" s="522"/>
      <c r="Q311" s="522"/>
      <c r="R311" s="522"/>
      <c r="S311" s="522"/>
      <c r="T311" s="522"/>
      <c r="U311" s="522"/>
      <c r="V311" s="522"/>
      <c r="W311" s="522"/>
      <c r="X311" s="522"/>
      <c r="Y311" s="522"/>
      <c r="Z311" s="522"/>
    </row>
    <row r="312" spans="1:26" s="523" customFormat="1" ht="15.75" hidden="1" customHeight="1" outlineLevel="1" x14ac:dyDescent="0.2">
      <c r="A312" s="529"/>
      <c r="B312" s="560" t="s">
        <v>717</v>
      </c>
      <c r="C312" s="561"/>
      <c r="D312" s="532" t="s">
        <v>54</v>
      </c>
      <c r="E312" s="28">
        <v>1</v>
      </c>
      <c r="F312" s="28" t="s">
        <v>402</v>
      </c>
      <c r="G312" s="596">
        <v>5.5</v>
      </c>
      <c r="H312" s="28"/>
      <c r="I312" s="532">
        <f t="shared" si="15"/>
        <v>5.5</v>
      </c>
      <c r="J312" s="551"/>
      <c r="K312" s="522"/>
      <c r="L312" s="522"/>
      <c r="M312" s="522"/>
      <c r="N312" s="522"/>
      <c r="O312" s="522"/>
      <c r="P312" s="522"/>
      <c r="Q312" s="522"/>
      <c r="R312" s="522"/>
      <c r="S312" s="522"/>
      <c r="T312" s="522"/>
      <c r="U312" s="522"/>
      <c r="V312" s="522"/>
      <c r="W312" s="522"/>
      <c r="X312" s="522"/>
      <c r="Y312" s="522"/>
      <c r="Z312" s="522"/>
    </row>
    <row r="313" spans="1:26" s="523" customFormat="1" ht="15.75" hidden="1" customHeight="1" outlineLevel="1" x14ac:dyDescent="0.2">
      <c r="A313" s="529"/>
      <c r="B313" s="560" t="s">
        <v>718</v>
      </c>
      <c r="C313" s="561"/>
      <c r="D313" s="532" t="s">
        <v>54</v>
      </c>
      <c r="E313" s="28">
        <v>1</v>
      </c>
      <c r="F313" s="28" t="s">
        <v>402</v>
      </c>
      <c r="G313" s="596">
        <v>5.6</v>
      </c>
      <c r="H313" s="28"/>
      <c r="I313" s="532">
        <f t="shared" si="15"/>
        <v>5.6</v>
      </c>
      <c r="J313" s="551"/>
      <c r="K313" s="522"/>
      <c r="L313" s="522"/>
      <c r="M313" s="522"/>
      <c r="N313" s="522"/>
      <c r="O313" s="522"/>
      <c r="P313" s="522"/>
      <c r="Q313" s="522"/>
      <c r="R313" s="522"/>
      <c r="S313" s="522"/>
      <c r="T313" s="522"/>
      <c r="U313" s="522"/>
      <c r="V313" s="522"/>
      <c r="W313" s="522"/>
      <c r="X313" s="522"/>
      <c r="Y313" s="522"/>
      <c r="Z313" s="522"/>
    </row>
    <row r="314" spans="1:26" s="523" customFormat="1" ht="15.75" hidden="1" customHeight="1" outlineLevel="1" x14ac:dyDescent="0.2">
      <c r="A314" s="529"/>
      <c r="B314" s="560" t="s">
        <v>719</v>
      </c>
      <c r="C314" s="561"/>
      <c r="D314" s="532" t="s">
        <v>54</v>
      </c>
      <c r="E314" s="28">
        <v>1</v>
      </c>
      <c r="F314" s="28" t="s">
        <v>402</v>
      </c>
      <c r="G314" s="596">
        <v>5.6</v>
      </c>
      <c r="H314" s="28"/>
      <c r="I314" s="532">
        <f t="shared" si="15"/>
        <v>5.6</v>
      </c>
      <c r="J314" s="551"/>
      <c r="K314" s="522"/>
      <c r="L314" s="522"/>
      <c r="M314" s="522"/>
      <c r="N314" s="522"/>
      <c r="O314" s="522"/>
      <c r="P314" s="522"/>
      <c r="Q314" s="522"/>
      <c r="R314" s="522"/>
      <c r="S314" s="522"/>
      <c r="T314" s="522"/>
      <c r="U314" s="522"/>
      <c r="V314" s="522"/>
      <c r="W314" s="522"/>
      <c r="X314" s="522"/>
      <c r="Y314" s="522"/>
      <c r="Z314" s="522"/>
    </row>
    <row r="315" spans="1:26" s="523" customFormat="1" ht="15.75" hidden="1" customHeight="1" outlineLevel="1" x14ac:dyDescent="0.2">
      <c r="A315" s="529"/>
      <c r="B315" s="560" t="s">
        <v>720</v>
      </c>
      <c r="C315" s="561"/>
      <c r="D315" s="532" t="s">
        <v>54</v>
      </c>
      <c r="E315" s="28">
        <v>1</v>
      </c>
      <c r="F315" s="28" t="s">
        <v>402</v>
      </c>
      <c r="G315" s="596">
        <v>8.1</v>
      </c>
      <c r="H315" s="28"/>
      <c r="I315" s="532">
        <f t="shared" si="15"/>
        <v>8.1</v>
      </c>
      <c r="J315" s="597"/>
      <c r="K315" s="522"/>
      <c r="L315" s="522"/>
      <c r="M315" s="522"/>
      <c r="N315" s="522"/>
      <c r="O315" s="522"/>
      <c r="P315" s="522"/>
      <c r="Q315" s="522"/>
      <c r="R315" s="522"/>
      <c r="S315" s="522"/>
      <c r="T315" s="522"/>
      <c r="U315" s="522"/>
      <c r="V315" s="522"/>
      <c r="W315" s="522"/>
      <c r="X315" s="522"/>
      <c r="Y315" s="522"/>
      <c r="Z315" s="522"/>
    </row>
    <row r="316" spans="1:26" s="523" customFormat="1" ht="15.75" hidden="1" customHeight="1" outlineLevel="1" x14ac:dyDescent="0.2">
      <c r="A316" s="529"/>
      <c r="B316" s="560" t="s">
        <v>721</v>
      </c>
      <c r="C316" s="561"/>
      <c r="D316" s="532" t="s">
        <v>54</v>
      </c>
      <c r="E316" s="28">
        <v>1</v>
      </c>
      <c r="F316" s="28" t="s">
        <v>402</v>
      </c>
      <c r="G316" s="596">
        <v>6</v>
      </c>
      <c r="H316" s="28"/>
      <c r="I316" s="532">
        <f t="shared" si="15"/>
        <v>6</v>
      </c>
      <c r="J316" s="551"/>
      <c r="K316" s="522"/>
      <c r="L316" s="522"/>
      <c r="M316" s="522"/>
      <c r="N316" s="522"/>
      <c r="O316" s="522"/>
      <c r="P316" s="522"/>
      <c r="Q316" s="522"/>
      <c r="R316" s="522"/>
      <c r="S316" s="522"/>
      <c r="T316" s="522"/>
      <c r="U316" s="522"/>
      <c r="V316" s="522"/>
      <c r="W316" s="522"/>
      <c r="X316" s="522"/>
      <c r="Y316" s="522"/>
      <c r="Z316" s="522"/>
    </row>
    <row r="317" spans="1:26" s="523" customFormat="1" ht="15.75" hidden="1" customHeight="1" outlineLevel="1" x14ac:dyDescent="0.2">
      <c r="A317" s="529"/>
      <c r="B317" s="560" t="s">
        <v>722</v>
      </c>
      <c r="C317" s="561"/>
      <c r="D317" s="532" t="s">
        <v>54</v>
      </c>
      <c r="E317" s="28">
        <v>1</v>
      </c>
      <c r="F317" s="28" t="s">
        <v>402</v>
      </c>
      <c r="G317" s="596">
        <v>6.4</v>
      </c>
      <c r="H317" s="28"/>
      <c r="I317" s="532">
        <f t="shared" si="15"/>
        <v>6.4</v>
      </c>
      <c r="J317" s="551"/>
      <c r="K317" s="522"/>
      <c r="L317" s="522"/>
      <c r="M317" s="522"/>
      <c r="N317" s="522"/>
      <c r="O317" s="522"/>
      <c r="P317" s="522"/>
      <c r="Q317" s="522"/>
      <c r="R317" s="522"/>
      <c r="S317" s="522"/>
      <c r="T317" s="522"/>
      <c r="U317" s="522"/>
      <c r="V317" s="522"/>
      <c r="W317" s="522"/>
      <c r="X317" s="522"/>
      <c r="Y317" s="522"/>
      <c r="Z317" s="522"/>
    </row>
    <row r="318" spans="1:26" s="523" customFormat="1" ht="15.75" hidden="1" customHeight="1" outlineLevel="1" x14ac:dyDescent="0.2">
      <c r="A318" s="529"/>
      <c r="B318" s="560" t="s">
        <v>723</v>
      </c>
      <c r="C318" s="561"/>
      <c r="D318" s="532" t="s">
        <v>54</v>
      </c>
      <c r="E318" s="28">
        <v>1</v>
      </c>
      <c r="F318" s="28" t="s">
        <v>402</v>
      </c>
      <c r="G318" s="596">
        <v>2.4</v>
      </c>
      <c r="H318" s="28"/>
      <c r="I318" s="532">
        <f t="shared" si="15"/>
        <v>2.4</v>
      </c>
      <c r="J318" s="551"/>
      <c r="K318" s="522"/>
      <c r="L318" s="522"/>
      <c r="M318" s="522"/>
      <c r="N318" s="522"/>
      <c r="O318" s="522"/>
      <c r="P318" s="522"/>
      <c r="Q318" s="522"/>
      <c r="R318" s="522"/>
      <c r="S318" s="522"/>
      <c r="T318" s="522"/>
      <c r="U318" s="522"/>
      <c r="V318" s="522"/>
      <c r="W318" s="522"/>
      <c r="X318" s="522"/>
      <c r="Y318" s="522"/>
      <c r="Z318" s="522"/>
    </row>
    <row r="319" spans="1:26" s="523" customFormat="1" ht="15.75" hidden="1" customHeight="1" outlineLevel="1" x14ac:dyDescent="0.2">
      <c r="A319" s="529"/>
      <c r="B319" s="560" t="s">
        <v>724</v>
      </c>
      <c r="C319" s="561"/>
      <c r="D319" s="532" t="s">
        <v>54</v>
      </c>
      <c r="E319" s="28">
        <v>1</v>
      </c>
      <c r="F319" s="28" t="s">
        <v>402</v>
      </c>
      <c r="G319" s="596">
        <v>5.9</v>
      </c>
      <c r="H319" s="28"/>
      <c r="I319" s="532">
        <f t="shared" si="15"/>
        <v>5.9</v>
      </c>
      <c r="J319" s="551"/>
      <c r="K319" s="522"/>
      <c r="L319" s="522"/>
      <c r="M319" s="522"/>
      <c r="N319" s="522"/>
      <c r="O319" s="522"/>
      <c r="P319" s="522"/>
      <c r="Q319" s="522"/>
      <c r="R319" s="522"/>
      <c r="S319" s="522"/>
      <c r="T319" s="522"/>
      <c r="U319" s="522"/>
      <c r="V319" s="522"/>
      <c r="W319" s="522"/>
      <c r="X319" s="522"/>
      <c r="Y319" s="522"/>
      <c r="Z319" s="522"/>
    </row>
    <row r="320" spans="1:26" s="523" customFormat="1" ht="15.75" hidden="1" customHeight="1" outlineLevel="1" x14ac:dyDescent="0.2">
      <c r="A320" s="529"/>
      <c r="B320" s="560" t="s">
        <v>725</v>
      </c>
      <c r="C320" s="561"/>
      <c r="D320" s="532" t="s">
        <v>54</v>
      </c>
      <c r="E320" s="28">
        <v>1</v>
      </c>
      <c r="F320" s="28" t="s">
        <v>402</v>
      </c>
      <c r="G320" s="596">
        <v>5.9</v>
      </c>
      <c r="H320" s="28"/>
      <c r="I320" s="532">
        <f t="shared" si="15"/>
        <v>5.9</v>
      </c>
      <c r="J320" s="551"/>
      <c r="K320" s="522"/>
      <c r="L320" s="522"/>
      <c r="M320" s="522"/>
      <c r="N320" s="522"/>
      <c r="O320" s="522"/>
      <c r="P320" s="522"/>
      <c r="Q320" s="522"/>
      <c r="R320" s="522"/>
      <c r="S320" s="522"/>
      <c r="T320" s="522"/>
      <c r="U320" s="522"/>
      <c r="V320" s="522"/>
      <c r="W320" s="522"/>
      <c r="X320" s="522"/>
      <c r="Y320" s="522"/>
      <c r="Z320" s="522"/>
    </row>
    <row r="321" spans="1:26" s="523" customFormat="1" ht="15.75" hidden="1" customHeight="1" outlineLevel="1" x14ac:dyDescent="0.2">
      <c r="A321" s="529"/>
      <c r="B321" s="560" t="s">
        <v>726</v>
      </c>
      <c r="C321" s="561"/>
      <c r="D321" s="532" t="s">
        <v>54</v>
      </c>
      <c r="E321" s="28">
        <v>1</v>
      </c>
      <c r="F321" s="28" t="s">
        <v>402</v>
      </c>
      <c r="G321" s="596">
        <v>5.4</v>
      </c>
      <c r="H321" s="28"/>
      <c r="I321" s="532">
        <f t="shared" si="15"/>
        <v>5.4</v>
      </c>
      <c r="J321" s="551"/>
      <c r="K321" s="522"/>
      <c r="L321" s="522"/>
      <c r="M321" s="522"/>
      <c r="N321" s="522"/>
      <c r="O321" s="522"/>
      <c r="P321" s="522"/>
      <c r="Q321" s="522"/>
      <c r="R321" s="522"/>
      <c r="S321" s="522"/>
      <c r="T321" s="522"/>
      <c r="U321" s="522"/>
      <c r="V321" s="522"/>
      <c r="W321" s="522"/>
      <c r="X321" s="522"/>
      <c r="Y321" s="522"/>
      <c r="Z321" s="522"/>
    </row>
    <row r="322" spans="1:26" s="523" customFormat="1" ht="15.75" hidden="1" customHeight="1" outlineLevel="1" x14ac:dyDescent="0.2">
      <c r="A322" s="529"/>
      <c r="B322" s="560" t="s">
        <v>727</v>
      </c>
      <c r="C322" s="561"/>
      <c r="D322" s="532" t="s">
        <v>54</v>
      </c>
      <c r="E322" s="28">
        <v>1</v>
      </c>
      <c r="F322" s="28" t="s">
        <v>402</v>
      </c>
      <c r="G322" s="596">
        <v>5.9</v>
      </c>
      <c r="H322" s="28"/>
      <c r="I322" s="532">
        <f t="shared" si="15"/>
        <v>5.9</v>
      </c>
      <c r="J322" s="551"/>
      <c r="K322" s="522"/>
      <c r="L322" s="522"/>
      <c r="M322" s="522"/>
      <c r="N322" s="522"/>
      <c r="O322" s="522"/>
      <c r="P322" s="522"/>
      <c r="Q322" s="522"/>
      <c r="R322" s="522"/>
      <c r="S322" s="522"/>
      <c r="T322" s="522"/>
      <c r="U322" s="522"/>
      <c r="V322" s="522"/>
      <c r="W322" s="522"/>
      <c r="X322" s="522"/>
      <c r="Y322" s="522"/>
      <c r="Z322" s="522"/>
    </row>
    <row r="323" spans="1:26" s="523" customFormat="1" ht="15.75" hidden="1" customHeight="1" outlineLevel="1" x14ac:dyDescent="0.2">
      <c r="A323" s="529"/>
      <c r="B323" s="560" t="s">
        <v>728</v>
      </c>
      <c r="C323" s="561"/>
      <c r="D323" s="532" t="s">
        <v>54</v>
      </c>
      <c r="E323" s="28">
        <v>1</v>
      </c>
      <c r="F323" s="28" t="s">
        <v>402</v>
      </c>
      <c r="G323" s="596">
        <v>1.9</v>
      </c>
      <c r="H323" s="28"/>
      <c r="I323" s="532">
        <f t="shared" si="15"/>
        <v>1.9</v>
      </c>
      <c r="J323" s="551"/>
      <c r="K323" s="522"/>
      <c r="L323" s="522"/>
      <c r="M323" s="522"/>
      <c r="N323" s="522"/>
      <c r="O323" s="522"/>
      <c r="P323" s="522"/>
      <c r="Q323" s="522"/>
      <c r="R323" s="522"/>
      <c r="S323" s="522"/>
      <c r="T323" s="522"/>
      <c r="U323" s="522"/>
      <c r="V323" s="522"/>
      <c r="W323" s="522"/>
      <c r="X323" s="522"/>
      <c r="Y323" s="522"/>
      <c r="Z323" s="522"/>
    </row>
    <row r="324" spans="1:26" s="523" customFormat="1" ht="15.75" hidden="1" customHeight="1" outlineLevel="1" x14ac:dyDescent="0.2">
      <c r="A324" s="148"/>
      <c r="B324" s="562"/>
      <c r="C324" s="563"/>
      <c r="D324" s="535"/>
      <c r="E324" s="529"/>
      <c r="F324" s="148"/>
      <c r="G324" s="148"/>
      <c r="H324" s="148"/>
      <c r="I324" s="148"/>
      <c r="J324" s="564"/>
      <c r="K324" s="565"/>
      <c r="L324" s="522"/>
      <c r="M324" s="522"/>
      <c r="N324" s="522"/>
      <c r="O324" s="522"/>
      <c r="P324" s="522"/>
      <c r="Q324" s="522"/>
      <c r="R324" s="522"/>
      <c r="S324" s="522"/>
      <c r="T324" s="522"/>
      <c r="U324" s="522"/>
      <c r="V324" s="522"/>
      <c r="W324" s="522"/>
      <c r="X324" s="522"/>
      <c r="Y324" s="522"/>
      <c r="Z324" s="522"/>
    </row>
    <row r="325" spans="1:26" s="523" customFormat="1" ht="15.75" customHeight="1" collapsed="1" x14ac:dyDescent="0.2">
      <c r="A325" s="526" t="s">
        <v>424</v>
      </c>
      <c r="B325" s="548" t="s">
        <v>413</v>
      </c>
      <c r="C325" s="527"/>
      <c r="D325" s="526" t="s">
        <v>408</v>
      </c>
      <c r="E325" s="526"/>
      <c r="F325" s="526"/>
      <c r="G325" s="526"/>
      <c r="H325" s="526"/>
      <c r="I325" s="526"/>
      <c r="J325" s="528">
        <f>SUM(I326:I334)</f>
        <v>110.5573</v>
      </c>
      <c r="K325" s="522"/>
      <c r="L325" s="522"/>
      <c r="M325" s="522"/>
      <c r="N325" s="522"/>
      <c r="O325" s="522"/>
      <c r="P325" s="522"/>
      <c r="Q325" s="522"/>
      <c r="R325" s="522"/>
      <c r="S325" s="522"/>
      <c r="T325" s="522"/>
      <c r="U325" s="522"/>
      <c r="V325" s="522"/>
      <c r="W325" s="522"/>
      <c r="X325" s="522"/>
      <c r="Y325" s="522"/>
      <c r="Z325" s="522"/>
    </row>
    <row r="326" spans="1:26" s="523" customFormat="1" ht="15.75" hidden="1" customHeight="1" outlineLevel="1" x14ac:dyDescent="0.2">
      <c r="A326" s="566"/>
      <c r="B326" s="567" t="s">
        <v>673</v>
      </c>
      <c r="C326" s="568"/>
      <c r="D326" s="166" t="s">
        <v>38</v>
      </c>
      <c r="E326" s="148">
        <v>1</v>
      </c>
      <c r="F326" s="148" t="s">
        <v>49</v>
      </c>
      <c r="G326" s="393">
        <v>13.61</v>
      </c>
      <c r="H326" s="566"/>
      <c r="I326" s="532">
        <f t="shared" ref="I326:I333" si="16">PRODUCT(E326:H326)</f>
        <v>13.61</v>
      </c>
      <c r="J326" s="569"/>
      <c r="K326" s="522"/>
      <c r="L326" s="522"/>
      <c r="M326" s="522"/>
      <c r="N326" s="522"/>
      <c r="O326" s="522"/>
      <c r="P326" s="522"/>
      <c r="Q326" s="522"/>
      <c r="R326" s="522"/>
      <c r="S326" s="522"/>
      <c r="T326" s="522"/>
      <c r="U326" s="522"/>
      <c r="V326" s="522"/>
      <c r="W326" s="522"/>
      <c r="X326" s="522"/>
      <c r="Y326" s="522"/>
      <c r="Z326" s="522"/>
    </row>
    <row r="327" spans="1:26" s="523" customFormat="1" ht="15.75" hidden="1" customHeight="1" outlineLevel="1" x14ac:dyDescent="0.2">
      <c r="A327" s="566"/>
      <c r="B327" s="570" t="s">
        <v>674</v>
      </c>
      <c r="C327" s="571"/>
      <c r="D327" s="166" t="s">
        <v>38</v>
      </c>
      <c r="E327" s="148">
        <v>1</v>
      </c>
      <c r="F327" s="148" t="s">
        <v>49</v>
      </c>
      <c r="G327" s="393">
        <v>23.136099999999999</v>
      </c>
      <c r="H327" s="566"/>
      <c r="I327" s="532">
        <f t="shared" si="16"/>
        <v>23.136099999999999</v>
      </c>
      <c r="J327" s="572"/>
      <c r="K327" s="522"/>
      <c r="L327" s="522"/>
      <c r="M327" s="522"/>
      <c r="N327" s="522"/>
      <c r="O327" s="522"/>
      <c r="P327" s="522"/>
      <c r="Q327" s="522"/>
      <c r="R327" s="522"/>
      <c r="S327" s="522"/>
      <c r="T327" s="522"/>
      <c r="U327" s="522"/>
      <c r="V327" s="522"/>
      <c r="W327" s="522"/>
      <c r="X327" s="522"/>
      <c r="Y327" s="522"/>
      <c r="Z327" s="522"/>
    </row>
    <row r="328" spans="1:26" s="523" customFormat="1" ht="15.75" hidden="1" customHeight="1" outlineLevel="1" x14ac:dyDescent="0.2">
      <c r="A328" s="566"/>
      <c r="B328" s="570" t="s">
        <v>675</v>
      </c>
      <c r="C328" s="571"/>
      <c r="D328" s="166" t="s">
        <v>38</v>
      </c>
      <c r="E328" s="148">
        <v>1</v>
      </c>
      <c r="F328" s="148" t="s">
        <v>49</v>
      </c>
      <c r="G328" s="393">
        <v>13.4787</v>
      </c>
      <c r="H328" s="566"/>
      <c r="I328" s="532">
        <f t="shared" si="16"/>
        <v>13.4787</v>
      </c>
      <c r="J328" s="572"/>
      <c r="K328" s="522"/>
      <c r="L328" s="522"/>
      <c r="M328" s="522"/>
      <c r="N328" s="522"/>
      <c r="O328" s="522"/>
      <c r="P328" s="522"/>
      <c r="Q328" s="522"/>
      <c r="R328" s="522"/>
      <c r="S328" s="522"/>
      <c r="T328" s="522"/>
      <c r="U328" s="522"/>
      <c r="V328" s="522"/>
      <c r="W328" s="522"/>
      <c r="X328" s="522"/>
      <c r="Y328" s="522"/>
      <c r="Z328" s="522"/>
    </row>
    <row r="329" spans="1:26" s="523" customFormat="1" ht="15.75" hidden="1" customHeight="1" outlineLevel="1" x14ac:dyDescent="0.2">
      <c r="A329" s="566"/>
      <c r="B329" s="567" t="s">
        <v>676</v>
      </c>
      <c r="C329" s="571"/>
      <c r="D329" s="166" t="s">
        <v>38</v>
      </c>
      <c r="E329" s="148">
        <v>1</v>
      </c>
      <c r="F329" s="148" t="s">
        <v>49</v>
      </c>
      <c r="G329" s="393">
        <v>3.69</v>
      </c>
      <c r="H329" s="566"/>
      <c r="I329" s="532">
        <f t="shared" si="16"/>
        <v>3.69</v>
      </c>
      <c r="J329" s="572"/>
      <c r="K329" s="522"/>
      <c r="L329" s="522"/>
      <c r="M329" s="522"/>
      <c r="N329" s="522"/>
      <c r="O329" s="522"/>
      <c r="P329" s="522"/>
      <c r="Q329" s="522"/>
      <c r="R329" s="522"/>
      <c r="S329" s="522"/>
      <c r="T329" s="522"/>
      <c r="U329" s="522"/>
      <c r="V329" s="522"/>
      <c r="W329" s="522"/>
      <c r="X329" s="522"/>
      <c r="Y329" s="522"/>
      <c r="Z329" s="522"/>
    </row>
    <row r="330" spans="1:26" s="523" customFormat="1" ht="15.75" hidden="1" customHeight="1" outlineLevel="1" x14ac:dyDescent="0.2">
      <c r="A330" s="566"/>
      <c r="B330" s="570" t="s">
        <v>677</v>
      </c>
      <c r="C330" s="571"/>
      <c r="D330" s="166" t="s">
        <v>38</v>
      </c>
      <c r="E330" s="148">
        <v>1</v>
      </c>
      <c r="F330" s="148" t="s">
        <v>49</v>
      </c>
      <c r="G330" s="393">
        <v>26.34</v>
      </c>
      <c r="H330" s="566"/>
      <c r="I330" s="532">
        <f t="shared" si="16"/>
        <v>26.34</v>
      </c>
      <c r="J330" s="572"/>
      <c r="K330" s="522"/>
      <c r="L330" s="522"/>
      <c r="M330" s="522"/>
      <c r="N330" s="522"/>
      <c r="O330" s="522"/>
      <c r="P330" s="522"/>
      <c r="Q330" s="522"/>
      <c r="R330" s="522"/>
      <c r="S330" s="522"/>
      <c r="T330" s="522"/>
      <c r="U330" s="522"/>
      <c r="V330" s="522"/>
      <c r="W330" s="522"/>
      <c r="X330" s="522"/>
      <c r="Y330" s="522"/>
      <c r="Z330" s="522"/>
    </row>
    <row r="331" spans="1:26" s="523" customFormat="1" ht="15.75" hidden="1" customHeight="1" outlineLevel="1" x14ac:dyDescent="0.2">
      <c r="A331" s="566"/>
      <c r="B331" s="570" t="s">
        <v>678</v>
      </c>
      <c r="C331" s="573"/>
      <c r="D331" s="166" t="s">
        <v>38</v>
      </c>
      <c r="E331" s="148">
        <v>1</v>
      </c>
      <c r="F331" s="148" t="s">
        <v>49</v>
      </c>
      <c r="G331" s="393">
        <v>14.92</v>
      </c>
      <c r="H331" s="566"/>
      <c r="I331" s="532">
        <f t="shared" si="16"/>
        <v>14.92</v>
      </c>
      <c r="J331" s="572"/>
      <c r="K331" s="522"/>
      <c r="L331" s="522"/>
      <c r="M331" s="522"/>
      <c r="N331" s="522"/>
      <c r="O331" s="522"/>
      <c r="P331" s="522"/>
      <c r="Q331" s="522"/>
      <c r="R331" s="522"/>
      <c r="S331" s="522"/>
      <c r="T331" s="522"/>
      <c r="U331" s="522"/>
      <c r="V331" s="522"/>
      <c r="W331" s="522"/>
      <c r="X331" s="522"/>
      <c r="Y331" s="522"/>
      <c r="Z331" s="522"/>
    </row>
    <row r="332" spans="1:26" s="523" customFormat="1" ht="15.75" hidden="1" customHeight="1" outlineLevel="1" x14ac:dyDescent="0.2">
      <c r="A332" s="566"/>
      <c r="B332" s="567" t="s">
        <v>679</v>
      </c>
      <c r="C332" s="352"/>
      <c r="D332" s="166" t="s">
        <v>38</v>
      </c>
      <c r="E332" s="148">
        <v>1</v>
      </c>
      <c r="F332" s="28" t="s">
        <v>49</v>
      </c>
      <c r="G332" s="393">
        <v>12.442500000000001</v>
      </c>
      <c r="H332" s="566"/>
      <c r="I332" s="532">
        <f t="shared" si="16"/>
        <v>12.442500000000001</v>
      </c>
      <c r="J332" s="572"/>
      <c r="K332" s="522"/>
      <c r="L332" s="522"/>
      <c r="M332" s="522"/>
      <c r="N332" s="522"/>
      <c r="O332" s="522"/>
      <c r="P332" s="522"/>
      <c r="Q332" s="522"/>
      <c r="R332" s="522"/>
      <c r="S332" s="522"/>
      <c r="T332" s="522"/>
      <c r="U332" s="522"/>
      <c r="V332" s="522"/>
      <c r="W332" s="522"/>
      <c r="X332" s="522"/>
      <c r="Y332" s="522"/>
      <c r="Z332" s="522"/>
    </row>
    <row r="333" spans="1:26" s="523" customFormat="1" ht="15.75" hidden="1" customHeight="1" outlineLevel="1" x14ac:dyDescent="0.2">
      <c r="A333" s="566"/>
      <c r="B333" s="574" t="s">
        <v>681</v>
      </c>
      <c r="C333" s="353"/>
      <c r="D333" s="166" t="s">
        <v>38</v>
      </c>
      <c r="E333" s="148">
        <v>1</v>
      </c>
      <c r="F333" s="28" t="s">
        <v>49</v>
      </c>
      <c r="G333" s="393">
        <v>2.94</v>
      </c>
      <c r="H333" s="566"/>
      <c r="I333" s="532">
        <f t="shared" si="16"/>
        <v>2.94</v>
      </c>
      <c r="J333" s="572"/>
      <c r="K333" s="522"/>
      <c r="L333" s="522"/>
      <c r="M333" s="522"/>
      <c r="N333" s="522"/>
      <c r="O333" s="522"/>
      <c r="P333" s="522"/>
      <c r="Q333" s="522"/>
      <c r="R333" s="522"/>
      <c r="S333" s="522"/>
      <c r="T333" s="522"/>
      <c r="U333" s="522"/>
      <c r="V333" s="522"/>
      <c r="W333" s="522"/>
      <c r="X333" s="522"/>
      <c r="Y333" s="522"/>
      <c r="Z333" s="522"/>
    </row>
    <row r="334" spans="1:26" s="523" customFormat="1" ht="15.75" hidden="1" customHeight="1" outlineLevel="1" x14ac:dyDescent="0.2">
      <c r="A334" s="575"/>
      <c r="B334" s="574"/>
      <c r="C334" s="353"/>
      <c r="D334" s="576"/>
      <c r="E334" s="577"/>
      <c r="F334" s="28"/>
      <c r="G334" s="577"/>
      <c r="H334" s="566"/>
      <c r="I334" s="532"/>
      <c r="J334" s="572"/>
      <c r="K334" s="522"/>
      <c r="L334" s="522"/>
      <c r="M334" s="522"/>
      <c r="N334" s="522"/>
      <c r="O334" s="522"/>
      <c r="P334" s="522"/>
      <c r="Q334" s="522"/>
      <c r="R334" s="522"/>
      <c r="S334" s="522"/>
      <c r="T334" s="522"/>
      <c r="U334" s="522"/>
      <c r="V334" s="522"/>
      <c r="W334" s="522"/>
      <c r="X334" s="522"/>
      <c r="Y334" s="522"/>
      <c r="Z334" s="522"/>
    </row>
    <row r="335" spans="1:26" s="523" customFormat="1" ht="15" customHeight="1" collapsed="1" x14ac:dyDescent="0.2">
      <c r="A335" s="526" t="s">
        <v>427</v>
      </c>
      <c r="B335" s="578" t="s">
        <v>428</v>
      </c>
      <c r="C335" s="579"/>
      <c r="D335" s="526" t="s">
        <v>408</v>
      </c>
      <c r="E335" s="526"/>
      <c r="F335" s="526"/>
      <c r="G335" s="526"/>
      <c r="H335" s="526"/>
      <c r="I335" s="526"/>
      <c r="J335" s="528">
        <f>SUM(I336:I337)</f>
        <v>115.49120000000001</v>
      </c>
    </row>
    <row r="336" spans="1:26" s="523" customFormat="1" ht="15" hidden="1" customHeight="1" outlineLevel="1" x14ac:dyDescent="0.2">
      <c r="A336" s="580"/>
      <c r="B336" s="358" t="s">
        <v>505</v>
      </c>
      <c r="C336" s="536"/>
      <c r="D336" s="148" t="s">
        <v>38</v>
      </c>
      <c r="E336" s="28">
        <v>1</v>
      </c>
      <c r="F336" s="28" t="s">
        <v>49</v>
      </c>
      <c r="G336" s="596">
        <v>115.49120000000001</v>
      </c>
      <c r="H336" s="28"/>
      <c r="I336" s="532">
        <f>PRODUCT(E336:H336)</f>
        <v>115.49120000000001</v>
      </c>
      <c r="J336" s="597"/>
    </row>
    <row r="337" spans="1:26" s="523" customFormat="1" ht="15" hidden="1" customHeight="1" outlineLevel="1" x14ac:dyDescent="0.2">
      <c r="A337" s="580"/>
      <c r="B337" s="358"/>
      <c r="C337" s="536"/>
      <c r="D337" s="148"/>
      <c r="E337" s="28"/>
      <c r="F337" s="28"/>
      <c r="G337" s="28"/>
      <c r="H337" s="28"/>
      <c r="I337" s="532"/>
      <c r="J337" s="582"/>
    </row>
    <row r="338" spans="1:26" s="523" customFormat="1" ht="15.75" customHeight="1" collapsed="1" x14ac:dyDescent="0.2">
      <c r="A338" s="583" t="s">
        <v>425</v>
      </c>
      <c r="B338" s="584" t="s">
        <v>414</v>
      </c>
      <c r="C338" s="585"/>
      <c r="D338" s="586" t="s">
        <v>408</v>
      </c>
      <c r="E338" s="526"/>
      <c r="F338" s="526"/>
      <c r="G338" s="526"/>
      <c r="H338" s="526"/>
      <c r="I338" s="526"/>
      <c r="J338" s="587">
        <f>SUM(I339:I347)</f>
        <v>18.216000000000001</v>
      </c>
      <c r="K338" s="522"/>
      <c r="L338" s="522"/>
      <c r="M338" s="522"/>
      <c r="N338" s="522"/>
      <c r="O338" s="522"/>
      <c r="P338" s="522"/>
      <c r="Q338" s="522"/>
      <c r="R338" s="522"/>
      <c r="S338" s="522"/>
      <c r="T338" s="522"/>
      <c r="U338" s="522"/>
      <c r="V338" s="522"/>
      <c r="W338" s="522"/>
      <c r="X338" s="522"/>
      <c r="Y338" s="522"/>
      <c r="Z338" s="522"/>
    </row>
    <row r="339" spans="1:26" s="523" customFormat="1" ht="15.75" hidden="1" customHeight="1" outlineLevel="1" x14ac:dyDescent="0.2">
      <c r="A339" s="588" t="s">
        <v>240</v>
      </c>
      <c r="B339" s="358" t="s">
        <v>384</v>
      </c>
      <c r="C339" s="536"/>
      <c r="D339" s="166" t="s">
        <v>38</v>
      </c>
      <c r="E339" s="28">
        <v>1</v>
      </c>
      <c r="F339" s="28">
        <v>1.2</v>
      </c>
      <c r="G339" s="596"/>
      <c r="H339" s="598">
        <v>2</v>
      </c>
      <c r="I339" s="532">
        <f t="shared" ref="I339:I346" si="17">PRODUCT(E339:H339)</f>
        <v>2.4</v>
      </c>
      <c r="J339" s="569"/>
      <c r="K339" s="522"/>
      <c r="L339" s="522"/>
      <c r="M339" s="522"/>
      <c r="N339" s="522"/>
      <c r="O339" s="522"/>
      <c r="P339" s="522"/>
      <c r="Q339" s="522"/>
      <c r="R339" s="522"/>
      <c r="S339" s="522"/>
      <c r="T339" s="522"/>
      <c r="U339" s="522"/>
      <c r="V339" s="522"/>
      <c r="W339" s="522"/>
      <c r="X339" s="522"/>
      <c r="Y339" s="522"/>
      <c r="Z339" s="522"/>
    </row>
    <row r="340" spans="1:26" s="523" customFormat="1" ht="15.75" hidden="1" customHeight="1" outlineLevel="1" x14ac:dyDescent="0.2">
      <c r="A340" s="588"/>
      <c r="B340" s="358" t="s">
        <v>682</v>
      </c>
      <c r="C340" s="536"/>
      <c r="D340" s="166" t="s">
        <v>38</v>
      </c>
      <c r="E340" s="28">
        <v>7</v>
      </c>
      <c r="F340" s="28">
        <v>1.2</v>
      </c>
      <c r="G340" s="596"/>
      <c r="H340" s="598">
        <v>0.25</v>
      </c>
      <c r="I340" s="532">
        <f t="shared" si="17"/>
        <v>2.1</v>
      </c>
      <c r="J340" s="572"/>
      <c r="K340" s="522"/>
      <c r="L340" s="522"/>
      <c r="M340" s="522"/>
      <c r="N340" s="522"/>
      <c r="O340" s="522"/>
      <c r="P340" s="522"/>
      <c r="Q340" s="522"/>
      <c r="R340" s="522"/>
      <c r="S340" s="522"/>
      <c r="T340" s="522"/>
      <c r="U340" s="522"/>
      <c r="V340" s="522"/>
      <c r="W340" s="522"/>
      <c r="X340" s="522"/>
      <c r="Y340" s="522"/>
      <c r="Z340" s="522"/>
    </row>
    <row r="341" spans="1:26" s="523" customFormat="1" ht="15.75" hidden="1" customHeight="1" outlineLevel="1" x14ac:dyDescent="0.2">
      <c r="A341" s="588"/>
      <c r="B341" s="358" t="s">
        <v>683</v>
      </c>
      <c r="C341" s="536"/>
      <c r="D341" s="166" t="s">
        <v>38</v>
      </c>
      <c r="E341" s="28">
        <v>8</v>
      </c>
      <c r="F341" s="28">
        <v>1.2</v>
      </c>
      <c r="G341" s="596"/>
      <c r="H341" s="598">
        <v>0.18</v>
      </c>
      <c r="I341" s="532">
        <f t="shared" si="17"/>
        <v>1.728</v>
      </c>
      <c r="J341" s="572"/>
      <c r="K341" s="522"/>
      <c r="L341" s="522"/>
      <c r="M341" s="522"/>
      <c r="N341" s="522"/>
      <c r="O341" s="522"/>
      <c r="P341" s="522"/>
      <c r="Q341" s="522"/>
      <c r="R341" s="522"/>
      <c r="S341" s="522"/>
      <c r="T341" s="522"/>
      <c r="U341" s="522"/>
      <c r="V341" s="522"/>
      <c r="W341" s="522"/>
      <c r="X341" s="522"/>
      <c r="Y341" s="522"/>
      <c r="Z341" s="522"/>
    </row>
    <row r="342" spans="1:26" s="523" customFormat="1" ht="15.75" hidden="1" customHeight="1" outlineLevel="1" x14ac:dyDescent="0.2">
      <c r="A342" s="588" t="s">
        <v>684</v>
      </c>
      <c r="B342" s="358" t="s">
        <v>384</v>
      </c>
      <c r="C342" s="536"/>
      <c r="D342" s="166" t="s">
        <v>38</v>
      </c>
      <c r="E342" s="28">
        <v>1</v>
      </c>
      <c r="F342" s="28">
        <v>1.2</v>
      </c>
      <c r="G342" s="596"/>
      <c r="H342" s="598">
        <v>2.4</v>
      </c>
      <c r="I342" s="532">
        <f t="shared" si="17"/>
        <v>2.88</v>
      </c>
      <c r="J342" s="572"/>
      <c r="K342" s="522"/>
      <c r="L342" s="522"/>
      <c r="M342" s="522"/>
      <c r="N342" s="522"/>
      <c r="O342" s="522"/>
      <c r="P342" s="522"/>
      <c r="Q342" s="522"/>
      <c r="R342" s="522"/>
      <c r="S342" s="522"/>
      <c r="T342" s="522"/>
      <c r="U342" s="522"/>
      <c r="V342" s="522"/>
      <c r="W342" s="522"/>
      <c r="X342" s="522"/>
      <c r="Y342" s="522"/>
      <c r="Z342" s="522"/>
    </row>
    <row r="343" spans="1:26" s="523" customFormat="1" ht="15.75" hidden="1" customHeight="1" outlineLevel="1" x14ac:dyDescent="0.2">
      <c r="A343" s="588"/>
      <c r="B343" s="358" t="s">
        <v>685</v>
      </c>
      <c r="C343" s="536"/>
      <c r="D343" s="166" t="s">
        <v>38</v>
      </c>
      <c r="E343" s="28">
        <v>1</v>
      </c>
      <c r="F343" s="28">
        <v>1.2</v>
      </c>
      <c r="G343" s="596"/>
      <c r="H343" s="598">
        <v>2.4</v>
      </c>
      <c r="I343" s="532">
        <f t="shared" si="17"/>
        <v>2.88</v>
      </c>
      <c r="J343" s="572"/>
      <c r="K343" s="522"/>
      <c r="L343" s="522"/>
      <c r="M343" s="522"/>
      <c r="N343" s="522"/>
      <c r="O343" s="522"/>
      <c r="P343" s="522"/>
      <c r="Q343" s="522"/>
      <c r="R343" s="522"/>
      <c r="S343" s="522"/>
      <c r="T343" s="522"/>
      <c r="U343" s="522"/>
      <c r="V343" s="522"/>
      <c r="W343" s="522"/>
      <c r="X343" s="522"/>
      <c r="Y343" s="522"/>
      <c r="Z343" s="522"/>
    </row>
    <row r="344" spans="1:26" s="523" customFormat="1" ht="15.75" hidden="1" customHeight="1" outlineLevel="1" x14ac:dyDescent="0.2">
      <c r="A344" s="588" t="s">
        <v>241</v>
      </c>
      <c r="B344" s="358" t="s">
        <v>384</v>
      </c>
      <c r="C344" s="536"/>
      <c r="D344" s="166" t="s">
        <v>38</v>
      </c>
      <c r="E344" s="28">
        <v>1</v>
      </c>
      <c r="F344" s="28">
        <v>1.2</v>
      </c>
      <c r="G344" s="596"/>
      <c r="H344" s="598">
        <v>2</v>
      </c>
      <c r="I344" s="532">
        <f t="shared" si="17"/>
        <v>2.4</v>
      </c>
      <c r="J344" s="572"/>
      <c r="K344" s="522"/>
      <c r="L344" s="522"/>
      <c r="M344" s="522"/>
      <c r="N344" s="522"/>
      <c r="O344" s="522"/>
      <c r="P344" s="522"/>
      <c r="Q344" s="522"/>
      <c r="R344" s="522"/>
      <c r="S344" s="522"/>
      <c r="T344" s="522"/>
      <c r="U344" s="522"/>
      <c r="V344" s="522"/>
      <c r="W344" s="522"/>
      <c r="X344" s="522"/>
      <c r="Y344" s="522"/>
      <c r="Z344" s="522"/>
    </row>
    <row r="345" spans="1:26" s="523" customFormat="1" ht="15.75" hidden="1" customHeight="1" outlineLevel="1" x14ac:dyDescent="0.2">
      <c r="A345" s="588"/>
      <c r="B345" s="358" t="s">
        <v>682</v>
      </c>
      <c r="C345" s="536"/>
      <c r="D345" s="166" t="s">
        <v>38</v>
      </c>
      <c r="E345" s="28">
        <v>7</v>
      </c>
      <c r="F345" s="28">
        <v>1.2</v>
      </c>
      <c r="G345" s="596"/>
      <c r="H345" s="598">
        <v>0.25</v>
      </c>
      <c r="I345" s="532">
        <f t="shared" si="17"/>
        <v>2.1</v>
      </c>
      <c r="J345" s="572"/>
      <c r="K345" s="522"/>
      <c r="L345" s="522"/>
      <c r="M345" s="522"/>
      <c r="N345" s="522"/>
      <c r="O345" s="522"/>
      <c r="P345" s="522"/>
      <c r="Q345" s="522"/>
      <c r="R345" s="522"/>
      <c r="S345" s="522"/>
      <c r="T345" s="522"/>
      <c r="U345" s="522"/>
      <c r="V345" s="522"/>
      <c r="W345" s="522"/>
      <c r="X345" s="522"/>
      <c r="Y345" s="522"/>
      <c r="Z345" s="522"/>
    </row>
    <row r="346" spans="1:26" s="523" customFormat="1" ht="15.75" hidden="1" customHeight="1" outlineLevel="1" x14ac:dyDescent="0.2">
      <c r="A346" s="588"/>
      <c r="B346" s="358" t="s">
        <v>683</v>
      </c>
      <c r="C346" s="536"/>
      <c r="D346" s="166" t="s">
        <v>38</v>
      </c>
      <c r="E346" s="28">
        <v>8</v>
      </c>
      <c r="F346" s="28">
        <v>1.2</v>
      </c>
      <c r="G346" s="596"/>
      <c r="H346" s="598">
        <v>0.18</v>
      </c>
      <c r="I346" s="532">
        <f t="shared" si="17"/>
        <v>1.728</v>
      </c>
      <c r="J346" s="572"/>
      <c r="K346" s="522"/>
      <c r="L346" s="522"/>
      <c r="M346" s="522"/>
      <c r="N346" s="522"/>
      <c r="O346" s="522"/>
      <c r="P346" s="522"/>
      <c r="Q346" s="522"/>
      <c r="R346" s="522"/>
      <c r="S346" s="522"/>
      <c r="T346" s="522"/>
      <c r="U346" s="522"/>
      <c r="V346" s="522"/>
      <c r="W346" s="522"/>
      <c r="X346" s="522"/>
      <c r="Y346" s="522"/>
      <c r="Z346" s="522"/>
    </row>
    <row r="347" spans="1:26" s="523" customFormat="1" ht="15.75" hidden="1" customHeight="1" outlineLevel="1" x14ac:dyDescent="0.2">
      <c r="A347" s="588"/>
      <c r="B347" s="589"/>
      <c r="C347" s="590"/>
      <c r="D347" s="28"/>
      <c r="E347" s="28"/>
      <c r="F347" s="28"/>
      <c r="G347" s="28"/>
      <c r="H347" s="588"/>
      <c r="I347" s="532"/>
      <c r="J347" s="572"/>
      <c r="K347" s="522"/>
      <c r="L347" s="522"/>
      <c r="M347" s="522"/>
      <c r="N347" s="522"/>
      <c r="O347" s="522"/>
      <c r="P347" s="522"/>
      <c r="Q347" s="522"/>
      <c r="R347" s="522"/>
      <c r="S347" s="522"/>
      <c r="T347" s="522"/>
      <c r="U347" s="522"/>
      <c r="V347" s="522"/>
      <c r="W347" s="522"/>
      <c r="X347" s="522"/>
      <c r="Y347" s="522"/>
      <c r="Z347" s="522"/>
    </row>
    <row r="348" spans="1:26" s="523" customFormat="1" ht="15" customHeight="1" collapsed="1" x14ac:dyDescent="0.2">
      <c r="A348" s="526" t="s">
        <v>421</v>
      </c>
      <c r="B348" s="540" t="s">
        <v>411</v>
      </c>
      <c r="C348" s="541"/>
      <c r="D348" s="526" t="s">
        <v>408</v>
      </c>
      <c r="E348" s="591"/>
      <c r="F348" s="526"/>
      <c r="G348" s="526"/>
      <c r="H348" s="526"/>
      <c r="I348" s="526"/>
      <c r="J348" s="528">
        <f>SUM(I349:I350)</f>
        <v>1</v>
      </c>
      <c r="K348" s="522"/>
      <c r="L348" s="522"/>
      <c r="M348" s="522"/>
      <c r="N348" s="522"/>
      <c r="O348" s="522"/>
      <c r="P348" s="522"/>
      <c r="Q348" s="522"/>
      <c r="R348" s="522"/>
      <c r="S348" s="522"/>
      <c r="T348" s="522"/>
      <c r="U348" s="522"/>
      <c r="V348" s="522"/>
      <c r="W348" s="522"/>
      <c r="X348" s="522"/>
      <c r="Y348" s="522"/>
      <c r="Z348" s="522"/>
    </row>
    <row r="349" spans="1:26" s="523" customFormat="1" ht="15.75" hidden="1" customHeight="1" outlineLevel="1" x14ac:dyDescent="0.2">
      <c r="A349" s="529"/>
      <c r="B349" s="592"/>
      <c r="C349" s="593"/>
      <c r="D349" s="532" t="s">
        <v>38</v>
      </c>
      <c r="E349" s="529">
        <v>1</v>
      </c>
      <c r="F349" s="28"/>
      <c r="G349" s="28"/>
      <c r="H349" s="28"/>
      <c r="I349" s="532">
        <f>PRODUCT(E349:H349)</f>
        <v>1</v>
      </c>
      <c r="J349" s="551"/>
      <c r="L349" s="522"/>
      <c r="M349" s="522"/>
      <c r="N349" s="522"/>
      <c r="O349" s="522"/>
      <c r="P349" s="522"/>
      <c r="Q349" s="522"/>
      <c r="R349" s="522"/>
      <c r="S349" s="522"/>
      <c r="T349" s="522"/>
      <c r="U349" s="522"/>
      <c r="V349" s="522"/>
      <c r="W349" s="522"/>
      <c r="X349" s="522"/>
      <c r="Y349" s="522"/>
      <c r="Z349" s="522"/>
    </row>
    <row r="350" spans="1:26" s="523" customFormat="1" ht="15.75" hidden="1" customHeight="1" outlineLevel="1" x14ac:dyDescent="0.2">
      <c r="A350" s="529"/>
      <c r="B350" s="592"/>
      <c r="C350" s="593"/>
      <c r="D350" s="532"/>
      <c r="E350" s="529"/>
      <c r="F350" s="28"/>
      <c r="G350" s="28"/>
      <c r="H350" s="28"/>
      <c r="I350" s="532"/>
      <c r="J350" s="551"/>
      <c r="L350" s="522"/>
      <c r="M350" s="522"/>
      <c r="N350" s="522"/>
      <c r="O350" s="522"/>
      <c r="P350" s="522"/>
      <c r="Q350" s="522"/>
      <c r="R350" s="522"/>
      <c r="S350" s="522"/>
      <c r="T350" s="522"/>
      <c r="U350" s="522"/>
      <c r="V350" s="522"/>
      <c r="W350" s="522"/>
      <c r="X350" s="522"/>
      <c r="Y350" s="522"/>
      <c r="Z350" s="522"/>
    </row>
    <row r="351" spans="1:26" s="612" customFormat="1" ht="15" customHeight="1" collapsed="1" x14ac:dyDescent="0.2">
      <c r="A351" s="607" t="s">
        <v>347</v>
      </c>
      <c r="B351" s="608" t="s">
        <v>319</v>
      </c>
      <c r="C351" s="609"/>
      <c r="D351" s="607"/>
      <c r="E351" s="610"/>
      <c r="F351" s="610"/>
      <c r="G351" s="610"/>
      <c r="H351" s="610"/>
      <c r="I351" s="610"/>
      <c r="J351" s="610"/>
      <c r="K351" s="611"/>
      <c r="L351" s="611"/>
      <c r="M351" s="611"/>
      <c r="N351" s="611"/>
      <c r="O351" s="611"/>
      <c r="P351" s="611"/>
      <c r="Q351" s="611"/>
      <c r="R351" s="611"/>
      <c r="S351" s="611"/>
      <c r="T351" s="611"/>
      <c r="U351" s="611"/>
      <c r="V351" s="611"/>
      <c r="W351" s="611"/>
      <c r="X351" s="611"/>
      <c r="Y351" s="611"/>
      <c r="Z351" s="611"/>
    </row>
    <row r="352" spans="1:26" s="523" customFormat="1" ht="15" customHeight="1" x14ac:dyDescent="0.2">
      <c r="A352" s="276" t="s">
        <v>348</v>
      </c>
      <c r="B352" s="524" t="s">
        <v>418</v>
      </c>
      <c r="C352" s="525"/>
      <c r="D352" s="276"/>
      <c r="E352" s="276"/>
      <c r="F352" s="276"/>
      <c r="G352" s="276"/>
      <c r="H352" s="276"/>
      <c r="I352" s="276"/>
      <c r="J352" s="276"/>
      <c r="K352" s="522"/>
      <c r="L352" s="522"/>
      <c r="M352" s="522"/>
      <c r="N352" s="522"/>
      <c r="O352" s="522"/>
      <c r="P352" s="522"/>
      <c r="Q352" s="522"/>
      <c r="R352" s="522"/>
      <c r="S352" s="522"/>
      <c r="T352" s="522"/>
      <c r="U352" s="522"/>
      <c r="V352" s="522"/>
      <c r="W352" s="522"/>
      <c r="X352" s="522"/>
      <c r="Y352" s="522"/>
      <c r="Z352" s="522"/>
    </row>
    <row r="353" spans="1:26" s="523" customFormat="1" ht="15" customHeight="1" x14ac:dyDescent="0.2">
      <c r="A353" s="526" t="s">
        <v>349</v>
      </c>
      <c r="B353" s="527" t="s">
        <v>186</v>
      </c>
      <c r="C353" s="527"/>
      <c r="D353" s="526" t="s">
        <v>408</v>
      </c>
      <c r="E353" s="526"/>
      <c r="F353" s="526"/>
      <c r="G353" s="526"/>
      <c r="H353" s="526"/>
      <c r="I353" s="526"/>
      <c r="J353" s="528">
        <f>SUM(I354:I373)</f>
        <v>105.89</v>
      </c>
      <c r="K353" s="522"/>
      <c r="L353" s="522"/>
      <c r="M353" s="522"/>
      <c r="N353" s="522"/>
      <c r="O353" s="522"/>
      <c r="P353" s="522"/>
      <c r="Q353" s="522"/>
      <c r="R353" s="522"/>
      <c r="S353" s="522"/>
      <c r="T353" s="522"/>
      <c r="U353" s="522"/>
      <c r="V353" s="522"/>
      <c r="W353" s="522"/>
      <c r="X353" s="522"/>
      <c r="Y353" s="522"/>
      <c r="Z353" s="522"/>
    </row>
    <row r="354" spans="1:26" s="523" customFormat="1" ht="15" hidden="1" customHeight="1" outlineLevel="1" x14ac:dyDescent="0.2">
      <c r="A354" s="529"/>
      <c r="B354" s="530" t="s">
        <v>561</v>
      </c>
      <c r="C354" s="531"/>
      <c r="D354" s="532" t="s">
        <v>38</v>
      </c>
      <c r="E354" s="529">
        <v>1</v>
      </c>
      <c r="F354" s="28">
        <v>3.8</v>
      </c>
      <c r="G354" s="532"/>
      <c r="H354" s="28">
        <v>2.5</v>
      </c>
      <c r="I354" s="532">
        <f t="shared" ref="I354:I366" si="18">PRODUCT(E354:H354)</f>
        <v>9.5</v>
      </c>
      <c r="J354" s="533"/>
      <c r="K354" s="522"/>
      <c r="L354" s="522"/>
      <c r="M354" s="522"/>
      <c r="N354" s="522"/>
      <c r="O354" s="522"/>
      <c r="P354" s="522"/>
      <c r="Q354" s="522"/>
      <c r="R354" s="522"/>
      <c r="S354" s="522"/>
      <c r="T354" s="522"/>
      <c r="U354" s="522"/>
      <c r="V354" s="522"/>
      <c r="W354" s="522"/>
      <c r="X354" s="522"/>
      <c r="Y354" s="522"/>
      <c r="Z354" s="522"/>
    </row>
    <row r="355" spans="1:26" s="523" customFormat="1" ht="15" hidden="1" customHeight="1" outlineLevel="1" x14ac:dyDescent="0.2">
      <c r="A355" s="529"/>
      <c r="B355" s="530" t="s">
        <v>562</v>
      </c>
      <c r="C355" s="531"/>
      <c r="D355" s="532" t="s">
        <v>38</v>
      </c>
      <c r="E355" s="529">
        <v>1</v>
      </c>
      <c r="F355" s="28">
        <v>4.2</v>
      </c>
      <c r="G355" s="532"/>
      <c r="H355" s="28">
        <v>2.5</v>
      </c>
      <c r="I355" s="532">
        <f t="shared" si="18"/>
        <v>10.5</v>
      </c>
      <c r="J355" s="534"/>
      <c r="K355" s="522"/>
      <c r="L355" s="522"/>
      <c r="M355" s="522"/>
      <c r="N355" s="522"/>
      <c r="O355" s="522"/>
      <c r="P355" s="522"/>
      <c r="Q355" s="522"/>
      <c r="R355" s="522"/>
      <c r="S355" s="522"/>
      <c r="T355" s="522"/>
      <c r="U355" s="522"/>
      <c r="V355" s="522"/>
      <c r="W355" s="522"/>
      <c r="X355" s="522"/>
      <c r="Y355" s="522"/>
      <c r="Z355" s="522"/>
    </row>
    <row r="356" spans="1:26" s="523" customFormat="1" ht="15" hidden="1" customHeight="1" outlineLevel="1" x14ac:dyDescent="0.2">
      <c r="A356" s="529"/>
      <c r="B356" s="530" t="s">
        <v>563</v>
      </c>
      <c r="C356" s="531"/>
      <c r="D356" s="532" t="s">
        <v>38</v>
      </c>
      <c r="E356" s="529">
        <v>1</v>
      </c>
      <c r="F356" s="28">
        <v>1.6</v>
      </c>
      <c r="G356" s="532"/>
      <c r="H356" s="28">
        <v>2.5</v>
      </c>
      <c r="I356" s="532">
        <f t="shared" si="18"/>
        <v>4</v>
      </c>
      <c r="J356" s="534"/>
      <c r="K356" s="522"/>
      <c r="L356" s="522"/>
      <c r="M356" s="522"/>
      <c r="N356" s="522"/>
      <c r="O356" s="522"/>
      <c r="P356" s="522"/>
      <c r="Q356" s="522"/>
      <c r="R356" s="522"/>
      <c r="S356" s="522"/>
      <c r="T356" s="522"/>
      <c r="U356" s="522"/>
      <c r="V356" s="522"/>
      <c r="W356" s="522"/>
      <c r="X356" s="522"/>
      <c r="Y356" s="522"/>
      <c r="Z356" s="522"/>
    </row>
    <row r="357" spans="1:26" s="523" customFormat="1" ht="15" hidden="1" customHeight="1" outlineLevel="1" x14ac:dyDescent="0.2">
      <c r="A357" s="529"/>
      <c r="B357" s="530" t="s">
        <v>564</v>
      </c>
      <c r="C357" s="531"/>
      <c r="D357" s="532" t="s">
        <v>38</v>
      </c>
      <c r="E357" s="529">
        <v>1</v>
      </c>
      <c r="F357" s="28">
        <v>1.8</v>
      </c>
      <c r="G357" s="532"/>
      <c r="H357" s="28">
        <v>2.5</v>
      </c>
      <c r="I357" s="532">
        <f t="shared" si="18"/>
        <v>4.5</v>
      </c>
      <c r="J357" s="534"/>
      <c r="K357" s="522"/>
      <c r="L357" s="522"/>
      <c r="M357" s="522"/>
      <c r="N357" s="522"/>
      <c r="O357" s="522"/>
      <c r="P357" s="522"/>
      <c r="Q357" s="522"/>
      <c r="R357" s="522"/>
      <c r="S357" s="522"/>
      <c r="T357" s="522"/>
      <c r="U357" s="522"/>
      <c r="V357" s="522"/>
      <c r="W357" s="522"/>
      <c r="X357" s="522"/>
      <c r="Y357" s="522"/>
      <c r="Z357" s="522"/>
    </row>
    <row r="358" spans="1:26" s="523" customFormat="1" ht="15" hidden="1" customHeight="1" outlineLevel="1" x14ac:dyDescent="0.2">
      <c r="A358" s="529"/>
      <c r="B358" s="530" t="s">
        <v>565</v>
      </c>
      <c r="C358" s="531"/>
      <c r="D358" s="532" t="s">
        <v>38</v>
      </c>
      <c r="E358" s="529">
        <v>1</v>
      </c>
      <c r="F358" s="28">
        <v>2.2999999999999998</v>
      </c>
      <c r="G358" s="532"/>
      <c r="H358" s="28">
        <v>2.5</v>
      </c>
      <c r="I358" s="532">
        <f t="shared" si="18"/>
        <v>5.75</v>
      </c>
      <c r="J358" s="534"/>
      <c r="K358" s="522"/>
      <c r="L358" s="522"/>
      <c r="M358" s="522"/>
      <c r="N358" s="522"/>
      <c r="O358" s="522"/>
      <c r="P358" s="522"/>
      <c r="Q358" s="522"/>
      <c r="R358" s="522"/>
      <c r="S358" s="522"/>
      <c r="T358" s="522"/>
      <c r="U358" s="522"/>
      <c r="V358" s="522"/>
      <c r="W358" s="522"/>
      <c r="X358" s="522"/>
      <c r="Y358" s="522"/>
      <c r="Z358" s="522"/>
    </row>
    <row r="359" spans="1:26" s="523" customFormat="1" ht="15" hidden="1" customHeight="1" outlineLevel="1" x14ac:dyDescent="0.2">
      <c r="A359" s="529"/>
      <c r="B359" s="530" t="s">
        <v>566</v>
      </c>
      <c r="C359" s="531"/>
      <c r="D359" s="532" t="s">
        <v>38</v>
      </c>
      <c r="E359" s="529">
        <v>1</v>
      </c>
      <c r="F359" s="28">
        <v>2.5</v>
      </c>
      <c r="G359" s="532"/>
      <c r="H359" s="28">
        <v>2.5</v>
      </c>
      <c r="I359" s="532">
        <f t="shared" si="18"/>
        <v>6.25</v>
      </c>
      <c r="J359" s="534"/>
      <c r="K359" s="522"/>
      <c r="L359" s="522"/>
      <c r="M359" s="522"/>
      <c r="N359" s="522"/>
      <c r="O359" s="522"/>
      <c r="P359" s="522"/>
      <c r="Q359" s="522"/>
      <c r="R359" s="522"/>
      <c r="S359" s="522"/>
      <c r="T359" s="522"/>
      <c r="U359" s="522"/>
      <c r="V359" s="522"/>
      <c r="W359" s="522"/>
      <c r="X359" s="522"/>
      <c r="Y359" s="522"/>
      <c r="Z359" s="522"/>
    </row>
    <row r="360" spans="1:26" s="523" customFormat="1" ht="15" hidden="1" customHeight="1" outlineLevel="1" x14ac:dyDescent="0.2">
      <c r="A360" s="529"/>
      <c r="B360" s="530" t="s">
        <v>567</v>
      </c>
      <c r="C360" s="531"/>
      <c r="D360" s="532" t="s">
        <v>38</v>
      </c>
      <c r="E360" s="529">
        <v>1</v>
      </c>
      <c r="F360" s="28">
        <v>1.35</v>
      </c>
      <c r="G360" s="532"/>
      <c r="H360" s="28">
        <v>2.5</v>
      </c>
      <c r="I360" s="532">
        <f t="shared" si="18"/>
        <v>3.375</v>
      </c>
      <c r="J360" s="534"/>
      <c r="K360" s="522"/>
      <c r="L360" s="522"/>
      <c r="M360" s="522"/>
      <c r="N360" s="522"/>
      <c r="O360" s="522"/>
      <c r="P360" s="522"/>
      <c r="Q360" s="522"/>
      <c r="R360" s="522"/>
      <c r="S360" s="522"/>
      <c r="T360" s="522"/>
      <c r="U360" s="522"/>
      <c r="V360" s="522"/>
      <c r="W360" s="522"/>
      <c r="X360" s="522"/>
      <c r="Y360" s="522"/>
      <c r="Z360" s="522"/>
    </row>
    <row r="361" spans="1:26" s="523" customFormat="1" ht="15" hidden="1" customHeight="1" outlineLevel="1" x14ac:dyDescent="0.2">
      <c r="A361" s="529"/>
      <c r="B361" s="530" t="s">
        <v>568</v>
      </c>
      <c r="C361" s="531"/>
      <c r="D361" s="532" t="s">
        <v>38</v>
      </c>
      <c r="E361" s="529">
        <v>1</v>
      </c>
      <c r="F361" s="28">
        <v>1.55</v>
      </c>
      <c r="G361" s="532"/>
      <c r="H361" s="28">
        <v>2.5</v>
      </c>
      <c r="I361" s="532">
        <f t="shared" si="18"/>
        <v>3.875</v>
      </c>
      <c r="J361" s="534"/>
      <c r="K361" s="522"/>
      <c r="L361" s="522"/>
      <c r="M361" s="522"/>
      <c r="N361" s="522"/>
      <c r="O361" s="522"/>
      <c r="P361" s="522"/>
      <c r="Q361" s="522"/>
      <c r="R361" s="522"/>
      <c r="S361" s="522"/>
      <c r="T361" s="522"/>
      <c r="U361" s="522"/>
      <c r="V361" s="522"/>
      <c r="W361" s="522"/>
      <c r="X361" s="522"/>
      <c r="Y361" s="522"/>
      <c r="Z361" s="522"/>
    </row>
    <row r="362" spans="1:26" s="523" customFormat="1" ht="15" hidden="1" customHeight="1" outlineLevel="1" x14ac:dyDescent="0.2">
      <c r="A362" s="529"/>
      <c r="B362" s="530" t="s">
        <v>569</v>
      </c>
      <c r="C362" s="531"/>
      <c r="D362" s="532" t="s">
        <v>38</v>
      </c>
      <c r="E362" s="529">
        <v>1</v>
      </c>
      <c r="F362" s="28">
        <v>2.4500000000000002</v>
      </c>
      <c r="G362" s="532"/>
      <c r="H362" s="28">
        <v>2.5</v>
      </c>
      <c r="I362" s="532">
        <f t="shared" si="18"/>
        <v>6.125</v>
      </c>
      <c r="J362" s="534"/>
      <c r="K362" s="522"/>
      <c r="L362" s="522"/>
      <c r="M362" s="522"/>
      <c r="N362" s="522"/>
      <c r="O362" s="522"/>
      <c r="P362" s="522"/>
      <c r="Q362" s="522"/>
      <c r="R362" s="522"/>
      <c r="S362" s="522"/>
      <c r="T362" s="522"/>
      <c r="U362" s="522"/>
      <c r="V362" s="522"/>
      <c r="W362" s="522"/>
      <c r="X362" s="522"/>
      <c r="Y362" s="522"/>
      <c r="Z362" s="522"/>
    </row>
    <row r="363" spans="1:26" s="523" customFormat="1" ht="15" hidden="1" customHeight="1" outlineLevel="1" x14ac:dyDescent="0.2">
      <c r="A363" s="529"/>
      <c r="B363" s="530" t="s">
        <v>570</v>
      </c>
      <c r="C363" s="531"/>
      <c r="D363" s="532" t="s">
        <v>38</v>
      </c>
      <c r="E363" s="529">
        <v>1</v>
      </c>
      <c r="F363" s="28">
        <v>2.4500000000000002</v>
      </c>
      <c r="G363" s="532"/>
      <c r="H363" s="28">
        <v>2.5</v>
      </c>
      <c r="I363" s="532">
        <f t="shared" si="18"/>
        <v>6.125</v>
      </c>
      <c r="J363" s="534"/>
      <c r="K363" s="522"/>
      <c r="L363" s="522"/>
      <c r="M363" s="522"/>
      <c r="N363" s="522"/>
      <c r="O363" s="522"/>
      <c r="P363" s="522"/>
      <c r="Q363" s="522"/>
      <c r="R363" s="522"/>
      <c r="S363" s="522"/>
      <c r="T363" s="522"/>
      <c r="U363" s="522"/>
      <c r="V363" s="522"/>
      <c r="W363" s="522"/>
      <c r="X363" s="522"/>
      <c r="Y363" s="522"/>
      <c r="Z363" s="522"/>
    </row>
    <row r="364" spans="1:26" s="523" customFormat="1" ht="15" hidden="1" customHeight="1" outlineLevel="1" x14ac:dyDescent="0.2">
      <c r="A364" s="529"/>
      <c r="B364" s="530" t="s">
        <v>571</v>
      </c>
      <c r="C364" s="531"/>
      <c r="D364" s="532" t="s">
        <v>38</v>
      </c>
      <c r="E364" s="529">
        <v>1</v>
      </c>
      <c r="F364" s="28">
        <v>1.7</v>
      </c>
      <c r="G364" s="532"/>
      <c r="H364" s="28">
        <v>2.5</v>
      </c>
      <c r="I364" s="532">
        <f t="shared" si="18"/>
        <v>4.25</v>
      </c>
      <c r="J364" s="534"/>
      <c r="K364" s="522"/>
      <c r="L364" s="522"/>
      <c r="M364" s="522"/>
      <c r="N364" s="522"/>
      <c r="O364" s="522"/>
      <c r="P364" s="522"/>
      <c r="Q364" s="522"/>
      <c r="R364" s="522"/>
      <c r="S364" s="522"/>
      <c r="T364" s="522"/>
      <c r="U364" s="522"/>
      <c r="V364" s="522"/>
      <c r="W364" s="522"/>
      <c r="X364" s="522"/>
      <c r="Y364" s="522"/>
      <c r="Z364" s="522"/>
    </row>
    <row r="365" spans="1:26" s="523" customFormat="1" ht="15" hidden="1" customHeight="1" outlineLevel="1" x14ac:dyDescent="0.2">
      <c r="A365" s="529"/>
      <c r="B365" s="530" t="s">
        <v>572</v>
      </c>
      <c r="C365" s="531"/>
      <c r="D365" s="532" t="s">
        <v>38</v>
      </c>
      <c r="E365" s="529">
        <v>1</v>
      </c>
      <c r="F365" s="28">
        <v>1.75</v>
      </c>
      <c r="G365" s="532"/>
      <c r="H365" s="28">
        <v>2.5</v>
      </c>
      <c r="I365" s="532">
        <f t="shared" si="18"/>
        <v>4.375</v>
      </c>
      <c r="J365" s="534"/>
      <c r="K365" s="522"/>
      <c r="L365" s="522"/>
      <c r="M365" s="522"/>
      <c r="N365" s="522"/>
      <c r="O365" s="522"/>
      <c r="P365" s="522"/>
      <c r="Q365" s="522"/>
      <c r="R365" s="522"/>
      <c r="S365" s="522"/>
      <c r="T365" s="522"/>
      <c r="U365" s="522"/>
      <c r="V365" s="522"/>
      <c r="W365" s="522"/>
      <c r="X365" s="522"/>
      <c r="Y365" s="522"/>
      <c r="Z365" s="522"/>
    </row>
    <row r="366" spans="1:26" s="523" customFormat="1" ht="15" hidden="1" customHeight="1" outlineLevel="1" x14ac:dyDescent="0.2">
      <c r="A366" s="529"/>
      <c r="B366" s="530" t="s">
        <v>573</v>
      </c>
      <c r="C366" s="531"/>
      <c r="D366" s="532" t="s">
        <v>38</v>
      </c>
      <c r="E366" s="529">
        <v>1</v>
      </c>
      <c r="F366" s="28">
        <v>1.8</v>
      </c>
      <c r="G366" s="532"/>
      <c r="H366" s="28">
        <v>2.5</v>
      </c>
      <c r="I366" s="532">
        <f t="shared" si="18"/>
        <v>4.5</v>
      </c>
      <c r="J366" s="534"/>
      <c r="K366" s="522"/>
      <c r="L366" s="522"/>
      <c r="M366" s="522"/>
      <c r="N366" s="522"/>
      <c r="O366" s="522"/>
      <c r="P366" s="522"/>
      <c r="Q366" s="522"/>
      <c r="R366" s="522"/>
      <c r="S366" s="522"/>
      <c r="T366" s="522"/>
      <c r="U366" s="522"/>
      <c r="V366" s="522"/>
      <c r="W366" s="522"/>
      <c r="X366" s="522"/>
      <c r="Y366" s="522"/>
      <c r="Z366" s="522"/>
    </row>
    <row r="367" spans="1:26" s="523" customFormat="1" ht="15" hidden="1" customHeight="1" outlineLevel="1" x14ac:dyDescent="0.2">
      <c r="A367" s="529"/>
      <c r="B367" s="530" t="s">
        <v>574</v>
      </c>
      <c r="C367" s="531"/>
      <c r="D367" s="532" t="s">
        <v>38</v>
      </c>
      <c r="E367" s="529">
        <v>1</v>
      </c>
      <c r="F367" s="28">
        <v>1.95</v>
      </c>
      <c r="G367" s="532"/>
      <c r="H367" s="28">
        <v>2.5</v>
      </c>
      <c r="I367" s="532">
        <f t="shared" ref="I367:I372" si="19">PRODUCT(E367:H367)</f>
        <v>4.875</v>
      </c>
      <c r="J367" s="534"/>
      <c r="K367" s="522"/>
      <c r="L367" s="522"/>
      <c r="M367" s="522"/>
      <c r="N367" s="522"/>
      <c r="O367" s="522"/>
      <c r="P367" s="522"/>
      <c r="Q367" s="522"/>
      <c r="R367" s="522"/>
      <c r="S367" s="522"/>
      <c r="T367" s="522"/>
      <c r="U367" s="522"/>
      <c r="V367" s="522"/>
      <c r="W367" s="522"/>
      <c r="X367" s="522"/>
      <c r="Y367" s="522"/>
      <c r="Z367" s="522"/>
    </row>
    <row r="368" spans="1:26" s="523" customFormat="1" ht="15" hidden="1" customHeight="1" outlineLevel="1" x14ac:dyDescent="0.2">
      <c r="A368" s="529"/>
      <c r="B368" s="530" t="s">
        <v>620</v>
      </c>
      <c r="C368" s="531"/>
      <c r="D368" s="532" t="s">
        <v>38</v>
      </c>
      <c r="E368" s="529">
        <v>1</v>
      </c>
      <c r="F368" s="28">
        <v>1.8</v>
      </c>
      <c r="G368" s="532"/>
      <c r="H368" s="28">
        <v>2.5</v>
      </c>
      <c r="I368" s="532">
        <f t="shared" si="19"/>
        <v>4.5</v>
      </c>
      <c r="J368" s="534"/>
      <c r="K368" s="522"/>
      <c r="L368" s="522"/>
      <c r="M368" s="522"/>
      <c r="N368" s="522"/>
      <c r="O368" s="522"/>
      <c r="P368" s="522"/>
      <c r="Q368" s="522"/>
      <c r="R368" s="522"/>
      <c r="S368" s="522"/>
      <c r="T368" s="522"/>
      <c r="U368" s="522"/>
      <c r="V368" s="522"/>
      <c r="W368" s="522"/>
      <c r="X368" s="522"/>
      <c r="Y368" s="522"/>
      <c r="Z368" s="522"/>
    </row>
    <row r="369" spans="1:26" s="523" customFormat="1" ht="15" hidden="1" customHeight="1" outlineLevel="1" x14ac:dyDescent="0.2">
      <c r="A369" s="529"/>
      <c r="B369" s="530" t="s">
        <v>621</v>
      </c>
      <c r="C369" s="531"/>
      <c r="D369" s="532" t="s">
        <v>38</v>
      </c>
      <c r="E369" s="529">
        <v>1</v>
      </c>
      <c r="F369" s="28">
        <v>1.8</v>
      </c>
      <c r="G369" s="532"/>
      <c r="H369" s="28">
        <v>2.5</v>
      </c>
      <c r="I369" s="532">
        <f t="shared" si="19"/>
        <v>4.5</v>
      </c>
      <c r="J369" s="534"/>
      <c r="K369" s="522"/>
      <c r="L369" s="522"/>
      <c r="M369" s="522"/>
      <c r="N369" s="522"/>
      <c r="O369" s="522"/>
      <c r="P369" s="522"/>
      <c r="Q369" s="522"/>
      <c r="R369" s="522"/>
      <c r="S369" s="522"/>
      <c r="T369" s="522"/>
      <c r="U369" s="522"/>
      <c r="V369" s="522"/>
      <c r="W369" s="522"/>
      <c r="X369" s="522"/>
      <c r="Y369" s="522"/>
      <c r="Z369" s="522"/>
    </row>
    <row r="370" spans="1:26" s="523" customFormat="1" ht="15" hidden="1" customHeight="1" outlineLevel="1" x14ac:dyDescent="0.2">
      <c r="A370" s="529"/>
      <c r="B370" s="530" t="s">
        <v>622</v>
      </c>
      <c r="C370" s="531"/>
      <c r="D370" s="532" t="s">
        <v>38</v>
      </c>
      <c r="E370" s="529">
        <v>1</v>
      </c>
      <c r="F370" s="28">
        <v>2.5499999999999998</v>
      </c>
      <c r="G370" s="532"/>
      <c r="H370" s="28">
        <v>2.5</v>
      </c>
      <c r="I370" s="532">
        <f t="shared" si="19"/>
        <v>6.375</v>
      </c>
      <c r="J370" s="534"/>
      <c r="K370" s="522"/>
      <c r="L370" s="522"/>
      <c r="M370" s="522"/>
      <c r="N370" s="522"/>
      <c r="O370" s="522"/>
      <c r="P370" s="522"/>
      <c r="Q370" s="522"/>
      <c r="R370" s="522"/>
      <c r="S370" s="522"/>
      <c r="T370" s="522"/>
      <c r="U370" s="522"/>
      <c r="V370" s="522"/>
      <c r="W370" s="522"/>
      <c r="X370" s="522"/>
      <c r="Y370" s="522"/>
      <c r="Z370" s="522"/>
    </row>
    <row r="371" spans="1:26" s="523" customFormat="1" ht="15" hidden="1" customHeight="1" outlineLevel="1" x14ac:dyDescent="0.2">
      <c r="A371" s="529"/>
      <c r="B371" s="530" t="s">
        <v>623</v>
      </c>
      <c r="C371" s="531"/>
      <c r="D371" s="532" t="s">
        <v>38</v>
      </c>
      <c r="E371" s="529">
        <v>1</v>
      </c>
      <c r="F371" s="28">
        <v>2.75</v>
      </c>
      <c r="G371" s="532"/>
      <c r="H371" s="28">
        <v>2.5</v>
      </c>
      <c r="I371" s="532">
        <f t="shared" si="19"/>
        <v>6.875</v>
      </c>
      <c r="J371" s="534"/>
      <c r="K371" s="522"/>
      <c r="L371" s="522"/>
      <c r="M371" s="522"/>
      <c r="N371" s="522"/>
      <c r="O371" s="522"/>
      <c r="P371" s="522"/>
      <c r="Q371" s="522"/>
      <c r="R371" s="522"/>
      <c r="S371" s="522"/>
      <c r="T371" s="522"/>
      <c r="U371" s="522"/>
      <c r="V371" s="522"/>
      <c r="W371" s="522"/>
      <c r="X371" s="522"/>
      <c r="Y371" s="522"/>
      <c r="Z371" s="522"/>
    </row>
    <row r="372" spans="1:26" s="523" customFormat="1" ht="15" hidden="1" customHeight="1" outlineLevel="1" x14ac:dyDescent="0.2">
      <c r="A372" s="529" t="s">
        <v>628</v>
      </c>
      <c r="B372" s="530" t="s">
        <v>624</v>
      </c>
      <c r="C372" s="531"/>
      <c r="D372" s="532" t="s">
        <v>38</v>
      </c>
      <c r="E372" s="529">
        <v>1</v>
      </c>
      <c r="F372" s="28">
        <v>2.35</v>
      </c>
      <c r="G372" s="532"/>
      <c r="H372" s="28">
        <v>2.4</v>
      </c>
      <c r="I372" s="532">
        <f t="shared" si="19"/>
        <v>5.64</v>
      </c>
      <c r="J372" s="534"/>
      <c r="K372" s="522"/>
      <c r="L372" s="522"/>
      <c r="M372" s="522"/>
      <c r="N372" s="522"/>
      <c r="O372" s="522"/>
      <c r="P372" s="522"/>
      <c r="Q372" s="522"/>
      <c r="R372" s="522"/>
      <c r="S372" s="522"/>
      <c r="T372" s="522"/>
      <c r="U372" s="522"/>
      <c r="V372" s="522"/>
      <c r="W372" s="522"/>
      <c r="X372" s="522"/>
      <c r="Y372" s="522"/>
      <c r="Z372" s="522"/>
    </row>
    <row r="373" spans="1:26" s="523" customFormat="1" ht="15" hidden="1" customHeight="1" outlineLevel="1" x14ac:dyDescent="0.2">
      <c r="A373" s="529"/>
      <c r="B373" s="530"/>
      <c r="C373" s="531"/>
      <c r="D373" s="532"/>
      <c r="E373" s="529"/>
      <c r="F373" s="28"/>
      <c r="G373" s="532"/>
      <c r="H373" s="28"/>
      <c r="I373" s="532"/>
      <c r="J373" s="534"/>
      <c r="K373" s="522"/>
      <c r="L373" s="522"/>
      <c r="M373" s="522"/>
      <c r="N373" s="522"/>
      <c r="O373" s="522"/>
      <c r="P373" s="522"/>
      <c r="Q373" s="522"/>
      <c r="R373" s="522"/>
      <c r="S373" s="522"/>
      <c r="T373" s="522"/>
      <c r="U373" s="522"/>
      <c r="V373" s="522"/>
      <c r="W373" s="522"/>
      <c r="X373" s="522"/>
      <c r="Y373" s="522"/>
      <c r="Z373" s="522"/>
    </row>
    <row r="374" spans="1:26" s="523" customFormat="1" ht="15" customHeight="1" collapsed="1" x14ac:dyDescent="0.2">
      <c r="A374" s="526" t="s">
        <v>419</v>
      </c>
      <c r="B374" s="527" t="s">
        <v>189</v>
      </c>
      <c r="C374" s="527"/>
      <c r="D374" s="526" t="s">
        <v>408</v>
      </c>
      <c r="E374" s="526"/>
      <c r="F374" s="526"/>
      <c r="G374" s="526"/>
      <c r="H374" s="526"/>
      <c r="I374" s="526"/>
      <c r="J374" s="528">
        <f>SUM(I375:I407)</f>
        <v>98.863600000000005</v>
      </c>
      <c r="K374" s="522"/>
      <c r="L374" s="522"/>
      <c r="M374" s="522"/>
      <c r="N374" s="522"/>
      <c r="O374" s="522"/>
      <c r="P374" s="522"/>
      <c r="Q374" s="522"/>
      <c r="R374" s="522"/>
      <c r="S374" s="522"/>
      <c r="T374" s="522"/>
      <c r="U374" s="522"/>
      <c r="V374" s="522"/>
      <c r="W374" s="522"/>
      <c r="X374" s="522"/>
      <c r="Y374" s="522"/>
      <c r="Z374" s="522"/>
    </row>
    <row r="375" spans="1:26" s="523" customFormat="1" ht="15" hidden="1" customHeight="1" outlineLevel="1" x14ac:dyDescent="0.2">
      <c r="A375" s="529"/>
      <c r="B375" s="530" t="s">
        <v>576</v>
      </c>
      <c r="C375" s="531"/>
      <c r="D375" s="532" t="s">
        <v>38</v>
      </c>
      <c r="E375" s="529">
        <v>1</v>
      </c>
      <c r="F375" s="28">
        <v>0.75</v>
      </c>
      <c r="G375" s="532"/>
      <c r="H375" s="28">
        <v>2.2999999999999998</v>
      </c>
      <c r="I375" s="532">
        <f t="shared" ref="I375:I406" si="20">PRODUCT(E375:H375)</f>
        <v>1.7249999999999999</v>
      </c>
      <c r="J375" s="533"/>
      <c r="K375" s="522"/>
      <c r="L375" s="522"/>
      <c r="M375" s="522"/>
      <c r="N375" s="522"/>
      <c r="O375" s="522"/>
      <c r="P375" s="522"/>
      <c r="Q375" s="522"/>
      <c r="R375" s="522"/>
      <c r="S375" s="522"/>
      <c r="T375" s="522"/>
      <c r="U375" s="522"/>
      <c r="V375" s="522"/>
      <c r="W375" s="522"/>
      <c r="X375" s="522"/>
      <c r="Y375" s="522"/>
      <c r="Z375" s="522"/>
    </row>
    <row r="376" spans="1:26" s="523" customFormat="1" ht="15" hidden="1" customHeight="1" outlineLevel="1" x14ac:dyDescent="0.2">
      <c r="A376" s="529"/>
      <c r="B376" s="530" t="s">
        <v>578</v>
      </c>
      <c r="C376" s="531"/>
      <c r="D376" s="532" t="s">
        <v>38</v>
      </c>
      <c r="E376" s="529">
        <v>1</v>
      </c>
      <c r="F376" s="28">
        <v>3.6</v>
      </c>
      <c r="G376" s="532"/>
      <c r="H376" s="28">
        <v>2.6</v>
      </c>
      <c r="I376" s="532">
        <f t="shared" si="20"/>
        <v>9.3600000000000012</v>
      </c>
      <c r="J376" s="534"/>
      <c r="K376" s="522"/>
      <c r="L376" s="522"/>
      <c r="M376" s="522"/>
      <c r="N376" s="522"/>
      <c r="O376" s="522"/>
      <c r="P376" s="522"/>
      <c r="Q376" s="522"/>
      <c r="R376" s="522"/>
      <c r="S376" s="522"/>
      <c r="T376" s="522"/>
      <c r="U376" s="522"/>
      <c r="V376" s="522"/>
      <c r="W376" s="522"/>
      <c r="X376" s="522"/>
      <c r="Y376" s="522"/>
      <c r="Z376" s="522"/>
    </row>
    <row r="377" spans="1:26" s="523" customFormat="1" ht="15" hidden="1" customHeight="1" outlineLevel="1" x14ac:dyDescent="0.2">
      <c r="A377" s="529"/>
      <c r="B377" s="530" t="s">
        <v>579</v>
      </c>
      <c r="C377" s="531"/>
      <c r="D377" s="532" t="s">
        <v>38</v>
      </c>
      <c r="E377" s="529">
        <v>1</v>
      </c>
      <c r="F377" s="28">
        <v>1.35</v>
      </c>
      <c r="G377" s="532"/>
      <c r="H377" s="28">
        <v>2.6</v>
      </c>
      <c r="I377" s="532">
        <f t="shared" si="20"/>
        <v>3.5100000000000002</v>
      </c>
      <c r="J377" s="534"/>
      <c r="K377" s="522"/>
      <c r="L377" s="522"/>
      <c r="M377" s="522"/>
      <c r="N377" s="522"/>
      <c r="O377" s="522"/>
      <c r="P377" s="522"/>
      <c r="Q377" s="522"/>
      <c r="R377" s="522"/>
      <c r="S377" s="522"/>
      <c r="T377" s="522"/>
      <c r="U377" s="522"/>
      <c r="V377" s="522"/>
      <c r="W377" s="522"/>
      <c r="X377" s="522"/>
      <c r="Y377" s="522"/>
      <c r="Z377" s="522"/>
    </row>
    <row r="378" spans="1:26" s="523" customFormat="1" ht="15" hidden="1" customHeight="1" outlineLevel="1" x14ac:dyDescent="0.2">
      <c r="A378" s="529"/>
      <c r="B378" s="530" t="s">
        <v>591</v>
      </c>
      <c r="C378" s="531"/>
      <c r="D378" s="532" t="s">
        <v>38</v>
      </c>
      <c r="E378" s="529">
        <v>1</v>
      </c>
      <c r="F378" s="28">
        <v>1.1499999999999999</v>
      </c>
      <c r="G378" s="532"/>
      <c r="H378" s="28">
        <v>1</v>
      </c>
      <c r="I378" s="532">
        <f t="shared" si="20"/>
        <v>1.1499999999999999</v>
      </c>
      <c r="J378" s="534"/>
      <c r="K378" s="522"/>
      <c r="L378" s="522"/>
      <c r="M378" s="522"/>
      <c r="N378" s="522"/>
      <c r="O378" s="522"/>
      <c r="P378" s="522"/>
      <c r="Q378" s="522"/>
      <c r="R378" s="522"/>
      <c r="S378" s="522"/>
      <c r="T378" s="522"/>
      <c r="U378" s="522"/>
      <c r="V378" s="522"/>
      <c r="W378" s="522"/>
      <c r="X378" s="522"/>
      <c r="Y378" s="522"/>
      <c r="Z378" s="522"/>
    </row>
    <row r="379" spans="1:26" s="523" customFormat="1" ht="15" hidden="1" customHeight="1" outlineLevel="1" x14ac:dyDescent="0.2">
      <c r="A379" s="529"/>
      <c r="B379" s="530" t="s">
        <v>625</v>
      </c>
      <c r="C379" s="531"/>
      <c r="D379" s="532" t="s">
        <v>38</v>
      </c>
      <c r="E379" s="529">
        <v>1</v>
      </c>
      <c r="F379" s="28">
        <v>2</v>
      </c>
      <c r="G379" s="532"/>
      <c r="H379" s="28">
        <v>2.2999999999999998</v>
      </c>
      <c r="I379" s="532">
        <f t="shared" si="20"/>
        <v>4.5999999999999996</v>
      </c>
      <c r="J379" s="534"/>
      <c r="K379" s="522"/>
      <c r="L379" s="522"/>
      <c r="M379" s="522"/>
      <c r="N379" s="522"/>
      <c r="O379" s="522"/>
      <c r="P379" s="522"/>
      <c r="Q379" s="522"/>
      <c r="R379" s="522"/>
      <c r="S379" s="522"/>
      <c r="T379" s="522"/>
      <c r="U379" s="522"/>
      <c r="V379" s="522"/>
      <c r="W379" s="522"/>
      <c r="X379" s="522"/>
      <c r="Y379" s="522"/>
      <c r="Z379" s="522"/>
    </row>
    <row r="380" spans="1:26" s="523" customFormat="1" ht="15" hidden="1" customHeight="1" outlineLevel="1" x14ac:dyDescent="0.2">
      <c r="A380" s="529"/>
      <c r="B380" s="530" t="s">
        <v>626</v>
      </c>
      <c r="C380" s="531"/>
      <c r="D380" s="532" t="s">
        <v>38</v>
      </c>
      <c r="E380" s="529">
        <v>1</v>
      </c>
      <c r="F380" s="28">
        <v>1.95</v>
      </c>
      <c r="G380" s="532"/>
      <c r="H380" s="28">
        <v>2.6</v>
      </c>
      <c r="I380" s="532">
        <f t="shared" si="20"/>
        <v>5.07</v>
      </c>
      <c r="J380" s="534"/>
      <c r="K380" s="522"/>
      <c r="L380" s="522"/>
      <c r="M380" s="522"/>
      <c r="N380" s="522"/>
      <c r="O380" s="522"/>
      <c r="P380" s="522"/>
      <c r="Q380" s="522"/>
      <c r="R380" s="522"/>
      <c r="S380" s="522"/>
      <c r="T380" s="522"/>
      <c r="U380" s="522"/>
      <c r="V380" s="522"/>
      <c r="W380" s="522"/>
      <c r="X380" s="522"/>
      <c r="Y380" s="522"/>
      <c r="Z380" s="522"/>
    </row>
    <row r="381" spans="1:26" s="523" customFormat="1" ht="15" hidden="1" customHeight="1" outlineLevel="1" x14ac:dyDescent="0.2">
      <c r="A381" s="529" t="s">
        <v>628</v>
      </c>
      <c r="B381" s="530" t="s">
        <v>686</v>
      </c>
      <c r="C381" s="531"/>
      <c r="D381" s="532" t="s">
        <v>38</v>
      </c>
      <c r="E381" s="529">
        <v>1</v>
      </c>
      <c r="F381" s="28">
        <v>0.9</v>
      </c>
      <c r="G381" s="532"/>
      <c r="H381" s="28">
        <v>2.6</v>
      </c>
      <c r="I381" s="532">
        <f t="shared" si="20"/>
        <v>2.3400000000000003</v>
      </c>
      <c r="J381" s="594"/>
      <c r="K381" s="522"/>
      <c r="L381" s="522"/>
      <c r="M381" s="522"/>
      <c r="N381" s="522"/>
      <c r="O381" s="522"/>
      <c r="P381" s="522"/>
      <c r="Q381" s="522"/>
      <c r="R381" s="522"/>
      <c r="S381" s="522"/>
      <c r="T381" s="522"/>
      <c r="U381" s="522"/>
      <c r="V381" s="522"/>
      <c r="W381" s="522"/>
      <c r="X381" s="522"/>
      <c r="Y381" s="522"/>
      <c r="Z381" s="522"/>
    </row>
    <row r="382" spans="1:26" s="523" customFormat="1" ht="15" hidden="1" customHeight="1" outlineLevel="1" x14ac:dyDescent="0.2">
      <c r="A382" s="529"/>
      <c r="B382" s="530" t="s">
        <v>687</v>
      </c>
      <c r="C382" s="531"/>
      <c r="D382" s="532" t="s">
        <v>38</v>
      </c>
      <c r="E382" s="529">
        <v>1</v>
      </c>
      <c r="F382" s="28">
        <v>1.5993999999999999</v>
      </c>
      <c r="G382" s="532"/>
      <c r="H382" s="28">
        <v>1</v>
      </c>
      <c r="I382" s="532">
        <f t="shared" si="20"/>
        <v>1.5993999999999999</v>
      </c>
      <c r="J382" s="534"/>
      <c r="K382" s="522"/>
      <c r="L382" s="522"/>
      <c r="M382" s="522"/>
      <c r="N382" s="522"/>
      <c r="O382" s="522"/>
      <c r="P382" s="522"/>
      <c r="Q382" s="522"/>
      <c r="R382" s="522"/>
      <c r="S382" s="522"/>
      <c r="T382" s="522"/>
      <c r="U382" s="522"/>
      <c r="V382" s="522"/>
      <c r="W382" s="522"/>
      <c r="X382" s="522"/>
      <c r="Y382" s="522"/>
      <c r="Z382" s="522"/>
    </row>
    <row r="383" spans="1:26" s="523" customFormat="1" ht="15" hidden="1" customHeight="1" outlineLevel="1" x14ac:dyDescent="0.2">
      <c r="A383" s="529"/>
      <c r="B383" s="530" t="s">
        <v>688</v>
      </c>
      <c r="C383" s="531"/>
      <c r="D383" s="532" t="s">
        <v>38</v>
      </c>
      <c r="E383" s="529">
        <v>1</v>
      </c>
      <c r="F383" s="28">
        <v>0.79890000000000005</v>
      </c>
      <c r="G383" s="532"/>
      <c r="H383" s="28">
        <v>2.6</v>
      </c>
      <c r="I383" s="532">
        <f t="shared" si="20"/>
        <v>2.0771400000000004</v>
      </c>
      <c r="J383" s="534"/>
      <c r="K383" s="522"/>
      <c r="L383" s="522"/>
      <c r="M383" s="522"/>
      <c r="N383" s="522"/>
      <c r="O383" s="522"/>
      <c r="P383" s="522"/>
      <c r="Q383" s="522"/>
      <c r="R383" s="522"/>
      <c r="S383" s="522"/>
      <c r="T383" s="522"/>
      <c r="U383" s="522"/>
      <c r="V383" s="522"/>
      <c r="W383" s="522"/>
      <c r="X383" s="522"/>
      <c r="Y383" s="522"/>
      <c r="Z383" s="522"/>
    </row>
    <row r="384" spans="1:26" s="523" customFormat="1" ht="15" hidden="1" customHeight="1" outlineLevel="1" x14ac:dyDescent="0.2">
      <c r="A384" s="529"/>
      <c r="B384" s="530" t="s">
        <v>689</v>
      </c>
      <c r="C384" s="531"/>
      <c r="D384" s="532" t="s">
        <v>38</v>
      </c>
      <c r="E384" s="529">
        <v>1</v>
      </c>
      <c r="F384" s="28">
        <v>1.25</v>
      </c>
      <c r="G384" s="532"/>
      <c r="H384" s="28">
        <v>2.6</v>
      </c>
      <c r="I384" s="532">
        <f t="shared" si="20"/>
        <v>3.25</v>
      </c>
      <c r="J384" s="534"/>
      <c r="K384" s="522"/>
      <c r="L384" s="522"/>
      <c r="M384" s="522"/>
      <c r="N384" s="522"/>
      <c r="O384" s="522"/>
      <c r="P384" s="522"/>
      <c r="Q384" s="522"/>
      <c r="R384" s="522"/>
      <c r="S384" s="522"/>
      <c r="T384" s="522"/>
      <c r="U384" s="522"/>
      <c r="V384" s="522"/>
      <c r="W384" s="522"/>
      <c r="X384" s="522"/>
      <c r="Y384" s="522"/>
      <c r="Z384" s="522"/>
    </row>
    <row r="385" spans="1:26" s="523" customFormat="1" ht="15" hidden="1" customHeight="1" outlineLevel="1" x14ac:dyDescent="0.2">
      <c r="A385" s="529"/>
      <c r="B385" s="530" t="s">
        <v>690</v>
      </c>
      <c r="C385" s="531"/>
      <c r="D385" s="532" t="s">
        <v>38</v>
      </c>
      <c r="E385" s="529">
        <v>1</v>
      </c>
      <c r="F385" s="28">
        <v>2.2000000000000002</v>
      </c>
      <c r="G385" s="532"/>
      <c r="H385" s="28">
        <v>2.6</v>
      </c>
      <c r="I385" s="532">
        <f t="shared" si="20"/>
        <v>5.7200000000000006</v>
      </c>
      <c r="J385" s="534"/>
      <c r="K385" s="522"/>
      <c r="L385" s="522"/>
      <c r="M385" s="522"/>
      <c r="N385" s="522"/>
      <c r="O385" s="522"/>
      <c r="P385" s="522"/>
      <c r="Q385" s="522"/>
      <c r="R385" s="522"/>
      <c r="S385" s="522"/>
      <c r="T385" s="522"/>
      <c r="U385" s="522"/>
      <c r="V385" s="522"/>
      <c r="W385" s="522"/>
      <c r="X385" s="522"/>
      <c r="Y385" s="522"/>
      <c r="Z385" s="522"/>
    </row>
    <row r="386" spans="1:26" s="523" customFormat="1" ht="15" hidden="1" customHeight="1" outlineLevel="1" x14ac:dyDescent="0.2">
      <c r="A386" s="529"/>
      <c r="B386" s="530" t="s">
        <v>691</v>
      </c>
      <c r="C386" s="531"/>
      <c r="D386" s="532" t="s">
        <v>38</v>
      </c>
      <c r="E386" s="529">
        <v>1</v>
      </c>
      <c r="F386" s="28">
        <v>2.1</v>
      </c>
      <c r="G386" s="532"/>
      <c r="H386" s="28">
        <v>2.2999999999999998</v>
      </c>
      <c r="I386" s="532">
        <f t="shared" si="20"/>
        <v>4.83</v>
      </c>
      <c r="J386" s="534"/>
      <c r="K386" s="522"/>
      <c r="L386" s="522"/>
      <c r="M386" s="522"/>
      <c r="N386" s="522"/>
      <c r="O386" s="522"/>
      <c r="P386" s="522"/>
      <c r="Q386" s="522"/>
      <c r="R386" s="522"/>
      <c r="S386" s="522"/>
      <c r="T386" s="522"/>
      <c r="U386" s="522"/>
      <c r="V386" s="522"/>
      <c r="W386" s="522"/>
      <c r="X386" s="522"/>
      <c r="Y386" s="522"/>
      <c r="Z386" s="522"/>
    </row>
    <row r="387" spans="1:26" s="523" customFormat="1" ht="15" hidden="1" customHeight="1" outlineLevel="1" x14ac:dyDescent="0.2">
      <c r="A387" s="529"/>
      <c r="B387" s="530" t="s">
        <v>692</v>
      </c>
      <c r="C387" s="531"/>
      <c r="D387" s="532" t="s">
        <v>38</v>
      </c>
      <c r="E387" s="529">
        <v>1</v>
      </c>
      <c r="F387" s="28">
        <v>2.15</v>
      </c>
      <c r="G387" s="532"/>
      <c r="H387" s="28">
        <v>2.2999999999999998</v>
      </c>
      <c r="I387" s="532">
        <f t="shared" si="20"/>
        <v>4.9449999999999994</v>
      </c>
      <c r="J387" s="534"/>
      <c r="K387" s="522"/>
      <c r="L387" s="522"/>
      <c r="M387" s="522"/>
      <c r="N387" s="522"/>
      <c r="O387" s="522"/>
      <c r="P387" s="522"/>
      <c r="Q387" s="522"/>
      <c r="R387" s="522"/>
      <c r="S387" s="522"/>
      <c r="T387" s="522"/>
      <c r="U387" s="522"/>
      <c r="V387" s="522"/>
      <c r="W387" s="522"/>
      <c r="X387" s="522"/>
      <c r="Y387" s="522"/>
      <c r="Z387" s="522"/>
    </row>
    <row r="388" spans="1:26" s="523" customFormat="1" ht="15" hidden="1" customHeight="1" outlineLevel="1" x14ac:dyDescent="0.2">
      <c r="A388" s="529"/>
      <c r="B388" s="530" t="s">
        <v>693</v>
      </c>
      <c r="C388" s="531"/>
      <c r="D388" s="532" t="s">
        <v>38</v>
      </c>
      <c r="E388" s="529">
        <v>1</v>
      </c>
      <c r="F388" s="28">
        <v>1.2</v>
      </c>
      <c r="G388" s="532"/>
      <c r="H388" s="28">
        <v>1</v>
      </c>
      <c r="I388" s="532">
        <f t="shared" si="20"/>
        <v>1.2</v>
      </c>
      <c r="J388" s="534"/>
      <c r="K388" s="522"/>
      <c r="L388" s="522"/>
      <c r="M388" s="522"/>
      <c r="N388" s="522"/>
      <c r="O388" s="522"/>
      <c r="P388" s="522"/>
      <c r="Q388" s="522"/>
      <c r="R388" s="522"/>
      <c r="S388" s="522"/>
      <c r="T388" s="522"/>
      <c r="U388" s="522"/>
      <c r="V388" s="522"/>
      <c r="W388" s="522"/>
      <c r="X388" s="522"/>
      <c r="Y388" s="522"/>
      <c r="Z388" s="522"/>
    </row>
    <row r="389" spans="1:26" s="523" customFormat="1" ht="15" hidden="1" customHeight="1" outlineLevel="1" x14ac:dyDescent="0.2">
      <c r="A389" s="529"/>
      <c r="B389" s="530" t="s">
        <v>694</v>
      </c>
      <c r="C389" s="531"/>
      <c r="D389" s="532" t="s">
        <v>38</v>
      </c>
      <c r="E389" s="529">
        <v>1</v>
      </c>
      <c r="F389" s="28">
        <v>2.6</v>
      </c>
      <c r="G389" s="532"/>
      <c r="H389" s="28">
        <v>1</v>
      </c>
      <c r="I389" s="532">
        <f t="shared" si="20"/>
        <v>2.6</v>
      </c>
      <c r="J389" s="534"/>
      <c r="K389" s="522"/>
      <c r="L389" s="522"/>
      <c r="M389" s="522"/>
      <c r="N389" s="522"/>
      <c r="O389" s="522"/>
      <c r="P389" s="522"/>
      <c r="Q389" s="522"/>
      <c r="R389" s="522"/>
      <c r="S389" s="522"/>
      <c r="T389" s="522"/>
      <c r="U389" s="522"/>
      <c r="V389" s="522"/>
      <c r="W389" s="522"/>
      <c r="X389" s="522"/>
      <c r="Y389" s="522"/>
      <c r="Z389" s="522"/>
    </row>
    <row r="390" spans="1:26" s="523" customFormat="1" ht="15" hidden="1" customHeight="1" outlineLevel="1" x14ac:dyDescent="0.2">
      <c r="A390" s="529"/>
      <c r="B390" s="530" t="s">
        <v>695</v>
      </c>
      <c r="C390" s="531"/>
      <c r="D390" s="532" t="s">
        <v>38</v>
      </c>
      <c r="E390" s="529">
        <v>1</v>
      </c>
      <c r="F390" s="28">
        <v>1.35</v>
      </c>
      <c r="G390" s="532"/>
      <c r="H390" s="28">
        <v>2.6</v>
      </c>
      <c r="I390" s="532">
        <f t="shared" si="20"/>
        <v>3.5100000000000002</v>
      </c>
      <c r="J390" s="594"/>
      <c r="K390" s="522"/>
      <c r="L390" s="522"/>
      <c r="M390" s="522"/>
      <c r="N390" s="522"/>
      <c r="O390" s="522"/>
      <c r="P390" s="522"/>
      <c r="Q390" s="522"/>
      <c r="R390" s="522"/>
      <c r="S390" s="522"/>
      <c r="T390" s="522"/>
      <c r="U390" s="522"/>
      <c r="V390" s="522"/>
      <c r="W390" s="522"/>
      <c r="X390" s="522"/>
      <c r="Y390" s="522"/>
      <c r="Z390" s="522"/>
    </row>
    <row r="391" spans="1:26" s="523" customFormat="1" ht="15" hidden="1" customHeight="1" outlineLevel="1" x14ac:dyDescent="0.2">
      <c r="A391" s="529"/>
      <c r="B391" s="530" t="s">
        <v>696</v>
      </c>
      <c r="C391" s="531"/>
      <c r="D391" s="532" t="s">
        <v>38</v>
      </c>
      <c r="E391" s="529">
        <v>1</v>
      </c>
      <c r="F391" s="28">
        <v>3.35</v>
      </c>
      <c r="G391" s="532"/>
      <c r="H391" s="28">
        <v>2.2999999999999998</v>
      </c>
      <c r="I391" s="532">
        <f t="shared" si="20"/>
        <v>7.7049999999999992</v>
      </c>
      <c r="J391" s="534"/>
      <c r="K391" s="522"/>
      <c r="L391" s="522"/>
      <c r="M391" s="522"/>
      <c r="N391" s="522"/>
      <c r="O391" s="522"/>
      <c r="P391" s="522"/>
      <c r="Q391" s="522"/>
      <c r="R391" s="522"/>
      <c r="S391" s="522"/>
      <c r="T391" s="522"/>
      <c r="U391" s="522"/>
      <c r="V391" s="522"/>
      <c r="W391" s="522"/>
      <c r="X391" s="522"/>
      <c r="Y391" s="522"/>
      <c r="Z391" s="522"/>
    </row>
    <row r="392" spans="1:26" s="523" customFormat="1" ht="15" hidden="1" customHeight="1" outlineLevel="1" x14ac:dyDescent="0.2">
      <c r="A392" s="529"/>
      <c r="B392" s="530" t="s">
        <v>697</v>
      </c>
      <c r="C392" s="531"/>
      <c r="D392" s="532" t="s">
        <v>38</v>
      </c>
      <c r="E392" s="529">
        <v>1</v>
      </c>
      <c r="F392" s="28">
        <v>1.4</v>
      </c>
      <c r="G392" s="532"/>
      <c r="H392" s="28">
        <v>2.6</v>
      </c>
      <c r="I392" s="532">
        <f t="shared" si="20"/>
        <v>3.6399999999999997</v>
      </c>
      <c r="J392" s="534"/>
      <c r="K392" s="522"/>
      <c r="L392" s="522"/>
      <c r="M392" s="522"/>
      <c r="N392" s="522"/>
      <c r="O392" s="522"/>
      <c r="P392" s="522"/>
      <c r="Q392" s="522"/>
      <c r="R392" s="522"/>
      <c r="S392" s="522"/>
      <c r="T392" s="522"/>
      <c r="U392" s="522"/>
      <c r="V392" s="522"/>
      <c r="W392" s="522"/>
      <c r="X392" s="522"/>
      <c r="Y392" s="522"/>
      <c r="Z392" s="522"/>
    </row>
    <row r="393" spans="1:26" s="523" customFormat="1" ht="15" hidden="1" customHeight="1" outlineLevel="1" x14ac:dyDescent="0.2">
      <c r="A393" s="529"/>
      <c r="B393" s="530" t="s">
        <v>698</v>
      </c>
      <c r="C393" s="531"/>
      <c r="D393" s="532" t="s">
        <v>38</v>
      </c>
      <c r="E393" s="529">
        <v>1</v>
      </c>
      <c r="F393" s="28">
        <v>1.6</v>
      </c>
      <c r="G393" s="532"/>
      <c r="H393" s="28">
        <v>1</v>
      </c>
      <c r="I393" s="532">
        <f t="shared" si="20"/>
        <v>1.6</v>
      </c>
      <c r="J393" s="534"/>
      <c r="K393" s="522"/>
      <c r="L393" s="522"/>
      <c r="M393" s="522"/>
      <c r="N393" s="522"/>
      <c r="O393" s="522"/>
      <c r="P393" s="522"/>
      <c r="Q393" s="522"/>
      <c r="R393" s="522"/>
      <c r="S393" s="522"/>
      <c r="T393" s="522"/>
      <c r="U393" s="522"/>
      <c r="V393" s="522"/>
      <c r="W393" s="522"/>
      <c r="X393" s="522"/>
      <c r="Y393" s="522"/>
      <c r="Z393" s="522"/>
    </row>
    <row r="394" spans="1:26" s="523" customFormat="1" ht="15" hidden="1" customHeight="1" outlineLevel="1" x14ac:dyDescent="0.2">
      <c r="A394" s="529"/>
      <c r="B394" s="530" t="s">
        <v>699</v>
      </c>
      <c r="C394" s="531"/>
      <c r="D394" s="532" t="s">
        <v>38</v>
      </c>
      <c r="E394" s="529">
        <v>1</v>
      </c>
      <c r="F394" s="28">
        <v>2</v>
      </c>
      <c r="G394" s="532"/>
      <c r="H394" s="28">
        <v>2.6</v>
      </c>
      <c r="I394" s="532">
        <f t="shared" si="20"/>
        <v>5.2</v>
      </c>
      <c r="J394" s="534"/>
      <c r="K394" s="522"/>
      <c r="L394" s="522"/>
      <c r="M394" s="522"/>
      <c r="N394" s="522"/>
      <c r="O394" s="522"/>
      <c r="P394" s="522"/>
      <c r="Q394" s="522"/>
      <c r="R394" s="522"/>
      <c r="S394" s="522"/>
      <c r="T394" s="522"/>
      <c r="U394" s="522"/>
      <c r="V394" s="522"/>
      <c r="W394" s="522"/>
      <c r="X394" s="522"/>
      <c r="Y394" s="522"/>
      <c r="Z394" s="522"/>
    </row>
    <row r="395" spans="1:26" s="523" customFormat="1" ht="15" hidden="1" customHeight="1" outlineLevel="1" x14ac:dyDescent="0.2">
      <c r="A395" s="529"/>
      <c r="B395" s="530" t="s">
        <v>700</v>
      </c>
      <c r="C395" s="531"/>
      <c r="D395" s="532" t="s">
        <v>38</v>
      </c>
      <c r="E395" s="529">
        <v>1</v>
      </c>
      <c r="F395" s="28">
        <v>0.7</v>
      </c>
      <c r="G395" s="532"/>
      <c r="H395" s="28">
        <v>2.6</v>
      </c>
      <c r="I395" s="532">
        <f t="shared" si="20"/>
        <v>1.8199999999999998</v>
      </c>
      <c r="J395" s="534"/>
      <c r="K395" s="522"/>
      <c r="L395" s="522"/>
      <c r="M395" s="522"/>
      <c r="N395" s="522"/>
      <c r="O395" s="522"/>
      <c r="P395" s="522"/>
      <c r="Q395" s="522"/>
      <c r="R395" s="522"/>
      <c r="S395" s="522"/>
      <c r="T395" s="522"/>
      <c r="U395" s="522"/>
      <c r="V395" s="522"/>
      <c r="W395" s="522"/>
      <c r="X395" s="522"/>
      <c r="Y395" s="522"/>
      <c r="Z395" s="522"/>
    </row>
    <row r="396" spans="1:26" s="523" customFormat="1" ht="15" hidden="1" customHeight="1" outlineLevel="1" x14ac:dyDescent="0.2">
      <c r="A396" s="529"/>
      <c r="B396" s="530" t="s">
        <v>701</v>
      </c>
      <c r="C396" s="531"/>
      <c r="D396" s="532" t="s">
        <v>38</v>
      </c>
      <c r="E396" s="529">
        <v>1</v>
      </c>
      <c r="F396" s="28">
        <v>0.8</v>
      </c>
      <c r="G396" s="532"/>
      <c r="H396" s="28">
        <v>2.2000000000000002</v>
      </c>
      <c r="I396" s="532">
        <f t="shared" si="20"/>
        <v>1.7600000000000002</v>
      </c>
      <c r="J396" s="534"/>
      <c r="K396" s="522"/>
      <c r="L396" s="522"/>
      <c r="M396" s="522"/>
      <c r="N396" s="522"/>
      <c r="O396" s="522"/>
      <c r="P396" s="522"/>
      <c r="Q396" s="522"/>
      <c r="R396" s="522"/>
      <c r="S396" s="522"/>
      <c r="T396" s="522"/>
      <c r="U396" s="522"/>
      <c r="V396" s="522"/>
      <c r="W396" s="522"/>
      <c r="X396" s="522"/>
      <c r="Y396" s="522"/>
      <c r="Z396" s="522"/>
    </row>
    <row r="397" spans="1:26" s="523" customFormat="1" ht="15" hidden="1" customHeight="1" outlineLevel="1" x14ac:dyDescent="0.2">
      <c r="A397" s="529"/>
      <c r="B397" s="530" t="s">
        <v>702</v>
      </c>
      <c r="C397" s="531"/>
      <c r="D397" s="532" t="s">
        <v>38</v>
      </c>
      <c r="E397" s="529">
        <v>1</v>
      </c>
      <c r="F397" s="28">
        <v>1.3493999999999999</v>
      </c>
      <c r="G397" s="532"/>
      <c r="H397" s="28">
        <v>1</v>
      </c>
      <c r="I397" s="532">
        <f t="shared" si="20"/>
        <v>1.3493999999999999</v>
      </c>
      <c r="J397" s="534"/>
      <c r="K397" s="522"/>
      <c r="L397" s="522"/>
      <c r="M397" s="522"/>
      <c r="N397" s="522"/>
      <c r="O397" s="522"/>
      <c r="P397" s="522"/>
      <c r="Q397" s="522"/>
      <c r="R397" s="522"/>
      <c r="S397" s="522"/>
      <c r="T397" s="522"/>
      <c r="U397" s="522"/>
      <c r="V397" s="522"/>
      <c r="W397" s="522"/>
      <c r="X397" s="522"/>
      <c r="Y397" s="522"/>
      <c r="Z397" s="522"/>
    </row>
    <row r="398" spans="1:26" s="523" customFormat="1" ht="15" hidden="1" customHeight="1" outlineLevel="1" x14ac:dyDescent="0.2">
      <c r="A398" s="529"/>
      <c r="B398" s="530" t="s">
        <v>703</v>
      </c>
      <c r="C398" s="531"/>
      <c r="D398" s="532" t="s">
        <v>38</v>
      </c>
      <c r="E398" s="529">
        <v>1</v>
      </c>
      <c r="F398" s="28">
        <v>0.4491</v>
      </c>
      <c r="G398" s="532"/>
      <c r="H398" s="28">
        <v>2.6</v>
      </c>
      <c r="I398" s="532">
        <f t="shared" si="20"/>
        <v>1.1676600000000001</v>
      </c>
      <c r="J398" s="534"/>
      <c r="K398" s="522"/>
      <c r="L398" s="522"/>
      <c r="M398" s="522"/>
      <c r="N398" s="522"/>
      <c r="O398" s="522"/>
      <c r="P398" s="522"/>
      <c r="Q398" s="522"/>
      <c r="R398" s="522"/>
      <c r="S398" s="522"/>
      <c r="T398" s="522"/>
      <c r="U398" s="522"/>
      <c r="V398" s="522"/>
      <c r="W398" s="522"/>
      <c r="X398" s="522"/>
      <c r="Y398" s="522"/>
      <c r="Z398" s="522"/>
    </row>
    <row r="399" spans="1:26" s="523" customFormat="1" ht="15" hidden="1" customHeight="1" outlineLevel="1" x14ac:dyDescent="0.2">
      <c r="A399" s="529" t="s">
        <v>628</v>
      </c>
      <c r="B399" s="530" t="s">
        <v>704</v>
      </c>
      <c r="C399" s="531"/>
      <c r="D399" s="532" t="s">
        <v>38</v>
      </c>
      <c r="E399" s="529">
        <v>1</v>
      </c>
      <c r="F399" s="28">
        <v>0.9</v>
      </c>
      <c r="G399" s="532"/>
      <c r="H399" s="28">
        <v>2.2999999999999998</v>
      </c>
      <c r="I399" s="532">
        <f t="shared" si="20"/>
        <v>2.0699999999999998</v>
      </c>
      <c r="J399" s="534"/>
      <c r="K399" s="522"/>
      <c r="L399" s="522"/>
      <c r="M399" s="522"/>
      <c r="N399" s="522"/>
      <c r="O399" s="522"/>
      <c r="P399" s="522"/>
      <c r="Q399" s="522"/>
      <c r="R399" s="522"/>
      <c r="S399" s="522"/>
      <c r="T399" s="522"/>
      <c r="U399" s="522"/>
      <c r="V399" s="522"/>
      <c r="W399" s="522"/>
      <c r="X399" s="522"/>
      <c r="Y399" s="522"/>
      <c r="Z399" s="522"/>
    </row>
    <row r="400" spans="1:26" s="523" customFormat="1" ht="15" hidden="1" customHeight="1" outlineLevel="1" x14ac:dyDescent="0.2">
      <c r="A400" s="529"/>
      <c r="B400" s="530" t="s">
        <v>705</v>
      </c>
      <c r="C400" s="531"/>
      <c r="D400" s="532" t="s">
        <v>38</v>
      </c>
      <c r="E400" s="529">
        <v>1</v>
      </c>
      <c r="F400" s="28">
        <v>1.05</v>
      </c>
      <c r="G400" s="532"/>
      <c r="H400" s="28">
        <v>2.2999999999999998</v>
      </c>
      <c r="I400" s="532">
        <f t="shared" si="20"/>
        <v>2.415</v>
      </c>
      <c r="J400" s="534"/>
      <c r="K400" s="522"/>
      <c r="L400" s="522"/>
      <c r="M400" s="522"/>
      <c r="N400" s="522"/>
      <c r="O400" s="522"/>
      <c r="P400" s="522"/>
      <c r="Q400" s="522"/>
      <c r="R400" s="522"/>
      <c r="S400" s="522"/>
      <c r="T400" s="522"/>
      <c r="U400" s="522"/>
      <c r="V400" s="522"/>
      <c r="W400" s="522"/>
      <c r="X400" s="522"/>
      <c r="Y400" s="522"/>
      <c r="Z400" s="522"/>
    </row>
    <row r="401" spans="1:26" s="523" customFormat="1" ht="15" hidden="1" customHeight="1" outlineLevel="1" x14ac:dyDescent="0.2">
      <c r="A401" s="529"/>
      <c r="B401" s="530" t="s">
        <v>706</v>
      </c>
      <c r="C401" s="531"/>
      <c r="D401" s="532" t="s">
        <v>38</v>
      </c>
      <c r="E401" s="529">
        <v>1</v>
      </c>
      <c r="F401" s="28">
        <v>1.1000000000000001</v>
      </c>
      <c r="G401" s="532"/>
      <c r="H401" s="28">
        <v>2.6</v>
      </c>
      <c r="I401" s="532">
        <f t="shared" si="20"/>
        <v>2.8600000000000003</v>
      </c>
      <c r="J401" s="534"/>
      <c r="K401" s="522"/>
      <c r="L401" s="522"/>
      <c r="M401" s="522"/>
      <c r="N401" s="522"/>
      <c r="O401" s="522"/>
      <c r="P401" s="522"/>
      <c r="Q401" s="522"/>
      <c r="R401" s="522"/>
      <c r="S401" s="522"/>
      <c r="T401" s="522"/>
      <c r="U401" s="522"/>
      <c r="V401" s="522"/>
      <c r="W401" s="522"/>
      <c r="X401" s="522"/>
      <c r="Y401" s="522"/>
      <c r="Z401" s="522"/>
    </row>
    <row r="402" spans="1:26" s="523" customFormat="1" ht="15" hidden="1" customHeight="1" outlineLevel="1" x14ac:dyDescent="0.2">
      <c r="A402" s="529"/>
      <c r="B402" s="530" t="s">
        <v>707</v>
      </c>
      <c r="C402" s="531"/>
      <c r="D402" s="532" t="s">
        <v>38</v>
      </c>
      <c r="E402" s="529">
        <v>1</v>
      </c>
      <c r="F402" s="28">
        <v>0.5</v>
      </c>
      <c r="G402" s="532"/>
      <c r="H402" s="28">
        <v>2.6</v>
      </c>
      <c r="I402" s="532">
        <f t="shared" si="20"/>
        <v>1.3</v>
      </c>
      <c r="J402" s="534"/>
      <c r="K402" s="522"/>
      <c r="L402" s="522"/>
      <c r="M402" s="522"/>
      <c r="N402" s="522"/>
      <c r="O402" s="522"/>
      <c r="P402" s="522"/>
      <c r="Q402" s="522"/>
      <c r="R402" s="522"/>
      <c r="S402" s="522"/>
      <c r="T402" s="522"/>
      <c r="U402" s="522"/>
      <c r="V402" s="522"/>
      <c r="W402" s="522"/>
      <c r="X402" s="522"/>
      <c r="Y402" s="522"/>
      <c r="Z402" s="522"/>
    </row>
    <row r="403" spans="1:26" s="523" customFormat="1" ht="15" hidden="1" customHeight="1" outlineLevel="1" x14ac:dyDescent="0.2">
      <c r="A403" s="529"/>
      <c r="B403" s="530" t="s">
        <v>708</v>
      </c>
      <c r="C403" s="531"/>
      <c r="D403" s="532" t="s">
        <v>38</v>
      </c>
      <c r="E403" s="529">
        <v>1</v>
      </c>
      <c r="F403" s="28">
        <v>1.65</v>
      </c>
      <c r="G403" s="532"/>
      <c r="H403" s="28">
        <v>2.6</v>
      </c>
      <c r="I403" s="532">
        <f t="shared" si="20"/>
        <v>4.29</v>
      </c>
      <c r="J403" s="534"/>
      <c r="K403" s="522"/>
      <c r="L403" s="522"/>
      <c r="M403" s="522"/>
      <c r="N403" s="522"/>
      <c r="O403" s="522"/>
      <c r="P403" s="522"/>
      <c r="Q403" s="522"/>
      <c r="R403" s="522"/>
      <c r="S403" s="522"/>
      <c r="T403" s="522"/>
      <c r="U403" s="522"/>
      <c r="V403" s="522"/>
      <c r="W403" s="522"/>
      <c r="X403" s="522"/>
      <c r="Y403" s="522"/>
      <c r="Z403" s="522"/>
    </row>
    <row r="404" spans="1:26" s="523" customFormat="1" ht="15" hidden="1" customHeight="1" outlineLevel="1" x14ac:dyDescent="0.2">
      <c r="A404" s="529"/>
      <c r="B404" s="530" t="s">
        <v>709</v>
      </c>
      <c r="C404" s="531"/>
      <c r="D404" s="532" t="s">
        <v>38</v>
      </c>
      <c r="E404" s="529">
        <v>1</v>
      </c>
      <c r="F404" s="28">
        <v>0.6</v>
      </c>
      <c r="G404" s="532"/>
      <c r="H404" s="28">
        <v>2.6</v>
      </c>
      <c r="I404" s="532">
        <f t="shared" si="20"/>
        <v>1.56</v>
      </c>
      <c r="J404" s="534"/>
      <c r="K404" s="522"/>
      <c r="L404" s="522"/>
      <c r="M404" s="522"/>
      <c r="N404" s="522"/>
      <c r="O404" s="522"/>
      <c r="P404" s="522"/>
      <c r="Q404" s="522"/>
      <c r="R404" s="522"/>
      <c r="S404" s="522"/>
      <c r="T404" s="522"/>
      <c r="U404" s="522"/>
      <c r="V404" s="522"/>
      <c r="W404" s="522"/>
      <c r="X404" s="522"/>
      <c r="Y404" s="522"/>
      <c r="Z404" s="522"/>
    </row>
    <row r="405" spans="1:26" s="523" customFormat="1" ht="15" hidden="1" customHeight="1" outlineLevel="1" x14ac:dyDescent="0.2">
      <c r="A405" s="529"/>
      <c r="B405" s="530" t="s">
        <v>710</v>
      </c>
      <c r="C405" s="531"/>
      <c r="D405" s="532" t="s">
        <v>38</v>
      </c>
      <c r="E405" s="529">
        <v>1</v>
      </c>
      <c r="F405" s="28">
        <v>0.55000000000000004</v>
      </c>
      <c r="G405" s="532"/>
      <c r="H405" s="28">
        <v>2.6</v>
      </c>
      <c r="I405" s="532">
        <f t="shared" si="20"/>
        <v>1.4300000000000002</v>
      </c>
      <c r="J405" s="594"/>
      <c r="K405" s="522"/>
      <c r="L405" s="522"/>
      <c r="M405" s="522"/>
      <c r="N405" s="522"/>
      <c r="O405" s="522"/>
      <c r="P405" s="522"/>
      <c r="Q405" s="522"/>
      <c r="R405" s="522"/>
      <c r="S405" s="522"/>
      <c r="T405" s="522"/>
      <c r="U405" s="522"/>
      <c r="V405" s="522"/>
      <c r="W405" s="522"/>
      <c r="X405" s="522"/>
      <c r="Y405" s="522"/>
      <c r="Z405" s="522"/>
    </row>
    <row r="406" spans="1:26" s="523" customFormat="1" ht="15" hidden="1" customHeight="1" outlineLevel="1" x14ac:dyDescent="0.2">
      <c r="A406" s="529"/>
      <c r="B406" s="530" t="s">
        <v>711</v>
      </c>
      <c r="C406" s="531"/>
      <c r="D406" s="532" t="s">
        <v>38</v>
      </c>
      <c r="E406" s="529">
        <v>1</v>
      </c>
      <c r="F406" s="28">
        <v>0.55000000000000004</v>
      </c>
      <c r="G406" s="532"/>
      <c r="H406" s="28">
        <v>2.2000000000000002</v>
      </c>
      <c r="I406" s="532">
        <f t="shared" si="20"/>
        <v>1.2100000000000002</v>
      </c>
      <c r="J406" s="534"/>
      <c r="K406" s="522"/>
      <c r="L406" s="522"/>
      <c r="M406" s="522"/>
      <c r="N406" s="522"/>
      <c r="O406" s="522"/>
      <c r="P406" s="522"/>
      <c r="Q406" s="522"/>
      <c r="R406" s="522"/>
      <c r="S406" s="522"/>
      <c r="T406" s="522"/>
      <c r="U406" s="522"/>
      <c r="V406" s="522"/>
      <c r="W406" s="522"/>
      <c r="X406" s="522"/>
      <c r="Y406" s="522"/>
      <c r="Z406" s="522"/>
    </row>
    <row r="407" spans="1:26" s="523" customFormat="1" ht="15" hidden="1" customHeight="1" outlineLevel="1" x14ac:dyDescent="0.2">
      <c r="A407" s="529"/>
      <c r="B407" s="530"/>
      <c r="C407" s="531"/>
      <c r="D407" s="532"/>
      <c r="E407" s="529"/>
      <c r="F407" s="28"/>
      <c r="G407" s="535"/>
      <c r="H407" s="28"/>
      <c r="I407" s="532"/>
      <c r="J407" s="534"/>
      <c r="K407" s="522"/>
      <c r="L407" s="522"/>
      <c r="M407" s="522"/>
      <c r="N407" s="522"/>
      <c r="O407" s="522"/>
      <c r="P407" s="522"/>
      <c r="Q407" s="522"/>
      <c r="R407" s="522"/>
      <c r="S407" s="522"/>
      <c r="T407" s="522"/>
      <c r="U407" s="522"/>
      <c r="V407" s="522"/>
      <c r="W407" s="522"/>
      <c r="X407" s="522"/>
      <c r="Y407" s="522"/>
      <c r="Z407" s="522"/>
    </row>
    <row r="408" spans="1:26" s="523" customFormat="1" ht="15" customHeight="1" collapsed="1" x14ac:dyDescent="0.2">
      <c r="A408" s="526" t="s">
        <v>419</v>
      </c>
      <c r="B408" s="527" t="s">
        <v>650</v>
      </c>
      <c r="C408" s="527"/>
      <c r="D408" s="526" t="s">
        <v>2</v>
      </c>
      <c r="E408" s="526"/>
      <c r="F408" s="526"/>
      <c r="G408" s="526"/>
      <c r="H408" s="526"/>
      <c r="I408" s="526"/>
      <c r="J408" s="528">
        <f>SUM(I409:I410)</f>
        <v>10</v>
      </c>
      <c r="K408" s="522"/>
      <c r="L408" s="522"/>
      <c r="M408" s="522"/>
      <c r="N408" s="522"/>
      <c r="O408" s="522"/>
      <c r="P408" s="522"/>
      <c r="Q408" s="522"/>
      <c r="R408" s="522"/>
      <c r="S408" s="522"/>
      <c r="T408" s="522"/>
      <c r="U408" s="522"/>
      <c r="V408" s="522"/>
      <c r="W408" s="522"/>
      <c r="X408" s="522"/>
      <c r="Y408" s="522"/>
      <c r="Z408" s="522"/>
    </row>
    <row r="409" spans="1:26" s="523" customFormat="1" ht="15" hidden="1" customHeight="1" outlineLevel="1" x14ac:dyDescent="0.2">
      <c r="A409" s="529"/>
      <c r="B409" s="530" t="s">
        <v>368</v>
      </c>
      <c r="C409" s="531"/>
      <c r="D409" s="532" t="s">
        <v>2</v>
      </c>
      <c r="E409" s="529">
        <v>4</v>
      </c>
      <c r="F409" s="28"/>
      <c r="G409" s="532"/>
      <c r="H409" s="28"/>
      <c r="I409" s="532">
        <f>PRODUCT(E409:H409)</f>
        <v>4</v>
      </c>
      <c r="J409" s="533"/>
      <c r="K409" s="522"/>
      <c r="L409" s="522"/>
      <c r="M409" s="522"/>
      <c r="N409" s="522"/>
      <c r="O409" s="522"/>
      <c r="P409" s="522"/>
      <c r="Q409" s="522"/>
      <c r="R409" s="522"/>
      <c r="S409" s="522"/>
      <c r="T409" s="522"/>
      <c r="U409" s="522"/>
      <c r="V409" s="522"/>
      <c r="W409" s="522"/>
      <c r="X409" s="522"/>
      <c r="Y409" s="522"/>
      <c r="Z409" s="522"/>
    </row>
    <row r="410" spans="1:26" s="523" customFormat="1" ht="15" hidden="1" customHeight="1" outlineLevel="1" x14ac:dyDescent="0.2">
      <c r="A410" s="529"/>
      <c r="B410" s="530" t="s">
        <v>651</v>
      </c>
      <c r="C410" s="531"/>
      <c r="D410" s="532" t="s">
        <v>2</v>
      </c>
      <c r="E410" s="529">
        <v>6</v>
      </c>
      <c r="F410" s="28"/>
      <c r="G410" s="535"/>
      <c r="H410" s="28"/>
      <c r="I410" s="532">
        <f>PRODUCT(E410:H410)</f>
        <v>6</v>
      </c>
      <c r="J410" s="534"/>
      <c r="K410" s="522"/>
      <c r="L410" s="522"/>
      <c r="M410" s="522"/>
      <c r="N410" s="522"/>
      <c r="O410" s="522"/>
      <c r="P410" s="522"/>
      <c r="Q410" s="522"/>
      <c r="R410" s="522"/>
      <c r="S410" s="522"/>
      <c r="T410" s="522"/>
      <c r="U410" s="522"/>
      <c r="V410" s="522"/>
      <c r="W410" s="522"/>
      <c r="X410" s="522"/>
      <c r="Y410" s="522"/>
      <c r="Z410" s="522"/>
    </row>
    <row r="411" spans="1:26" s="523" customFormat="1" ht="15" hidden="1" customHeight="1" outlineLevel="1" x14ac:dyDescent="0.2">
      <c r="A411" s="529"/>
      <c r="B411" s="536"/>
      <c r="C411" s="536"/>
      <c r="D411" s="537"/>
      <c r="E411" s="401"/>
      <c r="F411" s="401"/>
      <c r="G411" s="537"/>
      <c r="H411" s="401"/>
      <c r="I411" s="537"/>
      <c r="J411" s="538"/>
      <c r="K411" s="522"/>
      <c r="L411" s="522"/>
      <c r="M411" s="522"/>
      <c r="N411" s="522"/>
      <c r="O411" s="522"/>
      <c r="P411" s="522"/>
      <c r="Q411" s="522"/>
      <c r="R411" s="522"/>
      <c r="S411" s="522"/>
      <c r="T411" s="522"/>
      <c r="U411" s="522"/>
      <c r="V411" s="522"/>
      <c r="W411" s="522"/>
      <c r="X411" s="522"/>
      <c r="Y411" s="522"/>
      <c r="Z411" s="522"/>
    </row>
    <row r="412" spans="1:26" s="523" customFormat="1" ht="15" customHeight="1" collapsed="1" x14ac:dyDescent="0.2">
      <c r="A412" s="276" t="s">
        <v>420</v>
      </c>
      <c r="B412" s="524" t="s">
        <v>409</v>
      </c>
      <c r="C412" s="525"/>
      <c r="D412" s="539"/>
      <c r="E412" s="539"/>
      <c r="F412" s="539"/>
      <c r="G412" s="539"/>
      <c r="H412" s="539"/>
      <c r="I412" s="539"/>
      <c r="J412" s="539"/>
      <c r="K412" s="522"/>
      <c r="L412" s="522"/>
      <c r="M412" s="522"/>
      <c r="N412" s="522"/>
      <c r="O412" s="522"/>
      <c r="P412" s="522"/>
      <c r="Q412" s="522"/>
      <c r="R412" s="522"/>
      <c r="S412" s="522"/>
      <c r="T412" s="522"/>
      <c r="U412" s="522"/>
      <c r="V412" s="522"/>
      <c r="W412" s="522"/>
      <c r="X412" s="522"/>
      <c r="Y412" s="522"/>
      <c r="Z412" s="522"/>
    </row>
    <row r="413" spans="1:26" s="523" customFormat="1" ht="15" customHeight="1" x14ac:dyDescent="0.2">
      <c r="A413" s="526" t="s">
        <v>421</v>
      </c>
      <c r="B413" s="540" t="s">
        <v>410</v>
      </c>
      <c r="C413" s="541"/>
      <c r="D413" s="542" t="s">
        <v>408</v>
      </c>
      <c r="E413" s="542"/>
      <c r="F413" s="542"/>
      <c r="G413" s="526"/>
      <c r="H413" s="526"/>
      <c r="I413" s="526"/>
      <c r="J413" s="528">
        <f>SUM(I414:I470)</f>
        <v>302.69219999999996</v>
      </c>
      <c r="K413" s="522"/>
      <c r="L413" s="522"/>
      <c r="M413" s="522"/>
      <c r="N413" s="522"/>
      <c r="O413" s="522"/>
      <c r="P413" s="522"/>
      <c r="Q413" s="522"/>
      <c r="R413" s="522"/>
      <c r="S413" s="522"/>
      <c r="T413" s="522"/>
      <c r="U413" s="522"/>
      <c r="V413" s="522"/>
      <c r="W413" s="522"/>
      <c r="X413" s="522"/>
      <c r="Y413" s="522"/>
      <c r="Z413" s="522"/>
    </row>
    <row r="414" spans="1:26" s="523" customFormat="1" ht="15" hidden="1" customHeight="1" outlineLevel="1" x14ac:dyDescent="0.2">
      <c r="A414" s="543"/>
      <c r="B414" s="530" t="s">
        <v>561</v>
      </c>
      <c r="C414" s="531"/>
      <c r="D414" s="532" t="s">
        <v>38</v>
      </c>
      <c r="E414" s="529">
        <v>1</v>
      </c>
      <c r="F414" s="28">
        <v>3.8</v>
      </c>
      <c r="G414" s="532"/>
      <c r="H414" s="28">
        <v>2.4</v>
      </c>
      <c r="I414" s="532">
        <f t="shared" ref="I414:I432" si="21">PRODUCT(E414:H414)</f>
        <v>9.1199999999999992</v>
      </c>
      <c r="J414" s="533"/>
      <c r="K414" s="522"/>
      <c r="L414" s="522"/>
      <c r="M414" s="522"/>
      <c r="N414" s="522"/>
      <c r="O414" s="522"/>
      <c r="P414" s="522"/>
      <c r="Q414" s="522"/>
      <c r="R414" s="522"/>
      <c r="S414" s="522"/>
      <c r="T414" s="522"/>
      <c r="U414" s="522"/>
      <c r="V414" s="522"/>
      <c r="W414" s="522"/>
      <c r="X414" s="522"/>
      <c r="Y414" s="522"/>
      <c r="Z414" s="522"/>
    </row>
    <row r="415" spans="1:26" s="523" customFormat="1" ht="15" hidden="1" customHeight="1" outlineLevel="1" x14ac:dyDescent="0.2">
      <c r="A415" s="543"/>
      <c r="B415" s="530" t="s">
        <v>562</v>
      </c>
      <c r="C415" s="531"/>
      <c r="D415" s="532" t="s">
        <v>38</v>
      </c>
      <c r="E415" s="529">
        <v>1</v>
      </c>
      <c r="F415" s="28">
        <v>4.2</v>
      </c>
      <c r="G415" s="532"/>
      <c r="H415" s="28">
        <v>2.4</v>
      </c>
      <c r="I415" s="532">
        <f t="shared" si="21"/>
        <v>10.08</v>
      </c>
      <c r="J415" s="534"/>
      <c r="K415" s="522"/>
      <c r="L415" s="522"/>
      <c r="M415" s="522"/>
      <c r="N415" s="522"/>
      <c r="O415" s="522"/>
      <c r="P415" s="522"/>
      <c r="Q415" s="522"/>
      <c r="R415" s="522"/>
      <c r="S415" s="522"/>
      <c r="T415" s="522"/>
      <c r="U415" s="522"/>
      <c r="V415" s="522"/>
      <c r="W415" s="522"/>
      <c r="X415" s="522"/>
      <c r="Y415" s="522"/>
      <c r="Z415" s="522"/>
    </row>
    <row r="416" spans="1:26" s="523" customFormat="1" ht="15" hidden="1" customHeight="1" outlineLevel="1" x14ac:dyDescent="0.2">
      <c r="A416" s="543"/>
      <c r="B416" s="530" t="s">
        <v>563</v>
      </c>
      <c r="C416" s="531"/>
      <c r="D416" s="532" t="s">
        <v>38</v>
      </c>
      <c r="E416" s="529">
        <v>1</v>
      </c>
      <c r="F416" s="28">
        <v>1.6</v>
      </c>
      <c r="G416" s="532"/>
      <c r="H416" s="28">
        <v>2.4</v>
      </c>
      <c r="I416" s="532">
        <f t="shared" si="21"/>
        <v>3.84</v>
      </c>
      <c r="J416" s="544"/>
      <c r="K416" s="522"/>
      <c r="L416" s="522"/>
      <c r="M416" s="522"/>
      <c r="N416" s="522"/>
      <c r="O416" s="522"/>
      <c r="P416" s="522"/>
      <c r="Q416" s="522"/>
      <c r="R416" s="522"/>
      <c r="S416" s="522"/>
      <c r="T416" s="522"/>
      <c r="U416" s="522"/>
      <c r="V416" s="522"/>
      <c r="W416" s="522"/>
      <c r="X416" s="522"/>
      <c r="Y416" s="522"/>
      <c r="Z416" s="522"/>
    </row>
    <row r="417" spans="1:26" s="523" customFormat="1" ht="15" hidden="1" customHeight="1" outlineLevel="1" x14ac:dyDescent="0.2">
      <c r="A417" s="543"/>
      <c r="B417" s="530" t="s">
        <v>564</v>
      </c>
      <c r="C417" s="531"/>
      <c r="D417" s="532" t="s">
        <v>38</v>
      </c>
      <c r="E417" s="529">
        <v>1</v>
      </c>
      <c r="F417" s="28">
        <v>1.8</v>
      </c>
      <c r="G417" s="532"/>
      <c r="H417" s="28">
        <v>2.4</v>
      </c>
      <c r="I417" s="532">
        <f t="shared" si="21"/>
        <v>4.32</v>
      </c>
      <c r="J417" s="545"/>
      <c r="K417" s="522"/>
      <c r="L417" s="522"/>
      <c r="M417" s="522"/>
      <c r="N417" s="522"/>
      <c r="O417" s="522"/>
      <c r="P417" s="522"/>
      <c r="Q417" s="522"/>
      <c r="R417" s="522"/>
      <c r="S417" s="522"/>
      <c r="T417" s="522"/>
      <c r="U417" s="522"/>
      <c r="V417" s="522"/>
      <c r="W417" s="522"/>
      <c r="X417" s="522"/>
      <c r="Y417" s="522"/>
      <c r="Z417" s="522"/>
    </row>
    <row r="418" spans="1:26" s="523" customFormat="1" ht="15" hidden="1" customHeight="1" outlineLevel="1" x14ac:dyDescent="0.2">
      <c r="A418" s="543"/>
      <c r="B418" s="530" t="s">
        <v>565</v>
      </c>
      <c r="C418" s="531"/>
      <c r="D418" s="532" t="s">
        <v>38</v>
      </c>
      <c r="E418" s="529">
        <v>1</v>
      </c>
      <c r="F418" s="28">
        <v>2.2999999999999998</v>
      </c>
      <c r="G418" s="532"/>
      <c r="H418" s="28">
        <v>2.4</v>
      </c>
      <c r="I418" s="532">
        <f t="shared" si="21"/>
        <v>5.52</v>
      </c>
      <c r="J418" s="545"/>
      <c r="K418" s="522"/>
      <c r="L418" s="522"/>
      <c r="M418" s="522"/>
      <c r="N418" s="522"/>
      <c r="O418" s="522"/>
      <c r="P418" s="522"/>
      <c r="Q418" s="522"/>
      <c r="R418" s="522"/>
      <c r="S418" s="522"/>
      <c r="T418" s="522"/>
      <c r="U418" s="522"/>
      <c r="V418" s="522"/>
      <c r="W418" s="522"/>
      <c r="X418" s="522"/>
      <c r="Y418" s="522"/>
      <c r="Z418" s="522"/>
    </row>
    <row r="419" spans="1:26" s="523" customFormat="1" ht="15" hidden="1" customHeight="1" outlineLevel="1" x14ac:dyDescent="0.2">
      <c r="A419" s="543"/>
      <c r="B419" s="530" t="s">
        <v>566</v>
      </c>
      <c r="C419" s="531"/>
      <c r="D419" s="532" t="s">
        <v>38</v>
      </c>
      <c r="E419" s="529">
        <v>1</v>
      </c>
      <c r="F419" s="28">
        <v>2.5</v>
      </c>
      <c r="G419" s="532"/>
      <c r="H419" s="28">
        <v>2.4</v>
      </c>
      <c r="I419" s="532">
        <f t="shared" si="21"/>
        <v>6</v>
      </c>
      <c r="J419" s="545"/>
      <c r="K419" s="522"/>
      <c r="L419" s="522"/>
      <c r="M419" s="522"/>
      <c r="N419" s="522"/>
      <c r="O419" s="522"/>
      <c r="P419" s="522"/>
      <c r="Q419" s="522"/>
      <c r="R419" s="522"/>
      <c r="S419" s="522"/>
      <c r="T419" s="522"/>
      <c r="U419" s="522"/>
      <c r="V419" s="522"/>
      <c r="W419" s="522"/>
      <c r="X419" s="522"/>
      <c r="Y419" s="522"/>
      <c r="Z419" s="522"/>
    </row>
    <row r="420" spans="1:26" s="523" customFormat="1" ht="15" hidden="1" customHeight="1" outlineLevel="1" x14ac:dyDescent="0.2">
      <c r="A420" s="543"/>
      <c r="B420" s="530" t="s">
        <v>567</v>
      </c>
      <c r="C420" s="531"/>
      <c r="D420" s="532" t="s">
        <v>38</v>
      </c>
      <c r="E420" s="529">
        <v>1</v>
      </c>
      <c r="F420" s="28">
        <v>1.35</v>
      </c>
      <c r="G420" s="532"/>
      <c r="H420" s="28">
        <v>2.4</v>
      </c>
      <c r="I420" s="532">
        <f t="shared" si="21"/>
        <v>3.24</v>
      </c>
      <c r="J420" s="546"/>
      <c r="K420" s="522"/>
      <c r="L420" s="522"/>
      <c r="M420" s="522"/>
      <c r="N420" s="522"/>
      <c r="O420" s="522"/>
      <c r="P420" s="522"/>
      <c r="Q420" s="522"/>
      <c r="R420" s="522"/>
      <c r="S420" s="522"/>
      <c r="T420" s="522"/>
      <c r="U420" s="522"/>
      <c r="V420" s="522"/>
      <c r="W420" s="522"/>
      <c r="X420" s="522"/>
      <c r="Y420" s="522"/>
      <c r="Z420" s="522"/>
    </row>
    <row r="421" spans="1:26" s="523" customFormat="1" ht="15" hidden="1" customHeight="1" outlineLevel="1" x14ac:dyDescent="0.2">
      <c r="A421" s="543"/>
      <c r="B421" s="530" t="s">
        <v>568</v>
      </c>
      <c r="C421" s="531"/>
      <c r="D421" s="532" t="s">
        <v>38</v>
      </c>
      <c r="E421" s="529">
        <v>1</v>
      </c>
      <c r="F421" s="28">
        <v>1.55</v>
      </c>
      <c r="G421" s="532"/>
      <c r="H421" s="28">
        <v>2.4</v>
      </c>
      <c r="I421" s="532">
        <f t="shared" si="21"/>
        <v>3.7199999999999998</v>
      </c>
      <c r="J421" s="546"/>
      <c r="K421" s="522"/>
      <c r="L421" s="522"/>
      <c r="M421" s="522"/>
      <c r="N421" s="522"/>
      <c r="O421" s="522"/>
      <c r="P421" s="522"/>
      <c r="Q421" s="522"/>
      <c r="R421" s="522"/>
      <c r="S421" s="522"/>
      <c r="T421" s="522"/>
      <c r="U421" s="522"/>
      <c r="V421" s="522"/>
      <c r="W421" s="522"/>
      <c r="X421" s="522"/>
      <c r="Y421" s="522"/>
      <c r="Z421" s="522"/>
    </row>
    <row r="422" spans="1:26" s="523" customFormat="1" ht="15" hidden="1" customHeight="1" outlineLevel="1" x14ac:dyDescent="0.2">
      <c r="A422" s="543"/>
      <c r="B422" s="530" t="s">
        <v>569</v>
      </c>
      <c r="C422" s="531"/>
      <c r="D422" s="532" t="s">
        <v>38</v>
      </c>
      <c r="E422" s="529">
        <v>1</v>
      </c>
      <c r="F422" s="28">
        <v>2.4500000000000002</v>
      </c>
      <c r="G422" s="532"/>
      <c r="H422" s="28">
        <v>2.4</v>
      </c>
      <c r="I422" s="532">
        <f t="shared" si="21"/>
        <v>5.88</v>
      </c>
      <c r="J422" s="546"/>
      <c r="K422" s="522"/>
      <c r="L422" s="522"/>
      <c r="M422" s="522"/>
      <c r="N422" s="522"/>
      <c r="O422" s="522"/>
      <c r="P422" s="522"/>
      <c r="Q422" s="522"/>
      <c r="R422" s="522"/>
      <c r="S422" s="522"/>
      <c r="T422" s="522"/>
      <c r="U422" s="522"/>
      <c r="V422" s="522"/>
      <c r="W422" s="522"/>
      <c r="X422" s="522"/>
      <c r="Y422" s="522"/>
      <c r="Z422" s="522"/>
    </row>
    <row r="423" spans="1:26" s="523" customFormat="1" ht="15" hidden="1" customHeight="1" outlineLevel="1" x14ac:dyDescent="0.2">
      <c r="A423" s="543"/>
      <c r="B423" s="530" t="s">
        <v>570</v>
      </c>
      <c r="C423" s="531"/>
      <c r="D423" s="532" t="s">
        <v>38</v>
      </c>
      <c r="E423" s="529">
        <v>1</v>
      </c>
      <c r="F423" s="28">
        <v>2.4500000000000002</v>
      </c>
      <c r="G423" s="532"/>
      <c r="H423" s="28">
        <v>2.4</v>
      </c>
      <c r="I423" s="532">
        <f t="shared" si="21"/>
        <v>5.88</v>
      </c>
      <c r="J423" s="546"/>
      <c r="K423" s="522"/>
      <c r="L423" s="522"/>
      <c r="M423" s="522"/>
      <c r="N423" s="522"/>
      <c r="O423" s="522"/>
      <c r="P423" s="522"/>
      <c r="Q423" s="522"/>
      <c r="R423" s="522"/>
      <c r="S423" s="522"/>
      <c r="T423" s="522"/>
      <c r="U423" s="522"/>
      <c r="V423" s="522"/>
      <c r="W423" s="522"/>
      <c r="X423" s="522"/>
      <c r="Y423" s="522"/>
      <c r="Z423" s="522"/>
    </row>
    <row r="424" spans="1:26" s="523" customFormat="1" ht="15" hidden="1" customHeight="1" outlineLevel="1" x14ac:dyDescent="0.2">
      <c r="A424" s="543"/>
      <c r="B424" s="530" t="s">
        <v>571</v>
      </c>
      <c r="C424" s="531"/>
      <c r="D424" s="532" t="s">
        <v>38</v>
      </c>
      <c r="E424" s="529">
        <v>1</v>
      </c>
      <c r="F424" s="28">
        <v>1.7</v>
      </c>
      <c r="G424" s="532"/>
      <c r="H424" s="28">
        <v>2.4</v>
      </c>
      <c r="I424" s="532">
        <f t="shared" si="21"/>
        <v>4.08</v>
      </c>
      <c r="J424" s="546"/>
      <c r="K424" s="522"/>
      <c r="L424" s="522"/>
      <c r="M424" s="522"/>
      <c r="N424" s="522"/>
      <c r="O424" s="522"/>
      <c r="P424" s="522"/>
      <c r="Q424" s="522"/>
      <c r="R424" s="522"/>
      <c r="S424" s="522"/>
      <c r="T424" s="522"/>
      <c r="U424" s="522"/>
      <c r="V424" s="522"/>
      <c r="W424" s="522"/>
      <c r="X424" s="522"/>
      <c r="Y424" s="522"/>
      <c r="Z424" s="522"/>
    </row>
    <row r="425" spans="1:26" s="523" customFormat="1" ht="15" hidden="1" customHeight="1" outlineLevel="1" x14ac:dyDescent="0.2">
      <c r="A425" s="543"/>
      <c r="B425" s="530" t="s">
        <v>572</v>
      </c>
      <c r="C425" s="531"/>
      <c r="D425" s="532" t="s">
        <v>38</v>
      </c>
      <c r="E425" s="529">
        <v>1</v>
      </c>
      <c r="F425" s="28">
        <v>1.75</v>
      </c>
      <c r="G425" s="532"/>
      <c r="H425" s="28">
        <v>2.4</v>
      </c>
      <c r="I425" s="532">
        <f t="shared" si="21"/>
        <v>4.2</v>
      </c>
      <c r="J425" s="546"/>
      <c r="K425" s="522"/>
      <c r="L425" s="522"/>
      <c r="M425" s="522"/>
      <c r="N425" s="522"/>
      <c r="O425" s="522"/>
      <c r="P425" s="522"/>
      <c r="Q425" s="522"/>
      <c r="R425" s="522"/>
      <c r="S425" s="522"/>
      <c r="T425" s="522"/>
      <c r="U425" s="522"/>
      <c r="V425" s="522"/>
      <c r="W425" s="522"/>
      <c r="X425" s="522"/>
      <c r="Y425" s="522"/>
      <c r="Z425" s="522"/>
    </row>
    <row r="426" spans="1:26" s="523" customFormat="1" ht="15" hidden="1" customHeight="1" outlineLevel="1" x14ac:dyDescent="0.2">
      <c r="A426" s="543"/>
      <c r="B426" s="530" t="s">
        <v>573</v>
      </c>
      <c r="C426" s="531"/>
      <c r="D426" s="532" t="s">
        <v>38</v>
      </c>
      <c r="E426" s="529">
        <v>1</v>
      </c>
      <c r="F426" s="28">
        <v>1.8</v>
      </c>
      <c r="G426" s="532"/>
      <c r="H426" s="28">
        <v>2.4</v>
      </c>
      <c r="I426" s="532">
        <f t="shared" si="21"/>
        <v>4.32</v>
      </c>
      <c r="J426" s="546"/>
      <c r="K426" s="522"/>
      <c r="L426" s="522"/>
      <c r="M426" s="522"/>
      <c r="N426" s="522"/>
      <c r="O426" s="522"/>
      <c r="P426" s="522"/>
      <c r="Q426" s="522"/>
      <c r="R426" s="522"/>
      <c r="S426" s="522"/>
      <c r="T426" s="522"/>
      <c r="U426" s="522"/>
      <c r="V426" s="522"/>
      <c r="W426" s="522"/>
      <c r="X426" s="522"/>
      <c r="Y426" s="522"/>
      <c r="Z426" s="522"/>
    </row>
    <row r="427" spans="1:26" s="523" customFormat="1" ht="15" hidden="1" customHeight="1" outlineLevel="1" x14ac:dyDescent="0.2">
      <c r="A427" s="543"/>
      <c r="B427" s="530" t="s">
        <v>574</v>
      </c>
      <c r="C427" s="531"/>
      <c r="D427" s="532" t="s">
        <v>38</v>
      </c>
      <c r="E427" s="529">
        <v>1</v>
      </c>
      <c r="F427" s="28">
        <v>1.95</v>
      </c>
      <c r="G427" s="532"/>
      <c r="H427" s="28">
        <v>2.4</v>
      </c>
      <c r="I427" s="532">
        <f t="shared" si="21"/>
        <v>4.68</v>
      </c>
      <c r="J427" s="546"/>
      <c r="K427" s="522"/>
      <c r="L427" s="522"/>
      <c r="M427" s="522"/>
      <c r="N427" s="522"/>
      <c r="O427" s="522"/>
      <c r="P427" s="522"/>
      <c r="Q427" s="522"/>
      <c r="R427" s="522"/>
      <c r="S427" s="522"/>
      <c r="T427" s="522"/>
      <c r="U427" s="522"/>
      <c r="V427" s="522"/>
      <c r="W427" s="522"/>
      <c r="X427" s="522"/>
      <c r="Y427" s="522"/>
      <c r="Z427" s="522"/>
    </row>
    <row r="428" spans="1:26" s="523" customFormat="1" ht="15" hidden="1" customHeight="1" outlineLevel="1" x14ac:dyDescent="0.2">
      <c r="A428" s="543"/>
      <c r="B428" s="530" t="s">
        <v>620</v>
      </c>
      <c r="C428" s="531"/>
      <c r="D428" s="532" t="s">
        <v>38</v>
      </c>
      <c r="E428" s="529">
        <v>1</v>
      </c>
      <c r="F428" s="28">
        <v>1.8</v>
      </c>
      <c r="G428" s="532"/>
      <c r="H428" s="28">
        <v>2.4</v>
      </c>
      <c r="I428" s="532">
        <f t="shared" si="21"/>
        <v>4.32</v>
      </c>
      <c r="J428" s="546"/>
      <c r="K428" s="522"/>
      <c r="L428" s="522"/>
      <c r="M428" s="522"/>
      <c r="N428" s="522"/>
      <c r="O428" s="522"/>
      <c r="P428" s="522"/>
      <c r="Q428" s="522"/>
      <c r="R428" s="522"/>
      <c r="S428" s="522"/>
      <c r="T428" s="522"/>
      <c r="U428" s="522"/>
      <c r="V428" s="522"/>
      <c r="W428" s="522"/>
      <c r="X428" s="522"/>
      <c r="Y428" s="522"/>
      <c r="Z428" s="522"/>
    </row>
    <row r="429" spans="1:26" s="523" customFormat="1" ht="15" hidden="1" customHeight="1" outlineLevel="1" x14ac:dyDescent="0.2">
      <c r="A429" s="543"/>
      <c r="B429" s="530" t="s">
        <v>621</v>
      </c>
      <c r="C429" s="531"/>
      <c r="D429" s="532" t="s">
        <v>38</v>
      </c>
      <c r="E429" s="529">
        <v>1</v>
      </c>
      <c r="F429" s="28">
        <v>1.8</v>
      </c>
      <c r="G429" s="532"/>
      <c r="H429" s="28">
        <v>2.4</v>
      </c>
      <c r="I429" s="532">
        <f t="shared" si="21"/>
        <v>4.32</v>
      </c>
      <c r="J429" s="546"/>
      <c r="K429" s="522"/>
      <c r="L429" s="522"/>
      <c r="M429" s="522"/>
      <c r="N429" s="522"/>
      <c r="O429" s="522"/>
      <c r="P429" s="522"/>
      <c r="Q429" s="522"/>
      <c r="R429" s="522"/>
      <c r="S429" s="522"/>
      <c r="T429" s="522"/>
      <c r="U429" s="522"/>
      <c r="V429" s="522"/>
      <c r="W429" s="522"/>
      <c r="X429" s="522"/>
      <c r="Y429" s="522"/>
      <c r="Z429" s="522"/>
    </row>
    <row r="430" spans="1:26" s="523" customFormat="1" ht="15" hidden="1" customHeight="1" outlineLevel="1" x14ac:dyDescent="0.2">
      <c r="A430" s="543"/>
      <c r="B430" s="530" t="s">
        <v>622</v>
      </c>
      <c r="C430" s="531"/>
      <c r="D430" s="532" t="s">
        <v>38</v>
      </c>
      <c r="E430" s="529">
        <v>1</v>
      </c>
      <c r="F430" s="28">
        <v>2.5499999999999998</v>
      </c>
      <c r="G430" s="532"/>
      <c r="H430" s="28">
        <v>2.4</v>
      </c>
      <c r="I430" s="532">
        <f t="shared" si="21"/>
        <v>6.1199999999999992</v>
      </c>
      <c r="J430" s="546"/>
      <c r="K430" s="522"/>
      <c r="L430" s="522"/>
      <c r="M430" s="522"/>
      <c r="N430" s="522"/>
      <c r="O430" s="522"/>
      <c r="P430" s="522"/>
      <c r="Q430" s="522"/>
      <c r="R430" s="522"/>
      <c r="S430" s="522"/>
      <c r="T430" s="522"/>
      <c r="U430" s="522"/>
      <c r="V430" s="522"/>
      <c r="W430" s="522"/>
      <c r="X430" s="522"/>
      <c r="Y430" s="522"/>
      <c r="Z430" s="522"/>
    </row>
    <row r="431" spans="1:26" s="523" customFormat="1" ht="15" hidden="1" customHeight="1" outlineLevel="1" x14ac:dyDescent="0.2">
      <c r="A431" s="543"/>
      <c r="B431" s="530" t="s">
        <v>623</v>
      </c>
      <c r="C431" s="531"/>
      <c r="D431" s="532" t="s">
        <v>38</v>
      </c>
      <c r="E431" s="529">
        <v>1</v>
      </c>
      <c r="F431" s="28">
        <v>2.75</v>
      </c>
      <c r="G431" s="532"/>
      <c r="H431" s="28">
        <v>2.4</v>
      </c>
      <c r="I431" s="532">
        <f t="shared" si="21"/>
        <v>6.6</v>
      </c>
      <c r="J431" s="546"/>
      <c r="K431" s="522"/>
      <c r="L431" s="522"/>
      <c r="M431" s="522"/>
      <c r="N431" s="522"/>
      <c r="O431" s="522"/>
      <c r="P431" s="522"/>
      <c r="Q431" s="522"/>
      <c r="R431" s="522"/>
      <c r="S431" s="522"/>
      <c r="T431" s="522"/>
      <c r="U431" s="522"/>
      <c r="V431" s="522"/>
      <c r="W431" s="522"/>
      <c r="X431" s="522"/>
      <c r="Y431" s="522"/>
      <c r="Z431" s="522"/>
    </row>
    <row r="432" spans="1:26" s="523" customFormat="1" ht="15" hidden="1" customHeight="1" outlineLevel="1" x14ac:dyDescent="0.2">
      <c r="A432" s="543"/>
      <c r="B432" s="530" t="s">
        <v>624</v>
      </c>
      <c r="C432" s="531"/>
      <c r="D432" s="532" t="s">
        <v>38</v>
      </c>
      <c r="E432" s="529">
        <v>1</v>
      </c>
      <c r="F432" s="28">
        <v>2.35</v>
      </c>
      <c r="G432" s="532"/>
      <c r="H432" s="28">
        <v>2.2999999999999998</v>
      </c>
      <c r="I432" s="532">
        <f t="shared" si="21"/>
        <v>5.4049999999999994</v>
      </c>
      <c r="J432" s="546"/>
      <c r="K432" s="522"/>
      <c r="L432" s="522"/>
      <c r="M432" s="522"/>
      <c r="N432" s="522"/>
      <c r="O432" s="522"/>
      <c r="P432" s="522"/>
      <c r="Q432" s="522"/>
      <c r="R432" s="522"/>
      <c r="S432" s="522"/>
      <c r="T432" s="522"/>
      <c r="U432" s="522"/>
      <c r="V432" s="522"/>
      <c r="W432" s="522"/>
      <c r="X432" s="522"/>
      <c r="Y432" s="522"/>
      <c r="Z432" s="522"/>
    </row>
    <row r="433" spans="1:26" s="523" customFormat="1" ht="15" hidden="1" customHeight="1" outlineLevel="1" x14ac:dyDescent="0.2">
      <c r="A433" s="543"/>
      <c r="B433" s="530"/>
      <c r="C433" s="531"/>
      <c r="D433" s="532"/>
      <c r="E433" s="148"/>
      <c r="F433" s="134"/>
      <c r="G433" s="547"/>
      <c r="H433" s="134"/>
      <c r="I433" s="532"/>
      <c r="J433" s="546"/>
      <c r="K433" s="522"/>
      <c r="L433" s="522"/>
      <c r="M433" s="522"/>
      <c r="N433" s="522"/>
      <c r="O433" s="522"/>
      <c r="P433" s="522"/>
      <c r="Q433" s="522"/>
      <c r="R433" s="522"/>
      <c r="S433" s="522"/>
      <c r="T433" s="522"/>
      <c r="U433" s="522"/>
      <c r="V433" s="522"/>
      <c r="W433" s="522"/>
      <c r="X433" s="522"/>
      <c r="Y433" s="522"/>
      <c r="Z433" s="522"/>
    </row>
    <row r="434" spans="1:26" s="523" customFormat="1" ht="15" hidden="1" customHeight="1" outlineLevel="1" x14ac:dyDescent="0.2">
      <c r="A434" s="529"/>
      <c r="B434" s="530" t="s">
        <v>576</v>
      </c>
      <c r="C434" s="531"/>
      <c r="D434" s="532" t="s">
        <v>38</v>
      </c>
      <c r="E434" s="529">
        <v>2</v>
      </c>
      <c r="F434" s="28">
        <v>0.75</v>
      </c>
      <c r="G434" s="532"/>
      <c r="H434" s="28">
        <v>2.2999999999999998</v>
      </c>
      <c r="I434" s="532">
        <f t="shared" ref="I434:I465" si="22">PRODUCT(E434:H434)</f>
        <v>3.4499999999999997</v>
      </c>
      <c r="J434" s="534"/>
      <c r="K434" s="522"/>
      <c r="L434" s="522"/>
      <c r="M434" s="522"/>
      <c r="N434" s="522"/>
      <c r="O434" s="522"/>
      <c r="P434" s="522"/>
      <c r="Q434" s="522"/>
      <c r="R434" s="522"/>
      <c r="S434" s="522"/>
      <c r="T434" s="522"/>
      <c r="U434" s="522"/>
      <c r="V434" s="522"/>
      <c r="W434" s="522"/>
      <c r="X434" s="522"/>
      <c r="Y434" s="522"/>
      <c r="Z434" s="522"/>
    </row>
    <row r="435" spans="1:26" s="523" customFormat="1" ht="15" hidden="1" customHeight="1" outlineLevel="1" x14ac:dyDescent="0.2">
      <c r="A435" s="529"/>
      <c r="B435" s="530" t="s">
        <v>578</v>
      </c>
      <c r="C435" s="531"/>
      <c r="D435" s="532" t="s">
        <v>38</v>
      </c>
      <c r="E435" s="529">
        <v>2</v>
      </c>
      <c r="F435" s="28">
        <v>3.6</v>
      </c>
      <c r="G435" s="532"/>
      <c r="H435" s="28">
        <v>2.6</v>
      </c>
      <c r="I435" s="532">
        <f t="shared" si="22"/>
        <v>18.720000000000002</v>
      </c>
      <c r="J435" s="534"/>
      <c r="K435" s="522"/>
      <c r="L435" s="522"/>
      <c r="M435" s="522"/>
      <c r="N435" s="522"/>
      <c r="O435" s="522"/>
      <c r="P435" s="522"/>
      <c r="Q435" s="522"/>
      <c r="R435" s="522"/>
      <c r="S435" s="522"/>
      <c r="T435" s="522"/>
      <c r="U435" s="522"/>
      <c r="V435" s="522"/>
      <c r="W435" s="522"/>
      <c r="X435" s="522"/>
      <c r="Y435" s="522"/>
      <c r="Z435" s="522"/>
    </row>
    <row r="436" spans="1:26" s="523" customFormat="1" ht="15" hidden="1" customHeight="1" outlineLevel="1" x14ac:dyDescent="0.2">
      <c r="A436" s="529"/>
      <c r="B436" s="530" t="s">
        <v>579</v>
      </c>
      <c r="C436" s="531"/>
      <c r="D436" s="532" t="s">
        <v>38</v>
      </c>
      <c r="E436" s="529">
        <v>2</v>
      </c>
      <c r="F436" s="28">
        <v>1.35</v>
      </c>
      <c r="G436" s="532"/>
      <c r="H436" s="28">
        <v>2.6</v>
      </c>
      <c r="I436" s="532">
        <f t="shared" si="22"/>
        <v>7.0200000000000005</v>
      </c>
      <c r="J436" s="534"/>
      <c r="K436" s="522"/>
      <c r="L436" s="522"/>
      <c r="M436" s="522"/>
      <c r="N436" s="522"/>
      <c r="O436" s="522"/>
      <c r="P436" s="522"/>
      <c r="Q436" s="522"/>
      <c r="R436" s="522"/>
      <c r="S436" s="522"/>
      <c r="T436" s="522"/>
      <c r="U436" s="522"/>
      <c r="V436" s="522"/>
      <c r="W436" s="522"/>
      <c r="X436" s="522"/>
      <c r="Y436" s="522"/>
      <c r="Z436" s="522"/>
    </row>
    <row r="437" spans="1:26" s="523" customFormat="1" ht="15" hidden="1" customHeight="1" outlineLevel="1" x14ac:dyDescent="0.2">
      <c r="A437" s="529"/>
      <c r="B437" s="530" t="s">
        <v>591</v>
      </c>
      <c r="C437" s="531"/>
      <c r="D437" s="532" t="s">
        <v>38</v>
      </c>
      <c r="E437" s="529">
        <v>2</v>
      </c>
      <c r="F437" s="28">
        <v>1.1499999999999999</v>
      </c>
      <c r="G437" s="532"/>
      <c r="H437" s="28">
        <v>1</v>
      </c>
      <c r="I437" s="532">
        <f t="shared" si="22"/>
        <v>2.2999999999999998</v>
      </c>
      <c r="J437" s="534"/>
      <c r="K437" s="522"/>
      <c r="L437" s="522"/>
      <c r="M437" s="522"/>
      <c r="N437" s="522"/>
      <c r="O437" s="522"/>
      <c r="P437" s="522"/>
      <c r="Q437" s="522"/>
      <c r="R437" s="522"/>
      <c r="S437" s="522"/>
      <c r="T437" s="522"/>
      <c r="U437" s="522"/>
      <c r="V437" s="522"/>
      <c r="W437" s="522"/>
      <c r="X437" s="522"/>
      <c r="Y437" s="522"/>
      <c r="Z437" s="522"/>
    </row>
    <row r="438" spans="1:26" s="523" customFormat="1" ht="15" hidden="1" customHeight="1" outlineLevel="1" x14ac:dyDescent="0.2">
      <c r="A438" s="529"/>
      <c r="B438" s="530" t="s">
        <v>625</v>
      </c>
      <c r="C438" s="531"/>
      <c r="D438" s="532" t="s">
        <v>38</v>
      </c>
      <c r="E438" s="529">
        <v>2</v>
      </c>
      <c r="F438" s="28">
        <v>2</v>
      </c>
      <c r="G438" s="532"/>
      <c r="H438" s="28">
        <v>2.2999999999999998</v>
      </c>
      <c r="I438" s="532">
        <f t="shared" si="22"/>
        <v>9.1999999999999993</v>
      </c>
      <c r="J438" s="534"/>
      <c r="K438" s="522"/>
      <c r="L438" s="522"/>
      <c r="M438" s="522"/>
      <c r="N438" s="522"/>
      <c r="O438" s="522"/>
      <c r="P438" s="522"/>
      <c r="Q438" s="522"/>
      <c r="R438" s="522"/>
      <c r="S438" s="522"/>
      <c r="T438" s="522"/>
      <c r="U438" s="522"/>
      <c r="V438" s="522"/>
      <c r="W438" s="522"/>
      <c r="X438" s="522"/>
      <c r="Y438" s="522"/>
      <c r="Z438" s="522"/>
    </row>
    <row r="439" spans="1:26" s="523" customFormat="1" ht="15" hidden="1" customHeight="1" outlineLevel="1" x14ac:dyDescent="0.2">
      <c r="A439" s="529"/>
      <c r="B439" s="530" t="s">
        <v>626</v>
      </c>
      <c r="C439" s="531"/>
      <c r="D439" s="532" t="s">
        <v>38</v>
      </c>
      <c r="E439" s="529">
        <v>2</v>
      </c>
      <c r="F439" s="28">
        <v>1.95</v>
      </c>
      <c r="G439" s="532"/>
      <c r="H439" s="28">
        <v>2.6</v>
      </c>
      <c r="I439" s="532">
        <f t="shared" si="22"/>
        <v>10.14</v>
      </c>
      <c r="J439" s="534"/>
      <c r="K439" s="522"/>
      <c r="L439" s="522"/>
      <c r="M439" s="522"/>
      <c r="N439" s="522"/>
      <c r="O439" s="522"/>
      <c r="P439" s="522"/>
      <c r="Q439" s="522"/>
      <c r="R439" s="522"/>
      <c r="S439" s="522"/>
      <c r="T439" s="522"/>
      <c r="U439" s="522"/>
      <c r="V439" s="522"/>
      <c r="W439" s="522"/>
      <c r="X439" s="522"/>
      <c r="Y439" s="522"/>
      <c r="Z439" s="522"/>
    </row>
    <row r="440" spans="1:26" s="523" customFormat="1" ht="15" hidden="1" customHeight="1" outlineLevel="1" x14ac:dyDescent="0.2">
      <c r="A440" s="529" t="s">
        <v>628</v>
      </c>
      <c r="B440" s="530" t="s">
        <v>686</v>
      </c>
      <c r="C440" s="531"/>
      <c r="D440" s="532" t="s">
        <v>38</v>
      </c>
      <c r="E440" s="529">
        <v>2</v>
      </c>
      <c r="F440" s="28">
        <v>0.9</v>
      </c>
      <c r="G440" s="532"/>
      <c r="H440" s="28">
        <v>2.6</v>
      </c>
      <c r="I440" s="532">
        <f t="shared" si="22"/>
        <v>4.6800000000000006</v>
      </c>
      <c r="J440" s="594"/>
      <c r="K440" s="522"/>
      <c r="L440" s="522"/>
      <c r="M440" s="522"/>
      <c r="N440" s="522"/>
      <c r="O440" s="522"/>
      <c r="P440" s="522"/>
      <c r="Q440" s="522"/>
      <c r="R440" s="522"/>
      <c r="S440" s="522"/>
      <c r="T440" s="522"/>
      <c r="U440" s="522"/>
      <c r="V440" s="522"/>
      <c r="W440" s="522"/>
      <c r="X440" s="522"/>
      <c r="Y440" s="522"/>
      <c r="Z440" s="522"/>
    </row>
    <row r="441" spans="1:26" s="523" customFormat="1" ht="15" hidden="1" customHeight="1" outlineLevel="1" x14ac:dyDescent="0.2">
      <c r="A441" s="529"/>
      <c r="B441" s="530" t="s">
        <v>687</v>
      </c>
      <c r="C441" s="531"/>
      <c r="D441" s="532" t="s">
        <v>38</v>
      </c>
      <c r="E441" s="529">
        <v>2</v>
      </c>
      <c r="F441" s="28">
        <v>1.5993999999999999</v>
      </c>
      <c r="G441" s="532"/>
      <c r="H441" s="28">
        <v>1</v>
      </c>
      <c r="I441" s="532">
        <f t="shared" si="22"/>
        <v>3.1987999999999999</v>
      </c>
      <c r="J441" s="534"/>
      <c r="K441" s="522"/>
      <c r="L441" s="522"/>
      <c r="M441" s="522"/>
      <c r="N441" s="522"/>
      <c r="O441" s="522"/>
      <c r="P441" s="522"/>
      <c r="Q441" s="522"/>
      <c r="R441" s="522"/>
      <c r="S441" s="522"/>
      <c r="T441" s="522"/>
      <c r="U441" s="522"/>
      <c r="V441" s="522"/>
      <c r="W441" s="522"/>
      <c r="X441" s="522"/>
      <c r="Y441" s="522"/>
      <c r="Z441" s="522"/>
    </row>
    <row r="442" spans="1:26" s="523" customFormat="1" ht="15" hidden="1" customHeight="1" outlineLevel="1" x14ac:dyDescent="0.2">
      <c r="A442" s="529"/>
      <c r="B442" s="530" t="s">
        <v>688</v>
      </c>
      <c r="C442" s="531"/>
      <c r="D442" s="532" t="s">
        <v>38</v>
      </c>
      <c r="E442" s="529">
        <v>2</v>
      </c>
      <c r="F442" s="28">
        <v>0.79890000000000005</v>
      </c>
      <c r="G442" s="532"/>
      <c r="H442" s="28">
        <v>2.6</v>
      </c>
      <c r="I442" s="532">
        <f t="shared" si="22"/>
        <v>4.1542800000000009</v>
      </c>
      <c r="J442" s="534"/>
      <c r="K442" s="522"/>
      <c r="L442" s="522"/>
      <c r="M442" s="522"/>
      <c r="N442" s="522"/>
      <c r="O442" s="522"/>
      <c r="P442" s="522"/>
      <c r="Q442" s="522"/>
      <c r="R442" s="522"/>
      <c r="S442" s="522"/>
      <c r="T442" s="522"/>
      <c r="U442" s="522"/>
      <c r="V442" s="522"/>
      <c r="W442" s="522"/>
      <c r="X442" s="522"/>
      <c r="Y442" s="522"/>
      <c r="Z442" s="522"/>
    </row>
    <row r="443" spans="1:26" s="523" customFormat="1" ht="15" hidden="1" customHeight="1" outlineLevel="1" x14ac:dyDescent="0.2">
      <c r="A443" s="529"/>
      <c r="B443" s="530" t="s">
        <v>689</v>
      </c>
      <c r="C443" s="531"/>
      <c r="D443" s="532" t="s">
        <v>38</v>
      </c>
      <c r="E443" s="529">
        <v>2</v>
      </c>
      <c r="F443" s="28">
        <v>1.25</v>
      </c>
      <c r="G443" s="532"/>
      <c r="H443" s="28">
        <v>2.6</v>
      </c>
      <c r="I443" s="532">
        <f t="shared" si="22"/>
        <v>6.5</v>
      </c>
      <c r="J443" s="534"/>
      <c r="K443" s="522"/>
      <c r="L443" s="522"/>
      <c r="M443" s="522"/>
      <c r="N443" s="522"/>
      <c r="O443" s="522"/>
      <c r="P443" s="522"/>
      <c r="Q443" s="522"/>
      <c r="R443" s="522"/>
      <c r="S443" s="522"/>
      <c r="T443" s="522"/>
      <c r="U443" s="522"/>
      <c r="V443" s="522"/>
      <c r="W443" s="522"/>
      <c r="X443" s="522"/>
      <c r="Y443" s="522"/>
      <c r="Z443" s="522"/>
    </row>
    <row r="444" spans="1:26" s="523" customFormat="1" ht="15" hidden="1" customHeight="1" outlineLevel="1" x14ac:dyDescent="0.2">
      <c r="A444" s="529"/>
      <c r="B444" s="530" t="s">
        <v>690</v>
      </c>
      <c r="C444" s="531"/>
      <c r="D444" s="532" t="s">
        <v>38</v>
      </c>
      <c r="E444" s="529">
        <v>2</v>
      </c>
      <c r="F444" s="28">
        <v>2.2000000000000002</v>
      </c>
      <c r="G444" s="532"/>
      <c r="H444" s="28">
        <v>2.6</v>
      </c>
      <c r="I444" s="532">
        <f t="shared" si="22"/>
        <v>11.440000000000001</v>
      </c>
      <c r="J444" s="534"/>
      <c r="K444" s="522"/>
      <c r="L444" s="522"/>
      <c r="M444" s="522"/>
      <c r="N444" s="522"/>
      <c r="O444" s="522"/>
      <c r="P444" s="522"/>
      <c r="Q444" s="522"/>
      <c r="R444" s="522"/>
      <c r="S444" s="522"/>
      <c r="T444" s="522"/>
      <c r="U444" s="522"/>
      <c r="V444" s="522"/>
      <c r="W444" s="522"/>
      <c r="X444" s="522"/>
      <c r="Y444" s="522"/>
      <c r="Z444" s="522"/>
    </row>
    <row r="445" spans="1:26" s="523" customFormat="1" ht="15" hidden="1" customHeight="1" outlineLevel="1" x14ac:dyDescent="0.2">
      <c r="A445" s="529"/>
      <c r="B445" s="530" t="s">
        <v>691</v>
      </c>
      <c r="C445" s="531"/>
      <c r="D445" s="532" t="s">
        <v>38</v>
      </c>
      <c r="E445" s="529">
        <v>2</v>
      </c>
      <c r="F445" s="28">
        <v>2.1</v>
      </c>
      <c r="G445" s="532"/>
      <c r="H445" s="28">
        <v>2.2999999999999998</v>
      </c>
      <c r="I445" s="532">
        <f t="shared" si="22"/>
        <v>9.66</v>
      </c>
      <c r="J445" s="534"/>
      <c r="K445" s="522"/>
      <c r="L445" s="522"/>
      <c r="M445" s="522"/>
      <c r="N445" s="522"/>
      <c r="O445" s="522"/>
      <c r="P445" s="522"/>
      <c r="Q445" s="522"/>
      <c r="R445" s="522"/>
      <c r="S445" s="522"/>
      <c r="T445" s="522"/>
      <c r="U445" s="522"/>
      <c r="V445" s="522"/>
      <c r="W445" s="522"/>
      <c r="X445" s="522"/>
      <c r="Y445" s="522"/>
      <c r="Z445" s="522"/>
    </row>
    <row r="446" spans="1:26" s="523" customFormat="1" ht="15" hidden="1" customHeight="1" outlineLevel="1" x14ac:dyDescent="0.2">
      <c r="A446" s="529"/>
      <c r="B446" s="530" t="s">
        <v>692</v>
      </c>
      <c r="C446" s="531"/>
      <c r="D446" s="532" t="s">
        <v>38</v>
      </c>
      <c r="E446" s="529">
        <v>2</v>
      </c>
      <c r="F446" s="28">
        <v>2.15</v>
      </c>
      <c r="G446" s="532"/>
      <c r="H446" s="28">
        <v>2.2999999999999998</v>
      </c>
      <c r="I446" s="532">
        <f t="shared" si="22"/>
        <v>9.8899999999999988</v>
      </c>
      <c r="J446" s="534"/>
      <c r="K446" s="522"/>
      <c r="L446" s="522"/>
      <c r="M446" s="522"/>
      <c r="N446" s="522"/>
      <c r="O446" s="522"/>
      <c r="P446" s="522"/>
      <c r="Q446" s="522"/>
      <c r="R446" s="522"/>
      <c r="S446" s="522"/>
      <c r="T446" s="522"/>
      <c r="U446" s="522"/>
      <c r="V446" s="522"/>
      <c r="W446" s="522"/>
      <c r="X446" s="522"/>
      <c r="Y446" s="522"/>
      <c r="Z446" s="522"/>
    </row>
    <row r="447" spans="1:26" s="523" customFormat="1" ht="15" hidden="1" customHeight="1" outlineLevel="1" x14ac:dyDescent="0.2">
      <c r="A447" s="529"/>
      <c r="B447" s="530" t="s">
        <v>693</v>
      </c>
      <c r="C447" s="531"/>
      <c r="D447" s="532" t="s">
        <v>38</v>
      </c>
      <c r="E447" s="529">
        <v>2</v>
      </c>
      <c r="F447" s="28">
        <v>1.2</v>
      </c>
      <c r="G447" s="532"/>
      <c r="H447" s="28">
        <v>1</v>
      </c>
      <c r="I447" s="532">
        <f t="shared" si="22"/>
        <v>2.4</v>
      </c>
      <c r="J447" s="534"/>
      <c r="K447" s="522"/>
      <c r="L447" s="522"/>
      <c r="M447" s="522"/>
      <c r="N447" s="522"/>
      <c r="O447" s="522"/>
      <c r="P447" s="522"/>
      <c r="Q447" s="522"/>
      <c r="R447" s="522"/>
      <c r="S447" s="522"/>
      <c r="T447" s="522"/>
      <c r="U447" s="522"/>
      <c r="V447" s="522"/>
      <c r="W447" s="522"/>
      <c r="X447" s="522"/>
      <c r="Y447" s="522"/>
      <c r="Z447" s="522"/>
    </row>
    <row r="448" spans="1:26" s="523" customFormat="1" ht="15" hidden="1" customHeight="1" outlineLevel="1" x14ac:dyDescent="0.2">
      <c r="A448" s="529"/>
      <c r="B448" s="530" t="s">
        <v>694</v>
      </c>
      <c r="C448" s="531"/>
      <c r="D448" s="532" t="s">
        <v>38</v>
      </c>
      <c r="E448" s="529">
        <v>2</v>
      </c>
      <c r="F448" s="28">
        <v>2.6</v>
      </c>
      <c r="G448" s="532"/>
      <c r="H448" s="28">
        <v>1</v>
      </c>
      <c r="I448" s="532">
        <f t="shared" si="22"/>
        <v>5.2</v>
      </c>
      <c r="J448" s="534"/>
      <c r="K448" s="522"/>
      <c r="L448" s="522"/>
      <c r="M448" s="522"/>
      <c r="N448" s="522"/>
      <c r="O448" s="522"/>
      <c r="P448" s="522"/>
      <c r="Q448" s="522"/>
      <c r="R448" s="522"/>
      <c r="S448" s="522"/>
      <c r="T448" s="522"/>
      <c r="U448" s="522"/>
      <c r="V448" s="522"/>
      <c r="W448" s="522"/>
      <c r="X448" s="522"/>
      <c r="Y448" s="522"/>
      <c r="Z448" s="522"/>
    </row>
    <row r="449" spans="1:26" s="523" customFormat="1" ht="15" hidden="1" customHeight="1" outlineLevel="1" x14ac:dyDescent="0.2">
      <c r="A449" s="529"/>
      <c r="B449" s="530" t="s">
        <v>695</v>
      </c>
      <c r="C449" s="531"/>
      <c r="D449" s="532" t="s">
        <v>38</v>
      </c>
      <c r="E449" s="529">
        <v>2</v>
      </c>
      <c r="F449" s="28">
        <v>1.35</v>
      </c>
      <c r="G449" s="532"/>
      <c r="H449" s="28">
        <v>2.6</v>
      </c>
      <c r="I449" s="532">
        <f t="shared" si="22"/>
        <v>7.0200000000000005</v>
      </c>
      <c r="J449" s="594"/>
      <c r="K449" s="522"/>
      <c r="L449" s="522"/>
      <c r="M449" s="522"/>
      <c r="N449" s="522"/>
      <c r="O449" s="522"/>
      <c r="P449" s="522"/>
      <c r="Q449" s="522"/>
      <c r="R449" s="522"/>
      <c r="S449" s="522"/>
      <c r="T449" s="522"/>
      <c r="U449" s="522"/>
      <c r="V449" s="522"/>
      <c r="W449" s="522"/>
      <c r="X449" s="522"/>
      <c r="Y449" s="522"/>
      <c r="Z449" s="522"/>
    </row>
    <row r="450" spans="1:26" s="523" customFormat="1" ht="15" hidden="1" customHeight="1" outlineLevel="1" x14ac:dyDescent="0.2">
      <c r="A450" s="529"/>
      <c r="B450" s="530" t="s">
        <v>696</v>
      </c>
      <c r="C450" s="531"/>
      <c r="D450" s="532" t="s">
        <v>38</v>
      </c>
      <c r="E450" s="529">
        <v>2</v>
      </c>
      <c r="F450" s="28">
        <v>3.35</v>
      </c>
      <c r="G450" s="532"/>
      <c r="H450" s="28">
        <v>2.2999999999999998</v>
      </c>
      <c r="I450" s="532">
        <f t="shared" si="22"/>
        <v>15.409999999999998</v>
      </c>
      <c r="J450" s="534"/>
      <c r="K450" s="522"/>
      <c r="L450" s="522"/>
      <c r="M450" s="522"/>
      <c r="N450" s="522"/>
      <c r="O450" s="522"/>
      <c r="P450" s="522"/>
      <c r="Q450" s="522"/>
      <c r="R450" s="522"/>
      <c r="S450" s="522"/>
      <c r="T450" s="522"/>
      <c r="U450" s="522"/>
      <c r="V450" s="522"/>
      <c r="W450" s="522"/>
      <c r="X450" s="522"/>
      <c r="Y450" s="522"/>
      <c r="Z450" s="522"/>
    </row>
    <row r="451" spans="1:26" s="523" customFormat="1" ht="15" hidden="1" customHeight="1" outlineLevel="1" x14ac:dyDescent="0.2">
      <c r="A451" s="529"/>
      <c r="B451" s="530" t="s">
        <v>697</v>
      </c>
      <c r="C451" s="531"/>
      <c r="D451" s="532" t="s">
        <v>38</v>
      </c>
      <c r="E451" s="529">
        <v>2</v>
      </c>
      <c r="F451" s="28">
        <v>1.4</v>
      </c>
      <c r="G451" s="532"/>
      <c r="H451" s="28">
        <v>2.6</v>
      </c>
      <c r="I451" s="532">
        <f t="shared" si="22"/>
        <v>7.2799999999999994</v>
      </c>
      <c r="J451" s="534"/>
      <c r="K451" s="522"/>
      <c r="L451" s="522"/>
      <c r="M451" s="522"/>
      <c r="N451" s="522"/>
      <c r="O451" s="522"/>
      <c r="P451" s="522"/>
      <c r="Q451" s="522"/>
      <c r="R451" s="522"/>
      <c r="S451" s="522"/>
      <c r="T451" s="522"/>
      <c r="U451" s="522"/>
      <c r="V451" s="522"/>
      <c r="W451" s="522"/>
      <c r="X451" s="522"/>
      <c r="Y451" s="522"/>
      <c r="Z451" s="522"/>
    </row>
    <row r="452" spans="1:26" s="523" customFormat="1" ht="15" hidden="1" customHeight="1" outlineLevel="1" x14ac:dyDescent="0.2">
      <c r="A452" s="529"/>
      <c r="B452" s="530" t="s">
        <v>698</v>
      </c>
      <c r="C452" s="531"/>
      <c r="D452" s="532" t="s">
        <v>38</v>
      </c>
      <c r="E452" s="529">
        <v>2</v>
      </c>
      <c r="F452" s="28">
        <v>1.6</v>
      </c>
      <c r="G452" s="532"/>
      <c r="H452" s="28">
        <v>1</v>
      </c>
      <c r="I452" s="532">
        <f t="shared" si="22"/>
        <v>3.2</v>
      </c>
      <c r="J452" s="534"/>
      <c r="K452" s="522"/>
      <c r="L452" s="522"/>
      <c r="M452" s="522"/>
      <c r="N452" s="522"/>
      <c r="O452" s="522"/>
      <c r="P452" s="522"/>
      <c r="Q452" s="522"/>
      <c r="R452" s="522"/>
      <c r="S452" s="522"/>
      <c r="T452" s="522"/>
      <c r="U452" s="522"/>
      <c r="V452" s="522"/>
      <c r="W452" s="522"/>
      <c r="X452" s="522"/>
      <c r="Y452" s="522"/>
      <c r="Z452" s="522"/>
    </row>
    <row r="453" spans="1:26" s="523" customFormat="1" ht="15" hidden="1" customHeight="1" outlineLevel="1" x14ac:dyDescent="0.2">
      <c r="A453" s="529"/>
      <c r="B453" s="530" t="s">
        <v>699</v>
      </c>
      <c r="C453" s="531"/>
      <c r="D453" s="532" t="s">
        <v>38</v>
      </c>
      <c r="E453" s="529">
        <v>2</v>
      </c>
      <c r="F453" s="28">
        <v>2</v>
      </c>
      <c r="G453" s="532"/>
      <c r="H453" s="28">
        <v>2.6</v>
      </c>
      <c r="I453" s="532">
        <f t="shared" si="22"/>
        <v>10.4</v>
      </c>
      <c r="J453" s="534"/>
      <c r="K453" s="522"/>
      <c r="L453" s="522"/>
      <c r="M453" s="522"/>
      <c r="N453" s="522"/>
      <c r="O453" s="522"/>
      <c r="P453" s="522"/>
      <c r="Q453" s="522"/>
      <c r="R453" s="522"/>
      <c r="S453" s="522"/>
      <c r="T453" s="522"/>
      <c r="U453" s="522"/>
      <c r="V453" s="522"/>
      <c r="W453" s="522"/>
      <c r="X453" s="522"/>
      <c r="Y453" s="522"/>
      <c r="Z453" s="522"/>
    </row>
    <row r="454" spans="1:26" s="523" customFormat="1" ht="15" hidden="1" customHeight="1" outlineLevel="1" x14ac:dyDescent="0.2">
      <c r="A454" s="529"/>
      <c r="B454" s="530" t="s">
        <v>700</v>
      </c>
      <c r="C454" s="531"/>
      <c r="D454" s="532" t="s">
        <v>38</v>
      </c>
      <c r="E454" s="529">
        <v>2</v>
      </c>
      <c r="F454" s="28">
        <v>0.7</v>
      </c>
      <c r="G454" s="532"/>
      <c r="H454" s="28">
        <v>2.6</v>
      </c>
      <c r="I454" s="532">
        <f t="shared" si="22"/>
        <v>3.6399999999999997</v>
      </c>
      <c r="J454" s="534"/>
      <c r="K454" s="522"/>
      <c r="L454" s="522"/>
      <c r="M454" s="522"/>
      <c r="N454" s="522"/>
      <c r="O454" s="522"/>
      <c r="P454" s="522"/>
      <c r="Q454" s="522"/>
      <c r="R454" s="522"/>
      <c r="S454" s="522"/>
      <c r="T454" s="522"/>
      <c r="U454" s="522"/>
      <c r="V454" s="522"/>
      <c r="W454" s="522"/>
      <c r="X454" s="522"/>
      <c r="Y454" s="522"/>
      <c r="Z454" s="522"/>
    </row>
    <row r="455" spans="1:26" s="523" customFormat="1" ht="15" hidden="1" customHeight="1" outlineLevel="1" x14ac:dyDescent="0.2">
      <c r="A455" s="529"/>
      <c r="B455" s="530" t="s">
        <v>701</v>
      </c>
      <c r="C455" s="531"/>
      <c r="D455" s="532" t="s">
        <v>38</v>
      </c>
      <c r="E455" s="529">
        <v>2</v>
      </c>
      <c r="F455" s="28">
        <v>0.8</v>
      </c>
      <c r="G455" s="532"/>
      <c r="H455" s="28">
        <v>2.2000000000000002</v>
      </c>
      <c r="I455" s="532">
        <f t="shared" si="22"/>
        <v>3.5200000000000005</v>
      </c>
      <c r="J455" s="534"/>
      <c r="K455" s="522"/>
      <c r="L455" s="522"/>
      <c r="M455" s="522"/>
      <c r="N455" s="522"/>
      <c r="O455" s="522"/>
      <c r="P455" s="522"/>
      <c r="Q455" s="522"/>
      <c r="R455" s="522"/>
      <c r="S455" s="522"/>
      <c r="T455" s="522"/>
      <c r="U455" s="522"/>
      <c r="V455" s="522"/>
      <c r="W455" s="522"/>
      <c r="X455" s="522"/>
      <c r="Y455" s="522"/>
      <c r="Z455" s="522"/>
    </row>
    <row r="456" spans="1:26" s="523" customFormat="1" ht="15" hidden="1" customHeight="1" outlineLevel="1" x14ac:dyDescent="0.2">
      <c r="A456" s="529"/>
      <c r="B456" s="530" t="s">
        <v>702</v>
      </c>
      <c r="C456" s="531"/>
      <c r="D456" s="532" t="s">
        <v>38</v>
      </c>
      <c r="E456" s="529">
        <v>2</v>
      </c>
      <c r="F456" s="28">
        <v>1.3493999999999999</v>
      </c>
      <c r="G456" s="532"/>
      <c r="H456" s="28">
        <v>1</v>
      </c>
      <c r="I456" s="532">
        <f t="shared" si="22"/>
        <v>2.6987999999999999</v>
      </c>
      <c r="J456" s="534"/>
      <c r="K456" s="522"/>
      <c r="L456" s="522"/>
      <c r="M456" s="522"/>
      <c r="N456" s="522"/>
      <c r="O456" s="522"/>
      <c r="P456" s="522"/>
      <c r="Q456" s="522"/>
      <c r="R456" s="522"/>
      <c r="S456" s="522"/>
      <c r="T456" s="522"/>
      <c r="U456" s="522"/>
      <c r="V456" s="522"/>
      <c r="W456" s="522"/>
      <c r="X456" s="522"/>
      <c r="Y456" s="522"/>
      <c r="Z456" s="522"/>
    </row>
    <row r="457" spans="1:26" s="523" customFormat="1" ht="15" hidden="1" customHeight="1" outlineLevel="1" x14ac:dyDescent="0.2">
      <c r="A457" s="529"/>
      <c r="B457" s="530" t="s">
        <v>703</v>
      </c>
      <c r="C457" s="531"/>
      <c r="D457" s="532" t="s">
        <v>38</v>
      </c>
      <c r="E457" s="529">
        <v>2</v>
      </c>
      <c r="F457" s="28">
        <v>0.4491</v>
      </c>
      <c r="G457" s="532"/>
      <c r="H457" s="28">
        <v>2.6</v>
      </c>
      <c r="I457" s="532">
        <f t="shared" si="22"/>
        <v>2.3353200000000003</v>
      </c>
      <c r="J457" s="534"/>
      <c r="K457" s="522"/>
      <c r="L457" s="522"/>
      <c r="M457" s="522"/>
      <c r="N457" s="522"/>
      <c r="O457" s="522"/>
      <c r="P457" s="522"/>
      <c r="Q457" s="522"/>
      <c r="R457" s="522"/>
      <c r="S457" s="522"/>
      <c r="T457" s="522"/>
      <c r="U457" s="522"/>
      <c r="V457" s="522"/>
      <c r="W457" s="522"/>
      <c r="X457" s="522"/>
      <c r="Y457" s="522"/>
      <c r="Z457" s="522"/>
    </row>
    <row r="458" spans="1:26" s="523" customFormat="1" ht="15" hidden="1" customHeight="1" outlineLevel="1" x14ac:dyDescent="0.2">
      <c r="A458" s="529" t="s">
        <v>628</v>
      </c>
      <c r="B458" s="530" t="s">
        <v>704</v>
      </c>
      <c r="C458" s="531"/>
      <c r="D458" s="532" t="s">
        <v>38</v>
      </c>
      <c r="E458" s="529">
        <v>2</v>
      </c>
      <c r="F458" s="28">
        <v>0.9</v>
      </c>
      <c r="G458" s="532"/>
      <c r="H458" s="28">
        <v>2.2999999999999998</v>
      </c>
      <c r="I458" s="532">
        <f t="shared" si="22"/>
        <v>4.1399999999999997</v>
      </c>
      <c r="J458" s="534"/>
      <c r="K458" s="522"/>
      <c r="L458" s="522"/>
      <c r="M458" s="522"/>
      <c r="N458" s="522"/>
      <c r="O458" s="522"/>
      <c r="P458" s="522"/>
      <c r="Q458" s="522"/>
      <c r="R458" s="522"/>
      <c r="S458" s="522"/>
      <c r="T458" s="522"/>
      <c r="U458" s="522"/>
      <c r="V458" s="522"/>
      <c r="W458" s="522"/>
      <c r="X458" s="522"/>
      <c r="Y458" s="522"/>
      <c r="Z458" s="522"/>
    </row>
    <row r="459" spans="1:26" s="523" customFormat="1" ht="15" hidden="1" customHeight="1" outlineLevel="1" x14ac:dyDescent="0.2">
      <c r="A459" s="529"/>
      <c r="B459" s="530" t="s">
        <v>705</v>
      </c>
      <c r="C459" s="531"/>
      <c r="D459" s="532" t="s">
        <v>38</v>
      </c>
      <c r="E459" s="529">
        <v>2</v>
      </c>
      <c r="F459" s="28">
        <v>1.05</v>
      </c>
      <c r="G459" s="532"/>
      <c r="H459" s="28">
        <v>2.2999999999999998</v>
      </c>
      <c r="I459" s="532">
        <f t="shared" si="22"/>
        <v>4.83</v>
      </c>
      <c r="J459" s="534"/>
      <c r="K459" s="522"/>
      <c r="L459" s="522"/>
      <c r="M459" s="522"/>
      <c r="N459" s="522"/>
      <c r="O459" s="522"/>
      <c r="P459" s="522"/>
      <c r="Q459" s="522"/>
      <c r="R459" s="522"/>
      <c r="S459" s="522"/>
      <c r="T459" s="522"/>
      <c r="U459" s="522"/>
      <c r="V459" s="522"/>
      <c r="W459" s="522"/>
      <c r="X459" s="522"/>
      <c r="Y459" s="522"/>
      <c r="Z459" s="522"/>
    </row>
    <row r="460" spans="1:26" s="523" customFormat="1" ht="15" hidden="1" customHeight="1" outlineLevel="1" x14ac:dyDescent="0.2">
      <c r="A460" s="529"/>
      <c r="B460" s="530" t="s">
        <v>706</v>
      </c>
      <c r="C460" s="531"/>
      <c r="D460" s="532" t="s">
        <v>38</v>
      </c>
      <c r="E460" s="529">
        <v>2</v>
      </c>
      <c r="F460" s="28">
        <v>1.1000000000000001</v>
      </c>
      <c r="G460" s="532"/>
      <c r="H460" s="28">
        <v>2.6</v>
      </c>
      <c r="I460" s="532">
        <f t="shared" si="22"/>
        <v>5.7200000000000006</v>
      </c>
      <c r="J460" s="534"/>
      <c r="K460" s="522"/>
      <c r="L460" s="522"/>
      <c r="M460" s="522"/>
      <c r="N460" s="522"/>
      <c r="O460" s="522"/>
      <c r="P460" s="522"/>
      <c r="Q460" s="522"/>
      <c r="R460" s="522"/>
      <c r="S460" s="522"/>
      <c r="T460" s="522"/>
      <c r="U460" s="522"/>
      <c r="V460" s="522"/>
      <c r="W460" s="522"/>
      <c r="X460" s="522"/>
      <c r="Y460" s="522"/>
      <c r="Z460" s="522"/>
    </row>
    <row r="461" spans="1:26" s="523" customFormat="1" ht="15" hidden="1" customHeight="1" outlineLevel="1" x14ac:dyDescent="0.2">
      <c r="A461" s="529"/>
      <c r="B461" s="530" t="s">
        <v>707</v>
      </c>
      <c r="C461" s="531"/>
      <c r="D461" s="532" t="s">
        <v>38</v>
      </c>
      <c r="E461" s="529">
        <v>2</v>
      </c>
      <c r="F461" s="28">
        <v>0.5</v>
      </c>
      <c r="G461" s="532"/>
      <c r="H461" s="28">
        <v>2.6</v>
      </c>
      <c r="I461" s="532">
        <f t="shared" si="22"/>
        <v>2.6</v>
      </c>
      <c r="J461" s="534"/>
      <c r="K461" s="522"/>
      <c r="L461" s="522"/>
      <c r="M461" s="522"/>
      <c r="N461" s="522"/>
      <c r="O461" s="522"/>
      <c r="P461" s="522"/>
      <c r="Q461" s="522"/>
      <c r="R461" s="522"/>
      <c r="S461" s="522"/>
      <c r="T461" s="522"/>
      <c r="U461" s="522"/>
      <c r="V461" s="522"/>
      <c r="W461" s="522"/>
      <c r="X461" s="522"/>
      <c r="Y461" s="522"/>
      <c r="Z461" s="522"/>
    </row>
    <row r="462" spans="1:26" s="523" customFormat="1" ht="15" hidden="1" customHeight="1" outlineLevel="1" x14ac:dyDescent="0.2">
      <c r="A462" s="529"/>
      <c r="B462" s="530" t="s">
        <v>708</v>
      </c>
      <c r="C462" s="531"/>
      <c r="D462" s="532" t="s">
        <v>38</v>
      </c>
      <c r="E462" s="529">
        <v>2</v>
      </c>
      <c r="F462" s="28">
        <v>1.65</v>
      </c>
      <c r="G462" s="532"/>
      <c r="H462" s="28">
        <v>2.6</v>
      </c>
      <c r="I462" s="532">
        <f t="shared" si="22"/>
        <v>8.58</v>
      </c>
      <c r="J462" s="534"/>
      <c r="K462" s="522"/>
      <c r="L462" s="522"/>
      <c r="M462" s="522"/>
      <c r="N462" s="522"/>
      <c r="O462" s="522"/>
      <c r="P462" s="522"/>
      <c r="Q462" s="522"/>
      <c r="R462" s="522"/>
      <c r="S462" s="522"/>
      <c r="T462" s="522"/>
      <c r="U462" s="522"/>
      <c r="V462" s="522"/>
      <c r="W462" s="522"/>
      <c r="X462" s="522"/>
      <c r="Y462" s="522"/>
      <c r="Z462" s="522"/>
    </row>
    <row r="463" spans="1:26" s="523" customFormat="1" ht="15" hidden="1" customHeight="1" outlineLevel="1" x14ac:dyDescent="0.2">
      <c r="A463" s="529"/>
      <c r="B463" s="530" t="s">
        <v>709</v>
      </c>
      <c r="C463" s="531"/>
      <c r="D463" s="532" t="s">
        <v>38</v>
      </c>
      <c r="E463" s="529">
        <v>1</v>
      </c>
      <c r="F463" s="28">
        <v>0.6</v>
      </c>
      <c r="G463" s="532"/>
      <c r="H463" s="28">
        <v>2.6</v>
      </c>
      <c r="I463" s="532">
        <f t="shared" si="22"/>
        <v>1.56</v>
      </c>
      <c r="J463" s="534"/>
      <c r="K463" s="522"/>
      <c r="L463" s="522"/>
      <c r="M463" s="522"/>
      <c r="N463" s="522"/>
      <c r="O463" s="522"/>
      <c r="P463" s="522"/>
      <c r="Q463" s="522"/>
      <c r="R463" s="522"/>
      <c r="S463" s="522"/>
      <c r="T463" s="522"/>
      <c r="U463" s="522"/>
      <c r="V463" s="522"/>
      <c r="W463" s="522"/>
      <c r="X463" s="522"/>
      <c r="Y463" s="522"/>
      <c r="Z463" s="522"/>
    </row>
    <row r="464" spans="1:26" s="523" customFormat="1" ht="15" hidden="1" customHeight="1" outlineLevel="1" x14ac:dyDescent="0.2">
      <c r="A464" s="529"/>
      <c r="B464" s="530" t="s">
        <v>710</v>
      </c>
      <c r="C464" s="531"/>
      <c r="D464" s="532" t="s">
        <v>38</v>
      </c>
      <c r="E464" s="529">
        <v>1</v>
      </c>
      <c r="F464" s="28">
        <v>0.55000000000000004</v>
      </c>
      <c r="G464" s="532"/>
      <c r="H464" s="28">
        <v>2.6</v>
      </c>
      <c r="I464" s="532">
        <f t="shared" si="22"/>
        <v>1.4300000000000002</v>
      </c>
      <c r="J464" s="594"/>
      <c r="K464" s="522"/>
      <c r="L464" s="522"/>
      <c r="M464" s="522"/>
      <c r="N464" s="522"/>
      <c r="O464" s="522"/>
      <c r="P464" s="522"/>
      <c r="Q464" s="522"/>
      <c r="R464" s="522"/>
      <c r="S464" s="522"/>
      <c r="T464" s="522"/>
      <c r="U464" s="522"/>
      <c r="V464" s="522"/>
      <c r="W464" s="522"/>
      <c r="X464" s="522"/>
      <c r="Y464" s="522"/>
      <c r="Z464" s="522"/>
    </row>
    <row r="465" spans="1:26" s="523" customFormat="1" ht="15" hidden="1" customHeight="1" outlineLevel="1" x14ac:dyDescent="0.2">
      <c r="A465" s="529"/>
      <c r="B465" s="530" t="s">
        <v>711</v>
      </c>
      <c r="C465" s="531"/>
      <c r="D465" s="532" t="s">
        <v>38</v>
      </c>
      <c r="E465" s="529">
        <v>1</v>
      </c>
      <c r="F465" s="28">
        <v>0.55000000000000004</v>
      </c>
      <c r="G465" s="532"/>
      <c r="H465" s="28">
        <v>2.2000000000000002</v>
      </c>
      <c r="I465" s="532">
        <f t="shared" si="22"/>
        <v>1.2100000000000002</v>
      </c>
      <c r="J465" s="534"/>
      <c r="K465" s="522"/>
      <c r="L465" s="522"/>
      <c r="M465" s="522"/>
      <c r="N465" s="522"/>
      <c r="O465" s="522"/>
      <c r="P465" s="522"/>
      <c r="Q465" s="522"/>
      <c r="R465" s="522"/>
      <c r="S465" s="522"/>
      <c r="T465" s="522"/>
      <c r="U465" s="522"/>
      <c r="V465" s="522"/>
      <c r="W465" s="522"/>
      <c r="X465" s="522"/>
      <c r="Y465" s="522"/>
      <c r="Z465" s="522"/>
    </row>
    <row r="466" spans="1:26" s="523" customFormat="1" ht="15" hidden="1" customHeight="1" outlineLevel="1" x14ac:dyDescent="0.2">
      <c r="A466" s="543"/>
      <c r="B466" s="530"/>
      <c r="C466" s="531"/>
      <c r="D466" s="532"/>
      <c r="E466" s="148"/>
      <c r="F466" s="134"/>
      <c r="G466" s="547"/>
      <c r="H466" s="134"/>
      <c r="I466" s="532"/>
      <c r="J466" s="546"/>
      <c r="K466" s="522"/>
      <c r="L466" s="522"/>
      <c r="M466" s="522"/>
      <c r="N466" s="522"/>
      <c r="O466" s="522"/>
      <c r="P466" s="522"/>
      <c r="Q466" s="522"/>
      <c r="R466" s="522"/>
      <c r="S466" s="522"/>
      <c r="T466" s="522"/>
      <c r="U466" s="522"/>
      <c r="V466" s="522"/>
      <c r="W466" s="522"/>
      <c r="X466" s="522"/>
      <c r="Y466" s="522"/>
      <c r="Z466" s="522"/>
    </row>
    <row r="467" spans="1:26" s="523" customFormat="1" ht="15" hidden="1" customHeight="1" outlineLevel="1" x14ac:dyDescent="0.2">
      <c r="A467" s="529" t="s">
        <v>628</v>
      </c>
      <c r="B467" s="530" t="s">
        <v>712</v>
      </c>
      <c r="C467" s="531"/>
      <c r="D467" s="532" t="s">
        <v>38</v>
      </c>
      <c r="E467" s="529">
        <v>1</v>
      </c>
      <c r="F467" s="28">
        <v>0.6</v>
      </c>
      <c r="G467" s="532"/>
      <c r="H467" s="28">
        <v>2.6</v>
      </c>
      <c r="I467" s="532">
        <f>PRODUCT(E467:H467)</f>
        <v>1.56</v>
      </c>
      <c r="J467" s="534"/>
      <c r="K467" s="522"/>
      <c r="L467" s="522"/>
      <c r="M467" s="522"/>
      <c r="N467" s="522"/>
      <c r="O467" s="522"/>
      <c r="P467" s="522"/>
      <c r="Q467" s="522"/>
      <c r="R467" s="522"/>
      <c r="S467" s="522"/>
      <c r="T467" s="522"/>
      <c r="U467" s="522"/>
      <c r="V467" s="522"/>
      <c r="W467" s="522"/>
      <c r="X467" s="522"/>
      <c r="Y467" s="522"/>
      <c r="Z467" s="522"/>
    </row>
    <row r="468" spans="1:26" s="523" customFormat="1" ht="15" hidden="1" customHeight="1" outlineLevel="1" x14ac:dyDescent="0.2">
      <c r="A468" s="529" t="s">
        <v>629</v>
      </c>
      <c r="B468" s="530" t="s">
        <v>713</v>
      </c>
      <c r="C468" s="531"/>
      <c r="D468" s="532" t="s">
        <v>38</v>
      </c>
      <c r="E468" s="529">
        <v>1</v>
      </c>
      <c r="F468" s="28">
        <v>4.4000000000000004</v>
      </c>
      <c r="G468" s="532"/>
      <c r="H468" s="28">
        <v>1</v>
      </c>
      <c r="I468" s="532">
        <f>PRODUCT(E468:H468)</f>
        <v>4.4000000000000004</v>
      </c>
      <c r="J468" s="534"/>
      <c r="K468" s="522"/>
      <c r="L468" s="522"/>
      <c r="M468" s="522"/>
      <c r="N468" s="522"/>
      <c r="O468" s="522"/>
      <c r="P468" s="522"/>
      <c r="Q468" s="522"/>
      <c r="R468" s="522"/>
      <c r="S468" s="522"/>
      <c r="T468" s="522"/>
      <c r="U468" s="522"/>
      <c r="V468" s="522"/>
      <c r="W468" s="522"/>
      <c r="X468" s="522"/>
      <c r="Y468" s="522"/>
      <c r="Z468" s="522"/>
    </row>
    <row r="469" spans="1:26" s="523" customFormat="1" ht="15" hidden="1" customHeight="1" outlineLevel="1" x14ac:dyDescent="0.2">
      <c r="A469" s="529" t="s">
        <v>628</v>
      </c>
      <c r="B469" s="530" t="s">
        <v>714</v>
      </c>
      <c r="C469" s="531"/>
      <c r="D469" s="532" t="s">
        <v>38</v>
      </c>
      <c r="E469" s="529">
        <v>1</v>
      </c>
      <c r="F469" s="28">
        <v>0.6</v>
      </c>
      <c r="G469" s="532"/>
      <c r="H469" s="28">
        <v>2.6</v>
      </c>
      <c r="I469" s="532">
        <f>PRODUCT(E469:H469)</f>
        <v>1.56</v>
      </c>
      <c r="J469" s="534"/>
      <c r="K469" s="522"/>
      <c r="L469" s="522"/>
      <c r="M469" s="522"/>
      <c r="N469" s="522"/>
      <c r="O469" s="522"/>
      <c r="P469" s="522"/>
      <c r="Q469" s="522"/>
      <c r="R469" s="522"/>
      <c r="S469" s="522"/>
      <c r="T469" s="522"/>
      <c r="U469" s="522"/>
      <c r="V469" s="522"/>
      <c r="W469" s="522"/>
      <c r="X469" s="522"/>
      <c r="Y469" s="522"/>
      <c r="Z469" s="522"/>
    </row>
    <row r="470" spans="1:26" s="523" customFormat="1" ht="15" hidden="1" customHeight="1" outlineLevel="1" x14ac:dyDescent="0.2">
      <c r="A470" s="543"/>
      <c r="B470" s="530"/>
      <c r="C470" s="531"/>
      <c r="D470" s="532"/>
      <c r="E470" s="148"/>
      <c r="F470" s="134"/>
      <c r="G470" s="547"/>
      <c r="H470" s="134"/>
      <c r="I470" s="532"/>
      <c r="J470" s="546"/>
      <c r="K470" s="522"/>
      <c r="L470" s="522"/>
      <c r="M470" s="522"/>
      <c r="N470" s="522"/>
      <c r="O470" s="522"/>
      <c r="P470" s="522"/>
      <c r="Q470" s="522"/>
      <c r="R470" s="522"/>
      <c r="S470" s="522"/>
      <c r="T470" s="522"/>
      <c r="U470" s="522"/>
      <c r="V470" s="522"/>
      <c r="W470" s="522"/>
      <c r="X470" s="522"/>
      <c r="Y470" s="522"/>
      <c r="Z470" s="522"/>
    </row>
    <row r="471" spans="1:26" s="523" customFormat="1" ht="15.75" customHeight="1" collapsed="1" x14ac:dyDescent="0.2">
      <c r="A471" s="526" t="s">
        <v>422</v>
      </c>
      <c r="B471" s="548" t="s">
        <v>630</v>
      </c>
      <c r="C471" s="527"/>
      <c r="D471" s="526" t="s">
        <v>408</v>
      </c>
      <c r="E471" s="526"/>
      <c r="F471" s="526"/>
      <c r="G471" s="526"/>
      <c r="H471" s="526"/>
      <c r="I471" s="526"/>
      <c r="J471" s="528">
        <f>SUM(I472:I497)</f>
        <v>82.660000000000011</v>
      </c>
      <c r="K471" s="522"/>
      <c r="L471" s="522"/>
      <c r="M471" s="522"/>
      <c r="N471" s="522"/>
      <c r="O471" s="522"/>
      <c r="P471" s="522"/>
      <c r="Q471" s="522"/>
      <c r="R471" s="522"/>
      <c r="S471" s="522"/>
      <c r="T471" s="522"/>
      <c r="U471" s="522"/>
      <c r="V471" s="522"/>
      <c r="W471" s="522"/>
      <c r="X471" s="522"/>
      <c r="Y471" s="522"/>
      <c r="Z471" s="522"/>
    </row>
    <row r="472" spans="1:26" s="523" customFormat="1" ht="15.75" hidden="1" customHeight="1" outlineLevel="1" x14ac:dyDescent="0.2">
      <c r="A472" s="28"/>
      <c r="B472" s="549" t="s">
        <v>72</v>
      </c>
      <c r="C472" s="536"/>
      <c r="D472" s="148" t="s">
        <v>38</v>
      </c>
      <c r="E472" s="148">
        <v>1</v>
      </c>
      <c r="F472" s="28" t="s">
        <v>402</v>
      </c>
      <c r="G472" s="28">
        <v>0.9</v>
      </c>
      <c r="H472" s="28">
        <v>2.6</v>
      </c>
      <c r="I472" s="532">
        <f t="shared" ref="I472:I496" si="23">PRODUCT(E472:H472)</f>
        <v>2.3400000000000003</v>
      </c>
      <c r="J472" s="550"/>
      <c r="K472" s="522"/>
      <c r="L472" s="522"/>
      <c r="M472" s="522"/>
      <c r="N472" s="522"/>
      <c r="O472" s="522"/>
      <c r="P472" s="522"/>
      <c r="Q472" s="522"/>
      <c r="R472" s="522"/>
      <c r="S472" s="522"/>
      <c r="T472" s="522"/>
      <c r="U472" s="522"/>
      <c r="V472" s="522"/>
      <c r="W472" s="522"/>
      <c r="X472" s="522"/>
      <c r="Y472" s="522"/>
      <c r="Z472" s="522"/>
    </row>
    <row r="473" spans="1:26" s="523" customFormat="1" ht="15.75" hidden="1" customHeight="1" outlineLevel="1" x14ac:dyDescent="0.2">
      <c r="A473" s="28"/>
      <c r="B473" s="549" t="s">
        <v>509</v>
      </c>
      <c r="C473" s="536"/>
      <c r="D473" s="148" t="s">
        <v>38</v>
      </c>
      <c r="E473" s="148">
        <v>1</v>
      </c>
      <c r="F473" s="28" t="s">
        <v>402</v>
      </c>
      <c r="G473" s="28">
        <v>1.1499999999999999</v>
      </c>
      <c r="H473" s="28">
        <v>2.6</v>
      </c>
      <c r="I473" s="532">
        <f t="shared" si="23"/>
        <v>2.9899999999999998</v>
      </c>
      <c r="J473" s="551"/>
      <c r="K473" s="522"/>
      <c r="L473" s="522"/>
      <c r="M473" s="522"/>
      <c r="N473" s="522"/>
      <c r="O473" s="522"/>
      <c r="P473" s="522"/>
      <c r="Q473" s="522"/>
      <c r="R473" s="522"/>
      <c r="S473" s="522"/>
      <c r="T473" s="522"/>
      <c r="U473" s="522"/>
      <c r="V473" s="522"/>
      <c r="W473" s="522"/>
      <c r="X473" s="522"/>
      <c r="Y473" s="522"/>
      <c r="Z473" s="522"/>
    </row>
    <row r="474" spans="1:26" s="523" customFormat="1" ht="15.75" hidden="1" customHeight="1" outlineLevel="1" x14ac:dyDescent="0.2">
      <c r="A474" s="28"/>
      <c r="B474" s="549" t="s">
        <v>388</v>
      </c>
      <c r="C474" s="536"/>
      <c r="D474" s="148" t="s">
        <v>38</v>
      </c>
      <c r="E474" s="148">
        <v>1</v>
      </c>
      <c r="F474" s="28" t="s">
        <v>402</v>
      </c>
      <c r="G474" s="28">
        <v>0.8</v>
      </c>
      <c r="H474" s="28">
        <v>2.6</v>
      </c>
      <c r="I474" s="532">
        <f t="shared" si="23"/>
        <v>2.08</v>
      </c>
      <c r="J474" s="551"/>
      <c r="K474" s="522"/>
      <c r="L474" s="522"/>
      <c r="M474" s="522"/>
      <c r="N474" s="522"/>
      <c r="O474" s="522"/>
      <c r="P474" s="522"/>
      <c r="Q474" s="522"/>
      <c r="R474" s="522"/>
      <c r="S474" s="522"/>
      <c r="T474" s="522"/>
      <c r="U474" s="522"/>
      <c r="V474" s="522"/>
      <c r="W474" s="522"/>
      <c r="X474" s="522"/>
      <c r="Y474" s="522"/>
      <c r="Z474" s="522"/>
    </row>
    <row r="475" spans="1:26" s="523" customFormat="1" ht="15.75" hidden="1" customHeight="1" outlineLevel="1" x14ac:dyDescent="0.2">
      <c r="A475" s="28"/>
      <c r="B475" s="549" t="s">
        <v>517</v>
      </c>
      <c r="C475" s="536"/>
      <c r="D475" s="148" t="s">
        <v>38</v>
      </c>
      <c r="E475" s="148">
        <v>1</v>
      </c>
      <c r="F475" s="28" t="s">
        <v>402</v>
      </c>
      <c r="G475" s="28">
        <v>0.9</v>
      </c>
      <c r="H475" s="28">
        <v>2.6</v>
      </c>
      <c r="I475" s="532">
        <f t="shared" si="23"/>
        <v>2.3400000000000003</v>
      </c>
      <c r="J475" s="551"/>
      <c r="K475" s="522"/>
      <c r="L475" s="522"/>
      <c r="M475" s="522"/>
      <c r="N475" s="522"/>
      <c r="O475" s="522"/>
      <c r="P475" s="522"/>
      <c r="Q475" s="522"/>
      <c r="R475" s="522"/>
      <c r="S475" s="522"/>
      <c r="T475" s="522"/>
      <c r="U475" s="522"/>
      <c r="V475" s="522"/>
      <c r="W475" s="522"/>
      <c r="X475" s="522"/>
      <c r="Y475" s="522"/>
      <c r="Z475" s="522"/>
    </row>
    <row r="476" spans="1:26" s="523" customFormat="1" ht="15.75" hidden="1" customHeight="1" outlineLevel="1" x14ac:dyDescent="0.2">
      <c r="A476" s="28"/>
      <c r="B476" s="549" t="s">
        <v>652</v>
      </c>
      <c r="C476" s="536"/>
      <c r="D476" s="148" t="s">
        <v>38</v>
      </c>
      <c r="E476" s="148">
        <v>1</v>
      </c>
      <c r="F476" s="28" t="s">
        <v>402</v>
      </c>
      <c r="G476" s="28">
        <v>0.8</v>
      </c>
      <c r="H476" s="28">
        <v>2.6</v>
      </c>
      <c r="I476" s="532">
        <f t="shared" si="23"/>
        <v>2.08</v>
      </c>
      <c r="J476" s="551"/>
      <c r="K476" s="522"/>
      <c r="L476" s="522"/>
      <c r="M476" s="522"/>
      <c r="N476" s="522"/>
      <c r="O476" s="522"/>
      <c r="P476" s="522"/>
      <c r="Q476" s="522"/>
      <c r="R476" s="522"/>
      <c r="S476" s="522"/>
      <c r="T476" s="522"/>
      <c r="U476" s="522"/>
      <c r="V476" s="522"/>
      <c r="W476" s="522"/>
      <c r="X476" s="522"/>
      <c r="Y476" s="522"/>
      <c r="Z476" s="522"/>
    </row>
    <row r="477" spans="1:26" s="523" customFormat="1" ht="15.75" hidden="1" customHeight="1" outlineLevel="1" x14ac:dyDescent="0.2">
      <c r="A477" s="28"/>
      <c r="B477" s="549" t="s">
        <v>653</v>
      </c>
      <c r="C477" s="536"/>
      <c r="D477" s="148" t="s">
        <v>38</v>
      </c>
      <c r="E477" s="148">
        <v>1</v>
      </c>
      <c r="F477" s="28" t="s">
        <v>402</v>
      </c>
      <c r="G477" s="28">
        <v>0.9</v>
      </c>
      <c r="H477" s="28">
        <v>2.6</v>
      </c>
      <c r="I477" s="532">
        <f t="shared" si="23"/>
        <v>2.3400000000000003</v>
      </c>
      <c r="J477" s="551"/>
      <c r="K477" s="522"/>
      <c r="L477" s="522"/>
      <c r="M477" s="522"/>
      <c r="N477" s="522"/>
      <c r="O477" s="522"/>
      <c r="P477" s="522"/>
      <c r="Q477" s="522"/>
      <c r="R477" s="522"/>
      <c r="S477" s="522"/>
      <c r="T477" s="522"/>
      <c r="U477" s="522"/>
      <c r="V477" s="522"/>
      <c r="W477" s="522"/>
      <c r="X477" s="522"/>
      <c r="Y477" s="522"/>
      <c r="Z477" s="522"/>
    </row>
    <row r="478" spans="1:26" s="523" customFormat="1" ht="15.75" hidden="1" customHeight="1" outlineLevel="1" x14ac:dyDescent="0.2">
      <c r="A478" s="28"/>
      <c r="B478" s="549" t="s">
        <v>654</v>
      </c>
      <c r="C478" s="536"/>
      <c r="D478" s="148" t="s">
        <v>38</v>
      </c>
      <c r="E478" s="148">
        <v>1</v>
      </c>
      <c r="F478" s="28" t="s">
        <v>402</v>
      </c>
      <c r="G478" s="28">
        <v>0.67500000000000004</v>
      </c>
      <c r="H478" s="28">
        <v>2.6</v>
      </c>
      <c r="I478" s="532">
        <f t="shared" si="23"/>
        <v>1.7550000000000001</v>
      </c>
      <c r="J478" s="551"/>
      <c r="K478" s="522"/>
      <c r="L478" s="522"/>
      <c r="M478" s="522"/>
      <c r="N478" s="522"/>
      <c r="O478" s="522"/>
      <c r="P478" s="522"/>
      <c r="Q478" s="522"/>
      <c r="R478" s="522"/>
      <c r="S478" s="522"/>
      <c r="T478" s="522"/>
      <c r="U478" s="522"/>
      <c r="V478" s="522"/>
      <c r="W478" s="522"/>
      <c r="X478" s="522"/>
      <c r="Y478" s="522"/>
      <c r="Z478" s="522"/>
    </row>
    <row r="479" spans="1:26" s="523" customFormat="1" ht="15.75" hidden="1" customHeight="1" outlineLevel="1" x14ac:dyDescent="0.2">
      <c r="A479" s="28"/>
      <c r="B479" s="549"/>
      <c r="C479" s="536"/>
      <c r="D479" s="148"/>
      <c r="E479" s="148"/>
      <c r="F479" s="28"/>
      <c r="G479" s="28"/>
      <c r="H479" s="28"/>
      <c r="I479" s="532"/>
      <c r="J479" s="551"/>
      <c r="K479" s="522"/>
      <c r="L479" s="522"/>
      <c r="M479" s="522"/>
      <c r="N479" s="522"/>
      <c r="O479" s="522"/>
      <c r="P479" s="522"/>
      <c r="Q479" s="522"/>
      <c r="R479" s="522"/>
      <c r="S479" s="522"/>
      <c r="T479" s="522"/>
      <c r="U479" s="522"/>
      <c r="V479" s="522"/>
      <c r="W479" s="522"/>
      <c r="X479" s="522"/>
      <c r="Y479" s="522"/>
      <c r="Z479" s="522"/>
    </row>
    <row r="480" spans="1:26" s="523" customFormat="1" ht="15.75" hidden="1" customHeight="1" outlineLevel="1" x14ac:dyDescent="0.2">
      <c r="A480" s="28"/>
      <c r="B480" s="549" t="s">
        <v>658</v>
      </c>
      <c r="C480" s="536"/>
      <c r="D480" s="148" t="s">
        <v>38</v>
      </c>
      <c r="E480" s="148">
        <v>1</v>
      </c>
      <c r="F480" s="28" t="s">
        <v>402</v>
      </c>
      <c r="G480" s="28">
        <v>0.25</v>
      </c>
      <c r="H480" s="28">
        <v>2.4</v>
      </c>
      <c r="I480" s="532">
        <f t="shared" si="23"/>
        <v>0.6</v>
      </c>
      <c r="J480" s="551"/>
      <c r="K480" s="522"/>
      <c r="L480" s="522"/>
      <c r="M480" s="522"/>
      <c r="N480" s="522"/>
      <c r="O480" s="522"/>
      <c r="P480" s="522"/>
      <c r="Q480" s="522"/>
      <c r="R480" s="522"/>
      <c r="S480" s="522"/>
      <c r="T480" s="522"/>
      <c r="U480" s="522"/>
      <c r="V480" s="522"/>
      <c r="W480" s="522"/>
      <c r="X480" s="522"/>
      <c r="Y480" s="522"/>
      <c r="Z480" s="522"/>
    </row>
    <row r="481" spans="1:26" s="523" customFormat="1" ht="15.75" hidden="1" customHeight="1" outlineLevel="1" x14ac:dyDescent="0.2">
      <c r="A481" s="28"/>
      <c r="B481" s="549" t="s">
        <v>659</v>
      </c>
      <c r="C481" s="536"/>
      <c r="D481" s="148" t="s">
        <v>38</v>
      </c>
      <c r="E481" s="148">
        <v>1</v>
      </c>
      <c r="F481" s="28" t="s">
        <v>402</v>
      </c>
      <c r="G481" s="28">
        <v>0.25</v>
      </c>
      <c r="H481" s="28">
        <v>2.4</v>
      </c>
      <c r="I481" s="532">
        <f t="shared" si="23"/>
        <v>0.6</v>
      </c>
      <c r="J481" s="551"/>
      <c r="K481" s="522"/>
      <c r="L481" s="522"/>
      <c r="M481" s="522"/>
      <c r="N481" s="522"/>
      <c r="O481" s="522"/>
      <c r="P481" s="522"/>
      <c r="Q481" s="522"/>
      <c r="R481" s="522"/>
      <c r="S481" s="522"/>
      <c r="T481" s="522"/>
      <c r="U481" s="522"/>
      <c r="V481" s="522"/>
      <c r="W481" s="522"/>
      <c r="X481" s="522"/>
      <c r="Y481" s="522"/>
      <c r="Z481" s="522"/>
    </row>
    <row r="482" spans="1:26" s="523" customFormat="1" ht="15.75" hidden="1" customHeight="1" outlineLevel="1" x14ac:dyDescent="0.2">
      <c r="A482" s="28"/>
      <c r="B482" s="549" t="s">
        <v>660</v>
      </c>
      <c r="C482" s="536"/>
      <c r="D482" s="148" t="s">
        <v>38</v>
      </c>
      <c r="E482" s="148">
        <v>1</v>
      </c>
      <c r="F482" s="28" t="s">
        <v>402</v>
      </c>
      <c r="G482" s="28">
        <v>0.15</v>
      </c>
      <c r="H482" s="28">
        <v>2.2999999999999998</v>
      </c>
      <c r="I482" s="532">
        <f t="shared" si="23"/>
        <v>0.34499999999999997</v>
      </c>
      <c r="J482" s="551"/>
      <c r="K482" s="522"/>
      <c r="L482" s="522"/>
      <c r="M482" s="522"/>
      <c r="N482" s="522"/>
      <c r="O482" s="522"/>
      <c r="P482" s="522"/>
      <c r="Q482" s="522"/>
      <c r="R482" s="522"/>
      <c r="S482" s="522"/>
      <c r="T482" s="522"/>
      <c r="U482" s="522"/>
      <c r="V482" s="522"/>
      <c r="W482" s="522"/>
      <c r="X482" s="522"/>
      <c r="Y482" s="522"/>
      <c r="Z482" s="522"/>
    </row>
    <row r="483" spans="1:26" s="523" customFormat="1" ht="15.75" hidden="1" customHeight="1" outlineLevel="1" x14ac:dyDescent="0.2">
      <c r="A483" s="28"/>
      <c r="B483" s="549" t="s">
        <v>661</v>
      </c>
      <c r="C483" s="536"/>
      <c r="D483" s="148" t="s">
        <v>38</v>
      </c>
      <c r="E483" s="148">
        <v>1</v>
      </c>
      <c r="F483" s="28" t="s">
        <v>402</v>
      </c>
      <c r="G483" s="28">
        <v>0.15</v>
      </c>
      <c r="H483" s="28">
        <v>2.2999999999999998</v>
      </c>
      <c r="I483" s="532">
        <f t="shared" si="23"/>
        <v>0.34499999999999997</v>
      </c>
      <c r="J483" s="551"/>
      <c r="K483" s="522"/>
      <c r="L483" s="522"/>
      <c r="M483" s="522"/>
      <c r="N483" s="522"/>
      <c r="O483" s="522"/>
      <c r="P483" s="522"/>
      <c r="Q483" s="522"/>
      <c r="R483" s="522"/>
      <c r="S483" s="522"/>
      <c r="T483" s="522"/>
      <c r="U483" s="522"/>
      <c r="V483" s="522"/>
      <c r="W483" s="522"/>
      <c r="X483" s="522"/>
      <c r="Y483" s="522"/>
      <c r="Z483" s="522"/>
    </row>
    <row r="484" spans="1:26" s="523" customFormat="1" ht="15.75" hidden="1" customHeight="1" outlineLevel="1" x14ac:dyDescent="0.2">
      <c r="A484" s="28"/>
      <c r="B484" s="358"/>
      <c r="C484" s="536"/>
      <c r="D484" s="148"/>
      <c r="E484" s="148"/>
      <c r="F484" s="28"/>
      <c r="G484" s="28"/>
      <c r="H484" s="28"/>
      <c r="I484" s="532"/>
      <c r="J484" s="551"/>
      <c r="K484" s="522"/>
      <c r="L484" s="522"/>
      <c r="M484" s="522"/>
      <c r="N484" s="522"/>
      <c r="O484" s="522"/>
      <c r="P484" s="522"/>
      <c r="Q484" s="522"/>
      <c r="R484" s="522"/>
      <c r="S484" s="522"/>
      <c r="T484" s="522"/>
      <c r="U484" s="522"/>
      <c r="V484" s="522"/>
      <c r="W484" s="522"/>
      <c r="X484" s="522"/>
      <c r="Y484" s="522"/>
      <c r="Z484" s="522"/>
    </row>
    <row r="485" spans="1:26" s="523" customFormat="1" ht="15.75" hidden="1" customHeight="1" outlineLevel="1" x14ac:dyDescent="0.2">
      <c r="A485" s="28"/>
      <c r="B485" s="358" t="s">
        <v>662</v>
      </c>
      <c r="C485" s="536"/>
      <c r="D485" s="148" t="s">
        <v>38</v>
      </c>
      <c r="E485" s="148">
        <v>1</v>
      </c>
      <c r="F485" s="28" t="s">
        <v>402</v>
      </c>
      <c r="G485" s="28">
        <v>0.4</v>
      </c>
      <c r="H485" s="28">
        <v>2.4</v>
      </c>
      <c r="I485" s="532">
        <f t="shared" si="23"/>
        <v>0.96</v>
      </c>
      <c r="J485" s="551"/>
      <c r="K485" s="522"/>
      <c r="L485" s="522"/>
      <c r="M485" s="522"/>
      <c r="N485" s="522"/>
      <c r="O485" s="522"/>
      <c r="P485" s="522"/>
      <c r="Q485" s="522"/>
      <c r="R485" s="522"/>
      <c r="S485" s="522"/>
      <c r="T485" s="522"/>
      <c r="U485" s="522"/>
      <c r="V485" s="522"/>
      <c r="W485" s="522"/>
      <c r="X485" s="522"/>
      <c r="Y485" s="522"/>
      <c r="Z485" s="522"/>
    </row>
    <row r="486" spans="1:26" s="523" customFormat="1" ht="15.75" hidden="1" customHeight="1" outlineLevel="1" x14ac:dyDescent="0.2">
      <c r="A486" s="28"/>
      <c r="B486" s="358" t="s">
        <v>663</v>
      </c>
      <c r="C486" s="536"/>
      <c r="D486" s="148" t="s">
        <v>38</v>
      </c>
      <c r="E486" s="148">
        <v>1</v>
      </c>
      <c r="F486" s="28" t="s">
        <v>402</v>
      </c>
      <c r="G486" s="28">
        <v>0.4</v>
      </c>
      <c r="H486" s="28">
        <v>2.4</v>
      </c>
      <c r="I486" s="532">
        <f t="shared" si="23"/>
        <v>0.96</v>
      </c>
      <c r="J486" s="551"/>
      <c r="K486" s="522"/>
      <c r="L486" s="522"/>
      <c r="M486" s="522"/>
      <c r="N486" s="522"/>
      <c r="O486" s="522"/>
      <c r="P486" s="522"/>
      <c r="Q486" s="522"/>
      <c r="R486" s="522"/>
      <c r="S486" s="522"/>
      <c r="T486" s="522"/>
      <c r="U486" s="522"/>
      <c r="V486" s="522"/>
      <c r="W486" s="522"/>
      <c r="X486" s="522"/>
      <c r="Y486" s="522"/>
      <c r="Z486" s="522"/>
    </row>
    <row r="487" spans="1:26" s="523" customFormat="1" ht="15.75" hidden="1" customHeight="1" outlineLevel="1" x14ac:dyDescent="0.2">
      <c r="A487" s="28"/>
      <c r="B487" s="358" t="s">
        <v>664</v>
      </c>
      <c r="C487" s="536"/>
      <c r="D487" s="148" t="s">
        <v>38</v>
      </c>
      <c r="E487" s="148">
        <v>1</v>
      </c>
      <c r="F487" s="28" t="s">
        <v>402</v>
      </c>
      <c r="G487" s="28">
        <v>0.4</v>
      </c>
      <c r="H487" s="28">
        <v>2.4</v>
      </c>
      <c r="I487" s="532">
        <f t="shared" si="23"/>
        <v>0.96</v>
      </c>
      <c r="J487" s="551"/>
      <c r="K487" s="522"/>
      <c r="L487" s="522"/>
      <c r="M487" s="522"/>
      <c r="N487" s="522"/>
      <c r="O487" s="522"/>
      <c r="P487" s="522"/>
      <c r="Q487" s="522"/>
      <c r="R487" s="522"/>
      <c r="S487" s="522"/>
      <c r="T487" s="522"/>
      <c r="U487" s="522"/>
      <c r="V487" s="522"/>
      <c r="W487" s="522"/>
      <c r="X487" s="522"/>
      <c r="Y487" s="522"/>
      <c r="Z487" s="522"/>
    </row>
    <row r="488" spans="1:26" s="523" customFormat="1" ht="15.75" hidden="1" customHeight="1" outlineLevel="1" x14ac:dyDescent="0.2">
      <c r="A488" s="28"/>
      <c r="B488" s="358" t="s">
        <v>665</v>
      </c>
      <c r="C488" s="536"/>
      <c r="D488" s="148" t="s">
        <v>38</v>
      </c>
      <c r="E488" s="148">
        <v>1</v>
      </c>
      <c r="F488" s="28" t="s">
        <v>402</v>
      </c>
      <c r="G488" s="28">
        <v>0.4</v>
      </c>
      <c r="H488" s="28">
        <v>2.4</v>
      </c>
      <c r="I488" s="532">
        <f>PRODUCT(E488:H488)</f>
        <v>0.96</v>
      </c>
      <c r="J488" s="551"/>
      <c r="K488" s="522"/>
      <c r="L488" s="522"/>
      <c r="M488" s="522"/>
      <c r="N488" s="522"/>
      <c r="O488" s="522"/>
      <c r="P488" s="522"/>
      <c r="Q488" s="522"/>
      <c r="R488" s="522"/>
      <c r="S488" s="522"/>
      <c r="T488" s="522"/>
      <c r="U488" s="522"/>
      <c r="V488" s="522"/>
      <c r="W488" s="522"/>
      <c r="X488" s="522"/>
      <c r="Y488" s="522"/>
      <c r="Z488" s="522"/>
    </row>
    <row r="489" spans="1:26" s="523" customFormat="1" ht="15.75" hidden="1" customHeight="1" outlineLevel="1" x14ac:dyDescent="0.2">
      <c r="A489" s="28"/>
      <c r="B489" s="358" t="s">
        <v>666</v>
      </c>
      <c r="C489" s="536"/>
      <c r="D489" s="148" t="s">
        <v>38</v>
      </c>
      <c r="E489" s="148">
        <v>1</v>
      </c>
      <c r="F489" s="28" t="s">
        <v>402</v>
      </c>
      <c r="G489" s="28">
        <v>0.4</v>
      </c>
      <c r="H489" s="28">
        <v>2.4</v>
      </c>
      <c r="I489" s="532">
        <f>PRODUCT(E489:H489)</f>
        <v>0.96</v>
      </c>
      <c r="J489" s="551"/>
      <c r="K489" s="522"/>
      <c r="L489" s="522"/>
      <c r="M489" s="522"/>
      <c r="N489" s="522"/>
      <c r="O489" s="522"/>
      <c r="P489" s="522"/>
      <c r="Q489" s="522"/>
      <c r="R489" s="522"/>
      <c r="S489" s="522"/>
      <c r="T489" s="522"/>
      <c r="U489" s="522"/>
      <c r="V489" s="522"/>
      <c r="W489" s="522"/>
      <c r="X489" s="522"/>
      <c r="Y489" s="522"/>
      <c r="Z489" s="522"/>
    </row>
    <row r="490" spans="1:26" s="523" customFormat="1" ht="15.75" hidden="1" customHeight="1" outlineLevel="1" x14ac:dyDescent="0.2">
      <c r="A490" s="28"/>
      <c r="B490" s="358" t="s">
        <v>667</v>
      </c>
      <c r="C490" s="536"/>
      <c r="D490" s="148" t="s">
        <v>38</v>
      </c>
      <c r="E490" s="148">
        <v>1</v>
      </c>
      <c r="F490" s="28" t="s">
        <v>402</v>
      </c>
      <c r="G490" s="28">
        <v>0.4</v>
      </c>
      <c r="H490" s="28">
        <v>2.4</v>
      </c>
      <c r="I490" s="532">
        <f>PRODUCT(E490:H490)</f>
        <v>0.96</v>
      </c>
      <c r="J490" s="551"/>
      <c r="K490" s="522"/>
      <c r="L490" s="522"/>
      <c r="M490" s="522"/>
      <c r="N490" s="522"/>
      <c r="O490" s="522"/>
      <c r="P490" s="522"/>
      <c r="Q490" s="522"/>
      <c r="R490" s="522"/>
      <c r="S490" s="522"/>
      <c r="T490" s="522"/>
      <c r="U490" s="522"/>
      <c r="V490" s="522"/>
      <c r="W490" s="522"/>
      <c r="X490" s="522"/>
      <c r="Y490" s="522"/>
      <c r="Z490" s="522"/>
    </row>
    <row r="491" spans="1:26" s="523" customFormat="1" ht="15.75" hidden="1" customHeight="1" outlineLevel="1" x14ac:dyDescent="0.2">
      <c r="A491" s="28"/>
      <c r="B491" s="358"/>
      <c r="C491" s="536"/>
      <c r="D491" s="148"/>
      <c r="E491" s="148"/>
      <c r="F491" s="28"/>
      <c r="G491" s="28"/>
      <c r="H491" s="28"/>
      <c r="I491" s="532"/>
      <c r="J491" s="551"/>
      <c r="K491" s="522"/>
      <c r="L491" s="522"/>
      <c r="M491" s="522"/>
      <c r="N491" s="522"/>
      <c r="O491" s="522"/>
      <c r="P491" s="522"/>
      <c r="Q491" s="522"/>
      <c r="R491" s="522"/>
      <c r="S491" s="522"/>
      <c r="T491" s="522"/>
      <c r="U491" s="522"/>
      <c r="V491" s="522"/>
      <c r="W491" s="522"/>
      <c r="X491" s="522"/>
      <c r="Y491" s="522"/>
      <c r="Z491" s="522"/>
    </row>
    <row r="492" spans="1:26" s="523" customFormat="1" ht="15.75" hidden="1" customHeight="1" outlineLevel="1" x14ac:dyDescent="0.2">
      <c r="A492" s="28"/>
      <c r="B492" s="358" t="s">
        <v>45</v>
      </c>
      <c r="C492" s="536"/>
      <c r="D492" s="148" t="s">
        <v>38</v>
      </c>
      <c r="E492" s="148">
        <v>1</v>
      </c>
      <c r="F492" s="28" t="s">
        <v>402</v>
      </c>
      <c r="G492" s="28">
        <v>4</v>
      </c>
      <c r="H492" s="28">
        <v>2.6</v>
      </c>
      <c r="I492" s="532">
        <f>PRODUCT(E492:H492)</f>
        <v>10.4</v>
      </c>
      <c r="J492" s="551"/>
      <c r="K492" s="522"/>
      <c r="L492" s="522"/>
      <c r="M492" s="522"/>
      <c r="N492" s="522"/>
      <c r="O492" s="522"/>
      <c r="P492" s="522"/>
      <c r="Q492" s="522"/>
      <c r="R492" s="522"/>
      <c r="S492" s="522"/>
      <c r="T492" s="522"/>
      <c r="U492" s="522"/>
      <c r="V492" s="522"/>
      <c r="W492" s="522"/>
      <c r="X492" s="522"/>
      <c r="Y492" s="522"/>
      <c r="Z492" s="522"/>
    </row>
    <row r="493" spans="1:26" s="523" customFormat="1" ht="15.75" hidden="1" customHeight="1" outlineLevel="1" x14ac:dyDescent="0.2">
      <c r="A493" s="28"/>
      <c r="B493" s="358" t="s">
        <v>46</v>
      </c>
      <c r="C493" s="536"/>
      <c r="D493" s="148" t="s">
        <v>38</v>
      </c>
      <c r="E493" s="148">
        <v>1</v>
      </c>
      <c r="F493" s="28" t="s">
        <v>402</v>
      </c>
      <c r="G493" s="28">
        <v>5.65</v>
      </c>
      <c r="H493" s="28">
        <v>2.6</v>
      </c>
      <c r="I493" s="532">
        <f>PRODUCT(E493:H493)</f>
        <v>14.690000000000001</v>
      </c>
      <c r="J493" s="551"/>
      <c r="K493" s="522"/>
      <c r="L493" s="522"/>
      <c r="M493" s="522"/>
      <c r="N493" s="522"/>
      <c r="O493" s="522"/>
      <c r="P493" s="522"/>
      <c r="Q493" s="522"/>
      <c r="R493" s="522"/>
      <c r="S493" s="522"/>
      <c r="T493" s="522"/>
      <c r="U493" s="522"/>
      <c r="V493" s="522"/>
      <c r="W493" s="522"/>
      <c r="X493" s="522"/>
      <c r="Y493" s="522"/>
      <c r="Z493" s="522"/>
    </row>
    <row r="494" spans="1:26" s="523" customFormat="1" ht="15.75" hidden="1" customHeight="1" outlineLevel="1" x14ac:dyDescent="0.2">
      <c r="A494" s="28"/>
      <c r="B494" s="358" t="s">
        <v>504</v>
      </c>
      <c r="C494" s="536"/>
      <c r="D494" s="148" t="s">
        <v>38</v>
      </c>
      <c r="E494" s="148">
        <v>1</v>
      </c>
      <c r="F494" s="28" t="s">
        <v>402</v>
      </c>
      <c r="G494" s="28">
        <v>3.7</v>
      </c>
      <c r="H494" s="28">
        <v>2.6</v>
      </c>
      <c r="I494" s="532">
        <f>PRODUCT(E494:H494)</f>
        <v>9.620000000000001</v>
      </c>
      <c r="J494" s="551"/>
      <c r="K494" s="522"/>
      <c r="L494" s="522"/>
      <c r="M494" s="522"/>
      <c r="N494" s="522"/>
      <c r="O494" s="522"/>
      <c r="P494" s="522"/>
      <c r="Q494" s="522"/>
      <c r="R494" s="522"/>
      <c r="S494" s="522"/>
      <c r="T494" s="522"/>
      <c r="U494" s="522"/>
      <c r="V494" s="522"/>
      <c r="W494" s="522"/>
      <c r="X494" s="522"/>
      <c r="Y494" s="522"/>
      <c r="Z494" s="522"/>
    </row>
    <row r="495" spans="1:26" s="523" customFormat="1" ht="15.75" hidden="1" customHeight="1" outlineLevel="1" x14ac:dyDescent="0.2">
      <c r="A495" s="28"/>
      <c r="B495" s="358" t="s">
        <v>540</v>
      </c>
      <c r="C495" s="536"/>
      <c r="D495" s="148" t="s">
        <v>38</v>
      </c>
      <c r="E495" s="148">
        <v>1</v>
      </c>
      <c r="F495" s="28" t="s">
        <v>402</v>
      </c>
      <c r="G495" s="28">
        <v>8.1</v>
      </c>
      <c r="H495" s="28">
        <v>2.6</v>
      </c>
      <c r="I495" s="532">
        <f t="shared" si="23"/>
        <v>21.06</v>
      </c>
      <c r="J495" s="551"/>
      <c r="K495" s="522"/>
      <c r="L495" s="522"/>
      <c r="M495" s="522"/>
      <c r="N495" s="522"/>
      <c r="O495" s="522"/>
      <c r="P495" s="522"/>
      <c r="Q495" s="522"/>
      <c r="R495" s="522"/>
      <c r="S495" s="522"/>
      <c r="T495" s="522"/>
      <c r="U495" s="522"/>
      <c r="V495" s="522"/>
      <c r="W495" s="522"/>
      <c r="X495" s="522"/>
      <c r="Y495" s="522"/>
      <c r="Z495" s="522"/>
    </row>
    <row r="496" spans="1:26" s="523" customFormat="1" ht="15.75" hidden="1" customHeight="1" outlineLevel="1" x14ac:dyDescent="0.2">
      <c r="A496" s="28"/>
      <c r="B496" s="358" t="s">
        <v>541</v>
      </c>
      <c r="C496" s="536"/>
      <c r="D496" s="148" t="s">
        <v>38</v>
      </c>
      <c r="E496" s="148">
        <v>1</v>
      </c>
      <c r="F496" s="28" t="s">
        <v>402</v>
      </c>
      <c r="G496" s="28">
        <v>1.2749999999999999</v>
      </c>
      <c r="H496" s="28">
        <v>2.6</v>
      </c>
      <c r="I496" s="532">
        <f t="shared" si="23"/>
        <v>3.3149999999999999</v>
      </c>
      <c r="J496" s="551"/>
      <c r="K496" s="522"/>
      <c r="L496" s="522"/>
      <c r="M496" s="522"/>
      <c r="N496" s="522"/>
      <c r="O496" s="522"/>
      <c r="P496" s="522"/>
      <c r="Q496" s="522"/>
      <c r="R496" s="522"/>
      <c r="S496" s="522"/>
      <c r="T496" s="522"/>
      <c r="U496" s="522"/>
      <c r="V496" s="522"/>
      <c r="W496" s="522"/>
      <c r="X496" s="522"/>
      <c r="Y496" s="522"/>
      <c r="Z496" s="522"/>
    </row>
    <row r="497" spans="1:26" s="523" customFormat="1" ht="15.75" hidden="1" customHeight="1" outlineLevel="1" x14ac:dyDescent="0.2">
      <c r="A497" s="28"/>
      <c r="B497" s="358"/>
      <c r="C497" s="536"/>
      <c r="D497" s="148"/>
      <c r="E497" s="148"/>
      <c r="F497" s="28"/>
      <c r="G497" s="28"/>
      <c r="H497" s="28"/>
      <c r="I497" s="532"/>
      <c r="J497" s="551"/>
      <c r="K497" s="522"/>
      <c r="L497" s="522"/>
      <c r="M497" s="522"/>
      <c r="N497" s="522"/>
      <c r="O497" s="522"/>
      <c r="P497" s="522"/>
      <c r="Q497" s="522"/>
      <c r="R497" s="522"/>
      <c r="S497" s="522"/>
      <c r="T497" s="522"/>
      <c r="U497" s="522"/>
      <c r="V497" s="522"/>
      <c r="W497" s="522"/>
      <c r="X497" s="522"/>
      <c r="Y497" s="522"/>
      <c r="Z497" s="522"/>
    </row>
    <row r="498" spans="1:26" s="523" customFormat="1" ht="15.75" customHeight="1" collapsed="1" x14ac:dyDescent="0.2">
      <c r="A498" s="526" t="s">
        <v>423</v>
      </c>
      <c r="B498" s="548" t="s">
        <v>412</v>
      </c>
      <c r="C498" s="527"/>
      <c r="D498" s="526" t="s">
        <v>408</v>
      </c>
      <c r="E498" s="526"/>
      <c r="F498" s="526"/>
      <c r="G498" s="526"/>
      <c r="H498" s="526"/>
      <c r="I498" s="526"/>
      <c r="J498" s="528">
        <f>SUM(I499:I517)</f>
        <v>32.147500000000001</v>
      </c>
      <c r="K498" s="522"/>
      <c r="L498" s="522"/>
      <c r="M498" s="522"/>
      <c r="N498" s="522"/>
      <c r="O498" s="522"/>
      <c r="P498" s="522"/>
      <c r="Q498" s="522"/>
      <c r="R498" s="522"/>
      <c r="S498" s="522"/>
      <c r="T498" s="522"/>
      <c r="U498" s="522"/>
      <c r="V498" s="522"/>
      <c r="W498" s="522"/>
      <c r="X498" s="522"/>
      <c r="Y498" s="522"/>
      <c r="Z498" s="522"/>
    </row>
    <row r="499" spans="1:26" s="523" customFormat="1" ht="15" hidden="1" customHeight="1" outlineLevel="1" x14ac:dyDescent="0.2">
      <c r="A499" s="552"/>
      <c r="B499" s="553" t="s">
        <v>631</v>
      </c>
      <c r="C499" s="554"/>
      <c r="D499" s="28" t="s">
        <v>38</v>
      </c>
      <c r="E499" s="28">
        <v>1</v>
      </c>
      <c r="F499" s="28">
        <v>3.85</v>
      </c>
      <c r="G499" s="28"/>
      <c r="H499" s="28">
        <v>0.85</v>
      </c>
      <c r="I499" s="28">
        <f t="shared" ref="I499:I516" si="24">PRODUCT(E499:H499)</f>
        <v>3.2725</v>
      </c>
      <c r="J499" s="555"/>
      <c r="K499" s="522"/>
      <c r="L499" s="522"/>
      <c r="M499" s="522"/>
      <c r="N499" s="522"/>
      <c r="O499" s="522"/>
      <c r="P499" s="522"/>
      <c r="Q499" s="522"/>
      <c r="R499" s="522"/>
      <c r="S499" s="522"/>
      <c r="T499" s="522"/>
      <c r="U499" s="522"/>
      <c r="V499" s="522"/>
      <c r="W499" s="522"/>
      <c r="X499" s="522"/>
      <c r="Y499" s="522"/>
      <c r="Z499" s="522"/>
    </row>
    <row r="500" spans="1:26" s="523" customFormat="1" ht="15" hidden="1" customHeight="1" outlineLevel="1" x14ac:dyDescent="0.2">
      <c r="A500" s="552"/>
      <c r="B500" s="556" t="s">
        <v>632</v>
      </c>
      <c r="C500" s="554"/>
      <c r="D500" s="28" t="s">
        <v>38</v>
      </c>
      <c r="E500" s="28">
        <v>1</v>
      </c>
      <c r="F500" s="28">
        <v>4.05</v>
      </c>
      <c r="G500" s="28"/>
      <c r="H500" s="28">
        <v>0.85</v>
      </c>
      <c r="I500" s="28">
        <f t="shared" si="24"/>
        <v>3.4424999999999999</v>
      </c>
      <c r="J500" s="557"/>
      <c r="K500" s="522"/>
      <c r="L500" s="522"/>
      <c r="M500" s="522"/>
      <c r="N500" s="522"/>
      <c r="O500" s="522"/>
      <c r="P500" s="522"/>
      <c r="Q500" s="522"/>
      <c r="R500" s="522"/>
      <c r="S500" s="522"/>
      <c r="T500" s="522"/>
      <c r="U500" s="522"/>
      <c r="V500" s="522"/>
      <c r="W500" s="522"/>
      <c r="X500" s="522"/>
      <c r="Y500" s="522"/>
      <c r="Z500" s="522"/>
    </row>
    <row r="501" spans="1:26" s="523" customFormat="1" ht="15" hidden="1" customHeight="1" outlineLevel="1" x14ac:dyDescent="0.2">
      <c r="A501" s="552"/>
      <c r="B501" s="556" t="s">
        <v>633</v>
      </c>
      <c r="C501" s="554"/>
      <c r="D501" s="28" t="s">
        <v>38</v>
      </c>
      <c r="E501" s="28">
        <v>1</v>
      </c>
      <c r="F501" s="28">
        <v>3.8</v>
      </c>
      <c r="G501" s="28"/>
      <c r="H501" s="28">
        <v>0.2</v>
      </c>
      <c r="I501" s="28">
        <f t="shared" si="24"/>
        <v>0.76</v>
      </c>
      <c r="J501" s="557"/>
      <c r="K501" s="522"/>
      <c r="L501" s="522"/>
      <c r="M501" s="522"/>
      <c r="N501" s="522"/>
      <c r="O501" s="522"/>
      <c r="P501" s="522"/>
      <c r="Q501" s="522"/>
      <c r="R501" s="522"/>
      <c r="S501" s="522"/>
      <c r="T501" s="522"/>
      <c r="U501" s="522"/>
      <c r="V501" s="522"/>
      <c r="W501" s="522"/>
      <c r="X501" s="522"/>
      <c r="Y501" s="522"/>
      <c r="Z501" s="522"/>
    </row>
    <row r="502" spans="1:26" s="523" customFormat="1" ht="15" hidden="1" customHeight="1" outlineLevel="1" x14ac:dyDescent="0.2">
      <c r="A502" s="552"/>
      <c r="B502" s="556" t="s">
        <v>635</v>
      </c>
      <c r="C502" s="554"/>
      <c r="D502" s="28" t="s">
        <v>38</v>
      </c>
      <c r="E502" s="28">
        <v>1</v>
      </c>
      <c r="F502" s="28">
        <v>4.2</v>
      </c>
      <c r="G502" s="28"/>
      <c r="H502" s="28">
        <v>0.2</v>
      </c>
      <c r="I502" s="28">
        <f t="shared" si="24"/>
        <v>0.84000000000000008</v>
      </c>
      <c r="J502" s="557"/>
      <c r="K502" s="522"/>
      <c r="L502" s="522"/>
      <c r="M502" s="522"/>
      <c r="N502" s="522"/>
      <c r="O502" s="522"/>
      <c r="P502" s="522"/>
      <c r="Q502" s="522"/>
      <c r="R502" s="522"/>
      <c r="S502" s="522"/>
      <c r="T502" s="522"/>
      <c r="U502" s="522"/>
      <c r="V502" s="522"/>
      <c r="W502" s="522"/>
      <c r="X502" s="522"/>
      <c r="Y502" s="522"/>
      <c r="Z502" s="522"/>
    </row>
    <row r="503" spans="1:26" s="523" customFormat="1" ht="15" hidden="1" customHeight="1" outlineLevel="1" x14ac:dyDescent="0.2">
      <c r="A503" s="552"/>
      <c r="B503" s="556" t="s">
        <v>636</v>
      </c>
      <c r="C503" s="554"/>
      <c r="D503" s="28" t="s">
        <v>38</v>
      </c>
      <c r="E503" s="28">
        <v>1</v>
      </c>
      <c r="F503" s="28">
        <v>4.05</v>
      </c>
      <c r="G503" s="28"/>
      <c r="H503" s="28">
        <v>0.85</v>
      </c>
      <c r="I503" s="28">
        <f t="shared" si="24"/>
        <v>3.4424999999999999</v>
      </c>
      <c r="J503" s="557"/>
      <c r="K503" s="522"/>
      <c r="L503" s="522"/>
      <c r="M503" s="522"/>
      <c r="N503" s="522"/>
      <c r="O503" s="522"/>
      <c r="P503" s="522"/>
      <c r="Q503" s="522"/>
      <c r="R503" s="522"/>
      <c r="S503" s="522"/>
      <c r="T503" s="522"/>
      <c r="U503" s="522"/>
      <c r="V503" s="522"/>
      <c r="W503" s="522"/>
      <c r="X503" s="522"/>
      <c r="Y503" s="522"/>
      <c r="Z503" s="522"/>
    </row>
    <row r="504" spans="1:26" s="523" customFormat="1" ht="15" hidden="1" customHeight="1" outlineLevel="1" x14ac:dyDescent="0.2">
      <c r="A504" s="552"/>
      <c r="B504" s="553" t="s">
        <v>637</v>
      </c>
      <c r="C504" s="554"/>
      <c r="D504" s="28" t="s">
        <v>38</v>
      </c>
      <c r="E504" s="28">
        <v>1</v>
      </c>
      <c r="F504" s="28">
        <v>4.3</v>
      </c>
      <c r="G504" s="28"/>
      <c r="H504" s="28">
        <v>0.2</v>
      </c>
      <c r="I504" s="28">
        <f t="shared" si="24"/>
        <v>0.86</v>
      </c>
      <c r="J504" s="557"/>
      <c r="K504" s="522"/>
      <c r="L504" s="522"/>
      <c r="M504" s="522"/>
      <c r="N504" s="522"/>
      <c r="O504" s="522"/>
      <c r="P504" s="522"/>
      <c r="Q504" s="522"/>
      <c r="R504" s="522"/>
      <c r="S504" s="522"/>
      <c r="T504" s="522"/>
      <c r="U504" s="522"/>
      <c r="V504" s="522"/>
      <c r="W504" s="522"/>
      <c r="X504" s="522"/>
      <c r="Y504" s="522"/>
      <c r="Z504" s="522"/>
    </row>
    <row r="505" spans="1:26" s="523" customFormat="1" ht="15" hidden="1" customHeight="1" outlineLevel="1" x14ac:dyDescent="0.2">
      <c r="A505" s="552"/>
      <c r="B505" s="556" t="s">
        <v>638</v>
      </c>
      <c r="C505" s="554"/>
      <c r="D505" s="28" t="s">
        <v>38</v>
      </c>
      <c r="E505" s="28">
        <v>1</v>
      </c>
      <c r="F505" s="28">
        <v>4.7</v>
      </c>
      <c r="G505" s="28"/>
      <c r="H505" s="28">
        <v>0.2</v>
      </c>
      <c r="I505" s="28">
        <f t="shared" si="24"/>
        <v>0.94000000000000006</v>
      </c>
      <c r="J505" s="557"/>
      <c r="K505" s="522"/>
      <c r="L505" s="522"/>
      <c r="M505" s="522"/>
      <c r="N505" s="522"/>
      <c r="O505" s="522"/>
      <c r="P505" s="522"/>
      <c r="Q505" s="522"/>
      <c r="R505" s="522"/>
      <c r="S505" s="522"/>
      <c r="T505" s="522"/>
      <c r="U505" s="522"/>
      <c r="V505" s="522"/>
      <c r="W505" s="522"/>
      <c r="X505" s="522"/>
      <c r="Y505" s="522"/>
      <c r="Z505" s="522"/>
    </row>
    <row r="506" spans="1:26" s="523" customFormat="1" ht="15" hidden="1" customHeight="1" outlineLevel="1" x14ac:dyDescent="0.2">
      <c r="A506" s="552"/>
      <c r="B506" s="556" t="s">
        <v>639</v>
      </c>
      <c r="C506" s="554"/>
      <c r="D506" s="28" t="s">
        <v>38</v>
      </c>
      <c r="E506" s="28">
        <v>1</v>
      </c>
      <c r="F506" s="28">
        <v>3.15</v>
      </c>
      <c r="G506" s="28"/>
      <c r="H506" s="28">
        <v>0.85</v>
      </c>
      <c r="I506" s="28">
        <f t="shared" si="24"/>
        <v>2.6774999999999998</v>
      </c>
      <c r="J506" s="557"/>
      <c r="K506" s="522"/>
      <c r="L506" s="522"/>
      <c r="M506" s="522"/>
      <c r="N506" s="522"/>
      <c r="O506" s="522"/>
      <c r="P506" s="522"/>
      <c r="Q506" s="522"/>
      <c r="R506" s="522"/>
      <c r="S506" s="522"/>
      <c r="T506" s="522"/>
      <c r="U506" s="522"/>
      <c r="V506" s="522"/>
      <c r="W506" s="522"/>
      <c r="X506" s="522"/>
      <c r="Y506" s="522"/>
      <c r="Z506" s="522"/>
    </row>
    <row r="507" spans="1:26" s="523" customFormat="1" ht="15" hidden="1" customHeight="1" outlineLevel="1" x14ac:dyDescent="0.2">
      <c r="A507" s="552"/>
      <c r="B507" s="553" t="s">
        <v>640</v>
      </c>
      <c r="C507" s="554"/>
      <c r="D507" s="28" t="s">
        <v>38</v>
      </c>
      <c r="E507" s="28">
        <v>1</v>
      </c>
      <c r="F507" s="28">
        <v>3.15</v>
      </c>
      <c r="G507" s="28"/>
      <c r="H507" s="28">
        <v>0.85</v>
      </c>
      <c r="I507" s="28">
        <f t="shared" si="24"/>
        <v>2.6774999999999998</v>
      </c>
      <c r="J507" s="557"/>
      <c r="K507" s="522"/>
      <c r="L507" s="522"/>
      <c r="M507" s="522"/>
      <c r="N507" s="522"/>
      <c r="O507" s="522"/>
      <c r="P507" s="522"/>
      <c r="Q507" s="522"/>
      <c r="R507" s="522"/>
      <c r="S507" s="522"/>
      <c r="T507" s="522"/>
      <c r="U507" s="522"/>
      <c r="V507" s="522"/>
      <c r="W507" s="522"/>
      <c r="X507" s="522"/>
      <c r="Y507" s="522"/>
      <c r="Z507" s="522"/>
    </row>
    <row r="508" spans="1:26" s="523" customFormat="1" ht="15" hidden="1" customHeight="1" outlineLevel="1" x14ac:dyDescent="0.2">
      <c r="A508" s="552"/>
      <c r="B508" s="556" t="s">
        <v>641</v>
      </c>
      <c r="C508" s="554"/>
      <c r="D508" s="28" t="s">
        <v>38</v>
      </c>
      <c r="E508" s="28">
        <v>1</v>
      </c>
      <c r="F508" s="28">
        <v>6.15</v>
      </c>
      <c r="G508" s="28"/>
      <c r="H508" s="28">
        <v>0.2</v>
      </c>
      <c r="I508" s="28">
        <f t="shared" si="24"/>
        <v>1.2300000000000002</v>
      </c>
      <c r="J508" s="557"/>
      <c r="K508" s="522"/>
      <c r="L508" s="522"/>
      <c r="M508" s="522"/>
      <c r="N508" s="522"/>
      <c r="O508" s="522"/>
      <c r="P508" s="522"/>
      <c r="Q508" s="522"/>
      <c r="R508" s="522"/>
      <c r="S508" s="522"/>
      <c r="T508" s="522"/>
      <c r="U508" s="522"/>
      <c r="V508" s="522"/>
      <c r="W508" s="522"/>
      <c r="X508" s="522"/>
      <c r="Y508" s="522"/>
      <c r="Z508" s="522"/>
    </row>
    <row r="509" spans="1:26" s="523" customFormat="1" ht="15" hidden="1" customHeight="1" outlineLevel="1" x14ac:dyDescent="0.2">
      <c r="A509" s="552"/>
      <c r="B509" s="556" t="s">
        <v>642</v>
      </c>
      <c r="C509" s="554"/>
      <c r="D509" s="28" t="s">
        <v>38</v>
      </c>
      <c r="E509" s="28">
        <v>1</v>
      </c>
      <c r="F509" s="28">
        <v>6.4</v>
      </c>
      <c r="G509" s="28"/>
      <c r="H509" s="28">
        <v>0.2</v>
      </c>
      <c r="I509" s="28">
        <f t="shared" si="24"/>
        <v>1.2800000000000002</v>
      </c>
      <c r="J509" s="557"/>
      <c r="K509" s="522"/>
      <c r="L509" s="522"/>
      <c r="M509" s="522"/>
      <c r="N509" s="522"/>
      <c r="O509" s="522"/>
      <c r="P509" s="522"/>
      <c r="Q509" s="522"/>
      <c r="R509" s="522"/>
      <c r="S509" s="522"/>
      <c r="T509" s="522"/>
      <c r="U509" s="522"/>
      <c r="V509" s="522"/>
      <c r="W509" s="522"/>
      <c r="X509" s="522"/>
      <c r="Y509" s="522"/>
      <c r="Z509" s="522"/>
    </row>
    <row r="510" spans="1:26" s="523" customFormat="1" ht="15" hidden="1" customHeight="1" outlineLevel="1" x14ac:dyDescent="0.2">
      <c r="A510" s="552"/>
      <c r="B510" s="553" t="s">
        <v>643</v>
      </c>
      <c r="C510" s="554"/>
      <c r="D510" s="28" t="s">
        <v>38</v>
      </c>
      <c r="E510" s="28">
        <v>1</v>
      </c>
      <c r="F510" s="28">
        <v>4.25</v>
      </c>
      <c r="G510" s="28"/>
      <c r="H510" s="28">
        <v>0.85</v>
      </c>
      <c r="I510" s="28">
        <f t="shared" si="24"/>
        <v>3.6124999999999998</v>
      </c>
      <c r="J510" s="557"/>
      <c r="K510" s="522"/>
      <c r="L510" s="522"/>
      <c r="M510" s="522"/>
      <c r="N510" s="522"/>
      <c r="O510" s="522"/>
      <c r="P510" s="522"/>
      <c r="Q510" s="522"/>
      <c r="R510" s="522"/>
      <c r="S510" s="522"/>
      <c r="T510" s="522"/>
      <c r="U510" s="522"/>
      <c r="V510" s="522"/>
      <c r="W510" s="522"/>
      <c r="X510" s="522"/>
      <c r="Y510" s="522"/>
      <c r="Z510" s="522"/>
    </row>
    <row r="511" spans="1:26" s="523" customFormat="1" ht="15" hidden="1" customHeight="1" outlineLevel="1" x14ac:dyDescent="0.2">
      <c r="A511" s="552"/>
      <c r="B511" s="556" t="s">
        <v>644</v>
      </c>
      <c r="C511" s="554"/>
      <c r="D511" s="28" t="s">
        <v>38</v>
      </c>
      <c r="E511" s="28">
        <v>1</v>
      </c>
      <c r="F511" s="28">
        <v>4</v>
      </c>
      <c r="G511" s="28"/>
      <c r="H511" s="28">
        <v>0.2</v>
      </c>
      <c r="I511" s="28">
        <f t="shared" si="24"/>
        <v>0.8</v>
      </c>
      <c r="J511" s="557"/>
      <c r="K511" s="522"/>
      <c r="L511" s="522"/>
      <c r="M511" s="522"/>
      <c r="N511" s="522"/>
      <c r="O511" s="522"/>
      <c r="P511" s="522"/>
      <c r="Q511" s="522"/>
      <c r="R511" s="522"/>
      <c r="S511" s="522"/>
      <c r="T511" s="522"/>
      <c r="U511" s="522"/>
      <c r="V511" s="522"/>
      <c r="W511" s="522"/>
      <c r="X511" s="522"/>
      <c r="Y511" s="522"/>
      <c r="Z511" s="522"/>
    </row>
    <row r="512" spans="1:26" s="523" customFormat="1" ht="15" hidden="1" customHeight="1" outlineLevel="1" x14ac:dyDescent="0.2">
      <c r="A512" s="552"/>
      <c r="B512" s="556" t="s">
        <v>645</v>
      </c>
      <c r="C512" s="554"/>
      <c r="D512" s="28" t="s">
        <v>38</v>
      </c>
      <c r="E512" s="28">
        <v>1</v>
      </c>
      <c r="F512" s="28">
        <v>4.1500000000000004</v>
      </c>
      <c r="G512" s="28"/>
      <c r="H512" s="28">
        <v>0.2</v>
      </c>
      <c r="I512" s="28">
        <f t="shared" si="24"/>
        <v>0.83000000000000007</v>
      </c>
      <c r="J512" s="557"/>
      <c r="K512" s="522"/>
      <c r="L512" s="522"/>
      <c r="M512" s="522"/>
      <c r="N512" s="522"/>
      <c r="O512" s="522"/>
      <c r="P512" s="522"/>
      <c r="Q512" s="522"/>
      <c r="R512" s="522"/>
      <c r="S512" s="522"/>
      <c r="T512" s="522"/>
      <c r="U512" s="522"/>
      <c r="V512" s="522"/>
      <c r="W512" s="522"/>
      <c r="X512" s="522"/>
      <c r="Y512" s="522"/>
      <c r="Z512" s="522"/>
    </row>
    <row r="513" spans="1:26" s="523" customFormat="1" ht="15" hidden="1" customHeight="1" outlineLevel="1" x14ac:dyDescent="0.2">
      <c r="A513" s="552"/>
      <c r="B513" s="553" t="s">
        <v>646</v>
      </c>
      <c r="C513" s="554"/>
      <c r="D513" s="28" t="s">
        <v>38</v>
      </c>
      <c r="E513" s="28">
        <v>1</v>
      </c>
      <c r="F513" s="28">
        <v>4.25</v>
      </c>
      <c r="G513" s="28"/>
      <c r="H513" s="28">
        <v>0.85</v>
      </c>
      <c r="I513" s="28">
        <f t="shared" si="24"/>
        <v>3.6124999999999998</v>
      </c>
      <c r="J513" s="557"/>
      <c r="K513" s="522"/>
      <c r="L513" s="522"/>
      <c r="M513" s="522"/>
      <c r="N513" s="522"/>
      <c r="O513" s="522"/>
      <c r="P513" s="522"/>
      <c r="Q513" s="522"/>
      <c r="R513" s="522"/>
      <c r="S513" s="522"/>
      <c r="T513" s="522"/>
      <c r="U513" s="522"/>
      <c r="V513" s="522"/>
      <c r="W513" s="522"/>
      <c r="X513" s="522"/>
      <c r="Y513" s="522"/>
      <c r="Z513" s="522"/>
    </row>
    <row r="514" spans="1:26" s="523" customFormat="1" ht="15" hidden="1" customHeight="1" outlineLevel="1" x14ac:dyDescent="0.2">
      <c r="A514" s="552"/>
      <c r="B514" s="556" t="s">
        <v>647</v>
      </c>
      <c r="C514" s="554"/>
      <c r="D514" s="28" t="s">
        <v>38</v>
      </c>
      <c r="E514" s="28">
        <v>1</v>
      </c>
      <c r="F514" s="28">
        <v>2.5499999999999998</v>
      </c>
      <c r="G514" s="28"/>
      <c r="H514" s="28">
        <v>0.2</v>
      </c>
      <c r="I514" s="28">
        <f t="shared" si="24"/>
        <v>0.51</v>
      </c>
      <c r="J514" s="557"/>
      <c r="K514" s="522"/>
      <c r="L514" s="522"/>
      <c r="M514" s="522"/>
      <c r="N514" s="522"/>
      <c r="O514" s="522"/>
      <c r="P514" s="522"/>
      <c r="Q514" s="522"/>
      <c r="R514" s="522"/>
      <c r="S514" s="522"/>
      <c r="T514" s="522"/>
      <c r="U514" s="522"/>
      <c r="V514" s="522"/>
      <c r="W514" s="522"/>
      <c r="X514" s="522"/>
      <c r="Y514" s="522"/>
      <c r="Z514" s="522"/>
    </row>
    <row r="515" spans="1:26" s="523" customFormat="1" ht="15" hidden="1" customHeight="1" outlineLevel="1" x14ac:dyDescent="0.2">
      <c r="A515" s="552"/>
      <c r="B515" s="556" t="s">
        <v>648</v>
      </c>
      <c r="C515" s="554"/>
      <c r="D515" s="28" t="s">
        <v>38</v>
      </c>
      <c r="E515" s="28">
        <v>1</v>
      </c>
      <c r="F515" s="28">
        <v>2.75</v>
      </c>
      <c r="G515" s="28"/>
      <c r="H515" s="28">
        <v>0.2</v>
      </c>
      <c r="I515" s="28">
        <f t="shared" si="24"/>
        <v>0.55000000000000004</v>
      </c>
      <c r="J515" s="557"/>
      <c r="K515" s="522"/>
      <c r="L515" s="522"/>
      <c r="M515" s="522"/>
      <c r="N515" s="522"/>
      <c r="O515" s="522"/>
      <c r="P515" s="522"/>
      <c r="Q515" s="522"/>
      <c r="R515" s="522"/>
      <c r="S515" s="522"/>
      <c r="T515" s="522"/>
      <c r="U515" s="522"/>
      <c r="V515" s="522"/>
      <c r="W515" s="522"/>
      <c r="X515" s="522"/>
      <c r="Y515" s="522"/>
      <c r="Z515" s="522"/>
    </row>
    <row r="516" spans="1:26" s="523" customFormat="1" ht="15" hidden="1" customHeight="1" outlineLevel="1" x14ac:dyDescent="0.2">
      <c r="A516" s="552"/>
      <c r="B516" s="553" t="s">
        <v>649</v>
      </c>
      <c r="C516" s="554"/>
      <c r="D516" s="28" t="s">
        <v>38</v>
      </c>
      <c r="E516" s="28">
        <v>1</v>
      </c>
      <c r="F516" s="28">
        <v>2.7</v>
      </c>
      <c r="G516" s="28"/>
      <c r="H516" s="28">
        <v>0.3</v>
      </c>
      <c r="I516" s="28">
        <f t="shared" si="24"/>
        <v>0.81</v>
      </c>
      <c r="J516" s="557"/>
      <c r="K516" s="522"/>
      <c r="L516" s="522"/>
      <c r="M516" s="522"/>
      <c r="N516" s="522"/>
      <c r="O516" s="522"/>
      <c r="P516" s="522"/>
      <c r="Q516" s="522"/>
      <c r="R516" s="522"/>
      <c r="S516" s="522"/>
      <c r="T516" s="522"/>
      <c r="U516" s="522"/>
      <c r="V516" s="522"/>
      <c r="W516" s="522"/>
      <c r="X516" s="522"/>
      <c r="Y516" s="522"/>
      <c r="Z516" s="522"/>
    </row>
    <row r="517" spans="1:26" s="523" customFormat="1" ht="15.75" hidden="1" customHeight="1" outlineLevel="1" x14ac:dyDescent="0.2">
      <c r="A517" s="28"/>
      <c r="B517" s="358"/>
      <c r="C517" s="536"/>
      <c r="D517" s="28"/>
      <c r="E517" s="28"/>
      <c r="F517" s="28"/>
      <c r="G517" s="28"/>
      <c r="H517" s="28"/>
      <c r="I517" s="28"/>
      <c r="J517" s="558"/>
      <c r="K517" s="522"/>
      <c r="L517" s="522"/>
      <c r="M517" s="522"/>
      <c r="N517" s="522"/>
      <c r="O517" s="522"/>
      <c r="P517" s="522"/>
      <c r="Q517" s="522"/>
      <c r="R517" s="522"/>
      <c r="S517" s="522"/>
      <c r="T517" s="522"/>
      <c r="U517" s="522"/>
      <c r="V517" s="522"/>
      <c r="W517" s="522"/>
      <c r="X517" s="522"/>
      <c r="Y517" s="522"/>
      <c r="Z517" s="522"/>
    </row>
    <row r="518" spans="1:26" s="523" customFormat="1" ht="15.75" customHeight="1" collapsed="1" x14ac:dyDescent="0.2">
      <c r="A518" s="526" t="s">
        <v>426</v>
      </c>
      <c r="B518" s="616" t="s">
        <v>415</v>
      </c>
      <c r="C518" s="617"/>
      <c r="D518" s="526" t="s">
        <v>416</v>
      </c>
      <c r="E518" s="526"/>
      <c r="F518" s="526"/>
      <c r="G518" s="526"/>
      <c r="H518" s="526"/>
      <c r="I518" s="526"/>
      <c r="J518" s="559">
        <f>SUM(I519:I536)</f>
        <v>92.30000000000004</v>
      </c>
      <c r="K518" s="522"/>
      <c r="L518" s="522"/>
      <c r="M518" s="522"/>
      <c r="N518" s="522"/>
      <c r="O518" s="522"/>
      <c r="P518" s="522"/>
      <c r="Q518" s="522"/>
      <c r="R518" s="522"/>
      <c r="S518" s="522"/>
      <c r="T518" s="522"/>
      <c r="U518" s="522"/>
      <c r="V518" s="522"/>
      <c r="W518" s="522"/>
      <c r="X518" s="522"/>
      <c r="Y518" s="522"/>
      <c r="Z518" s="522"/>
    </row>
    <row r="519" spans="1:26" s="523" customFormat="1" ht="15.75" hidden="1" customHeight="1" outlineLevel="1" x14ac:dyDescent="0.2">
      <c r="A519" s="529"/>
      <c r="B519" s="560" t="s">
        <v>715</v>
      </c>
      <c r="C519" s="561"/>
      <c r="D519" s="532" t="s">
        <v>54</v>
      </c>
      <c r="E519" s="28">
        <v>1</v>
      </c>
      <c r="F519" s="28" t="s">
        <v>402</v>
      </c>
      <c r="G519" s="596">
        <v>7.4</v>
      </c>
      <c r="H519" s="28"/>
      <c r="I519" s="532">
        <f t="shared" ref="I519:I535" si="25">PRODUCT(E519:H519)</f>
        <v>7.4</v>
      </c>
      <c r="J519" s="550"/>
      <c r="K519" s="522"/>
      <c r="L519" s="522"/>
      <c r="M519" s="522"/>
      <c r="N519" s="522"/>
      <c r="O519" s="522"/>
      <c r="P519" s="522"/>
      <c r="Q519" s="522"/>
      <c r="R519" s="522"/>
      <c r="S519" s="522"/>
      <c r="T519" s="522"/>
      <c r="U519" s="522"/>
      <c r="V519" s="522"/>
      <c r="W519" s="522"/>
      <c r="X519" s="522"/>
      <c r="Y519" s="522"/>
      <c r="Z519" s="522"/>
    </row>
    <row r="520" spans="1:26" s="523" customFormat="1" ht="15.75" hidden="1" customHeight="1" outlineLevel="1" x14ac:dyDescent="0.2">
      <c r="A520" s="529"/>
      <c r="B520" s="560" t="s">
        <v>668</v>
      </c>
      <c r="C520" s="561"/>
      <c r="D520" s="532" t="s">
        <v>54</v>
      </c>
      <c r="E520" s="28">
        <v>1</v>
      </c>
      <c r="F520" s="28" t="s">
        <v>402</v>
      </c>
      <c r="G520" s="596">
        <v>2.2999999999999998</v>
      </c>
      <c r="H520" s="28"/>
      <c r="I520" s="532">
        <f t="shared" si="25"/>
        <v>2.2999999999999998</v>
      </c>
      <c r="J520" s="551"/>
      <c r="K520" s="522"/>
      <c r="L520" s="522"/>
      <c r="M520" s="522"/>
      <c r="N520" s="522"/>
      <c r="O520" s="522"/>
      <c r="P520" s="522"/>
      <c r="Q520" s="522"/>
      <c r="R520" s="522"/>
      <c r="S520" s="522"/>
      <c r="T520" s="522"/>
      <c r="U520" s="522"/>
      <c r="V520" s="522"/>
      <c r="W520" s="522"/>
      <c r="X520" s="522"/>
      <c r="Y520" s="522"/>
      <c r="Z520" s="522"/>
    </row>
    <row r="521" spans="1:26" s="523" customFormat="1" ht="15.75" hidden="1" customHeight="1" outlineLevel="1" x14ac:dyDescent="0.2">
      <c r="A521" s="529"/>
      <c r="B521" s="560" t="s">
        <v>669</v>
      </c>
      <c r="C521" s="561"/>
      <c r="D521" s="532" t="s">
        <v>54</v>
      </c>
      <c r="E521" s="28">
        <v>1</v>
      </c>
      <c r="F521" s="28" t="s">
        <v>402</v>
      </c>
      <c r="G521" s="596">
        <v>5.7</v>
      </c>
      <c r="H521" s="28"/>
      <c r="I521" s="532">
        <f t="shared" si="25"/>
        <v>5.7</v>
      </c>
      <c r="J521" s="551"/>
      <c r="K521" s="522"/>
      <c r="L521" s="522"/>
      <c r="M521" s="522"/>
      <c r="N521" s="522"/>
      <c r="O521" s="522"/>
      <c r="P521" s="522"/>
      <c r="Q521" s="522"/>
      <c r="R521" s="522"/>
      <c r="S521" s="522"/>
      <c r="T521" s="522"/>
      <c r="U521" s="522"/>
      <c r="V521" s="522"/>
      <c r="W521" s="522"/>
      <c r="X521" s="522"/>
      <c r="Y521" s="522"/>
      <c r="Z521" s="522"/>
    </row>
    <row r="522" spans="1:26" s="523" customFormat="1" ht="15.75" hidden="1" customHeight="1" outlineLevel="1" x14ac:dyDescent="0.2">
      <c r="A522" s="529"/>
      <c r="B522" s="560" t="s">
        <v>670</v>
      </c>
      <c r="C522" s="561"/>
      <c r="D522" s="532" t="s">
        <v>54</v>
      </c>
      <c r="E522" s="28">
        <v>1</v>
      </c>
      <c r="F522" s="28" t="s">
        <v>402</v>
      </c>
      <c r="G522" s="596">
        <v>5.5</v>
      </c>
      <c r="H522" s="28"/>
      <c r="I522" s="532">
        <f t="shared" si="25"/>
        <v>5.5</v>
      </c>
      <c r="J522" s="551"/>
      <c r="K522" s="522"/>
      <c r="L522" s="522"/>
      <c r="M522" s="522"/>
      <c r="N522" s="522"/>
      <c r="O522" s="522"/>
      <c r="P522" s="522"/>
      <c r="Q522" s="522"/>
      <c r="R522" s="522"/>
      <c r="S522" s="522"/>
      <c r="T522" s="522"/>
      <c r="U522" s="522"/>
      <c r="V522" s="522"/>
      <c r="W522" s="522"/>
      <c r="X522" s="522"/>
      <c r="Y522" s="522"/>
      <c r="Z522" s="522"/>
    </row>
    <row r="523" spans="1:26" s="523" customFormat="1" ht="15.75" hidden="1" customHeight="1" outlineLevel="1" x14ac:dyDescent="0.2">
      <c r="A523" s="529"/>
      <c r="B523" s="560" t="s">
        <v>716</v>
      </c>
      <c r="C523" s="561"/>
      <c r="D523" s="532" t="s">
        <v>54</v>
      </c>
      <c r="E523" s="28">
        <v>1</v>
      </c>
      <c r="F523" s="28" t="s">
        <v>402</v>
      </c>
      <c r="G523" s="596">
        <v>5.9</v>
      </c>
      <c r="H523" s="28"/>
      <c r="I523" s="532">
        <f t="shared" si="25"/>
        <v>5.9</v>
      </c>
      <c r="J523" s="551"/>
      <c r="K523" s="522"/>
      <c r="L523" s="522"/>
      <c r="M523" s="522"/>
      <c r="N523" s="522"/>
      <c r="O523" s="522"/>
      <c r="P523" s="522"/>
      <c r="Q523" s="522"/>
      <c r="R523" s="522"/>
      <c r="S523" s="522"/>
      <c r="T523" s="522"/>
      <c r="U523" s="522"/>
      <c r="V523" s="522"/>
      <c r="W523" s="522"/>
      <c r="X523" s="522"/>
      <c r="Y523" s="522"/>
      <c r="Z523" s="522"/>
    </row>
    <row r="524" spans="1:26" s="523" customFormat="1" ht="15.75" hidden="1" customHeight="1" outlineLevel="1" x14ac:dyDescent="0.2">
      <c r="A524" s="529"/>
      <c r="B524" s="560" t="s">
        <v>717</v>
      </c>
      <c r="C524" s="561"/>
      <c r="D524" s="532" t="s">
        <v>54</v>
      </c>
      <c r="E524" s="28">
        <v>1</v>
      </c>
      <c r="F524" s="28" t="s">
        <v>402</v>
      </c>
      <c r="G524" s="596">
        <v>6.4</v>
      </c>
      <c r="H524" s="28"/>
      <c r="I524" s="532">
        <f t="shared" si="25"/>
        <v>6.4</v>
      </c>
      <c r="J524" s="551"/>
      <c r="K524" s="522"/>
      <c r="L524" s="522"/>
      <c r="M524" s="522"/>
      <c r="N524" s="522"/>
      <c r="O524" s="522"/>
      <c r="P524" s="522"/>
      <c r="Q524" s="522"/>
      <c r="R524" s="522"/>
      <c r="S524" s="522"/>
      <c r="T524" s="522"/>
      <c r="U524" s="522"/>
      <c r="V524" s="522"/>
      <c r="W524" s="522"/>
      <c r="X524" s="522"/>
      <c r="Y524" s="522"/>
      <c r="Z524" s="522"/>
    </row>
    <row r="525" spans="1:26" s="523" customFormat="1" ht="15.75" hidden="1" customHeight="1" outlineLevel="1" x14ac:dyDescent="0.2">
      <c r="A525" s="529"/>
      <c r="B525" s="560" t="s">
        <v>718</v>
      </c>
      <c r="C525" s="561"/>
      <c r="D525" s="532" t="s">
        <v>54</v>
      </c>
      <c r="E525" s="28">
        <v>1</v>
      </c>
      <c r="F525" s="28" t="s">
        <v>402</v>
      </c>
      <c r="G525" s="596">
        <v>5.6</v>
      </c>
      <c r="H525" s="28"/>
      <c r="I525" s="532">
        <f t="shared" si="25"/>
        <v>5.6</v>
      </c>
      <c r="J525" s="551"/>
      <c r="K525" s="522"/>
      <c r="L525" s="522"/>
      <c r="M525" s="522"/>
      <c r="N525" s="522"/>
      <c r="O525" s="522"/>
      <c r="P525" s="522"/>
      <c r="Q525" s="522"/>
      <c r="R525" s="522"/>
      <c r="S525" s="522"/>
      <c r="T525" s="522"/>
      <c r="U525" s="522"/>
      <c r="V525" s="522"/>
      <c r="W525" s="522"/>
      <c r="X525" s="522"/>
      <c r="Y525" s="522"/>
      <c r="Z525" s="522"/>
    </row>
    <row r="526" spans="1:26" s="523" customFormat="1" ht="15.75" hidden="1" customHeight="1" outlineLevel="1" x14ac:dyDescent="0.2">
      <c r="A526" s="529"/>
      <c r="B526" s="560" t="s">
        <v>719</v>
      </c>
      <c r="C526" s="561"/>
      <c r="D526" s="532" t="s">
        <v>54</v>
      </c>
      <c r="E526" s="28">
        <v>1</v>
      </c>
      <c r="F526" s="28" t="s">
        <v>402</v>
      </c>
      <c r="G526" s="596">
        <v>5.6</v>
      </c>
      <c r="H526" s="28"/>
      <c r="I526" s="532">
        <f t="shared" si="25"/>
        <v>5.6</v>
      </c>
      <c r="J526" s="551"/>
      <c r="K526" s="522"/>
      <c r="L526" s="522"/>
      <c r="M526" s="522"/>
      <c r="N526" s="522"/>
      <c r="O526" s="522"/>
      <c r="P526" s="522"/>
      <c r="Q526" s="522"/>
      <c r="R526" s="522"/>
      <c r="S526" s="522"/>
      <c r="T526" s="522"/>
      <c r="U526" s="522"/>
      <c r="V526" s="522"/>
      <c r="W526" s="522"/>
      <c r="X526" s="522"/>
      <c r="Y526" s="522"/>
      <c r="Z526" s="522"/>
    </row>
    <row r="527" spans="1:26" s="523" customFormat="1" ht="15.75" hidden="1" customHeight="1" outlineLevel="1" x14ac:dyDescent="0.2">
      <c r="A527" s="529"/>
      <c r="B527" s="560" t="s">
        <v>720</v>
      </c>
      <c r="C527" s="561"/>
      <c r="D527" s="532" t="s">
        <v>54</v>
      </c>
      <c r="E527" s="28">
        <v>1</v>
      </c>
      <c r="F527" s="28" t="s">
        <v>402</v>
      </c>
      <c r="G527" s="596">
        <v>8.1</v>
      </c>
      <c r="H527" s="28"/>
      <c r="I527" s="532">
        <f t="shared" si="25"/>
        <v>8.1</v>
      </c>
      <c r="J527" s="597"/>
      <c r="K527" s="522"/>
      <c r="L527" s="522"/>
      <c r="M527" s="522"/>
      <c r="N527" s="522"/>
      <c r="O527" s="522"/>
      <c r="P527" s="522"/>
      <c r="Q527" s="522"/>
      <c r="R527" s="522"/>
      <c r="S527" s="522"/>
      <c r="T527" s="522"/>
      <c r="U527" s="522"/>
      <c r="V527" s="522"/>
      <c r="W527" s="522"/>
      <c r="X527" s="522"/>
      <c r="Y527" s="522"/>
      <c r="Z527" s="522"/>
    </row>
    <row r="528" spans="1:26" s="523" customFormat="1" ht="15.75" hidden="1" customHeight="1" outlineLevel="1" x14ac:dyDescent="0.2">
      <c r="A528" s="529"/>
      <c r="B528" s="560" t="s">
        <v>721</v>
      </c>
      <c r="C528" s="561"/>
      <c r="D528" s="532" t="s">
        <v>54</v>
      </c>
      <c r="E528" s="28">
        <v>1</v>
      </c>
      <c r="F528" s="28" t="s">
        <v>402</v>
      </c>
      <c r="G528" s="596">
        <v>6</v>
      </c>
      <c r="H528" s="28"/>
      <c r="I528" s="532">
        <f t="shared" si="25"/>
        <v>6</v>
      </c>
      <c r="J528" s="551"/>
      <c r="K528" s="522"/>
      <c r="L528" s="522"/>
      <c r="M528" s="522"/>
      <c r="N528" s="522"/>
      <c r="O528" s="522"/>
      <c r="P528" s="522"/>
      <c r="Q528" s="522"/>
      <c r="R528" s="522"/>
      <c r="S528" s="522"/>
      <c r="T528" s="522"/>
      <c r="U528" s="522"/>
      <c r="V528" s="522"/>
      <c r="W528" s="522"/>
      <c r="X528" s="522"/>
      <c r="Y528" s="522"/>
      <c r="Z528" s="522"/>
    </row>
    <row r="529" spans="1:26" s="523" customFormat="1" ht="15.75" hidden="1" customHeight="1" outlineLevel="1" x14ac:dyDescent="0.2">
      <c r="A529" s="529"/>
      <c r="B529" s="560" t="s">
        <v>722</v>
      </c>
      <c r="C529" s="561"/>
      <c r="D529" s="532" t="s">
        <v>54</v>
      </c>
      <c r="E529" s="28">
        <v>1</v>
      </c>
      <c r="F529" s="28" t="s">
        <v>402</v>
      </c>
      <c r="G529" s="596">
        <v>6.4</v>
      </c>
      <c r="H529" s="28"/>
      <c r="I529" s="532">
        <f t="shared" si="25"/>
        <v>6.4</v>
      </c>
      <c r="J529" s="551"/>
      <c r="K529" s="522"/>
      <c r="L529" s="522"/>
      <c r="M529" s="522"/>
      <c r="N529" s="522"/>
      <c r="O529" s="522"/>
      <c r="P529" s="522"/>
      <c r="Q529" s="522"/>
      <c r="R529" s="522"/>
      <c r="S529" s="522"/>
      <c r="T529" s="522"/>
      <c r="U529" s="522"/>
      <c r="V529" s="522"/>
      <c r="W529" s="522"/>
      <c r="X529" s="522"/>
      <c r="Y529" s="522"/>
      <c r="Z529" s="522"/>
    </row>
    <row r="530" spans="1:26" s="523" customFormat="1" ht="15.75" hidden="1" customHeight="1" outlineLevel="1" x14ac:dyDescent="0.2">
      <c r="A530" s="529"/>
      <c r="B530" s="560" t="s">
        <v>723</v>
      </c>
      <c r="C530" s="561"/>
      <c r="D530" s="532" t="s">
        <v>54</v>
      </c>
      <c r="E530" s="28">
        <v>1</v>
      </c>
      <c r="F530" s="28" t="s">
        <v>402</v>
      </c>
      <c r="G530" s="596">
        <v>2.4</v>
      </c>
      <c r="H530" s="28"/>
      <c r="I530" s="532">
        <f t="shared" si="25"/>
        <v>2.4</v>
      </c>
      <c r="J530" s="551"/>
      <c r="K530" s="522"/>
      <c r="L530" s="522"/>
      <c r="M530" s="522"/>
      <c r="N530" s="522"/>
      <c r="O530" s="522"/>
      <c r="P530" s="522"/>
      <c r="Q530" s="522"/>
      <c r="R530" s="522"/>
      <c r="S530" s="522"/>
      <c r="T530" s="522"/>
      <c r="U530" s="522"/>
      <c r="V530" s="522"/>
      <c r="W530" s="522"/>
      <c r="X530" s="522"/>
      <c r="Y530" s="522"/>
      <c r="Z530" s="522"/>
    </row>
    <row r="531" spans="1:26" s="523" customFormat="1" ht="15.75" hidden="1" customHeight="1" outlineLevel="1" x14ac:dyDescent="0.2">
      <c r="A531" s="529"/>
      <c r="B531" s="560" t="s">
        <v>724</v>
      </c>
      <c r="C531" s="561"/>
      <c r="D531" s="532" t="s">
        <v>54</v>
      </c>
      <c r="E531" s="28">
        <v>1</v>
      </c>
      <c r="F531" s="28" t="s">
        <v>402</v>
      </c>
      <c r="G531" s="596">
        <v>5.9</v>
      </c>
      <c r="H531" s="28"/>
      <c r="I531" s="532">
        <f t="shared" si="25"/>
        <v>5.9</v>
      </c>
      <c r="J531" s="551"/>
      <c r="K531" s="522"/>
      <c r="L531" s="522"/>
      <c r="M531" s="522"/>
      <c r="N531" s="522"/>
      <c r="O531" s="522"/>
      <c r="P531" s="522"/>
      <c r="Q531" s="522"/>
      <c r="R531" s="522"/>
      <c r="S531" s="522"/>
      <c r="T531" s="522"/>
      <c r="U531" s="522"/>
      <c r="V531" s="522"/>
      <c r="W531" s="522"/>
      <c r="X531" s="522"/>
      <c r="Y531" s="522"/>
      <c r="Z531" s="522"/>
    </row>
    <row r="532" spans="1:26" s="523" customFormat="1" ht="15.75" hidden="1" customHeight="1" outlineLevel="1" x14ac:dyDescent="0.2">
      <c r="A532" s="529"/>
      <c r="B532" s="560" t="s">
        <v>725</v>
      </c>
      <c r="C532" s="561"/>
      <c r="D532" s="532" t="s">
        <v>54</v>
      </c>
      <c r="E532" s="28">
        <v>1</v>
      </c>
      <c r="F532" s="28" t="s">
        <v>402</v>
      </c>
      <c r="G532" s="596">
        <v>5.9</v>
      </c>
      <c r="H532" s="28"/>
      <c r="I532" s="532">
        <f t="shared" si="25"/>
        <v>5.9</v>
      </c>
      <c r="J532" s="551"/>
      <c r="K532" s="522"/>
      <c r="L532" s="522"/>
      <c r="M532" s="522"/>
      <c r="N532" s="522"/>
      <c r="O532" s="522"/>
      <c r="P532" s="522"/>
      <c r="Q532" s="522"/>
      <c r="R532" s="522"/>
      <c r="S532" s="522"/>
      <c r="T532" s="522"/>
      <c r="U532" s="522"/>
      <c r="V532" s="522"/>
      <c r="W532" s="522"/>
      <c r="X532" s="522"/>
      <c r="Y532" s="522"/>
      <c r="Z532" s="522"/>
    </row>
    <row r="533" spans="1:26" s="523" customFormat="1" ht="15.75" hidden="1" customHeight="1" outlineLevel="1" x14ac:dyDescent="0.2">
      <c r="A533" s="529"/>
      <c r="B533" s="560" t="s">
        <v>726</v>
      </c>
      <c r="C533" s="561"/>
      <c r="D533" s="532" t="s">
        <v>54</v>
      </c>
      <c r="E533" s="28">
        <v>1</v>
      </c>
      <c r="F533" s="28" t="s">
        <v>402</v>
      </c>
      <c r="G533" s="596">
        <v>5.4</v>
      </c>
      <c r="H533" s="28"/>
      <c r="I533" s="532">
        <f t="shared" si="25"/>
        <v>5.4</v>
      </c>
      <c r="J533" s="551"/>
      <c r="K533" s="522"/>
      <c r="L533" s="522"/>
      <c r="M533" s="522"/>
      <c r="N533" s="522"/>
      <c r="O533" s="522"/>
      <c r="P533" s="522"/>
      <c r="Q533" s="522"/>
      <c r="R533" s="522"/>
      <c r="S533" s="522"/>
      <c r="T533" s="522"/>
      <c r="U533" s="522"/>
      <c r="V533" s="522"/>
      <c r="W533" s="522"/>
      <c r="X533" s="522"/>
      <c r="Y533" s="522"/>
      <c r="Z533" s="522"/>
    </row>
    <row r="534" spans="1:26" s="523" customFormat="1" ht="15.75" hidden="1" customHeight="1" outlineLevel="1" x14ac:dyDescent="0.2">
      <c r="A534" s="529"/>
      <c r="B534" s="560" t="s">
        <v>727</v>
      </c>
      <c r="C534" s="561"/>
      <c r="D534" s="532" t="s">
        <v>54</v>
      </c>
      <c r="E534" s="28">
        <v>1</v>
      </c>
      <c r="F534" s="28" t="s">
        <v>402</v>
      </c>
      <c r="G534" s="596">
        <v>5.9</v>
      </c>
      <c r="H534" s="28"/>
      <c r="I534" s="532">
        <f t="shared" si="25"/>
        <v>5.9</v>
      </c>
      <c r="J534" s="551"/>
      <c r="K534" s="522"/>
      <c r="L534" s="522"/>
      <c r="M534" s="522"/>
      <c r="N534" s="522"/>
      <c r="O534" s="522"/>
      <c r="P534" s="522"/>
      <c r="Q534" s="522"/>
      <c r="R534" s="522"/>
      <c r="S534" s="522"/>
      <c r="T534" s="522"/>
      <c r="U534" s="522"/>
      <c r="V534" s="522"/>
      <c r="W534" s="522"/>
      <c r="X534" s="522"/>
      <c r="Y534" s="522"/>
      <c r="Z534" s="522"/>
    </row>
    <row r="535" spans="1:26" s="523" customFormat="1" ht="15.75" hidden="1" customHeight="1" outlineLevel="1" x14ac:dyDescent="0.2">
      <c r="A535" s="529"/>
      <c r="B535" s="560" t="s">
        <v>728</v>
      </c>
      <c r="C535" s="561"/>
      <c r="D535" s="532" t="s">
        <v>54</v>
      </c>
      <c r="E535" s="28">
        <v>1</v>
      </c>
      <c r="F535" s="28" t="s">
        <v>402</v>
      </c>
      <c r="G535" s="596">
        <v>1.9</v>
      </c>
      <c r="H535" s="28"/>
      <c r="I535" s="532">
        <f t="shared" si="25"/>
        <v>1.9</v>
      </c>
      <c r="J535" s="551"/>
      <c r="K535" s="522"/>
      <c r="L535" s="522"/>
      <c r="M535" s="522"/>
      <c r="N535" s="522"/>
      <c r="O535" s="522"/>
      <c r="P535" s="522"/>
      <c r="Q535" s="522"/>
      <c r="R535" s="522"/>
      <c r="S535" s="522"/>
      <c r="T535" s="522"/>
      <c r="U535" s="522"/>
      <c r="V535" s="522"/>
      <c r="W535" s="522"/>
      <c r="X535" s="522"/>
      <c r="Y535" s="522"/>
      <c r="Z535" s="522"/>
    </row>
    <row r="536" spans="1:26" s="523" customFormat="1" ht="15.75" hidden="1" customHeight="1" outlineLevel="1" x14ac:dyDescent="0.2">
      <c r="A536" s="148"/>
      <c r="B536" s="562"/>
      <c r="C536" s="563"/>
      <c r="D536" s="535"/>
      <c r="E536" s="529"/>
      <c r="F536" s="148"/>
      <c r="G536" s="148"/>
      <c r="H536" s="148"/>
      <c r="I536" s="148"/>
      <c r="J536" s="564"/>
      <c r="K536" s="565"/>
      <c r="L536" s="522"/>
      <c r="M536" s="522"/>
      <c r="N536" s="522"/>
      <c r="O536" s="522"/>
      <c r="P536" s="522"/>
      <c r="Q536" s="522"/>
      <c r="R536" s="522"/>
      <c r="S536" s="522"/>
      <c r="T536" s="522"/>
      <c r="U536" s="522"/>
      <c r="V536" s="522"/>
      <c r="W536" s="522"/>
      <c r="X536" s="522"/>
      <c r="Y536" s="522"/>
      <c r="Z536" s="522"/>
    </row>
    <row r="537" spans="1:26" s="523" customFormat="1" ht="15.75" customHeight="1" collapsed="1" x14ac:dyDescent="0.2">
      <c r="A537" s="526" t="s">
        <v>424</v>
      </c>
      <c r="B537" s="548" t="s">
        <v>413</v>
      </c>
      <c r="C537" s="527"/>
      <c r="D537" s="526" t="s">
        <v>408</v>
      </c>
      <c r="E537" s="526"/>
      <c r="F537" s="526"/>
      <c r="G537" s="526"/>
      <c r="H537" s="526"/>
      <c r="I537" s="526"/>
      <c r="J537" s="528">
        <f>SUM(I538:I545)</f>
        <v>107.23689999999999</v>
      </c>
      <c r="K537" s="522"/>
      <c r="L537" s="522"/>
      <c r="M537" s="522"/>
      <c r="N537" s="522"/>
      <c r="O537" s="522"/>
      <c r="P537" s="522"/>
      <c r="Q537" s="522"/>
      <c r="R537" s="522"/>
      <c r="S537" s="522"/>
      <c r="T537" s="522"/>
      <c r="U537" s="522"/>
      <c r="V537" s="522"/>
      <c r="W537" s="522"/>
      <c r="X537" s="522"/>
      <c r="Y537" s="522"/>
      <c r="Z537" s="522"/>
    </row>
    <row r="538" spans="1:26" s="523" customFormat="1" ht="15.75" hidden="1" customHeight="1" outlineLevel="1" x14ac:dyDescent="0.2">
      <c r="A538" s="566"/>
      <c r="B538" s="567" t="s">
        <v>673</v>
      </c>
      <c r="C538" s="568"/>
      <c r="D538" s="166" t="s">
        <v>38</v>
      </c>
      <c r="E538" s="148">
        <v>1</v>
      </c>
      <c r="F538" s="148" t="s">
        <v>49</v>
      </c>
      <c r="G538" s="148">
        <v>13.955</v>
      </c>
      <c r="H538" s="566"/>
      <c r="I538" s="532">
        <f t="shared" ref="I538:I544" si="26">PRODUCT(E538:H538)</f>
        <v>13.955</v>
      </c>
      <c r="J538" s="569"/>
      <c r="K538" s="522"/>
      <c r="L538" s="522"/>
      <c r="M538" s="522"/>
      <c r="N538" s="522"/>
      <c r="O538" s="522"/>
      <c r="P538" s="522"/>
      <c r="Q538" s="522"/>
      <c r="R538" s="522"/>
      <c r="S538" s="522"/>
      <c r="T538" s="522"/>
      <c r="U538" s="522"/>
      <c r="V538" s="522"/>
      <c r="W538" s="522"/>
      <c r="X538" s="522"/>
      <c r="Y538" s="522"/>
      <c r="Z538" s="522"/>
    </row>
    <row r="539" spans="1:26" s="523" customFormat="1" ht="15.75" hidden="1" customHeight="1" outlineLevel="1" x14ac:dyDescent="0.2">
      <c r="A539" s="566"/>
      <c r="B539" s="570" t="s">
        <v>674</v>
      </c>
      <c r="C539" s="571"/>
      <c r="D539" s="166" t="s">
        <v>38</v>
      </c>
      <c r="E539" s="148">
        <v>1</v>
      </c>
      <c r="F539" s="148" t="s">
        <v>49</v>
      </c>
      <c r="G539" s="148">
        <v>18.546900000000001</v>
      </c>
      <c r="H539" s="566"/>
      <c r="I539" s="532">
        <f t="shared" si="26"/>
        <v>18.546900000000001</v>
      </c>
      <c r="J539" s="572"/>
      <c r="K539" s="522"/>
      <c r="L539" s="522"/>
      <c r="M539" s="522"/>
      <c r="N539" s="522"/>
      <c r="O539" s="522"/>
      <c r="P539" s="522"/>
      <c r="Q539" s="522"/>
      <c r="R539" s="522"/>
      <c r="S539" s="522"/>
      <c r="T539" s="522"/>
      <c r="U539" s="522"/>
      <c r="V539" s="522"/>
      <c r="W539" s="522"/>
      <c r="X539" s="522"/>
      <c r="Y539" s="522"/>
      <c r="Z539" s="522"/>
    </row>
    <row r="540" spans="1:26" s="523" customFormat="1" ht="15.75" hidden="1" customHeight="1" outlineLevel="1" x14ac:dyDescent="0.2">
      <c r="A540" s="566"/>
      <c r="B540" s="570" t="s">
        <v>675</v>
      </c>
      <c r="C540" s="571"/>
      <c r="D540" s="166" t="s">
        <v>38</v>
      </c>
      <c r="E540" s="148">
        <v>1</v>
      </c>
      <c r="F540" s="148" t="s">
        <v>49</v>
      </c>
      <c r="G540" s="148">
        <v>17.342500000000001</v>
      </c>
      <c r="H540" s="566"/>
      <c r="I540" s="532">
        <f t="shared" si="26"/>
        <v>17.342500000000001</v>
      </c>
      <c r="J540" s="572"/>
      <c r="K540" s="522"/>
      <c r="L540" s="522"/>
      <c r="M540" s="522"/>
      <c r="N540" s="522"/>
      <c r="O540" s="522"/>
      <c r="P540" s="522"/>
      <c r="Q540" s="522"/>
      <c r="R540" s="522"/>
      <c r="S540" s="522"/>
      <c r="T540" s="522"/>
      <c r="U540" s="522"/>
      <c r="V540" s="522"/>
      <c r="W540" s="522"/>
      <c r="X540" s="522"/>
      <c r="Y540" s="522"/>
      <c r="Z540" s="522"/>
    </row>
    <row r="541" spans="1:26" s="523" customFormat="1" ht="15.75" hidden="1" customHeight="1" outlineLevel="1" x14ac:dyDescent="0.2">
      <c r="A541" s="566"/>
      <c r="B541" s="567" t="s">
        <v>676</v>
      </c>
      <c r="C541" s="571"/>
      <c r="D541" s="166" t="s">
        <v>38</v>
      </c>
      <c r="E541" s="148">
        <v>1</v>
      </c>
      <c r="F541" s="148" t="s">
        <v>49</v>
      </c>
      <c r="G541" s="148">
        <v>3.69</v>
      </c>
      <c r="H541" s="566"/>
      <c r="I541" s="532">
        <f t="shared" si="26"/>
        <v>3.69</v>
      </c>
      <c r="J541" s="572"/>
      <c r="K541" s="522"/>
      <c r="L541" s="522"/>
      <c r="M541" s="522"/>
      <c r="N541" s="522"/>
      <c r="O541" s="522"/>
      <c r="P541" s="522"/>
      <c r="Q541" s="522"/>
      <c r="R541" s="522"/>
      <c r="S541" s="522"/>
      <c r="T541" s="522"/>
      <c r="U541" s="522"/>
      <c r="V541" s="522"/>
      <c r="W541" s="522"/>
      <c r="X541" s="522"/>
      <c r="Y541" s="522"/>
      <c r="Z541" s="522"/>
    </row>
    <row r="542" spans="1:26" s="523" customFormat="1" ht="15.75" hidden="1" customHeight="1" outlineLevel="1" x14ac:dyDescent="0.2">
      <c r="A542" s="566"/>
      <c r="B542" s="570" t="s">
        <v>677</v>
      </c>
      <c r="C542" s="571"/>
      <c r="D542" s="166" t="s">
        <v>38</v>
      </c>
      <c r="E542" s="148">
        <v>1</v>
      </c>
      <c r="F542" s="148" t="s">
        <v>49</v>
      </c>
      <c r="G542" s="148">
        <v>26.34</v>
      </c>
      <c r="H542" s="566"/>
      <c r="I542" s="532">
        <f t="shared" si="26"/>
        <v>26.34</v>
      </c>
      <c r="J542" s="572"/>
      <c r="K542" s="522"/>
      <c r="L542" s="522"/>
      <c r="M542" s="522"/>
      <c r="N542" s="522"/>
      <c r="O542" s="522"/>
      <c r="P542" s="522"/>
      <c r="Q542" s="522"/>
      <c r="R542" s="522"/>
      <c r="S542" s="522"/>
      <c r="T542" s="522"/>
      <c r="U542" s="522"/>
      <c r="V542" s="522"/>
      <c r="W542" s="522"/>
      <c r="X542" s="522"/>
      <c r="Y542" s="522"/>
      <c r="Z542" s="522"/>
    </row>
    <row r="543" spans="1:26" s="523" customFormat="1" ht="15.75" hidden="1" customHeight="1" outlineLevel="1" x14ac:dyDescent="0.2">
      <c r="A543" s="566"/>
      <c r="B543" s="570" t="s">
        <v>678</v>
      </c>
      <c r="C543" s="573"/>
      <c r="D543" s="166" t="s">
        <v>38</v>
      </c>
      <c r="E543" s="148">
        <v>1</v>
      </c>
      <c r="F543" s="148" t="s">
        <v>49</v>
      </c>
      <c r="G543" s="148">
        <v>14.92</v>
      </c>
      <c r="H543" s="566"/>
      <c r="I543" s="532">
        <f t="shared" si="26"/>
        <v>14.92</v>
      </c>
      <c r="J543" s="572"/>
      <c r="K543" s="522"/>
      <c r="L543" s="522"/>
      <c r="M543" s="522"/>
      <c r="N543" s="522"/>
      <c r="O543" s="522"/>
      <c r="P543" s="522"/>
      <c r="Q543" s="522"/>
      <c r="R543" s="522"/>
      <c r="S543" s="522"/>
      <c r="T543" s="522"/>
      <c r="U543" s="522"/>
      <c r="V543" s="522"/>
      <c r="W543" s="522"/>
      <c r="X543" s="522"/>
      <c r="Y543" s="522"/>
      <c r="Z543" s="522"/>
    </row>
    <row r="544" spans="1:26" s="523" customFormat="1" ht="15.75" hidden="1" customHeight="1" outlineLevel="1" x14ac:dyDescent="0.2">
      <c r="A544" s="566"/>
      <c r="B544" s="567" t="s">
        <v>679</v>
      </c>
      <c r="C544" s="352"/>
      <c r="D544" s="166" t="s">
        <v>38</v>
      </c>
      <c r="E544" s="148">
        <v>1</v>
      </c>
      <c r="F544" s="28" t="s">
        <v>49</v>
      </c>
      <c r="G544" s="148">
        <v>12.442500000000001</v>
      </c>
      <c r="H544" s="566"/>
      <c r="I544" s="532">
        <f t="shared" si="26"/>
        <v>12.442500000000001</v>
      </c>
      <c r="J544" s="572"/>
      <c r="K544" s="522"/>
      <c r="L544" s="522"/>
      <c r="M544" s="522"/>
      <c r="N544" s="522"/>
      <c r="O544" s="522"/>
      <c r="P544" s="522"/>
      <c r="Q544" s="522"/>
      <c r="R544" s="522"/>
      <c r="S544" s="522"/>
      <c r="T544" s="522"/>
      <c r="U544" s="522"/>
      <c r="V544" s="522"/>
      <c r="W544" s="522"/>
      <c r="X544" s="522"/>
      <c r="Y544" s="522"/>
      <c r="Z544" s="522"/>
    </row>
    <row r="545" spans="1:26" s="523" customFormat="1" ht="15.75" hidden="1" customHeight="1" outlineLevel="1" x14ac:dyDescent="0.2">
      <c r="A545" s="575"/>
      <c r="B545" s="574"/>
      <c r="C545" s="353"/>
      <c r="D545" s="576"/>
      <c r="E545" s="577"/>
      <c r="F545" s="28"/>
      <c r="G545" s="577"/>
      <c r="H545" s="566"/>
      <c r="I545" s="532"/>
      <c r="J545" s="572"/>
      <c r="K545" s="522"/>
      <c r="L545" s="522"/>
      <c r="M545" s="522"/>
      <c r="N545" s="522"/>
      <c r="O545" s="522"/>
      <c r="P545" s="522"/>
      <c r="Q545" s="522"/>
      <c r="R545" s="522"/>
      <c r="S545" s="522"/>
      <c r="T545" s="522"/>
      <c r="U545" s="522"/>
      <c r="V545" s="522"/>
      <c r="W545" s="522"/>
      <c r="X545" s="522"/>
      <c r="Y545" s="522"/>
      <c r="Z545" s="522"/>
    </row>
    <row r="546" spans="1:26" s="523" customFormat="1" ht="15" customHeight="1" collapsed="1" x14ac:dyDescent="0.2">
      <c r="A546" s="526" t="s">
        <v>427</v>
      </c>
      <c r="B546" s="578" t="s">
        <v>428</v>
      </c>
      <c r="C546" s="579"/>
      <c r="D546" s="526" t="s">
        <v>408</v>
      </c>
      <c r="E546" s="526"/>
      <c r="F546" s="526"/>
      <c r="G546" s="526"/>
      <c r="H546" s="526"/>
      <c r="I546" s="526"/>
      <c r="J546" s="528">
        <f>SUM(I547:I548)</f>
        <v>120.6846</v>
      </c>
    </row>
    <row r="547" spans="1:26" s="523" customFormat="1" ht="15" hidden="1" customHeight="1" outlineLevel="1" x14ac:dyDescent="0.2">
      <c r="A547" s="580"/>
      <c r="B547" s="358" t="s">
        <v>505</v>
      </c>
      <c r="C547" s="536"/>
      <c r="D547" s="148" t="s">
        <v>38</v>
      </c>
      <c r="E547" s="28">
        <v>1</v>
      </c>
      <c r="F547" s="28" t="s">
        <v>49</v>
      </c>
      <c r="G547" s="28">
        <v>120.6846</v>
      </c>
      <c r="H547" s="28"/>
      <c r="I547" s="532">
        <f>PRODUCT(E547:H547)</f>
        <v>120.6846</v>
      </c>
      <c r="J547" s="550"/>
    </row>
    <row r="548" spans="1:26" s="523" customFormat="1" ht="15" hidden="1" customHeight="1" outlineLevel="1" x14ac:dyDescent="0.2">
      <c r="A548" s="580"/>
      <c r="B548" s="358"/>
      <c r="C548" s="536"/>
      <c r="D548" s="148"/>
      <c r="E548" s="28"/>
      <c r="F548" s="28"/>
      <c r="G548" s="28"/>
      <c r="H548" s="28"/>
      <c r="I548" s="532"/>
      <c r="J548" s="582"/>
    </row>
    <row r="549" spans="1:26" s="523" customFormat="1" ht="15.75" customHeight="1" collapsed="1" x14ac:dyDescent="0.2">
      <c r="A549" s="583" t="s">
        <v>425</v>
      </c>
      <c r="B549" s="584" t="s">
        <v>414</v>
      </c>
      <c r="C549" s="585"/>
      <c r="D549" s="586" t="s">
        <v>408</v>
      </c>
      <c r="E549" s="526"/>
      <c r="F549" s="526"/>
      <c r="G549" s="526"/>
      <c r="H549" s="526"/>
      <c r="I549" s="526"/>
      <c r="J549" s="587">
        <f>SUM(I550:I558)</f>
        <v>18.216000000000001</v>
      </c>
      <c r="K549" s="522"/>
      <c r="L549" s="522"/>
      <c r="M549" s="522"/>
      <c r="N549" s="522"/>
      <c r="O549" s="522"/>
      <c r="P549" s="522"/>
      <c r="Q549" s="522"/>
      <c r="R549" s="522"/>
      <c r="S549" s="522"/>
      <c r="T549" s="522"/>
      <c r="U549" s="522"/>
      <c r="V549" s="522"/>
      <c r="W549" s="522"/>
      <c r="X549" s="522"/>
      <c r="Y549" s="522"/>
      <c r="Z549" s="522"/>
    </row>
    <row r="550" spans="1:26" s="523" customFormat="1" ht="15.75" hidden="1" customHeight="1" outlineLevel="1" x14ac:dyDescent="0.2">
      <c r="A550" s="588" t="s">
        <v>240</v>
      </c>
      <c r="B550" s="358" t="s">
        <v>384</v>
      </c>
      <c r="C550" s="536"/>
      <c r="D550" s="166" t="s">
        <v>38</v>
      </c>
      <c r="E550" s="28">
        <v>1</v>
      </c>
      <c r="F550" s="28">
        <v>1.2</v>
      </c>
      <c r="G550" s="596"/>
      <c r="H550" s="598">
        <v>2</v>
      </c>
      <c r="I550" s="532">
        <f t="shared" ref="I550:I557" si="27">PRODUCT(E550:H550)</f>
        <v>2.4</v>
      </c>
      <c r="J550" s="569"/>
      <c r="K550" s="522"/>
      <c r="L550" s="522"/>
      <c r="M550" s="522"/>
      <c r="N550" s="522"/>
      <c r="O550" s="522"/>
      <c r="P550" s="522"/>
      <c r="Q550" s="522"/>
      <c r="R550" s="522"/>
      <c r="S550" s="522"/>
      <c r="T550" s="522"/>
      <c r="U550" s="522"/>
      <c r="V550" s="522"/>
      <c r="W550" s="522"/>
      <c r="X550" s="522"/>
      <c r="Y550" s="522"/>
      <c r="Z550" s="522"/>
    </row>
    <row r="551" spans="1:26" s="523" customFormat="1" ht="15.75" hidden="1" customHeight="1" outlineLevel="1" x14ac:dyDescent="0.2">
      <c r="A551" s="588"/>
      <c r="B551" s="358" t="s">
        <v>682</v>
      </c>
      <c r="C551" s="536"/>
      <c r="D551" s="166" t="s">
        <v>38</v>
      </c>
      <c r="E551" s="28">
        <v>7</v>
      </c>
      <c r="F551" s="28">
        <v>1.2</v>
      </c>
      <c r="G551" s="596"/>
      <c r="H551" s="598">
        <v>0.25</v>
      </c>
      <c r="I551" s="532">
        <f t="shared" si="27"/>
        <v>2.1</v>
      </c>
      <c r="J551" s="572"/>
      <c r="K551" s="522"/>
      <c r="L551" s="522"/>
      <c r="M551" s="522"/>
      <c r="N551" s="522"/>
      <c r="O551" s="522"/>
      <c r="P551" s="522"/>
      <c r="Q551" s="522"/>
      <c r="R551" s="522"/>
      <c r="S551" s="522"/>
      <c r="T551" s="522"/>
      <c r="U551" s="522"/>
      <c r="V551" s="522"/>
      <c r="W551" s="522"/>
      <c r="X551" s="522"/>
      <c r="Y551" s="522"/>
      <c r="Z551" s="522"/>
    </row>
    <row r="552" spans="1:26" s="523" customFormat="1" ht="15.75" hidden="1" customHeight="1" outlineLevel="1" x14ac:dyDescent="0.2">
      <c r="A552" s="588"/>
      <c r="B552" s="358" t="s">
        <v>683</v>
      </c>
      <c r="C552" s="536"/>
      <c r="D552" s="166" t="s">
        <v>38</v>
      </c>
      <c r="E552" s="28">
        <v>8</v>
      </c>
      <c r="F552" s="28">
        <v>1.2</v>
      </c>
      <c r="G552" s="596"/>
      <c r="H552" s="598">
        <v>0.18</v>
      </c>
      <c r="I552" s="532">
        <f t="shared" si="27"/>
        <v>1.728</v>
      </c>
      <c r="J552" s="572"/>
      <c r="K552" s="522"/>
      <c r="L552" s="522"/>
      <c r="M552" s="522"/>
      <c r="N552" s="522"/>
      <c r="O552" s="522"/>
      <c r="P552" s="522"/>
      <c r="Q552" s="522"/>
      <c r="R552" s="522"/>
      <c r="S552" s="522"/>
      <c r="T552" s="522"/>
      <c r="U552" s="522"/>
      <c r="V552" s="522"/>
      <c r="W552" s="522"/>
      <c r="X552" s="522"/>
      <c r="Y552" s="522"/>
      <c r="Z552" s="522"/>
    </row>
    <row r="553" spans="1:26" s="523" customFormat="1" ht="15.75" hidden="1" customHeight="1" outlineLevel="1" x14ac:dyDescent="0.2">
      <c r="A553" s="588" t="s">
        <v>684</v>
      </c>
      <c r="B553" s="358" t="s">
        <v>384</v>
      </c>
      <c r="C553" s="536"/>
      <c r="D553" s="166" t="s">
        <v>38</v>
      </c>
      <c r="E553" s="28">
        <v>1</v>
      </c>
      <c r="F553" s="28">
        <v>1.2</v>
      </c>
      <c r="G553" s="596"/>
      <c r="H553" s="598">
        <v>2.4</v>
      </c>
      <c r="I553" s="532">
        <f t="shared" si="27"/>
        <v>2.88</v>
      </c>
      <c r="J553" s="572"/>
      <c r="K553" s="522"/>
      <c r="L553" s="522"/>
      <c r="M553" s="522"/>
      <c r="N553" s="522"/>
      <c r="O553" s="522"/>
      <c r="P553" s="522"/>
      <c r="Q553" s="522"/>
      <c r="R553" s="522"/>
      <c r="S553" s="522"/>
      <c r="T553" s="522"/>
      <c r="U553" s="522"/>
      <c r="V553" s="522"/>
      <c r="W553" s="522"/>
      <c r="X553" s="522"/>
      <c r="Y553" s="522"/>
      <c r="Z553" s="522"/>
    </row>
    <row r="554" spans="1:26" s="523" customFormat="1" ht="15.75" hidden="1" customHeight="1" outlineLevel="1" x14ac:dyDescent="0.2">
      <c r="A554" s="588"/>
      <c r="B554" s="358" t="s">
        <v>685</v>
      </c>
      <c r="C554" s="536"/>
      <c r="D554" s="166" t="s">
        <v>38</v>
      </c>
      <c r="E554" s="28">
        <v>1</v>
      </c>
      <c r="F554" s="28">
        <v>1.2</v>
      </c>
      <c r="G554" s="596"/>
      <c r="H554" s="598">
        <v>2.4</v>
      </c>
      <c r="I554" s="532">
        <f t="shared" si="27"/>
        <v>2.88</v>
      </c>
      <c r="J554" s="572"/>
      <c r="K554" s="522"/>
      <c r="L554" s="522"/>
      <c r="M554" s="522"/>
      <c r="N554" s="522"/>
      <c r="O554" s="522"/>
      <c r="P554" s="522"/>
      <c r="Q554" s="522"/>
      <c r="R554" s="522"/>
      <c r="S554" s="522"/>
      <c r="T554" s="522"/>
      <c r="U554" s="522"/>
      <c r="V554" s="522"/>
      <c r="W554" s="522"/>
      <c r="X554" s="522"/>
      <c r="Y554" s="522"/>
      <c r="Z554" s="522"/>
    </row>
    <row r="555" spans="1:26" s="523" customFormat="1" ht="15.75" hidden="1" customHeight="1" outlineLevel="1" x14ac:dyDescent="0.2">
      <c r="A555" s="588" t="s">
        <v>241</v>
      </c>
      <c r="B555" s="358" t="s">
        <v>384</v>
      </c>
      <c r="C555" s="536"/>
      <c r="D555" s="166" t="s">
        <v>38</v>
      </c>
      <c r="E555" s="28">
        <v>1</v>
      </c>
      <c r="F555" s="28">
        <v>1.2</v>
      </c>
      <c r="G555" s="596"/>
      <c r="H555" s="598">
        <v>2</v>
      </c>
      <c r="I555" s="532">
        <f t="shared" si="27"/>
        <v>2.4</v>
      </c>
      <c r="J555" s="572"/>
      <c r="K555" s="522"/>
      <c r="L555" s="522"/>
      <c r="M555" s="522"/>
      <c r="N555" s="522"/>
      <c r="O555" s="522"/>
      <c r="P555" s="522"/>
      <c r="Q555" s="522"/>
      <c r="R555" s="522"/>
      <c r="S555" s="522"/>
      <c r="T555" s="522"/>
      <c r="U555" s="522"/>
      <c r="V555" s="522"/>
      <c r="W555" s="522"/>
      <c r="X555" s="522"/>
      <c r="Y555" s="522"/>
      <c r="Z555" s="522"/>
    </row>
    <row r="556" spans="1:26" s="523" customFormat="1" ht="15.75" hidden="1" customHeight="1" outlineLevel="1" x14ac:dyDescent="0.2">
      <c r="A556" s="588"/>
      <c r="B556" s="358" t="s">
        <v>682</v>
      </c>
      <c r="C556" s="536"/>
      <c r="D556" s="166" t="s">
        <v>38</v>
      </c>
      <c r="E556" s="28">
        <v>7</v>
      </c>
      <c r="F556" s="28">
        <v>1.2</v>
      </c>
      <c r="G556" s="596"/>
      <c r="H556" s="598">
        <v>0.25</v>
      </c>
      <c r="I556" s="532">
        <f t="shared" si="27"/>
        <v>2.1</v>
      </c>
      <c r="J556" s="572"/>
      <c r="K556" s="522"/>
      <c r="L556" s="522"/>
      <c r="M556" s="522"/>
      <c r="N556" s="522"/>
      <c r="O556" s="522"/>
      <c r="P556" s="522"/>
      <c r="Q556" s="522"/>
      <c r="R556" s="522"/>
      <c r="S556" s="522"/>
      <c r="T556" s="522"/>
      <c r="U556" s="522"/>
      <c r="V556" s="522"/>
      <c r="W556" s="522"/>
      <c r="X556" s="522"/>
      <c r="Y556" s="522"/>
      <c r="Z556" s="522"/>
    </row>
    <row r="557" spans="1:26" s="523" customFormat="1" ht="15.75" hidden="1" customHeight="1" outlineLevel="1" x14ac:dyDescent="0.2">
      <c r="A557" s="588"/>
      <c r="B557" s="358" t="s">
        <v>683</v>
      </c>
      <c r="C557" s="536"/>
      <c r="D557" s="166" t="s">
        <v>38</v>
      </c>
      <c r="E557" s="28">
        <v>8</v>
      </c>
      <c r="F557" s="28">
        <v>1.2</v>
      </c>
      <c r="G557" s="596"/>
      <c r="H557" s="598">
        <v>0.18</v>
      </c>
      <c r="I557" s="532">
        <f t="shared" si="27"/>
        <v>1.728</v>
      </c>
      <c r="J557" s="572"/>
      <c r="K557" s="522"/>
      <c r="L557" s="522"/>
      <c r="M557" s="522"/>
      <c r="N557" s="522"/>
      <c r="O557" s="522"/>
      <c r="P557" s="522"/>
      <c r="Q557" s="522"/>
      <c r="R557" s="522"/>
      <c r="S557" s="522"/>
      <c r="T557" s="522"/>
      <c r="U557" s="522"/>
      <c r="V557" s="522"/>
      <c r="W557" s="522"/>
      <c r="X557" s="522"/>
      <c r="Y557" s="522"/>
      <c r="Z557" s="522"/>
    </row>
    <row r="558" spans="1:26" s="523" customFormat="1" ht="15.75" hidden="1" customHeight="1" outlineLevel="1" x14ac:dyDescent="0.2">
      <c r="A558" s="599"/>
      <c r="B558" s="589"/>
      <c r="C558" s="590"/>
      <c r="D558" s="133"/>
      <c r="E558" s="133"/>
      <c r="F558" s="133"/>
      <c r="G558" s="133"/>
      <c r="H558" s="599"/>
      <c r="I558" s="600"/>
      <c r="J558" s="601"/>
      <c r="K558" s="522"/>
      <c r="L558" s="522"/>
      <c r="M558" s="522"/>
      <c r="N558" s="522"/>
      <c r="O558" s="522"/>
      <c r="P558" s="522"/>
      <c r="Q558" s="522"/>
      <c r="R558" s="522"/>
      <c r="S558" s="522"/>
      <c r="T558" s="522"/>
      <c r="U558" s="522"/>
      <c r="V558" s="522"/>
      <c r="W558" s="522"/>
      <c r="X558" s="522"/>
      <c r="Y558" s="522"/>
      <c r="Z558" s="522"/>
    </row>
    <row r="559" spans="1:26" s="523" customFormat="1" ht="15" customHeight="1" collapsed="1" x14ac:dyDescent="0.2">
      <c r="A559" s="602" t="s">
        <v>421</v>
      </c>
      <c r="B559" s="603" t="s">
        <v>411</v>
      </c>
      <c r="C559" s="604"/>
      <c r="D559" s="602" t="s">
        <v>408</v>
      </c>
      <c r="E559" s="605"/>
      <c r="F559" s="602"/>
      <c r="G559" s="602"/>
      <c r="H559" s="602"/>
      <c r="I559" s="602"/>
      <c r="J559" s="606">
        <f>SUM(I560:I561)</f>
        <v>1</v>
      </c>
      <c r="K559" s="565"/>
      <c r="L559" s="522"/>
      <c r="M559" s="522"/>
      <c r="N559" s="522"/>
      <c r="O559" s="522"/>
      <c r="P559" s="522"/>
      <c r="Q559" s="522"/>
      <c r="R559" s="522"/>
      <c r="S559" s="522"/>
      <c r="T559" s="522"/>
      <c r="U559" s="522"/>
      <c r="V559" s="522"/>
      <c r="W559" s="522"/>
      <c r="X559" s="522"/>
      <c r="Y559" s="522"/>
      <c r="Z559" s="522"/>
    </row>
    <row r="560" spans="1:26" ht="15.75" hidden="1" customHeight="1" outlineLevel="1" x14ac:dyDescent="0.25">
      <c r="A560" s="515"/>
      <c r="B560" s="518"/>
      <c r="C560" s="516"/>
      <c r="D560" s="383" t="s">
        <v>38</v>
      </c>
      <c r="E560" s="515">
        <v>1</v>
      </c>
      <c r="F560" s="381"/>
      <c r="G560" s="381"/>
      <c r="H560" s="381"/>
      <c r="I560" s="383">
        <f>PRODUCT(E560:H560)</f>
        <v>1</v>
      </c>
      <c r="J560" s="517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hidden="1" customHeight="1" outlineLevel="1" x14ac:dyDescent="0.25">
      <c r="A561" s="139"/>
      <c r="B561" s="385"/>
      <c r="C561" s="384"/>
      <c r="D561" s="137"/>
      <c r="E561" s="139"/>
      <c r="F561" s="10"/>
      <c r="G561" s="10"/>
      <c r="H561" s="10"/>
      <c r="I561" s="137"/>
      <c r="J561" s="11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" customHeight="1" collapsed="1" x14ac:dyDescent="0.25">
      <c r="A562" s="3"/>
      <c r="B562" s="3"/>
      <c r="C562" s="18"/>
      <c r="D562" s="15"/>
      <c r="E562" s="3"/>
      <c r="F562" s="3"/>
      <c r="G562" s="3"/>
      <c r="H562" s="3"/>
      <c r="I562" s="3"/>
      <c r="J562" s="19"/>
    </row>
    <row r="563" spans="1:26" ht="15" customHeight="1" x14ac:dyDescent="0.25">
      <c r="A563" s="3"/>
      <c r="B563" s="3"/>
      <c r="C563" s="18"/>
      <c r="D563" s="15"/>
      <c r="E563" s="3"/>
      <c r="F563" s="3"/>
      <c r="G563" s="3"/>
      <c r="H563" s="3"/>
      <c r="I563" s="3"/>
      <c r="J563" s="19"/>
    </row>
    <row r="564" spans="1:26" ht="15" customHeight="1" x14ac:dyDescent="0.25">
      <c r="A564" s="3"/>
      <c r="B564" s="3"/>
      <c r="C564" s="18"/>
      <c r="D564" s="15"/>
      <c r="E564" s="3"/>
      <c r="F564" s="3"/>
      <c r="G564" s="3"/>
      <c r="H564" s="3"/>
      <c r="I564" s="3"/>
      <c r="J564" s="19"/>
    </row>
    <row r="565" spans="1:26" ht="15" customHeight="1" x14ac:dyDescent="0.25">
      <c r="A565" s="3"/>
      <c r="B565" s="3"/>
      <c r="C565" s="18"/>
      <c r="D565" s="15"/>
      <c r="E565" s="3"/>
      <c r="F565" s="3"/>
      <c r="G565" s="3"/>
      <c r="H565" s="3"/>
      <c r="I565" s="3"/>
      <c r="J565" s="19"/>
    </row>
    <row r="566" spans="1:26" ht="15" customHeight="1" x14ac:dyDescent="0.25">
      <c r="A566" s="3"/>
      <c r="B566" s="3"/>
      <c r="C566" s="18"/>
      <c r="D566" s="15"/>
      <c r="E566" s="3"/>
      <c r="F566" s="3"/>
      <c r="G566" s="3"/>
      <c r="H566" s="3"/>
      <c r="I566" s="3"/>
      <c r="J566" s="19"/>
    </row>
    <row r="567" spans="1:26" ht="15" customHeight="1" x14ac:dyDescent="0.25">
      <c r="A567" s="3"/>
      <c r="B567" s="3"/>
      <c r="C567" s="18"/>
      <c r="D567" s="15"/>
      <c r="E567" s="3"/>
      <c r="F567" s="3"/>
      <c r="G567" s="3"/>
      <c r="H567" s="3"/>
      <c r="I567" s="3"/>
      <c r="J567" s="19"/>
    </row>
    <row r="568" spans="1:26" ht="15" customHeight="1" x14ac:dyDescent="0.25">
      <c r="A568" s="3"/>
      <c r="B568" s="3"/>
      <c r="C568" s="18"/>
      <c r="D568" s="15"/>
      <c r="E568" s="3"/>
      <c r="F568" s="3"/>
      <c r="G568" s="3"/>
      <c r="H568" s="3"/>
      <c r="I568" s="3"/>
      <c r="J568" s="19"/>
    </row>
    <row r="569" spans="1:26" ht="15" customHeight="1" x14ac:dyDescent="0.25">
      <c r="A569" s="3"/>
      <c r="B569" s="3"/>
      <c r="C569" s="18"/>
      <c r="D569" s="15"/>
      <c r="E569" s="3"/>
      <c r="F569" s="3"/>
      <c r="G569" s="3"/>
      <c r="H569" s="3"/>
      <c r="I569" s="3"/>
      <c r="J569" s="19"/>
    </row>
    <row r="570" spans="1:26" ht="15" customHeight="1" x14ac:dyDescent="0.25">
      <c r="A570" s="3"/>
      <c r="B570" s="3"/>
      <c r="C570" s="18"/>
      <c r="D570" s="15"/>
      <c r="E570" s="3"/>
      <c r="F570" s="3"/>
      <c r="G570" s="3"/>
      <c r="H570" s="3"/>
      <c r="I570" s="3"/>
      <c r="J570" s="19"/>
    </row>
    <row r="571" spans="1:26" ht="15" customHeight="1" x14ac:dyDescent="0.25">
      <c r="A571" s="3"/>
      <c r="B571" s="3"/>
      <c r="C571" s="18"/>
      <c r="D571" s="15"/>
      <c r="E571" s="3"/>
      <c r="F571" s="3"/>
      <c r="G571" s="3"/>
      <c r="H571" s="3"/>
      <c r="I571" s="3"/>
      <c r="J571" s="19"/>
    </row>
    <row r="572" spans="1:26" ht="15" customHeight="1" x14ac:dyDescent="0.25">
      <c r="A572" s="3"/>
      <c r="B572" s="3"/>
      <c r="C572" s="18"/>
      <c r="D572" s="15"/>
      <c r="E572" s="3"/>
      <c r="F572" s="3"/>
      <c r="G572" s="3"/>
      <c r="H572" s="3"/>
      <c r="I572" s="3"/>
      <c r="J572" s="19"/>
    </row>
    <row r="573" spans="1:26" ht="15" customHeight="1" x14ac:dyDescent="0.25">
      <c r="A573" s="3"/>
      <c r="B573" s="3"/>
      <c r="C573" s="18"/>
      <c r="D573" s="15"/>
      <c r="E573" s="3"/>
      <c r="F573" s="3"/>
      <c r="G573" s="3"/>
      <c r="H573" s="3"/>
      <c r="I573" s="3"/>
      <c r="J573" s="19"/>
    </row>
    <row r="574" spans="1:26" ht="15" customHeight="1" x14ac:dyDescent="0.25">
      <c r="A574" s="3"/>
      <c r="B574" s="3"/>
      <c r="C574" s="18"/>
      <c r="D574" s="15"/>
      <c r="E574" s="3"/>
      <c r="F574" s="3"/>
      <c r="G574" s="3"/>
      <c r="H574" s="3"/>
      <c r="I574" s="3"/>
      <c r="J574" s="19"/>
    </row>
    <row r="575" spans="1:26" ht="15" customHeight="1" x14ac:dyDescent="0.25">
      <c r="A575" s="3"/>
      <c r="B575" s="3"/>
      <c r="C575" s="18"/>
      <c r="D575" s="15"/>
      <c r="E575" s="3"/>
      <c r="F575" s="3"/>
      <c r="G575" s="3"/>
      <c r="H575" s="3"/>
      <c r="I575" s="3"/>
      <c r="J575" s="19"/>
    </row>
    <row r="576" spans="1:26" ht="15" customHeight="1" x14ac:dyDescent="0.25">
      <c r="A576" s="3"/>
      <c r="B576" s="3"/>
      <c r="C576" s="18"/>
      <c r="D576" s="15"/>
      <c r="E576" s="3"/>
      <c r="F576" s="3"/>
      <c r="G576" s="3"/>
      <c r="H576" s="3"/>
      <c r="I576" s="3"/>
      <c r="J576" s="19"/>
    </row>
    <row r="577" spans="1:10" ht="15" customHeight="1" x14ac:dyDescent="0.25">
      <c r="A577" s="3"/>
      <c r="B577" s="3"/>
      <c r="C577" s="18"/>
      <c r="D577" s="15"/>
      <c r="E577" s="3"/>
      <c r="F577" s="3"/>
      <c r="G577" s="3"/>
      <c r="H577" s="3"/>
      <c r="I577" s="3"/>
      <c r="J577" s="19"/>
    </row>
    <row r="578" spans="1:10" ht="15" customHeight="1" x14ac:dyDescent="0.25">
      <c r="A578" s="3"/>
      <c r="B578" s="3"/>
      <c r="C578" s="18"/>
      <c r="D578" s="15"/>
      <c r="E578" s="3"/>
      <c r="F578" s="3"/>
      <c r="G578" s="3"/>
      <c r="H578" s="3"/>
      <c r="I578" s="3"/>
      <c r="J578" s="19"/>
    </row>
    <row r="579" spans="1:10" ht="15" customHeight="1" x14ac:dyDescent="0.25">
      <c r="A579" s="3"/>
      <c r="B579" s="3"/>
      <c r="C579" s="18"/>
      <c r="D579" s="15"/>
      <c r="E579" s="3"/>
      <c r="F579" s="3"/>
      <c r="G579" s="3"/>
      <c r="H579" s="3"/>
      <c r="I579" s="3"/>
      <c r="J579" s="19"/>
    </row>
    <row r="580" spans="1:10" ht="15" customHeight="1" x14ac:dyDescent="0.25">
      <c r="A580" s="3"/>
      <c r="B580" s="3"/>
      <c r="C580" s="18"/>
      <c r="D580" s="15"/>
      <c r="E580" s="3"/>
      <c r="F580" s="3"/>
      <c r="G580" s="3"/>
      <c r="H580" s="3"/>
      <c r="I580" s="3"/>
      <c r="J580" s="19"/>
    </row>
    <row r="581" spans="1:10" ht="15" customHeight="1" x14ac:dyDescent="0.25">
      <c r="A581" s="3"/>
      <c r="B581" s="3"/>
      <c r="C581" s="18"/>
      <c r="D581" s="15"/>
      <c r="E581" s="3"/>
      <c r="F581" s="3"/>
      <c r="G581" s="3"/>
      <c r="H581" s="3"/>
      <c r="I581" s="3"/>
      <c r="J581" s="19"/>
    </row>
    <row r="582" spans="1:10" ht="15" customHeight="1" x14ac:dyDescent="0.25">
      <c r="A582" s="3"/>
      <c r="B582" s="3"/>
      <c r="C582" s="18"/>
      <c r="D582" s="15"/>
      <c r="E582" s="3"/>
      <c r="F582" s="3"/>
      <c r="G582" s="3"/>
      <c r="H582" s="3"/>
      <c r="I582" s="3"/>
      <c r="J582" s="19"/>
    </row>
    <row r="583" spans="1:10" ht="15" customHeight="1" x14ac:dyDescent="0.25">
      <c r="A583" s="3"/>
      <c r="B583" s="3"/>
      <c r="C583" s="18"/>
      <c r="D583" s="15"/>
      <c r="E583" s="3"/>
      <c r="F583" s="3"/>
      <c r="G583" s="3"/>
      <c r="H583" s="3"/>
      <c r="I583" s="3"/>
      <c r="J583" s="19"/>
    </row>
    <row r="584" spans="1:10" ht="15" customHeight="1" x14ac:dyDescent="0.25">
      <c r="A584" s="3"/>
      <c r="B584" s="3"/>
      <c r="C584" s="18"/>
      <c r="D584" s="15"/>
      <c r="E584" s="3"/>
      <c r="F584" s="3"/>
      <c r="G584" s="3"/>
      <c r="H584" s="3"/>
      <c r="I584" s="3"/>
      <c r="J584" s="19"/>
    </row>
    <row r="585" spans="1:10" ht="15" customHeight="1" x14ac:dyDescent="0.25">
      <c r="A585" s="3"/>
      <c r="B585" s="3"/>
      <c r="C585" s="18"/>
      <c r="D585" s="15"/>
      <c r="E585" s="3"/>
      <c r="F585" s="3"/>
      <c r="G585" s="3"/>
      <c r="H585" s="3"/>
      <c r="I585" s="3"/>
      <c r="J585" s="19"/>
    </row>
    <row r="586" spans="1:10" ht="15" customHeight="1" x14ac:dyDescent="0.25">
      <c r="A586" s="3"/>
      <c r="B586" s="3"/>
      <c r="C586" s="18"/>
      <c r="D586" s="15"/>
      <c r="E586" s="3"/>
      <c r="F586" s="3"/>
      <c r="G586" s="3"/>
      <c r="H586" s="3"/>
      <c r="I586" s="3"/>
      <c r="J586" s="19"/>
    </row>
    <row r="587" spans="1:10" ht="15" customHeight="1" x14ac:dyDescent="0.25">
      <c r="A587" s="3"/>
      <c r="B587" s="3"/>
      <c r="C587" s="18"/>
      <c r="D587" s="15"/>
      <c r="E587" s="3"/>
      <c r="F587" s="3"/>
      <c r="G587" s="3"/>
      <c r="H587" s="3"/>
      <c r="I587" s="3"/>
      <c r="J587" s="19"/>
    </row>
    <row r="588" spans="1:10" ht="15" customHeight="1" x14ac:dyDescent="0.25">
      <c r="A588" s="3"/>
      <c r="B588" s="3"/>
      <c r="C588" s="18"/>
      <c r="D588" s="15"/>
      <c r="E588" s="3"/>
      <c r="F588" s="3"/>
      <c r="G588" s="3"/>
      <c r="H588" s="3"/>
      <c r="I588" s="3"/>
      <c r="J588" s="19"/>
    </row>
    <row r="589" spans="1:10" ht="15" customHeight="1" x14ac:dyDescent="0.25">
      <c r="A589" s="3"/>
      <c r="B589" s="3"/>
      <c r="C589" s="18"/>
      <c r="D589" s="15"/>
      <c r="E589" s="3"/>
      <c r="F589" s="3"/>
      <c r="G589" s="3"/>
      <c r="H589" s="3"/>
      <c r="I589" s="3"/>
      <c r="J589" s="19"/>
    </row>
    <row r="590" spans="1:10" ht="15" customHeight="1" x14ac:dyDescent="0.25">
      <c r="A590" s="3"/>
      <c r="B590" s="3"/>
      <c r="C590" s="18"/>
      <c r="D590" s="15"/>
      <c r="E590" s="3"/>
      <c r="F590" s="3"/>
      <c r="G590" s="3"/>
      <c r="H590" s="3"/>
      <c r="I590" s="3"/>
      <c r="J590" s="19"/>
    </row>
    <row r="591" spans="1:10" ht="15" customHeight="1" x14ac:dyDescent="0.25">
      <c r="A591" s="3"/>
      <c r="B591" s="3"/>
      <c r="C591" s="18"/>
      <c r="D591" s="15"/>
      <c r="E591" s="3"/>
      <c r="F591" s="3"/>
      <c r="G591" s="3"/>
      <c r="H591" s="3"/>
      <c r="I591" s="3"/>
      <c r="J591" s="19"/>
    </row>
    <row r="592" spans="1:10" ht="15" customHeight="1" x14ac:dyDescent="0.25">
      <c r="A592" s="3"/>
      <c r="B592" s="3"/>
      <c r="C592" s="18"/>
      <c r="D592" s="15"/>
      <c r="E592" s="3"/>
      <c r="F592" s="3"/>
      <c r="G592" s="3"/>
      <c r="H592" s="3"/>
      <c r="I592" s="3"/>
      <c r="J592" s="19"/>
    </row>
    <row r="593" spans="1:10" ht="15" customHeight="1" x14ac:dyDescent="0.25">
      <c r="A593" s="3"/>
      <c r="B593" s="3"/>
      <c r="C593" s="18"/>
      <c r="D593" s="15"/>
      <c r="E593" s="3"/>
      <c r="F593" s="3"/>
      <c r="G593" s="3"/>
      <c r="H593" s="3"/>
      <c r="I593" s="3"/>
      <c r="J593" s="19"/>
    </row>
    <row r="594" spans="1:10" ht="15" customHeight="1" x14ac:dyDescent="0.25">
      <c r="A594" s="3"/>
      <c r="B594" s="3"/>
      <c r="C594" s="18"/>
      <c r="D594" s="15"/>
      <c r="E594" s="3"/>
      <c r="F594" s="3"/>
      <c r="G594" s="3"/>
      <c r="H594" s="3"/>
      <c r="I594" s="3"/>
      <c r="J594" s="19"/>
    </row>
    <row r="595" spans="1:10" ht="15" customHeight="1" x14ac:dyDescent="0.25">
      <c r="A595" s="3"/>
      <c r="B595" s="3"/>
      <c r="C595" s="18"/>
      <c r="D595" s="15"/>
      <c r="E595" s="3"/>
      <c r="F595" s="3"/>
      <c r="G595" s="3"/>
      <c r="H595" s="3"/>
      <c r="I595" s="3"/>
      <c r="J595" s="19"/>
    </row>
    <row r="596" spans="1:10" ht="15" customHeight="1" x14ac:dyDescent="0.25">
      <c r="A596" s="3"/>
      <c r="B596" s="3"/>
      <c r="C596" s="18"/>
      <c r="D596" s="15"/>
      <c r="E596" s="3"/>
      <c r="F596" s="3"/>
      <c r="G596" s="3"/>
      <c r="H596" s="3"/>
      <c r="I596" s="3"/>
      <c r="J596" s="19"/>
    </row>
    <row r="597" spans="1:10" ht="15" customHeight="1" x14ac:dyDescent="0.25">
      <c r="A597" s="3"/>
      <c r="B597" s="3"/>
      <c r="C597" s="18"/>
      <c r="D597" s="15"/>
      <c r="E597" s="3"/>
      <c r="F597" s="3"/>
      <c r="G597" s="3"/>
      <c r="H597" s="3"/>
      <c r="I597" s="3"/>
      <c r="J597" s="19"/>
    </row>
    <row r="598" spans="1:10" ht="15" customHeight="1" x14ac:dyDescent="0.25">
      <c r="A598" s="3"/>
      <c r="B598" s="3"/>
      <c r="C598" s="18"/>
      <c r="D598" s="15"/>
      <c r="E598" s="3"/>
      <c r="F598" s="3"/>
      <c r="G598" s="3"/>
      <c r="H598" s="3"/>
      <c r="I598" s="3"/>
      <c r="J598" s="19"/>
    </row>
    <row r="599" spans="1:10" ht="15" customHeight="1" x14ac:dyDescent="0.25">
      <c r="A599" s="3"/>
      <c r="B599" s="3"/>
      <c r="C599" s="18"/>
      <c r="D599" s="15"/>
      <c r="E599" s="3"/>
      <c r="F599" s="3"/>
      <c r="G599" s="3"/>
      <c r="H599" s="3"/>
      <c r="I599" s="3"/>
      <c r="J599" s="19"/>
    </row>
    <row r="600" spans="1:10" ht="15" customHeight="1" x14ac:dyDescent="0.25">
      <c r="A600" s="3"/>
      <c r="B600" s="3"/>
      <c r="C600" s="18"/>
      <c r="D600" s="15"/>
      <c r="E600" s="3"/>
      <c r="F600" s="3"/>
      <c r="G600" s="3"/>
      <c r="H600" s="3"/>
      <c r="I600" s="3"/>
      <c r="J600" s="19"/>
    </row>
    <row r="601" spans="1:10" ht="15" customHeight="1" x14ac:dyDescent="0.25">
      <c r="A601" s="3"/>
      <c r="B601" s="3"/>
      <c r="C601" s="18"/>
      <c r="D601" s="15"/>
      <c r="E601" s="3"/>
      <c r="F601" s="3"/>
      <c r="G601" s="3"/>
      <c r="H601" s="3"/>
      <c r="I601" s="3"/>
      <c r="J601" s="19"/>
    </row>
    <row r="602" spans="1:10" ht="15" customHeight="1" x14ac:dyDescent="0.25">
      <c r="A602" s="3"/>
      <c r="B602" s="3"/>
      <c r="C602" s="18"/>
      <c r="D602" s="15"/>
      <c r="E602" s="3"/>
      <c r="F602" s="3"/>
      <c r="G602" s="3"/>
      <c r="H602" s="3"/>
      <c r="I602" s="3"/>
      <c r="J602" s="19"/>
    </row>
    <row r="603" spans="1:10" ht="15" customHeight="1" x14ac:dyDescent="0.25">
      <c r="A603" s="3"/>
      <c r="B603" s="3"/>
      <c r="C603" s="18"/>
      <c r="D603" s="15"/>
      <c r="E603" s="3"/>
      <c r="F603" s="3"/>
      <c r="G603" s="3"/>
      <c r="H603" s="3"/>
      <c r="I603" s="3"/>
      <c r="J603" s="19"/>
    </row>
    <row r="604" spans="1:10" ht="15" customHeight="1" x14ac:dyDescent="0.25">
      <c r="A604" s="3"/>
      <c r="B604" s="3"/>
      <c r="C604" s="18"/>
      <c r="D604" s="15"/>
      <c r="E604" s="3"/>
      <c r="F604" s="3"/>
      <c r="G604" s="3"/>
      <c r="H604" s="3"/>
      <c r="I604" s="3"/>
      <c r="J604" s="19"/>
    </row>
    <row r="605" spans="1:10" ht="15" customHeight="1" x14ac:dyDescent="0.25">
      <c r="A605" s="3"/>
      <c r="B605" s="3"/>
      <c r="C605" s="18"/>
      <c r="D605" s="15"/>
      <c r="E605" s="3"/>
      <c r="F605" s="3"/>
      <c r="G605" s="3"/>
      <c r="H605" s="3"/>
      <c r="I605" s="3"/>
      <c r="J605" s="19"/>
    </row>
    <row r="606" spans="1:10" ht="15" customHeight="1" x14ac:dyDescent="0.25">
      <c r="A606" s="3"/>
      <c r="B606" s="3"/>
      <c r="C606" s="18"/>
      <c r="D606" s="15"/>
      <c r="E606" s="3"/>
      <c r="F606" s="3"/>
      <c r="G606" s="3"/>
      <c r="H606" s="3"/>
      <c r="I606" s="3"/>
      <c r="J606" s="19"/>
    </row>
    <row r="607" spans="1:10" ht="15" customHeight="1" x14ac:dyDescent="0.25">
      <c r="A607" s="3"/>
      <c r="B607" s="3"/>
      <c r="C607" s="18"/>
      <c r="D607" s="15"/>
      <c r="E607" s="3"/>
      <c r="F607" s="3"/>
      <c r="G607" s="3"/>
      <c r="H607" s="3"/>
      <c r="I607" s="3"/>
      <c r="J607" s="19"/>
    </row>
    <row r="608" spans="1:10" ht="15" customHeight="1" x14ac:dyDescent="0.25">
      <c r="A608" s="3"/>
      <c r="B608" s="3"/>
      <c r="C608" s="18"/>
      <c r="D608" s="15"/>
      <c r="E608" s="3"/>
      <c r="F608" s="3"/>
      <c r="G608" s="3"/>
      <c r="H608" s="3"/>
      <c r="I608" s="3"/>
      <c r="J608" s="19"/>
    </row>
    <row r="609" spans="1:10" ht="15" customHeight="1" x14ac:dyDescent="0.25">
      <c r="A609" s="3"/>
      <c r="B609" s="3"/>
      <c r="C609" s="18"/>
      <c r="D609" s="15"/>
      <c r="E609" s="3"/>
      <c r="F609" s="3"/>
      <c r="G609" s="3"/>
      <c r="H609" s="3"/>
      <c r="I609" s="3"/>
      <c r="J609" s="19"/>
    </row>
    <row r="610" spans="1:10" ht="15" customHeight="1" x14ac:dyDescent="0.25">
      <c r="A610" s="3"/>
      <c r="B610" s="3"/>
      <c r="C610" s="18"/>
      <c r="D610" s="15"/>
      <c r="E610" s="3"/>
      <c r="F610" s="3"/>
      <c r="G610" s="3"/>
      <c r="H610" s="3"/>
      <c r="I610" s="3"/>
      <c r="J610" s="19"/>
    </row>
    <row r="611" spans="1:10" ht="15" customHeight="1" x14ac:dyDescent="0.25">
      <c r="A611" s="3"/>
      <c r="B611" s="3"/>
      <c r="C611" s="18"/>
      <c r="D611" s="15"/>
      <c r="E611" s="3"/>
      <c r="F611" s="3"/>
      <c r="G611" s="3"/>
      <c r="H611" s="3"/>
      <c r="I611" s="3"/>
      <c r="J611" s="19"/>
    </row>
    <row r="612" spans="1:10" ht="15" customHeight="1" x14ac:dyDescent="0.25">
      <c r="A612" s="3"/>
      <c r="B612" s="3"/>
      <c r="C612" s="18"/>
      <c r="D612" s="15"/>
      <c r="E612" s="3"/>
      <c r="F612" s="3"/>
      <c r="G612" s="3"/>
      <c r="H612" s="3"/>
      <c r="I612" s="3"/>
      <c r="J612" s="19"/>
    </row>
    <row r="613" spans="1:10" ht="15" customHeight="1" x14ac:dyDescent="0.25">
      <c r="A613" s="3"/>
      <c r="B613" s="3"/>
      <c r="C613" s="18"/>
      <c r="D613" s="15"/>
      <c r="E613" s="3"/>
      <c r="F613" s="3"/>
      <c r="G613" s="3"/>
      <c r="H613" s="3"/>
      <c r="I613" s="3"/>
      <c r="J613" s="19"/>
    </row>
    <row r="614" spans="1:10" ht="15" customHeight="1" x14ac:dyDescent="0.25">
      <c r="A614" s="3"/>
      <c r="B614" s="3"/>
      <c r="C614" s="18"/>
      <c r="D614" s="15"/>
      <c r="E614" s="3"/>
      <c r="F614" s="3"/>
      <c r="G614" s="3"/>
      <c r="H614" s="3"/>
      <c r="I614" s="3"/>
      <c r="J614" s="19"/>
    </row>
    <row r="615" spans="1:10" ht="15" customHeight="1" x14ac:dyDescent="0.25">
      <c r="A615" s="3"/>
      <c r="B615" s="3"/>
      <c r="C615" s="18"/>
      <c r="D615" s="15"/>
      <c r="E615" s="3"/>
      <c r="F615" s="3"/>
      <c r="G615" s="3"/>
      <c r="H615" s="3"/>
      <c r="I615" s="3"/>
      <c r="J615" s="19"/>
    </row>
    <row r="616" spans="1:10" ht="15" customHeight="1" x14ac:dyDescent="0.25">
      <c r="A616" s="3"/>
      <c r="B616" s="3"/>
      <c r="C616" s="18"/>
      <c r="D616" s="15"/>
      <c r="E616" s="3"/>
      <c r="F616" s="3"/>
      <c r="G616" s="3"/>
      <c r="H616" s="3"/>
      <c r="I616" s="3"/>
      <c r="J616" s="19"/>
    </row>
    <row r="617" spans="1:10" ht="15" customHeight="1" x14ac:dyDescent="0.25">
      <c r="A617" s="3"/>
      <c r="B617" s="3"/>
      <c r="C617" s="18"/>
      <c r="D617" s="15"/>
      <c r="E617" s="3"/>
      <c r="F617" s="3"/>
      <c r="G617" s="3"/>
      <c r="H617" s="3"/>
      <c r="I617" s="3"/>
      <c r="J617" s="19"/>
    </row>
    <row r="618" spans="1:10" ht="15" customHeight="1" x14ac:dyDescent="0.25">
      <c r="A618" s="3"/>
      <c r="B618" s="3"/>
      <c r="C618" s="18"/>
      <c r="D618" s="15"/>
      <c r="E618" s="3"/>
      <c r="F618" s="3"/>
      <c r="G618" s="3"/>
      <c r="H618" s="3"/>
      <c r="I618" s="3"/>
      <c r="J618" s="19"/>
    </row>
    <row r="619" spans="1:10" ht="15" customHeight="1" x14ac:dyDescent="0.25">
      <c r="A619" s="3"/>
      <c r="B619" s="3"/>
      <c r="C619" s="18"/>
      <c r="D619" s="15"/>
      <c r="E619" s="3"/>
      <c r="F619" s="3"/>
      <c r="G619" s="3"/>
      <c r="H619" s="3"/>
      <c r="I619" s="3"/>
      <c r="J619" s="19"/>
    </row>
    <row r="620" spans="1:10" ht="15" customHeight="1" x14ac:dyDescent="0.25">
      <c r="A620" s="3"/>
      <c r="B620" s="3"/>
      <c r="C620" s="18"/>
      <c r="D620" s="15"/>
      <c r="E620" s="3"/>
      <c r="F620" s="3"/>
      <c r="G620" s="3"/>
      <c r="H620" s="3"/>
      <c r="I620" s="3"/>
      <c r="J620" s="19"/>
    </row>
    <row r="621" spans="1:10" ht="15" customHeight="1" x14ac:dyDescent="0.25">
      <c r="A621" s="3"/>
      <c r="B621" s="3"/>
      <c r="C621" s="18"/>
      <c r="D621" s="15"/>
      <c r="E621" s="3"/>
      <c r="F621" s="3"/>
      <c r="G621" s="3"/>
      <c r="H621" s="3"/>
      <c r="I621" s="3"/>
      <c r="J621" s="19"/>
    </row>
    <row r="622" spans="1:10" ht="15" customHeight="1" x14ac:dyDescent="0.25">
      <c r="A622" s="3"/>
      <c r="B622" s="3"/>
      <c r="C622" s="18"/>
      <c r="D622" s="15"/>
      <c r="E622" s="3"/>
      <c r="F622" s="3"/>
      <c r="G622" s="3"/>
      <c r="H622" s="3"/>
      <c r="I622" s="3"/>
      <c r="J622" s="19"/>
    </row>
    <row r="623" spans="1:10" ht="15" customHeight="1" x14ac:dyDescent="0.25">
      <c r="A623" s="3"/>
      <c r="B623" s="3"/>
      <c r="C623" s="18"/>
      <c r="D623" s="15"/>
      <c r="E623" s="3"/>
      <c r="F623" s="3"/>
      <c r="G623" s="3"/>
      <c r="H623" s="3"/>
      <c r="I623" s="3"/>
      <c r="J623" s="19"/>
    </row>
    <row r="624" spans="1:10" ht="15" customHeight="1" x14ac:dyDescent="0.25">
      <c r="A624" s="3"/>
      <c r="B624" s="3"/>
      <c r="C624" s="18"/>
      <c r="D624" s="15"/>
      <c r="E624" s="3"/>
      <c r="F624" s="3"/>
      <c r="G624" s="3"/>
      <c r="H624" s="3"/>
      <c r="I624" s="3"/>
      <c r="J624" s="19"/>
    </row>
    <row r="625" spans="1:10" ht="15" customHeight="1" x14ac:dyDescent="0.25">
      <c r="A625" s="3"/>
      <c r="B625" s="3"/>
      <c r="C625" s="18"/>
      <c r="D625" s="15"/>
      <c r="E625" s="3"/>
      <c r="F625" s="3"/>
      <c r="G625" s="3"/>
      <c r="H625" s="3"/>
      <c r="I625" s="3"/>
      <c r="J625" s="19"/>
    </row>
    <row r="626" spans="1:10" ht="15" customHeight="1" x14ac:dyDescent="0.25">
      <c r="A626" s="3"/>
      <c r="B626" s="3"/>
      <c r="C626" s="18"/>
      <c r="D626" s="15"/>
      <c r="E626" s="3"/>
      <c r="F626" s="3"/>
      <c r="G626" s="3"/>
      <c r="H626" s="3"/>
      <c r="I626" s="3"/>
      <c r="J626" s="19"/>
    </row>
    <row r="627" spans="1:10" ht="15" customHeight="1" x14ac:dyDescent="0.25">
      <c r="A627" s="3"/>
      <c r="B627" s="3"/>
      <c r="C627" s="18"/>
      <c r="D627" s="15"/>
      <c r="E627" s="3"/>
      <c r="F627" s="3"/>
      <c r="G627" s="3"/>
      <c r="H627" s="3"/>
      <c r="I627" s="3"/>
      <c r="J627" s="19"/>
    </row>
    <row r="628" spans="1:10" ht="15" customHeight="1" x14ac:dyDescent="0.25">
      <c r="A628" s="3"/>
      <c r="B628" s="3"/>
      <c r="C628" s="18"/>
      <c r="D628" s="15"/>
      <c r="E628" s="3"/>
      <c r="F628" s="3"/>
      <c r="G628" s="3"/>
      <c r="H628" s="3"/>
      <c r="I628" s="3"/>
      <c r="J628" s="19"/>
    </row>
    <row r="629" spans="1:10" ht="15" customHeight="1" x14ac:dyDescent="0.25">
      <c r="A629" s="3"/>
      <c r="B629" s="3"/>
      <c r="C629" s="18"/>
      <c r="D629" s="15"/>
      <c r="E629" s="3"/>
      <c r="F629" s="3"/>
      <c r="G629" s="3"/>
      <c r="H629" s="3"/>
      <c r="I629" s="3"/>
      <c r="J629" s="19"/>
    </row>
    <row r="630" spans="1:10" ht="15" customHeight="1" x14ac:dyDescent="0.25">
      <c r="A630" s="3"/>
      <c r="B630" s="3"/>
      <c r="C630" s="18"/>
      <c r="D630" s="15"/>
      <c r="E630" s="3"/>
      <c r="F630" s="3"/>
      <c r="G630" s="3"/>
      <c r="H630" s="3"/>
      <c r="I630" s="3"/>
      <c r="J630" s="19"/>
    </row>
    <row r="631" spans="1:10" ht="15" customHeight="1" x14ac:dyDescent="0.25">
      <c r="A631" s="3"/>
      <c r="B631" s="3"/>
      <c r="C631" s="18"/>
      <c r="D631" s="15"/>
      <c r="E631" s="3"/>
      <c r="F631" s="3"/>
      <c r="G631" s="3"/>
      <c r="H631" s="3"/>
      <c r="I631" s="3"/>
      <c r="J631" s="19"/>
    </row>
    <row r="632" spans="1:10" ht="15" customHeight="1" x14ac:dyDescent="0.25">
      <c r="A632" s="3"/>
      <c r="B632" s="3"/>
      <c r="C632" s="18"/>
      <c r="D632" s="15"/>
      <c r="E632" s="3"/>
      <c r="F632" s="3"/>
      <c r="G632" s="3"/>
      <c r="H632" s="3"/>
      <c r="I632" s="3"/>
      <c r="J632" s="19"/>
    </row>
    <row r="633" spans="1:10" ht="15" customHeight="1" x14ac:dyDescent="0.25">
      <c r="A633" s="3"/>
      <c r="B633" s="3"/>
      <c r="C633" s="18"/>
      <c r="D633" s="15"/>
      <c r="E633" s="3"/>
      <c r="F633" s="3"/>
      <c r="G633" s="3"/>
      <c r="H633" s="3"/>
      <c r="I633" s="3"/>
      <c r="J633" s="19"/>
    </row>
    <row r="634" spans="1:10" ht="15" customHeight="1" x14ac:dyDescent="0.25">
      <c r="A634" s="3"/>
      <c r="B634" s="3"/>
      <c r="C634" s="18"/>
      <c r="D634" s="15"/>
      <c r="E634" s="3"/>
      <c r="F634" s="3"/>
      <c r="G634" s="3"/>
      <c r="H634" s="3"/>
      <c r="I634" s="3"/>
      <c r="J634" s="19"/>
    </row>
    <row r="635" spans="1:10" ht="15" customHeight="1" x14ac:dyDescent="0.25">
      <c r="A635" s="3"/>
      <c r="B635" s="3"/>
      <c r="C635" s="18"/>
      <c r="D635" s="15"/>
      <c r="E635" s="3"/>
      <c r="F635" s="3"/>
      <c r="G635" s="3"/>
      <c r="H635" s="3"/>
      <c r="I635" s="3"/>
      <c r="J635" s="19"/>
    </row>
    <row r="636" spans="1:10" ht="15" customHeight="1" x14ac:dyDescent="0.25">
      <c r="A636" s="3"/>
      <c r="B636" s="3"/>
      <c r="C636" s="18"/>
      <c r="D636" s="15"/>
      <c r="E636" s="3"/>
      <c r="F636" s="3"/>
      <c r="G636" s="3"/>
      <c r="H636" s="3"/>
      <c r="I636" s="3"/>
      <c r="J636" s="19"/>
    </row>
    <row r="637" spans="1:10" ht="15" customHeight="1" x14ac:dyDescent="0.25">
      <c r="A637" s="3"/>
      <c r="B637" s="3"/>
      <c r="C637" s="18"/>
      <c r="D637" s="15"/>
      <c r="E637" s="3"/>
      <c r="F637" s="3"/>
      <c r="G637" s="3"/>
      <c r="H637" s="3"/>
      <c r="I637" s="3"/>
      <c r="J637" s="19"/>
    </row>
    <row r="638" spans="1:10" ht="15" customHeight="1" x14ac:dyDescent="0.25">
      <c r="A638" s="3"/>
      <c r="B638" s="3"/>
      <c r="C638" s="18"/>
      <c r="D638" s="15"/>
      <c r="E638" s="3"/>
      <c r="F638" s="3"/>
      <c r="G638" s="3"/>
      <c r="H638" s="3"/>
      <c r="I638" s="3"/>
      <c r="J638" s="19"/>
    </row>
    <row r="639" spans="1:10" ht="15" customHeight="1" x14ac:dyDescent="0.25">
      <c r="A639" s="3"/>
      <c r="B639" s="3"/>
      <c r="C639" s="18"/>
      <c r="D639" s="15"/>
      <c r="E639" s="3"/>
      <c r="F639" s="3"/>
      <c r="G639" s="3"/>
      <c r="H639" s="3"/>
      <c r="I639" s="3"/>
      <c r="J639" s="19"/>
    </row>
    <row r="640" spans="1:10" ht="15" customHeight="1" x14ac:dyDescent="0.25">
      <c r="A640" s="3"/>
      <c r="B640" s="3"/>
      <c r="C640" s="18"/>
      <c r="D640" s="15"/>
      <c r="E640" s="3"/>
      <c r="F640" s="3"/>
      <c r="G640" s="3"/>
      <c r="H640" s="3"/>
      <c r="I640" s="3"/>
      <c r="J640" s="19"/>
    </row>
    <row r="641" spans="1:10" ht="15" customHeight="1" x14ac:dyDescent="0.25">
      <c r="A641" s="3"/>
      <c r="B641" s="3"/>
      <c r="C641" s="18"/>
      <c r="D641" s="15"/>
      <c r="E641" s="3"/>
      <c r="F641" s="3"/>
      <c r="G641" s="3"/>
      <c r="H641" s="3"/>
      <c r="I641" s="3"/>
      <c r="J641" s="19"/>
    </row>
    <row r="642" spans="1:10" ht="15" customHeight="1" x14ac:dyDescent="0.25">
      <c r="A642" s="3"/>
      <c r="B642" s="3"/>
      <c r="C642" s="18"/>
      <c r="D642" s="15"/>
      <c r="E642" s="3"/>
      <c r="F642" s="3"/>
      <c r="G642" s="3"/>
      <c r="H642" s="3"/>
      <c r="I642" s="3"/>
      <c r="J642" s="19"/>
    </row>
    <row r="643" spans="1:10" ht="15" customHeight="1" x14ac:dyDescent="0.25">
      <c r="A643" s="3"/>
      <c r="B643" s="3"/>
      <c r="C643" s="18"/>
      <c r="D643" s="15"/>
      <c r="E643" s="3"/>
      <c r="F643" s="3"/>
      <c r="G643" s="3"/>
      <c r="H643" s="3"/>
      <c r="I643" s="3"/>
      <c r="J643" s="19"/>
    </row>
    <row r="644" spans="1:10" ht="15" customHeight="1" x14ac:dyDescent="0.25">
      <c r="A644" s="3"/>
      <c r="B644" s="3"/>
      <c r="C644" s="18"/>
      <c r="D644" s="15"/>
      <c r="E644" s="3"/>
      <c r="F644" s="3"/>
      <c r="G644" s="3"/>
      <c r="H644" s="3"/>
      <c r="I644" s="3"/>
      <c r="J644" s="19"/>
    </row>
    <row r="645" spans="1:10" ht="15" customHeight="1" x14ac:dyDescent="0.25">
      <c r="A645" s="3"/>
      <c r="B645" s="3"/>
      <c r="C645" s="18"/>
      <c r="D645" s="15"/>
      <c r="E645" s="3"/>
      <c r="F645" s="3"/>
      <c r="G645" s="3"/>
      <c r="H645" s="3"/>
      <c r="I645" s="3"/>
      <c r="J645" s="19"/>
    </row>
    <row r="646" spans="1:10" ht="15" customHeight="1" x14ac:dyDescent="0.25">
      <c r="A646" s="3"/>
      <c r="B646" s="3"/>
      <c r="C646" s="18"/>
      <c r="D646" s="15"/>
      <c r="E646" s="3"/>
      <c r="F646" s="3"/>
      <c r="G646" s="3"/>
      <c r="H646" s="3"/>
      <c r="I646" s="3"/>
      <c r="J646" s="19"/>
    </row>
    <row r="647" spans="1:10" ht="15" customHeight="1" x14ac:dyDescent="0.25">
      <c r="A647" s="3"/>
      <c r="B647" s="3"/>
      <c r="C647" s="18"/>
      <c r="D647" s="15"/>
      <c r="E647" s="3"/>
      <c r="F647" s="3"/>
      <c r="G647" s="3"/>
      <c r="H647" s="3"/>
      <c r="I647" s="3"/>
      <c r="J647" s="19"/>
    </row>
    <row r="648" spans="1:10" ht="15" customHeight="1" x14ac:dyDescent="0.25">
      <c r="A648" s="3"/>
      <c r="B648" s="3"/>
      <c r="C648" s="18"/>
      <c r="D648" s="15"/>
      <c r="E648" s="3"/>
      <c r="F648" s="3"/>
      <c r="G648" s="3"/>
      <c r="H648" s="3"/>
      <c r="I648" s="3"/>
      <c r="J648" s="19"/>
    </row>
    <row r="649" spans="1:10" ht="15" customHeight="1" x14ac:dyDescent="0.25">
      <c r="A649" s="3"/>
      <c r="B649" s="3"/>
      <c r="C649" s="18"/>
      <c r="D649" s="15"/>
      <c r="E649" s="3"/>
      <c r="F649" s="3"/>
      <c r="G649" s="3"/>
      <c r="H649" s="3"/>
      <c r="I649" s="3"/>
      <c r="J649" s="19"/>
    </row>
    <row r="650" spans="1:10" ht="15" customHeight="1" x14ac:dyDescent="0.25">
      <c r="A650" s="3"/>
      <c r="B650" s="3"/>
      <c r="C650" s="18"/>
      <c r="D650" s="15"/>
      <c r="E650" s="3"/>
      <c r="F650" s="3"/>
      <c r="G650" s="3"/>
      <c r="H650" s="3"/>
      <c r="I650" s="3"/>
      <c r="J650" s="19"/>
    </row>
    <row r="651" spans="1:10" ht="15" customHeight="1" x14ac:dyDescent="0.25">
      <c r="A651" s="3"/>
      <c r="B651" s="3"/>
      <c r="C651" s="18"/>
      <c r="D651" s="15"/>
      <c r="E651" s="3"/>
      <c r="F651" s="3"/>
      <c r="G651" s="3"/>
      <c r="H651" s="3"/>
      <c r="I651" s="3"/>
      <c r="J651" s="19"/>
    </row>
    <row r="652" spans="1:10" ht="15" customHeight="1" x14ac:dyDescent="0.25">
      <c r="A652" s="3"/>
      <c r="B652" s="3"/>
      <c r="C652" s="18"/>
      <c r="D652" s="15"/>
      <c r="E652" s="3"/>
      <c r="F652" s="3"/>
      <c r="G652" s="3"/>
      <c r="H652" s="3"/>
      <c r="I652" s="3"/>
      <c r="J652" s="19"/>
    </row>
    <row r="653" spans="1:10" ht="15" customHeight="1" x14ac:dyDescent="0.25">
      <c r="A653" s="3"/>
      <c r="B653" s="3"/>
      <c r="C653" s="18"/>
      <c r="D653" s="15"/>
      <c r="E653" s="3"/>
      <c r="F653" s="3"/>
      <c r="G653" s="3"/>
      <c r="H653" s="3"/>
      <c r="I653" s="3"/>
      <c r="J653" s="19"/>
    </row>
    <row r="654" spans="1:10" ht="15" customHeight="1" x14ac:dyDescent="0.25">
      <c r="A654" s="3"/>
      <c r="B654" s="3"/>
      <c r="C654" s="18"/>
      <c r="D654" s="15"/>
      <c r="E654" s="3"/>
      <c r="F654" s="3"/>
      <c r="G654" s="3"/>
      <c r="H654" s="3"/>
      <c r="I654" s="3"/>
      <c r="J654" s="19"/>
    </row>
    <row r="655" spans="1:10" ht="15" customHeight="1" x14ac:dyDescent="0.25">
      <c r="A655" s="3"/>
      <c r="B655" s="3"/>
      <c r="C655" s="18"/>
      <c r="D655" s="15"/>
      <c r="E655" s="3"/>
      <c r="F655" s="3"/>
      <c r="G655" s="3"/>
      <c r="H655" s="3"/>
      <c r="I655" s="3"/>
      <c r="J655" s="19"/>
    </row>
    <row r="656" spans="1:10" ht="15" customHeight="1" x14ac:dyDescent="0.25">
      <c r="A656" s="3"/>
      <c r="B656" s="3"/>
      <c r="C656" s="18"/>
      <c r="D656" s="15"/>
      <c r="E656" s="3"/>
      <c r="F656" s="3"/>
      <c r="G656" s="3"/>
      <c r="H656" s="3"/>
      <c r="I656" s="3"/>
      <c r="J656" s="19"/>
    </row>
    <row r="657" spans="1:10" ht="15" customHeight="1" x14ac:dyDescent="0.25">
      <c r="A657" s="3"/>
      <c r="B657" s="3"/>
      <c r="C657" s="18"/>
      <c r="D657" s="15"/>
      <c r="E657" s="3"/>
      <c r="F657" s="3"/>
      <c r="G657" s="3"/>
      <c r="H657" s="3"/>
      <c r="I657" s="3"/>
      <c r="J657" s="19"/>
    </row>
    <row r="658" spans="1:10" ht="15" customHeight="1" x14ac:dyDescent="0.25">
      <c r="A658" s="3"/>
      <c r="B658" s="3"/>
      <c r="C658" s="18"/>
      <c r="D658" s="15"/>
      <c r="E658" s="3"/>
      <c r="F658" s="3"/>
      <c r="G658" s="3"/>
      <c r="H658" s="3"/>
      <c r="I658" s="3"/>
      <c r="J658" s="19"/>
    </row>
    <row r="659" spans="1:10" ht="15" customHeight="1" x14ac:dyDescent="0.25">
      <c r="A659" s="3"/>
      <c r="B659" s="3"/>
      <c r="C659" s="18"/>
      <c r="D659" s="15"/>
      <c r="E659" s="3"/>
      <c r="F659" s="3"/>
      <c r="G659" s="3"/>
      <c r="H659" s="3"/>
      <c r="I659" s="3"/>
      <c r="J659" s="19"/>
    </row>
    <row r="660" spans="1:10" ht="15" customHeight="1" x14ac:dyDescent="0.25">
      <c r="A660" s="3"/>
      <c r="B660" s="3"/>
      <c r="C660" s="18"/>
      <c r="D660" s="15"/>
      <c r="E660" s="3"/>
      <c r="F660" s="3"/>
      <c r="G660" s="3"/>
      <c r="H660" s="3"/>
      <c r="I660" s="3"/>
      <c r="J660" s="19"/>
    </row>
    <row r="661" spans="1:10" ht="15" customHeight="1" x14ac:dyDescent="0.25">
      <c r="A661" s="3"/>
      <c r="B661" s="3"/>
      <c r="C661" s="18"/>
      <c r="D661" s="15"/>
      <c r="E661" s="3"/>
      <c r="F661" s="3"/>
      <c r="G661" s="3"/>
      <c r="H661" s="3"/>
      <c r="I661" s="3"/>
      <c r="J661" s="19"/>
    </row>
    <row r="662" spans="1:10" ht="15" customHeight="1" x14ac:dyDescent="0.25">
      <c r="A662" s="3"/>
      <c r="B662" s="3"/>
      <c r="C662" s="18"/>
      <c r="D662" s="15"/>
      <c r="E662" s="3"/>
      <c r="F662" s="3"/>
      <c r="G662" s="3"/>
      <c r="H662" s="3"/>
      <c r="I662" s="3"/>
      <c r="J662" s="19"/>
    </row>
    <row r="663" spans="1:10" ht="15" customHeight="1" x14ac:dyDescent="0.25">
      <c r="A663" s="3"/>
      <c r="B663" s="3"/>
      <c r="C663" s="18"/>
      <c r="D663" s="15"/>
      <c r="E663" s="3"/>
      <c r="F663" s="3"/>
      <c r="G663" s="3"/>
      <c r="H663" s="3"/>
      <c r="I663" s="3"/>
      <c r="J663" s="19"/>
    </row>
    <row r="664" spans="1:10" ht="15" customHeight="1" x14ac:dyDescent="0.25">
      <c r="A664" s="3"/>
      <c r="B664" s="3"/>
      <c r="C664" s="18"/>
      <c r="D664" s="15"/>
      <c r="E664" s="3"/>
      <c r="F664" s="3"/>
      <c r="G664" s="3"/>
      <c r="H664" s="3"/>
      <c r="I664" s="3"/>
      <c r="J664" s="19"/>
    </row>
    <row r="665" spans="1:10" ht="15" customHeight="1" x14ac:dyDescent="0.25">
      <c r="A665" s="3"/>
      <c r="B665" s="3"/>
      <c r="C665" s="18"/>
      <c r="D665" s="15"/>
      <c r="E665" s="3"/>
      <c r="F665" s="3"/>
      <c r="G665" s="3"/>
      <c r="H665" s="3"/>
      <c r="I665" s="3"/>
      <c r="J665" s="19"/>
    </row>
    <row r="666" spans="1:10" ht="15" customHeight="1" x14ac:dyDescent="0.25">
      <c r="A666" s="3"/>
      <c r="B666" s="3"/>
      <c r="C666" s="18"/>
      <c r="D666" s="15"/>
      <c r="E666" s="3"/>
      <c r="F666" s="3"/>
      <c r="G666" s="3"/>
      <c r="H666" s="3"/>
      <c r="I666" s="3"/>
      <c r="J666" s="19"/>
    </row>
    <row r="667" spans="1:10" ht="15" customHeight="1" x14ac:dyDescent="0.25">
      <c r="A667" s="3"/>
      <c r="B667" s="3"/>
      <c r="C667" s="18"/>
      <c r="D667" s="15"/>
      <c r="E667" s="3"/>
      <c r="F667" s="3"/>
      <c r="G667" s="3"/>
      <c r="H667" s="3"/>
      <c r="I667" s="3"/>
      <c r="J667" s="19"/>
    </row>
    <row r="668" spans="1:10" ht="15" customHeight="1" x14ac:dyDescent="0.25">
      <c r="A668" s="3"/>
      <c r="B668" s="3"/>
      <c r="C668" s="18"/>
      <c r="D668" s="15"/>
      <c r="E668" s="3"/>
      <c r="F668" s="3"/>
      <c r="G668" s="3"/>
      <c r="H668" s="3"/>
      <c r="I668" s="3"/>
      <c r="J668" s="19"/>
    </row>
    <row r="669" spans="1:10" ht="15" customHeight="1" x14ac:dyDescent="0.25">
      <c r="A669" s="3"/>
      <c r="B669" s="3"/>
      <c r="C669" s="18"/>
      <c r="D669" s="15"/>
      <c r="E669" s="3"/>
      <c r="F669" s="3"/>
      <c r="G669" s="3"/>
      <c r="H669" s="3"/>
      <c r="I669" s="3"/>
      <c r="J669" s="19"/>
    </row>
    <row r="670" spans="1:10" ht="15" customHeight="1" x14ac:dyDescent="0.25">
      <c r="A670" s="3"/>
      <c r="B670" s="3"/>
      <c r="C670" s="18"/>
      <c r="D670" s="15"/>
      <c r="E670" s="3"/>
      <c r="F670" s="3"/>
      <c r="G670" s="3"/>
      <c r="H670" s="3"/>
      <c r="I670" s="3"/>
      <c r="J670" s="19"/>
    </row>
    <row r="671" spans="1:10" ht="15" customHeight="1" x14ac:dyDescent="0.25">
      <c r="A671" s="3"/>
      <c r="B671" s="3"/>
      <c r="C671" s="18"/>
      <c r="D671" s="15"/>
      <c r="E671" s="3"/>
      <c r="F671" s="3"/>
      <c r="G671" s="3"/>
      <c r="H671" s="3"/>
      <c r="I671" s="3"/>
      <c r="J671" s="19"/>
    </row>
    <row r="672" spans="1:10" ht="15" customHeight="1" x14ac:dyDescent="0.25">
      <c r="A672" s="3"/>
      <c r="B672" s="3"/>
      <c r="C672" s="18"/>
      <c r="D672" s="15"/>
      <c r="E672" s="3"/>
      <c r="F672" s="3"/>
      <c r="G672" s="3"/>
      <c r="H672" s="3"/>
      <c r="I672" s="3"/>
      <c r="J672" s="19"/>
    </row>
    <row r="673" spans="1:10" ht="15" customHeight="1" x14ac:dyDescent="0.25">
      <c r="A673" s="3"/>
      <c r="B673" s="3"/>
      <c r="C673" s="18"/>
      <c r="D673" s="15"/>
      <c r="E673" s="3"/>
      <c r="F673" s="3"/>
      <c r="G673" s="3"/>
      <c r="H673" s="3"/>
      <c r="I673" s="3"/>
      <c r="J673" s="19"/>
    </row>
    <row r="674" spans="1:10" ht="15" customHeight="1" x14ac:dyDescent="0.25">
      <c r="A674" s="3"/>
      <c r="B674" s="3"/>
      <c r="C674" s="18"/>
      <c r="D674" s="15"/>
      <c r="E674" s="3"/>
      <c r="F674" s="3"/>
      <c r="G674" s="3"/>
      <c r="H674" s="3"/>
      <c r="I674" s="3"/>
      <c r="J674" s="19"/>
    </row>
    <row r="675" spans="1:10" ht="15" customHeight="1" x14ac:dyDescent="0.25">
      <c r="A675" s="3"/>
      <c r="B675" s="3"/>
      <c r="C675" s="18"/>
      <c r="D675" s="15"/>
      <c r="E675" s="3"/>
      <c r="F675" s="3"/>
      <c r="G675" s="3"/>
      <c r="H675" s="3"/>
      <c r="I675" s="3"/>
      <c r="J675" s="19"/>
    </row>
    <row r="676" spans="1:10" ht="15" customHeight="1" x14ac:dyDescent="0.25">
      <c r="A676" s="3"/>
      <c r="B676" s="3"/>
      <c r="C676" s="18"/>
      <c r="D676" s="15"/>
      <c r="E676" s="3"/>
      <c r="F676" s="3"/>
      <c r="G676" s="3"/>
      <c r="H676" s="3"/>
      <c r="I676" s="3"/>
      <c r="J676" s="19"/>
    </row>
    <row r="677" spans="1:10" ht="15" customHeight="1" x14ac:dyDescent="0.25">
      <c r="A677" s="3"/>
      <c r="B677" s="3"/>
      <c r="C677" s="18"/>
      <c r="D677" s="15"/>
      <c r="E677" s="3"/>
      <c r="F677" s="3"/>
      <c r="G677" s="3"/>
      <c r="H677" s="3"/>
      <c r="I677" s="3"/>
      <c r="J677" s="19"/>
    </row>
    <row r="678" spans="1:10" ht="15" customHeight="1" x14ac:dyDescent="0.25">
      <c r="A678" s="3"/>
      <c r="B678" s="3"/>
      <c r="C678" s="18"/>
      <c r="D678" s="15"/>
      <c r="E678" s="3"/>
      <c r="F678" s="3"/>
      <c r="G678" s="3"/>
      <c r="H678" s="3"/>
      <c r="I678" s="3"/>
      <c r="J678" s="19"/>
    </row>
    <row r="679" spans="1:10" ht="15" customHeight="1" x14ac:dyDescent="0.25">
      <c r="A679" s="3"/>
      <c r="B679" s="3"/>
      <c r="C679" s="18"/>
      <c r="D679" s="15"/>
      <c r="E679" s="3"/>
      <c r="F679" s="3"/>
      <c r="G679" s="3"/>
      <c r="H679" s="3"/>
      <c r="I679" s="3"/>
      <c r="J679" s="19"/>
    </row>
    <row r="680" spans="1:10" ht="15" customHeight="1" x14ac:dyDescent="0.25">
      <c r="A680" s="3"/>
      <c r="B680" s="3"/>
      <c r="C680" s="18"/>
      <c r="D680" s="15"/>
      <c r="E680" s="3"/>
      <c r="F680" s="3"/>
      <c r="G680" s="3"/>
      <c r="H680" s="3"/>
      <c r="I680" s="3"/>
      <c r="J680" s="19"/>
    </row>
    <row r="681" spans="1:10" ht="15" customHeight="1" x14ac:dyDescent="0.25">
      <c r="A681" s="3"/>
      <c r="B681" s="3"/>
      <c r="C681" s="18"/>
      <c r="D681" s="15"/>
      <c r="E681" s="3"/>
      <c r="F681" s="3"/>
      <c r="G681" s="3"/>
      <c r="H681" s="3"/>
      <c r="I681" s="3"/>
      <c r="J681" s="19"/>
    </row>
    <row r="682" spans="1:10" ht="15" customHeight="1" x14ac:dyDescent="0.25">
      <c r="A682" s="3"/>
      <c r="B682" s="3"/>
      <c r="C682" s="18"/>
      <c r="D682" s="15"/>
      <c r="E682" s="3"/>
      <c r="F682" s="3"/>
      <c r="G682" s="3"/>
      <c r="H682" s="3"/>
      <c r="I682" s="3"/>
      <c r="J682" s="19"/>
    </row>
    <row r="683" spans="1:10" ht="15" customHeight="1" x14ac:dyDescent="0.25">
      <c r="A683" s="3"/>
      <c r="B683" s="3"/>
      <c r="C683" s="18"/>
      <c r="D683" s="15"/>
      <c r="E683" s="3"/>
      <c r="F683" s="3"/>
      <c r="G683" s="3"/>
      <c r="H683" s="3"/>
      <c r="I683" s="3"/>
      <c r="J683" s="19"/>
    </row>
    <row r="684" spans="1:10" ht="15" customHeight="1" x14ac:dyDescent="0.25">
      <c r="A684" s="3"/>
      <c r="B684" s="3"/>
      <c r="C684" s="18"/>
      <c r="D684" s="15"/>
      <c r="E684" s="3"/>
      <c r="F684" s="3"/>
      <c r="G684" s="3"/>
      <c r="H684" s="3"/>
      <c r="I684" s="3"/>
      <c r="J684" s="19"/>
    </row>
    <row r="685" spans="1:10" ht="15" customHeight="1" x14ac:dyDescent="0.25">
      <c r="A685" s="3"/>
      <c r="B685" s="3"/>
      <c r="C685" s="18"/>
      <c r="D685" s="15"/>
      <c r="E685" s="3"/>
      <c r="F685" s="3"/>
      <c r="G685" s="3"/>
      <c r="H685" s="3"/>
      <c r="I685" s="3"/>
      <c r="J685" s="19"/>
    </row>
    <row r="686" spans="1:10" ht="15" customHeight="1" x14ac:dyDescent="0.25">
      <c r="A686" s="3"/>
      <c r="B686" s="3"/>
      <c r="C686" s="18"/>
      <c r="D686" s="15"/>
      <c r="E686" s="3"/>
      <c r="F686" s="3"/>
      <c r="G686" s="3"/>
      <c r="H686" s="3"/>
      <c r="I686" s="3"/>
      <c r="J686" s="19"/>
    </row>
    <row r="687" spans="1:10" ht="15" customHeight="1" x14ac:dyDescent="0.25">
      <c r="A687" s="3"/>
      <c r="B687" s="3"/>
      <c r="C687" s="18"/>
      <c r="D687" s="15"/>
      <c r="E687" s="3"/>
      <c r="F687" s="3"/>
      <c r="G687" s="3"/>
      <c r="H687" s="3"/>
      <c r="I687" s="3"/>
      <c r="J687" s="19"/>
    </row>
    <row r="688" spans="1:10" ht="15" customHeight="1" x14ac:dyDescent="0.25">
      <c r="A688" s="3"/>
      <c r="B688" s="3"/>
      <c r="C688" s="18"/>
      <c r="D688" s="15"/>
      <c r="E688" s="3"/>
      <c r="F688" s="3"/>
      <c r="G688" s="3"/>
      <c r="H688" s="3"/>
      <c r="I688" s="3"/>
      <c r="J688" s="19"/>
    </row>
    <row r="689" spans="1:10" ht="15" customHeight="1" x14ac:dyDescent="0.25">
      <c r="A689" s="3"/>
      <c r="B689" s="3"/>
      <c r="C689" s="18"/>
      <c r="D689" s="15"/>
      <c r="E689" s="3"/>
      <c r="F689" s="3"/>
      <c r="G689" s="3"/>
      <c r="H689" s="3"/>
      <c r="I689" s="3"/>
      <c r="J689" s="19"/>
    </row>
    <row r="690" spans="1:10" ht="15" customHeight="1" x14ac:dyDescent="0.25">
      <c r="A690" s="3"/>
      <c r="B690" s="3"/>
      <c r="C690" s="18"/>
      <c r="D690" s="15"/>
      <c r="E690" s="3"/>
      <c r="F690" s="3"/>
      <c r="G690" s="3"/>
      <c r="H690" s="3"/>
      <c r="I690" s="3"/>
      <c r="J690" s="19"/>
    </row>
    <row r="691" spans="1:10" ht="15" customHeight="1" x14ac:dyDescent="0.25">
      <c r="A691" s="3"/>
      <c r="B691" s="3"/>
      <c r="C691" s="18"/>
      <c r="D691" s="15"/>
      <c r="E691" s="3"/>
      <c r="F691" s="3"/>
      <c r="G691" s="3"/>
      <c r="H691" s="3"/>
      <c r="I691" s="3"/>
      <c r="J691" s="19"/>
    </row>
    <row r="692" spans="1:10" ht="15" customHeight="1" x14ac:dyDescent="0.25">
      <c r="A692" s="3"/>
      <c r="B692" s="3"/>
      <c r="C692" s="18"/>
      <c r="D692" s="15"/>
      <c r="E692" s="3"/>
      <c r="F692" s="3"/>
      <c r="G692" s="3"/>
      <c r="H692" s="3"/>
      <c r="I692" s="3"/>
      <c r="J692" s="19"/>
    </row>
    <row r="693" spans="1:10" ht="15" customHeight="1" x14ac:dyDescent="0.25">
      <c r="A693" s="3"/>
      <c r="B693" s="3"/>
      <c r="C693" s="18"/>
      <c r="D693" s="15"/>
      <c r="E693" s="3"/>
      <c r="F693" s="3"/>
      <c r="G693" s="3"/>
      <c r="H693" s="3"/>
      <c r="I693" s="3"/>
      <c r="J693" s="19"/>
    </row>
    <row r="694" spans="1:10" ht="15" customHeight="1" x14ac:dyDescent="0.25">
      <c r="A694" s="3"/>
      <c r="B694" s="3"/>
      <c r="C694" s="18"/>
      <c r="D694" s="15"/>
      <c r="E694" s="3"/>
      <c r="F694" s="3"/>
      <c r="G694" s="3"/>
      <c r="H694" s="3"/>
      <c r="I694" s="3"/>
      <c r="J694" s="19"/>
    </row>
    <row r="695" spans="1:10" ht="15" customHeight="1" x14ac:dyDescent="0.25">
      <c r="A695" s="3"/>
      <c r="B695" s="3"/>
      <c r="C695" s="18"/>
      <c r="D695" s="15"/>
      <c r="E695" s="3"/>
      <c r="F695" s="3"/>
      <c r="G695" s="3"/>
      <c r="H695" s="3"/>
      <c r="I695" s="3"/>
      <c r="J695" s="19"/>
    </row>
    <row r="696" spans="1:10" ht="15" customHeight="1" x14ac:dyDescent="0.25">
      <c r="A696" s="3"/>
      <c r="B696" s="3"/>
      <c r="C696" s="18"/>
      <c r="D696" s="15"/>
      <c r="E696" s="3"/>
      <c r="F696" s="3"/>
      <c r="G696" s="3"/>
      <c r="H696" s="3"/>
      <c r="I696" s="3"/>
      <c r="J696" s="19"/>
    </row>
    <row r="697" spans="1:10" ht="15" customHeight="1" x14ac:dyDescent="0.25">
      <c r="A697" s="3"/>
      <c r="B697" s="3"/>
      <c r="C697" s="18"/>
      <c r="D697" s="15"/>
      <c r="E697" s="3"/>
      <c r="F697" s="3"/>
      <c r="G697" s="3"/>
      <c r="H697" s="3"/>
      <c r="I697" s="3"/>
      <c r="J697" s="19"/>
    </row>
    <row r="698" spans="1:10" ht="15" customHeight="1" x14ac:dyDescent="0.25">
      <c r="A698" s="3"/>
      <c r="B698" s="3"/>
      <c r="C698" s="18"/>
      <c r="D698" s="15"/>
      <c r="E698" s="3"/>
      <c r="F698" s="3"/>
      <c r="G698" s="3"/>
      <c r="H698" s="3"/>
      <c r="I698" s="3"/>
      <c r="J698" s="19"/>
    </row>
    <row r="699" spans="1:10" ht="15" customHeight="1" x14ac:dyDescent="0.25">
      <c r="A699" s="3"/>
      <c r="B699" s="3"/>
      <c r="C699" s="18"/>
      <c r="D699" s="15"/>
      <c r="E699" s="3"/>
      <c r="F699" s="3"/>
      <c r="G699" s="3"/>
      <c r="H699" s="3"/>
      <c r="I699" s="3"/>
      <c r="J699" s="19"/>
    </row>
    <row r="700" spans="1:10" ht="15" customHeight="1" x14ac:dyDescent="0.25">
      <c r="A700" s="3"/>
      <c r="B700" s="3"/>
      <c r="C700" s="18"/>
      <c r="D700" s="15"/>
      <c r="E700" s="3"/>
      <c r="F700" s="3"/>
      <c r="G700" s="3"/>
      <c r="H700" s="3"/>
      <c r="I700" s="3"/>
      <c r="J700" s="19"/>
    </row>
    <row r="701" spans="1:10" ht="15" customHeight="1" x14ac:dyDescent="0.25">
      <c r="A701" s="3"/>
      <c r="B701" s="3"/>
      <c r="C701" s="18"/>
      <c r="D701" s="15"/>
      <c r="E701" s="3"/>
      <c r="F701" s="3"/>
      <c r="G701" s="3"/>
      <c r="H701" s="3"/>
      <c r="I701" s="3"/>
      <c r="J701" s="19"/>
    </row>
    <row r="702" spans="1:10" ht="15" customHeight="1" x14ac:dyDescent="0.25">
      <c r="A702" s="3"/>
      <c r="B702" s="3"/>
      <c r="C702" s="18"/>
      <c r="D702" s="15"/>
      <c r="E702" s="3"/>
      <c r="F702" s="3"/>
      <c r="G702" s="3"/>
      <c r="H702" s="3"/>
      <c r="I702" s="3"/>
      <c r="J702" s="19"/>
    </row>
    <row r="703" spans="1:10" ht="15" customHeight="1" x14ac:dyDescent="0.25">
      <c r="A703" s="3"/>
      <c r="B703" s="3"/>
      <c r="C703" s="18"/>
      <c r="D703" s="15"/>
      <c r="E703" s="3"/>
      <c r="F703" s="3"/>
      <c r="G703" s="3"/>
      <c r="H703" s="3"/>
      <c r="I703" s="3"/>
      <c r="J703" s="19"/>
    </row>
    <row r="704" spans="1:10" ht="15" customHeight="1" x14ac:dyDescent="0.25">
      <c r="A704" s="3"/>
      <c r="B704" s="3"/>
      <c r="C704" s="18"/>
      <c r="D704" s="15"/>
      <c r="E704" s="3"/>
      <c r="F704" s="3"/>
      <c r="G704" s="3"/>
      <c r="H704" s="3"/>
      <c r="I704" s="3"/>
      <c r="J704" s="19"/>
    </row>
    <row r="705" spans="1:10" ht="15" customHeight="1" x14ac:dyDescent="0.25">
      <c r="A705" s="3"/>
      <c r="B705" s="3"/>
      <c r="C705" s="18"/>
      <c r="D705" s="15"/>
      <c r="E705" s="3"/>
      <c r="F705" s="3"/>
      <c r="G705" s="3"/>
      <c r="H705" s="3"/>
      <c r="I705" s="3"/>
      <c r="J705" s="19"/>
    </row>
    <row r="706" spans="1:10" ht="15" customHeight="1" x14ac:dyDescent="0.25">
      <c r="A706" s="3"/>
      <c r="B706" s="3"/>
      <c r="C706" s="18"/>
      <c r="D706" s="15"/>
      <c r="E706" s="3"/>
      <c r="F706" s="3"/>
      <c r="G706" s="3"/>
      <c r="H706" s="3"/>
      <c r="I706" s="3"/>
      <c r="J706" s="19"/>
    </row>
    <row r="707" spans="1:10" ht="15" customHeight="1" x14ac:dyDescent="0.25">
      <c r="A707" s="3"/>
      <c r="B707" s="3"/>
      <c r="C707" s="18"/>
      <c r="D707" s="15"/>
      <c r="E707" s="3"/>
      <c r="F707" s="3"/>
      <c r="G707" s="3"/>
      <c r="H707" s="3"/>
      <c r="I707" s="3"/>
      <c r="J707" s="19"/>
    </row>
    <row r="708" spans="1:10" ht="15" customHeight="1" x14ac:dyDescent="0.25">
      <c r="A708" s="3"/>
      <c r="B708" s="3"/>
      <c r="C708" s="18"/>
      <c r="D708" s="15"/>
      <c r="E708" s="3"/>
      <c r="F708" s="3"/>
      <c r="G708" s="3"/>
      <c r="H708" s="3"/>
      <c r="I708" s="3"/>
      <c r="J708" s="19"/>
    </row>
    <row r="709" spans="1:10" ht="15" customHeight="1" x14ac:dyDescent="0.25">
      <c r="A709" s="3"/>
      <c r="B709" s="3"/>
      <c r="C709" s="18"/>
      <c r="D709" s="15"/>
      <c r="E709" s="3"/>
      <c r="F709" s="3"/>
      <c r="G709" s="3"/>
      <c r="H709" s="3"/>
      <c r="I709" s="3"/>
      <c r="J709" s="19"/>
    </row>
    <row r="710" spans="1:10" ht="15" customHeight="1" x14ac:dyDescent="0.25">
      <c r="A710" s="3"/>
      <c r="B710" s="3"/>
      <c r="C710" s="18"/>
      <c r="D710" s="15"/>
      <c r="E710" s="3"/>
      <c r="F710" s="3"/>
      <c r="G710" s="3"/>
      <c r="H710" s="3"/>
      <c r="I710" s="3"/>
      <c r="J710" s="19"/>
    </row>
    <row r="711" spans="1:10" ht="15" customHeight="1" x14ac:dyDescent="0.25">
      <c r="A711" s="3"/>
      <c r="B711" s="3"/>
      <c r="C711" s="18"/>
      <c r="D711" s="15"/>
      <c r="E711" s="3"/>
      <c r="F711" s="3"/>
      <c r="G711" s="3"/>
      <c r="H711" s="3"/>
      <c r="I711" s="3"/>
      <c r="J711" s="19"/>
    </row>
    <row r="712" spans="1:10" ht="15" customHeight="1" x14ac:dyDescent="0.25">
      <c r="A712" s="3"/>
      <c r="B712" s="3"/>
      <c r="C712" s="18"/>
      <c r="D712" s="15"/>
      <c r="E712" s="3"/>
      <c r="F712" s="3"/>
      <c r="G712" s="3"/>
      <c r="H712" s="3"/>
      <c r="I712" s="3"/>
      <c r="J712" s="19"/>
    </row>
    <row r="713" spans="1:10" ht="15" customHeight="1" x14ac:dyDescent="0.25">
      <c r="A713" s="3"/>
      <c r="B713" s="3"/>
      <c r="C713" s="18"/>
      <c r="D713" s="15"/>
      <c r="E713" s="3"/>
      <c r="F713" s="3"/>
      <c r="G713" s="3"/>
      <c r="H713" s="3"/>
      <c r="I713" s="3"/>
      <c r="J713" s="19"/>
    </row>
    <row r="714" spans="1:10" ht="15" customHeight="1" x14ac:dyDescent="0.25">
      <c r="A714" s="3"/>
      <c r="B714" s="3"/>
      <c r="C714" s="18"/>
      <c r="D714" s="15"/>
      <c r="E714" s="3"/>
      <c r="F714" s="3"/>
      <c r="G714" s="3"/>
      <c r="H714" s="3"/>
      <c r="I714" s="3"/>
      <c r="J714" s="19"/>
    </row>
    <row r="715" spans="1:10" ht="15" customHeight="1" x14ac:dyDescent="0.25">
      <c r="A715" s="3"/>
      <c r="B715" s="3"/>
      <c r="C715" s="18"/>
      <c r="D715" s="15"/>
      <c r="E715" s="3"/>
      <c r="F715" s="3"/>
      <c r="G715" s="3"/>
      <c r="H715" s="3"/>
      <c r="I715" s="3"/>
      <c r="J715" s="19"/>
    </row>
    <row r="716" spans="1:10" ht="15" customHeight="1" x14ac:dyDescent="0.25">
      <c r="A716" s="3"/>
      <c r="B716" s="3"/>
      <c r="C716" s="18"/>
      <c r="D716" s="15"/>
      <c r="E716" s="3"/>
      <c r="F716" s="3"/>
      <c r="G716" s="3"/>
      <c r="H716" s="3"/>
      <c r="I716" s="3"/>
      <c r="J716" s="19"/>
    </row>
    <row r="717" spans="1:10" ht="15" customHeight="1" x14ac:dyDescent="0.25">
      <c r="A717" s="3"/>
      <c r="B717" s="3"/>
      <c r="C717" s="18"/>
      <c r="D717" s="15"/>
      <c r="E717" s="3"/>
      <c r="F717" s="3"/>
      <c r="G717" s="3"/>
      <c r="H717" s="3"/>
      <c r="I717" s="3"/>
      <c r="J717" s="19"/>
    </row>
    <row r="718" spans="1:10" ht="15" customHeight="1" x14ac:dyDescent="0.25">
      <c r="A718" s="3"/>
      <c r="B718" s="3"/>
      <c r="C718" s="18"/>
      <c r="D718" s="15"/>
      <c r="E718" s="3"/>
      <c r="F718" s="3"/>
      <c r="G718" s="3"/>
      <c r="H718" s="3"/>
      <c r="I718" s="3"/>
      <c r="J718" s="19"/>
    </row>
    <row r="719" spans="1:10" ht="15" customHeight="1" x14ac:dyDescent="0.25">
      <c r="A719" s="3"/>
      <c r="B719" s="3"/>
      <c r="C719" s="18"/>
      <c r="D719" s="15"/>
      <c r="E719" s="3"/>
      <c r="F719" s="3"/>
      <c r="G719" s="3"/>
      <c r="H719" s="3"/>
      <c r="I719" s="3"/>
      <c r="J719" s="19"/>
    </row>
    <row r="720" spans="1:10" ht="15" customHeight="1" x14ac:dyDescent="0.25">
      <c r="A720" s="3"/>
      <c r="B720" s="3"/>
      <c r="C720" s="18"/>
      <c r="D720" s="15"/>
      <c r="E720" s="3"/>
      <c r="F720" s="3"/>
      <c r="G720" s="3"/>
      <c r="H720" s="3"/>
      <c r="I720" s="3"/>
      <c r="J720" s="19"/>
    </row>
    <row r="721" spans="1:10" ht="15" customHeight="1" x14ac:dyDescent="0.25">
      <c r="A721" s="3"/>
      <c r="B721" s="3"/>
      <c r="C721" s="18"/>
      <c r="D721" s="15"/>
      <c r="E721" s="3"/>
      <c r="F721" s="3"/>
      <c r="G721" s="3"/>
      <c r="H721" s="3"/>
      <c r="I721" s="3"/>
      <c r="J721" s="19"/>
    </row>
    <row r="722" spans="1:10" ht="15" customHeight="1" x14ac:dyDescent="0.25">
      <c r="A722" s="3"/>
      <c r="B722" s="3"/>
      <c r="C722" s="18"/>
      <c r="D722" s="15"/>
      <c r="E722" s="3"/>
      <c r="F722" s="3"/>
      <c r="G722" s="3"/>
      <c r="H722" s="3"/>
      <c r="I722" s="3"/>
      <c r="J722" s="19"/>
    </row>
    <row r="723" spans="1:10" ht="15" customHeight="1" x14ac:dyDescent="0.25">
      <c r="A723" s="3"/>
      <c r="B723" s="3"/>
      <c r="C723" s="18"/>
      <c r="D723" s="15"/>
      <c r="E723" s="3"/>
      <c r="F723" s="3"/>
      <c r="G723" s="3"/>
      <c r="H723" s="3"/>
      <c r="I723" s="3"/>
      <c r="J723" s="19"/>
    </row>
    <row r="724" spans="1:10" ht="15" customHeight="1" x14ac:dyDescent="0.25">
      <c r="A724" s="3"/>
      <c r="B724" s="3"/>
      <c r="C724" s="18"/>
      <c r="D724" s="15"/>
      <c r="E724" s="3"/>
      <c r="F724" s="3"/>
      <c r="G724" s="3"/>
      <c r="H724" s="3"/>
      <c r="I724" s="3"/>
      <c r="J724" s="19"/>
    </row>
    <row r="725" spans="1:10" ht="15" customHeight="1" x14ac:dyDescent="0.25">
      <c r="A725" s="3"/>
      <c r="B725" s="3"/>
      <c r="C725" s="18"/>
      <c r="D725" s="15"/>
      <c r="E725" s="3"/>
      <c r="F725" s="3"/>
      <c r="G725" s="3"/>
      <c r="H725" s="3"/>
      <c r="I725" s="3"/>
      <c r="J725" s="19"/>
    </row>
    <row r="726" spans="1:10" ht="15" customHeight="1" x14ac:dyDescent="0.25">
      <c r="A726" s="3"/>
      <c r="B726" s="3"/>
      <c r="C726" s="18"/>
      <c r="D726" s="15"/>
      <c r="E726" s="3"/>
      <c r="F726" s="3"/>
      <c r="G726" s="3"/>
      <c r="H726" s="3"/>
      <c r="I726" s="3"/>
      <c r="J726" s="19"/>
    </row>
    <row r="727" spans="1:10" ht="15" customHeight="1" x14ac:dyDescent="0.25">
      <c r="A727" s="3"/>
      <c r="B727" s="3"/>
      <c r="C727" s="18"/>
      <c r="D727" s="15"/>
      <c r="E727" s="3"/>
      <c r="F727" s="3"/>
      <c r="G727" s="3"/>
      <c r="H727" s="3"/>
      <c r="I727" s="3"/>
      <c r="J727" s="19"/>
    </row>
    <row r="728" spans="1:10" ht="15" customHeight="1" x14ac:dyDescent="0.25">
      <c r="A728" s="3"/>
      <c r="B728" s="3"/>
      <c r="C728" s="18"/>
      <c r="D728" s="15"/>
      <c r="E728" s="3"/>
      <c r="F728" s="3"/>
      <c r="G728" s="3"/>
      <c r="H728" s="3"/>
      <c r="I728" s="3"/>
      <c r="J728" s="19"/>
    </row>
    <row r="729" spans="1:10" ht="15" customHeight="1" x14ac:dyDescent="0.25">
      <c r="A729" s="3"/>
      <c r="B729" s="3"/>
      <c r="C729" s="18"/>
      <c r="D729" s="15"/>
      <c r="E729" s="3"/>
      <c r="F729" s="3"/>
      <c r="G729" s="3"/>
      <c r="H729" s="3"/>
      <c r="I729" s="3"/>
      <c r="J729" s="19"/>
    </row>
    <row r="730" spans="1:10" ht="15" customHeight="1" x14ac:dyDescent="0.25">
      <c r="A730" s="3"/>
      <c r="B730" s="3"/>
      <c r="C730" s="18"/>
      <c r="D730" s="15"/>
      <c r="E730" s="3"/>
      <c r="F730" s="3"/>
      <c r="G730" s="3"/>
      <c r="H730" s="3"/>
      <c r="I730" s="3"/>
      <c r="J730" s="19"/>
    </row>
    <row r="731" spans="1:10" ht="15" customHeight="1" x14ac:dyDescent="0.25">
      <c r="A731" s="3"/>
      <c r="B731" s="3"/>
      <c r="C731" s="18"/>
      <c r="D731" s="15"/>
      <c r="E731" s="3"/>
      <c r="F731" s="3"/>
      <c r="G731" s="3"/>
      <c r="H731" s="3"/>
      <c r="I731" s="3"/>
      <c r="J731" s="19"/>
    </row>
    <row r="732" spans="1:10" ht="15" customHeight="1" x14ac:dyDescent="0.25">
      <c r="A732" s="3"/>
      <c r="B732" s="3"/>
      <c r="C732" s="18"/>
      <c r="D732" s="15"/>
      <c r="E732" s="3"/>
      <c r="F732" s="3"/>
      <c r="G732" s="3"/>
      <c r="H732" s="3"/>
      <c r="I732" s="3"/>
      <c r="J732" s="19"/>
    </row>
    <row r="733" spans="1:10" ht="15" customHeight="1" x14ac:dyDescent="0.25">
      <c r="A733" s="3"/>
      <c r="B733" s="3"/>
      <c r="C733" s="18"/>
      <c r="D733" s="15"/>
      <c r="E733" s="3"/>
      <c r="F733" s="3"/>
      <c r="G733" s="3"/>
      <c r="H733" s="3"/>
      <c r="I733" s="3"/>
      <c r="J733" s="19"/>
    </row>
    <row r="734" spans="1:10" ht="15" customHeight="1" x14ac:dyDescent="0.25">
      <c r="A734" s="3"/>
      <c r="B734" s="3"/>
      <c r="C734" s="18"/>
      <c r="D734" s="15"/>
      <c r="E734" s="3"/>
      <c r="F734" s="3"/>
      <c r="G734" s="3"/>
      <c r="H734" s="3"/>
      <c r="I734" s="3"/>
      <c r="J734" s="19"/>
    </row>
    <row r="735" spans="1:10" ht="15" customHeight="1" x14ac:dyDescent="0.25">
      <c r="A735" s="3"/>
      <c r="B735" s="3"/>
      <c r="C735" s="18"/>
      <c r="D735" s="15"/>
      <c r="E735" s="3"/>
      <c r="F735" s="3"/>
      <c r="G735" s="3"/>
      <c r="H735" s="3"/>
      <c r="I735" s="3"/>
      <c r="J735" s="19"/>
    </row>
    <row r="736" spans="1:10" ht="15" customHeight="1" x14ac:dyDescent="0.25">
      <c r="A736" s="3"/>
      <c r="B736" s="3"/>
      <c r="C736" s="18"/>
      <c r="D736" s="15"/>
      <c r="E736" s="3"/>
      <c r="F736" s="3"/>
      <c r="G736" s="3"/>
      <c r="H736" s="3"/>
      <c r="I736" s="3"/>
      <c r="J736" s="19"/>
    </row>
    <row r="737" spans="1:10" ht="15" customHeight="1" x14ac:dyDescent="0.25">
      <c r="A737" s="3"/>
      <c r="B737" s="3"/>
      <c r="C737" s="18"/>
      <c r="D737" s="15"/>
      <c r="E737" s="3"/>
      <c r="F737" s="3"/>
      <c r="G737" s="3"/>
      <c r="H737" s="3"/>
      <c r="I737" s="3"/>
      <c r="J737" s="19"/>
    </row>
    <row r="738" spans="1:10" ht="15" customHeight="1" x14ac:dyDescent="0.25">
      <c r="A738" s="3"/>
      <c r="B738" s="3"/>
      <c r="C738" s="18"/>
      <c r="D738" s="15"/>
      <c r="E738" s="3"/>
      <c r="F738" s="3"/>
      <c r="G738" s="3"/>
      <c r="H738" s="3"/>
      <c r="I738" s="3"/>
      <c r="J738" s="19"/>
    </row>
    <row r="739" spans="1:10" ht="15" customHeight="1" x14ac:dyDescent="0.25">
      <c r="A739" s="3"/>
      <c r="B739" s="3"/>
      <c r="C739" s="18"/>
      <c r="D739" s="15"/>
      <c r="E739" s="3"/>
      <c r="F739" s="3"/>
      <c r="G739" s="3"/>
      <c r="H739" s="3"/>
      <c r="I739" s="3"/>
      <c r="J739" s="19"/>
    </row>
    <row r="740" spans="1:10" ht="15" customHeight="1" x14ac:dyDescent="0.25">
      <c r="A740" s="3"/>
      <c r="B740" s="3"/>
      <c r="C740" s="18"/>
      <c r="D740" s="15"/>
      <c r="E740" s="3"/>
      <c r="F740" s="3"/>
      <c r="G740" s="3"/>
      <c r="H740" s="3"/>
      <c r="I740" s="3"/>
      <c r="J740" s="19"/>
    </row>
    <row r="741" spans="1:10" ht="15" customHeight="1" x14ac:dyDescent="0.25">
      <c r="A741" s="3"/>
      <c r="B741" s="3"/>
      <c r="C741" s="18"/>
      <c r="D741" s="15"/>
      <c r="E741" s="3"/>
      <c r="F741" s="3"/>
      <c r="G741" s="3"/>
      <c r="H741" s="3"/>
      <c r="I741" s="3"/>
      <c r="J741" s="19"/>
    </row>
    <row r="742" spans="1:10" ht="15" customHeight="1" x14ac:dyDescent="0.25">
      <c r="A742" s="3"/>
      <c r="B742" s="3"/>
      <c r="C742" s="18"/>
      <c r="D742" s="15"/>
      <c r="E742" s="3"/>
      <c r="F742" s="3"/>
      <c r="G742" s="3"/>
      <c r="H742" s="3"/>
      <c r="I742" s="3"/>
      <c r="J742" s="19"/>
    </row>
    <row r="743" spans="1:10" ht="15" customHeight="1" x14ac:dyDescent="0.25">
      <c r="A743" s="3"/>
      <c r="B743" s="3"/>
      <c r="C743" s="18"/>
      <c r="D743" s="15"/>
      <c r="E743" s="3"/>
      <c r="F743" s="3"/>
      <c r="G743" s="3"/>
      <c r="H743" s="3"/>
      <c r="I743" s="3"/>
      <c r="J743" s="19"/>
    </row>
    <row r="744" spans="1:10" ht="15" customHeight="1" x14ac:dyDescent="0.25">
      <c r="A744" s="3"/>
      <c r="B744" s="3"/>
      <c r="C744" s="18"/>
      <c r="D744" s="15"/>
      <c r="E744" s="3"/>
      <c r="F744" s="3"/>
      <c r="G744" s="3"/>
      <c r="H744" s="3"/>
      <c r="I744" s="3"/>
      <c r="J744" s="19"/>
    </row>
    <row r="745" spans="1:10" ht="15" customHeight="1" x14ac:dyDescent="0.25">
      <c r="A745" s="3"/>
      <c r="B745" s="3"/>
      <c r="C745" s="18"/>
      <c r="D745" s="15"/>
      <c r="E745" s="3"/>
      <c r="F745" s="3"/>
      <c r="G745" s="3"/>
      <c r="H745" s="3"/>
      <c r="I745" s="3"/>
      <c r="J745" s="19"/>
    </row>
    <row r="746" spans="1:10" ht="15" customHeight="1" x14ac:dyDescent="0.25">
      <c r="A746" s="3"/>
      <c r="B746" s="3"/>
      <c r="C746" s="18"/>
      <c r="D746" s="15"/>
      <c r="E746" s="3"/>
      <c r="F746" s="3"/>
      <c r="G746" s="3"/>
      <c r="H746" s="3"/>
      <c r="I746" s="3"/>
      <c r="J746" s="19"/>
    </row>
    <row r="747" spans="1:10" ht="15" customHeight="1" x14ac:dyDescent="0.25">
      <c r="A747" s="3"/>
      <c r="B747" s="3"/>
      <c r="C747" s="18"/>
      <c r="D747" s="15"/>
      <c r="E747" s="3"/>
      <c r="F747" s="3"/>
      <c r="G747" s="3"/>
      <c r="H747" s="3"/>
      <c r="I747" s="3"/>
      <c r="J747" s="19"/>
    </row>
    <row r="748" spans="1:10" ht="15" customHeight="1" x14ac:dyDescent="0.25">
      <c r="A748" s="3"/>
      <c r="B748" s="3"/>
      <c r="C748" s="18"/>
      <c r="D748" s="15"/>
      <c r="E748" s="3"/>
      <c r="F748" s="3"/>
      <c r="G748" s="3"/>
      <c r="H748" s="3"/>
      <c r="I748" s="3"/>
      <c r="J748" s="19"/>
    </row>
    <row r="749" spans="1:10" ht="15" customHeight="1" x14ac:dyDescent="0.25">
      <c r="A749" s="3"/>
      <c r="B749" s="3"/>
      <c r="C749" s="18"/>
      <c r="D749" s="15"/>
      <c r="E749" s="3"/>
      <c r="F749" s="3"/>
      <c r="G749" s="3"/>
      <c r="H749" s="3"/>
      <c r="I749" s="3"/>
      <c r="J749" s="19"/>
    </row>
    <row r="750" spans="1:10" ht="15" customHeight="1" x14ac:dyDescent="0.25">
      <c r="A750" s="3"/>
      <c r="B750" s="3"/>
      <c r="C750" s="18"/>
      <c r="D750" s="15"/>
      <c r="E750" s="3"/>
      <c r="F750" s="3"/>
      <c r="G750" s="3"/>
      <c r="H750" s="3"/>
      <c r="I750" s="3"/>
      <c r="J750" s="19"/>
    </row>
    <row r="751" spans="1:10" ht="15" customHeight="1" x14ac:dyDescent="0.25">
      <c r="A751" s="3"/>
      <c r="B751" s="3"/>
      <c r="C751" s="18"/>
      <c r="D751" s="15"/>
      <c r="E751" s="3"/>
      <c r="F751" s="3"/>
      <c r="G751" s="3"/>
      <c r="H751" s="3"/>
      <c r="I751" s="3"/>
      <c r="J751" s="19"/>
    </row>
    <row r="752" spans="1:10" ht="15" customHeight="1" x14ac:dyDescent="0.25">
      <c r="A752" s="3"/>
      <c r="B752" s="3"/>
      <c r="C752" s="18"/>
      <c r="D752" s="15"/>
      <c r="E752" s="3"/>
      <c r="F752" s="3"/>
      <c r="G752" s="3"/>
      <c r="H752" s="3"/>
      <c r="I752" s="3"/>
      <c r="J752" s="19"/>
    </row>
    <row r="753" spans="1:10" ht="15" customHeight="1" x14ac:dyDescent="0.25">
      <c r="A753" s="3"/>
      <c r="B753" s="3"/>
      <c r="C753" s="18"/>
      <c r="D753" s="15"/>
      <c r="E753" s="3"/>
      <c r="F753" s="3"/>
      <c r="G753" s="3"/>
      <c r="H753" s="3"/>
      <c r="I753" s="3"/>
      <c r="J753" s="19"/>
    </row>
    <row r="754" spans="1:10" ht="15" customHeight="1" x14ac:dyDescent="0.25">
      <c r="A754" s="3"/>
      <c r="B754" s="3"/>
      <c r="C754" s="18"/>
      <c r="D754" s="15"/>
      <c r="E754" s="3"/>
      <c r="F754" s="3"/>
      <c r="G754" s="3"/>
      <c r="H754" s="3"/>
      <c r="I754" s="3"/>
      <c r="J754" s="19"/>
    </row>
    <row r="755" spans="1:10" ht="15" customHeight="1" x14ac:dyDescent="0.25">
      <c r="A755" s="3"/>
      <c r="B755" s="3"/>
      <c r="C755" s="18"/>
      <c r="D755" s="15"/>
      <c r="E755" s="3"/>
      <c r="F755" s="3"/>
      <c r="G755" s="3"/>
      <c r="H755" s="3"/>
      <c r="I755" s="3"/>
      <c r="J755" s="19"/>
    </row>
    <row r="756" spans="1:10" ht="15" customHeight="1" x14ac:dyDescent="0.25">
      <c r="A756" s="3"/>
      <c r="B756" s="3"/>
      <c r="C756" s="18"/>
      <c r="D756" s="15"/>
      <c r="E756" s="3"/>
      <c r="F756" s="3"/>
      <c r="G756" s="3"/>
      <c r="H756" s="3"/>
      <c r="I756" s="3"/>
      <c r="J756" s="19"/>
    </row>
    <row r="757" spans="1:10" ht="15" customHeight="1" x14ac:dyDescent="0.25">
      <c r="A757" s="3"/>
      <c r="B757" s="3"/>
      <c r="C757" s="18"/>
      <c r="D757" s="15"/>
      <c r="E757" s="3"/>
      <c r="F757" s="3"/>
      <c r="G757" s="3"/>
      <c r="H757" s="3"/>
      <c r="I757" s="3"/>
      <c r="J757" s="19"/>
    </row>
    <row r="758" spans="1:10" ht="15" customHeight="1" x14ac:dyDescent="0.25">
      <c r="A758" s="3"/>
      <c r="B758" s="3"/>
      <c r="C758" s="18"/>
      <c r="D758" s="15"/>
      <c r="E758" s="3"/>
      <c r="F758" s="3"/>
      <c r="G758" s="3"/>
      <c r="H758" s="3"/>
      <c r="I758" s="3"/>
      <c r="J758" s="19"/>
    </row>
    <row r="759" spans="1:10" ht="15" customHeight="1" x14ac:dyDescent="0.25">
      <c r="A759" s="3"/>
      <c r="B759" s="3"/>
      <c r="C759" s="18"/>
      <c r="D759" s="15"/>
      <c r="E759" s="3"/>
      <c r="F759" s="3"/>
      <c r="G759" s="3"/>
      <c r="H759" s="3"/>
      <c r="I759" s="3"/>
      <c r="J759" s="19"/>
    </row>
    <row r="760" spans="1:10" ht="15" customHeight="1" x14ac:dyDescent="0.25">
      <c r="A760" s="3"/>
      <c r="B760" s="3"/>
      <c r="C760" s="18"/>
      <c r="D760" s="15"/>
      <c r="E760" s="3"/>
      <c r="F760" s="3"/>
      <c r="G760" s="3"/>
      <c r="H760" s="3"/>
      <c r="I760" s="3"/>
      <c r="J760" s="19"/>
    </row>
    <row r="761" spans="1:10" ht="15" customHeight="1" x14ac:dyDescent="0.25">
      <c r="A761" s="3"/>
      <c r="B761" s="3"/>
      <c r="C761" s="18"/>
      <c r="D761" s="15"/>
      <c r="E761" s="3"/>
      <c r="F761" s="3"/>
      <c r="G761" s="3"/>
      <c r="H761" s="3"/>
      <c r="I761" s="3"/>
      <c r="J761" s="19"/>
    </row>
    <row r="762" spans="1:10" ht="15" customHeight="1" x14ac:dyDescent="0.25">
      <c r="A762" s="3"/>
      <c r="B762" s="3"/>
      <c r="C762" s="18"/>
      <c r="D762" s="15"/>
      <c r="E762" s="3"/>
      <c r="F762" s="3"/>
      <c r="G762" s="3"/>
      <c r="H762" s="3"/>
      <c r="I762" s="3"/>
      <c r="J762" s="19"/>
    </row>
    <row r="763" spans="1:10" ht="15" customHeight="1" x14ac:dyDescent="0.25">
      <c r="A763" s="3"/>
      <c r="B763" s="3"/>
      <c r="C763" s="18"/>
      <c r="D763" s="15"/>
      <c r="E763" s="3"/>
      <c r="F763" s="3"/>
      <c r="G763" s="3"/>
      <c r="H763" s="3"/>
      <c r="I763" s="3"/>
      <c r="J763" s="19"/>
    </row>
    <row r="764" spans="1:10" ht="15" customHeight="1" x14ac:dyDescent="0.25">
      <c r="A764" s="3"/>
      <c r="B764" s="3"/>
      <c r="C764" s="18"/>
      <c r="D764" s="15"/>
      <c r="E764" s="3"/>
      <c r="F764" s="3"/>
      <c r="G764" s="3"/>
      <c r="H764" s="3"/>
      <c r="I764" s="3"/>
      <c r="J764" s="19"/>
    </row>
    <row r="765" spans="1:10" ht="15" customHeight="1" x14ac:dyDescent="0.25">
      <c r="A765" s="3"/>
      <c r="B765" s="3"/>
      <c r="C765" s="18"/>
      <c r="D765" s="15"/>
      <c r="E765" s="3"/>
      <c r="F765" s="3"/>
      <c r="G765" s="3"/>
      <c r="H765" s="3"/>
      <c r="I765" s="3"/>
      <c r="J765" s="19"/>
    </row>
    <row r="766" spans="1:10" ht="15" customHeight="1" x14ac:dyDescent="0.25">
      <c r="A766" s="3"/>
      <c r="B766" s="3"/>
      <c r="C766" s="18"/>
      <c r="D766" s="15"/>
      <c r="E766" s="3"/>
      <c r="F766" s="3"/>
      <c r="G766" s="3"/>
      <c r="H766" s="3"/>
      <c r="I766" s="3"/>
      <c r="J766" s="19"/>
    </row>
    <row r="767" spans="1:10" ht="15" customHeight="1" x14ac:dyDescent="0.25">
      <c r="A767" s="3"/>
      <c r="B767" s="3"/>
      <c r="C767" s="18"/>
      <c r="D767" s="15"/>
      <c r="E767" s="3"/>
      <c r="F767" s="3"/>
      <c r="G767" s="3"/>
      <c r="H767" s="3"/>
      <c r="I767" s="3"/>
      <c r="J767" s="19"/>
    </row>
    <row r="768" spans="1:10" ht="15" customHeight="1" x14ac:dyDescent="0.25">
      <c r="A768" s="3"/>
      <c r="B768" s="3"/>
      <c r="C768" s="18"/>
      <c r="D768" s="15"/>
      <c r="E768" s="3"/>
      <c r="F768" s="3"/>
      <c r="G768" s="3"/>
      <c r="H768" s="3"/>
      <c r="I768" s="3"/>
      <c r="J768" s="19"/>
    </row>
    <row r="769" spans="1:10" ht="15" customHeight="1" x14ac:dyDescent="0.25">
      <c r="A769" s="3"/>
      <c r="B769" s="3"/>
      <c r="C769" s="18"/>
      <c r="D769" s="15"/>
      <c r="E769" s="3"/>
      <c r="F769" s="3"/>
      <c r="G769" s="3"/>
      <c r="H769" s="3"/>
      <c r="I769" s="3"/>
      <c r="J769" s="19"/>
    </row>
    <row r="770" spans="1:10" ht="15" customHeight="1" x14ac:dyDescent="0.25">
      <c r="A770" s="3"/>
      <c r="B770" s="3"/>
      <c r="C770" s="18"/>
      <c r="D770" s="15"/>
      <c r="E770" s="3"/>
      <c r="F770" s="3"/>
      <c r="G770" s="3"/>
      <c r="H770" s="3"/>
      <c r="I770" s="3"/>
      <c r="J770" s="19"/>
    </row>
    <row r="771" spans="1:10" ht="15" customHeight="1" x14ac:dyDescent="0.25">
      <c r="A771" s="3"/>
      <c r="B771" s="3"/>
      <c r="C771" s="18"/>
      <c r="D771" s="15"/>
      <c r="E771" s="3"/>
      <c r="F771" s="3"/>
      <c r="G771" s="3"/>
      <c r="H771" s="3"/>
      <c r="I771" s="3"/>
      <c r="J771" s="19"/>
    </row>
    <row r="772" spans="1:10" ht="15" customHeight="1" x14ac:dyDescent="0.25">
      <c r="A772" s="3"/>
      <c r="B772" s="3"/>
      <c r="C772" s="18"/>
      <c r="D772" s="15"/>
      <c r="E772" s="3"/>
      <c r="F772" s="3"/>
      <c r="G772" s="3"/>
      <c r="H772" s="3"/>
      <c r="I772" s="3"/>
      <c r="J772" s="19"/>
    </row>
    <row r="773" spans="1:10" ht="15" customHeight="1" x14ac:dyDescent="0.25">
      <c r="A773" s="3"/>
      <c r="B773" s="3"/>
      <c r="C773" s="18"/>
      <c r="D773" s="15"/>
      <c r="E773" s="3"/>
      <c r="F773" s="3"/>
      <c r="G773" s="3"/>
      <c r="H773" s="3"/>
      <c r="I773" s="3"/>
      <c r="J773" s="19"/>
    </row>
    <row r="774" spans="1:10" ht="15" customHeight="1" x14ac:dyDescent="0.25">
      <c r="A774" s="3"/>
      <c r="B774" s="3"/>
      <c r="C774" s="18"/>
      <c r="D774" s="15"/>
      <c r="E774" s="3"/>
      <c r="F774" s="3"/>
      <c r="G774" s="3"/>
      <c r="H774" s="3"/>
      <c r="I774" s="3"/>
      <c r="J774" s="19"/>
    </row>
    <row r="775" spans="1:10" ht="15" customHeight="1" x14ac:dyDescent="0.25">
      <c r="A775" s="3"/>
      <c r="B775" s="3"/>
      <c r="C775" s="18"/>
      <c r="D775" s="15"/>
      <c r="E775" s="3"/>
      <c r="F775" s="3"/>
      <c r="G775" s="3"/>
      <c r="H775" s="3"/>
      <c r="I775" s="3"/>
      <c r="J775" s="19"/>
    </row>
    <row r="776" spans="1:10" ht="15" customHeight="1" x14ac:dyDescent="0.25">
      <c r="A776" s="3"/>
      <c r="B776" s="3"/>
      <c r="C776" s="18"/>
      <c r="D776" s="15"/>
      <c r="E776" s="3"/>
      <c r="F776" s="3"/>
      <c r="G776" s="3"/>
      <c r="H776" s="3"/>
      <c r="I776" s="3"/>
      <c r="J776" s="19"/>
    </row>
    <row r="777" spans="1:10" ht="15" customHeight="1" x14ac:dyDescent="0.25">
      <c r="A777" s="3"/>
      <c r="B777" s="3"/>
      <c r="C777" s="18"/>
      <c r="D777" s="15"/>
      <c r="E777" s="3"/>
      <c r="F777" s="3"/>
      <c r="G777" s="3"/>
      <c r="H777" s="3"/>
      <c r="I777" s="3"/>
      <c r="J777" s="19"/>
    </row>
    <row r="778" spans="1:10" ht="15" customHeight="1" x14ac:dyDescent="0.25">
      <c r="A778" s="3"/>
      <c r="B778" s="3"/>
      <c r="C778" s="18"/>
      <c r="D778" s="15"/>
      <c r="E778" s="3"/>
      <c r="F778" s="3"/>
      <c r="G778" s="3"/>
      <c r="H778" s="3"/>
      <c r="I778" s="3"/>
      <c r="J778" s="19"/>
    </row>
    <row r="779" spans="1:10" ht="15" customHeight="1" x14ac:dyDescent="0.25">
      <c r="A779" s="3"/>
      <c r="B779" s="3"/>
      <c r="C779" s="18"/>
      <c r="D779" s="15"/>
      <c r="E779" s="3"/>
      <c r="F779" s="3"/>
      <c r="G779" s="3"/>
      <c r="H779" s="3"/>
      <c r="I779" s="3"/>
      <c r="J779" s="19"/>
    </row>
    <row r="780" spans="1:10" ht="15" customHeight="1" x14ac:dyDescent="0.25">
      <c r="A780" s="3"/>
      <c r="B780" s="3"/>
      <c r="C780" s="18"/>
      <c r="D780" s="15"/>
      <c r="E780" s="3"/>
      <c r="F780" s="3"/>
      <c r="G780" s="3"/>
      <c r="H780" s="3"/>
      <c r="I780" s="3"/>
      <c r="J780" s="19"/>
    </row>
    <row r="781" spans="1:10" ht="15" customHeight="1" x14ac:dyDescent="0.25">
      <c r="A781" s="3"/>
      <c r="B781" s="3"/>
      <c r="C781" s="18"/>
      <c r="D781" s="15"/>
      <c r="E781" s="3"/>
      <c r="F781" s="3"/>
      <c r="G781" s="3"/>
      <c r="H781" s="3"/>
      <c r="I781" s="3"/>
      <c r="J781" s="19"/>
    </row>
    <row r="782" spans="1:10" ht="15" customHeight="1" x14ac:dyDescent="0.25">
      <c r="A782" s="3"/>
      <c r="B782" s="3"/>
      <c r="C782" s="18"/>
      <c r="D782" s="15"/>
      <c r="E782" s="3"/>
      <c r="F782" s="3"/>
      <c r="G782" s="3"/>
      <c r="H782" s="3"/>
      <c r="I782" s="3"/>
      <c r="J782" s="19"/>
    </row>
    <row r="783" spans="1:10" ht="15" customHeight="1" x14ac:dyDescent="0.25">
      <c r="A783" s="3"/>
      <c r="B783" s="3"/>
      <c r="C783" s="18"/>
      <c r="D783" s="15"/>
      <c r="E783" s="3"/>
      <c r="F783" s="3"/>
      <c r="G783" s="3"/>
      <c r="H783" s="3"/>
      <c r="I783" s="3"/>
      <c r="J783" s="19"/>
    </row>
    <row r="784" spans="1:10" ht="15" customHeight="1" x14ac:dyDescent="0.25">
      <c r="A784" s="3"/>
      <c r="B784" s="3"/>
      <c r="C784" s="18"/>
      <c r="D784" s="15"/>
      <c r="E784" s="3"/>
      <c r="F784" s="3"/>
      <c r="G784" s="3"/>
      <c r="H784" s="3"/>
      <c r="I784" s="3"/>
      <c r="J784" s="19"/>
    </row>
    <row r="785" spans="1:10" ht="15" customHeight="1" x14ac:dyDescent="0.25">
      <c r="A785" s="3"/>
      <c r="B785" s="3"/>
      <c r="C785" s="18"/>
      <c r="D785" s="15"/>
      <c r="E785" s="3"/>
      <c r="F785" s="3"/>
      <c r="G785" s="3"/>
      <c r="H785" s="3"/>
      <c r="I785" s="3"/>
      <c r="J785" s="19"/>
    </row>
    <row r="786" spans="1:10" ht="15" customHeight="1" x14ac:dyDescent="0.25">
      <c r="A786" s="3"/>
      <c r="B786" s="3"/>
      <c r="C786" s="18"/>
      <c r="D786" s="15"/>
      <c r="E786" s="3"/>
      <c r="F786" s="3"/>
      <c r="G786" s="3"/>
      <c r="H786" s="3"/>
      <c r="I786" s="3"/>
      <c r="J786" s="19"/>
    </row>
    <row r="787" spans="1:10" ht="15" customHeight="1" x14ac:dyDescent="0.25">
      <c r="A787" s="3"/>
      <c r="B787" s="3"/>
      <c r="C787" s="18"/>
      <c r="D787" s="15"/>
      <c r="E787" s="3"/>
      <c r="F787" s="3"/>
      <c r="G787" s="3"/>
      <c r="H787" s="3"/>
      <c r="I787" s="3"/>
      <c r="J787" s="19"/>
    </row>
    <row r="788" spans="1:10" ht="15" customHeight="1" x14ac:dyDescent="0.25">
      <c r="A788" s="3"/>
      <c r="B788" s="3"/>
      <c r="C788" s="18"/>
      <c r="D788" s="15"/>
      <c r="E788" s="3"/>
      <c r="F788" s="3"/>
      <c r="G788" s="3"/>
      <c r="H788" s="3"/>
      <c r="I788" s="3"/>
      <c r="J788" s="19"/>
    </row>
    <row r="789" spans="1:10" ht="15" customHeight="1" x14ac:dyDescent="0.25">
      <c r="A789" s="3"/>
      <c r="B789" s="3"/>
      <c r="C789" s="18"/>
      <c r="D789" s="15"/>
      <c r="E789" s="3"/>
      <c r="F789" s="3"/>
      <c r="G789" s="3"/>
      <c r="H789" s="3"/>
      <c r="I789" s="3"/>
      <c r="J789" s="19"/>
    </row>
    <row r="790" spans="1:10" ht="15" customHeight="1" x14ac:dyDescent="0.25">
      <c r="A790" s="3"/>
      <c r="B790" s="3"/>
      <c r="C790" s="18"/>
      <c r="D790" s="15"/>
      <c r="E790" s="3"/>
      <c r="F790" s="3"/>
      <c r="G790" s="3"/>
      <c r="H790" s="3"/>
      <c r="I790" s="3"/>
      <c r="J790" s="19"/>
    </row>
    <row r="791" spans="1:10" ht="15" customHeight="1" x14ac:dyDescent="0.25">
      <c r="A791" s="3"/>
      <c r="B791" s="3"/>
      <c r="C791" s="18"/>
      <c r="D791" s="15"/>
      <c r="E791" s="3"/>
      <c r="F791" s="3"/>
      <c r="G791" s="3"/>
      <c r="H791" s="3"/>
      <c r="I791" s="3"/>
      <c r="J791" s="19"/>
    </row>
    <row r="792" spans="1:10" ht="15" customHeight="1" x14ac:dyDescent="0.25">
      <c r="A792" s="3"/>
      <c r="B792" s="3"/>
      <c r="C792" s="18"/>
      <c r="D792" s="15"/>
      <c r="E792" s="3"/>
      <c r="F792" s="3"/>
      <c r="G792" s="3"/>
      <c r="H792" s="3"/>
      <c r="I792" s="3"/>
      <c r="J792" s="19"/>
    </row>
    <row r="793" spans="1:10" ht="15" customHeight="1" x14ac:dyDescent="0.25">
      <c r="A793" s="3"/>
      <c r="B793" s="3"/>
      <c r="C793" s="18"/>
      <c r="D793" s="15"/>
      <c r="E793" s="3"/>
      <c r="F793" s="3"/>
      <c r="G793" s="3"/>
      <c r="H793" s="3"/>
      <c r="I793" s="3"/>
      <c r="J793" s="19"/>
    </row>
    <row r="794" spans="1:10" ht="15" customHeight="1" x14ac:dyDescent="0.25">
      <c r="A794" s="3"/>
      <c r="B794" s="3"/>
      <c r="C794" s="18"/>
      <c r="D794" s="15"/>
      <c r="E794" s="3"/>
      <c r="F794" s="3"/>
      <c r="G794" s="3"/>
      <c r="H794" s="3"/>
      <c r="I794" s="3"/>
      <c r="J794" s="19"/>
    </row>
    <row r="795" spans="1:10" ht="15" customHeight="1" x14ac:dyDescent="0.25">
      <c r="A795" s="3"/>
      <c r="B795" s="3"/>
      <c r="C795" s="18"/>
      <c r="D795" s="15"/>
      <c r="E795" s="3"/>
      <c r="F795" s="3"/>
      <c r="G795" s="3"/>
      <c r="H795" s="3"/>
      <c r="I795" s="3"/>
      <c r="J795" s="19"/>
    </row>
    <row r="796" spans="1:10" ht="15" customHeight="1" x14ac:dyDescent="0.25">
      <c r="A796" s="3"/>
      <c r="B796" s="3"/>
      <c r="C796" s="18"/>
      <c r="D796" s="15"/>
      <c r="E796" s="3"/>
      <c r="F796" s="3"/>
      <c r="G796" s="3"/>
      <c r="H796" s="3"/>
      <c r="I796" s="3"/>
      <c r="J796" s="19"/>
    </row>
    <row r="797" spans="1:10" ht="15" customHeight="1" x14ac:dyDescent="0.25">
      <c r="A797" s="3"/>
      <c r="B797" s="3"/>
      <c r="C797" s="18"/>
      <c r="D797" s="15"/>
      <c r="E797" s="3"/>
      <c r="F797" s="3"/>
      <c r="G797" s="3"/>
      <c r="H797" s="3"/>
      <c r="I797" s="3"/>
      <c r="J797" s="19"/>
    </row>
    <row r="798" spans="1:10" ht="15" customHeight="1" x14ac:dyDescent="0.25">
      <c r="A798" s="3"/>
      <c r="B798" s="3"/>
      <c r="C798" s="18"/>
      <c r="D798" s="15"/>
      <c r="E798" s="3"/>
      <c r="F798" s="3"/>
      <c r="G798" s="3"/>
      <c r="H798" s="3"/>
      <c r="I798" s="3"/>
      <c r="J798" s="19"/>
    </row>
    <row r="799" spans="1:10" ht="15" customHeight="1" x14ac:dyDescent="0.25">
      <c r="A799" s="3"/>
      <c r="B799" s="3"/>
      <c r="C799" s="18"/>
      <c r="D799" s="15"/>
      <c r="E799" s="3"/>
      <c r="F799" s="3"/>
      <c r="G799" s="3"/>
      <c r="H799" s="3"/>
      <c r="I799" s="3"/>
      <c r="J799" s="19"/>
    </row>
    <row r="800" spans="1:10" ht="15" customHeight="1" x14ac:dyDescent="0.25">
      <c r="A800" s="3"/>
      <c r="B800" s="3"/>
      <c r="C800" s="18"/>
      <c r="D800" s="15"/>
      <c r="E800" s="3"/>
      <c r="F800" s="3"/>
      <c r="G800" s="3"/>
      <c r="H800" s="3"/>
      <c r="I800" s="3"/>
      <c r="J800" s="19"/>
    </row>
    <row r="801" spans="1:10" ht="15" customHeight="1" x14ac:dyDescent="0.25">
      <c r="A801" s="3"/>
      <c r="B801" s="3"/>
      <c r="C801" s="18"/>
      <c r="D801" s="15"/>
      <c r="E801" s="3"/>
      <c r="F801" s="3"/>
      <c r="G801" s="3"/>
      <c r="H801" s="3"/>
      <c r="I801" s="3"/>
      <c r="J801" s="19"/>
    </row>
    <row r="802" spans="1:10" ht="15" customHeight="1" x14ac:dyDescent="0.25">
      <c r="A802" s="3"/>
      <c r="B802" s="3"/>
      <c r="C802" s="18"/>
      <c r="D802" s="15"/>
      <c r="E802" s="3"/>
      <c r="F802" s="3"/>
      <c r="G802" s="3"/>
      <c r="H802" s="3"/>
      <c r="I802" s="3"/>
      <c r="J802" s="19"/>
    </row>
    <row r="803" spans="1:10" ht="15" customHeight="1" x14ac:dyDescent="0.25">
      <c r="A803" s="3"/>
      <c r="B803" s="3"/>
      <c r="C803" s="18"/>
      <c r="D803" s="15"/>
      <c r="E803" s="3"/>
      <c r="F803" s="3"/>
      <c r="G803" s="3"/>
      <c r="H803" s="3"/>
      <c r="I803" s="3"/>
      <c r="J803" s="19"/>
    </row>
    <row r="804" spans="1:10" ht="15" customHeight="1" x14ac:dyDescent="0.25">
      <c r="A804" s="3"/>
      <c r="B804" s="3"/>
      <c r="C804" s="18"/>
      <c r="D804" s="15"/>
      <c r="E804" s="3"/>
      <c r="F804" s="3"/>
      <c r="G804" s="3"/>
      <c r="H804" s="3"/>
      <c r="I804" s="3"/>
      <c r="J804" s="19"/>
    </row>
    <row r="805" spans="1:10" ht="15" customHeight="1" x14ac:dyDescent="0.25">
      <c r="A805" s="3"/>
      <c r="B805" s="3"/>
      <c r="C805" s="18"/>
      <c r="D805" s="15"/>
      <c r="E805" s="3"/>
      <c r="F805" s="3"/>
      <c r="G805" s="3"/>
      <c r="H805" s="3"/>
      <c r="I805" s="3"/>
      <c r="J805" s="19"/>
    </row>
    <row r="806" spans="1:10" ht="15" customHeight="1" x14ac:dyDescent="0.25">
      <c r="A806" s="3"/>
      <c r="B806" s="3"/>
      <c r="C806" s="18"/>
      <c r="D806" s="15"/>
      <c r="E806" s="3"/>
      <c r="F806" s="3"/>
      <c r="G806" s="3"/>
      <c r="H806" s="3"/>
      <c r="I806" s="3"/>
      <c r="J806" s="19"/>
    </row>
    <row r="807" spans="1:10" ht="15" customHeight="1" x14ac:dyDescent="0.25">
      <c r="A807" s="3"/>
      <c r="B807" s="3"/>
      <c r="C807" s="18"/>
      <c r="D807" s="15"/>
      <c r="E807" s="3"/>
      <c r="F807" s="3"/>
      <c r="G807" s="3"/>
      <c r="H807" s="3"/>
      <c r="I807" s="3"/>
      <c r="J807" s="19"/>
    </row>
    <row r="808" spans="1:10" ht="15" customHeight="1" x14ac:dyDescent="0.25">
      <c r="A808" s="3"/>
      <c r="B808" s="3"/>
      <c r="C808" s="18"/>
      <c r="D808" s="15"/>
      <c r="E808" s="3"/>
      <c r="F808" s="3"/>
      <c r="G808" s="3"/>
      <c r="H808" s="3"/>
      <c r="I808" s="3"/>
      <c r="J808" s="19"/>
    </row>
    <row r="809" spans="1:10" ht="15" customHeight="1" x14ac:dyDescent="0.25">
      <c r="A809" s="3"/>
      <c r="B809" s="3"/>
      <c r="C809" s="18"/>
      <c r="D809" s="15"/>
      <c r="E809" s="3"/>
      <c r="F809" s="3"/>
      <c r="G809" s="3"/>
      <c r="H809" s="3"/>
      <c r="I809" s="3"/>
      <c r="J809" s="19"/>
    </row>
    <row r="810" spans="1:10" ht="15" customHeight="1" x14ac:dyDescent="0.25">
      <c r="A810" s="3"/>
      <c r="B810" s="3"/>
      <c r="C810" s="18"/>
      <c r="D810" s="15"/>
      <c r="E810" s="3"/>
      <c r="F810" s="3"/>
      <c r="G810" s="3"/>
      <c r="H810" s="3"/>
      <c r="I810" s="3"/>
      <c r="J810" s="19"/>
    </row>
    <row r="811" spans="1:10" ht="15" customHeight="1" x14ac:dyDescent="0.25">
      <c r="A811" s="3"/>
      <c r="B811" s="3"/>
      <c r="C811" s="18"/>
      <c r="D811" s="15"/>
      <c r="E811" s="3"/>
      <c r="F811" s="3"/>
      <c r="G811" s="3"/>
      <c r="H811" s="3"/>
      <c r="I811" s="3"/>
      <c r="J811" s="19"/>
    </row>
    <row r="812" spans="1:10" ht="15" customHeight="1" x14ac:dyDescent="0.25">
      <c r="A812" s="3"/>
      <c r="B812" s="3"/>
      <c r="C812" s="18"/>
      <c r="D812" s="15"/>
      <c r="E812" s="3"/>
      <c r="F812" s="3"/>
      <c r="G812" s="3"/>
      <c r="H812" s="3"/>
      <c r="I812" s="3"/>
      <c r="J812" s="19"/>
    </row>
    <row r="813" spans="1:10" ht="15" customHeight="1" x14ac:dyDescent="0.25">
      <c r="A813" s="3"/>
      <c r="B813" s="3"/>
      <c r="C813" s="18"/>
      <c r="D813" s="15"/>
      <c r="E813" s="3"/>
      <c r="F813" s="3"/>
      <c r="G813" s="3"/>
      <c r="H813" s="3"/>
      <c r="I813" s="3"/>
      <c r="J813" s="19"/>
    </row>
    <row r="814" spans="1:10" ht="15" customHeight="1" x14ac:dyDescent="0.25">
      <c r="A814" s="3"/>
      <c r="B814" s="3"/>
      <c r="C814" s="18"/>
      <c r="D814" s="15"/>
      <c r="E814" s="3"/>
      <c r="F814" s="3"/>
      <c r="G814" s="3"/>
      <c r="H814" s="3"/>
      <c r="I814" s="3"/>
      <c r="J814" s="19"/>
    </row>
    <row r="815" spans="1:10" ht="15" customHeight="1" x14ac:dyDescent="0.25">
      <c r="A815" s="3"/>
      <c r="B815" s="3"/>
      <c r="C815" s="18"/>
      <c r="D815" s="15"/>
      <c r="E815" s="3"/>
      <c r="F815" s="3"/>
      <c r="G815" s="3"/>
      <c r="H815" s="3"/>
      <c r="I815" s="3"/>
      <c r="J815" s="19"/>
    </row>
    <row r="816" spans="1:10" ht="15" customHeight="1" x14ac:dyDescent="0.25">
      <c r="A816" s="3"/>
      <c r="B816" s="3"/>
      <c r="C816" s="18"/>
      <c r="D816" s="15"/>
      <c r="E816" s="3"/>
      <c r="F816" s="3"/>
      <c r="G816" s="3"/>
      <c r="H816" s="3"/>
      <c r="I816" s="3"/>
      <c r="J816" s="19"/>
    </row>
    <row r="817" spans="1:10" ht="15" customHeight="1" x14ac:dyDescent="0.25">
      <c r="A817" s="3"/>
      <c r="B817" s="3"/>
      <c r="C817" s="18"/>
      <c r="D817" s="15"/>
      <c r="E817" s="3"/>
      <c r="F817" s="3"/>
      <c r="G817" s="3"/>
      <c r="H817" s="3"/>
      <c r="I817" s="3"/>
      <c r="J817" s="19"/>
    </row>
    <row r="818" spans="1:10" ht="15" customHeight="1" x14ac:dyDescent="0.25">
      <c r="A818" s="3"/>
      <c r="B818" s="3"/>
      <c r="C818" s="18"/>
      <c r="D818" s="15"/>
      <c r="E818" s="3"/>
      <c r="F818" s="3"/>
      <c r="G818" s="3"/>
      <c r="H818" s="3"/>
      <c r="I818" s="3"/>
      <c r="J818" s="19"/>
    </row>
    <row r="819" spans="1:10" ht="15" customHeight="1" x14ac:dyDescent="0.25">
      <c r="A819" s="3"/>
      <c r="B819" s="3"/>
      <c r="C819" s="18"/>
      <c r="D819" s="15"/>
      <c r="E819" s="3"/>
      <c r="F819" s="3"/>
      <c r="G819" s="3"/>
      <c r="H819" s="3"/>
      <c r="I819" s="3"/>
      <c r="J819" s="19"/>
    </row>
    <row r="820" spans="1:10" ht="15" customHeight="1" x14ac:dyDescent="0.25">
      <c r="A820" s="3"/>
      <c r="B820" s="3"/>
      <c r="C820" s="18"/>
      <c r="D820" s="15"/>
      <c r="E820" s="3"/>
      <c r="F820" s="3"/>
      <c r="G820" s="3"/>
      <c r="H820" s="3"/>
      <c r="I820" s="3"/>
      <c r="J820" s="19"/>
    </row>
    <row r="821" spans="1:10" ht="15" customHeight="1" x14ac:dyDescent="0.25">
      <c r="A821" s="3"/>
      <c r="B821" s="3"/>
      <c r="C821" s="18"/>
      <c r="D821" s="15"/>
      <c r="E821" s="3"/>
      <c r="F821" s="3"/>
      <c r="G821" s="3"/>
      <c r="H821" s="3"/>
      <c r="I821" s="3"/>
      <c r="J821" s="19"/>
    </row>
    <row r="822" spans="1:10" ht="15" customHeight="1" x14ac:dyDescent="0.25">
      <c r="A822" s="3"/>
      <c r="B822" s="3"/>
      <c r="C822" s="18"/>
      <c r="D822" s="15"/>
      <c r="E822" s="3"/>
      <c r="F822" s="3"/>
      <c r="G822" s="3"/>
      <c r="H822" s="3"/>
      <c r="I822" s="3"/>
      <c r="J822" s="19"/>
    </row>
    <row r="823" spans="1:10" ht="15" customHeight="1" x14ac:dyDescent="0.25">
      <c r="A823" s="3"/>
      <c r="B823" s="3"/>
      <c r="C823" s="18"/>
      <c r="D823" s="15"/>
      <c r="E823" s="3"/>
      <c r="F823" s="3"/>
      <c r="G823" s="3"/>
      <c r="H823" s="3"/>
      <c r="I823" s="3"/>
      <c r="J823" s="19"/>
    </row>
    <row r="824" spans="1:10" ht="15" customHeight="1" x14ac:dyDescent="0.25">
      <c r="A824" s="3"/>
      <c r="B824" s="3"/>
      <c r="C824" s="18"/>
      <c r="D824" s="15"/>
      <c r="E824" s="3"/>
      <c r="F824" s="3"/>
      <c r="G824" s="3"/>
      <c r="H824" s="3"/>
      <c r="I824" s="3"/>
      <c r="J824" s="19"/>
    </row>
    <row r="825" spans="1:10" ht="15" customHeight="1" x14ac:dyDescent="0.25">
      <c r="A825" s="3"/>
      <c r="B825" s="3"/>
      <c r="C825" s="18"/>
      <c r="D825" s="15"/>
      <c r="E825" s="3"/>
      <c r="F825" s="3"/>
      <c r="G825" s="3"/>
      <c r="H825" s="3"/>
      <c r="I825" s="3"/>
      <c r="J825" s="19"/>
    </row>
    <row r="826" spans="1:10" ht="15" customHeight="1" x14ac:dyDescent="0.25">
      <c r="A826" s="3"/>
      <c r="B826" s="3"/>
      <c r="C826" s="18"/>
      <c r="D826" s="15"/>
      <c r="E826" s="3"/>
      <c r="F826" s="3"/>
      <c r="G826" s="3"/>
      <c r="H826" s="3"/>
      <c r="I826" s="3"/>
      <c r="J826" s="19"/>
    </row>
    <row r="827" spans="1:10" ht="15" customHeight="1" x14ac:dyDescent="0.25">
      <c r="A827" s="3"/>
      <c r="B827" s="3"/>
      <c r="C827" s="18"/>
      <c r="D827" s="15"/>
      <c r="E827" s="3"/>
      <c r="F827" s="3"/>
      <c r="G827" s="3"/>
      <c r="H827" s="3"/>
      <c r="I827" s="3"/>
      <c r="J827" s="19"/>
    </row>
    <row r="828" spans="1:10" ht="15" customHeight="1" x14ac:dyDescent="0.25">
      <c r="A828" s="3"/>
      <c r="B828" s="3"/>
      <c r="C828" s="18"/>
      <c r="D828" s="15"/>
      <c r="E828" s="3"/>
      <c r="F828" s="3"/>
      <c r="G828" s="3"/>
      <c r="H828" s="3"/>
      <c r="I828" s="3"/>
      <c r="J828" s="19"/>
    </row>
    <row r="829" spans="1:10" ht="15" customHeight="1" x14ac:dyDescent="0.25">
      <c r="A829" s="3"/>
      <c r="B829" s="3"/>
      <c r="C829" s="18"/>
      <c r="D829" s="15"/>
      <c r="E829" s="3"/>
      <c r="F829" s="3"/>
      <c r="G829" s="3"/>
      <c r="H829" s="3"/>
      <c r="I829" s="3"/>
      <c r="J829" s="19"/>
    </row>
    <row r="830" spans="1:10" ht="15" customHeight="1" x14ac:dyDescent="0.25">
      <c r="A830" s="3"/>
      <c r="B830" s="3"/>
      <c r="C830" s="18"/>
      <c r="D830" s="15"/>
      <c r="E830" s="3"/>
      <c r="F830" s="3"/>
      <c r="G830" s="3"/>
      <c r="H830" s="3"/>
      <c r="I830" s="3"/>
      <c r="J830" s="19"/>
    </row>
    <row r="831" spans="1:10" ht="15" customHeight="1" x14ac:dyDescent="0.25">
      <c r="A831" s="3"/>
      <c r="B831" s="3"/>
      <c r="C831" s="18"/>
      <c r="D831" s="15"/>
      <c r="E831" s="3"/>
      <c r="F831" s="3"/>
      <c r="G831" s="3"/>
      <c r="H831" s="3"/>
      <c r="I831" s="3"/>
      <c r="J831" s="19"/>
    </row>
    <row r="832" spans="1:10" ht="15" customHeight="1" x14ac:dyDescent="0.25">
      <c r="A832" s="3"/>
      <c r="B832" s="3"/>
      <c r="C832" s="18"/>
      <c r="D832" s="15"/>
      <c r="E832" s="3"/>
      <c r="F832" s="3"/>
      <c r="G832" s="3"/>
      <c r="H832" s="3"/>
      <c r="I832" s="3"/>
      <c r="J832" s="19"/>
    </row>
    <row r="833" spans="1:10" ht="15" customHeight="1" x14ac:dyDescent="0.25">
      <c r="A833" s="3"/>
      <c r="B833" s="3"/>
      <c r="C833" s="18"/>
      <c r="D833" s="15"/>
      <c r="E833" s="3"/>
      <c r="F833" s="3"/>
      <c r="G833" s="3"/>
      <c r="H833" s="3"/>
      <c r="I833" s="3"/>
      <c r="J833" s="19"/>
    </row>
    <row r="834" spans="1:10" ht="15" customHeight="1" x14ac:dyDescent="0.25">
      <c r="A834" s="3"/>
      <c r="B834" s="3"/>
      <c r="C834" s="18"/>
      <c r="D834" s="15"/>
      <c r="E834" s="3"/>
      <c r="F834" s="3"/>
      <c r="G834" s="3"/>
      <c r="H834" s="3"/>
      <c r="I834" s="3"/>
      <c r="J834" s="19"/>
    </row>
    <row r="835" spans="1:10" ht="15" customHeight="1" x14ac:dyDescent="0.25">
      <c r="A835" s="3"/>
      <c r="B835" s="3"/>
      <c r="C835" s="18"/>
      <c r="D835" s="15"/>
      <c r="E835" s="3"/>
      <c r="F835" s="3"/>
      <c r="G835" s="3"/>
      <c r="H835" s="3"/>
      <c r="I835" s="3"/>
      <c r="J835" s="19"/>
    </row>
    <row r="836" spans="1:10" ht="15" customHeight="1" x14ac:dyDescent="0.25">
      <c r="A836" s="3"/>
      <c r="B836" s="3"/>
      <c r="C836" s="18"/>
      <c r="D836" s="15"/>
      <c r="E836" s="3"/>
      <c r="F836" s="3"/>
      <c r="G836" s="3"/>
      <c r="H836" s="3"/>
      <c r="I836" s="3"/>
      <c r="J836" s="19"/>
    </row>
    <row r="837" spans="1:10" ht="15" customHeight="1" x14ac:dyDescent="0.25">
      <c r="A837" s="3"/>
      <c r="B837" s="3"/>
      <c r="C837" s="18"/>
      <c r="D837" s="15"/>
      <c r="E837" s="3"/>
      <c r="F837" s="3"/>
      <c r="G837" s="3"/>
      <c r="H837" s="3"/>
      <c r="I837" s="3"/>
      <c r="J837" s="19"/>
    </row>
    <row r="838" spans="1:10" ht="15" customHeight="1" x14ac:dyDescent="0.25">
      <c r="A838" s="3"/>
      <c r="B838" s="3"/>
      <c r="C838" s="18"/>
      <c r="D838" s="15"/>
      <c r="E838" s="3"/>
      <c r="F838" s="3"/>
      <c r="G838" s="3"/>
      <c r="H838" s="3"/>
      <c r="I838" s="3"/>
      <c r="J838" s="19"/>
    </row>
    <row r="839" spans="1:10" ht="15" customHeight="1" x14ac:dyDescent="0.25">
      <c r="A839" s="3"/>
      <c r="B839" s="3"/>
      <c r="C839" s="18"/>
      <c r="D839" s="15"/>
      <c r="E839" s="3"/>
      <c r="F839" s="3"/>
      <c r="G839" s="3"/>
      <c r="H839" s="3"/>
      <c r="I839" s="3"/>
      <c r="J839" s="19"/>
    </row>
    <row r="840" spans="1:10" ht="15" customHeight="1" x14ac:dyDescent="0.25">
      <c r="A840" s="3"/>
      <c r="B840" s="3"/>
      <c r="C840" s="18"/>
      <c r="D840" s="15"/>
      <c r="E840" s="3"/>
      <c r="F840" s="3"/>
      <c r="G840" s="3"/>
      <c r="H840" s="3"/>
      <c r="I840" s="3"/>
      <c r="J840" s="19"/>
    </row>
    <row r="841" spans="1:10" ht="15" customHeight="1" x14ac:dyDescent="0.25">
      <c r="A841" s="3"/>
      <c r="B841" s="3"/>
      <c r="C841" s="18"/>
      <c r="D841" s="15"/>
      <c r="E841" s="3"/>
      <c r="F841" s="3"/>
      <c r="G841" s="3"/>
      <c r="H841" s="3"/>
      <c r="I841" s="3"/>
      <c r="J841" s="19"/>
    </row>
    <row r="842" spans="1:10" ht="15" customHeight="1" x14ac:dyDescent="0.25">
      <c r="A842" s="3"/>
      <c r="B842" s="3"/>
      <c r="C842" s="18"/>
      <c r="D842" s="15"/>
      <c r="E842" s="3"/>
      <c r="F842" s="3"/>
      <c r="G842" s="3"/>
      <c r="H842" s="3"/>
      <c r="I842" s="3"/>
      <c r="J842" s="19"/>
    </row>
    <row r="843" spans="1:10" ht="15" customHeight="1" x14ac:dyDescent="0.25">
      <c r="A843" s="3"/>
      <c r="B843" s="3"/>
      <c r="C843" s="18"/>
      <c r="D843" s="15"/>
      <c r="E843" s="3"/>
      <c r="F843" s="3"/>
      <c r="G843" s="3"/>
      <c r="H843" s="3"/>
      <c r="I843" s="3"/>
      <c r="J843" s="19"/>
    </row>
    <row r="844" spans="1:10" ht="15" customHeight="1" x14ac:dyDescent="0.25">
      <c r="A844" s="3"/>
      <c r="B844" s="3"/>
      <c r="C844" s="18"/>
      <c r="D844" s="15"/>
      <c r="E844" s="3"/>
      <c r="F844" s="3"/>
      <c r="G844" s="3"/>
      <c r="H844" s="3"/>
      <c r="I844" s="3"/>
      <c r="J844" s="19"/>
    </row>
    <row r="845" spans="1:10" ht="15" customHeight="1" x14ac:dyDescent="0.25">
      <c r="A845" s="3"/>
      <c r="B845" s="3"/>
      <c r="C845" s="18"/>
      <c r="D845" s="15"/>
      <c r="E845" s="3"/>
      <c r="F845" s="3"/>
      <c r="G845" s="3"/>
      <c r="H845" s="3"/>
      <c r="I845" s="3"/>
      <c r="J845" s="19"/>
    </row>
    <row r="846" spans="1:10" ht="15" customHeight="1" x14ac:dyDescent="0.25">
      <c r="A846" s="3"/>
      <c r="B846" s="3"/>
      <c r="C846" s="18"/>
      <c r="D846" s="15"/>
      <c r="E846" s="3"/>
      <c r="F846" s="3"/>
      <c r="G846" s="3"/>
      <c r="H846" s="3"/>
      <c r="I846" s="3"/>
      <c r="J846" s="19"/>
    </row>
    <row r="847" spans="1:10" ht="15" customHeight="1" x14ac:dyDescent="0.25">
      <c r="A847" s="3"/>
      <c r="B847" s="3"/>
      <c r="C847" s="18"/>
      <c r="D847" s="15"/>
      <c r="E847" s="3"/>
      <c r="F847" s="3"/>
      <c r="G847" s="3"/>
      <c r="H847" s="3"/>
      <c r="I847" s="3"/>
      <c r="J847" s="19"/>
    </row>
    <row r="848" spans="1:10" ht="15" customHeight="1" x14ac:dyDescent="0.25">
      <c r="A848" s="3"/>
      <c r="B848" s="3"/>
      <c r="C848" s="18"/>
      <c r="D848" s="15"/>
      <c r="E848" s="3"/>
      <c r="F848" s="3"/>
      <c r="G848" s="3"/>
      <c r="H848" s="3"/>
      <c r="I848" s="3"/>
      <c r="J848" s="19"/>
    </row>
    <row r="849" spans="1:10" ht="15" customHeight="1" x14ac:dyDescent="0.25">
      <c r="A849" s="3"/>
      <c r="B849" s="3"/>
      <c r="C849" s="18"/>
      <c r="D849" s="15"/>
      <c r="E849" s="3"/>
      <c r="F849" s="3"/>
      <c r="G849" s="3"/>
      <c r="H849" s="3"/>
      <c r="I849" s="3"/>
      <c r="J849" s="19"/>
    </row>
    <row r="850" spans="1:10" ht="15" customHeight="1" x14ac:dyDescent="0.25">
      <c r="A850" s="3"/>
      <c r="B850" s="3"/>
      <c r="C850" s="18"/>
      <c r="D850" s="15"/>
      <c r="E850" s="3"/>
      <c r="F850" s="3"/>
      <c r="G850" s="3"/>
      <c r="H850" s="3"/>
      <c r="I850" s="3"/>
      <c r="J850" s="19"/>
    </row>
    <row r="851" spans="1:10" ht="15" customHeight="1" x14ac:dyDescent="0.25">
      <c r="A851" s="3"/>
      <c r="B851" s="3"/>
      <c r="C851" s="18"/>
      <c r="D851" s="15"/>
      <c r="E851" s="3"/>
      <c r="F851" s="3"/>
      <c r="G851" s="3"/>
      <c r="H851" s="3"/>
      <c r="I851" s="3"/>
      <c r="J851" s="19"/>
    </row>
    <row r="852" spans="1:10" ht="15" customHeight="1" x14ac:dyDescent="0.25">
      <c r="A852" s="3"/>
      <c r="B852" s="3"/>
      <c r="C852" s="18"/>
      <c r="D852" s="15"/>
      <c r="E852" s="3"/>
      <c r="F852" s="3"/>
      <c r="G852" s="3"/>
      <c r="H852" s="3"/>
      <c r="I852" s="3"/>
      <c r="J852" s="19"/>
    </row>
    <row r="853" spans="1:10" ht="15" customHeight="1" x14ac:dyDescent="0.25">
      <c r="A853" s="3"/>
      <c r="B853" s="3"/>
      <c r="C853" s="18"/>
      <c r="D853" s="15"/>
      <c r="E853" s="3"/>
      <c r="F853" s="3"/>
      <c r="G853" s="3"/>
      <c r="H853" s="3"/>
      <c r="I853" s="3"/>
      <c r="J853" s="19"/>
    </row>
    <row r="854" spans="1:10" ht="15" customHeight="1" x14ac:dyDescent="0.25">
      <c r="A854" s="3"/>
      <c r="B854" s="3"/>
      <c r="C854" s="18"/>
      <c r="D854" s="15"/>
      <c r="E854" s="3"/>
      <c r="F854" s="3"/>
      <c r="G854" s="3"/>
      <c r="H854" s="3"/>
      <c r="I854" s="3"/>
      <c r="J854" s="19"/>
    </row>
    <row r="855" spans="1:10" ht="15" customHeight="1" x14ac:dyDescent="0.25">
      <c r="A855" s="3"/>
      <c r="B855" s="3"/>
      <c r="C855" s="18"/>
      <c r="D855" s="15"/>
      <c r="E855" s="3"/>
      <c r="F855" s="3"/>
      <c r="G855" s="3"/>
      <c r="H855" s="3"/>
      <c r="I855" s="3"/>
      <c r="J855" s="19"/>
    </row>
    <row r="856" spans="1:10" ht="15" customHeight="1" x14ac:dyDescent="0.25">
      <c r="A856" s="3"/>
      <c r="B856" s="3"/>
      <c r="C856" s="18"/>
      <c r="D856" s="15"/>
      <c r="E856" s="3"/>
      <c r="F856" s="3"/>
      <c r="G856" s="3"/>
      <c r="H856" s="3"/>
      <c r="I856" s="3"/>
      <c r="J856" s="19"/>
    </row>
    <row r="857" spans="1:10" ht="15" customHeight="1" x14ac:dyDescent="0.25">
      <c r="A857" s="3"/>
      <c r="B857" s="3"/>
      <c r="C857" s="18"/>
      <c r="D857" s="15"/>
      <c r="E857" s="3"/>
      <c r="F857" s="3"/>
      <c r="G857" s="3"/>
      <c r="H857" s="3"/>
      <c r="I857" s="3"/>
      <c r="J857" s="19"/>
    </row>
    <row r="858" spans="1:10" ht="15" customHeight="1" x14ac:dyDescent="0.25">
      <c r="A858" s="3"/>
      <c r="B858" s="3"/>
      <c r="C858" s="18"/>
      <c r="D858" s="15"/>
      <c r="E858" s="3"/>
      <c r="F858" s="3"/>
      <c r="G858" s="3"/>
      <c r="H858" s="3"/>
      <c r="I858" s="3"/>
      <c r="J858" s="19"/>
    </row>
    <row r="859" spans="1:10" ht="15" customHeight="1" x14ac:dyDescent="0.25">
      <c r="A859" s="3"/>
      <c r="B859" s="3"/>
      <c r="C859" s="18"/>
      <c r="D859" s="15"/>
      <c r="E859" s="3"/>
      <c r="F859" s="3"/>
      <c r="G859" s="3"/>
      <c r="H859" s="3"/>
      <c r="I859" s="3"/>
      <c r="J859" s="19"/>
    </row>
    <row r="860" spans="1:10" ht="15" customHeight="1" x14ac:dyDescent="0.25">
      <c r="A860" s="3"/>
      <c r="B860" s="3"/>
      <c r="C860" s="18"/>
      <c r="D860" s="15"/>
      <c r="E860" s="3"/>
      <c r="F860" s="3"/>
      <c r="G860" s="3"/>
      <c r="H860" s="3"/>
      <c r="I860" s="3"/>
      <c r="J860" s="19"/>
    </row>
    <row r="861" spans="1:10" ht="15" customHeight="1" x14ac:dyDescent="0.25">
      <c r="A861" s="3"/>
      <c r="B861" s="3"/>
      <c r="C861" s="18"/>
      <c r="D861" s="15"/>
      <c r="E861" s="3"/>
      <c r="F861" s="3"/>
      <c r="G861" s="3"/>
      <c r="H861" s="3"/>
      <c r="I861" s="3"/>
      <c r="J861" s="19"/>
    </row>
    <row r="862" spans="1:10" ht="15" customHeight="1" x14ac:dyDescent="0.25">
      <c r="A862" s="3"/>
      <c r="B862" s="3"/>
      <c r="C862" s="18"/>
      <c r="D862" s="15"/>
      <c r="E862" s="3"/>
      <c r="F862" s="3"/>
      <c r="G862" s="3"/>
      <c r="H862" s="3"/>
      <c r="I862" s="3"/>
      <c r="J862" s="19"/>
    </row>
    <row r="863" spans="1:10" ht="15" customHeight="1" x14ac:dyDescent="0.25">
      <c r="A863" s="3"/>
      <c r="B863" s="3"/>
      <c r="C863" s="18"/>
      <c r="D863" s="15"/>
      <c r="E863" s="3"/>
      <c r="F863" s="3"/>
      <c r="G863" s="3"/>
      <c r="H863" s="3"/>
      <c r="I863" s="3"/>
      <c r="J863" s="19"/>
    </row>
    <row r="864" spans="1:10" ht="15" customHeight="1" x14ac:dyDescent="0.25">
      <c r="A864" s="3"/>
      <c r="B864" s="3"/>
      <c r="C864" s="18"/>
      <c r="D864" s="15"/>
      <c r="E864" s="3"/>
      <c r="F864" s="3"/>
      <c r="G864" s="3"/>
      <c r="H864" s="3"/>
      <c r="I864" s="3"/>
      <c r="J864" s="19"/>
    </row>
    <row r="865" spans="1:10" ht="15" customHeight="1" x14ac:dyDescent="0.25">
      <c r="A865" s="3"/>
      <c r="B865" s="3"/>
      <c r="C865" s="18"/>
      <c r="D865" s="15"/>
      <c r="E865" s="3"/>
      <c r="F865" s="3"/>
      <c r="G865" s="3"/>
      <c r="H865" s="3"/>
      <c r="I865" s="3"/>
      <c r="J865" s="19"/>
    </row>
    <row r="866" spans="1:10" ht="15" customHeight="1" x14ac:dyDescent="0.25">
      <c r="A866" s="3"/>
      <c r="B866" s="3"/>
      <c r="C866" s="18"/>
      <c r="D866" s="15"/>
      <c r="E866" s="3"/>
      <c r="F866" s="3"/>
      <c r="G866" s="3"/>
      <c r="H866" s="3"/>
      <c r="I866" s="3"/>
      <c r="J866" s="19"/>
    </row>
    <row r="867" spans="1:10" ht="15" customHeight="1" x14ac:dyDescent="0.25">
      <c r="A867" s="3"/>
      <c r="B867" s="3"/>
      <c r="C867" s="18"/>
      <c r="D867" s="15"/>
      <c r="E867" s="3"/>
      <c r="F867" s="3"/>
      <c r="G867" s="3"/>
      <c r="H867" s="3"/>
      <c r="I867" s="3"/>
      <c r="J867" s="19"/>
    </row>
    <row r="868" spans="1:10" ht="15" customHeight="1" x14ac:dyDescent="0.25">
      <c r="A868" s="3"/>
      <c r="B868" s="3"/>
      <c r="C868" s="18"/>
      <c r="D868" s="15"/>
      <c r="E868" s="3"/>
      <c r="F868" s="3"/>
      <c r="G868" s="3"/>
      <c r="H868" s="3"/>
      <c r="I868" s="3"/>
      <c r="J868" s="19"/>
    </row>
    <row r="869" spans="1:10" ht="15" customHeight="1" x14ac:dyDescent="0.25">
      <c r="A869" s="3"/>
      <c r="B869" s="3"/>
      <c r="C869" s="18"/>
      <c r="D869" s="15"/>
      <c r="E869" s="3"/>
      <c r="F869" s="3"/>
      <c r="G869" s="3"/>
      <c r="H869" s="3"/>
      <c r="I869" s="3"/>
      <c r="J869" s="19"/>
    </row>
    <row r="870" spans="1:10" ht="15" customHeight="1" x14ac:dyDescent="0.25">
      <c r="A870" s="3"/>
      <c r="B870" s="3"/>
      <c r="C870" s="18"/>
      <c r="D870" s="15"/>
      <c r="E870" s="3"/>
      <c r="F870" s="3"/>
      <c r="G870" s="3"/>
      <c r="H870" s="3"/>
      <c r="I870" s="3"/>
      <c r="J870" s="19"/>
    </row>
    <row r="871" spans="1:10" ht="15" customHeight="1" x14ac:dyDescent="0.25">
      <c r="A871" s="3"/>
      <c r="B871" s="3"/>
      <c r="C871" s="18"/>
      <c r="D871" s="15"/>
      <c r="E871" s="3"/>
      <c r="F871" s="3"/>
      <c r="G871" s="3"/>
      <c r="H871" s="3"/>
      <c r="I871" s="3"/>
      <c r="J871" s="19"/>
    </row>
    <row r="872" spans="1:10" ht="15" customHeight="1" x14ac:dyDescent="0.25">
      <c r="A872" s="3"/>
      <c r="B872" s="3"/>
      <c r="C872" s="18"/>
      <c r="D872" s="15"/>
      <c r="E872" s="3"/>
      <c r="F872" s="3"/>
      <c r="G872" s="3"/>
      <c r="H872" s="3"/>
      <c r="I872" s="3"/>
      <c r="J872" s="19"/>
    </row>
    <row r="873" spans="1:10" ht="15" customHeight="1" x14ac:dyDescent="0.25">
      <c r="A873" s="3"/>
      <c r="B873" s="3"/>
      <c r="C873" s="18"/>
      <c r="D873" s="15"/>
      <c r="E873" s="3"/>
      <c r="F873" s="3"/>
      <c r="G873" s="3"/>
      <c r="H873" s="3"/>
      <c r="I873" s="3"/>
      <c r="J873" s="19"/>
    </row>
    <row r="874" spans="1:10" ht="15" customHeight="1" x14ac:dyDescent="0.25">
      <c r="A874" s="3"/>
      <c r="B874" s="3"/>
      <c r="C874" s="18"/>
      <c r="D874" s="15"/>
      <c r="E874" s="3"/>
      <c r="F874" s="3"/>
      <c r="G874" s="3"/>
      <c r="H874" s="3"/>
      <c r="I874" s="3"/>
      <c r="J874" s="19"/>
    </row>
    <row r="875" spans="1:10" ht="15" customHeight="1" x14ac:dyDescent="0.25">
      <c r="A875" s="3"/>
      <c r="B875" s="3"/>
      <c r="C875" s="18"/>
      <c r="D875" s="15"/>
      <c r="E875" s="3"/>
      <c r="F875" s="3"/>
      <c r="G875" s="3"/>
      <c r="H875" s="3"/>
      <c r="I875" s="3"/>
      <c r="J875" s="19"/>
    </row>
    <row r="876" spans="1:10" ht="15" customHeight="1" x14ac:dyDescent="0.25">
      <c r="A876" s="3"/>
      <c r="B876" s="3"/>
      <c r="C876" s="18"/>
      <c r="D876" s="15"/>
      <c r="E876" s="3"/>
      <c r="F876" s="3"/>
      <c r="G876" s="3"/>
      <c r="H876" s="3"/>
      <c r="I876" s="3"/>
      <c r="J876" s="19"/>
    </row>
    <row r="877" spans="1:10" ht="15" customHeight="1" x14ac:dyDescent="0.25">
      <c r="A877" s="3"/>
      <c r="B877" s="3"/>
      <c r="C877" s="18"/>
      <c r="D877" s="15"/>
      <c r="E877" s="3"/>
      <c r="F877" s="3"/>
      <c r="G877" s="3"/>
      <c r="H877" s="3"/>
      <c r="I877" s="3"/>
      <c r="J877" s="19"/>
    </row>
    <row r="878" spans="1:10" ht="15" customHeight="1" x14ac:dyDescent="0.25">
      <c r="A878" s="3"/>
      <c r="B878" s="3"/>
      <c r="C878" s="18"/>
      <c r="D878" s="15"/>
      <c r="E878" s="3"/>
      <c r="F878" s="3"/>
      <c r="G878" s="3"/>
      <c r="H878" s="3"/>
      <c r="I878" s="3"/>
      <c r="J878" s="19"/>
    </row>
    <row r="879" spans="1:10" ht="15" customHeight="1" x14ac:dyDescent="0.25">
      <c r="A879" s="3"/>
      <c r="B879" s="3"/>
      <c r="C879" s="18"/>
      <c r="D879" s="15"/>
      <c r="E879" s="3"/>
      <c r="F879" s="3"/>
      <c r="G879" s="3"/>
      <c r="H879" s="3"/>
      <c r="I879" s="3"/>
      <c r="J879" s="19"/>
    </row>
    <row r="880" spans="1:10" ht="15" customHeight="1" x14ac:dyDescent="0.25">
      <c r="A880" s="3"/>
      <c r="B880" s="3"/>
      <c r="C880" s="18"/>
      <c r="D880" s="15"/>
      <c r="E880" s="3"/>
      <c r="F880" s="3"/>
      <c r="G880" s="3"/>
      <c r="H880" s="3"/>
      <c r="I880" s="3"/>
      <c r="J880" s="19"/>
    </row>
    <row r="881" spans="1:10" ht="15" customHeight="1" x14ac:dyDescent="0.25">
      <c r="A881" s="3"/>
      <c r="B881" s="3"/>
      <c r="C881" s="18"/>
      <c r="D881" s="15"/>
      <c r="E881" s="3"/>
      <c r="F881" s="3"/>
      <c r="G881" s="3"/>
      <c r="H881" s="3"/>
      <c r="I881" s="3"/>
      <c r="J881" s="19"/>
    </row>
    <row r="882" spans="1:10" ht="15" customHeight="1" x14ac:dyDescent="0.25">
      <c r="A882" s="3"/>
      <c r="B882" s="3"/>
      <c r="C882" s="18"/>
      <c r="D882" s="15"/>
      <c r="E882" s="3"/>
      <c r="F882" s="3"/>
      <c r="G882" s="3"/>
      <c r="H882" s="3"/>
      <c r="I882" s="3"/>
      <c r="J882" s="19"/>
    </row>
    <row r="883" spans="1:10" ht="15" customHeight="1" x14ac:dyDescent="0.25">
      <c r="A883" s="3"/>
      <c r="B883" s="3"/>
      <c r="C883" s="18"/>
      <c r="D883" s="15"/>
      <c r="E883" s="3"/>
      <c r="F883" s="3"/>
      <c r="G883" s="3"/>
      <c r="H883" s="3"/>
      <c r="I883" s="3"/>
      <c r="J883" s="19"/>
    </row>
    <row r="884" spans="1:10" ht="15" customHeight="1" x14ac:dyDescent="0.25">
      <c r="A884" s="3"/>
      <c r="B884" s="3"/>
      <c r="C884" s="18"/>
      <c r="D884" s="15"/>
      <c r="E884" s="3"/>
      <c r="F884" s="3"/>
      <c r="G884" s="3"/>
      <c r="H884" s="3"/>
      <c r="I884" s="3"/>
      <c r="J884" s="19"/>
    </row>
    <row r="885" spans="1:10" ht="15" customHeight="1" x14ac:dyDescent="0.25">
      <c r="A885" s="3"/>
      <c r="B885" s="3"/>
      <c r="C885" s="18"/>
      <c r="D885" s="15"/>
      <c r="E885" s="3"/>
      <c r="F885" s="3"/>
      <c r="G885" s="3"/>
      <c r="H885" s="3"/>
      <c r="I885" s="3"/>
      <c r="J885" s="19"/>
    </row>
    <row r="886" spans="1:10" ht="15" customHeight="1" x14ac:dyDescent="0.25">
      <c r="A886" s="3"/>
      <c r="B886" s="3"/>
      <c r="C886" s="18"/>
      <c r="D886" s="15"/>
      <c r="E886" s="3"/>
      <c r="F886" s="3"/>
      <c r="G886" s="3"/>
      <c r="H886" s="3"/>
      <c r="I886" s="3"/>
      <c r="J886" s="19"/>
    </row>
    <row r="887" spans="1:10" ht="15" customHeight="1" x14ac:dyDescent="0.25">
      <c r="A887" s="3"/>
      <c r="B887" s="3"/>
      <c r="C887" s="18"/>
      <c r="D887" s="15"/>
      <c r="E887" s="3"/>
      <c r="F887" s="3"/>
      <c r="G887" s="3"/>
      <c r="H887" s="3"/>
      <c r="I887" s="3"/>
      <c r="J887" s="19"/>
    </row>
    <row r="888" spans="1:10" ht="15" customHeight="1" x14ac:dyDescent="0.25">
      <c r="A888" s="3"/>
      <c r="B888" s="3"/>
      <c r="C888" s="18"/>
      <c r="D888" s="15"/>
      <c r="E888" s="3"/>
      <c r="F888" s="3"/>
      <c r="G888" s="3"/>
      <c r="H888" s="3"/>
      <c r="I888" s="3"/>
      <c r="J888" s="19"/>
    </row>
    <row r="889" spans="1:10" ht="15" customHeight="1" x14ac:dyDescent="0.25">
      <c r="A889" s="3"/>
      <c r="B889" s="3"/>
      <c r="C889" s="18"/>
      <c r="D889" s="15"/>
      <c r="E889" s="3"/>
      <c r="F889" s="3"/>
      <c r="G889" s="3"/>
      <c r="H889" s="3"/>
      <c r="I889" s="3"/>
      <c r="J889" s="19"/>
    </row>
    <row r="890" spans="1:10" ht="15" customHeight="1" x14ac:dyDescent="0.25">
      <c r="A890" s="3"/>
      <c r="B890" s="3"/>
      <c r="C890" s="18"/>
      <c r="D890" s="15"/>
      <c r="E890" s="3"/>
      <c r="F890" s="3"/>
      <c r="G890" s="3"/>
      <c r="H890" s="3"/>
      <c r="I890" s="3"/>
      <c r="J890" s="19"/>
    </row>
    <row r="891" spans="1:10" ht="15" customHeight="1" x14ac:dyDescent="0.25">
      <c r="A891" s="3"/>
      <c r="B891" s="3"/>
      <c r="C891" s="18"/>
      <c r="D891" s="15"/>
      <c r="E891" s="3"/>
      <c r="F891" s="3"/>
      <c r="G891" s="3"/>
      <c r="H891" s="3"/>
      <c r="I891" s="3"/>
      <c r="J891" s="19"/>
    </row>
    <row r="892" spans="1:10" ht="15" customHeight="1" x14ac:dyDescent="0.25">
      <c r="A892" s="3"/>
      <c r="B892" s="3"/>
      <c r="C892" s="18"/>
      <c r="D892" s="15"/>
      <c r="E892" s="3"/>
      <c r="F892" s="3"/>
      <c r="G892" s="3"/>
      <c r="H892" s="3"/>
      <c r="I892" s="3"/>
      <c r="J892" s="19"/>
    </row>
    <row r="893" spans="1:10" ht="15" customHeight="1" x14ac:dyDescent="0.25">
      <c r="A893" s="3"/>
      <c r="B893" s="3"/>
      <c r="C893" s="18"/>
      <c r="D893" s="15"/>
      <c r="E893" s="3"/>
      <c r="F893" s="3"/>
      <c r="G893" s="3"/>
      <c r="H893" s="3"/>
      <c r="I893" s="3"/>
      <c r="J893" s="19"/>
    </row>
    <row r="894" spans="1:10" ht="15" customHeight="1" x14ac:dyDescent="0.25">
      <c r="A894" s="3"/>
      <c r="B894" s="3"/>
      <c r="C894" s="18"/>
      <c r="D894" s="15"/>
      <c r="E894" s="3"/>
      <c r="F894" s="3"/>
      <c r="G894" s="3"/>
      <c r="H894" s="3"/>
      <c r="I894" s="3"/>
      <c r="J894" s="19"/>
    </row>
    <row r="895" spans="1:10" ht="15" customHeight="1" x14ac:dyDescent="0.25">
      <c r="A895" s="3"/>
      <c r="B895" s="3"/>
      <c r="C895" s="18"/>
      <c r="D895" s="15"/>
      <c r="E895" s="3"/>
      <c r="F895" s="3"/>
      <c r="G895" s="3"/>
      <c r="H895" s="3"/>
      <c r="I895" s="3"/>
      <c r="J895" s="19"/>
    </row>
    <row r="896" spans="1:10" ht="15" customHeight="1" x14ac:dyDescent="0.25">
      <c r="A896" s="3"/>
      <c r="B896" s="3"/>
      <c r="C896" s="18"/>
      <c r="D896" s="15"/>
      <c r="E896" s="3"/>
      <c r="F896" s="3"/>
      <c r="G896" s="3"/>
      <c r="H896" s="3"/>
      <c r="I896" s="3"/>
      <c r="J896" s="19"/>
    </row>
    <row r="897" spans="1:10" ht="15" customHeight="1" x14ac:dyDescent="0.25">
      <c r="A897" s="3"/>
      <c r="B897" s="3"/>
      <c r="C897" s="18"/>
      <c r="D897" s="15"/>
      <c r="E897" s="3"/>
      <c r="F897" s="3"/>
      <c r="G897" s="3"/>
      <c r="H897" s="3"/>
      <c r="I897" s="3"/>
      <c r="J897" s="19"/>
    </row>
    <row r="898" spans="1:10" ht="15" customHeight="1" x14ac:dyDescent="0.25">
      <c r="A898" s="3"/>
      <c r="B898" s="3"/>
      <c r="C898" s="18"/>
      <c r="D898" s="15"/>
      <c r="E898" s="3"/>
      <c r="F898" s="3"/>
      <c r="G898" s="3"/>
      <c r="H898" s="3"/>
      <c r="I898" s="3"/>
      <c r="J898" s="19"/>
    </row>
    <row r="899" spans="1:10" ht="15" customHeight="1" x14ac:dyDescent="0.25">
      <c r="A899" s="3"/>
      <c r="B899" s="3"/>
      <c r="C899" s="18"/>
      <c r="D899" s="15"/>
      <c r="E899" s="3"/>
      <c r="F899" s="3"/>
      <c r="G899" s="3"/>
      <c r="H899" s="3"/>
      <c r="I899" s="3"/>
      <c r="J899" s="19"/>
    </row>
    <row r="900" spans="1:10" ht="15" customHeight="1" x14ac:dyDescent="0.25">
      <c r="A900" s="3"/>
      <c r="B900" s="3"/>
      <c r="C900" s="18"/>
      <c r="D900" s="15"/>
      <c r="E900" s="3"/>
      <c r="F900" s="3"/>
      <c r="G900" s="3"/>
      <c r="H900" s="3"/>
      <c r="I900" s="3"/>
      <c r="J900" s="19"/>
    </row>
    <row r="901" spans="1:10" ht="15" customHeight="1" x14ac:dyDescent="0.25">
      <c r="A901" s="3"/>
      <c r="B901" s="3"/>
      <c r="C901" s="18"/>
      <c r="D901" s="15"/>
      <c r="E901" s="3"/>
      <c r="F901" s="3"/>
      <c r="G901" s="3"/>
      <c r="H901" s="3"/>
      <c r="I901" s="3"/>
      <c r="J901" s="19"/>
    </row>
    <row r="902" spans="1:10" ht="15" customHeight="1" x14ac:dyDescent="0.25">
      <c r="A902" s="3"/>
      <c r="B902" s="3"/>
      <c r="C902" s="18"/>
      <c r="D902" s="15"/>
      <c r="E902" s="3"/>
      <c r="F902" s="3"/>
      <c r="G902" s="3"/>
      <c r="H902" s="3"/>
      <c r="I902" s="3"/>
      <c r="J902" s="19"/>
    </row>
    <row r="903" spans="1:10" ht="15" customHeight="1" x14ac:dyDescent="0.25">
      <c r="A903" s="3"/>
      <c r="B903" s="3"/>
      <c r="C903" s="18"/>
      <c r="D903" s="15"/>
      <c r="E903" s="3"/>
      <c r="F903" s="3"/>
      <c r="G903" s="3"/>
      <c r="H903" s="3"/>
      <c r="I903" s="3"/>
      <c r="J903" s="19"/>
    </row>
    <row r="904" spans="1:10" ht="15" customHeight="1" x14ac:dyDescent="0.25">
      <c r="A904" s="3"/>
      <c r="B904" s="3"/>
      <c r="C904" s="18"/>
      <c r="D904" s="15"/>
      <c r="E904" s="3"/>
      <c r="F904" s="3"/>
      <c r="G904" s="3"/>
      <c r="H904" s="3"/>
      <c r="I904" s="3"/>
      <c r="J904" s="19"/>
    </row>
    <row r="905" spans="1:10" ht="15" customHeight="1" x14ac:dyDescent="0.25">
      <c r="A905" s="3"/>
      <c r="B905" s="3"/>
      <c r="C905" s="18"/>
      <c r="D905" s="15"/>
      <c r="E905" s="3"/>
      <c r="F905" s="3"/>
      <c r="G905" s="3"/>
      <c r="H905" s="3"/>
      <c r="I905" s="3"/>
      <c r="J905" s="19"/>
    </row>
    <row r="906" spans="1:10" ht="15" customHeight="1" x14ac:dyDescent="0.25">
      <c r="A906" s="3"/>
      <c r="B906" s="3"/>
      <c r="C906" s="18"/>
      <c r="D906" s="15"/>
      <c r="E906" s="3"/>
      <c r="F906" s="3"/>
      <c r="G906" s="3"/>
      <c r="H906" s="3"/>
      <c r="I906" s="3"/>
      <c r="J906" s="19"/>
    </row>
    <row r="907" spans="1:10" ht="15" customHeight="1" x14ac:dyDescent="0.25">
      <c r="A907" s="3"/>
      <c r="B907" s="3"/>
      <c r="C907" s="18"/>
      <c r="D907" s="15"/>
      <c r="E907" s="3"/>
      <c r="F907" s="3"/>
      <c r="G907" s="3"/>
      <c r="H907" s="3"/>
      <c r="I907" s="3"/>
      <c r="J907" s="19"/>
    </row>
    <row r="908" spans="1:10" ht="15" customHeight="1" x14ac:dyDescent="0.25">
      <c r="A908" s="3"/>
      <c r="B908" s="3"/>
      <c r="C908" s="18"/>
      <c r="D908" s="15"/>
      <c r="E908" s="3"/>
      <c r="F908" s="3"/>
      <c r="G908" s="3"/>
      <c r="H908" s="3"/>
      <c r="I908" s="3"/>
      <c r="J908" s="19"/>
    </row>
    <row r="909" spans="1:10" ht="15" customHeight="1" x14ac:dyDescent="0.25">
      <c r="A909" s="3"/>
      <c r="B909" s="3"/>
      <c r="C909" s="18"/>
      <c r="D909" s="15"/>
      <c r="E909" s="3"/>
      <c r="F909" s="3"/>
      <c r="G909" s="3"/>
      <c r="H909" s="3"/>
      <c r="I909" s="3"/>
      <c r="J909" s="19"/>
    </row>
    <row r="910" spans="1:10" ht="15" customHeight="1" x14ac:dyDescent="0.25">
      <c r="A910" s="3"/>
      <c r="B910" s="3"/>
      <c r="C910" s="18"/>
      <c r="D910" s="15"/>
      <c r="E910" s="3"/>
      <c r="F910" s="3"/>
      <c r="G910" s="3"/>
      <c r="H910" s="3"/>
      <c r="I910" s="3"/>
      <c r="J910" s="19"/>
    </row>
    <row r="911" spans="1:10" ht="15" customHeight="1" x14ac:dyDescent="0.25">
      <c r="A911" s="3"/>
      <c r="B911" s="3"/>
      <c r="C911" s="18"/>
      <c r="D911" s="15"/>
      <c r="E911" s="3"/>
      <c r="F911" s="3"/>
      <c r="G911" s="3"/>
      <c r="H911" s="3"/>
      <c r="I911" s="3"/>
      <c r="J911" s="19"/>
    </row>
    <row r="912" spans="1:10" ht="15" customHeight="1" x14ac:dyDescent="0.25">
      <c r="A912" s="3"/>
      <c r="B912" s="3"/>
      <c r="C912" s="18"/>
      <c r="D912" s="15"/>
      <c r="E912" s="3"/>
      <c r="F912" s="3"/>
      <c r="G912" s="3"/>
      <c r="H912" s="3"/>
      <c r="I912" s="3"/>
      <c r="J912" s="19"/>
    </row>
    <row r="913" spans="1:10" ht="15" customHeight="1" x14ac:dyDescent="0.25">
      <c r="A913" s="3"/>
      <c r="B913" s="3"/>
      <c r="C913" s="18"/>
      <c r="D913" s="15"/>
      <c r="E913" s="3"/>
      <c r="F913" s="3"/>
      <c r="G913" s="3"/>
      <c r="H913" s="3"/>
      <c r="I913" s="3"/>
      <c r="J913" s="19"/>
    </row>
    <row r="914" spans="1:10" ht="15" customHeight="1" x14ac:dyDescent="0.25">
      <c r="A914" s="3"/>
      <c r="B914" s="3"/>
      <c r="C914" s="18"/>
      <c r="D914" s="15"/>
      <c r="E914" s="3"/>
      <c r="F914" s="3"/>
      <c r="G914" s="3"/>
      <c r="H914" s="3"/>
      <c r="I914" s="3"/>
      <c r="J914" s="19"/>
    </row>
    <row r="915" spans="1:10" ht="15" customHeight="1" x14ac:dyDescent="0.25">
      <c r="A915" s="3"/>
      <c r="B915" s="3"/>
      <c r="C915" s="18"/>
      <c r="D915" s="15"/>
      <c r="E915" s="3"/>
      <c r="F915" s="3"/>
      <c r="G915" s="3"/>
      <c r="H915" s="3"/>
      <c r="I915" s="3"/>
      <c r="J915" s="19"/>
    </row>
    <row r="916" spans="1:10" ht="15" customHeight="1" x14ac:dyDescent="0.25">
      <c r="A916" s="3"/>
      <c r="B916" s="3"/>
      <c r="C916" s="18"/>
      <c r="D916" s="15"/>
      <c r="E916" s="3"/>
      <c r="F916" s="3"/>
      <c r="G916" s="3"/>
      <c r="H916" s="3"/>
      <c r="I916" s="3"/>
      <c r="J916" s="19"/>
    </row>
    <row r="917" spans="1:10" ht="15" customHeight="1" x14ac:dyDescent="0.25">
      <c r="A917" s="3"/>
      <c r="B917" s="3"/>
      <c r="C917" s="18"/>
      <c r="D917" s="15"/>
      <c r="E917" s="3"/>
      <c r="F917" s="3"/>
      <c r="G917" s="3"/>
      <c r="H917" s="3"/>
      <c r="I917" s="3"/>
      <c r="J917" s="19"/>
    </row>
    <row r="918" spans="1:10" ht="15" customHeight="1" x14ac:dyDescent="0.25">
      <c r="A918" s="3"/>
      <c r="B918" s="3"/>
      <c r="C918" s="18"/>
      <c r="D918" s="15"/>
      <c r="E918" s="3"/>
      <c r="F918" s="3"/>
      <c r="G918" s="3"/>
      <c r="H918" s="3"/>
      <c r="I918" s="3"/>
      <c r="J918" s="19"/>
    </row>
    <row r="919" spans="1:10" ht="15" customHeight="1" x14ac:dyDescent="0.25">
      <c r="A919" s="3"/>
      <c r="B919" s="3"/>
      <c r="C919" s="18"/>
      <c r="D919" s="15"/>
      <c r="E919" s="3"/>
      <c r="F919" s="3"/>
      <c r="G919" s="3"/>
      <c r="H919" s="3"/>
      <c r="I919" s="3"/>
      <c r="J919" s="19"/>
    </row>
    <row r="920" spans="1:10" ht="15" customHeight="1" x14ac:dyDescent="0.25">
      <c r="A920" s="3"/>
      <c r="B920" s="3"/>
      <c r="C920" s="18"/>
      <c r="D920" s="15"/>
      <c r="E920" s="3"/>
      <c r="F920" s="3"/>
      <c r="G920" s="3"/>
      <c r="H920" s="3"/>
      <c r="I920" s="3"/>
      <c r="J920" s="19"/>
    </row>
    <row r="921" spans="1:10" ht="15" customHeight="1" x14ac:dyDescent="0.25">
      <c r="A921" s="3"/>
      <c r="B921" s="3"/>
      <c r="C921" s="18"/>
      <c r="D921" s="15"/>
      <c r="E921" s="3"/>
      <c r="F921" s="3"/>
      <c r="G921" s="3"/>
      <c r="H921" s="3"/>
      <c r="I921" s="3"/>
      <c r="J921" s="19"/>
    </row>
    <row r="922" spans="1:10" ht="15" customHeight="1" x14ac:dyDescent="0.25">
      <c r="A922" s="3"/>
      <c r="B922" s="3"/>
      <c r="C922" s="18"/>
      <c r="D922" s="15"/>
      <c r="E922" s="3"/>
      <c r="F922" s="3"/>
      <c r="G922" s="3"/>
      <c r="H922" s="3"/>
      <c r="I922" s="3"/>
      <c r="J922" s="19"/>
    </row>
    <row r="923" spans="1:10" ht="15" customHeight="1" x14ac:dyDescent="0.25">
      <c r="A923" s="3"/>
      <c r="B923" s="3"/>
      <c r="C923" s="18"/>
      <c r="D923" s="15"/>
      <c r="E923" s="3"/>
      <c r="F923" s="3"/>
      <c r="G923" s="3"/>
      <c r="H923" s="3"/>
      <c r="I923" s="3"/>
      <c r="J923" s="19"/>
    </row>
    <row r="924" spans="1:10" ht="15" customHeight="1" x14ac:dyDescent="0.25">
      <c r="A924" s="3"/>
      <c r="B924" s="3"/>
      <c r="C924" s="18"/>
      <c r="D924" s="15"/>
      <c r="E924" s="3"/>
      <c r="F924" s="3"/>
      <c r="G924" s="3"/>
      <c r="H924" s="3"/>
      <c r="I924" s="3"/>
      <c r="J924" s="19"/>
    </row>
    <row r="925" spans="1:10" ht="15" customHeight="1" x14ac:dyDescent="0.25">
      <c r="A925" s="3"/>
      <c r="B925" s="3"/>
      <c r="C925" s="18"/>
      <c r="D925" s="15"/>
      <c r="E925" s="3"/>
      <c r="F925" s="3"/>
      <c r="G925" s="3"/>
      <c r="H925" s="3"/>
      <c r="I925" s="3"/>
      <c r="J925" s="19"/>
    </row>
    <row r="926" spans="1:10" ht="15" customHeight="1" x14ac:dyDescent="0.25">
      <c r="A926" s="3"/>
      <c r="B926" s="3"/>
      <c r="C926" s="18"/>
      <c r="D926" s="15"/>
      <c r="E926" s="3"/>
      <c r="F926" s="3"/>
      <c r="G926" s="3"/>
      <c r="H926" s="3"/>
      <c r="I926" s="3"/>
      <c r="J926" s="19"/>
    </row>
    <row r="927" spans="1:10" ht="15" customHeight="1" x14ac:dyDescent="0.25">
      <c r="A927" s="3"/>
      <c r="B927" s="3"/>
      <c r="C927" s="18"/>
      <c r="D927" s="15"/>
      <c r="E927" s="3"/>
      <c r="F927" s="3"/>
      <c r="G927" s="3"/>
      <c r="H927" s="3"/>
      <c r="I927" s="3"/>
      <c r="J927" s="19"/>
    </row>
    <row r="928" spans="1:10" ht="15" customHeight="1" x14ac:dyDescent="0.25">
      <c r="A928" s="3"/>
      <c r="B928" s="3"/>
      <c r="C928" s="18"/>
      <c r="D928" s="15"/>
      <c r="E928" s="3"/>
      <c r="F928" s="3"/>
      <c r="G928" s="3"/>
      <c r="H928" s="3"/>
      <c r="I928" s="3"/>
      <c r="J928" s="19"/>
    </row>
    <row r="929" spans="1:10" ht="15" customHeight="1" x14ac:dyDescent="0.25">
      <c r="A929" s="3"/>
      <c r="B929" s="3"/>
      <c r="C929" s="18"/>
      <c r="D929" s="15"/>
      <c r="E929" s="3"/>
      <c r="F929" s="3"/>
      <c r="G929" s="3"/>
      <c r="H929" s="3"/>
      <c r="I929" s="3"/>
      <c r="J929" s="19"/>
    </row>
    <row r="930" spans="1:10" ht="15" customHeight="1" x14ac:dyDescent="0.25">
      <c r="A930" s="3"/>
      <c r="B930" s="3"/>
      <c r="C930" s="18"/>
      <c r="D930" s="15"/>
      <c r="E930" s="3"/>
      <c r="F930" s="3"/>
      <c r="G930" s="3"/>
      <c r="H930" s="3"/>
      <c r="I930" s="3"/>
      <c r="J930" s="19"/>
    </row>
    <row r="931" spans="1:10" ht="15" customHeight="1" x14ac:dyDescent="0.25">
      <c r="A931" s="3"/>
      <c r="B931" s="3"/>
      <c r="C931" s="18"/>
      <c r="D931" s="15"/>
      <c r="E931" s="3"/>
      <c r="F931" s="3"/>
      <c r="G931" s="3"/>
      <c r="H931" s="3"/>
      <c r="I931" s="3"/>
      <c r="J931" s="19"/>
    </row>
    <row r="932" spans="1:10" ht="15" customHeight="1" x14ac:dyDescent="0.25">
      <c r="A932" s="3"/>
      <c r="B932" s="3"/>
      <c r="C932" s="18"/>
      <c r="D932" s="15"/>
      <c r="E932" s="3"/>
      <c r="F932" s="3"/>
      <c r="G932" s="3"/>
      <c r="H932" s="3"/>
      <c r="I932" s="3"/>
      <c r="J932" s="19"/>
    </row>
    <row r="933" spans="1:10" ht="15" customHeight="1" x14ac:dyDescent="0.25">
      <c r="A933" s="3"/>
      <c r="B933" s="3"/>
      <c r="C933" s="18"/>
      <c r="D933" s="15"/>
      <c r="E933" s="3"/>
      <c r="F933" s="3"/>
      <c r="G933" s="3"/>
      <c r="H933" s="3"/>
      <c r="I933" s="3"/>
      <c r="J933" s="19"/>
    </row>
    <row r="934" spans="1:10" ht="15" customHeight="1" x14ac:dyDescent="0.25">
      <c r="A934" s="3"/>
      <c r="B934" s="3"/>
      <c r="C934" s="18"/>
      <c r="D934" s="15"/>
      <c r="E934" s="3"/>
      <c r="F934" s="3"/>
      <c r="G934" s="3"/>
      <c r="H934" s="3"/>
      <c r="I934" s="3"/>
      <c r="J934" s="19"/>
    </row>
    <row r="935" spans="1:10" ht="15" customHeight="1" x14ac:dyDescent="0.25">
      <c r="A935" s="3"/>
      <c r="B935" s="3"/>
      <c r="C935" s="18"/>
      <c r="D935" s="15"/>
      <c r="E935" s="3"/>
      <c r="F935" s="3"/>
      <c r="G935" s="3"/>
      <c r="H935" s="3"/>
      <c r="I935" s="3"/>
      <c r="J935" s="19"/>
    </row>
    <row r="936" spans="1:10" ht="15" customHeight="1" x14ac:dyDescent="0.25">
      <c r="A936" s="3"/>
      <c r="B936" s="3"/>
      <c r="C936" s="18"/>
      <c r="D936" s="15"/>
      <c r="E936" s="3"/>
      <c r="F936" s="3"/>
      <c r="G936" s="3"/>
      <c r="H936" s="3"/>
      <c r="I936" s="3"/>
      <c r="J936" s="19"/>
    </row>
    <row r="937" spans="1:10" ht="15" customHeight="1" x14ac:dyDescent="0.25">
      <c r="A937" s="3"/>
      <c r="B937" s="3"/>
      <c r="C937" s="18"/>
      <c r="D937" s="15"/>
      <c r="E937" s="3"/>
      <c r="F937" s="3"/>
      <c r="G937" s="3"/>
      <c r="H937" s="3"/>
      <c r="I937" s="3"/>
      <c r="J937" s="19"/>
    </row>
    <row r="938" spans="1:10" ht="15" customHeight="1" x14ac:dyDescent="0.25">
      <c r="A938" s="3"/>
      <c r="B938" s="3"/>
      <c r="C938" s="18"/>
      <c r="D938" s="15"/>
      <c r="E938" s="3"/>
      <c r="F938" s="3"/>
      <c r="G938" s="3"/>
      <c r="H938" s="3"/>
      <c r="I938" s="3"/>
      <c r="J938" s="19"/>
    </row>
    <row r="939" spans="1:10" ht="15" customHeight="1" x14ac:dyDescent="0.25">
      <c r="A939" s="3"/>
      <c r="B939" s="3"/>
      <c r="C939" s="18"/>
      <c r="D939" s="15"/>
      <c r="E939" s="3"/>
      <c r="F939" s="3"/>
      <c r="G939" s="3"/>
      <c r="H939" s="3"/>
      <c r="I939" s="3"/>
      <c r="J939" s="19"/>
    </row>
    <row r="940" spans="1:10" ht="15" customHeight="1" x14ac:dyDescent="0.25">
      <c r="A940" s="3"/>
      <c r="B940" s="3"/>
      <c r="C940" s="18"/>
      <c r="D940" s="15"/>
      <c r="E940" s="3"/>
      <c r="F940" s="3"/>
      <c r="G940" s="3"/>
      <c r="H940" s="3"/>
      <c r="I940" s="3"/>
      <c r="J940" s="19"/>
    </row>
    <row r="941" spans="1:10" ht="15" customHeight="1" x14ac:dyDescent="0.25">
      <c r="A941" s="3"/>
      <c r="B941" s="3"/>
      <c r="C941" s="18"/>
      <c r="D941" s="15"/>
      <c r="E941" s="3"/>
      <c r="F941" s="3"/>
      <c r="G941" s="3"/>
      <c r="H941" s="3"/>
      <c r="I941" s="3"/>
      <c r="J941" s="19"/>
    </row>
    <row r="942" spans="1:10" ht="15" customHeight="1" x14ac:dyDescent="0.25">
      <c r="A942" s="3"/>
      <c r="B942" s="3"/>
      <c r="C942" s="18"/>
      <c r="D942" s="15"/>
      <c r="E942" s="3"/>
      <c r="F942" s="3"/>
      <c r="G942" s="3"/>
      <c r="H942" s="3"/>
      <c r="I942" s="3"/>
      <c r="J942" s="19"/>
    </row>
    <row r="943" spans="1:10" ht="15" customHeight="1" x14ac:dyDescent="0.25">
      <c r="A943" s="3"/>
      <c r="B943" s="3"/>
      <c r="C943" s="18"/>
      <c r="D943" s="15"/>
      <c r="E943" s="3"/>
      <c r="F943" s="3"/>
      <c r="G943" s="3"/>
      <c r="H943" s="3"/>
      <c r="I943" s="3"/>
      <c r="J943" s="19"/>
    </row>
    <row r="944" spans="1:10" ht="15" customHeight="1" x14ac:dyDescent="0.25">
      <c r="A944" s="3"/>
      <c r="B944" s="3"/>
      <c r="C944" s="18"/>
      <c r="D944" s="15"/>
      <c r="E944" s="3"/>
      <c r="F944" s="3"/>
      <c r="G944" s="3"/>
      <c r="H944" s="3"/>
      <c r="I944" s="3"/>
      <c r="J944" s="19"/>
    </row>
    <row r="945" spans="1:10" ht="15" customHeight="1" x14ac:dyDescent="0.25">
      <c r="A945" s="3"/>
      <c r="B945" s="3"/>
      <c r="C945" s="18"/>
      <c r="D945" s="15"/>
      <c r="E945" s="3"/>
      <c r="F945" s="3"/>
      <c r="G945" s="3"/>
      <c r="H945" s="3"/>
      <c r="I945" s="3"/>
      <c r="J945" s="19"/>
    </row>
    <row r="946" spans="1:10" ht="15" customHeight="1" x14ac:dyDescent="0.25">
      <c r="A946" s="3"/>
      <c r="B946" s="3"/>
      <c r="C946" s="18"/>
      <c r="D946" s="15"/>
      <c r="E946" s="3"/>
      <c r="F946" s="3"/>
      <c r="G946" s="3"/>
      <c r="H946" s="3"/>
      <c r="I946" s="3"/>
      <c r="J946" s="19"/>
    </row>
    <row r="947" spans="1:10" ht="15" customHeight="1" x14ac:dyDescent="0.25">
      <c r="A947" s="3"/>
      <c r="B947" s="3"/>
      <c r="C947" s="18"/>
      <c r="D947" s="15"/>
      <c r="E947" s="3"/>
      <c r="F947" s="3"/>
      <c r="G947" s="3"/>
      <c r="H947" s="3"/>
      <c r="I947" s="3"/>
      <c r="J947" s="19"/>
    </row>
    <row r="948" spans="1:10" ht="15" customHeight="1" x14ac:dyDescent="0.25">
      <c r="A948" s="3"/>
      <c r="B948" s="3"/>
      <c r="C948" s="18"/>
      <c r="D948" s="15"/>
      <c r="E948" s="3"/>
      <c r="F948" s="3"/>
      <c r="G948" s="3"/>
      <c r="H948" s="3"/>
      <c r="I948" s="3"/>
      <c r="J948" s="19"/>
    </row>
    <row r="949" spans="1:10" ht="15" customHeight="1" x14ac:dyDescent="0.25">
      <c r="A949" s="3"/>
      <c r="B949" s="3"/>
      <c r="C949" s="18"/>
      <c r="D949" s="15"/>
      <c r="E949" s="3"/>
      <c r="F949" s="3"/>
      <c r="G949" s="3"/>
      <c r="H949" s="3"/>
      <c r="I949" s="3"/>
      <c r="J949" s="19"/>
    </row>
    <row r="950" spans="1:10" ht="15" customHeight="1" x14ac:dyDescent="0.25">
      <c r="A950" s="3"/>
      <c r="B950" s="3"/>
      <c r="C950" s="18"/>
      <c r="D950" s="15"/>
      <c r="E950" s="3"/>
      <c r="F950" s="3"/>
      <c r="G950" s="3"/>
      <c r="H950" s="3"/>
      <c r="I950" s="3"/>
      <c r="J950" s="19"/>
    </row>
    <row r="951" spans="1:10" ht="15" customHeight="1" x14ac:dyDescent="0.25">
      <c r="A951" s="3"/>
      <c r="B951" s="3"/>
      <c r="C951" s="18"/>
      <c r="D951" s="15"/>
      <c r="E951" s="3"/>
      <c r="F951" s="3"/>
      <c r="G951" s="3"/>
      <c r="H951" s="3"/>
      <c r="I951" s="3"/>
      <c r="J951" s="19"/>
    </row>
    <row r="952" spans="1:10" ht="15" customHeight="1" x14ac:dyDescent="0.25">
      <c r="A952" s="3"/>
      <c r="B952" s="3"/>
      <c r="C952" s="18"/>
      <c r="D952" s="15"/>
      <c r="E952" s="3"/>
      <c r="F952" s="3"/>
      <c r="G952" s="3"/>
      <c r="H952" s="3"/>
      <c r="I952" s="3"/>
      <c r="J952" s="19"/>
    </row>
    <row r="953" spans="1:10" ht="15" customHeight="1" x14ac:dyDescent="0.25">
      <c r="A953" s="3"/>
      <c r="B953" s="3"/>
      <c r="C953" s="18"/>
      <c r="D953" s="15"/>
      <c r="E953" s="3"/>
      <c r="F953" s="3"/>
      <c r="G953" s="3"/>
      <c r="H953" s="3"/>
      <c r="I953" s="3"/>
      <c r="J953" s="19"/>
    </row>
    <row r="954" spans="1:10" ht="15" customHeight="1" x14ac:dyDescent="0.25">
      <c r="A954" s="3"/>
      <c r="B954" s="3"/>
      <c r="C954" s="18"/>
      <c r="D954" s="15"/>
      <c r="E954" s="3"/>
      <c r="F954" s="3"/>
      <c r="G954" s="3"/>
      <c r="H954" s="3"/>
      <c r="I954" s="3"/>
      <c r="J954" s="19"/>
    </row>
    <row r="955" spans="1:10" ht="15" customHeight="1" x14ac:dyDescent="0.25">
      <c r="A955" s="3"/>
      <c r="B955" s="3"/>
      <c r="C955" s="18"/>
      <c r="D955" s="15"/>
      <c r="E955" s="3"/>
      <c r="F955" s="3"/>
      <c r="G955" s="3"/>
      <c r="H955" s="3"/>
      <c r="I955" s="3"/>
      <c r="J955" s="19"/>
    </row>
    <row r="956" spans="1:10" ht="15" customHeight="1" x14ac:dyDescent="0.25">
      <c r="A956" s="3"/>
      <c r="B956" s="3"/>
      <c r="C956" s="18"/>
      <c r="D956" s="15"/>
      <c r="E956" s="3"/>
      <c r="F956" s="3"/>
      <c r="G956" s="3"/>
      <c r="H956" s="3"/>
      <c r="I956" s="3"/>
      <c r="J956" s="19"/>
    </row>
    <row r="957" spans="1:10" ht="15" customHeight="1" x14ac:dyDescent="0.25">
      <c r="A957" s="3"/>
      <c r="B957" s="3"/>
      <c r="C957" s="18"/>
      <c r="D957" s="15"/>
      <c r="E957" s="3"/>
      <c r="F957" s="3"/>
      <c r="G957" s="3"/>
      <c r="H957" s="3"/>
      <c r="I957" s="3"/>
      <c r="J957" s="19"/>
    </row>
    <row r="958" spans="1:10" ht="15" customHeight="1" x14ac:dyDescent="0.25">
      <c r="A958" s="3"/>
      <c r="B958" s="3"/>
      <c r="C958" s="18"/>
      <c r="D958" s="15"/>
      <c r="E958" s="3"/>
      <c r="F958" s="3"/>
      <c r="G958" s="3"/>
      <c r="H958" s="3"/>
      <c r="I958" s="3"/>
      <c r="J958" s="19"/>
    </row>
    <row r="959" spans="1:10" ht="15" customHeight="1" x14ac:dyDescent="0.25">
      <c r="A959" s="3"/>
      <c r="B959" s="3"/>
      <c r="C959" s="18"/>
      <c r="D959" s="15"/>
      <c r="E959" s="3"/>
      <c r="F959" s="3"/>
      <c r="G959" s="3"/>
      <c r="H959" s="3"/>
      <c r="I959" s="3"/>
      <c r="J959" s="19"/>
    </row>
    <row r="960" spans="1:10" ht="15" customHeight="1" x14ac:dyDescent="0.25">
      <c r="A960" s="3"/>
      <c r="B960" s="3"/>
      <c r="C960" s="18"/>
      <c r="D960" s="15"/>
      <c r="E960" s="3"/>
      <c r="F960" s="3"/>
      <c r="G960" s="3"/>
      <c r="H960" s="3"/>
      <c r="I960" s="3"/>
      <c r="J960" s="19"/>
    </row>
    <row r="961" spans="1:10" ht="15" customHeight="1" x14ac:dyDescent="0.25">
      <c r="A961" s="3"/>
      <c r="B961" s="3"/>
      <c r="C961" s="18"/>
      <c r="D961" s="15"/>
      <c r="E961" s="3"/>
      <c r="F961" s="3"/>
      <c r="G961" s="3"/>
      <c r="H961" s="3"/>
      <c r="I961" s="3"/>
      <c r="J961" s="19"/>
    </row>
    <row r="962" spans="1:10" ht="15" customHeight="1" x14ac:dyDescent="0.25">
      <c r="A962" s="3"/>
      <c r="B962" s="3"/>
      <c r="C962" s="18"/>
      <c r="D962" s="15"/>
      <c r="E962" s="3"/>
      <c r="F962" s="3"/>
      <c r="G962" s="3"/>
      <c r="H962" s="3"/>
      <c r="I962" s="3"/>
      <c r="J962" s="19"/>
    </row>
    <row r="963" spans="1:10" ht="15" customHeight="1" x14ac:dyDescent="0.25">
      <c r="A963" s="3"/>
      <c r="B963" s="3"/>
      <c r="C963" s="18"/>
      <c r="D963" s="15"/>
      <c r="E963" s="3"/>
      <c r="F963" s="3"/>
      <c r="G963" s="3"/>
      <c r="H963" s="3"/>
      <c r="I963" s="3"/>
      <c r="J963" s="19"/>
    </row>
    <row r="964" spans="1:10" ht="15" customHeight="1" x14ac:dyDescent="0.25">
      <c r="A964" s="3"/>
      <c r="B964" s="3"/>
      <c r="C964" s="18"/>
      <c r="D964" s="15"/>
      <c r="E964" s="3"/>
      <c r="F964" s="3"/>
      <c r="G964" s="3"/>
      <c r="H964" s="3"/>
      <c r="I964" s="3"/>
      <c r="J964" s="19"/>
    </row>
    <row r="965" spans="1:10" ht="15" customHeight="1" x14ac:dyDescent="0.25">
      <c r="A965" s="3"/>
      <c r="B965" s="3"/>
      <c r="C965" s="18"/>
      <c r="D965" s="15"/>
      <c r="E965" s="3"/>
      <c r="F965" s="3"/>
      <c r="G965" s="3"/>
      <c r="H965" s="3"/>
      <c r="I965" s="3"/>
      <c r="J965" s="19"/>
    </row>
    <row r="966" spans="1:10" ht="15" customHeight="1" x14ac:dyDescent="0.25">
      <c r="A966" s="3"/>
      <c r="B966" s="3"/>
      <c r="C966" s="18"/>
      <c r="D966" s="15"/>
      <c r="E966" s="3"/>
      <c r="F966" s="3"/>
      <c r="G966" s="3"/>
      <c r="H966" s="3"/>
      <c r="I966" s="3"/>
      <c r="J966" s="19"/>
    </row>
    <row r="967" spans="1:10" ht="15" customHeight="1" x14ac:dyDescent="0.25">
      <c r="A967" s="3"/>
      <c r="B967" s="3"/>
      <c r="C967" s="18"/>
      <c r="D967" s="15"/>
      <c r="E967" s="3"/>
      <c r="F967" s="3"/>
      <c r="G967" s="3"/>
      <c r="H967" s="3"/>
      <c r="I967" s="3"/>
      <c r="J967" s="19"/>
    </row>
    <row r="968" spans="1:10" ht="15" customHeight="1" x14ac:dyDescent="0.25">
      <c r="A968" s="3"/>
      <c r="B968" s="3"/>
      <c r="C968" s="18"/>
      <c r="D968" s="15"/>
      <c r="E968" s="3"/>
      <c r="F968" s="3"/>
      <c r="G968" s="3"/>
      <c r="H968" s="3"/>
      <c r="I968" s="3"/>
      <c r="J968" s="19"/>
    </row>
    <row r="969" spans="1:10" ht="15" customHeight="1" x14ac:dyDescent="0.25">
      <c r="A969" s="3"/>
      <c r="B969" s="3"/>
      <c r="C969" s="18"/>
      <c r="D969" s="15"/>
      <c r="E969" s="3"/>
      <c r="F969" s="3"/>
      <c r="G969" s="3"/>
      <c r="H969" s="3"/>
      <c r="I969" s="3"/>
      <c r="J969" s="19"/>
    </row>
    <row r="970" spans="1:10" ht="15" customHeight="1" x14ac:dyDescent="0.25">
      <c r="A970" s="3"/>
      <c r="B970" s="3"/>
      <c r="C970" s="18"/>
      <c r="D970" s="15"/>
      <c r="E970" s="3"/>
      <c r="F970" s="3"/>
      <c r="G970" s="3"/>
      <c r="H970" s="3"/>
      <c r="I970" s="3"/>
      <c r="J970" s="19"/>
    </row>
    <row r="971" spans="1:10" ht="15" customHeight="1" x14ac:dyDescent="0.25">
      <c r="A971" s="3"/>
      <c r="B971" s="3"/>
      <c r="C971" s="18"/>
      <c r="D971" s="15"/>
      <c r="E971" s="3"/>
      <c r="F971" s="3"/>
      <c r="G971" s="3"/>
      <c r="H971" s="3"/>
      <c r="I971" s="3"/>
      <c r="J971" s="19"/>
    </row>
    <row r="972" spans="1:10" ht="15" customHeight="1" x14ac:dyDescent="0.25">
      <c r="A972" s="3"/>
      <c r="B972" s="3"/>
      <c r="C972" s="18"/>
      <c r="D972" s="15"/>
      <c r="E972" s="3"/>
      <c r="F972" s="3"/>
      <c r="G972" s="3"/>
      <c r="H972" s="3"/>
      <c r="I972" s="3"/>
      <c r="J972" s="19"/>
    </row>
    <row r="973" spans="1:10" ht="15" customHeight="1" x14ac:dyDescent="0.25">
      <c r="A973" s="3"/>
      <c r="B973" s="3"/>
      <c r="C973" s="18"/>
      <c r="D973" s="15"/>
      <c r="E973" s="3"/>
      <c r="F973" s="3"/>
      <c r="G973" s="3"/>
      <c r="H973" s="3"/>
      <c r="I973" s="3"/>
      <c r="J973" s="19"/>
    </row>
    <row r="974" spans="1:10" ht="15" customHeight="1" x14ac:dyDescent="0.25">
      <c r="A974" s="3"/>
      <c r="B974" s="3"/>
      <c r="C974" s="18"/>
      <c r="D974" s="15"/>
      <c r="E974" s="3"/>
      <c r="F974" s="3"/>
      <c r="G974" s="3"/>
      <c r="H974" s="3"/>
      <c r="I974" s="3"/>
      <c r="J974" s="19"/>
    </row>
    <row r="975" spans="1:10" ht="15" customHeight="1" x14ac:dyDescent="0.25">
      <c r="A975" s="3"/>
      <c r="B975" s="3"/>
      <c r="C975" s="18"/>
      <c r="D975" s="15"/>
      <c r="E975" s="3"/>
      <c r="F975" s="3"/>
      <c r="G975" s="3"/>
      <c r="H975" s="3"/>
      <c r="I975" s="3"/>
      <c r="J975" s="19"/>
    </row>
    <row r="976" spans="1:10" ht="15" customHeight="1" x14ac:dyDescent="0.25">
      <c r="A976" s="3"/>
      <c r="B976" s="3"/>
      <c r="C976" s="18"/>
      <c r="D976" s="15"/>
      <c r="E976" s="3"/>
      <c r="F976" s="3"/>
      <c r="G976" s="3"/>
      <c r="H976" s="3"/>
      <c r="I976" s="3"/>
      <c r="J976" s="19"/>
    </row>
    <row r="977" spans="1:10" ht="15" customHeight="1" x14ac:dyDescent="0.25">
      <c r="A977" s="3"/>
      <c r="B977" s="3"/>
      <c r="C977" s="18"/>
      <c r="D977" s="15"/>
      <c r="E977" s="3"/>
      <c r="F977" s="3"/>
      <c r="G977" s="3"/>
      <c r="H977" s="3"/>
      <c r="I977" s="3"/>
      <c r="J977" s="19"/>
    </row>
    <row r="978" spans="1:10" ht="15" customHeight="1" x14ac:dyDescent="0.25">
      <c r="A978" s="3"/>
      <c r="B978" s="3"/>
      <c r="C978" s="18"/>
      <c r="D978" s="15"/>
      <c r="E978" s="3"/>
      <c r="F978" s="3"/>
      <c r="G978" s="3"/>
      <c r="H978" s="3"/>
      <c r="I978" s="3"/>
      <c r="J978" s="19"/>
    </row>
    <row r="979" spans="1:10" ht="15" customHeight="1" x14ac:dyDescent="0.25">
      <c r="A979" s="3"/>
      <c r="B979" s="3"/>
      <c r="C979" s="18"/>
      <c r="D979" s="15"/>
      <c r="E979" s="3"/>
      <c r="F979" s="3"/>
      <c r="G979" s="3"/>
      <c r="H979" s="3"/>
      <c r="I979" s="3"/>
      <c r="J979" s="19"/>
    </row>
    <row r="980" spans="1:10" ht="15" customHeight="1" x14ac:dyDescent="0.25">
      <c r="A980" s="3"/>
      <c r="B980" s="3"/>
      <c r="C980" s="18"/>
      <c r="D980" s="15"/>
      <c r="E980" s="3"/>
      <c r="F980" s="3"/>
      <c r="G980" s="3"/>
      <c r="H980" s="3"/>
      <c r="I980" s="3"/>
      <c r="J980" s="19"/>
    </row>
    <row r="981" spans="1:10" ht="15" customHeight="1" x14ac:dyDescent="0.25">
      <c r="A981" s="3"/>
      <c r="B981" s="3"/>
      <c r="C981" s="18"/>
      <c r="D981" s="15"/>
      <c r="E981" s="3"/>
      <c r="F981" s="3"/>
      <c r="G981" s="3"/>
      <c r="H981" s="3"/>
      <c r="I981" s="3"/>
      <c r="J981" s="19"/>
    </row>
    <row r="982" spans="1:10" ht="15" customHeight="1" x14ac:dyDescent="0.25">
      <c r="A982" s="3"/>
      <c r="B982" s="3"/>
      <c r="C982" s="18"/>
      <c r="D982" s="15"/>
      <c r="E982" s="3"/>
      <c r="F982" s="3"/>
      <c r="G982" s="3"/>
      <c r="H982" s="3"/>
      <c r="I982" s="3"/>
      <c r="J982" s="19"/>
    </row>
    <row r="983" spans="1:10" ht="15" customHeight="1" x14ac:dyDescent="0.25">
      <c r="A983" s="3"/>
      <c r="B983" s="3"/>
      <c r="C983" s="18"/>
      <c r="D983" s="15"/>
      <c r="E983" s="3"/>
      <c r="F983" s="3"/>
      <c r="G983" s="3"/>
      <c r="H983" s="3"/>
      <c r="I983" s="3"/>
      <c r="J983" s="19"/>
    </row>
    <row r="984" spans="1:10" ht="15" customHeight="1" x14ac:dyDescent="0.25">
      <c r="A984" s="3"/>
      <c r="B984" s="3"/>
      <c r="C984" s="18"/>
      <c r="D984" s="15"/>
      <c r="E984" s="3"/>
      <c r="F984" s="3"/>
      <c r="G984" s="3"/>
      <c r="H984" s="3"/>
      <c r="I984" s="3"/>
      <c r="J984" s="19"/>
    </row>
    <row r="985" spans="1:10" ht="15" customHeight="1" x14ac:dyDescent="0.25">
      <c r="A985" s="3"/>
      <c r="B985" s="3"/>
      <c r="C985" s="18"/>
      <c r="D985" s="15"/>
      <c r="E985" s="3"/>
      <c r="F985" s="3"/>
      <c r="G985" s="3"/>
      <c r="H985" s="3"/>
      <c r="I985" s="3"/>
      <c r="J985" s="19"/>
    </row>
    <row r="986" spans="1:10" ht="15" customHeight="1" x14ac:dyDescent="0.25">
      <c r="A986" s="3"/>
      <c r="B986" s="3"/>
      <c r="C986" s="18"/>
      <c r="D986" s="15"/>
      <c r="E986" s="3"/>
      <c r="F986" s="3"/>
      <c r="G986" s="3"/>
      <c r="H986" s="3"/>
      <c r="I986" s="3"/>
      <c r="J986" s="19"/>
    </row>
    <row r="987" spans="1:10" ht="15" customHeight="1" x14ac:dyDescent="0.25">
      <c r="A987" s="3"/>
      <c r="B987" s="3"/>
      <c r="C987" s="18"/>
      <c r="D987" s="15"/>
      <c r="E987" s="3"/>
      <c r="F987" s="3"/>
      <c r="G987" s="3"/>
      <c r="H987" s="3"/>
      <c r="I987" s="3"/>
      <c r="J987" s="19"/>
    </row>
    <row r="988" spans="1:10" ht="15" customHeight="1" x14ac:dyDescent="0.25">
      <c r="A988" s="3"/>
      <c r="B988" s="3"/>
      <c r="C988" s="18"/>
      <c r="D988" s="15"/>
      <c r="E988" s="3"/>
      <c r="F988" s="3"/>
      <c r="G988" s="3"/>
      <c r="H988" s="3"/>
      <c r="I988" s="3"/>
      <c r="J988" s="19"/>
    </row>
    <row r="989" spans="1:10" ht="15" customHeight="1" x14ac:dyDescent="0.25">
      <c r="A989" s="3"/>
      <c r="B989" s="3"/>
      <c r="C989" s="18"/>
      <c r="D989" s="15"/>
      <c r="E989" s="3"/>
      <c r="F989" s="3"/>
      <c r="G989" s="3"/>
      <c r="H989" s="3"/>
      <c r="I989" s="3"/>
      <c r="J989" s="19"/>
    </row>
    <row r="990" spans="1:10" ht="15" customHeight="1" x14ac:dyDescent="0.25">
      <c r="A990" s="3"/>
      <c r="B990" s="3"/>
      <c r="C990" s="18"/>
      <c r="D990" s="15"/>
      <c r="E990" s="3"/>
      <c r="F990" s="3"/>
      <c r="G990" s="3"/>
      <c r="H990" s="3"/>
      <c r="I990" s="3"/>
      <c r="J990" s="19"/>
    </row>
    <row r="991" spans="1:10" ht="15" customHeight="1" x14ac:dyDescent="0.25">
      <c r="A991" s="3"/>
      <c r="B991" s="3"/>
      <c r="C991" s="18"/>
      <c r="D991" s="15"/>
      <c r="E991" s="3"/>
      <c r="F991" s="3"/>
      <c r="G991" s="3"/>
      <c r="H991" s="3"/>
      <c r="I991" s="3"/>
      <c r="J991" s="19"/>
    </row>
    <row r="992" spans="1:10" ht="15" customHeight="1" x14ac:dyDescent="0.25">
      <c r="A992" s="3"/>
      <c r="B992" s="3"/>
      <c r="C992" s="18"/>
      <c r="D992" s="15"/>
      <c r="E992" s="3"/>
      <c r="F992" s="3"/>
      <c r="G992" s="3"/>
      <c r="H992" s="3"/>
      <c r="I992" s="3"/>
      <c r="J992" s="19"/>
    </row>
    <row r="993" spans="1:10" ht="15" customHeight="1" x14ac:dyDescent="0.25">
      <c r="A993" s="3"/>
      <c r="B993" s="3"/>
      <c r="C993" s="18"/>
      <c r="D993" s="15"/>
      <c r="E993" s="3"/>
      <c r="F993" s="3"/>
      <c r="G993" s="3"/>
      <c r="H993" s="3"/>
      <c r="I993" s="3"/>
      <c r="J993" s="19"/>
    </row>
    <row r="994" spans="1:10" ht="15" customHeight="1" x14ac:dyDescent="0.25">
      <c r="A994" s="3"/>
      <c r="B994" s="3"/>
      <c r="C994" s="18"/>
      <c r="D994" s="15"/>
      <c r="E994" s="3"/>
      <c r="F994" s="3"/>
      <c r="G994" s="3"/>
      <c r="H994" s="3"/>
      <c r="I994" s="3"/>
      <c r="J994" s="19"/>
    </row>
    <row r="995" spans="1:10" ht="15" customHeight="1" x14ac:dyDescent="0.25">
      <c r="A995" s="3"/>
      <c r="B995" s="3"/>
      <c r="C995" s="18"/>
      <c r="D995" s="15"/>
      <c r="E995" s="3"/>
      <c r="F995" s="3"/>
      <c r="G995" s="3"/>
      <c r="H995" s="3"/>
      <c r="I995" s="3"/>
      <c r="J995" s="19"/>
    </row>
    <row r="996" spans="1:10" ht="15" customHeight="1" x14ac:dyDescent="0.25">
      <c r="A996" s="3"/>
      <c r="B996" s="3"/>
      <c r="C996" s="18"/>
      <c r="D996" s="15"/>
      <c r="E996" s="3"/>
      <c r="F996" s="3"/>
      <c r="G996" s="3"/>
      <c r="H996" s="3"/>
      <c r="I996" s="3"/>
      <c r="J996" s="19"/>
    </row>
    <row r="997" spans="1:10" ht="15" customHeight="1" x14ac:dyDescent="0.25">
      <c r="A997" s="3"/>
      <c r="B997" s="3"/>
      <c r="C997" s="18"/>
      <c r="D997" s="15"/>
      <c r="E997" s="3"/>
      <c r="F997" s="3"/>
      <c r="G997" s="3"/>
      <c r="H997" s="3"/>
      <c r="I997" s="3"/>
      <c r="J997" s="19"/>
    </row>
    <row r="998" spans="1:10" ht="15" customHeight="1" x14ac:dyDescent="0.25">
      <c r="A998" s="3"/>
      <c r="B998" s="3"/>
      <c r="C998" s="18"/>
      <c r="D998" s="15"/>
      <c r="E998" s="3"/>
      <c r="F998" s="3"/>
      <c r="G998" s="3"/>
      <c r="H998" s="3"/>
      <c r="I998" s="3"/>
      <c r="J998" s="19"/>
    </row>
    <row r="999" spans="1:10" ht="15" customHeight="1" x14ac:dyDescent="0.25">
      <c r="A999" s="3"/>
      <c r="B999" s="3"/>
      <c r="C999" s="18"/>
      <c r="D999" s="15"/>
      <c r="E999" s="3"/>
      <c r="F999" s="3"/>
      <c r="G999" s="3"/>
      <c r="H999" s="3"/>
      <c r="I999" s="3"/>
      <c r="J999" s="19"/>
    </row>
    <row r="1000" spans="1:10" ht="15" customHeight="1" x14ac:dyDescent="0.25">
      <c r="A1000" s="3"/>
      <c r="B1000" s="3"/>
      <c r="C1000" s="18"/>
      <c r="D1000" s="15"/>
      <c r="E1000" s="3"/>
      <c r="F1000" s="3"/>
      <c r="G1000" s="3"/>
      <c r="H1000" s="3"/>
      <c r="I1000" s="3"/>
      <c r="J1000" s="19"/>
    </row>
    <row r="1001" spans="1:10" ht="15" customHeight="1" x14ac:dyDescent="0.25">
      <c r="A1001" s="3"/>
      <c r="B1001" s="3"/>
      <c r="C1001" s="18"/>
      <c r="D1001" s="15"/>
      <c r="E1001" s="3"/>
      <c r="F1001" s="3"/>
      <c r="G1001" s="3"/>
      <c r="H1001" s="3"/>
      <c r="I1001" s="3"/>
      <c r="J1001" s="19"/>
    </row>
    <row r="1002" spans="1:10" ht="15" customHeight="1" x14ac:dyDescent="0.25">
      <c r="A1002" s="3"/>
      <c r="B1002" s="3"/>
      <c r="C1002" s="18"/>
      <c r="D1002" s="15"/>
      <c r="E1002" s="3"/>
      <c r="F1002" s="3"/>
      <c r="G1002" s="3"/>
      <c r="H1002" s="3"/>
      <c r="I1002" s="3"/>
      <c r="J1002" s="19"/>
    </row>
    <row r="1003" spans="1:10" ht="15" customHeight="1" x14ac:dyDescent="0.25">
      <c r="A1003" s="3"/>
      <c r="B1003" s="3"/>
      <c r="C1003" s="18"/>
      <c r="D1003" s="15"/>
      <c r="E1003" s="3"/>
      <c r="F1003" s="3"/>
      <c r="G1003" s="3"/>
      <c r="H1003" s="3"/>
      <c r="I1003" s="3"/>
      <c r="J1003" s="19"/>
    </row>
    <row r="1004" spans="1:10" ht="15" customHeight="1" x14ac:dyDescent="0.25">
      <c r="A1004" s="3"/>
      <c r="B1004" s="3"/>
      <c r="C1004" s="18"/>
      <c r="D1004" s="15"/>
      <c r="E1004" s="3"/>
      <c r="F1004" s="3"/>
      <c r="G1004" s="3"/>
      <c r="H1004" s="3"/>
      <c r="I1004" s="3"/>
      <c r="J1004" s="19"/>
    </row>
    <row r="1005" spans="1:10" ht="15" customHeight="1" x14ac:dyDescent="0.25">
      <c r="A1005" s="3"/>
      <c r="B1005" s="3"/>
      <c r="C1005" s="18"/>
      <c r="D1005" s="15"/>
      <c r="E1005" s="3"/>
      <c r="F1005" s="3"/>
      <c r="G1005" s="3"/>
      <c r="H1005" s="3"/>
      <c r="I1005" s="3"/>
      <c r="J1005" s="19"/>
    </row>
    <row r="1006" spans="1:10" ht="15" customHeight="1" x14ac:dyDescent="0.25">
      <c r="A1006" s="3"/>
      <c r="B1006" s="3"/>
      <c r="C1006" s="18"/>
      <c r="D1006" s="15"/>
      <c r="E1006" s="3"/>
      <c r="F1006" s="3"/>
      <c r="G1006" s="3"/>
      <c r="H1006" s="3"/>
      <c r="I1006" s="3"/>
      <c r="J1006" s="19"/>
    </row>
    <row r="1007" spans="1:10" ht="15" customHeight="1" x14ac:dyDescent="0.25">
      <c r="A1007" s="3"/>
      <c r="B1007" s="3"/>
      <c r="C1007" s="18"/>
      <c r="D1007" s="15"/>
      <c r="E1007" s="3"/>
      <c r="F1007" s="3"/>
      <c r="G1007" s="3"/>
      <c r="H1007" s="3"/>
      <c r="I1007" s="3"/>
      <c r="J1007" s="19"/>
    </row>
    <row r="1008" spans="1:10" ht="15" customHeight="1" x14ac:dyDescent="0.25">
      <c r="A1008" s="3"/>
      <c r="B1008" s="3"/>
      <c r="C1008" s="18"/>
      <c r="D1008" s="15"/>
      <c r="E1008" s="3"/>
      <c r="F1008" s="3"/>
      <c r="G1008" s="3"/>
      <c r="H1008" s="3"/>
      <c r="I1008" s="3"/>
      <c r="J1008" s="19"/>
    </row>
    <row r="1009" spans="1:10" ht="15" customHeight="1" x14ac:dyDescent="0.25">
      <c r="A1009" s="3"/>
      <c r="B1009" s="3"/>
      <c r="C1009" s="18"/>
      <c r="D1009" s="15"/>
      <c r="E1009" s="3"/>
      <c r="F1009" s="3"/>
      <c r="G1009" s="3"/>
      <c r="H1009" s="3"/>
      <c r="I1009" s="3"/>
      <c r="J1009" s="19"/>
    </row>
    <row r="1010" spans="1:10" ht="15" customHeight="1" x14ac:dyDescent="0.25">
      <c r="A1010" s="3"/>
      <c r="B1010" s="3"/>
      <c r="C1010" s="18"/>
      <c r="D1010" s="15"/>
      <c r="E1010" s="3"/>
      <c r="F1010" s="3"/>
      <c r="G1010" s="3"/>
      <c r="H1010" s="3"/>
      <c r="I1010" s="3"/>
      <c r="J1010" s="19"/>
    </row>
    <row r="1011" spans="1:10" ht="15" customHeight="1" x14ac:dyDescent="0.25">
      <c r="A1011" s="3"/>
      <c r="B1011" s="3"/>
      <c r="C1011" s="18"/>
      <c r="D1011" s="15"/>
      <c r="E1011" s="3"/>
      <c r="F1011" s="3"/>
      <c r="G1011" s="3"/>
      <c r="H1011" s="3"/>
      <c r="I1011" s="3"/>
      <c r="J1011" s="19"/>
    </row>
    <row r="1012" spans="1:10" ht="15" customHeight="1" x14ac:dyDescent="0.25">
      <c r="A1012" s="3"/>
      <c r="B1012" s="3"/>
      <c r="C1012" s="18"/>
      <c r="D1012" s="15"/>
      <c r="E1012" s="3"/>
      <c r="F1012" s="3"/>
      <c r="G1012" s="3"/>
      <c r="H1012" s="3"/>
      <c r="I1012" s="3"/>
      <c r="J1012" s="19"/>
    </row>
    <row r="1013" spans="1:10" ht="15" customHeight="1" x14ac:dyDescent="0.25">
      <c r="A1013" s="3"/>
      <c r="B1013" s="3"/>
      <c r="C1013" s="18"/>
      <c r="D1013" s="15"/>
      <c r="E1013" s="3"/>
      <c r="F1013" s="3"/>
      <c r="G1013" s="3"/>
      <c r="H1013" s="3"/>
      <c r="I1013" s="3"/>
      <c r="J1013" s="19"/>
    </row>
    <row r="1014" spans="1:10" ht="15" customHeight="1" x14ac:dyDescent="0.25">
      <c r="A1014" s="3"/>
      <c r="B1014" s="3"/>
      <c r="C1014" s="18"/>
      <c r="D1014" s="15"/>
      <c r="E1014" s="3"/>
      <c r="F1014" s="3"/>
      <c r="G1014" s="3"/>
      <c r="H1014" s="3"/>
      <c r="I1014" s="3"/>
      <c r="J1014" s="19"/>
    </row>
    <row r="1015" spans="1:10" ht="15" customHeight="1" x14ac:dyDescent="0.25">
      <c r="A1015" s="3"/>
      <c r="B1015" s="3"/>
      <c r="C1015" s="18"/>
      <c r="D1015" s="15"/>
      <c r="E1015" s="3"/>
      <c r="F1015" s="3"/>
      <c r="G1015" s="3"/>
      <c r="H1015" s="3"/>
      <c r="I1015" s="3"/>
      <c r="J1015" s="19"/>
    </row>
    <row r="1016" spans="1:10" ht="15" customHeight="1" x14ac:dyDescent="0.25">
      <c r="A1016" s="3"/>
      <c r="B1016" s="3"/>
      <c r="C1016" s="18"/>
      <c r="D1016" s="15"/>
      <c r="E1016" s="3"/>
      <c r="F1016" s="3"/>
      <c r="G1016" s="3"/>
      <c r="H1016" s="3"/>
      <c r="I1016" s="3"/>
      <c r="J1016" s="19"/>
    </row>
    <row r="1017" spans="1:10" ht="15" customHeight="1" x14ac:dyDescent="0.25">
      <c r="A1017" s="3"/>
      <c r="B1017" s="3"/>
      <c r="C1017" s="18"/>
      <c r="D1017" s="15"/>
      <c r="E1017" s="3"/>
      <c r="F1017" s="3"/>
      <c r="G1017" s="3"/>
      <c r="H1017" s="3"/>
      <c r="I1017" s="3"/>
      <c r="J1017" s="19"/>
    </row>
    <row r="1018" spans="1:10" ht="15" customHeight="1" x14ac:dyDescent="0.25">
      <c r="A1018" s="3"/>
      <c r="B1018" s="3"/>
      <c r="C1018" s="18"/>
      <c r="D1018" s="15"/>
      <c r="E1018" s="3"/>
      <c r="F1018" s="3"/>
      <c r="G1018" s="3"/>
      <c r="H1018" s="3"/>
      <c r="I1018" s="3"/>
      <c r="J1018" s="19"/>
    </row>
    <row r="1019" spans="1:10" ht="15" customHeight="1" x14ac:dyDescent="0.25">
      <c r="A1019" s="3"/>
      <c r="B1019" s="3"/>
      <c r="C1019" s="18"/>
      <c r="D1019" s="15"/>
      <c r="E1019" s="3"/>
      <c r="F1019" s="3"/>
      <c r="G1019" s="3"/>
      <c r="H1019" s="3"/>
      <c r="I1019" s="3"/>
      <c r="J1019" s="19"/>
    </row>
    <row r="1020" spans="1:10" ht="15" customHeight="1" x14ac:dyDescent="0.25">
      <c r="A1020" s="3"/>
      <c r="B1020" s="3"/>
      <c r="C1020" s="18"/>
      <c r="D1020" s="15"/>
      <c r="E1020" s="3"/>
      <c r="F1020" s="3"/>
      <c r="G1020" s="3"/>
      <c r="H1020" s="3"/>
      <c r="I1020" s="3"/>
      <c r="J1020" s="19"/>
    </row>
    <row r="1021" spans="1:10" ht="15" customHeight="1" x14ac:dyDescent="0.25">
      <c r="A1021" s="3"/>
      <c r="B1021" s="3"/>
      <c r="C1021" s="18"/>
      <c r="D1021" s="15"/>
      <c r="E1021" s="3"/>
      <c r="F1021" s="3"/>
      <c r="G1021" s="3"/>
      <c r="H1021" s="3"/>
      <c r="I1021" s="3"/>
      <c r="J1021" s="19"/>
    </row>
    <row r="1022" spans="1:10" ht="15" customHeight="1" x14ac:dyDescent="0.25">
      <c r="A1022" s="3"/>
      <c r="B1022" s="3"/>
      <c r="C1022" s="18"/>
      <c r="D1022" s="15"/>
      <c r="E1022" s="3"/>
      <c r="F1022" s="3"/>
      <c r="G1022" s="3"/>
      <c r="H1022" s="3"/>
      <c r="I1022" s="3"/>
      <c r="J1022" s="19"/>
    </row>
    <row r="1023" spans="1:10" ht="15" customHeight="1" x14ac:dyDescent="0.25">
      <c r="A1023" s="3"/>
      <c r="B1023" s="3"/>
      <c r="C1023" s="18"/>
      <c r="D1023" s="15"/>
      <c r="E1023" s="3"/>
      <c r="F1023" s="3"/>
      <c r="G1023" s="3"/>
      <c r="H1023" s="3"/>
      <c r="I1023" s="3"/>
      <c r="J1023" s="19"/>
    </row>
    <row r="1024" spans="1:10" ht="15" customHeight="1" x14ac:dyDescent="0.25">
      <c r="A1024" s="3"/>
      <c r="B1024" s="3"/>
      <c r="C1024" s="18"/>
      <c r="D1024" s="15"/>
      <c r="E1024" s="3"/>
      <c r="F1024" s="3"/>
      <c r="G1024" s="3"/>
      <c r="H1024" s="3"/>
      <c r="I1024" s="3"/>
      <c r="J1024" s="19"/>
    </row>
    <row r="1025" spans="1:10" ht="15" customHeight="1" x14ac:dyDescent="0.25">
      <c r="A1025" s="3"/>
      <c r="B1025" s="3"/>
      <c r="C1025" s="18"/>
      <c r="D1025" s="15"/>
      <c r="E1025" s="3"/>
      <c r="F1025" s="3"/>
      <c r="G1025" s="3"/>
      <c r="H1025" s="3"/>
      <c r="I1025" s="3"/>
      <c r="J1025" s="19"/>
    </row>
    <row r="1026" spans="1:10" ht="15" customHeight="1" x14ac:dyDescent="0.25">
      <c r="A1026" s="3"/>
      <c r="B1026" s="3"/>
      <c r="C1026" s="18"/>
      <c r="D1026" s="15"/>
      <c r="E1026" s="3"/>
      <c r="F1026" s="3"/>
      <c r="G1026" s="3"/>
      <c r="H1026" s="3"/>
      <c r="I1026" s="3"/>
      <c r="J1026" s="19"/>
    </row>
    <row r="1027" spans="1:10" ht="15" customHeight="1" x14ac:dyDescent="0.25">
      <c r="A1027" s="3"/>
      <c r="B1027" s="3"/>
      <c r="C1027" s="18"/>
      <c r="D1027" s="15"/>
      <c r="E1027" s="3"/>
      <c r="F1027" s="3"/>
      <c r="G1027" s="3"/>
      <c r="H1027" s="3"/>
      <c r="I1027" s="3"/>
      <c r="J1027" s="19"/>
    </row>
    <row r="1028" spans="1:10" ht="15" customHeight="1" x14ac:dyDescent="0.25">
      <c r="A1028" s="3"/>
      <c r="B1028" s="3"/>
      <c r="C1028" s="18"/>
      <c r="D1028" s="15"/>
      <c r="E1028" s="3"/>
      <c r="F1028" s="3"/>
      <c r="G1028" s="3"/>
      <c r="H1028" s="3"/>
      <c r="I1028" s="3"/>
      <c r="J1028" s="19"/>
    </row>
    <row r="1029" spans="1:10" ht="15" customHeight="1" x14ac:dyDescent="0.25">
      <c r="A1029" s="3"/>
      <c r="B1029" s="3"/>
      <c r="C1029" s="18"/>
      <c r="D1029" s="15"/>
      <c r="E1029" s="3"/>
      <c r="F1029" s="3"/>
      <c r="G1029" s="3"/>
      <c r="H1029" s="3"/>
      <c r="I1029" s="3"/>
      <c r="J1029" s="19"/>
    </row>
    <row r="1030" spans="1:10" ht="15" customHeight="1" x14ac:dyDescent="0.25">
      <c r="A1030" s="3"/>
      <c r="B1030" s="3"/>
      <c r="C1030" s="18"/>
      <c r="D1030" s="15"/>
      <c r="E1030" s="3"/>
      <c r="F1030" s="3"/>
      <c r="G1030" s="3"/>
      <c r="H1030" s="3"/>
      <c r="I1030" s="3"/>
      <c r="J1030" s="19"/>
    </row>
    <row r="1031" spans="1:10" ht="15" customHeight="1" x14ac:dyDescent="0.25">
      <c r="A1031" s="3"/>
      <c r="B1031" s="3"/>
      <c r="C1031" s="18"/>
      <c r="D1031" s="15"/>
      <c r="E1031" s="3"/>
      <c r="F1031" s="3"/>
      <c r="G1031" s="3"/>
      <c r="H1031" s="3"/>
      <c r="I1031" s="3"/>
      <c r="J1031" s="19"/>
    </row>
    <row r="1032" spans="1:10" ht="15" customHeight="1" x14ac:dyDescent="0.25">
      <c r="A1032" s="3"/>
      <c r="B1032" s="3"/>
      <c r="C1032" s="18"/>
      <c r="D1032" s="15"/>
      <c r="E1032" s="3"/>
      <c r="F1032" s="3"/>
      <c r="G1032" s="3"/>
      <c r="H1032" s="3"/>
      <c r="I1032" s="3"/>
      <c r="J1032" s="19"/>
    </row>
    <row r="1033" spans="1:10" ht="15" customHeight="1" x14ac:dyDescent="0.25">
      <c r="A1033" s="3"/>
      <c r="B1033" s="3"/>
      <c r="C1033" s="18"/>
      <c r="D1033" s="15"/>
      <c r="E1033" s="3"/>
      <c r="F1033" s="3"/>
      <c r="G1033" s="3"/>
      <c r="H1033" s="3"/>
      <c r="I1033" s="3"/>
      <c r="J1033" s="19"/>
    </row>
    <row r="1034" spans="1:10" ht="15" customHeight="1" x14ac:dyDescent="0.25">
      <c r="A1034" s="3"/>
      <c r="B1034" s="3"/>
      <c r="C1034" s="18"/>
      <c r="D1034" s="15"/>
      <c r="E1034" s="3"/>
      <c r="F1034" s="3"/>
      <c r="G1034" s="3"/>
      <c r="H1034" s="3"/>
      <c r="I1034" s="3"/>
      <c r="J1034" s="19"/>
    </row>
    <row r="1035" spans="1:10" ht="15" customHeight="1" x14ac:dyDescent="0.25">
      <c r="A1035" s="3"/>
      <c r="B1035" s="3"/>
      <c r="C1035" s="18"/>
      <c r="D1035" s="15"/>
      <c r="E1035" s="3"/>
      <c r="F1035" s="3"/>
      <c r="G1035" s="3"/>
      <c r="H1035" s="3"/>
      <c r="I1035" s="3"/>
      <c r="J1035" s="19"/>
    </row>
    <row r="1036" spans="1:10" ht="15" customHeight="1" x14ac:dyDescent="0.25">
      <c r="A1036" s="3"/>
      <c r="B1036" s="3"/>
      <c r="C1036" s="18"/>
      <c r="D1036" s="15"/>
      <c r="E1036" s="3"/>
      <c r="F1036" s="3"/>
      <c r="G1036" s="3"/>
      <c r="H1036" s="3"/>
      <c r="I1036" s="3"/>
      <c r="J1036" s="19"/>
    </row>
    <row r="1037" spans="1:10" ht="15" customHeight="1" x14ac:dyDescent="0.25">
      <c r="A1037" s="3"/>
      <c r="B1037" s="3"/>
      <c r="C1037" s="18"/>
      <c r="D1037" s="15"/>
      <c r="E1037" s="3"/>
      <c r="F1037" s="3"/>
      <c r="G1037" s="3"/>
      <c r="H1037" s="3"/>
      <c r="I1037" s="3"/>
      <c r="J1037" s="19"/>
    </row>
    <row r="1038" spans="1:10" ht="15" customHeight="1" x14ac:dyDescent="0.25">
      <c r="A1038" s="3"/>
      <c r="B1038" s="3"/>
      <c r="C1038" s="18"/>
      <c r="D1038" s="15"/>
      <c r="E1038" s="3"/>
      <c r="F1038" s="3"/>
      <c r="G1038" s="3"/>
      <c r="H1038" s="3"/>
      <c r="I1038" s="3"/>
      <c r="J1038" s="19"/>
    </row>
    <row r="1039" spans="1:10" ht="15" customHeight="1" x14ac:dyDescent="0.25">
      <c r="A1039" s="3"/>
      <c r="B1039" s="3"/>
      <c r="C1039" s="18"/>
      <c r="D1039" s="15"/>
      <c r="E1039" s="3"/>
      <c r="F1039" s="3"/>
      <c r="G1039" s="3"/>
      <c r="H1039" s="3"/>
      <c r="I1039" s="3"/>
      <c r="J1039" s="19"/>
    </row>
    <row r="1040" spans="1:10" ht="15" customHeight="1" x14ac:dyDescent="0.25">
      <c r="A1040" s="3"/>
      <c r="B1040" s="3"/>
      <c r="C1040" s="18"/>
      <c r="D1040" s="15"/>
      <c r="E1040" s="3"/>
      <c r="F1040" s="3"/>
      <c r="G1040" s="3"/>
      <c r="H1040" s="3"/>
      <c r="I1040" s="3"/>
      <c r="J1040" s="19"/>
    </row>
    <row r="1041" spans="1:10" ht="15" customHeight="1" x14ac:dyDescent="0.25">
      <c r="A1041" s="3"/>
      <c r="B1041" s="3"/>
      <c r="C1041" s="18"/>
      <c r="D1041" s="15"/>
      <c r="E1041" s="3"/>
      <c r="F1041" s="3"/>
      <c r="G1041" s="3"/>
      <c r="H1041" s="3"/>
      <c r="I1041" s="3"/>
      <c r="J1041" s="19"/>
    </row>
    <row r="1042" spans="1:10" ht="15" customHeight="1" x14ac:dyDescent="0.25">
      <c r="A1042" s="3"/>
      <c r="B1042" s="3"/>
      <c r="C1042" s="18"/>
      <c r="D1042" s="15"/>
      <c r="E1042" s="3"/>
      <c r="F1042" s="3"/>
      <c r="G1042" s="3"/>
      <c r="H1042" s="3"/>
      <c r="I1042" s="3"/>
      <c r="J1042" s="19"/>
    </row>
    <row r="1043" spans="1:10" ht="15" customHeight="1" x14ac:dyDescent="0.25">
      <c r="A1043" s="3"/>
      <c r="B1043" s="3"/>
      <c r="C1043" s="18"/>
      <c r="D1043" s="15"/>
      <c r="E1043" s="3"/>
      <c r="F1043" s="3"/>
      <c r="G1043" s="3"/>
      <c r="H1043" s="3"/>
      <c r="I1043" s="3"/>
      <c r="J1043" s="19"/>
    </row>
    <row r="1044" spans="1:10" ht="15" customHeight="1" x14ac:dyDescent="0.25">
      <c r="A1044" s="3"/>
      <c r="B1044" s="3"/>
      <c r="C1044" s="18"/>
      <c r="D1044" s="15"/>
      <c r="E1044" s="3"/>
      <c r="F1044" s="3"/>
      <c r="G1044" s="3"/>
      <c r="H1044" s="3"/>
      <c r="I1044" s="3"/>
      <c r="J1044" s="19"/>
    </row>
    <row r="1045" spans="1:10" ht="15" customHeight="1" x14ac:dyDescent="0.25">
      <c r="A1045" s="3"/>
      <c r="B1045" s="3"/>
      <c r="C1045" s="18"/>
      <c r="D1045" s="15"/>
      <c r="E1045" s="3"/>
      <c r="F1045" s="3"/>
      <c r="G1045" s="3"/>
      <c r="H1045" s="3"/>
      <c r="I1045" s="3"/>
      <c r="J1045" s="19"/>
    </row>
    <row r="1046" spans="1:10" ht="15" customHeight="1" x14ac:dyDescent="0.25">
      <c r="A1046" s="3"/>
      <c r="B1046" s="3"/>
      <c r="C1046" s="18"/>
      <c r="D1046" s="15"/>
      <c r="E1046" s="3"/>
      <c r="F1046" s="3"/>
      <c r="G1046" s="3"/>
      <c r="H1046" s="3"/>
      <c r="I1046" s="3"/>
      <c r="J1046" s="19"/>
    </row>
    <row r="1047" spans="1:10" ht="15" customHeight="1" x14ac:dyDescent="0.25">
      <c r="A1047" s="3"/>
      <c r="B1047" s="3"/>
      <c r="C1047" s="18"/>
      <c r="D1047" s="15"/>
      <c r="E1047" s="3"/>
      <c r="F1047" s="3"/>
      <c r="G1047" s="3"/>
      <c r="H1047" s="3"/>
      <c r="I1047" s="3"/>
      <c r="J1047" s="19"/>
    </row>
    <row r="1048" spans="1:10" ht="15" customHeight="1" x14ac:dyDescent="0.25">
      <c r="A1048" s="3"/>
      <c r="B1048" s="3"/>
      <c r="C1048" s="18"/>
      <c r="D1048" s="15"/>
      <c r="E1048" s="3"/>
      <c r="F1048" s="3"/>
      <c r="G1048" s="3"/>
      <c r="H1048" s="3"/>
      <c r="I1048" s="3"/>
      <c r="J1048" s="19"/>
    </row>
    <row r="1049" spans="1:10" ht="15" customHeight="1" x14ac:dyDescent="0.25">
      <c r="A1049" s="3"/>
      <c r="B1049" s="3"/>
      <c r="C1049" s="18"/>
      <c r="D1049" s="15"/>
      <c r="E1049" s="3"/>
      <c r="F1049" s="3"/>
      <c r="G1049" s="3"/>
      <c r="H1049" s="3"/>
      <c r="I1049" s="3"/>
      <c r="J1049" s="19"/>
    </row>
    <row r="1050" spans="1:10" ht="15" customHeight="1" x14ac:dyDescent="0.25">
      <c r="A1050" s="3"/>
      <c r="B1050" s="3"/>
      <c r="C1050" s="18"/>
      <c r="D1050" s="15"/>
      <c r="E1050" s="3"/>
      <c r="F1050" s="3"/>
      <c r="G1050" s="3"/>
      <c r="H1050" s="3"/>
      <c r="I1050" s="3"/>
      <c r="J1050" s="19"/>
    </row>
    <row r="1051" spans="1:10" ht="15" customHeight="1" x14ac:dyDescent="0.25">
      <c r="A1051" s="3"/>
      <c r="B1051" s="3"/>
      <c r="C1051" s="18"/>
      <c r="D1051" s="15"/>
      <c r="E1051" s="3"/>
      <c r="F1051" s="3"/>
      <c r="G1051" s="3"/>
      <c r="H1051" s="3"/>
      <c r="I1051" s="3"/>
      <c r="J1051" s="19"/>
    </row>
    <row r="1052" spans="1:10" ht="15" customHeight="1" x14ac:dyDescent="0.25">
      <c r="A1052" s="3"/>
      <c r="B1052" s="3"/>
      <c r="C1052" s="18"/>
      <c r="D1052" s="15"/>
      <c r="E1052" s="3"/>
      <c r="F1052" s="3"/>
      <c r="G1052" s="3"/>
      <c r="H1052" s="3"/>
      <c r="I1052" s="3"/>
      <c r="J1052" s="19"/>
    </row>
    <row r="1053" spans="1:10" ht="15" customHeight="1" x14ac:dyDescent="0.25">
      <c r="A1053" s="3"/>
      <c r="B1053" s="3"/>
      <c r="C1053" s="18"/>
      <c r="D1053" s="15"/>
      <c r="E1053" s="3"/>
      <c r="F1053" s="3"/>
      <c r="G1053" s="3"/>
      <c r="H1053" s="3"/>
      <c r="I1053" s="3"/>
      <c r="J1053" s="19"/>
    </row>
    <row r="1054" spans="1:10" ht="15" customHeight="1" x14ac:dyDescent="0.25">
      <c r="A1054" s="3"/>
      <c r="B1054" s="3"/>
      <c r="C1054" s="18"/>
      <c r="D1054" s="15"/>
      <c r="E1054" s="3"/>
      <c r="F1054" s="3"/>
      <c r="G1054" s="3"/>
      <c r="H1054" s="3"/>
      <c r="I1054" s="3"/>
      <c r="J1054" s="19"/>
    </row>
    <row r="1055" spans="1:10" ht="15" customHeight="1" x14ac:dyDescent="0.25">
      <c r="A1055" s="3"/>
      <c r="B1055" s="3"/>
      <c r="C1055" s="18"/>
      <c r="D1055" s="15"/>
      <c r="E1055" s="3"/>
      <c r="F1055" s="3"/>
      <c r="G1055" s="3"/>
      <c r="H1055" s="3"/>
      <c r="I1055" s="3"/>
      <c r="J1055" s="19"/>
    </row>
    <row r="1056" spans="1:10" ht="15" customHeight="1" x14ac:dyDescent="0.25">
      <c r="A1056" s="3"/>
      <c r="B1056" s="3"/>
      <c r="C1056" s="18"/>
      <c r="D1056" s="15"/>
      <c r="E1056" s="3"/>
      <c r="F1056" s="3"/>
      <c r="G1056" s="3"/>
      <c r="H1056" s="3"/>
      <c r="I1056" s="3"/>
      <c r="J1056" s="19"/>
    </row>
    <row r="1057" spans="1:10" ht="15" customHeight="1" x14ac:dyDescent="0.25">
      <c r="A1057" s="3"/>
      <c r="B1057" s="3"/>
      <c r="C1057" s="18"/>
      <c r="D1057" s="15"/>
      <c r="E1057" s="3"/>
      <c r="F1057" s="3"/>
      <c r="G1057" s="3"/>
      <c r="H1057" s="3"/>
      <c r="I1057" s="3"/>
      <c r="J1057" s="19"/>
    </row>
    <row r="1058" spans="1:10" ht="15" customHeight="1" x14ac:dyDescent="0.25">
      <c r="A1058" s="3"/>
      <c r="B1058" s="3"/>
      <c r="C1058" s="18"/>
      <c r="D1058" s="15"/>
      <c r="E1058" s="3"/>
      <c r="F1058" s="3"/>
      <c r="G1058" s="3"/>
      <c r="H1058" s="3"/>
      <c r="I1058" s="3"/>
      <c r="J1058" s="19"/>
    </row>
    <row r="1059" spans="1:10" ht="15" customHeight="1" x14ac:dyDescent="0.25">
      <c r="A1059" s="3"/>
      <c r="B1059" s="3"/>
      <c r="C1059" s="18"/>
      <c r="D1059" s="15"/>
      <c r="E1059" s="3"/>
      <c r="F1059" s="3"/>
      <c r="G1059" s="3"/>
      <c r="H1059" s="3"/>
      <c r="I1059" s="3"/>
      <c r="J1059" s="19"/>
    </row>
    <row r="1060" spans="1:10" ht="15" customHeight="1" x14ac:dyDescent="0.25">
      <c r="A1060" s="3"/>
      <c r="B1060" s="3"/>
      <c r="C1060" s="18"/>
      <c r="D1060" s="15"/>
      <c r="E1060" s="3"/>
      <c r="F1060" s="3"/>
      <c r="G1060" s="3"/>
      <c r="H1060" s="3"/>
      <c r="I1060" s="3"/>
      <c r="J1060" s="19"/>
    </row>
    <row r="1061" spans="1:10" ht="15" customHeight="1" x14ac:dyDescent="0.25">
      <c r="A1061" s="3"/>
      <c r="B1061" s="3"/>
      <c r="C1061" s="18"/>
      <c r="D1061" s="15"/>
      <c r="E1061" s="3"/>
      <c r="F1061" s="3"/>
      <c r="G1061" s="3"/>
      <c r="H1061" s="3"/>
      <c r="I1061" s="3"/>
      <c r="J1061" s="19"/>
    </row>
    <row r="1062" spans="1:10" ht="15" customHeight="1" x14ac:dyDescent="0.25">
      <c r="A1062" s="3"/>
      <c r="B1062" s="3"/>
      <c r="C1062" s="18"/>
      <c r="D1062" s="15"/>
      <c r="E1062" s="3"/>
      <c r="F1062" s="3"/>
      <c r="G1062" s="3"/>
      <c r="H1062" s="3"/>
      <c r="I1062" s="3"/>
      <c r="J1062" s="19"/>
    </row>
    <row r="1063" spans="1:10" ht="15" customHeight="1" x14ac:dyDescent="0.25">
      <c r="A1063" s="3"/>
      <c r="B1063" s="3"/>
      <c r="C1063" s="18"/>
      <c r="D1063" s="15"/>
      <c r="E1063" s="3"/>
      <c r="F1063" s="3"/>
      <c r="G1063" s="3"/>
      <c r="H1063" s="3"/>
      <c r="I1063" s="3"/>
      <c r="J1063" s="19"/>
    </row>
    <row r="1064" spans="1:10" ht="15" customHeight="1" x14ac:dyDescent="0.25">
      <c r="A1064" s="3"/>
      <c r="B1064" s="3"/>
      <c r="C1064" s="18"/>
      <c r="D1064" s="15"/>
      <c r="E1064" s="3"/>
      <c r="F1064" s="3"/>
      <c r="G1064" s="3"/>
      <c r="H1064" s="3"/>
      <c r="I1064" s="3"/>
      <c r="J1064" s="19"/>
    </row>
    <row r="1065" spans="1:10" ht="15" customHeight="1" x14ac:dyDescent="0.25">
      <c r="A1065" s="3"/>
      <c r="B1065" s="3"/>
      <c r="C1065" s="18"/>
      <c r="D1065" s="15"/>
      <c r="E1065" s="3"/>
      <c r="F1065" s="3"/>
      <c r="G1065" s="3"/>
      <c r="H1065" s="3"/>
      <c r="I1065" s="3"/>
      <c r="J1065" s="19"/>
    </row>
    <row r="1066" spans="1:10" ht="15" customHeight="1" x14ac:dyDescent="0.25">
      <c r="A1066" s="3"/>
      <c r="B1066" s="3"/>
      <c r="C1066" s="18"/>
      <c r="D1066" s="15"/>
      <c r="E1066" s="3"/>
      <c r="F1066" s="3"/>
      <c r="G1066" s="3"/>
      <c r="H1066" s="3"/>
      <c r="I1066" s="3"/>
      <c r="J1066" s="19"/>
    </row>
    <row r="1067" spans="1:10" ht="15" customHeight="1" x14ac:dyDescent="0.25">
      <c r="A1067" s="3"/>
      <c r="B1067" s="3"/>
      <c r="C1067" s="18"/>
      <c r="D1067" s="15"/>
      <c r="E1067" s="3"/>
      <c r="F1067" s="3"/>
      <c r="G1067" s="3"/>
      <c r="H1067" s="3"/>
      <c r="I1067" s="3"/>
      <c r="J1067" s="19"/>
    </row>
    <row r="1068" spans="1:10" ht="15" customHeight="1" x14ac:dyDescent="0.25">
      <c r="A1068" s="3"/>
      <c r="B1068" s="3"/>
      <c r="C1068" s="18"/>
      <c r="D1068" s="15"/>
      <c r="E1068" s="3"/>
      <c r="F1068" s="3"/>
      <c r="G1068" s="3"/>
      <c r="H1068" s="3"/>
      <c r="I1068" s="3"/>
      <c r="J1068" s="19"/>
    </row>
    <row r="1069" spans="1:10" ht="15" customHeight="1" x14ac:dyDescent="0.25">
      <c r="A1069" s="3"/>
      <c r="B1069" s="3"/>
      <c r="C1069" s="18"/>
      <c r="D1069" s="15"/>
      <c r="E1069" s="3"/>
      <c r="F1069" s="3"/>
      <c r="G1069" s="3"/>
      <c r="H1069" s="3"/>
      <c r="I1069" s="3"/>
      <c r="J1069" s="19"/>
    </row>
    <row r="1070" spans="1:10" ht="15" customHeight="1" x14ac:dyDescent="0.25">
      <c r="A1070" s="3"/>
      <c r="B1070" s="3"/>
      <c r="C1070" s="18"/>
      <c r="D1070" s="15"/>
      <c r="E1070" s="3"/>
      <c r="F1070" s="3"/>
      <c r="G1070" s="3"/>
      <c r="H1070" s="3"/>
      <c r="I1070" s="3"/>
      <c r="J1070" s="19"/>
    </row>
    <row r="1071" spans="1:10" ht="15" customHeight="1" x14ac:dyDescent="0.25">
      <c r="A1071" s="3"/>
      <c r="B1071" s="3"/>
      <c r="C1071" s="18"/>
      <c r="D1071" s="15"/>
      <c r="E1071" s="3"/>
      <c r="F1071" s="3"/>
      <c r="G1071" s="3"/>
      <c r="H1071" s="3"/>
      <c r="I1071" s="3"/>
      <c r="J1071" s="19"/>
    </row>
    <row r="1072" spans="1:10" ht="15" customHeight="1" x14ac:dyDescent="0.25">
      <c r="A1072" s="3"/>
      <c r="B1072" s="3"/>
      <c r="C1072" s="18"/>
      <c r="D1072" s="15"/>
      <c r="E1072" s="3"/>
      <c r="F1072" s="3"/>
      <c r="G1072" s="3"/>
      <c r="H1072" s="3"/>
      <c r="I1072" s="3"/>
      <c r="J1072" s="19"/>
    </row>
    <row r="1073" spans="1:10" ht="15" customHeight="1" x14ac:dyDescent="0.25">
      <c r="A1073" s="3"/>
      <c r="B1073" s="3"/>
      <c r="C1073" s="18"/>
      <c r="D1073" s="15"/>
      <c r="E1073" s="3"/>
      <c r="F1073" s="3"/>
      <c r="G1073" s="3"/>
      <c r="H1073" s="3"/>
      <c r="I1073" s="3"/>
      <c r="J1073" s="19"/>
    </row>
    <row r="1074" spans="1:10" ht="15" customHeight="1" x14ac:dyDescent="0.25">
      <c r="A1074" s="3"/>
      <c r="B1074" s="3"/>
      <c r="C1074" s="18"/>
      <c r="D1074" s="15"/>
      <c r="E1074" s="3"/>
      <c r="F1074" s="3"/>
      <c r="G1074" s="3"/>
      <c r="H1074" s="3"/>
      <c r="I1074" s="3"/>
      <c r="J1074" s="19"/>
    </row>
    <row r="1075" spans="1:10" ht="15" customHeight="1" x14ac:dyDescent="0.25">
      <c r="A1075" s="3"/>
      <c r="B1075" s="3"/>
      <c r="C1075" s="18"/>
      <c r="D1075" s="15"/>
      <c r="E1075" s="3"/>
      <c r="F1075" s="3"/>
      <c r="G1075" s="3"/>
      <c r="H1075" s="3"/>
      <c r="I1075" s="3"/>
      <c r="J1075" s="19"/>
    </row>
    <row r="1076" spans="1:10" ht="15" customHeight="1" x14ac:dyDescent="0.25">
      <c r="A1076" s="3"/>
      <c r="B1076" s="3"/>
      <c r="C1076" s="18"/>
      <c r="D1076" s="15"/>
      <c r="E1076" s="3"/>
      <c r="F1076" s="3"/>
      <c r="G1076" s="3"/>
      <c r="H1076" s="3"/>
      <c r="I1076" s="3"/>
      <c r="J1076" s="19"/>
    </row>
    <row r="1077" spans="1:10" ht="15" customHeight="1" x14ac:dyDescent="0.25">
      <c r="A1077" s="3"/>
      <c r="B1077" s="3"/>
      <c r="C1077" s="18"/>
      <c r="D1077" s="15"/>
      <c r="E1077" s="3"/>
      <c r="F1077" s="3"/>
      <c r="G1077" s="3"/>
      <c r="H1077" s="3"/>
      <c r="I1077" s="3"/>
      <c r="J1077" s="19"/>
    </row>
    <row r="1078" spans="1:10" ht="15" customHeight="1" x14ac:dyDescent="0.25">
      <c r="A1078" s="3"/>
      <c r="B1078" s="3"/>
      <c r="C1078" s="18"/>
      <c r="D1078" s="15"/>
      <c r="E1078" s="3"/>
      <c r="F1078" s="3"/>
      <c r="G1078" s="3"/>
      <c r="H1078" s="3"/>
      <c r="I1078" s="3"/>
      <c r="J1078" s="19"/>
    </row>
    <row r="1079" spans="1:10" ht="15" customHeight="1" x14ac:dyDescent="0.25">
      <c r="A1079" s="3"/>
      <c r="B1079" s="3"/>
      <c r="C1079" s="18"/>
      <c r="D1079" s="15"/>
      <c r="E1079" s="3"/>
      <c r="F1079" s="3"/>
      <c r="G1079" s="3"/>
      <c r="H1079" s="3"/>
      <c r="I1079" s="3"/>
      <c r="J1079" s="19"/>
    </row>
    <row r="1080" spans="1:10" ht="15" customHeight="1" x14ac:dyDescent="0.25">
      <c r="A1080" s="3"/>
      <c r="B1080" s="3"/>
      <c r="C1080" s="18"/>
      <c r="D1080" s="15"/>
      <c r="E1080" s="3"/>
      <c r="F1080" s="3"/>
      <c r="G1080" s="3"/>
      <c r="H1080" s="3"/>
      <c r="I1080" s="3"/>
      <c r="J1080" s="19"/>
    </row>
    <row r="1081" spans="1:10" ht="15" customHeight="1" x14ac:dyDescent="0.25">
      <c r="A1081" s="3"/>
      <c r="B1081" s="3"/>
      <c r="C1081" s="18"/>
      <c r="D1081" s="15"/>
      <c r="E1081" s="3"/>
      <c r="F1081" s="3"/>
      <c r="G1081" s="3"/>
      <c r="H1081" s="3"/>
      <c r="I1081" s="3"/>
      <c r="J1081" s="19"/>
    </row>
    <row r="1082" spans="1:10" ht="15" customHeight="1" x14ac:dyDescent="0.25">
      <c r="A1082" s="3"/>
      <c r="B1082" s="3"/>
      <c r="C1082" s="18"/>
      <c r="D1082" s="15"/>
      <c r="E1082" s="3"/>
      <c r="F1082" s="3"/>
      <c r="G1082" s="3"/>
      <c r="H1082" s="3"/>
      <c r="I1082" s="3"/>
      <c r="J1082" s="19"/>
    </row>
    <row r="1083" spans="1:10" ht="15" customHeight="1" x14ac:dyDescent="0.25">
      <c r="A1083" s="3"/>
      <c r="B1083" s="3"/>
      <c r="C1083" s="18"/>
      <c r="D1083" s="15"/>
      <c r="E1083" s="3"/>
      <c r="F1083" s="3"/>
      <c r="G1083" s="3"/>
      <c r="H1083" s="3"/>
      <c r="I1083" s="3"/>
      <c r="J1083" s="19"/>
    </row>
    <row r="1084" spans="1:10" ht="15" customHeight="1" x14ac:dyDescent="0.25">
      <c r="A1084" s="3"/>
      <c r="B1084" s="3"/>
      <c r="C1084" s="18"/>
      <c r="D1084" s="15"/>
      <c r="E1084" s="3"/>
      <c r="F1084" s="3"/>
      <c r="G1084" s="3"/>
      <c r="H1084" s="3"/>
      <c r="I1084" s="3"/>
      <c r="J1084" s="19"/>
    </row>
    <row r="1085" spans="1:10" ht="15" customHeight="1" x14ac:dyDescent="0.25">
      <c r="A1085" s="3"/>
      <c r="B1085" s="3"/>
      <c r="C1085" s="18"/>
      <c r="D1085" s="15"/>
      <c r="E1085" s="3"/>
      <c r="F1085" s="3"/>
      <c r="G1085" s="3"/>
      <c r="H1085" s="3"/>
      <c r="I1085" s="3"/>
      <c r="J1085" s="19"/>
    </row>
    <row r="1086" spans="1:10" ht="15" customHeight="1" x14ac:dyDescent="0.25">
      <c r="A1086" s="3"/>
      <c r="B1086" s="3"/>
      <c r="C1086" s="18"/>
      <c r="D1086" s="15"/>
      <c r="E1086" s="3"/>
      <c r="F1086" s="3"/>
      <c r="G1086" s="3"/>
      <c r="H1086" s="3"/>
      <c r="I1086" s="3"/>
      <c r="J1086" s="19"/>
    </row>
    <row r="1087" spans="1:10" ht="15" customHeight="1" x14ac:dyDescent="0.25">
      <c r="A1087" s="3"/>
      <c r="B1087" s="3"/>
      <c r="C1087" s="18"/>
      <c r="D1087" s="15"/>
      <c r="E1087" s="3"/>
      <c r="F1087" s="3"/>
      <c r="G1087" s="3"/>
      <c r="H1087" s="3"/>
      <c r="I1087" s="3"/>
      <c r="J1087" s="19"/>
    </row>
    <row r="1088" spans="1:10" ht="15" customHeight="1" x14ac:dyDescent="0.25">
      <c r="A1088" s="3"/>
      <c r="B1088" s="3"/>
      <c r="C1088" s="18"/>
      <c r="D1088" s="15"/>
      <c r="E1088" s="3"/>
      <c r="F1088" s="3"/>
      <c r="G1088" s="3"/>
      <c r="H1088" s="3"/>
      <c r="I1088" s="3"/>
      <c r="J1088" s="19"/>
    </row>
    <row r="1089" spans="1:10" ht="15" customHeight="1" x14ac:dyDescent="0.25">
      <c r="A1089" s="3"/>
      <c r="B1089" s="3"/>
      <c r="C1089" s="18"/>
      <c r="D1089" s="15"/>
      <c r="E1089" s="3"/>
      <c r="F1089" s="3"/>
      <c r="G1089" s="3"/>
      <c r="H1089" s="3"/>
      <c r="I1089" s="3"/>
      <c r="J1089" s="19"/>
    </row>
    <row r="1090" spans="1:10" ht="15" customHeight="1" x14ac:dyDescent="0.25">
      <c r="A1090" s="3"/>
      <c r="B1090" s="3"/>
      <c r="C1090" s="18"/>
      <c r="D1090" s="15"/>
      <c r="E1090" s="3"/>
      <c r="F1090" s="3"/>
      <c r="G1090" s="3"/>
      <c r="H1090" s="3"/>
      <c r="I1090" s="3"/>
      <c r="J1090" s="19"/>
    </row>
    <row r="1091" spans="1:10" ht="15" customHeight="1" x14ac:dyDescent="0.25">
      <c r="A1091" s="3"/>
      <c r="B1091" s="3"/>
      <c r="C1091" s="18"/>
      <c r="D1091" s="15"/>
      <c r="E1091" s="3"/>
      <c r="F1091" s="3"/>
      <c r="G1091" s="3"/>
      <c r="H1091" s="3"/>
      <c r="I1091" s="3"/>
      <c r="J1091" s="19"/>
    </row>
    <row r="1092" spans="1:10" ht="15" customHeight="1" x14ac:dyDescent="0.25">
      <c r="A1092" s="3"/>
      <c r="B1092" s="3"/>
      <c r="C1092" s="18"/>
      <c r="D1092" s="15"/>
      <c r="E1092" s="3"/>
      <c r="F1092" s="3"/>
      <c r="G1092" s="3"/>
      <c r="H1092" s="3"/>
      <c r="I1092" s="3"/>
      <c r="J1092" s="19"/>
    </row>
    <row r="1093" spans="1:10" ht="15" customHeight="1" x14ac:dyDescent="0.25">
      <c r="A1093" s="3"/>
      <c r="B1093" s="3"/>
      <c r="C1093" s="18"/>
      <c r="D1093" s="15"/>
      <c r="E1093" s="3"/>
      <c r="F1093" s="3"/>
      <c r="G1093" s="3"/>
      <c r="H1093" s="3"/>
      <c r="I1093" s="3"/>
      <c r="J1093" s="19"/>
    </row>
    <row r="1094" spans="1:10" ht="15" customHeight="1" x14ac:dyDescent="0.25">
      <c r="A1094" s="3"/>
      <c r="B1094" s="3"/>
      <c r="C1094" s="18"/>
      <c r="D1094" s="15"/>
      <c r="E1094" s="3"/>
      <c r="F1094" s="3"/>
      <c r="G1094" s="3"/>
      <c r="H1094" s="3"/>
      <c r="I1094" s="3"/>
      <c r="J1094" s="19"/>
    </row>
    <row r="1095" spans="1:10" ht="15" customHeight="1" x14ac:dyDescent="0.25">
      <c r="A1095" s="3"/>
      <c r="B1095" s="3"/>
      <c r="C1095" s="18"/>
      <c r="D1095" s="15"/>
      <c r="E1095" s="3"/>
      <c r="F1095" s="3"/>
      <c r="G1095" s="3"/>
      <c r="H1095" s="3"/>
      <c r="I1095" s="3"/>
      <c r="J1095" s="19"/>
    </row>
    <row r="1096" spans="1:10" ht="15" customHeight="1" x14ac:dyDescent="0.25">
      <c r="A1096" s="3"/>
      <c r="B1096" s="3"/>
      <c r="C1096" s="18"/>
      <c r="D1096" s="15"/>
      <c r="E1096" s="3"/>
      <c r="F1096" s="3"/>
      <c r="G1096" s="3"/>
      <c r="H1096" s="3"/>
      <c r="I1096" s="3"/>
      <c r="J1096" s="19"/>
    </row>
    <row r="1097" spans="1:10" ht="15" customHeight="1" x14ac:dyDescent="0.25">
      <c r="A1097" s="3"/>
      <c r="B1097" s="3"/>
      <c r="C1097" s="18"/>
      <c r="D1097" s="15"/>
      <c r="E1097" s="3"/>
      <c r="F1097" s="3"/>
      <c r="G1097" s="3"/>
      <c r="H1097" s="3"/>
      <c r="I1097" s="3"/>
      <c r="J1097" s="19"/>
    </row>
    <row r="1098" spans="1:10" ht="15" customHeight="1" x14ac:dyDescent="0.25">
      <c r="A1098" s="3"/>
      <c r="B1098" s="3"/>
      <c r="C1098" s="18"/>
      <c r="D1098" s="15"/>
      <c r="E1098" s="3"/>
      <c r="F1098" s="3"/>
      <c r="G1098" s="3"/>
      <c r="H1098" s="3"/>
      <c r="I1098" s="3"/>
      <c r="J1098" s="19"/>
    </row>
    <row r="1099" spans="1:10" ht="15" customHeight="1" x14ac:dyDescent="0.25">
      <c r="A1099" s="3"/>
      <c r="B1099" s="3"/>
      <c r="C1099" s="18"/>
      <c r="D1099" s="15"/>
      <c r="E1099" s="3"/>
      <c r="F1099" s="3"/>
      <c r="G1099" s="3"/>
      <c r="H1099" s="3"/>
      <c r="I1099" s="3"/>
      <c r="J1099" s="19"/>
    </row>
    <row r="1100" spans="1:10" ht="15" customHeight="1" x14ac:dyDescent="0.25">
      <c r="A1100" s="3"/>
      <c r="B1100" s="3"/>
      <c r="C1100" s="18"/>
      <c r="D1100" s="15"/>
      <c r="E1100" s="3"/>
      <c r="F1100" s="3"/>
      <c r="G1100" s="3"/>
      <c r="H1100" s="3"/>
      <c r="I1100" s="3"/>
      <c r="J1100" s="19"/>
    </row>
    <row r="1101" spans="1:10" ht="15" customHeight="1" x14ac:dyDescent="0.25">
      <c r="A1101" s="3"/>
      <c r="B1101" s="3"/>
      <c r="C1101" s="18"/>
      <c r="D1101" s="15"/>
      <c r="E1101" s="3"/>
      <c r="F1101" s="3"/>
      <c r="G1101" s="3"/>
      <c r="H1101" s="3"/>
      <c r="I1101" s="3"/>
      <c r="J1101" s="19"/>
    </row>
    <row r="1102" spans="1:10" ht="15" customHeight="1" x14ac:dyDescent="0.25">
      <c r="A1102" s="3"/>
      <c r="B1102" s="3"/>
      <c r="C1102" s="18"/>
      <c r="D1102" s="15"/>
      <c r="E1102" s="3"/>
      <c r="F1102" s="3"/>
      <c r="G1102" s="3"/>
      <c r="H1102" s="3"/>
      <c r="I1102" s="3"/>
      <c r="J1102" s="19"/>
    </row>
    <row r="1103" spans="1:10" ht="15" customHeight="1" x14ac:dyDescent="0.25">
      <c r="A1103" s="3"/>
      <c r="B1103" s="3"/>
      <c r="C1103" s="18"/>
      <c r="D1103" s="15"/>
      <c r="E1103" s="3"/>
      <c r="F1103" s="3"/>
      <c r="G1103" s="3"/>
      <c r="H1103" s="3"/>
      <c r="I1103" s="3"/>
      <c r="J1103" s="19"/>
    </row>
    <row r="1104" spans="1:10" ht="15" customHeight="1" x14ac:dyDescent="0.25">
      <c r="A1104" s="3"/>
      <c r="B1104" s="3"/>
      <c r="C1104" s="18"/>
      <c r="D1104" s="15"/>
      <c r="E1104" s="3"/>
      <c r="F1104" s="3"/>
      <c r="G1104" s="3"/>
      <c r="H1104" s="3"/>
      <c r="I1104" s="3"/>
      <c r="J1104" s="19"/>
    </row>
    <row r="1105" spans="1:10" ht="15" customHeight="1" x14ac:dyDescent="0.25">
      <c r="A1105" s="3"/>
      <c r="B1105" s="3"/>
      <c r="C1105" s="18"/>
      <c r="D1105" s="15"/>
      <c r="E1105" s="3"/>
      <c r="F1105" s="3"/>
      <c r="G1105" s="3"/>
      <c r="H1105" s="3"/>
      <c r="I1105" s="3"/>
      <c r="J1105" s="19"/>
    </row>
    <row r="1106" spans="1:10" ht="15" customHeight="1" x14ac:dyDescent="0.25">
      <c r="A1106" s="3"/>
      <c r="B1106" s="3"/>
      <c r="C1106" s="18"/>
      <c r="D1106" s="15"/>
      <c r="E1106" s="3"/>
      <c r="F1106" s="3"/>
      <c r="G1106" s="3"/>
      <c r="H1106" s="3"/>
      <c r="I1106" s="3"/>
      <c r="J1106" s="19"/>
    </row>
    <row r="1107" spans="1:10" ht="15" customHeight="1" x14ac:dyDescent="0.25">
      <c r="A1107" s="3"/>
      <c r="B1107" s="3"/>
      <c r="C1107" s="18"/>
      <c r="D1107" s="15"/>
      <c r="E1107" s="3"/>
      <c r="F1107" s="3"/>
      <c r="G1107" s="3"/>
      <c r="H1107" s="3"/>
      <c r="I1107" s="3"/>
      <c r="J1107" s="19"/>
    </row>
    <row r="1108" spans="1:10" ht="15" customHeight="1" x14ac:dyDescent="0.25">
      <c r="A1108" s="3"/>
      <c r="B1108" s="3"/>
      <c r="C1108" s="18"/>
      <c r="D1108" s="15"/>
      <c r="E1108" s="3"/>
      <c r="F1108" s="3"/>
      <c r="G1108" s="3"/>
      <c r="H1108" s="3"/>
      <c r="I1108" s="3"/>
      <c r="J1108" s="19"/>
    </row>
    <row r="1109" spans="1:10" ht="15" customHeight="1" x14ac:dyDescent="0.25">
      <c r="A1109" s="3"/>
      <c r="B1109" s="3"/>
      <c r="C1109" s="18"/>
      <c r="D1109" s="15"/>
      <c r="E1109" s="3"/>
      <c r="F1109" s="3"/>
      <c r="G1109" s="3"/>
      <c r="H1109" s="3"/>
      <c r="I1109" s="3"/>
      <c r="J1109" s="19"/>
    </row>
    <row r="1110" spans="1:10" ht="15" customHeight="1" x14ac:dyDescent="0.25">
      <c r="A1110" s="3"/>
      <c r="B1110" s="3"/>
      <c r="C1110" s="18"/>
      <c r="D1110" s="15"/>
      <c r="E1110" s="3"/>
      <c r="F1110" s="3"/>
      <c r="G1110" s="3"/>
      <c r="H1110" s="3"/>
      <c r="I1110" s="3"/>
      <c r="J1110" s="19"/>
    </row>
    <row r="1111" spans="1:10" ht="15" customHeight="1" x14ac:dyDescent="0.25">
      <c r="A1111" s="3"/>
      <c r="B1111" s="3"/>
      <c r="C1111" s="18"/>
      <c r="D1111" s="15"/>
      <c r="E1111" s="3"/>
      <c r="F1111" s="3"/>
      <c r="G1111" s="3"/>
      <c r="H1111" s="3"/>
      <c r="I1111" s="3"/>
      <c r="J1111" s="19"/>
    </row>
    <row r="1112" spans="1:10" ht="15" customHeight="1" x14ac:dyDescent="0.25">
      <c r="A1112" s="3"/>
      <c r="B1112" s="3"/>
      <c r="C1112" s="18"/>
      <c r="D1112" s="15"/>
      <c r="E1112" s="3"/>
      <c r="F1112" s="3"/>
      <c r="G1112" s="3"/>
      <c r="H1112" s="3"/>
      <c r="I1112" s="3"/>
      <c r="J1112" s="19"/>
    </row>
    <row r="1113" spans="1:10" ht="15" customHeight="1" x14ac:dyDescent="0.25">
      <c r="A1113" s="3"/>
      <c r="B1113" s="3"/>
      <c r="C1113" s="18"/>
      <c r="D1113" s="15"/>
      <c r="E1113" s="3"/>
      <c r="F1113" s="3"/>
      <c r="G1113" s="3"/>
      <c r="H1113" s="3"/>
      <c r="I1113" s="3"/>
      <c r="J1113" s="19"/>
    </row>
    <row r="1114" spans="1:10" ht="15" customHeight="1" x14ac:dyDescent="0.25">
      <c r="A1114" s="3"/>
      <c r="B1114" s="3"/>
      <c r="C1114" s="18"/>
      <c r="D1114" s="15"/>
      <c r="E1114" s="3"/>
      <c r="F1114" s="3"/>
      <c r="G1114" s="3"/>
      <c r="H1114" s="3"/>
      <c r="I1114" s="3"/>
      <c r="J1114" s="19"/>
    </row>
    <row r="1115" spans="1:10" ht="15" customHeight="1" x14ac:dyDescent="0.25">
      <c r="A1115" s="3"/>
      <c r="B1115" s="3"/>
      <c r="C1115" s="18"/>
      <c r="D1115" s="15"/>
      <c r="E1115" s="3"/>
      <c r="F1115" s="3"/>
      <c r="G1115" s="3"/>
      <c r="H1115" s="3"/>
      <c r="I1115" s="3"/>
      <c r="J1115" s="19"/>
    </row>
    <row r="1116" spans="1:10" ht="15" customHeight="1" x14ac:dyDescent="0.25">
      <c r="A1116" s="3"/>
      <c r="B1116" s="3"/>
      <c r="C1116" s="18"/>
      <c r="D1116" s="15"/>
      <c r="E1116" s="3"/>
      <c r="F1116" s="3"/>
      <c r="G1116" s="3"/>
      <c r="H1116" s="3"/>
      <c r="I1116" s="3"/>
      <c r="J1116" s="19"/>
    </row>
    <row r="1117" spans="1:10" ht="15" customHeight="1" x14ac:dyDescent="0.25">
      <c r="A1117" s="3"/>
      <c r="B1117" s="3"/>
      <c r="C1117" s="18"/>
      <c r="D1117" s="15"/>
      <c r="E1117" s="3"/>
      <c r="F1117" s="3"/>
      <c r="G1117" s="3"/>
      <c r="H1117" s="3"/>
      <c r="I1117" s="3"/>
      <c r="J1117" s="19"/>
    </row>
    <row r="1118" spans="1:10" ht="15" customHeight="1" x14ac:dyDescent="0.25">
      <c r="A1118" s="3"/>
      <c r="B1118" s="3"/>
      <c r="C1118" s="18"/>
      <c r="D1118" s="15"/>
      <c r="E1118" s="3"/>
      <c r="F1118" s="3"/>
      <c r="G1118" s="3"/>
      <c r="H1118" s="3"/>
      <c r="I1118" s="3"/>
      <c r="J1118" s="19"/>
    </row>
    <row r="1119" spans="1:10" ht="15" customHeight="1" x14ac:dyDescent="0.25">
      <c r="A1119" s="3"/>
      <c r="B1119" s="3"/>
      <c r="C1119" s="18"/>
      <c r="D1119" s="15"/>
      <c r="E1119" s="3"/>
      <c r="F1119" s="3"/>
      <c r="G1119" s="3"/>
      <c r="H1119" s="3"/>
      <c r="I1119" s="3"/>
      <c r="J1119" s="19"/>
    </row>
    <row r="1120" spans="1:10" ht="15" customHeight="1" x14ac:dyDescent="0.25">
      <c r="A1120" s="3"/>
      <c r="B1120" s="3"/>
      <c r="C1120" s="18"/>
      <c r="D1120" s="15"/>
      <c r="E1120" s="3"/>
      <c r="F1120" s="3"/>
      <c r="G1120" s="3"/>
      <c r="H1120" s="3"/>
      <c r="I1120" s="3"/>
      <c r="J1120" s="19"/>
    </row>
    <row r="1121" spans="1:10" ht="15" customHeight="1" x14ac:dyDescent="0.25">
      <c r="A1121" s="3"/>
      <c r="B1121" s="3"/>
      <c r="C1121" s="18"/>
      <c r="D1121" s="15"/>
      <c r="E1121" s="3"/>
      <c r="F1121" s="3"/>
      <c r="G1121" s="3"/>
      <c r="H1121" s="3"/>
      <c r="I1121" s="3"/>
      <c r="J1121" s="19"/>
    </row>
    <row r="1122" spans="1:10" ht="15" customHeight="1" x14ac:dyDescent="0.25">
      <c r="A1122" s="3"/>
      <c r="B1122" s="3"/>
      <c r="C1122" s="18"/>
      <c r="D1122" s="15"/>
      <c r="E1122" s="3"/>
      <c r="F1122" s="3"/>
      <c r="G1122" s="3"/>
      <c r="H1122" s="3"/>
      <c r="I1122" s="3"/>
      <c r="J1122" s="19"/>
    </row>
    <row r="1123" spans="1:10" ht="15" customHeight="1" x14ac:dyDescent="0.25">
      <c r="A1123" s="3"/>
      <c r="B1123" s="3"/>
      <c r="C1123" s="18"/>
      <c r="D1123" s="15"/>
      <c r="E1123" s="3"/>
      <c r="F1123" s="3"/>
      <c r="G1123" s="3"/>
      <c r="H1123" s="3"/>
      <c r="I1123" s="3"/>
      <c r="J1123" s="19"/>
    </row>
    <row r="1124" spans="1:10" ht="15" customHeight="1" x14ac:dyDescent="0.25">
      <c r="A1124" s="3"/>
      <c r="B1124" s="3"/>
      <c r="C1124" s="18"/>
      <c r="D1124" s="15"/>
      <c r="E1124" s="3"/>
      <c r="F1124" s="3"/>
      <c r="G1124" s="3"/>
      <c r="H1124" s="3"/>
      <c r="I1124" s="3"/>
      <c r="J1124" s="19"/>
    </row>
    <row r="1125" spans="1:10" ht="15" customHeight="1" x14ac:dyDescent="0.25">
      <c r="A1125" s="3"/>
      <c r="B1125" s="3"/>
      <c r="C1125" s="18"/>
      <c r="D1125" s="15"/>
      <c r="E1125" s="3"/>
      <c r="F1125" s="3"/>
      <c r="G1125" s="3"/>
      <c r="H1125" s="3"/>
      <c r="I1125" s="3"/>
      <c r="J1125" s="19"/>
    </row>
    <row r="1126" spans="1:10" ht="15" customHeight="1" x14ac:dyDescent="0.25">
      <c r="A1126" s="3"/>
      <c r="B1126" s="3"/>
      <c r="C1126" s="18"/>
      <c r="D1126" s="15"/>
      <c r="E1126" s="3"/>
      <c r="F1126" s="3"/>
      <c r="G1126" s="3"/>
      <c r="H1126" s="3"/>
      <c r="I1126" s="3"/>
      <c r="J1126" s="19"/>
    </row>
    <row r="1127" spans="1:10" ht="15" customHeight="1" x14ac:dyDescent="0.25">
      <c r="A1127" s="3"/>
      <c r="B1127" s="3"/>
      <c r="C1127" s="18"/>
      <c r="D1127" s="15"/>
      <c r="E1127" s="3"/>
      <c r="F1127" s="3"/>
      <c r="G1127" s="3"/>
      <c r="H1127" s="3"/>
      <c r="I1127" s="3"/>
      <c r="J1127" s="19"/>
    </row>
    <row r="1128" spans="1:10" ht="15" customHeight="1" x14ac:dyDescent="0.25">
      <c r="A1128" s="3"/>
      <c r="B1128" s="3"/>
      <c r="C1128" s="18"/>
      <c r="D1128" s="15"/>
      <c r="E1128" s="3"/>
      <c r="F1128" s="3"/>
      <c r="G1128" s="3"/>
      <c r="H1128" s="3"/>
      <c r="I1128" s="3"/>
      <c r="J1128" s="19"/>
    </row>
    <row r="1129" spans="1:10" ht="15" customHeight="1" x14ac:dyDescent="0.25">
      <c r="A1129" s="3"/>
      <c r="B1129" s="3"/>
      <c r="C1129" s="18"/>
      <c r="D1129" s="15"/>
      <c r="E1129" s="3"/>
      <c r="F1129" s="3"/>
      <c r="G1129" s="3"/>
      <c r="H1129" s="3"/>
      <c r="I1129" s="3"/>
      <c r="J1129" s="19"/>
    </row>
    <row r="1130" spans="1:10" ht="15" customHeight="1" x14ac:dyDescent="0.25">
      <c r="A1130" s="3"/>
      <c r="B1130" s="3"/>
      <c r="C1130" s="18"/>
      <c r="D1130" s="15"/>
      <c r="E1130" s="3"/>
      <c r="F1130" s="3"/>
      <c r="G1130" s="3"/>
      <c r="H1130" s="3"/>
      <c r="I1130" s="3"/>
      <c r="J1130" s="19"/>
    </row>
    <row r="1131" spans="1:10" ht="15" customHeight="1" x14ac:dyDescent="0.25">
      <c r="A1131" s="3"/>
      <c r="B1131" s="3"/>
      <c r="C1131" s="18"/>
      <c r="D1131" s="15"/>
      <c r="E1131" s="3"/>
      <c r="F1131" s="3"/>
      <c r="G1131" s="3"/>
      <c r="H1131" s="3"/>
      <c r="I1131" s="3"/>
      <c r="J1131" s="19"/>
    </row>
    <row r="1132" spans="1:10" ht="15" customHeight="1" x14ac:dyDescent="0.25">
      <c r="A1132" s="3"/>
      <c r="B1132" s="3"/>
      <c r="C1132" s="18"/>
      <c r="D1132" s="15"/>
      <c r="E1132" s="3"/>
      <c r="F1132" s="3"/>
      <c r="G1132" s="3"/>
      <c r="H1132" s="3"/>
      <c r="I1132" s="3"/>
      <c r="J1132" s="19"/>
    </row>
    <row r="1133" spans="1:10" ht="15" customHeight="1" x14ac:dyDescent="0.25">
      <c r="A1133" s="3"/>
      <c r="B1133" s="3"/>
      <c r="C1133" s="18"/>
      <c r="D1133" s="15"/>
      <c r="E1133" s="3"/>
      <c r="F1133" s="3"/>
      <c r="G1133" s="3"/>
      <c r="H1133" s="3"/>
      <c r="I1133" s="3"/>
      <c r="J1133" s="19"/>
    </row>
    <row r="1134" spans="1:10" ht="15" customHeight="1" x14ac:dyDescent="0.25">
      <c r="A1134" s="3"/>
      <c r="B1134" s="3"/>
      <c r="C1134" s="18"/>
      <c r="D1134" s="15"/>
      <c r="E1134" s="3"/>
      <c r="F1134" s="3"/>
      <c r="G1134" s="3"/>
      <c r="H1134" s="3"/>
      <c r="I1134" s="3"/>
      <c r="J1134" s="19"/>
    </row>
    <row r="1135" spans="1:10" ht="15" customHeight="1" x14ac:dyDescent="0.25">
      <c r="A1135" s="3"/>
      <c r="B1135" s="3"/>
      <c r="C1135" s="18"/>
      <c r="D1135" s="15"/>
      <c r="E1135" s="3"/>
      <c r="F1135" s="3"/>
      <c r="G1135" s="3"/>
      <c r="H1135" s="3"/>
      <c r="I1135" s="3"/>
      <c r="J1135" s="19"/>
    </row>
    <row r="1136" spans="1:10" ht="15" customHeight="1" x14ac:dyDescent="0.25">
      <c r="A1136" s="3"/>
      <c r="B1136" s="3"/>
      <c r="C1136" s="18"/>
      <c r="D1136" s="15"/>
      <c r="E1136" s="3"/>
      <c r="F1136" s="3"/>
      <c r="G1136" s="3"/>
      <c r="H1136" s="3"/>
      <c r="I1136" s="3"/>
      <c r="J1136" s="19"/>
    </row>
    <row r="1137" spans="1:10" ht="15" customHeight="1" x14ac:dyDescent="0.25">
      <c r="A1137" s="3"/>
      <c r="B1137" s="3"/>
      <c r="C1137" s="18"/>
      <c r="D1137" s="15"/>
      <c r="E1137" s="3"/>
      <c r="F1137" s="3"/>
      <c r="G1137" s="3"/>
      <c r="H1137" s="3"/>
      <c r="I1137" s="3"/>
      <c r="J1137" s="19"/>
    </row>
    <row r="1138" spans="1:10" ht="15" customHeight="1" x14ac:dyDescent="0.25">
      <c r="A1138" s="3"/>
      <c r="B1138" s="3"/>
      <c r="C1138" s="18"/>
      <c r="D1138" s="15"/>
      <c r="E1138" s="3"/>
      <c r="F1138" s="3"/>
      <c r="G1138" s="3"/>
      <c r="H1138" s="3"/>
      <c r="I1138" s="3"/>
      <c r="J1138" s="19"/>
    </row>
    <row r="1139" spans="1:10" ht="15" customHeight="1" x14ac:dyDescent="0.25">
      <c r="A1139" s="3"/>
      <c r="B1139" s="3"/>
      <c r="C1139" s="18"/>
      <c r="D1139" s="15"/>
      <c r="E1139" s="3"/>
      <c r="F1139" s="3"/>
      <c r="G1139" s="3"/>
      <c r="H1139" s="3"/>
      <c r="I1139" s="3"/>
      <c r="J1139" s="19"/>
    </row>
    <row r="1140" spans="1:10" ht="15" customHeight="1" x14ac:dyDescent="0.25">
      <c r="A1140" s="3"/>
      <c r="B1140" s="3"/>
      <c r="C1140" s="18"/>
      <c r="D1140" s="15"/>
      <c r="E1140" s="3"/>
      <c r="F1140" s="3"/>
      <c r="G1140" s="3"/>
      <c r="H1140" s="3"/>
      <c r="I1140" s="3"/>
      <c r="J1140" s="19"/>
    </row>
    <row r="1141" spans="1:10" ht="15" customHeight="1" x14ac:dyDescent="0.25">
      <c r="A1141" s="3"/>
      <c r="B1141" s="3"/>
      <c r="C1141" s="18"/>
      <c r="D1141" s="15"/>
      <c r="E1141" s="3"/>
      <c r="F1141" s="3"/>
      <c r="G1141" s="3"/>
      <c r="H1141" s="3"/>
      <c r="I1141" s="3"/>
      <c r="J1141" s="19"/>
    </row>
    <row r="1142" spans="1:10" ht="15" customHeight="1" x14ac:dyDescent="0.25">
      <c r="A1142" s="3"/>
      <c r="B1142" s="3"/>
      <c r="C1142" s="18"/>
      <c r="D1142" s="15"/>
      <c r="E1142" s="3"/>
      <c r="F1142" s="3"/>
      <c r="G1142" s="3"/>
      <c r="H1142" s="3"/>
      <c r="I1142" s="3"/>
      <c r="J1142" s="19"/>
    </row>
    <row r="1143" spans="1:10" ht="15" customHeight="1" x14ac:dyDescent="0.25">
      <c r="A1143" s="3"/>
      <c r="B1143" s="3"/>
      <c r="C1143" s="18"/>
      <c r="D1143" s="15"/>
      <c r="E1143" s="3"/>
      <c r="F1143" s="3"/>
      <c r="G1143" s="3"/>
      <c r="H1143" s="3"/>
      <c r="I1143" s="3"/>
      <c r="J1143" s="19"/>
    </row>
    <row r="1144" spans="1:10" ht="15" customHeight="1" x14ac:dyDescent="0.25">
      <c r="A1144" s="3"/>
      <c r="B1144" s="3"/>
      <c r="C1144" s="18"/>
      <c r="D1144" s="15"/>
      <c r="E1144" s="3"/>
      <c r="F1144" s="3"/>
      <c r="G1144" s="3"/>
      <c r="H1144" s="3"/>
      <c r="I1144" s="3"/>
      <c r="J1144" s="19"/>
    </row>
    <row r="1145" spans="1:10" ht="15" customHeight="1" x14ac:dyDescent="0.25">
      <c r="A1145" s="3"/>
      <c r="B1145" s="3"/>
      <c r="C1145" s="18"/>
      <c r="D1145" s="15"/>
      <c r="E1145" s="3"/>
      <c r="F1145" s="3"/>
      <c r="G1145" s="3"/>
      <c r="H1145" s="3"/>
      <c r="I1145" s="3"/>
      <c r="J1145" s="19"/>
    </row>
    <row r="1146" spans="1:10" ht="15" customHeight="1" x14ac:dyDescent="0.25">
      <c r="A1146" s="3"/>
      <c r="B1146" s="3"/>
      <c r="C1146" s="18"/>
      <c r="D1146" s="15"/>
      <c r="E1146" s="3"/>
      <c r="F1146" s="3"/>
      <c r="G1146" s="3"/>
      <c r="H1146" s="3"/>
      <c r="I1146" s="3"/>
      <c r="J1146" s="19"/>
    </row>
    <row r="1147" spans="1:10" ht="15" customHeight="1" x14ac:dyDescent="0.25">
      <c r="A1147" s="3"/>
      <c r="B1147" s="3"/>
      <c r="C1147" s="18"/>
      <c r="D1147" s="15"/>
      <c r="E1147" s="3"/>
      <c r="F1147" s="3"/>
      <c r="G1147" s="3"/>
      <c r="H1147" s="3"/>
      <c r="I1147" s="3"/>
      <c r="J1147" s="19"/>
    </row>
    <row r="1148" spans="1:10" ht="15" customHeight="1" x14ac:dyDescent="0.25">
      <c r="A1148" s="3"/>
      <c r="B1148" s="3"/>
      <c r="C1148" s="18"/>
      <c r="D1148" s="15"/>
      <c r="E1148" s="3"/>
      <c r="F1148" s="3"/>
      <c r="G1148" s="3"/>
      <c r="H1148" s="3"/>
      <c r="I1148" s="3"/>
      <c r="J1148" s="19"/>
    </row>
    <row r="1149" spans="1:10" ht="15" customHeight="1" x14ac:dyDescent="0.25">
      <c r="A1149" s="3"/>
      <c r="B1149" s="3"/>
      <c r="C1149" s="18"/>
      <c r="D1149" s="15"/>
      <c r="E1149" s="3"/>
      <c r="F1149" s="3"/>
      <c r="G1149" s="3"/>
      <c r="H1149" s="3"/>
      <c r="I1149" s="3"/>
      <c r="J1149" s="19"/>
    </row>
    <row r="1150" spans="1:10" ht="15" customHeight="1" x14ac:dyDescent="0.25">
      <c r="A1150" s="3"/>
      <c r="B1150" s="3"/>
      <c r="C1150" s="18"/>
      <c r="D1150" s="15"/>
      <c r="E1150" s="3"/>
      <c r="F1150" s="3"/>
      <c r="G1150" s="3"/>
      <c r="H1150" s="3"/>
      <c r="I1150" s="3"/>
      <c r="J1150" s="19"/>
    </row>
    <row r="1151" spans="1:10" ht="15" customHeight="1" x14ac:dyDescent="0.25">
      <c r="A1151" s="3"/>
      <c r="B1151" s="3"/>
      <c r="C1151" s="18"/>
      <c r="D1151" s="15"/>
      <c r="E1151" s="3"/>
      <c r="F1151" s="3"/>
      <c r="G1151" s="3"/>
      <c r="H1151" s="3"/>
      <c r="I1151" s="3"/>
      <c r="J1151" s="19"/>
    </row>
    <row r="1152" spans="1:10" ht="15" customHeight="1" x14ac:dyDescent="0.25">
      <c r="A1152" s="3"/>
      <c r="B1152" s="3"/>
      <c r="C1152" s="18"/>
      <c r="D1152" s="15"/>
      <c r="E1152" s="3"/>
      <c r="F1152" s="3"/>
      <c r="G1152" s="3"/>
      <c r="H1152" s="3"/>
      <c r="I1152" s="3"/>
      <c r="J1152" s="19"/>
    </row>
    <row r="1153" spans="1:10" ht="15" customHeight="1" x14ac:dyDescent="0.25">
      <c r="A1153" s="3"/>
      <c r="B1153" s="3"/>
      <c r="C1153" s="18"/>
      <c r="D1153" s="15"/>
      <c r="E1153" s="3"/>
      <c r="F1153" s="3"/>
      <c r="G1153" s="3"/>
      <c r="H1153" s="3"/>
      <c r="I1153" s="3"/>
      <c r="J1153" s="19"/>
    </row>
    <row r="1154" spans="1:10" ht="15" customHeight="1" x14ac:dyDescent="0.25">
      <c r="A1154" s="3"/>
      <c r="B1154" s="3"/>
      <c r="C1154" s="18"/>
      <c r="D1154" s="15"/>
      <c r="E1154" s="3"/>
      <c r="F1154" s="3"/>
      <c r="G1154" s="3"/>
      <c r="H1154" s="3"/>
      <c r="I1154" s="3"/>
      <c r="J1154" s="19"/>
    </row>
    <row r="1155" spans="1:10" ht="15" customHeight="1" x14ac:dyDescent="0.25">
      <c r="A1155" s="3"/>
      <c r="B1155" s="3"/>
      <c r="C1155" s="18"/>
      <c r="D1155" s="15"/>
      <c r="E1155" s="3"/>
      <c r="F1155" s="3"/>
      <c r="G1155" s="3"/>
      <c r="H1155" s="3"/>
      <c r="I1155" s="3"/>
      <c r="J1155" s="19"/>
    </row>
    <row r="1156" spans="1:10" ht="15" customHeight="1" x14ac:dyDescent="0.25">
      <c r="A1156" s="3"/>
      <c r="B1156" s="3"/>
      <c r="C1156" s="18"/>
      <c r="D1156" s="15"/>
      <c r="E1156" s="3"/>
      <c r="F1156" s="3"/>
      <c r="G1156" s="3"/>
      <c r="H1156" s="3"/>
      <c r="I1156" s="3"/>
      <c r="J1156" s="19"/>
    </row>
    <row r="1157" spans="1:10" ht="15" customHeight="1" x14ac:dyDescent="0.25">
      <c r="A1157" s="3"/>
      <c r="B1157" s="3"/>
      <c r="C1157" s="18"/>
      <c r="D1157" s="15"/>
      <c r="E1157" s="3"/>
      <c r="F1157" s="3"/>
      <c r="G1157" s="3"/>
      <c r="H1157" s="3"/>
      <c r="I1157" s="3"/>
      <c r="J1157" s="19"/>
    </row>
    <row r="1158" spans="1:10" ht="15" customHeight="1" x14ac:dyDescent="0.25">
      <c r="A1158" s="3"/>
      <c r="B1158" s="3"/>
      <c r="C1158" s="18"/>
      <c r="D1158" s="15"/>
      <c r="E1158" s="3"/>
      <c r="F1158" s="3"/>
      <c r="G1158" s="3"/>
      <c r="H1158" s="3"/>
      <c r="I1158" s="3"/>
      <c r="J1158" s="19"/>
    </row>
    <row r="1159" spans="1:10" ht="15" customHeight="1" x14ac:dyDescent="0.25">
      <c r="A1159" s="3"/>
      <c r="B1159" s="3"/>
      <c r="C1159" s="18"/>
      <c r="D1159" s="15"/>
      <c r="E1159" s="3"/>
      <c r="F1159" s="3"/>
      <c r="G1159" s="3"/>
      <c r="H1159" s="3"/>
      <c r="I1159" s="3"/>
      <c r="J1159" s="19"/>
    </row>
    <row r="1160" spans="1:10" ht="15" customHeight="1" x14ac:dyDescent="0.25">
      <c r="A1160" s="3"/>
      <c r="B1160" s="3"/>
      <c r="C1160" s="18"/>
      <c r="D1160" s="15"/>
      <c r="E1160" s="3"/>
      <c r="F1160" s="3"/>
      <c r="G1160" s="3"/>
      <c r="H1160" s="3"/>
      <c r="I1160" s="3"/>
      <c r="J1160" s="19"/>
    </row>
    <row r="1161" spans="1:10" ht="15" customHeight="1" x14ac:dyDescent="0.25">
      <c r="A1161" s="3"/>
      <c r="B1161" s="3"/>
      <c r="C1161" s="18"/>
      <c r="D1161" s="15"/>
      <c r="E1161" s="3"/>
      <c r="F1161" s="3"/>
      <c r="G1161" s="3"/>
      <c r="H1161" s="3"/>
      <c r="I1161" s="3"/>
      <c r="J1161" s="19"/>
    </row>
    <row r="1162" spans="1:10" ht="15" customHeight="1" x14ac:dyDescent="0.25">
      <c r="A1162" s="3"/>
      <c r="B1162" s="3"/>
      <c r="C1162" s="18"/>
      <c r="D1162" s="15"/>
      <c r="E1162" s="3"/>
      <c r="F1162" s="3"/>
      <c r="G1162" s="3"/>
      <c r="H1162" s="3"/>
      <c r="I1162" s="3"/>
      <c r="J1162" s="19"/>
    </row>
    <row r="1163" spans="1:10" ht="15" customHeight="1" x14ac:dyDescent="0.25">
      <c r="A1163" s="3"/>
      <c r="B1163" s="3"/>
      <c r="C1163" s="18"/>
      <c r="D1163" s="15"/>
      <c r="E1163" s="3"/>
      <c r="F1163" s="3"/>
      <c r="G1163" s="3"/>
      <c r="H1163" s="3"/>
      <c r="I1163" s="3"/>
      <c r="J1163" s="19"/>
    </row>
    <row r="1164" spans="1:10" ht="15" customHeight="1" x14ac:dyDescent="0.25">
      <c r="A1164" s="3"/>
      <c r="B1164" s="3"/>
      <c r="C1164" s="18"/>
      <c r="D1164" s="15"/>
      <c r="E1164" s="3"/>
      <c r="F1164" s="3"/>
      <c r="G1164" s="3"/>
      <c r="H1164" s="3"/>
      <c r="I1164" s="3"/>
      <c r="J1164" s="19"/>
    </row>
    <row r="1165" spans="1:10" ht="15" customHeight="1" x14ac:dyDescent="0.25">
      <c r="A1165" s="3"/>
      <c r="B1165" s="3"/>
      <c r="C1165" s="18"/>
      <c r="D1165" s="15"/>
      <c r="E1165" s="3"/>
      <c r="F1165" s="3"/>
      <c r="G1165" s="3"/>
      <c r="H1165" s="3"/>
      <c r="I1165" s="3"/>
      <c r="J1165" s="19"/>
    </row>
    <row r="1166" spans="1:10" ht="15" customHeight="1" x14ac:dyDescent="0.25">
      <c r="A1166" s="3"/>
      <c r="B1166" s="3"/>
      <c r="C1166" s="18"/>
      <c r="D1166" s="15"/>
      <c r="E1166" s="3"/>
      <c r="F1166" s="3"/>
      <c r="G1166" s="3"/>
      <c r="H1166" s="3"/>
      <c r="I1166" s="3"/>
      <c r="J1166" s="19"/>
    </row>
    <row r="1167" spans="1:10" ht="15" customHeight="1" x14ac:dyDescent="0.25">
      <c r="A1167" s="3"/>
      <c r="B1167" s="3"/>
      <c r="C1167" s="18"/>
      <c r="D1167" s="15"/>
      <c r="E1167" s="3"/>
      <c r="F1167" s="3"/>
      <c r="G1167" s="3"/>
      <c r="H1167" s="3"/>
      <c r="I1167" s="3"/>
      <c r="J1167" s="19"/>
    </row>
    <row r="1168" spans="1:10" ht="15" customHeight="1" x14ac:dyDescent="0.25">
      <c r="A1168" s="3"/>
      <c r="B1168" s="3"/>
      <c r="C1168" s="18"/>
      <c r="D1168" s="15"/>
      <c r="E1168" s="3"/>
      <c r="F1168" s="3"/>
      <c r="G1168" s="3"/>
      <c r="H1168" s="3"/>
      <c r="I1168" s="3"/>
      <c r="J1168" s="19"/>
    </row>
    <row r="1169" spans="1:10" ht="15" customHeight="1" x14ac:dyDescent="0.25">
      <c r="A1169" s="3"/>
      <c r="B1169" s="3"/>
      <c r="C1169" s="18"/>
      <c r="D1169" s="15"/>
      <c r="E1169" s="3"/>
      <c r="F1169" s="3"/>
      <c r="G1169" s="3"/>
      <c r="H1169" s="3"/>
      <c r="I1169" s="3"/>
      <c r="J1169" s="19"/>
    </row>
    <row r="1170" spans="1:10" ht="15" customHeight="1" x14ac:dyDescent="0.25">
      <c r="A1170" s="3"/>
      <c r="B1170" s="3"/>
      <c r="C1170" s="18"/>
      <c r="D1170" s="15"/>
      <c r="E1170" s="3"/>
      <c r="F1170" s="3"/>
      <c r="G1170" s="3"/>
      <c r="H1170" s="3"/>
      <c r="I1170" s="3"/>
      <c r="J1170" s="19"/>
    </row>
    <row r="1171" spans="1:10" ht="15" customHeight="1" x14ac:dyDescent="0.25">
      <c r="A1171" s="3"/>
      <c r="B1171" s="3"/>
      <c r="C1171" s="18"/>
      <c r="D1171" s="15"/>
      <c r="E1171" s="3"/>
      <c r="F1171" s="3"/>
      <c r="G1171" s="3"/>
      <c r="H1171" s="3"/>
      <c r="I1171" s="3"/>
      <c r="J1171" s="19"/>
    </row>
    <row r="1172" spans="1:10" ht="15" customHeight="1" x14ac:dyDescent="0.25">
      <c r="A1172" s="3"/>
      <c r="B1172" s="3"/>
      <c r="C1172" s="18"/>
      <c r="D1172" s="15"/>
      <c r="E1172" s="3"/>
      <c r="F1172" s="3"/>
      <c r="G1172" s="3"/>
      <c r="H1172" s="3"/>
      <c r="I1172" s="3"/>
      <c r="J1172" s="19"/>
    </row>
    <row r="1173" spans="1:10" ht="15" customHeight="1" x14ac:dyDescent="0.25">
      <c r="A1173" s="3"/>
      <c r="B1173" s="3"/>
      <c r="C1173" s="18"/>
      <c r="D1173" s="15"/>
      <c r="E1173" s="3"/>
      <c r="F1173" s="3"/>
      <c r="G1173" s="3"/>
      <c r="H1173" s="3"/>
      <c r="I1173" s="3"/>
      <c r="J1173" s="19"/>
    </row>
    <row r="1174" spans="1:10" ht="15" customHeight="1" x14ac:dyDescent="0.25">
      <c r="A1174" s="3"/>
      <c r="B1174" s="3"/>
      <c r="C1174" s="18"/>
      <c r="D1174" s="15"/>
      <c r="E1174" s="3"/>
      <c r="F1174" s="3"/>
      <c r="G1174" s="3"/>
      <c r="H1174" s="3"/>
      <c r="I1174" s="3"/>
      <c r="J1174" s="19"/>
    </row>
    <row r="1175" spans="1:10" ht="15" customHeight="1" x14ac:dyDescent="0.25">
      <c r="A1175" s="3"/>
      <c r="B1175" s="3"/>
      <c r="C1175" s="18"/>
      <c r="D1175" s="15"/>
      <c r="E1175" s="3"/>
      <c r="F1175" s="3"/>
      <c r="G1175" s="3"/>
      <c r="H1175" s="3"/>
      <c r="I1175" s="3"/>
      <c r="J1175" s="19"/>
    </row>
    <row r="1176" spans="1:10" ht="15" customHeight="1" x14ac:dyDescent="0.25">
      <c r="A1176" s="3"/>
      <c r="B1176" s="3"/>
      <c r="C1176" s="18"/>
      <c r="D1176" s="15"/>
      <c r="E1176" s="3"/>
      <c r="F1176" s="3"/>
      <c r="G1176" s="3"/>
      <c r="H1176" s="3"/>
      <c r="I1176" s="3"/>
      <c r="J1176" s="19"/>
    </row>
    <row r="1177" spans="1:10" ht="15" customHeight="1" x14ac:dyDescent="0.25">
      <c r="A1177" s="3"/>
      <c r="B1177" s="3"/>
      <c r="C1177" s="18"/>
      <c r="D1177" s="15"/>
      <c r="E1177" s="3"/>
      <c r="F1177" s="3"/>
      <c r="G1177" s="3"/>
      <c r="H1177" s="3"/>
      <c r="I1177" s="3"/>
      <c r="J1177" s="19"/>
    </row>
    <row r="1178" spans="1:10" ht="15" customHeight="1" x14ac:dyDescent="0.25">
      <c r="A1178" s="3"/>
      <c r="B1178" s="3"/>
      <c r="C1178" s="18"/>
      <c r="D1178" s="15"/>
      <c r="E1178" s="3"/>
      <c r="F1178" s="3"/>
      <c r="G1178" s="3"/>
      <c r="H1178" s="3"/>
      <c r="I1178" s="3"/>
      <c r="J1178" s="19"/>
    </row>
    <row r="1179" spans="1:10" ht="15" customHeight="1" x14ac:dyDescent="0.25">
      <c r="A1179" s="3"/>
      <c r="B1179" s="3"/>
      <c r="C1179" s="18"/>
      <c r="D1179" s="15"/>
      <c r="E1179" s="3"/>
      <c r="F1179" s="3"/>
      <c r="G1179" s="3"/>
      <c r="H1179" s="3"/>
      <c r="I1179" s="3"/>
      <c r="J1179" s="19"/>
    </row>
    <row r="1180" spans="1:10" ht="15" customHeight="1" x14ac:dyDescent="0.25">
      <c r="A1180" s="3"/>
      <c r="B1180" s="3"/>
      <c r="C1180" s="18"/>
      <c r="D1180" s="15"/>
      <c r="E1180" s="3"/>
      <c r="F1180" s="3"/>
      <c r="G1180" s="3"/>
      <c r="H1180" s="3"/>
      <c r="I1180" s="3"/>
      <c r="J1180" s="19"/>
    </row>
    <row r="1181" spans="1:10" ht="15" customHeight="1" x14ac:dyDescent="0.25">
      <c r="A1181" s="3"/>
      <c r="B1181" s="3"/>
      <c r="C1181" s="18"/>
      <c r="D1181" s="15"/>
      <c r="E1181" s="3"/>
      <c r="F1181" s="3"/>
      <c r="G1181" s="3"/>
      <c r="H1181" s="3"/>
      <c r="I1181" s="3"/>
      <c r="J1181" s="19"/>
    </row>
    <row r="1182" spans="1:10" ht="15" customHeight="1" x14ac:dyDescent="0.25">
      <c r="A1182" s="3"/>
      <c r="B1182" s="3"/>
      <c r="C1182" s="18"/>
      <c r="D1182" s="15"/>
      <c r="E1182" s="3"/>
      <c r="F1182" s="3"/>
      <c r="G1182" s="3"/>
      <c r="H1182" s="3"/>
      <c r="I1182" s="3"/>
      <c r="J1182" s="19"/>
    </row>
    <row r="1183" spans="1:10" ht="15" customHeight="1" x14ac:dyDescent="0.25">
      <c r="A1183" s="3"/>
      <c r="B1183" s="3"/>
      <c r="C1183" s="18"/>
      <c r="D1183" s="15"/>
      <c r="E1183" s="3"/>
      <c r="F1183" s="3"/>
      <c r="G1183" s="3"/>
      <c r="H1183" s="3"/>
      <c r="I1183" s="3"/>
      <c r="J1183" s="19"/>
    </row>
    <row r="1184" spans="1:10" ht="15" customHeight="1" x14ac:dyDescent="0.25">
      <c r="A1184" s="3"/>
      <c r="B1184" s="3"/>
      <c r="C1184" s="18"/>
      <c r="D1184" s="15"/>
      <c r="E1184" s="3"/>
      <c r="F1184" s="3"/>
      <c r="G1184" s="3"/>
      <c r="H1184" s="3"/>
      <c r="I1184" s="3"/>
      <c r="J1184" s="19"/>
    </row>
    <row r="1185" spans="1:10" ht="15" customHeight="1" x14ac:dyDescent="0.25">
      <c r="A1185" s="3"/>
      <c r="B1185" s="3"/>
      <c r="C1185" s="18"/>
      <c r="D1185" s="15"/>
      <c r="E1185" s="3"/>
      <c r="F1185" s="3"/>
      <c r="G1185" s="3"/>
      <c r="H1185" s="3"/>
      <c r="I1185" s="3"/>
      <c r="J1185" s="19"/>
    </row>
    <row r="1186" spans="1:10" ht="15" customHeight="1" x14ac:dyDescent="0.25">
      <c r="A1186" s="3"/>
      <c r="B1186" s="3"/>
      <c r="C1186" s="18"/>
      <c r="D1186" s="15"/>
      <c r="E1186" s="3"/>
      <c r="F1186" s="3"/>
      <c r="G1186" s="3"/>
      <c r="H1186" s="3"/>
      <c r="I1186" s="3"/>
      <c r="J1186" s="19"/>
    </row>
    <row r="1187" spans="1:10" ht="15" customHeight="1" x14ac:dyDescent="0.25">
      <c r="A1187" s="3"/>
      <c r="B1187" s="3"/>
      <c r="C1187" s="18"/>
      <c r="D1187" s="15"/>
      <c r="E1187" s="3"/>
      <c r="F1187" s="3"/>
      <c r="G1187" s="3"/>
      <c r="H1187" s="3"/>
      <c r="I1187" s="3"/>
      <c r="J1187" s="19"/>
    </row>
    <row r="1188" spans="1:10" ht="15" customHeight="1" x14ac:dyDescent="0.25">
      <c r="A1188" s="3"/>
      <c r="B1188" s="3"/>
      <c r="C1188" s="18"/>
      <c r="D1188" s="15"/>
      <c r="E1188" s="3"/>
      <c r="F1188" s="3"/>
      <c r="G1188" s="3"/>
      <c r="H1188" s="3"/>
      <c r="I1188" s="3"/>
      <c r="J1188" s="19"/>
    </row>
    <row r="1189" spans="1:10" ht="15" customHeight="1" x14ac:dyDescent="0.25">
      <c r="A1189" s="3"/>
      <c r="B1189" s="3"/>
      <c r="C1189" s="18"/>
      <c r="D1189" s="15"/>
      <c r="E1189" s="3"/>
      <c r="F1189" s="3"/>
      <c r="G1189" s="3"/>
      <c r="H1189" s="3"/>
      <c r="I1189" s="3"/>
      <c r="J1189" s="19"/>
    </row>
    <row r="1190" spans="1:10" ht="15" customHeight="1" x14ac:dyDescent="0.25">
      <c r="A1190" s="3"/>
      <c r="B1190" s="3"/>
      <c r="C1190" s="18"/>
      <c r="D1190" s="15"/>
      <c r="E1190" s="3"/>
      <c r="F1190" s="3"/>
      <c r="G1190" s="3"/>
      <c r="H1190" s="3"/>
      <c r="I1190" s="3"/>
      <c r="J1190" s="19"/>
    </row>
    <row r="1191" spans="1:10" ht="15" customHeight="1" x14ac:dyDescent="0.25">
      <c r="A1191" s="3"/>
      <c r="B1191" s="3"/>
      <c r="C1191" s="18"/>
      <c r="D1191" s="15"/>
      <c r="E1191" s="3"/>
      <c r="F1191" s="3"/>
      <c r="G1191" s="3"/>
      <c r="H1191" s="3"/>
      <c r="I1191" s="3"/>
      <c r="J1191" s="19"/>
    </row>
    <row r="1192" spans="1:10" ht="15" customHeight="1" x14ac:dyDescent="0.25">
      <c r="A1192" s="3"/>
      <c r="B1192" s="3"/>
      <c r="C1192" s="18"/>
      <c r="D1192" s="15"/>
      <c r="E1192" s="3"/>
      <c r="F1192" s="3"/>
      <c r="G1192" s="3"/>
      <c r="H1192" s="3"/>
      <c r="I1192" s="3"/>
      <c r="J1192" s="19"/>
    </row>
    <row r="1193" spans="1:10" ht="15" customHeight="1" x14ac:dyDescent="0.25">
      <c r="A1193" s="3"/>
      <c r="B1193" s="3"/>
      <c r="C1193" s="18"/>
      <c r="D1193" s="15"/>
      <c r="E1193" s="3"/>
      <c r="F1193" s="3"/>
      <c r="G1193" s="3"/>
      <c r="H1193" s="3"/>
      <c r="I1193" s="3"/>
      <c r="J1193" s="19"/>
    </row>
    <row r="1194" spans="1:10" ht="15" customHeight="1" x14ac:dyDescent="0.25">
      <c r="A1194" s="3"/>
      <c r="B1194" s="3"/>
      <c r="C1194" s="18"/>
      <c r="D1194" s="15"/>
      <c r="E1194" s="3"/>
      <c r="F1194" s="3"/>
      <c r="G1194" s="3"/>
      <c r="H1194" s="3"/>
      <c r="I1194" s="3"/>
      <c r="J1194" s="19"/>
    </row>
    <row r="1195" spans="1:10" ht="15" customHeight="1" x14ac:dyDescent="0.25">
      <c r="A1195" s="3"/>
      <c r="B1195" s="3"/>
      <c r="C1195" s="18"/>
      <c r="D1195" s="15"/>
      <c r="E1195" s="3"/>
      <c r="F1195" s="3"/>
      <c r="G1195" s="3"/>
      <c r="H1195" s="3"/>
      <c r="I1195" s="3"/>
      <c r="J1195" s="19"/>
    </row>
    <row r="1196" spans="1:10" ht="15" customHeight="1" x14ac:dyDescent="0.25">
      <c r="A1196" s="3"/>
      <c r="B1196" s="3"/>
      <c r="C1196" s="18"/>
      <c r="D1196" s="15"/>
      <c r="E1196" s="3"/>
      <c r="F1196" s="3"/>
      <c r="G1196" s="3"/>
      <c r="H1196" s="3"/>
      <c r="I1196" s="3"/>
      <c r="J1196" s="19"/>
    </row>
    <row r="1197" spans="1:10" ht="15" customHeight="1" x14ac:dyDescent="0.25">
      <c r="A1197" s="3"/>
      <c r="B1197" s="3"/>
      <c r="C1197" s="18"/>
      <c r="D1197" s="15"/>
      <c r="E1197" s="3"/>
      <c r="F1197" s="3"/>
      <c r="G1197" s="3"/>
      <c r="H1197" s="3"/>
      <c r="I1197" s="3"/>
      <c r="J1197" s="19"/>
    </row>
    <row r="1198" spans="1:10" ht="15" customHeight="1" x14ac:dyDescent="0.25">
      <c r="A1198" s="3"/>
      <c r="B1198" s="3"/>
      <c r="C1198" s="18"/>
      <c r="D1198" s="15"/>
      <c r="E1198" s="3"/>
      <c r="F1198" s="3"/>
      <c r="G1198" s="3"/>
      <c r="H1198" s="3"/>
      <c r="I1198" s="3"/>
      <c r="J1198" s="19"/>
    </row>
    <row r="1199" spans="1:10" ht="15" customHeight="1" x14ac:dyDescent="0.25">
      <c r="A1199" s="3"/>
      <c r="B1199" s="3"/>
      <c r="C1199" s="18"/>
      <c r="D1199" s="15"/>
      <c r="E1199" s="3"/>
      <c r="F1199" s="3"/>
      <c r="G1199" s="3"/>
      <c r="H1199" s="3"/>
      <c r="I1199" s="3"/>
      <c r="J1199" s="19"/>
    </row>
    <row r="1200" spans="1:10" ht="15" customHeight="1" x14ac:dyDescent="0.25">
      <c r="A1200" s="3"/>
      <c r="B1200" s="3"/>
      <c r="C1200" s="18"/>
      <c r="D1200" s="15"/>
      <c r="E1200" s="3"/>
      <c r="F1200" s="3"/>
      <c r="G1200" s="3"/>
      <c r="H1200" s="3"/>
      <c r="I1200" s="3"/>
      <c r="J1200" s="19"/>
    </row>
    <row r="1201" spans="1:10" ht="15" customHeight="1" x14ac:dyDescent="0.25">
      <c r="A1201" s="3"/>
      <c r="B1201" s="3"/>
      <c r="C1201" s="18"/>
      <c r="D1201" s="15"/>
      <c r="E1201" s="3"/>
      <c r="F1201" s="3"/>
      <c r="G1201" s="3"/>
      <c r="H1201" s="3"/>
      <c r="I1201" s="3"/>
      <c r="J1201" s="19"/>
    </row>
    <row r="1202" spans="1:10" ht="15" customHeight="1" x14ac:dyDescent="0.25">
      <c r="A1202" s="3"/>
      <c r="B1202" s="3"/>
      <c r="C1202" s="18"/>
      <c r="D1202" s="15"/>
      <c r="E1202" s="3"/>
      <c r="F1202" s="3"/>
      <c r="G1202" s="3"/>
      <c r="H1202" s="3"/>
      <c r="I1202" s="3"/>
      <c r="J1202" s="19"/>
    </row>
    <row r="1203" spans="1:10" ht="15" customHeight="1" x14ac:dyDescent="0.25">
      <c r="A1203" s="3"/>
      <c r="B1203" s="3"/>
      <c r="C1203" s="18"/>
      <c r="D1203" s="15"/>
      <c r="E1203" s="3"/>
      <c r="F1203" s="3"/>
      <c r="G1203" s="3"/>
      <c r="H1203" s="3"/>
      <c r="I1203" s="3"/>
      <c r="J1203" s="19"/>
    </row>
    <row r="1204" spans="1:10" ht="15" customHeight="1" x14ac:dyDescent="0.25">
      <c r="A1204" s="3"/>
      <c r="B1204" s="3"/>
      <c r="C1204" s="18"/>
      <c r="D1204" s="15"/>
      <c r="E1204" s="3"/>
      <c r="F1204" s="3"/>
      <c r="G1204" s="3"/>
      <c r="H1204" s="3"/>
      <c r="I1204" s="3"/>
      <c r="J1204" s="19"/>
    </row>
    <row r="1205" spans="1:10" ht="15" customHeight="1" x14ac:dyDescent="0.25">
      <c r="A1205" s="3"/>
      <c r="B1205" s="3"/>
      <c r="C1205" s="18"/>
      <c r="D1205" s="15"/>
      <c r="E1205" s="3"/>
      <c r="F1205" s="3"/>
      <c r="G1205" s="3"/>
      <c r="H1205" s="3"/>
      <c r="I1205" s="3"/>
      <c r="J1205" s="19"/>
    </row>
    <row r="1206" spans="1:10" ht="15" customHeight="1" x14ac:dyDescent="0.25">
      <c r="A1206" s="3"/>
      <c r="B1206" s="3"/>
      <c r="C1206" s="18"/>
      <c r="D1206" s="15"/>
      <c r="E1206" s="3"/>
      <c r="F1206" s="3"/>
      <c r="G1206" s="3"/>
      <c r="H1206" s="3"/>
      <c r="I1206" s="3"/>
      <c r="J1206" s="19"/>
    </row>
    <row r="1207" spans="1:10" ht="15" customHeight="1" x14ac:dyDescent="0.25">
      <c r="A1207" s="3"/>
      <c r="B1207" s="3"/>
      <c r="C1207" s="18"/>
      <c r="D1207" s="15"/>
      <c r="E1207" s="3"/>
      <c r="F1207" s="3"/>
      <c r="G1207" s="3"/>
      <c r="H1207" s="3"/>
      <c r="I1207" s="3"/>
      <c r="J1207" s="19"/>
    </row>
    <row r="1208" spans="1:10" ht="15" customHeight="1" x14ac:dyDescent="0.25">
      <c r="A1208" s="3"/>
      <c r="B1208" s="3"/>
      <c r="C1208" s="18"/>
      <c r="D1208" s="15"/>
      <c r="E1208" s="3"/>
      <c r="F1208" s="3"/>
      <c r="G1208" s="3"/>
      <c r="H1208" s="3"/>
      <c r="I1208" s="3"/>
      <c r="J1208" s="19"/>
    </row>
    <row r="1209" spans="1:10" ht="15" customHeight="1" x14ac:dyDescent="0.25">
      <c r="A1209" s="3"/>
      <c r="B1209" s="3"/>
      <c r="C1209" s="18"/>
      <c r="D1209" s="15"/>
      <c r="E1209" s="3"/>
      <c r="F1209" s="3"/>
      <c r="G1209" s="3"/>
      <c r="H1209" s="3"/>
      <c r="I1209" s="3"/>
      <c r="J1209" s="19"/>
    </row>
    <row r="1210" spans="1:10" ht="15" customHeight="1" x14ac:dyDescent="0.25">
      <c r="A1210" s="3"/>
      <c r="B1210" s="3"/>
      <c r="C1210" s="18"/>
      <c r="D1210" s="15"/>
      <c r="E1210" s="3"/>
      <c r="F1210" s="3"/>
      <c r="G1210" s="3"/>
      <c r="H1210" s="3"/>
      <c r="I1210" s="3"/>
      <c r="J1210" s="19"/>
    </row>
    <row r="1211" spans="1:10" ht="15" customHeight="1" x14ac:dyDescent="0.25">
      <c r="A1211" s="3"/>
      <c r="B1211" s="3"/>
      <c r="C1211" s="18"/>
      <c r="D1211" s="15"/>
      <c r="E1211" s="3"/>
      <c r="F1211" s="3"/>
      <c r="G1211" s="3"/>
      <c r="H1211" s="3"/>
      <c r="I1211" s="3"/>
      <c r="J1211" s="19"/>
    </row>
    <row r="1212" spans="1:10" ht="15" customHeight="1" x14ac:dyDescent="0.25">
      <c r="A1212" s="3"/>
      <c r="B1212" s="3"/>
      <c r="C1212" s="18"/>
      <c r="D1212" s="15"/>
      <c r="E1212" s="3"/>
      <c r="F1212" s="3"/>
      <c r="G1212" s="3"/>
      <c r="H1212" s="3"/>
      <c r="I1212" s="3"/>
      <c r="J1212" s="19"/>
    </row>
    <row r="1213" spans="1:10" ht="15" customHeight="1" x14ac:dyDescent="0.25">
      <c r="A1213" s="3"/>
      <c r="B1213" s="3"/>
      <c r="C1213" s="18"/>
      <c r="D1213" s="15"/>
      <c r="E1213" s="3"/>
      <c r="F1213" s="3"/>
      <c r="G1213" s="3"/>
      <c r="H1213" s="3"/>
      <c r="I1213" s="3"/>
      <c r="J1213" s="19"/>
    </row>
    <row r="1214" spans="1:10" ht="15" customHeight="1" x14ac:dyDescent="0.25">
      <c r="A1214" s="3"/>
      <c r="B1214" s="3"/>
      <c r="C1214" s="18"/>
      <c r="D1214" s="15"/>
      <c r="E1214" s="3"/>
      <c r="F1214" s="3"/>
      <c r="G1214" s="3"/>
      <c r="H1214" s="3"/>
      <c r="I1214" s="3"/>
      <c r="J1214" s="19"/>
    </row>
    <row r="1215" spans="1:10" ht="15" customHeight="1" x14ac:dyDescent="0.25">
      <c r="A1215" s="3"/>
      <c r="B1215" s="3"/>
      <c r="C1215" s="18"/>
      <c r="D1215" s="15"/>
      <c r="E1215" s="3"/>
      <c r="F1215" s="3"/>
      <c r="G1215" s="3"/>
      <c r="H1215" s="3"/>
      <c r="I1215" s="3"/>
      <c r="J1215" s="19"/>
    </row>
    <row r="1216" spans="1:10" ht="15" customHeight="1" x14ac:dyDescent="0.25">
      <c r="A1216" s="3"/>
      <c r="B1216" s="3"/>
      <c r="C1216" s="18"/>
      <c r="D1216" s="15"/>
      <c r="E1216" s="3"/>
      <c r="F1216" s="3"/>
      <c r="G1216" s="3"/>
      <c r="H1216" s="3"/>
      <c r="I1216" s="3"/>
      <c r="J1216" s="19"/>
    </row>
    <row r="1217" spans="1:10" ht="15" customHeight="1" x14ac:dyDescent="0.25">
      <c r="A1217" s="3"/>
      <c r="B1217" s="3"/>
      <c r="C1217" s="18"/>
      <c r="D1217" s="15"/>
      <c r="E1217" s="3"/>
      <c r="F1217" s="3"/>
      <c r="G1217" s="3"/>
      <c r="H1217" s="3"/>
      <c r="I1217" s="3"/>
      <c r="J1217" s="19"/>
    </row>
    <row r="1218" spans="1:10" ht="15" customHeight="1" x14ac:dyDescent="0.25">
      <c r="A1218" s="3"/>
      <c r="B1218" s="3"/>
      <c r="C1218" s="18"/>
      <c r="D1218" s="15"/>
      <c r="E1218" s="3"/>
      <c r="F1218" s="3"/>
      <c r="G1218" s="3"/>
      <c r="H1218" s="3"/>
      <c r="I1218" s="3"/>
      <c r="J1218" s="19"/>
    </row>
    <row r="1219" spans="1:10" ht="15" customHeight="1" x14ac:dyDescent="0.25">
      <c r="A1219" s="3"/>
      <c r="B1219" s="3"/>
      <c r="C1219" s="18"/>
      <c r="D1219" s="15"/>
      <c r="E1219" s="3"/>
      <c r="F1219" s="3"/>
      <c r="G1219" s="3"/>
      <c r="H1219" s="3"/>
      <c r="I1219" s="3"/>
      <c r="J1219" s="19"/>
    </row>
    <row r="1220" spans="1:10" ht="15" customHeight="1" x14ac:dyDescent="0.25">
      <c r="A1220" s="3"/>
      <c r="B1220" s="3"/>
      <c r="C1220" s="18"/>
      <c r="D1220" s="15"/>
      <c r="E1220" s="3"/>
      <c r="F1220" s="3"/>
      <c r="G1220" s="3"/>
      <c r="H1220" s="3"/>
      <c r="I1220" s="3"/>
      <c r="J1220" s="19"/>
    </row>
    <row r="1221" spans="1:10" ht="15" customHeight="1" x14ac:dyDescent="0.25">
      <c r="A1221" s="3"/>
      <c r="B1221" s="3"/>
      <c r="C1221" s="18"/>
      <c r="D1221" s="15"/>
      <c r="E1221" s="3"/>
      <c r="F1221" s="3"/>
      <c r="G1221" s="3"/>
      <c r="H1221" s="3"/>
      <c r="I1221" s="3"/>
      <c r="J1221" s="19"/>
    </row>
    <row r="1222" spans="1:10" ht="15" customHeight="1" x14ac:dyDescent="0.25">
      <c r="A1222" s="3"/>
      <c r="B1222" s="3"/>
      <c r="C1222" s="18"/>
      <c r="D1222" s="15"/>
      <c r="E1222" s="3"/>
      <c r="F1222" s="3"/>
      <c r="G1222" s="3"/>
      <c r="H1222" s="3"/>
      <c r="I1222" s="3"/>
      <c r="J1222" s="19"/>
    </row>
    <row r="1223" spans="1:10" ht="15" customHeight="1" x14ac:dyDescent="0.25">
      <c r="A1223" s="3"/>
      <c r="B1223" s="3"/>
      <c r="C1223" s="18"/>
      <c r="D1223" s="15"/>
      <c r="E1223" s="3"/>
      <c r="F1223" s="3"/>
      <c r="G1223" s="3"/>
      <c r="H1223" s="3"/>
      <c r="I1223" s="3"/>
      <c r="J1223" s="19"/>
    </row>
    <row r="1224" spans="1:10" ht="15" customHeight="1" x14ac:dyDescent="0.25">
      <c r="A1224" s="3"/>
      <c r="B1224" s="3"/>
      <c r="C1224" s="18"/>
      <c r="D1224" s="15"/>
      <c r="E1224" s="3"/>
      <c r="F1224" s="3"/>
      <c r="G1224" s="3"/>
      <c r="H1224" s="3"/>
      <c r="I1224" s="3"/>
      <c r="J1224" s="19"/>
    </row>
    <row r="1225" spans="1:10" ht="15" customHeight="1" x14ac:dyDescent="0.25">
      <c r="A1225" s="3"/>
      <c r="B1225" s="3"/>
      <c r="C1225" s="18"/>
      <c r="D1225" s="15"/>
      <c r="E1225" s="3"/>
      <c r="F1225" s="3"/>
      <c r="G1225" s="3"/>
      <c r="H1225" s="3"/>
      <c r="I1225" s="3"/>
      <c r="J1225" s="19"/>
    </row>
    <row r="1226" spans="1:10" ht="15" customHeight="1" x14ac:dyDescent="0.25">
      <c r="A1226" s="3"/>
      <c r="B1226" s="3"/>
      <c r="C1226" s="18"/>
      <c r="D1226" s="15"/>
      <c r="E1226" s="3"/>
      <c r="F1226" s="3"/>
      <c r="G1226" s="3"/>
      <c r="H1226" s="3"/>
      <c r="I1226" s="3"/>
      <c r="J1226" s="19"/>
    </row>
    <row r="1227" spans="1:10" ht="15" customHeight="1" x14ac:dyDescent="0.25">
      <c r="A1227" s="3"/>
      <c r="B1227" s="3"/>
      <c r="C1227" s="18"/>
      <c r="D1227" s="15"/>
      <c r="E1227" s="3"/>
      <c r="F1227" s="3"/>
      <c r="G1227" s="3"/>
      <c r="H1227" s="3"/>
      <c r="I1227" s="3"/>
      <c r="J1227" s="19"/>
    </row>
    <row r="1228" spans="1:10" ht="15" customHeight="1" x14ac:dyDescent="0.25">
      <c r="A1228" s="3"/>
      <c r="B1228" s="3"/>
      <c r="C1228" s="18"/>
      <c r="D1228" s="15"/>
      <c r="E1228" s="3"/>
      <c r="F1228" s="3"/>
      <c r="G1228" s="3"/>
      <c r="H1228" s="3"/>
      <c r="I1228" s="3"/>
      <c r="J1228" s="19"/>
    </row>
    <row r="1229" spans="1:10" ht="15" customHeight="1" x14ac:dyDescent="0.25">
      <c r="A1229" s="3"/>
      <c r="B1229" s="3"/>
      <c r="C1229" s="18"/>
      <c r="D1229" s="15"/>
      <c r="E1229" s="3"/>
      <c r="F1229" s="3"/>
      <c r="G1229" s="3"/>
      <c r="H1229" s="3"/>
      <c r="I1229" s="3"/>
      <c r="J1229" s="19"/>
    </row>
    <row r="1230" spans="1:10" ht="15" customHeight="1" x14ac:dyDescent="0.25">
      <c r="A1230" s="3"/>
      <c r="B1230" s="3"/>
      <c r="C1230" s="18"/>
      <c r="D1230" s="15"/>
      <c r="E1230" s="3"/>
      <c r="F1230" s="3"/>
      <c r="G1230" s="3"/>
      <c r="H1230" s="3"/>
      <c r="I1230" s="3"/>
      <c r="J1230" s="19"/>
    </row>
    <row r="1231" spans="1:10" ht="15" customHeight="1" x14ac:dyDescent="0.25">
      <c r="A1231" s="3"/>
      <c r="B1231" s="3"/>
      <c r="C1231" s="18"/>
      <c r="D1231" s="15"/>
      <c r="E1231" s="3"/>
      <c r="F1231" s="3"/>
      <c r="G1231" s="3"/>
      <c r="H1231" s="3"/>
      <c r="I1231" s="3"/>
      <c r="J1231" s="19"/>
    </row>
    <row r="1232" spans="1:10" ht="15" customHeight="1" x14ac:dyDescent="0.25">
      <c r="A1232" s="3"/>
      <c r="B1232" s="3"/>
      <c r="C1232" s="18"/>
      <c r="D1232" s="15"/>
      <c r="E1232" s="3"/>
      <c r="F1232" s="3"/>
      <c r="G1232" s="3"/>
      <c r="H1232" s="3"/>
      <c r="I1232" s="3"/>
      <c r="J1232" s="19"/>
    </row>
    <row r="1233" spans="1:10" ht="15" customHeight="1" x14ac:dyDescent="0.25">
      <c r="A1233" s="3"/>
      <c r="B1233" s="3"/>
      <c r="C1233" s="18"/>
      <c r="D1233" s="15"/>
      <c r="E1233" s="3"/>
      <c r="F1233" s="3"/>
      <c r="G1233" s="3"/>
      <c r="H1233" s="3"/>
      <c r="I1233" s="3"/>
      <c r="J1233" s="19"/>
    </row>
    <row r="1234" spans="1:10" ht="15" customHeight="1" x14ac:dyDescent="0.25">
      <c r="A1234" s="3"/>
      <c r="B1234" s="3"/>
      <c r="C1234" s="18"/>
      <c r="D1234" s="15"/>
      <c r="E1234" s="3"/>
      <c r="F1234" s="3"/>
      <c r="G1234" s="3"/>
      <c r="H1234" s="3"/>
      <c r="I1234" s="3"/>
      <c r="J1234" s="19"/>
    </row>
    <row r="1235" spans="1:10" ht="15" customHeight="1" x14ac:dyDescent="0.25">
      <c r="A1235" s="3"/>
      <c r="B1235" s="3"/>
      <c r="C1235" s="18"/>
      <c r="D1235" s="15"/>
      <c r="E1235" s="3"/>
      <c r="F1235" s="3"/>
      <c r="G1235" s="3"/>
      <c r="H1235" s="3"/>
      <c r="I1235" s="3"/>
      <c r="J1235" s="19"/>
    </row>
    <row r="1236" spans="1:10" ht="15" customHeight="1" x14ac:dyDescent="0.25">
      <c r="A1236" s="3"/>
      <c r="B1236" s="3"/>
      <c r="C1236" s="18"/>
      <c r="D1236" s="15"/>
      <c r="E1236" s="3"/>
      <c r="F1236" s="3"/>
      <c r="G1236" s="3"/>
      <c r="H1236" s="3"/>
      <c r="I1236" s="3"/>
      <c r="J1236" s="19"/>
    </row>
    <row r="1237" spans="1:10" ht="15" customHeight="1" x14ac:dyDescent="0.25">
      <c r="A1237" s="3"/>
      <c r="B1237" s="3"/>
      <c r="C1237" s="18"/>
      <c r="D1237" s="15"/>
      <c r="E1237" s="3"/>
      <c r="F1237" s="3"/>
      <c r="G1237" s="3"/>
      <c r="H1237" s="3"/>
      <c r="I1237" s="3"/>
      <c r="J1237" s="19"/>
    </row>
    <row r="1238" spans="1:10" ht="15" customHeight="1" x14ac:dyDescent="0.25">
      <c r="A1238" s="3"/>
      <c r="B1238" s="3"/>
      <c r="C1238" s="18"/>
      <c r="D1238" s="15"/>
      <c r="E1238" s="3"/>
      <c r="F1238" s="3"/>
      <c r="G1238" s="3"/>
      <c r="H1238" s="3"/>
      <c r="I1238" s="3"/>
      <c r="J1238" s="19"/>
    </row>
    <row r="1239" spans="1:10" ht="15" customHeight="1" x14ac:dyDescent="0.25">
      <c r="A1239" s="3"/>
      <c r="B1239" s="3"/>
      <c r="C1239" s="18"/>
      <c r="D1239" s="15"/>
      <c r="E1239" s="3"/>
      <c r="F1239" s="3"/>
      <c r="G1239" s="3"/>
      <c r="H1239" s="3"/>
      <c r="I1239" s="3"/>
      <c r="J1239" s="19"/>
    </row>
    <row r="1240" spans="1:10" ht="15" customHeight="1" x14ac:dyDescent="0.25">
      <c r="A1240" s="3"/>
      <c r="B1240" s="3"/>
      <c r="C1240" s="18"/>
      <c r="D1240" s="15"/>
      <c r="E1240" s="3"/>
      <c r="F1240" s="3"/>
      <c r="G1240" s="3"/>
      <c r="H1240" s="3"/>
      <c r="I1240" s="3"/>
      <c r="J1240" s="19"/>
    </row>
    <row r="1241" spans="1:10" ht="15" customHeight="1" x14ac:dyDescent="0.25">
      <c r="A1241" s="3"/>
      <c r="B1241" s="3"/>
      <c r="C1241" s="18"/>
      <c r="D1241" s="15"/>
      <c r="E1241" s="3"/>
      <c r="F1241" s="3"/>
      <c r="G1241" s="3"/>
      <c r="H1241" s="3"/>
      <c r="I1241" s="3"/>
      <c r="J1241" s="19"/>
    </row>
    <row r="1242" spans="1:10" ht="15" customHeight="1" x14ac:dyDescent="0.25">
      <c r="A1242" s="3"/>
      <c r="B1242" s="3"/>
      <c r="C1242" s="18"/>
      <c r="D1242" s="15"/>
      <c r="E1242" s="3"/>
      <c r="F1242" s="3"/>
      <c r="G1242" s="3"/>
      <c r="H1242" s="3"/>
      <c r="I1242" s="3"/>
      <c r="J1242" s="19"/>
    </row>
    <row r="1243" spans="1:10" ht="15" customHeight="1" x14ac:dyDescent="0.25">
      <c r="A1243" s="3"/>
      <c r="B1243" s="3"/>
      <c r="C1243" s="18"/>
      <c r="D1243" s="15"/>
      <c r="E1243" s="3"/>
      <c r="F1243" s="3"/>
      <c r="G1243" s="3"/>
      <c r="H1243" s="3"/>
      <c r="I1243" s="3"/>
      <c r="J1243" s="19"/>
    </row>
    <row r="1244" spans="1:10" ht="15" customHeight="1" x14ac:dyDescent="0.25">
      <c r="A1244" s="3"/>
      <c r="B1244" s="3"/>
      <c r="C1244" s="18"/>
      <c r="D1244" s="15"/>
      <c r="E1244" s="3"/>
      <c r="F1244" s="3"/>
      <c r="G1244" s="3"/>
      <c r="H1244" s="3"/>
      <c r="I1244" s="3"/>
      <c r="J1244" s="19"/>
    </row>
    <row r="1245" spans="1:10" ht="15" customHeight="1" x14ac:dyDescent="0.25">
      <c r="A1245" s="3"/>
      <c r="B1245" s="3"/>
      <c r="C1245" s="18"/>
      <c r="D1245" s="15"/>
      <c r="E1245" s="3"/>
      <c r="F1245" s="3"/>
      <c r="G1245" s="3"/>
      <c r="H1245" s="3"/>
      <c r="I1245" s="3"/>
      <c r="J1245" s="19"/>
    </row>
    <row r="1246" spans="1:10" ht="15" customHeight="1" x14ac:dyDescent="0.25">
      <c r="A1246" s="3"/>
      <c r="B1246" s="3"/>
      <c r="C1246" s="18"/>
      <c r="D1246" s="15"/>
      <c r="E1246" s="3"/>
      <c r="F1246" s="3"/>
      <c r="G1246" s="3"/>
      <c r="H1246" s="3"/>
      <c r="I1246" s="3"/>
      <c r="J1246" s="19"/>
    </row>
    <row r="1247" spans="1:10" ht="15" customHeight="1" x14ac:dyDescent="0.25">
      <c r="A1247" s="3"/>
      <c r="B1247" s="3"/>
      <c r="C1247" s="18"/>
      <c r="D1247" s="15"/>
      <c r="E1247" s="3"/>
      <c r="F1247" s="3"/>
      <c r="G1247" s="3"/>
      <c r="H1247" s="3"/>
      <c r="I1247" s="3"/>
      <c r="J1247" s="19"/>
    </row>
    <row r="1248" spans="1:10" ht="15" customHeight="1" x14ac:dyDescent="0.25">
      <c r="A1248" s="3"/>
      <c r="B1248" s="3"/>
      <c r="C1248" s="18"/>
      <c r="D1248" s="15"/>
      <c r="E1248" s="3"/>
      <c r="F1248" s="3"/>
      <c r="G1248" s="3"/>
      <c r="H1248" s="3"/>
      <c r="I1248" s="3"/>
      <c r="J1248" s="19"/>
    </row>
    <row r="1249" spans="1:10" ht="15" customHeight="1" x14ac:dyDescent="0.25">
      <c r="A1249" s="3"/>
      <c r="B1249" s="3"/>
      <c r="C1249" s="18"/>
      <c r="D1249" s="15"/>
      <c r="E1249" s="3"/>
      <c r="F1249" s="3"/>
      <c r="G1249" s="3"/>
      <c r="H1249" s="3"/>
      <c r="I1249" s="3"/>
      <c r="J1249" s="19"/>
    </row>
    <row r="1250" spans="1:10" ht="15" customHeight="1" x14ac:dyDescent="0.25">
      <c r="A1250" s="3"/>
      <c r="B1250" s="3"/>
      <c r="C1250" s="18"/>
      <c r="D1250" s="15"/>
      <c r="E1250" s="3"/>
      <c r="F1250" s="3"/>
      <c r="G1250" s="3"/>
      <c r="H1250" s="3"/>
      <c r="I1250" s="3"/>
      <c r="J1250" s="19"/>
    </row>
    <row r="1251" spans="1:10" ht="15" customHeight="1" x14ac:dyDescent="0.25">
      <c r="A1251" s="3"/>
      <c r="B1251" s="3"/>
      <c r="C1251" s="18"/>
      <c r="D1251" s="15"/>
      <c r="E1251" s="3"/>
      <c r="F1251" s="3"/>
      <c r="G1251" s="3"/>
      <c r="H1251" s="3"/>
      <c r="I1251" s="3"/>
      <c r="J1251" s="19"/>
    </row>
    <row r="1252" spans="1:10" ht="15" customHeight="1" x14ac:dyDescent="0.25">
      <c r="A1252" s="3"/>
      <c r="B1252" s="3"/>
      <c r="C1252" s="18"/>
      <c r="D1252" s="15"/>
      <c r="E1252" s="3"/>
      <c r="F1252" s="3"/>
      <c r="G1252" s="3"/>
      <c r="H1252" s="3"/>
      <c r="I1252" s="3"/>
      <c r="J1252" s="19"/>
    </row>
    <row r="1253" spans="1:10" ht="15" customHeight="1" x14ac:dyDescent="0.25">
      <c r="A1253" s="3"/>
      <c r="B1253" s="3"/>
      <c r="C1253" s="18"/>
      <c r="D1253" s="15"/>
      <c r="E1253" s="3"/>
      <c r="F1253" s="3"/>
      <c r="G1253" s="3"/>
      <c r="H1253" s="3"/>
      <c r="I1253" s="3"/>
      <c r="J1253" s="19"/>
    </row>
    <row r="1254" spans="1:10" ht="15" customHeight="1" x14ac:dyDescent="0.25">
      <c r="A1254" s="3"/>
      <c r="B1254" s="3"/>
      <c r="C1254" s="18"/>
      <c r="D1254" s="15"/>
      <c r="E1254" s="3"/>
      <c r="F1254" s="3"/>
      <c r="G1254" s="3"/>
      <c r="H1254" s="3"/>
      <c r="I1254" s="3"/>
      <c r="J1254" s="19"/>
    </row>
    <row r="1255" spans="1:10" ht="15" customHeight="1" x14ac:dyDescent="0.25">
      <c r="A1255" s="3"/>
      <c r="B1255" s="3"/>
      <c r="C1255" s="18"/>
      <c r="D1255" s="15"/>
      <c r="E1255" s="3"/>
      <c r="F1255" s="3"/>
      <c r="G1255" s="3"/>
      <c r="H1255" s="3"/>
      <c r="I1255" s="3"/>
      <c r="J1255" s="19"/>
    </row>
    <row r="1256" spans="1:10" ht="15" customHeight="1" x14ac:dyDescent="0.25">
      <c r="A1256" s="3"/>
      <c r="B1256" s="3"/>
      <c r="C1256" s="18"/>
      <c r="D1256" s="15"/>
      <c r="E1256" s="3"/>
      <c r="F1256" s="3"/>
      <c r="G1256" s="3"/>
      <c r="H1256" s="3"/>
      <c r="I1256" s="3"/>
      <c r="J1256" s="19"/>
    </row>
    <row r="1257" spans="1:10" ht="15" customHeight="1" x14ac:dyDescent="0.25">
      <c r="A1257" s="3"/>
      <c r="B1257" s="3"/>
      <c r="C1257" s="18"/>
      <c r="D1257" s="15"/>
      <c r="E1257" s="3"/>
      <c r="F1257" s="3"/>
      <c r="G1257" s="3"/>
      <c r="H1257" s="3"/>
      <c r="I1257" s="3"/>
      <c r="J1257" s="19"/>
    </row>
    <row r="1258" spans="1:10" ht="15" customHeight="1" x14ac:dyDescent="0.25">
      <c r="A1258" s="3"/>
      <c r="B1258" s="3"/>
      <c r="C1258" s="18"/>
      <c r="D1258" s="15"/>
      <c r="E1258" s="3"/>
      <c r="F1258" s="3"/>
      <c r="G1258" s="3"/>
      <c r="H1258" s="3"/>
      <c r="I1258" s="3"/>
      <c r="J1258" s="19"/>
    </row>
    <row r="1259" spans="1:10" ht="15" customHeight="1" x14ac:dyDescent="0.25">
      <c r="A1259" s="3"/>
      <c r="B1259" s="3"/>
      <c r="C1259" s="18"/>
      <c r="D1259" s="15"/>
      <c r="E1259" s="3"/>
      <c r="F1259" s="3"/>
      <c r="G1259" s="3"/>
      <c r="H1259" s="3"/>
      <c r="I1259" s="3"/>
      <c r="J1259" s="19"/>
    </row>
    <row r="1260" spans="1:10" ht="15" customHeight="1" x14ac:dyDescent="0.25">
      <c r="A1260" s="3"/>
      <c r="B1260" s="3"/>
      <c r="C1260" s="18"/>
      <c r="D1260" s="15"/>
      <c r="E1260" s="3"/>
      <c r="F1260" s="3"/>
      <c r="G1260" s="3"/>
      <c r="H1260" s="3"/>
      <c r="I1260" s="3"/>
      <c r="J1260" s="19"/>
    </row>
    <row r="1261" spans="1:10" ht="15" customHeight="1" x14ac:dyDescent="0.25">
      <c r="A1261" s="3"/>
      <c r="B1261" s="3"/>
      <c r="C1261" s="18"/>
      <c r="D1261" s="15"/>
      <c r="E1261" s="3"/>
      <c r="F1261" s="3"/>
      <c r="G1261" s="3"/>
      <c r="H1261" s="3"/>
      <c r="I1261" s="3"/>
      <c r="J1261" s="19"/>
    </row>
    <row r="1262" spans="1:10" ht="15" customHeight="1" x14ac:dyDescent="0.25">
      <c r="A1262" s="3"/>
      <c r="B1262" s="3"/>
      <c r="C1262" s="18"/>
      <c r="D1262" s="15"/>
      <c r="E1262" s="3"/>
      <c r="F1262" s="3"/>
      <c r="G1262" s="3"/>
      <c r="H1262" s="3"/>
      <c r="I1262" s="3"/>
      <c r="J1262" s="19"/>
    </row>
    <row r="1263" spans="1:10" ht="15" customHeight="1" x14ac:dyDescent="0.25">
      <c r="A1263" s="3"/>
      <c r="B1263" s="3"/>
      <c r="C1263" s="18"/>
      <c r="D1263" s="15"/>
      <c r="E1263" s="3"/>
      <c r="F1263" s="3"/>
      <c r="G1263" s="3"/>
      <c r="H1263" s="3"/>
      <c r="I1263" s="3"/>
      <c r="J1263" s="19"/>
    </row>
    <row r="1264" spans="1:10" ht="15" customHeight="1" x14ac:dyDescent="0.25">
      <c r="A1264" s="3"/>
      <c r="B1264" s="3"/>
      <c r="C1264" s="18"/>
      <c r="D1264" s="15"/>
      <c r="E1264" s="3"/>
      <c r="F1264" s="3"/>
      <c r="G1264" s="3"/>
      <c r="H1264" s="3"/>
      <c r="I1264" s="3"/>
      <c r="J1264" s="19"/>
    </row>
    <row r="1265" spans="1:10" ht="15" customHeight="1" x14ac:dyDescent="0.25">
      <c r="A1265" s="3"/>
      <c r="B1265" s="3"/>
      <c r="C1265" s="18"/>
      <c r="D1265" s="15"/>
      <c r="E1265" s="3"/>
      <c r="F1265" s="3"/>
      <c r="G1265" s="3"/>
      <c r="H1265" s="3"/>
      <c r="I1265" s="3"/>
      <c r="J1265" s="19"/>
    </row>
    <row r="1266" spans="1:10" ht="15" customHeight="1" x14ac:dyDescent="0.25">
      <c r="A1266" s="3"/>
      <c r="B1266" s="3"/>
      <c r="C1266" s="18"/>
      <c r="D1266" s="15"/>
      <c r="E1266" s="3"/>
      <c r="F1266" s="3"/>
      <c r="G1266" s="3"/>
      <c r="H1266" s="3"/>
      <c r="I1266" s="3"/>
      <c r="J1266" s="19"/>
    </row>
    <row r="1267" spans="1:10" ht="15" customHeight="1" x14ac:dyDescent="0.25">
      <c r="A1267" s="3"/>
      <c r="B1267" s="3"/>
      <c r="C1267" s="18"/>
      <c r="D1267" s="15"/>
      <c r="E1267" s="3"/>
      <c r="F1267" s="3"/>
      <c r="G1267" s="3"/>
      <c r="H1267" s="3"/>
      <c r="I1267" s="3"/>
      <c r="J1267" s="19"/>
    </row>
    <row r="1268" spans="1:10" ht="15" customHeight="1" x14ac:dyDescent="0.25">
      <c r="A1268" s="3"/>
      <c r="B1268" s="3"/>
      <c r="C1268" s="18"/>
      <c r="D1268" s="15"/>
      <c r="E1268" s="3"/>
      <c r="F1268" s="3"/>
      <c r="G1268" s="3"/>
      <c r="H1268" s="3"/>
      <c r="I1268" s="3"/>
      <c r="J1268" s="19"/>
    </row>
    <row r="1269" spans="1:10" ht="15" customHeight="1" x14ac:dyDescent="0.25">
      <c r="A1269" s="3"/>
      <c r="B1269" s="3"/>
      <c r="C1269" s="18"/>
      <c r="D1269" s="15"/>
      <c r="E1269" s="3"/>
      <c r="F1269" s="3"/>
      <c r="G1269" s="3"/>
      <c r="H1269" s="3"/>
      <c r="I1269" s="3"/>
      <c r="J1269" s="19"/>
    </row>
    <row r="1270" spans="1:10" ht="15" customHeight="1" x14ac:dyDescent="0.25">
      <c r="A1270" s="3"/>
      <c r="B1270" s="3"/>
      <c r="C1270" s="18"/>
      <c r="D1270" s="15"/>
      <c r="E1270" s="3"/>
      <c r="F1270" s="3"/>
      <c r="G1270" s="3"/>
      <c r="H1270" s="3"/>
      <c r="I1270" s="3"/>
      <c r="J1270" s="19"/>
    </row>
    <row r="1271" spans="1:10" ht="15" customHeight="1" x14ac:dyDescent="0.25">
      <c r="A1271" s="3"/>
      <c r="B1271" s="3"/>
      <c r="C1271" s="18"/>
      <c r="D1271" s="15"/>
      <c r="E1271" s="3"/>
      <c r="F1271" s="3"/>
      <c r="G1271" s="3"/>
      <c r="H1271" s="3"/>
      <c r="I1271" s="3"/>
      <c r="J1271" s="19"/>
    </row>
    <row r="1272" spans="1:10" ht="15" customHeight="1" x14ac:dyDescent="0.25">
      <c r="A1272" s="3"/>
      <c r="B1272" s="3"/>
      <c r="C1272" s="18"/>
      <c r="D1272" s="15"/>
      <c r="E1272" s="3"/>
      <c r="F1272" s="3"/>
      <c r="G1272" s="3"/>
      <c r="H1272" s="3"/>
      <c r="I1272" s="3"/>
      <c r="J1272" s="19"/>
    </row>
    <row r="1273" spans="1:10" ht="15" customHeight="1" x14ac:dyDescent="0.25">
      <c r="A1273" s="3"/>
      <c r="B1273" s="3"/>
      <c r="C1273" s="18"/>
      <c r="D1273" s="15"/>
      <c r="E1273" s="3"/>
      <c r="F1273" s="3"/>
      <c r="G1273" s="3"/>
      <c r="H1273" s="3"/>
      <c r="I1273" s="3"/>
      <c r="J1273" s="19"/>
    </row>
    <row r="1274" spans="1:10" ht="15" customHeight="1" x14ac:dyDescent="0.25">
      <c r="A1274" s="3"/>
      <c r="B1274" s="3"/>
      <c r="C1274" s="18"/>
      <c r="D1274" s="15"/>
      <c r="E1274" s="3"/>
      <c r="F1274" s="3"/>
      <c r="G1274" s="3"/>
      <c r="H1274" s="3"/>
      <c r="I1274" s="3"/>
      <c r="J1274" s="19"/>
    </row>
    <row r="1275" spans="1:10" ht="15" customHeight="1" x14ac:dyDescent="0.25">
      <c r="A1275" s="3"/>
      <c r="B1275" s="3"/>
      <c r="C1275" s="18"/>
      <c r="D1275" s="15"/>
      <c r="E1275" s="3"/>
      <c r="F1275" s="3"/>
      <c r="G1275" s="3"/>
      <c r="H1275" s="3"/>
      <c r="I1275" s="3"/>
      <c r="J1275" s="19"/>
    </row>
    <row r="1276" spans="1:10" ht="15" customHeight="1" x14ac:dyDescent="0.25">
      <c r="A1276" s="3"/>
      <c r="B1276" s="3"/>
      <c r="C1276" s="18"/>
      <c r="D1276" s="15"/>
      <c r="E1276" s="3"/>
      <c r="F1276" s="3"/>
      <c r="G1276" s="3"/>
      <c r="H1276" s="3"/>
      <c r="I1276" s="3"/>
      <c r="J1276" s="19"/>
    </row>
    <row r="1277" spans="1:10" ht="15" customHeight="1" x14ac:dyDescent="0.25">
      <c r="A1277" s="3"/>
      <c r="B1277" s="3"/>
      <c r="C1277" s="18"/>
      <c r="D1277" s="15"/>
      <c r="E1277" s="3"/>
      <c r="F1277" s="3"/>
      <c r="G1277" s="3"/>
      <c r="H1277" s="3"/>
      <c r="I1277" s="3"/>
      <c r="J1277" s="19"/>
    </row>
    <row r="1278" spans="1:10" ht="15" customHeight="1" x14ac:dyDescent="0.25">
      <c r="A1278" s="3"/>
      <c r="B1278" s="3"/>
      <c r="C1278" s="18"/>
      <c r="D1278" s="15"/>
      <c r="E1278" s="3"/>
      <c r="F1278" s="3"/>
      <c r="G1278" s="3"/>
      <c r="H1278" s="3"/>
      <c r="I1278" s="3"/>
      <c r="J1278" s="19"/>
    </row>
    <row r="1279" spans="1:10" ht="15" customHeight="1" x14ac:dyDescent="0.25">
      <c r="A1279" s="3"/>
      <c r="B1279" s="3"/>
      <c r="C1279" s="18"/>
      <c r="D1279" s="15"/>
      <c r="E1279" s="3"/>
      <c r="F1279" s="3"/>
      <c r="G1279" s="3"/>
      <c r="H1279" s="3"/>
      <c r="I1279" s="3"/>
      <c r="J1279" s="19"/>
    </row>
    <row r="1280" spans="1:10" ht="15" customHeight="1" x14ac:dyDescent="0.25">
      <c r="A1280" s="3"/>
      <c r="B1280" s="3"/>
      <c r="C1280" s="18"/>
      <c r="D1280" s="15"/>
      <c r="E1280" s="3"/>
      <c r="F1280" s="3"/>
      <c r="G1280" s="3"/>
      <c r="H1280" s="3"/>
      <c r="I1280" s="3"/>
      <c r="J1280" s="19"/>
    </row>
    <row r="1281" spans="1:10" ht="15" customHeight="1" x14ac:dyDescent="0.25">
      <c r="A1281" s="3"/>
      <c r="B1281" s="3"/>
      <c r="C1281" s="18"/>
      <c r="D1281" s="15"/>
      <c r="E1281" s="3"/>
      <c r="F1281" s="3"/>
      <c r="G1281" s="3"/>
      <c r="H1281" s="3"/>
      <c r="I1281" s="3"/>
      <c r="J1281" s="19"/>
    </row>
    <row r="1282" spans="1:10" ht="15" customHeight="1" x14ac:dyDescent="0.25">
      <c r="A1282" s="3"/>
      <c r="B1282" s="3"/>
      <c r="C1282" s="18"/>
      <c r="D1282" s="15"/>
      <c r="E1282" s="3"/>
      <c r="F1282" s="3"/>
      <c r="G1282" s="3"/>
      <c r="H1282" s="3"/>
      <c r="I1282" s="3"/>
      <c r="J1282" s="19"/>
    </row>
    <row r="1283" spans="1:10" ht="15" customHeight="1" x14ac:dyDescent="0.25">
      <c r="A1283" s="3"/>
      <c r="B1283" s="3"/>
      <c r="C1283" s="18"/>
      <c r="D1283" s="15"/>
      <c r="E1283" s="3"/>
      <c r="F1283" s="3"/>
      <c r="G1283" s="3"/>
      <c r="H1283" s="3"/>
      <c r="I1283" s="3"/>
      <c r="J1283" s="19"/>
    </row>
    <row r="1284" spans="1:10" ht="15" customHeight="1" x14ac:dyDescent="0.25">
      <c r="A1284" s="3"/>
      <c r="B1284" s="3"/>
      <c r="C1284" s="18"/>
      <c r="D1284" s="15"/>
      <c r="E1284" s="3"/>
      <c r="F1284" s="3"/>
      <c r="G1284" s="3"/>
      <c r="H1284" s="3"/>
      <c r="I1284" s="3"/>
      <c r="J1284" s="19"/>
    </row>
    <row r="1285" spans="1:10" ht="15" customHeight="1" x14ac:dyDescent="0.25">
      <c r="A1285" s="3"/>
      <c r="B1285" s="3"/>
      <c r="C1285" s="18"/>
      <c r="D1285" s="15"/>
      <c r="E1285" s="3"/>
      <c r="F1285" s="3"/>
      <c r="G1285" s="3"/>
      <c r="H1285" s="3"/>
      <c r="I1285" s="3"/>
      <c r="J1285" s="19"/>
    </row>
    <row r="1286" spans="1:10" ht="15" customHeight="1" x14ac:dyDescent="0.25">
      <c r="A1286" s="3"/>
      <c r="B1286" s="3"/>
      <c r="C1286" s="18"/>
      <c r="D1286" s="15"/>
      <c r="E1286" s="3"/>
      <c r="F1286" s="3"/>
      <c r="G1286" s="3"/>
      <c r="H1286" s="3"/>
      <c r="I1286" s="3"/>
      <c r="J1286" s="19"/>
    </row>
    <row r="1287" spans="1:10" ht="15" customHeight="1" x14ac:dyDescent="0.25">
      <c r="A1287" s="3"/>
      <c r="B1287" s="3"/>
      <c r="C1287" s="18"/>
      <c r="D1287" s="15"/>
      <c r="E1287" s="3"/>
      <c r="F1287" s="3"/>
      <c r="G1287" s="3"/>
      <c r="H1287" s="3"/>
      <c r="I1287" s="3"/>
      <c r="J1287" s="19"/>
    </row>
    <row r="1288" spans="1:10" ht="15" customHeight="1" x14ac:dyDescent="0.25">
      <c r="A1288" s="3"/>
      <c r="B1288" s="3"/>
      <c r="C1288" s="18"/>
      <c r="D1288" s="15"/>
      <c r="E1288" s="3"/>
      <c r="F1288" s="3"/>
      <c r="G1288" s="3"/>
      <c r="H1288" s="3"/>
      <c r="I1288" s="3"/>
      <c r="J1288" s="19"/>
    </row>
    <row r="1289" spans="1:10" ht="15" customHeight="1" x14ac:dyDescent="0.25">
      <c r="A1289" s="3"/>
      <c r="B1289" s="3"/>
      <c r="C1289" s="18"/>
      <c r="D1289" s="15"/>
      <c r="E1289" s="3"/>
      <c r="F1289" s="3"/>
      <c r="G1289" s="3"/>
      <c r="H1289" s="3"/>
      <c r="I1289" s="3"/>
      <c r="J1289" s="19"/>
    </row>
    <row r="1290" spans="1:10" ht="15" customHeight="1" x14ac:dyDescent="0.25">
      <c r="A1290" s="3"/>
      <c r="B1290" s="3"/>
      <c r="C1290" s="18"/>
      <c r="D1290" s="15"/>
      <c r="E1290" s="3"/>
      <c r="F1290" s="3"/>
      <c r="G1290" s="3"/>
      <c r="H1290" s="3"/>
      <c r="I1290" s="3"/>
      <c r="J1290" s="19"/>
    </row>
    <row r="1291" spans="1:10" ht="15" customHeight="1" x14ac:dyDescent="0.25">
      <c r="A1291" s="3"/>
      <c r="B1291" s="3"/>
      <c r="C1291" s="18"/>
      <c r="D1291" s="15"/>
      <c r="E1291" s="3"/>
      <c r="F1291" s="3"/>
      <c r="G1291" s="3"/>
      <c r="H1291" s="3"/>
      <c r="I1291" s="3"/>
      <c r="J1291" s="19"/>
    </row>
    <row r="1292" spans="1:10" ht="15" customHeight="1" x14ac:dyDescent="0.25">
      <c r="A1292" s="3"/>
      <c r="B1292" s="3"/>
      <c r="C1292" s="18"/>
      <c r="D1292" s="15"/>
      <c r="E1292" s="3"/>
      <c r="F1292" s="3"/>
      <c r="G1292" s="3"/>
      <c r="H1292" s="3"/>
      <c r="I1292" s="3"/>
      <c r="J1292" s="19"/>
    </row>
    <row r="1293" spans="1:10" ht="15" customHeight="1" x14ac:dyDescent="0.25">
      <c r="A1293" s="3"/>
      <c r="B1293" s="3"/>
      <c r="C1293" s="18"/>
      <c r="D1293" s="15"/>
      <c r="E1293" s="3"/>
      <c r="F1293" s="3"/>
      <c r="G1293" s="3"/>
      <c r="H1293" s="3"/>
      <c r="I1293" s="3"/>
      <c r="J1293" s="19"/>
    </row>
    <row r="1294" spans="1:10" ht="15" customHeight="1" x14ac:dyDescent="0.25">
      <c r="A1294" s="3"/>
      <c r="B1294" s="3"/>
      <c r="C1294" s="18"/>
      <c r="D1294" s="15"/>
      <c r="E1294" s="3"/>
      <c r="F1294" s="3"/>
      <c r="G1294" s="3"/>
      <c r="H1294" s="3"/>
      <c r="I1294" s="3"/>
      <c r="J1294" s="19"/>
    </row>
    <row r="1295" spans="1:10" ht="15" customHeight="1" x14ac:dyDescent="0.25">
      <c r="A1295" s="3"/>
      <c r="B1295" s="3"/>
      <c r="C1295" s="18"/>
      <c r="D1295" s="15"/>
      <c r="E1295" s="3"/>
      <c r="F1295" s="3"/>
      <c r="G1295" s="3"/>
      <c r="H1295" s="3"/>
      <c r="I1295" s="3"/>
      <c r="J1295" s="19"/>
    </row>
    <row r="1296" spans="1:10" ht="15" customHeight="1" x14ac:dyDescent="0.25">
      <c r="A1296" s="3"/>
      <c r="B1296" s="3"/>
      <c r="C1296" s="18"/>
      <c r="D1296" s="15"/>
      <c r="E1296" s="3"/>
      <c r="F1296" s="3"/>
      <c r="G1296" s="3"/>
      <c r="H1296" s="3"/>
      <c r="I1296" s="3"/>
      <c r="J1296" s="19"/>
    </row>
    <row r="1297" spans="1:10" ht="15" customHeight="1" x14ac:dyDescent="0.25">
      <c r="A1297" s="3"/>
      <c r="B1297" s="3"/>
      <c r="C1297" s="18"/>
      <c r="D1297" s="15"/>
      <c r="E1297" s="3"/>
      <c r="F1297" s="3"/>
      <c r="G1297" s="3"/>
      <c r="H1297" s="3"/>
      <c r="I1297" s="3"/>
      <c r="J1297" s="19"/>
    </row>
    <row r="1298" spans="1:10" ht="15" customHeight="1" x14ac:dyDescent="0.25">
      <c r="A1298" s="3"/>
      <c r="B1298" s="3"/>
      <c r="C1298" s="18"/>
      <c r="D1298" s="15"/>
      <c r="E1298" s="3"/>
      <c r="F1298" s="3"/>
      <c r="G1298" s="3"/>
      <c r="H1298" s="3"/>
      <c r="I1298" s="3"/>
      <c r="J1298" s="19"/>
    </row>
    <row r="1299" spans="1:10" ht="15" customHeight="1" x14ac:dyDescent="0.25">
      <c r="A1299" s="3"/>
      <c r="B1299" s="3"/>
      <c r="C1299" s="18"/>
      <c r="D1299" s="15"/>
      <c r="E1299" s="3"/>
      <c r="F1299" s="3"/>
      <c r="G1299" s="3"/>
      <c r="H1299" s="3"/>
      <c r="I1299" s="3"/>
      <c r="J1299" s="19"/>
    </row>
    <row r="1300" spans="1:10" ht="15" customHeight="1" x14ac:dyDescent="0.25">
      <c r="A1300" s="3"/>
      <c r="B1300" s="3"/>
      <c r="C1300" s="18"/>
      <c r="D1300" s="15"/>
      <c r="E1300" s="3"/>
      <c r="F1300" s="3"/>
      <c r="G1300" s="3"/>
      <c r="H1300" s="3"/>
      <c r="I1300" s="3"/>
      <c r="J1300" s="19"/>
    </row>
    <row r="1301" spans="1:10" ht="15" customHeight="1" x14ac:dyDescent="0.25">
      <c r="A1301" s="3"/>
      <c r="B1301" s="3"/>
      <c r="C1301" s="18"/>
      <c r="D1301" s="15"/>
      <c r="E1301" s="3"/>
      <c r="F1301" s="3"/>
      <c r="G1301" s="3"/>
      <c r="H1301" s="3"/>
      <c r="I1301" s="3"/>
      <c r="J1301" s="19"/>
    </row>
    <row r="1302" spans="1:10" ht="15" customHeight="1" x14ac:dyDescent="0.25">
      <c r="A1302" s="3"/>
      <c r="B1302" s="3"/>
      <c r="C1302" s="18"/>
      <c r="D1302" s="15"/>
      <c r="E1302" s="3"/>
      <c r="F1302" s="3"/>
      <c r="G1302" s="3"/>
      <c r="H1302" s="3"/>
      <c r="I1302" s="3"/>
      <c r="J1302" s="19"/>
    </row>
    <row r="1048506" spans="8:8" ht="13.8" x14ac:dyDescent="0.25">
      <c r="H1048506" s="159">
        <f>(9.35-0.05-0.4)-(6.5-0.05)</f>
        <v>2.4499999999999984</v>
      </c>
    </row>
  </sheetData>
  <mergeCells count="12">
    <mergeCell ref="A1:J1"/>
    <mergeCell ref="A5:A6"/>
    <mergeCell ref="B5:C6"/>
    <mergeCell ref="D5:D6"/>
    <mergeCell ref="E5:E6"/>
    <mergeCell ref="F5:H5"/>
    <mergeCell ref="I5:I6"/>
    <mergeCell ref="J5:J6"/>
    <mergeCell ref="B2:H2"/>
    <mergeCell ref="I2:J4"/>
    <mergeCell ref="B3:H3"/>
    <mergeCell ref="B4:H4"/>
  </mergeCells>
  <phoneticPr fontId="64" type="noConversion"/>
  <pageMargins left="0.70866141732283472" right="0.70866141732283472" top="0.74803149606299213" bottom="0.74803149606299213" header="0.31496062992125984" footer="0.31496062992125984"/>
  <pageSetup scale="57" orientation="portrait" r:id="rId1"/>
  <headerFooter>
    <oddFooter>&amp;LMETRADO DE TANQUIERIA Y OBRAS HÚMEDAS - VILLA EL SALVADOR&amp;RPÁGINA &amp;PDE 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255"/>
  <sheetViews>
    <sheetView topLeftCell="A676" zoomScaleNormal="100" workbookViewId="0">
      <selection activeCell="H681" sqref="H681:P683"/>
    </sheetView>
  </sheetViews>
  <sheetFormatPr baseColWidth="10" defaultColWidth="12.6640625" defaultRowHeight="15" customHeight="1" outlineLevelRow="1" x14ac:dyDescent="0.25"/>
  <cols>
    <col min="1" max="1" width="44.44140625" customWidth="1"/>
    <col min="2" max="3" width="11.44140625" customWidth="1"/>
    <col min="4" max="6" width="10.6640625" customWidth="1"/>
    <col min="7" max="7" width="7.88671875" customWidth="1"/>
    <col min="8" max="8" width="33.5546875" customWidth="1"/>
    <col min="9" max="9" width="8.6640625" customWidth="1"/>
    <col min="10" max="10" width="8.109375" customWidth="1"/>
    <col min="11" max="11" width="13.88671875" customWidth="1"/>
    <col min="12" max="12" width="12.44140625" customWidth="1"/>
    <col min="13" max="13" width="14" customWidth="1"/>
    <col min="14" max="26" width="10.6640625" customWidth="1"/>
  </cols>
  <sheetData>
    <row r="1" spans="1:6" ht="12.75" customHeight="1" x14ac:dyDescent="0.25">
      <c r="B1" s="1"/>
      <c r="C1" s="21"/>
    </row>
    <row r="2" spans="1:6" ht="12.75" customHeight="1" x14ac:dyDescent="0.25">
      <c r="A2" s="49" t="s">
        <v>5</v>
      </c>
      <c r="B2" s="50"/>
      <c r="C2" s="51"/>
      <c r="D2" s="52"/>
      <c r="E2" s="51"/>
      <c r="F2" s="53"/>
    </row>
    <row r="3" spans="1:6" ht="12.75" customHeight="1" x14ac:dyDescent="0.3">
      <c r="A3" s="54" t="s">
        <v>77</v>
      </c>
      <c r="B3" s="55"/>
      <c r="C3" s="56"/>
      <c r="D3" s="57"/>
      <c r="E3" s="58" t="s">
        <v>92</v>
      </c>
      <c r="F3" s="59">
        <f>F6+F8</f>
        <v>2000</v>
      </c>
    </row>
    <row r="4" spans="1:6" ht="12.75" customHeight="1" outlineLevel="1" x14ac:dyDescent="0.3">
      <c r="A4" s="60" t="s">
        <v>93</v>
      </c>
      <c r="B4" s="61">
        <v>1</v>
      </c>
      <c r="C4" s="62" t="s">
        <v>94</v>
      </c>
      <c r="D4" s="63" t="s">
        <v>95</v>
      </c>
      <c r="E4" s="60">
        <v>8</v>
      </c>
      <c r="F4" s="60" t="s">
        <v>96</v>
      </c>
    </row>
    <row r="5" spans="1:6" ht="12.75" customHeight="1" outlineLevel="1" x14ac:dyDescent="0.3">
      <c r="A5" s="64" t="s">
        <v>97</v>
      </c>
      <c r="B5" s="65" t="s">
        <v>98</v>
      </c>
      <c r="C5" s="66" t="s">
        <v>99</v>
      </c>
      <c r="D5" s="67" t="s">
        <v>100</v>
      </c>
      <c r="E5" s="64" t="s">
        <v>101</v>
      </c>
      <c r="F5" s="64" t="s">
        <v>102</v>
      </c>
    </row>
    <row r="6" spans="1:6" ht="12.75" customHeight="1" outlineLevel="1" x14ac:dyDescent="0.3">
      <c r="A6" s="64" t="s">
        <v>103</v>
      </c>
      <c r="B6" s="65"/>
      <c r="C6" s="66"/>
      <c r="D6" s="67"/>
      <c r="E6" s="66"/>
      <c r="F6" s="66">
        <f>SUM(F7)</f>
        <v>1800</v>
      </c>
    </row>
    <row r="7" spans="1:6" ht="12.75" customHeight="1" outlineLevel="1" x14ac:dyDescent="0.25">
      <c r="A7" s="44" t="s">
        <v>104</v>
      </c>
      <c r="B7" s="68" t="s">
        <v>23</v>
      </c>
      <c r="C7" s="41"/>
      <c r="D7" s="69">
        <v>1</v>
      </c>
      <c r="E7" s="41">
        <v>1800</v>
      </c>
      <c r="F7" s="41">
        <f>PRODUCT(D7:E7)</f>
        <v>1800</v>
      </c>
    </row>
    <row r="8" spans="1:6" ht="12.75" customHeight="1" outlineLevel="1" x14ac:dyDescent="0.3">
      <c r="A8" s="64" t="s">
        <v>105</v>
      </c>
      <c r="B8" s="65"/>
      <c r="C8" s="66"/>
      <c r="D8" s="67"/>
      <c r="E8" s="66"/>
      <c r="F8" s="66">
        <f>SUM(F9)</f>
        <v>200</v>
      </c>
    </row>
    <row r="9" spans="1:6" ht="12.75" customHeight="1" outlineLevel="1" x14ac:dyDescent="0.25">
      <c r="A9" s="44" t="s">
        <v>106</v>
      </c>
      <c r="B9" s="68" t="s">
        <v>23</v>
      </c>
      <c r="C9" s="41"/>
      <c r="D9" s="69">
        <v>1</v>
      </c>
      <c r="E9" s="41">
        <v>200</v>
      </c>
      <c r="F9" s="41">
        <f>PRODUCT(D9:E9)</f>
        <v>200</v>
      </c>
    </row>
    <row r="10" spans="1:6" ht="12.75" customHeight="1" outlineLevel="1" x14ac:dyDescent="0.25">
      <c r="A10" s="70"/>
      <c r="B10" s="1"/>
      <c r="C10" s="21"/>
    </row>
    <row r="11" spans="1:6" ht="12.75" customHeight="1" x14ac:dyDescent="0.3">
      <c r="A11" s="54" t="s">
        <v>78</v>
      </c>
      <c r="B11" s="55"/>
      <c r="C11" s="56"/>
      <c r="D11" s="57"/>
      <c r="E11" s="58" t="s">
        <v>92</v>
      </c>
      <c r="F11" s="59">
        <f>F14+F17</f>
        <v>7.3422222222222224</v>
      </c>
    </row>
    <row r="12" spans="1:6" ht="12.75" customHeight="1" outlineLevel="1" x14ac:dyDescent="0.3">
      <c r="A12" s="60" t="s">
        <v>93</v>
      </c>
      <c r="B12" s="61">
        <v>75</v>
      </c>
      <c r="C12" s="62" t="s">
        <v>107</v>
      </c>
      <c r="D12" s="63" t="s">
        <v>95</v>
      </c>
      <c r="E12" s="60">
        <v>8</v>
      </c>
      <c r="F12" s="60" t="s">
        <v>96</v>
      </c>
    </row>
    <row r="13" spans="1:6" ht="12.75" customHeight="1" outlineLevel="1" x14ac:dyDescent="0.3">
      <c r="A13" s="64" t="s">
        <v>97</v>
      </c>
      <c r="B13" s="65" t="s">
        <v>98</v>
      </c>
      <c r="C13" s="66" t="s">
        <v>99</v>
      </c>
      <c r="D13" s="67" t="s">
        <v>100</v>
      </c>
      <c r="E13" s="64" t="s">
        <v>101</v>
      </c>
      <c r="F13" s="64" t="s">
        <v>102</v>
      </c>
    </row>
    <row r="14" spans="1:6" ht="12.75" customHeight="1" outlineLevel="1" x14ac:dyDescent="0.3">
      <c r="A14" s="64" t="s">
        <v>103</v>
      </c>
      <c r="B14" s="65"/>
      <c r="C14" s="66"/>
      <c r="D14" s="67"/>
      <c r="E14" s="66"/>
      <c r="F14" s="66">
        <f>SUM(F15:F16)</f>
        <v>1.8355555555555556</v>
      </c>
    </row>
    <row r="15" spans="1:6" ht="12.75" customHeight="1" outlineLevel="1" x14ac:dyDescent="0.25">
      <c r="A15" s="44" t="s">
        <v>108</v>
      </c>
      <c r="B15" s="68" t="s">
        <v>109</v>
      </c>
      <c r="C15" s="41">
        <v>0.1</v>
      </c>
      <c r="D15" s="69">
        <f>C15*$E$12/$B$12</f>
        <v>1.0666666666666668E-2</v>
      </c>
      <c r="E15" s="41">
        <f>VLOOKUP(A15,INSUMOS!$B$7:$D$42,3,0)</f>
        <v>49.166666666666664</v>
      </c>
      <c r="F15" s="41">
        <f>PRODUCT(D15:E15)</f>
        <v>0.52444444444444449</v>
      </c>
    </row>
    <row r="16" spans="1:6" ht="12.75" customHeight="1" outlineLevel="1" x14ac:dyDescent="0.25">
      <c r="A16" s="44" t="s">
        <v>110</v>
      </c>
      <c r="B16" s="68" t="s">
        <v>109</v>
      </c>
      <c r="C16" s="41">
        <v>1</v>
      </c>
      <c r="D16" s="69">
        <f>C16*$E$12/$B$12</f>
        <v>0.10666666666666667</v>
      </c>
      <c r="E16" s="41">
        <f>VLOOKUP(A16,INSUMOS!$B$7:$D$42,3,0)</f>
        <v>12.291666666666666</v>
      </c>
      <c r="F16" s="41">
        <f>PRODUCT(D16:E16)</f>
        <v>1.3111111111111111</v>
      </c>
    </row>
    <row r="17" spans="1:6" ht="12.75" customHeight="1" outlineLevel="1" x14ac:dyDescent="0.3">
      <c r="A17" s="64" t="s">
        <v>105</v>
      </c>
      <c r="B17" s="65"/>
      <c r="C17" s="66"/>
      <c r="D17" s="67"/>
      <c r="E17" s="66"/>
      <c r="F17" s="66">
        <f>SUM(F18)</f>
        <v>5.5066666666666668</v>
      </c>
    </row>
    <row r="18" spans="1:6" ht="12.75" customHeight="1" outlineLevel="1" x14ac:dyDescent="0.25">
      <c r="A18" s="44" t="s">
        <v>111</v>
      </c>
      <c r="B18" s="68" t="s">
        <v>112</v>
      </c>
      <c r="C18" s="41"/>
      <c r="D18" s="69">
        <v>3</v>
      </c>
      <c r="E18" s="41">
        <f>+F14</f>
        <v>1.8355555555555556</v>
      </c>
      <c r="F18" s="41">
        <f>PRODUCT(D18:E18)</f>
        <v>5.5066666666666668</v>
      </c>
    </row>
    <row r="19" spans="1:6" ht="12.75" customHeight="1" outlineLevel="1" x14ac:dyDescent="0.25">
      <c r="A19" s="16"/>
      <c r="B19" s="1"/>
      <c r="C19" s="21"/>
    </row>
    <row r="20" spans="1:6" ht="12.75" customHeight="1" x14ac:dyDescent="0.3">
      <c r="A20" s="54" t="s">
        <v>79</v>
      </c>
      <c r="B20" s="55"/>
      <c r="C20" s="56"/>
      <c r="D20" s="57"/>
      <c r="E20" s="58" t="s">
        <v>92</v>
      </c>
      <c r="F20" s="59">
        <f>F23+F27+F31</f>
        <v>9.9761116666666663</v>
      </c>
    </row>
    <row r="21" spans="1:6" ht="12.75" customHeight="1" outlineLevel="1" x14ac:dyDescent="0.3">
      <c r="A21" s="60" t="s">
        <v>93</v>
      </c>
      <c r="B21" s="61">
        <v>80</v>
      </c>
      <c r="C21" s="62" t="s">
        <v>107</v>
      </c>
      <c r="D21" s="63" t="s">
        <v>95</v>
      </c>
      <c r="E21" s="60">
        <v>8</v>
      </c>
      <c r="F21" s="60" t="s">
        <v>96</v>
      </c>
    </row>
    <row r="22" spans="1:6" ht="12.75" customHeight="1" outlineLevel="1" x14ac:dyDescent="0.3">
      <c r="A22" s="64" t="s">
        <v>97</v>
      </c>
      <c r="B22" s="65" t="s">
        <v>98</v>
      </c>
      <c r="C22" s="66" t="s">
        <v>99</v>
      </c>
      <c r="D22" s="67" t="s">
        <v>100</v>
      </c>
      <c r="E22" s="64" t="s">
        <v>101</v>
      </c>
      <c r="F22" s="64" t="s">
        <v>102</v>
      </c>
    </row>
    <row r="23" spans="1:6" ht="12.75" customHeight="1" outlineLevel="1" x14ac:dyDescent="0.3">
      <c r="A23" s="64" t="s">
        <v>103</v>
      </c>
      <c r="B23" s="65"/>
      <c r="C23" s="66"/>
      <c r="D23" s="67"/>
      <c r="E23" s="66"/>
      <c r="F23" s="66">
        <f>SUM(F24:F26)</f>
        <v>8.6981666666666673</v>
      </c>
    </row>
    <row r="24" spans="1:6" ht="12.75" customHeight="1" outlineLevel="1" x14ac:dyDescent="0.25">
      <c r="A24" s="44" t="s">
        <v>108</v>
      </c>
      <c r="B24" s="68" t="s">
        <v>109</v>
      </c>
      <c r="C24" s="41">
        <v>0.1</v>
      </c>
      <c r="D24" s="69">
        <f>C24*$E$21/$B$21</f>
        <v>0.01</v>
      </c>
      <c r="E24" s="41">
        <f>VLOOKUP(A24,INSUMOS!$B$7:$D$42,3,0)</f>
        <v>49.166666666666664</v>
      </c>
      <c r="F24" s="41">
        <f>PRODUCT(D24:E24)</f>
        <v>0.49166666666666664</v>
      </c>
    </row>
    <row r="25" spans="1:6" ht="12.75" customHeight="1" outlineLevel="1" x14ac:dyDescent="0.25">
      <c r="A25" s="44" t="s">
        <v>113</v>
      </c>
      <c r="B25" s="68" t="s">
        <v>109</v>
      </c>
      <c r="C25" s="41">
        <v>3</v>
      </c>
      <c r="D25" s="69">
        <f>C25*$E$21/$B$21</f>
        <v>0.3</v>
      </c>
      <c r="E25" s="41">
        <f>VLOOKUP(A25,INSUMOS!$B$7:$D$42,3,0)</f>
        <v>27.041666666666668</v>
      </c>
      <c r="F25" s="41">
        <f>PRODUCT(D25:E25)</f>
        <v>8.1125000000000007</v>
      </c>
    </row>
    <row r="26" spans="1:6" ht="12.75" customHeight="1" outlineLevel="1" x14ac:dyDescent="0.25">
      <c r="A26" s="44" t="s">
        <v>114</v>
      </c>
      <c r="B26" s="68" t="s">
        <v>115</v>
      </c>
      <c r="C26" s="41"/>
      <c r="D26" s="69">
        <v>0.02</v>
      </c>
      <c r="E26" s="41">
        <v>4.7</v>
      </c>
      <c r="F26" s="41">
        <f>PRODUCT(D26:E26)</f>
        <v>9.4E-2</v>
      </c>
    </row>
    <row r="27" spans="1:6" ht="12.75" customHeight="1" outlineLevel="1" x14ac:dyDescent="0.3">
      <c r="A27" s="64" t="s">
        <v>116</v>
      </c>
      <c r="B27" s="65"/>
      <c r="C27" s="66"/>
      <c r="D27" s="67"/>
      <c r="E27" s="66"/>
      <c r="F27" s="66">
        <f>SUM(F28:F30)</f>
        <v>1.0170000000000001</v>
      </c>
    </row>
    <row r="28" spans="1:6" ht="12.75" customHeight="1" outlineLevel="1" x14ac:dyDescent="0.25">
      <c r="A28" s="44" t="s">
        <v>117</v>
      </c>
      <c r="B28" s="68" t="s">
        <v>118</v>
      </c>
      <c r="C28" s="41"/>
      <c r="D28" s="69">
        <v>0.01</v>
      </c>
      <c r="E28" s="41">
        <v>2.9</v>
      </c>
      <c r="F28" s="41">
        <f>PRODUCT(D28:E28)</f>
        <v>2.8999999999999998E-2</v>
      </c>
    </row>
    <row r="29" spans="1:6" ht="12.75" customHeight="1" outlineLevel="1" x14ac:dyDescent="0.25">
      <c r="A29" s="44" t="s">
        <v>119</v>
      </c>
      <c r="B29" s="68" t="s">
        <v>120</v>
      </c>
      <c r="C29" s="41"/>
      <c r="D29" s="69">
        <v>0.1</v>
      </c>
      <c r="E29" s="41">
        <v>9.5</v>
      </c>
      <c r="F29" s="41">
        <f>PRODUCT(D29:E29)</f>
        <v>0.95000000000000007</v>
      </c>
    </row>
    <row r="30" spans="1:6" ht="12.75" customHeight="1" outlineLevel="1" x14ac:dyDescent="0.25">
      <c r="A30" s="44" t="s">
        <v>121</v>
      </c>
      <c r="B30" s="68" t="s">
        <v>54</v>
      </c>
      <c r="C30" s="41"/>
      <c r="D30" s="69">
        <v>0.19</v>
      </c>
      <c r="E30" s="41">
        <v>0.2</v>
      </c>
      <c r="F30" s="41">
        <f>PRODUCT(D30:E30)</f>
        <v>3.8000000000000006E-2</v>
      </c>
    </row>
    <row r="31" spans="1:6" ht="12.75" customHeight="1" outlineLevel="1" x14ac:dyDescent="0.3">
      <c r="A31" s="64" t="s">
        <v>105</v>
      </c>
      <c r="B31" s="65"/>
      <c r="C31" s="66"/>
      <c r="D31" s="67"/>
      <c r="E31" s="66"/>
      <c r="F31" s="66">
        <f>SUM(F32)</f>
        <v>0.26094500000000004</v>
      </c>
    </row>
    <row r="32" spans="1:6" ht="12.75" customHeight="1" outlineLevel="1" x14ac:dyDescent="0.25">
      <c r="A32" s="44" t="s">
        <v>111</v>
      </c>
      <c r="B32" s="68" t="s">
        <v>112</v>
      </c>
      <c r="C32" s="41"/>
      <c r="D32" s="69">
        <v>3</v>
      </c>
      <c r="E32" s="41">
        <f>F23</f>
        <v>8.6981666666666673</v>
      </c>
      <c r="F32" s="41">
        <f>D32*E32/100</f>
        <v>0.26094500000000004</v>
      </c>
    </row>
    <row r="33" spans="1:6" ht="12.75" customHeight="1" outlineLevel="1" x14ac:dyDescent="0.25">
      <c r="A33" s="71"/>
      <c r="B33" s="72"/>
      <c r="C33" s="73"/>
      <c r="D33" s="74"/>
      <c r="E33" s="41"/>
      <c r="F33" s="41"/>
    </row>
    <row r="34" spans="1:6" ht="12.75" customHeight="1" x14ac:dyDescent="0.3">
      <c r="A34" s="54" t="s">
        <v>491</v>
      </c>
      <c r="B34" s="55"/>
      <c r="C34" s="56"/>
      <c r="D34" s="57"/>
      <c r="E34" s="58" t="s">
        <v>92</v>
      </c>
      <c r="F34" s="59">
        <f>F37+F41+F45</f>
        <v>15.196666666666667</v>
      </c>
    </row>
    <row r="35" spans="1:6" ht="12.75" hidden="1" customHeight="1" outlineLevel="1" x14ac:dyDescent="0.3">
      <c r="A35" s="60" t="s">
        <v>93</v>
      </c>
      <c r="B35" s="61">
        <v>50</v>
      </c>
      <c r="C35" s="62" t="s">
        <v>107</v>
      </c>
      <c r="D35" s="63" t="s">
        <v>95</v>
      </c>
      <c r="E35" s="60">
        <v>8</v>
      </c>
      <c r="F35" s="60" t="s">
        <v>96</v>
      </c>
    </row>
    <row r="36" spans="1:6" ht="12.75" hidden="1" customHeight="1" outlineLevel="1" x14ac:dyDescent="0.3">
      <c r="A36" s="64" t="s">
        <v>97</v>
      </c>
      <c r="B36" s="65" t="s">
        <v>98</v>
      </c>
      <c r="C36" s="66" t="s">
        <v>99</v>
      </c>
      <c r="D36" s="67" t="s">
        <v>100</v>
      </c>
      <c r="E36" s="64" t="s">
        <v>101</v>
      </c>
      <c r="F36" s="64" t="s">
        <v>102</v>
      </c>
    </row>
    <row r="37" spans="1:6" ht="12.75" hidden="1" customHeight="1" outlineLevel="1" x14ac:dyDescent="0.3">
      <c r="A37" s="64" t="s">
        <v>103</v>
      </c>
      <c r="B37" s="65"/>
      <c r="C37" s="66"/>
      <c r="D37" s="67"/>
      <c r="E37" s="66"/>
      <c r="F37" s="66">
        <f>SUM(F38:F40)</f>
        <v>13.766666666666667</v>
      </c>
    </row>
    <row r="38" spans="1:6" ht="12.75" hidden="1" customHeight="1" outlineLevel="1" x14ac:dyDescent="0.25">
      <c r="A38" s="44" t="s">
        <v>108</v>
      </c>
      <c r="B38" s="68" t="s">
        <v>109</v>
      </c>
      <c r="C38" s="41">
        <v>0.1</v>
      </c>
      <c r="D38" s="69">
        <f>C38*$E$35/$B$35</f>
        <v>1.6E-2</v>
      </c>
      <c r="E38" s="41">
        <f>VLOOKUP(A38,INSUMOS!$B$7:$D$42,3,0)</f>
        <v>49.166666666666664</v>
      </c>
      <c r="F38" s="41">
        <f>PRODUCT(D38:E38)</f>
        <v>0.78666666666666663</v>
      </c>
    </row>
    <row r="39" spans="1:6" ht="12.75" hidden="1" customHeight="1" outlineLevel="1" x14ac:dyDescent="0.25">
      <c r="A39" s="44" t="s">
        <v>113</v>
      </c>
      <c r="B39" s="68" t="s">
        <v>109</v>
      </c>
      <c r="C39" s="41">
        <v>3</v>
      </c>
      <c r="D39" s="69">
        <f>C39*$E$35/$B$35</f>
        <v>0.48</v>
      </c>
      <c r="E39" s="41">
        <f>VLOOKUP(A39,INSUMOS!$B$7:$D$42,3,0)</f>
        <v>27.041666666666668</v>
      </c>
      <c r="F39" s="41">
        <f>PRODUCT(D39:E39)</f>
        <v>12.98</v>
      </c>
    </row>
    <row r="40" spans="1:6" ht="12.75" hidden="1" customHeight="1" outlineLevel="1" x14ac:dyDescent="0.25">
      <c r="A40" s="44" t="s">
        <v>114</v>
      </c>
      <c r="B40" s="68" t="s">
        <v>115</v>
      </c>
      <c r="C40" s="41"/>
      <c r="D40" s="69">
        <f>C40*$E$35/$B$35</f>
        <v>0</v>
      </c>
      <c r="E40" s="41">
        <v>4.7</v>
      </c>
      <c r="F40" s="41">
        <f>PRODUCT(D40:E40)</f>
        <v>0</v>
      </c>
    </row>
    <row r="41" spans="1:6" ht="12.75" hidden="1" customHeight="1" outlineLevel="1" x14ac:dyDescent="0.3">
      <c r="A41" s="64" t="s">
        <v>116</v>
      </c>
      <c r="B41" s="65"/>
      <c r="C41" s="66"/>
      <c r="D41" s="67"/>
      <c r="E41" s="66"/>
      <c r="F41" s="66">
        <f>SUM(F42:F44)</f>
        <v>1.0170000000000001</v>
      </c>
    </row>
    <row r="42" spans="1:6" ht="12.75" hidden="1" customHeight="1" outlineLevel="1" x14ac:dyDescent="0.25">
      <c r="A42" s="44" t="s">
        <v>117</v>
      </c>
      <c r="B42" s="68" t="s">
        <v>118</v>
      </c>
      <c r="C42" s="41"/>
      <c r="D42" s="69">
        <v>0.01</v>
      </c>
      <c r="E42" s="41">
        <v>2.9</v>
      </c>
      <c r="F42" s="41">
        <f>PRODUCT(D42:E42)</f>
        <v>2.8999999999999998E-2</v>
      </c>
    </row>
    <row r="43" spans="1:6" ht="12.75" hidden="1" customHeight="1" outlineLevel="1" x14ac:dyDescent="0.25">
      <c r="A43" s="44" t="s">
        <v>119</v>
      </c>
      <c r="B43" s="68" t="s">
        <v>120</v>
      </c>
      <c r="C43" s="41"/>
      <c r="D43" s="69">
        <v>0.1</v>
      </c>
      <c r="E43" s="41">
        <v>9.5</v>
      </c>
      <c r="F43" s="41">
        <f>PRODUCT(D43:E43)</f>
        <v>0.95000000000000007</v>
      </c>
    </row>
    <row r="44" spans="1:6" ht="12.75" hidden="1" customHeight="1" outlineLevel="1" x14ac:dyDescent="0.25">
      <c r="A44" s="44" t="s">
        <v>121</v>
      </c>
      <c r="B44" s="68" t="s">
        <v>54</v>
      </c>
      <c r="C44" s="41"/>
      <c r="D44" s="69">
        <v>0.19</v>
      </c>
      <c r="E44" s="41">
        <v>0.2</v>
      </c>
      <c r="F44" s="41">
        <f>PRODUCT(D44:E44)</f>
        <v>3.8000000000000006E-2</v>
      </c>
    </row>
    <row r="45" spans="1:6" ht="12.75" hidden="1" customHeight="1" outlineLevel="1" x14ac:dyDescent="0.3">
      <c r="A45" s="64" t="s">
        <v>105</v>
      </c>
      <c r="B45" s="65"/>
      <c r="C45" s="66"/>
      <c r="D45" s="67"/>
      <c r="E45" s="66"/>
      <c r="F45" s="66">
        <f>SUM(F46)</f>
        <v>0.41300000000000003</v>
      </c>
    </row>
    <row r="46" spans="1:6" ht="12.75" hidden="1" customHeight="1" outlineLevel="1" x14ac:dyDescent="0.25">
      <c r="A46" s="44" t="s">
        <v>111</v>
      </c>
      <c r="B46" s="68" t="s">
        <v>112</v>
      </c>
      <c r="C46" s="41"/>
      <c r="D46" s="69">
        <v>3</v>
      </c>
      <c r="E46" s="41">
        <f>F37</f>
        <v>13.766666666666667</v>
      </c>
      <c r="F46" s="41">
        <f>D46*E46/100</f>
        <v>0.41300000000000003</v>
      </c>
    </row>
    <row r="47" spans="1:6" ht="12.75" hidden="1" customHeight="1" outlineLevel="1" x14ac:dyDescent="0.25">
      <c r="A47" s="71"/>
      <c r="B47" s="72"/>
      <c r="C47" s="73"/>
      <c r="D47" s="74"/>
      <c r="E47" s="41"/>
      <c r="F47" s="41"/>
    </row>
    <row r="48" spans="1:6" ht="12.75" customHeight="1" collapsed="1" x14ac:dyDescent="0.3">
      <c r="A48" s="54" t="s">
        <v>82</v>
      </c>
      <c r="B48" s="55"/>
      <c r="C48" s="56"/>
      <c r="D48" s="57"/>
      <c r="E48" s="58" t="s">
        <v>92</v>
      </c>
      <c r="F48" s="59">
        <f>F51+F53</f>
        <v>1750</v>
      </c>
    </row>
    <row r="49" spans="1:6" ht="12.75" customHeight="1" outlineLevel="1" x14ac:dyDescent="0.3">
      <c r="A49" s="60" t="s">
        <v>93</v>
      </c>
      <c r="B49" s="61">
        <v>8</v>
      </c>
      <c r="C49" s="62" t="s">
        <v>94</v>
      </c>
      <c r="D49" s="63" t="s">
        <v>95</v>
      </c>
      <c r="E49" s="60">
        <v>8</v>
      </c>
      <c r="F49" s="60" t="s">
        <v>96</v>
      </c>
    </row>
    <row r="50" spans="1:6" ht="12.75" customHeight="1" outlineLevel="1" x14ac:dyDescent="0.3">
      <c r="A50" s="64" t="s">
        <v>97</v>
      </c>
      <c r="B50" s="65" t="s">
        <v>98</v>
      </c>
      <c r="C50" s="66" t="s">
        <v>99</v>
      </c>
      <c r="D50" s="67" t="s">
        <v>100</v>
      </c>
      <c r="E50" s="64" t="s">
        <v>101</v>
      </c>
      <c r="F50" s="64" t="s">
        <v>102</v>
      </c>
    </row>
    <row r="51" spans="1:6" ht="12.75" customHeight="1" outlineLevel="1" x14ac:dyDescent="0.3">
      <c r="A51" s="64" t="s">
        <v>103</v>
      </c>
      <c r="B51" s="65"/>
      <c r="C51" s="66"/>
      <c r="D51" s="67"/>
      <c r="E51" s="66"/>
      <c r="F51" s="66">
        <f>SUM(F52)</f>
        <v>250</v>
      </c>
    </row>
    <row r="52" spans="1:6" ht="12.75" customHeight="1" outlineLevel="1" x14ac:dyDescent="0.25">
      <c r="A52" s="44" t="s">
        <v>122</v>
      </c>
      <c r="B52" s="68" t="s">
        <v>23</v>
      </c>
      <c r="C52" s="41"/>
      <c r="D52" s="69">
        <v>1</v>
      </c>
      <c r="E52" s="41">
        <v>250</v>
      </c>
      <c r="F52" s="41">
        <f>PRODUCT(D52:E52)</f>
        <v>250</v>
      </c>
    </row>
    <row r="53" spans="1:6" ht="12.75" customHeight="1" outlineLevel="1" x14ac:dyDescent="0.3">
      <c r="A53" s="64" t="s">
        <v>116</v>
      </c>
      <c r="B53" s="65"/>
      <c r="C53" s="66"/>
      <c r="D53" s="67"/>
      <c r="E53" s="66"/>
      <c r="F53" s="66">
        <f>SUM(F54)</f>
        <v>1500</v>
      </c>
    </row>
    <row r="54" spans="1:6" ht="12.75" customHeight="1" outlineLevel="1" x14ac:dyDescent="0.25">
      <c r="A54" s="44" t="s">
        <v>114</v>
      </c>
      <c r="B54" s="68" t="s">
        <v>23</v>
      </c>
      <c r="C54" s="41"/>
      <c r="D54" s="69">
        <v>1</v>
      </c>
      <c r="E54" s="41">
        <v>1500</v>
      </c>
      <c r="F54" s="41">
        <f>PRODUCT(D54:E54)</f>
        <v>1500</v>
      </c>
    </row>
    <row r="55" spans="1:6" ht="12.75" customHeight="1" outlineLevel="1" x14ac:dyDescent="0.25">
      <c r="B55" s="1"/>
      <c r="C55" s="21"/>
    </row>
    <row r="56" spans="1:6" ht="12.75" customHeight="1" x14ac:dyDescent="0.3">
      <c r="A56" s="54" t="s">
        <v>80</v>
      </c>
      <c r="B56" s="55"/>
      <c r="C56" s="56"/>
      <c r="D56" s="57"/>
      <c r="E56" s="58" t="s">
        <v>92</v>
      </c>
      <c r="F56" s="59">
        <f>F59+F63+F68</f>
        <v>157.89625000000001</v>
      </c>
    </row>
    <row r="57" spans="1:6" ht="12.75" customHeight="1" outlineLevel="1" x14ac:dyDescent="0.3">
      <c r="A57" s="60" t="s">
        <v>93</v>
      </c>
      <c r="B57" s="61">
        <v>40</v>
      </c>
      <c r="C57" s="62" t="s">
        <v>123</v>
      </c>
      <c r="D57" s="63" t="s">
        <v>95</v>
      </c>
      <c r="E57" s="60">
        <v>8</v>
      </c>
      <c r="F57" s="60" t="s">
        <v>96</v>
      </c>
    </row>
    <row r="58" spans="1:6" ht="12.75" customHeight="1" outlineLevel="1" x14ac:dyDescent="0.3">
      <c r="A58" s="64" t="s">
        <v>97</v>
      </c>
      <c r="B58" s="65" t="s">
        <v>98</v>
      </c>
      <c r="C58" s="66" t="s">
        <v>99</v>
      </c>
      <c r="D58" s="67" t="s">
        <v>100</v>
      </c>
      <c r="E58" s="64" t="s">
        <v>101</v>
      </c>
      <c r="F58" s="64" t="s">
        <v>102</v>
      </c>
    </row>
    <row r="59" spans="1:6" ht="12.75" customHeight="1" outlineLevel="1" x14ac:dyDescent="0.3">
      <c r="A59" s="64" t="s">
        <v>103</v>
      </c>
      <c r="B59" s="65"/>
      <c r="C59" s="66"/>
      <c r="D59" s="67"/>
      <c r="E59" s="66"/>
      <c r="F59" s="66">
        <f>SUM(F60:F62)</f>
        <v>22.125000000000004</v>
      </c>
    </row>
    <row r="60" spans="1:6" ht="12.75" customHeight="1" outlineLevel="1" x14ac:dyDescent="0.25">
      <c r="A60" s="44" t="s">
        <v>108</v>
      </c>
      <c r="B60" s="68" t="s">
        <v>109</v>
      </c>
      <c r="C60" s="41">
        <v>0.1</v>
      </c>
      <c r="D60" s="69">
        <f>C60*$E$57/$B$57</f>
        <v>0.02</v>
      </c>
      <c r="E60" s="41">
        <f>VLOOKUP(A60,INSUMOS!$B$7:$D$42,3,0)</f>
        <v>49.166666666666664</v>
      </c>
      <c r="F60" s="41">
        <f>PRODUCT(D60:E60)</f>
        <v>0.98333333333333328</v>
      </c>
    </row>
    <row r="61" spans="1:6" ht="12.75" customHeight="1" outlineLevel="1" x14ac:dyDescent="0.25">
      <c r="A61" s="44" t="s">
        <v>113</v>
      </c>
      <c r="B61" s="68" t="s">
        <v>109</v>
      </c>
      <c r="C61" s="41">
        <v>3</v>
      </c>
      <c r="D61" s="69">
        <f>C61*$E$57/$B$57</f>
        <v>0.6</v>
      </c>
      <c r="E61" s="41">
        <f>VLOOKUP(A61,INSUMOS!$B$7:$D$42,3,0)</f>
        <v>27.041666666666668</v>
      </c>
      <c r="F61" s="41">
        <f>PRODUCT(D61:E61)</f>
        <v>16.225000000000001</v>
      </c>
    </row>
    <row r="62" spans="1:6" ht="12.75" customHeight="1" outlineLevel="1" x14ac:dyDescent="0.25">
      <c r="A62" s="44" t="s">
        <v>110</v>
      </c>
      <c r="B62" s="68" t="s">
        <v>109</v>
      </c>
      <c r="C62" s="41">
        <v>2</v>
      </c>
      <c r="D62" s="69">
        <f>C62*$E$57/$B$57</f>
        <v>0.4</v>
      </c>
      <c r="E62" s="41">
        <f>VLOOKUP(A62,INSUMOS!$B$7:$D$42,3,0)</f>
        <v>12.291666666666666</v>
      </c>
      <c r="F62" s="41">
        <f>PRODUCT(D62:E62)</f>
        <v>4.916666666666667</v>
      </c>
    </row>
    <row r="63" spans="1:6" ht="12.75" customHeight="1" outlineLevel="1" x14ac:dyDescent="0.3">
      <c r="A63" s="64" t="s">
        <v>116</v>
      </c>
      <c r="B63" s="65"/>
      <c r="C63" s="66"/>
      <c r="D63" s="67"/>
      <c r="E63" s="66"/>
      <c r="F63" s="66">
        <f>SUM(F64:F67)</f>
        <v>134.66500000000002</v>
      </c>
    </row>
    <row r="64" spans="1:6" ht="12.75" customHeight="1" outlineLevel="1" x14ac:dyDescent="0.25">
      <c r="A64" s="44" t="s">
        <v>124</v>
      </c>
      <c r="B64" s="68" t="s">
        <v>118</v>
      </c>
      <c r="C64" s="41"/>
      <c r="D64" s="69">
        <v>0.2</v>
      </c>
      <c r="E64" s="41">
        <f>VLOOKUP(A64,INSUMOS!$B$7:$D$42,3,0)</f>
        <v>5</v>
      </c>
      <c r="F64" s="41">
        <f>PRODUCT(D64:E64)</f>
        <v>1</v>
      </c>
    </row>
    <row r="65" spans="1:6" ht="12.75" customHeight="1" outlineLevel="1" x14ac:dyDescent="0.25">
      <c r="A65" s="44" t="s">
        <v>117</v>
      </c>
      <c r="B65" s="68" t="s">
        <v>118</v>
      </c>
      <c r="C65" s="41"/>
      <c r="D65" s="69">
        <v>0.2</v>
      </c>
      <c r="E65" s="41">
        <f>VLOOKUP(A65,INSUMOS!$B$7:$D$42,3,0)</f>
        <v>5</v>
      </c>
      <c r="F65" s="41">
        <f>PRODUCT(D65:E65)</f>
        <v>1</v>
      </c>
    </row>
    <row r="66" spans="1:6" ht="12.75" customHeight="1" outlineLevel="1" x14ac:dyDescent="0.25">
      <c r="A66" s="44" t="s">
        <v>125</v>
      </c>
      <c r="B66" s="68" t="s">
        <v>126</v>
      </c>
      <c r="C66" s="41"/>
      <c r="D66" s="69">
        <v>1.25</v>
      </c>
      <c r="E66" s="41">
        <v>28</v>
      </c>
      <c r="F66" s="41">
        <f>PRODUCT(D66:E66)</f>
        <v>35</v>
      </c>
    </row>
    <row r="67" spans="1:6" ht="12.75" customHeight="1" outlineLevel="1" x14ac:dyDescent="0.25">
      <c r="A67" s="44" t="s">
        <v>482</v>
      </c>
      <c r="B67" s="68" t="s">
        <v>126</v>
      </c>
      <c r="C67" s="41"/>
      <c r="D67" s="69">
        <v>0.85</v>
      </c>
      <c r="E67" s="41">
        <f>VLOOKUP(A67,INSUMOS!$B$7:$D$42,3,0)</f>
        <v>114.9</v>
      </c>
      <c r="F67" s="41">
        <f>PRODUCT(D67:E67)</f>
        <v>97.665000000000006</v>
      </c>
    </row>
    <row r="68" spans="1:6" ht="12.75" customHeight="1" outlineLevel="1" x14ac:dyDescent="0.3">
      <c r="A68" s="64" t="s">
        <v>105</v>
      </c>
      <c r="B68" s="65"/>
      <c r="C68" s="66"/>
      <c r="D68" s="67"/>
      <c r="E68" s="66"/>
      <c r="F68" s="66">
        <f>SUM(F69)</f>
        <v>1.1062500000000002</v>
      </c>
    </row>
    <row r="69" spans="1:6" ht="12.75" customHeight="1" outlineLevel="1" x14ac:dyDescent="0.25">
      <c r="A69" s="44" t="s">
        <v>111</v>
      </c>
      <c r="B69" s="68" t="s">
        <v>112</v>
      </c>
      <c r="C69" s="41"/>
      <c r="D69" s="69">
        <v>5</v>
      </c>
      <c r="E69" s="41">
        <f>F59</f>
        <v>22.125000000000004</v>
      </c>
      <c r="F69" s="41">
        <f>D69*E69/100</f>
        <v>1.1062500000000002</v>
      </c>
    </row>
    <row r="70" spans="1:6" ht="12.75" customHeight="1" outlineLevel="1" x14ac:dyDescent="0.25">
      <c r="A70" s="75"/>
      <c r="B70" s="72"/>
      <c r="C70" s="73"/>
      <c r="D70" s="74"/>
      <c r="E70" s="41"/>
      <c r="F70" s="41"/>
    </row>
    <row r="71" spans="1:6" ht="12.75" customHeight="1" x14ac:dyDescent="0.3">
      <c r="A71" s="54" t="s">
        <v>462</v>
      </c>
      <c r="B71" s="55"/>
      <c r="C71" s="56"/>
      <c r="D71" s="57"/>
      <c r="E71" s="58" t="s">
        <v>92</v>
      </c>
      <c r="F71" s="59">
        <f>F74+F78+F82</f>
        <v>14.05425</v>
      </c>
    </row>
    <row r="72" spans="1:6" ht="12.75" customHeight="1" outlineLevel="1" x14ac:dyDescent="0.3">
      <c r="A72" s="60" t="s">
        <v>93</v>
      </c>
      <c r="B72" s="61">
        <v>400</v>
      </c>
      <c r="C72" s="62" t="s">
        <v>123</v>
      </c>
      <c r="D72" s="63" t="s">
        <v>95</v>
      </c>
      <c r="E72" s="60">
        <v>8</v>
      </c>
      <c r="F72" s="60" t="s">
        <v>96</v>
      </c>
    </row>
    <row r="73" spans="1:6" ht="12.75" customHeight="1" outlineLevel="1" x14ac:dyDescent="0.3">
      <c r="A73" s="64" t="s">
        <v>97</v>
      </c>
      <c r="B73" s="65" t="s">
        <v>98</v>
      </c>
      <c r="C73" s="66" t="s">
        <v>99</v>
      </c>
      <c r="D73" s="67" t="s">
        <v>100</v>
      </c>
      <c r="E73" s="64" t="s">
        <v>101</v>
      </c>
      <c r="F73" s="64" t="s">
        <v>102</v>
      </c>
    </row>
    <row r="74" spans="1:6" ht="12.75" customHeight="1" outlineLevel="1" x14ac:dyDescent="0.3">
      <c r="A74" s="64" t="s">
        <v>103</v>
      </c>
      <c r="B74" s="65"/>
      <c r="C74" s="66"/>
      <c r="D74" s="67"/>
      <c r="E74" s="66"/>
      <c r="F74" s="66">
        <f>SUM(F75:F77)</f>
        <v>0.88500000000000001</v>
      </c>
    </row>
    <row r="75" spans="1:6" ht="12.75" customHeight="1" outlineLevel="1" x14ac:dyDescent="0.25">
      <c r="A75" s="44" t="s">
        <v>108</v>
      </c>
      <c r="B75" s="68" t="s">
        <v>109</v>
      </c>
      <c r="C75" s="41">
        <v>0.1</v>
      </c>
      <c r="D75" s="69">
        <f>C75*$E$72/$B$72</f>
        <v>2E-3</v>
      </c>
      <c r="E75" s="41">
        <f>VLOOKUP(A75,INSUMOS!$B$7:$D$42,3,0)</f>
        <v>49.166666666666664</v>
      </c>
      <c r="F75" s="41">
        <f>PRODUCT(D75:E75)</f>
        <v>9.8333333333333328E-2</v>
      </c>
    </row>
    <row r="76" spans="1:6" ht="12.75" customHeight="1" outlineLevel="1" x14ac:dyDescent="0.25">
      <c r="A76" s="44" t="s">
        <v>113</v>
      </c>
      <c r="B76" s="68" t="s">
        <v>109</v>
      </c>
      <c r="C76" s="41">
        <v>1</v>
      </c>
      <c r="D76" s="69">
        <f>C76*$E$72/$B$72</f>
        <v>0.02</v>
      </c>
      <c r="E76" s="41">
        <f>VLOOKUP(A76,INSUMOS!$B$7:$D$42,3,0)</f>
        <v>27.041666666666668</v>
      </c>
      <c r="F76" s="41">
        <f>PRODUCT(D76:E76)</f>
        <v>0.54083333333333339</v>
      </c>
    </row>
    <row r="77" spans="1:6" ht="12.75" customHeight="1" outlineLevel="1" x14ac:dyDescent="0.25">
      <c r="A77" s="44" t="s">
        <v>110</v>
      </c>
      <c r="B77" s="68" t="s">
        <v>109</v>
      </c>
      <c r="C77" s="41">
        <v>1</v>
      </c>
      <c r="D77" s="69">
        <f>C77*$E$72/$B$72</f>
        <v>0.02</v>
      </c>
      <c r="E77" s="41">
        <f>VLOOKUP(A77,INSUMOS!$B$7:$D$42,3,0)</f>
        <v>12.291666666666666</v>
      </c>
      <c r="F77" s="41">
        <f>PRODUCT(D77:E77)</f>
        <v>0.24583333333333332</v>
      </c>
    </row>
    <row r="78" spans="1:6" ht="12.75" customHeight="1" outlineLevel="1" x14ac:dyDescent="0.3">
      <c r="A78" s="64" t="s">
        <v>116</v>
      </c>
      <c r="B78" s="65"/>
      <c r="C78" s="66"/>
      <c r="D78" s="67"/>
      <c r="E78" s="66"/>
      <c r="F78" s="66">
        <f>SUM(F79:F81)</f>
        <v>13.125</v>
      </c>
    </row>
    <row r="79" spans="1:6" ht="12.75" customHeight="1" outlineLevel="1" x14ac:dyDescent="0.25">
      <c r="A79" s="44" t="s">
        <v>124</v>
      </c>
      <c r="B79" s="68" t="s">
        <v>118</v>
      </c>
      <c r="C79" s="41"/>
      <c r="D79" s="69">
        <v>0.1</v>
      </c>
      <c r="E79" s="41">
        <f>VLOOKUP(A79,INSUMOS!$B$7:$D$42,3,0)</f>
        <v>5</v>
      </c>
      <c r="F79" s="41">
        <f>PRODUCT(D79:E79)</f>
        <v>0.5</v>
      </c>
    </row>
    <row r="80" spans="1:6" ht="12.75" customHeight="1" outlineLevel="1" x14ac:dyDescent="0.25">
      <c r="A80" s="44" t="s">
        <v>125</v>
      </c>
      <c r="B80" s="68" t="s">
        <v>126</v>
      </c>
      <c r="C80" s="41"/>
      <c r="D80" s="69">
        <v>0.25</v>
      </c>
      <c r="E80" s="41">
        <v>28</v>
      </c>
      <c r="F80" s="41">
        <f>PRODUCT(D80:E80)</f>
        <v>7</v>
      </c>
    </row>
    <row r="81" spans="1:6" ht="12.75" customHeight="1" outlineLevel="1" x14ac:dyDescent="0.25">
      <c r="A81" s="44" t="s">
        <v>484</v>
      </c>
      <c r="B81" s="68" t="s">
        <v>483</v>
      </c>
      <c r="C81" s="41"/>
      <c r="D81" s="69">
        <v>7.4999999999999997E-3</v>
      </c>
      <c r="E81" s="41">
        <f>VLOOKUP(A81,INSUMOS!$B$7:$D$42,3,0)</f>
        <v>750</v>
      </c>
      <c r="F81" s="41">
        <f>PRODUCT(D81:E81)</f>
        <v>5.625</v>
      </c>
    </row>
    <row r="82" spans="1:6" ht="12.75" customHeight="1" outlineLevel="1" x14ac:dyDescent="0.3">
      <c r="A82" s="64" t="s">
        <v>105</v>
      </c>
      <c r="B82" s="65"/>
      <c r="C82" s="66"/>
      <c r="D82" s="67"/>
      <c r="E82" s="66"/>
      <c r="F82" s="66">
        <f>SUM(F83)</f>
        <v>4.4249999999999998E-2</v>
      </c>
    </row>
    <row r="83" spans="1:6" ht="12.75" customHeight="1" outlineLevel="1" x14ac:dyDescent="0.25">
      <c r="A83" s="44" t="s">
        <v>111</v>
      </c>
      <c r="B83" s="68" t="s">
        <v>112</v>
      </c>
      <c r="C83" s="41"/>
      <c r="D83" s="69">
        <v>5</v>
      </c>
      <c r="E83" s="41">
        <f>F74</f>
        <v>0.88500000000000001</v>
      </c>
      <c r="F83" s="41">
        <f>D83*E83/100</f>
        <v>4.4249999999999998E-2</v>
      </c>
    </row>
    <row r="84" spans="1:6" ht="12.75" customHeight="1" outlineLevel="1" x14ac:dyDescent="0.25">
      <c r="A84" s="75"/>
      <c r="B84" s="72"/>
      <c r="C84" s="73"/>
      <c r="D84" s="74"/>
      <c r="E84" s="41"/>
      <c r="F84" s="41"/>
    </row>
    <row r="85" spans="1:6" ht="12.75" customHeight="1" x14ac:dyDescent="0.3">
      <c r="A85" s="54" t="s">
        <v>128</v>
      </c>
      <c r="B85" s="55"/>
      <c r="C85" s="56"/>
      <c r="D85" s="57"/>
      <c r="E85" s="58" t="s">
        <v>92</v>
      </c>
      <c r="F85" s="59">
        <f>F88+F92</f>
        <v>56.823333333333338</v>
      </c>
    </row>
    <row r="86" spans="1:6" ht="12.75" hidden="1" customHeight="1" outlineLevel="1" x14ac:dyDescent="0.3">
      <c r="A86" s="60" t="s">
        <v>93</v>
      </c>
      <c r="B86" s="61">
        <v>50</v>
      </c>
      <c r="C86" s="62" t="s">
        <v>107</v>
      </c>
      <c r="D86" s="63" t="s">
        <v>95</v>
      </c>
      <c r="E86" s="60">
        <v>8</v>
      </c>
      <c r="F86" s="60" t="s">
        <v>96</v>
      </c>
    </row>
    <row r="87" spans="1:6" ht="12.75" hidden="1" customHeight="1" outlineLevel="1" x14ac:dyDescent="0.3">
      <c r="A87" s="64" t="s">
        <v>97</v>
      </c>
      <c r="B87" s="65" t="s">
        <v>98</v>
      </c>
      <c r="C87" s="66" t="s">
        <v>99</v>
      </c>
      <c r="D87" s="67" t="s">
        <v>100</v>
      </c>
      <c r="E87" s="64" t="s">
        <v>101</v>
      </c>
      <c r="F87" s="64" t="s">
        <v>102</v>
      </c>
    </row>
    <row r="88" spans="1:6" ht="12.75" hidden="1" customHeight="1" outlineLevel="1" x14ac:dyDescent="0.3">
      <c r="A88" s="64" t="s">
        <v>103</v>
      </c>
      <c r="B88" s="65"/>
      <c r="C88" s="66"/>
      <c r="D88" s="67"/>
      <c r="E88" s="66"/>
      <c r="F88" s="66">
        <f>SUM(F89:F91)</f>
        <v>16.333333333333332</v>
      </c>
    </row>
    <row r="89" spans="1:6" ht="12.75" hidden="1" customHeight="1" outlineLevel="1" x14ac:dyDescent="0.25">
      <c r="A89" s="44" t="s">
        <v>108</v>
      </c>
      <c r="B89" s="68" t="s">
        <v>109</v>
      </c>
      <c r="C89" s="41">
        <v>0.1</v>
      </c>
      <c r="D89" s="69">
        <f>C89*$E$86/$B$86</f>
        <v>1.6E-2</v>
      </c>
      <c r="E89" s="41">
        <f>VLOOKUP(A89,INSUMOS!$B$7:$D$42,3,0)</f>
        <v>49.166666666666664</v>
      </c>
      <c r="F89" s="41">
        <f>PRODUCT(D89:E89)</f>
        <v>0.78666666666666663</v>
      </c>
    </row>
    <row r="90" spans="1:6" ht="12.75" hidden="1" customHeight="1" outlineLevel="1" x14ac:dyDescent="0.25">
      <c r="A90" s="44" t="s">
        <v>110</v>
      </c>
      <c r="B90" s="68" t="s">
        <v>109</v>
      </c>
      <c r="C90" s="41">
        <v>4</v>
      </c>
      <c r="D90" s="69">
        <f>C90*$E$86/$B$86</f>
        <v>0.64</v>
      </c>
      <c r="E90" s="41">
        <f>VLOOKUP(A90,INSUMOS!$B$7:$D$42,3,0)</f>
        <v>12.291666666666666</v>
      </c>
      <c r="F90" s="41">
        <f>PRODUCT(D90:E90)</f>
        <v>7.8666666666666663</v>
      </c>
    </row>
    <row r="91" spans="1:6" ht="12.75" hidden="1" customHeight="1" outlineLevel="1" x14ac:dyDescent="0.25">
      <c r="A91" s="44" t="s">
        <v>129</v>
      </c>
      <c r="B91" s="68" t="s">
        <v>109</v>
      </c>
      <c r="C91" s="41">
        <v>4</v>
      </c>
      <c r="D91" s="69">
        <f>C91*$E$86/$B$86</f>
        <v>0.64</v>
      </c>
      <c r="E91" s="41">
        <f>VLOOKUP(A91,INSUMOS!$B$7:$D$42,3,0)</f>
        <v>12</v>
      </c>
      <c r="F91" s="41">
        <f>PRODUCT(D91:E91)</f>
        <v>7.68</v>
      </c>
    </row>
    <row r="92" spans="1:6" ht="12.75" hidden="1" customHeight="1" outlineLevel="1" x14ac:dyDescent="0.3">
      <c r="A92" s="64" t="s">
        <v>105</v>
      </c>
      <c r="B92" s="65"/>
      <c r="C92" s="66"/>
      <c r="D92" s="67"/>
      <c r="E92" s="66"/>
      <c r="F92" s="66">
        <f>SUM(F93:F94)</f>
        <v>40.49</v>
      </c>
    </row>
    <row r="93" spans="1:6" ht="12.75" hidden="1" customHeight="1" outlineLevel="1" x14ac:dyDescent="0.25">
      <c r="A93" s="44" t="s">
        <v>130</v>
      </c>
      <c r="B93" s="68" t="s">
        <v>131</v>
      </c>
      <c r="C93" s="41">
        <v>1</v>
      </c>
      <c r="D93" s="69">
        <f>C93*$E$86/$B$86</f>
        <v>0.16</v>
      </c>
      <c r="E93" s="41">
        <f>VLOOKUP(A93,INSUMOS!$B$7:$D$42,3,0)</f>
        <v>250</v>
      </c>
      <c r="F93" s="41">
        <f>D93*E93</f>
        <v>40</v>
      </c>
    </row>
    <row r="94" spans="1:6" ht="12.75" hidden="1" customHeight="1" outlineLevel="1" x14ac:dyDescent="0.25">
      <c r="A94" s="44" t="s">
        <v>111</v>
      </c>
      <c r="B94" s="68" t="s">
        <v>112</v>
      </c>
      <c r="C94" s="41"/>
      <c r="D94" s="69">
        <v>3</v>
      </c>
      <c r="E94" s="41">
        <f>F88</f>
        <v>16.333333333333332</v>
      </c>
      <c r="F94" s="41">
        <f>D94*E94/100</f>
        <v>0.49</v>
      </c>
    </row>
    <row r="95" spans="1:6" ht="12.75" hidden="1" customHeight="1" outlineLevel="1" x14ac:dyDescent="0.25">
      <c r="A95" s="9"/>
      <c r="B95" s="1"/>
      <c r="C95" s="21"/>
    </row>
    <row r="96" spans="1:6" ht="12.75" customHeight="1" collapsed="1" x14ac:dyDescent="0.3">
      <c r="A96" s="54" t="s">
        <v>364</v>
      </c>
      <c r="B96" s="55"/>
      <c r="C96" s="56"/>
      <c r="D96" s="57"/>
      <c r="E96" s="58" t="s">
        <v>92</v>
      </c>
      <c r="F96" s="59">
        <f>F99+F103</f>
        <v>440.84</v>
      </c>
    </row>
    <row r="97" spans="1:6" ht="12.75" hidden="1" customHeight="1" outlineLevel="1" x14ac:dyDescent="0.3">
      <c r="A97" s="60" t="s">
        <v>93</v>
      </c>
      <c r="B97" s="61">
        <v>1</v>
      </c>
      <c r="C97" s="62" t="s">
        <v>133</v>
      </c>
      <c r="D97" s="63" t="s">
        <v>95</v>
      </c>
      <c r="E97" s="60">
        <v>8</v>
      </c>
      <c r="F97" s="60" t="s">
        <v>96</v>
      </c>
    </row>
    <row r="98" spans="1:6" ht="12.75" hidden="1" customHeight="1" outlineLevel="1" x14ac:dyDescent="0.3">
      <c r="A98" s="64" t="s">
        <v>97</v>
      </c>
      <c r="B98" s="65" t="s">
        <v>98</v>
      </c>
      <c r="C98" s="66" t="s">
        <v>99</v>
      </c>
      <c r="D98" s="67" t="s">
        <v>100</v>
      </c>
      <c r="E98" s="64" t="s">
        <v>101</v>
      </c>
      <c r="F98" s="64" t="s">
        <v>102</v>
      </c>
    </row>
    <row r="99" spans="1:6" ht="12.75" hidden="1" customHeight="1" outlineLevel="1" x14ac:dyDescent="0.3">
      <c r="A99" s="64" t="s">
        <v>103</v>
      </c>
      <c r="B99" s="65"/>
      <c r="C99" s="66"/>
      <c r="D99" s="67"/>
      <c r="E99" s="66"/>
      <c r="F99" s="66">
        <f>SUM(F100:F102)</f>
        <v>428</v>
      </c>
    </row>
    <row r="100" spans="1:6" ht="12.75" hidden="1" customHeight="1" outlineLevel="1" x14ac:dyDescent="0.25">
      <c r="A100" s="44" t="s">
        <v>108</v>
      </c>
      <c r="B100" s="68" t="s">
        <v>109</v>
      </c>
      <c r="C100" s="41">
        <v>0.1</v>
      </c>
      <c r="D100" s="69">
        <f>C100*$E$97/$B$97</f>
        <v>0.8</v>
      </c>
      <c r="E100" s="41">
        <f>VLOOKUP(A100,INSUMOS!$B$7:$D$42,3,0)</f>
        <v>49.166666666666664</v>
      </c>
      <c r="F100" s="41">
        <f>PRODUCT(D100:E100)</f>
        <v>39.333333333333336</v>
      </c>
    </row>
    <row r="101" spans="1:6" ht="12.75" hidden="1" customHeight="1" outlineLevel="1" x14ac:dyDescent="0.25">
      <c r="A101" s="44" t="s">
        <v>110</v>
      </c>
      <c r="B101" s="68" t="s">
        <v>109</v>
      </c>
      <c r="C101" s="41">
        <v>2</v>
      </c>
      <c r="D101" s="69">
        <f>C101*$E$97/$B$97</f>
        <v>16</v>
      </c>
      <c r="E101" s="41">
        <f>VLOOKUP(A101,INSUMOS!$B$7:$D$42,3,0)</f>
        <v>12.291666666666666</v>
      </c>
      <c r="F101" s="41">
        <f>PRODUCT(D101:E101)</f>
        <v>196.66666666666666</v>
      </c>
    </row>
    <row r="102" spans="1:6" ht="12.75" hidden="1" customHeight="1" outlineLevel="1" x14ac:dyDescent="0.25">
      <c r="A102" s="44" t="s">
        <v>129</v>
      </c>
      <c r="B102" s="68" t="s">
        <v>109</v>
      </c>
      <c r="C102" s="41">
        <v>2</v>
      </c>
      <c r="D102" s="69">
        <f>C102*$E$97/$B$97</f>
        <v>16</v>
      </c>
      <c r="E102" s="41">
        <f>VLOOKUP(A102,INSUMOS!$B$7:$D$42,3,0)</f>
        <v>12</v>
      </c>
      <c r="F102" s="41">
        <f>PRODUCT(D102:E102)</f>
        <v>192</v>
      </c>
    </row>
    <row r="103" spans="1:6" ht="12.75" hidden="1" customHeight="1" outlineLevel="1" x14ac:dyDescent="0.3">
      <c r="A103" s="64" t="s">
        <v>105</v>
      </c>
      <c r="B103" s="65"/>
      <c r="C103" s="66"/>
      <c r="D103" s="67"/>
      <c r="E103" s="66"/>
      <c r="F103" s="66">
        <f>SUM(F104:F104)</f>
        <v>12.84</v>
      </c>
    </row>
    <row r="104" spans="1:6" ht="12.75" hidden="1" customHeight="1" outlineLevel="1" x14ac:dyDescent="0.25">
      <c r="A104" s="44" t="s">
        <v>111</v>
      </c>
      <c r="B104" s="68" t="s">
        <v>112</v>
      </c>
      <c r="C104" s="41"/>
      <c r="D104" s="69">
        <v>3</v>
      </c>
      <c r="E104" s="41">
        <f>F99</f>
        <v>428</v>
      </c>
      <c r="F104" s="41">
        <f>D104*E104/100</f>
        <v>12.84</v>
      </c>
    </row>
    <row r="105" spans="1:6" ht="12.75" hidden="1" customHeight="1" outlineLevel="1" x14ac:dyDescent="0.25">
      <c r="A105" s="9"/>
      <c r="B105" s="1"/>
      <c r="C105" s="21"/>
    </row>
    <row r="106" spans="1:6" ht="12.75" customHeight="1" collapsed="1" x14ac:dyDescent="0.3">
      <c r="A106" s="54" t="s">
        <v>83</v>
      </c>
      <c r="B106" s="55"/>
      <c r="C106" s="56"/>
      <c r="D106" s="57"/>
      <c r="E106" s="58" t="s">
        <v>92</v>
      </c>
      <c r="F106" s="59">
        <f>F109+F114+F112</f>
        <v>29.724583333333332</v>
      </c>
    </row>
    <row r="107" spans="1:6" ht="12.75" hidden="1" customHeight="1" outlineLevel="1" x14ac:dyDescent="0.3">
      <c r="A107" s="60" t="s">
        <v>93</v>
      </c>
      <c r="B107" s="61">
        <v>8</v>
      </c>
      <c r="C107" s="62" t="s">
        <v>107</v>
      </c>
      <c r="D107" s="63" t="s">
        <v>95</v>
      </c>
      <c r="E107" s="60">
        <v>8</v>
      </c>
      <c r="F107" s="60" t="s">
        <v>96</v>
      </c>
    </row>
    <row r="108" spans="1:6" ht="12.75" hidden="1" customHeight="1" outlineLevel="1" x14ac:dyDescent="0.3">
      <c r="A108" s="64" t="s">
        <v>97</v>
      </c>
      <c r="B108" s="65" t="s">
        <v>98</v>
      </c>
      <c r="C108" s="66" t="s">
        <v>99</v>
      </c>
      <c r="D108" s="67" t="s">
        <v>100</v>
      </c>
      <c r="E108" s="64" t="s">
        <v>101</v>
      </c>
      <c r="F108" s="64" t="s">
        <v>102</v>
      </c>
    </row>
    <row r="109" spans="1:6" ht="12.75" hidden="1" customHeight="1" outlineLevel="1" x14ac:dyDescent="0.3">
      <c r="A109" s="64" t="s">
        <v>103</v>
      </c>
      <c r="B109" s="65"/>
      <c r="C109" s="66"/>
      <c r="D109" s="67"/>
      <c r="E109" s="66"/>
      <c r="F109" s="66">
        <f>SUM(F110:F111)</f>
        <v>17.208333333333332</v>
      </c>
    </row>
    <row r="110" spans="1:6" ht="12.75" hidden="1" customHeight="1" outlineLevel="1" x14ac:dyDescent="0.25">
      <c r="A110" s="44" t="s">
        <v>108</v>
      </c>
      <c r="B110" s="68" t="s">
        <v>109</v>
      </c>
      <c r="C110" s="41">
        <v>0.1</v>
      </c>
      <c r="D110" s="69">
        <f>C110*$E$107/$B$107</f>
        <v>0.1</v>
      </c>
      <c r="E110" s="41">
        <f>VLOOKUP(A110,INSUMOS!$B$7:$D$42,3,0)</f>
        <v>49.166666666666664</v>
      </c>
      <c r="F110" s="41">
        <f>PRODUCT(D110:E110)</f>
        <v>4.916666666666667</v>
      </c>
    </row>
    <row r="111" spans="1:6" ht="12.75" hidden="1" customHeight="1" outlineLevel="1" x14ac:dyDescent="0.25">
      <c r="A111" s="44" t="s">
        <v>110</v>
      </c>
      <c r="B111" s="68" t="s">
        <v>109</v>
      </c>
      <c r="C111" s="41">
        <v>1</v>
      </c>
      <c r="D111" s="69">
        <f>C111*$E$107/$B$107</f>
        <v>1</v>
      </c>
      <c r="E111" s="41">
        <f>VLOOKUP(A111,INSUMOS!$B$7:$D$42,3,0)</f>
        <v>12.291666666666666</v>
      </c>
      <c r="F111" s="41">
        <f>PRODUCT(D111:E111)</f>
        <v>12.291666666666666</v>
      </c>
    </row>
    <row r="112" spans="1:6" ht="12.75" hidden="1" customHeight="1" outlineLevel="1" x14ac:dyDescent="0.3">
      <c r="A112" s="64" t="s">
        <v>116</v>
      </c>
      <c r="B112" s="65"/>
      <c r="C112" s="66"/>
      <c r="D112" s="67"/>
      <c r="E112" s="66"/>
      <c r="F112" s="66">
        <f>SUM(F113)</f>
        <v>12</v>
      </c>
    </row>
    <row r="113" spans="1:6" ht="12.75" hidden="1" customHeight="1" outlineLevel="1" x14ac:dyDescent="0.25">
      <c r="A113" s="44" t="s">
        <v>129</v>
      </c>
      <c r="B113" s="68" t="s">
        <v>109</v>
      </c>
      <c r="C113" s="41">
        <v>1</v>
      </c>
      <c r="D113" s="69">
        <f>C113*$E$107/$B$107</f>
        <v>1</v>
      </c>
      <c r="E113" s="41">
        <f>VLOOKUP(A113,INSUMOS!$B$7:$D$42,3,0)</f>
        <v>12</v>
      </c>
      <c r="F113" s="41">
        <f>PRODUCT(D113:E113)</f>
        <v>12</v>
      </c>
    </row>
    <row r="114" spans="1:6" ht="12.75" hidden="1" customHeight="1" outlineLevel="1" x14ac:dyDescent="0.3">
      <c r="A114" s="64" t="s">
        <v>105</v>
      </c>
      <c r="B114" s="65"/>
      <c r="C114" s="66"/>
      <c r="D114" s="67"/>
      <c r="E114" s="66"/>
      <c r="F114" s="66">
        <f>SUM(F115)</f>
        <v>0.51624999999999999</v>
      </c>
    </row>
    <row r="115" spans="1:6" ht="12.75" hidden="1" customHeight="1" outlineLevel="1" x14ac:dyDescent="0.25">
      <c r="A115" s="44" t="s">
        <v>111</v>
      </c>
      <c r="B115" s="68" t="s">
        <v>112</v>
      </c>
      <c r="C115" s="41"/>
      <c r="D115" s="69">
        <v>3</v>
      </c>
      <c r="E115" s="41">
        <f>F109</f>
        <v>17.208333333333332</v>
      </c>
      <c r="F115" s="41">
        <f>D115*E115/100</f>
        <v>0.51624999999999999</v>
      </c>
    </row>
    <row r="116" spans="1:6" ht="12.75" hidden="1" customHeight="1" outlineLevel="1" x14ac:dyDescent="0.25">
      <c r="A116" s="9"/>
      <c r="B116" s="1"/>
      <c r="C116" s="21"/>
      <c r="D116" s="76">
        <v>5</v>
      </c>
    </row>
    <row r="117" spans="1:6" ht="12.75" customHeight="1" collapsed="1" x14ac:dyDescent="0.25">
      <c r="A117" s="49" t="s">
        <v>35</v>
      </c>
      <c r="B117" s="50"/>
      <c r="C117" s="51"/>
      <c r="D117" s="52"/>
      <c r="E117" s="51"/>
      <c r="F117" s="53"/>
    </row>
    <row r="118" spans="1:6" ht="12.75" customHeight="1" x14ac:dyDescent="0.3">
      <c r="A118" s="54" t="s">
        <v>39</v>
      </c>
      <c r="B118" s="55"/>
      <c r="C118" s="56"/>
      <c r="D118" s="57"/>
      <c r="E118" s="58" t="s">
        <v>92</v>
      </c>
      <c r="F118" s="59">
        <f>F121+F124</f>
        <v>12.532083333333333</v>
      </c>
    </row>
    <row r="119" spans="1:6" ht="12.75" customHeight="1" outlineLevel="1" x14ac:dyDescent="0.3">
      <c r="A119" s="60" t="s">
        <v>93</v>
      </c>
      <c r="B119" s="61">
        <v>200</v>
      </c>
      <c r="C119" s="62" t="s">
        <v>133</v>
      </c>
      <c r="D119" s="63" t="s">
        <v>95</v>
      </c>
      <c r="E119" s="60">
        <v>8</v>
      </c>
      <c r="F119" s="60" t="s">
        <v>96</v>
      </c>
    </row>
    <row r="120" spans="1:6" ht="12.75" customHeight="1" outlineLevel="1" x14ac:dyDescent="0.3">
      <c r="A120" s="64" t="s">
        <v>97</v>
      </c>
      <c r="B120" s="65" t="s">
        <v>98</v>
      </c>
      <c r="C120" s="66" t="s">
        <v>99</v>
      </c>
      <c r="D120" s="67" t="s">
        <v>100</v>
      </c>
      <c r="E120" s="64" t="s">
        <v>101</v>
      </c>
      <c r="F120" s="64" t="s">
        <v>102</v>
      </c>
    </row>
    <row r="121" spans="1:6" ht="12.75" customHeight="1" outlineLevel="1" x14ac:dyDescent="0.3">
      <c r="A121" s="64" t="s">
        <v>103</v>
      </c>
      <c r="B121" s="65"/>
      <c r="C121" s="66"/>
      <c r="D121" s="67"/>
      <c r="E121" s="66"/>
      <c r="F121" s="66">
        <f>SUM(F122:F123)</f>
        <v>2.458333333333333</v>
      </c>
    </row>
    <row r="122" spans="1:6" ht="12.75" customHeight="1" outlineLevel="1" x14ac:dyDescent="0.25">
      <c r="A122" s="44" t="s">
        <v>108</v>
      </c>
      <c r="B122" s="68" t="s">
        <v>109</v>
      </c>
      <c r="C122" s="41">
        <v>1</v>
      </c>
      <c r="D122" s="69">
        <f>C122*$E$119/$B$119</f>
        <v>0.04</v>
      </c>
      <c r="E122" s="41">
        <f>VLOOKUP(A122,INSUMOS!$B$7:$D$42,3,0)</f>
        <v>49.166666666666664</v>
      </c>
      <c r="F122" s="41">
        <f>PRODUCT(D122:E122)</f>
        <v>1.9666666666666666</v>
      </c>
    </row>
    <row r="123" spans="1:6" ht="12.75" customHeight="1" outlineLevel="1" x14ac:dyDescent="0.25">
      <c r="A123" s="44" t="s">
        <v>110</v>
      </c>
      <c r="B123" s="68" t="s">
        <v>109</v>
      </c>
      <c r="C123" s="41">
        <v>1</v>
      </c>
      <c r="D123" s="69">
        <f>C123*$E$119/$B$119</f>
        <v>0.04</v>
      </c>
      <c r="E123" s="41">
        <f>VLOOKUP(A123,INSUMOS!$B$7:$D$42,3,0)</f>
        <v>12.291666666666666</v>
      </c>
      <c r="F123" s="41">
        <f>PRODUCT(D123:E123)</f>
        <v>0.49166666666666664</v>
      </c>
    </row>
    <row r="124" spans="1:6" ht="12.75" customHeight="1" outlineLevel="1" x14ac:dyDescent="0.3">
      <c r="A124" s="64" t="s">
        <v>105</v>
      </c>
      <c r="B124" s="65"/>
      <c r="C124" s="66"/>
      <c r="D124" s="67"/>
      <c r="E124" s="66"/>
      <c r="F124" s="66">
        <f>SUM(F125:F126)</f>
        <v>10.07375</v>
      </c>
    </row>
    <row r="125" spans="1:6" ht="12.75" customHeight="1" outlineLevel="1" x14ac:dyDescent="0.25">
      <c r="A125" s="44" t="s">
        <v>130</v>
      </c>
      <c r="B125" s="68" t="s">
        <v>131</v>
      </c>
      <c r="C125" s="41">
        <v>1</v>
      </c>
      <c r="D125" s="69">
        <f>C125*$E$119/$B$119</f>
        <v>0.04</v>
      </c>
      <c r="E125" s="41">
        <f>VLOOKUP(A125,INSUMOS!$B$7:$D$42,3,0)</f>
        <v>250</v>
      </c>
      <c r="F125" s="41">
        <f>D125*E125</f>
        <v>10</v>
      </c>
    </row>
    <row r="126" spans="1:6" ht="12.75" customHeight="1" outlineLevel="1" x14ac:dyDescent="0.25">
      <c r="A126" s="44" t="s">
        <v>111</v>
      </c>
      <c r="B126" s="68" t="s">
        <v>112</v>
      </c>
      <c r="C126" s="41"/>
      <c r="D126" s="69">
        <v>3</v>
      </c>
      <c r="E126" s="41">
        <f>F121</f>
        <v>2.458333333333333</v>
      </c>
      <c r="F126" s="41">
        <f>D126*E126/100</f>
        <v>7.3749999999999996E-2</v>
      </c>
    </row>
    <row r="127" spans="1:6" ht="12.75" customHeight="1" outlineLevel="1" x14ac:dyDescent="0.25">
      <c r="A127" s="71"/>
      <c r="B127" s="72"/>
      <c r="C127" s="73"/>
      <c r="D127" s="74"/>
      <c r="E127" s="41"/>
      <c r="F127" s="41"/>
    </row>
    <row r="128" spans="1:6" ht="12.75" customHeight="1" x14ac:dyDescent="0.3">
      <c r="A128" s="54" t="s">
        <v>132</v>
      </c>
      <c r="B128" s="55"/>
      <c r="C128" s="56"/>
      <c r="D128" s="57"/>
      <c r="E128" s="58" t="s">
        <v>92</v>
      </c>
      <c r="F128" s="59">
        <f>F131+F134</f>
        <v>47.265555555555551</v>
      </c>
    </row>
    <row r="129" spans="1:6" ht="12.75" hidden="1" customHeight="1" outlineLevel="1" x14ac:dyDescent="0.3">
      <c r="A129" s="60" t="s">
        <v>93</v>
      </c>
      <c r="B129" s="61">
        <v>3</v>
      </c>
      <c r="C129" s="62" t="s">
        <v>133</v>
      </c>
      <c r="D129" s="63" t="s">
        <v>95</v>
      </c>
      <c r="E129" s="60">
        <v>8</v>
      </c>
      <c r="F129" s="60" t="s">
        <v>96</v>
      </c>
    </row>
    <row r="130" spans="1:6" ht="12.75" hidden="1" customHeight="1" outlineLevel="1" x14ac:dyDescent="0.3">
      <c r="A130" s="64" t="s">
        <v>97</v>
      </c>
      <c r="B130" s="65" t="s">
        <v>98</v>
      </c>
      <c r="C130" s="66" t="s">
        <v>99</v>
      </c>
      <c r="D130" s="67" t="s">
        <v>100</v>
      </c>
      <c r="E130" s="64" t="s">
        <v>101</v>
      </c>
      <c r="F130" s="64" t="s">
        <v>102</v>
      </c>
    </row>
    <row r="131" spans="1:6" ht="12.75" hidden="1" customHeight="1" outlineLevel="1" x14ac:dyDescent="0.3">
      <c r="A131" s="64" t="s">
        <v>103</v>
      </c>
      <c r="B131" s="65"/>
      <c r="C131" s="66"/>
      <c r="D131" s="67"/>
      <c r="E131" s="66"/>
      <c r="F131" s="66">
        <f>SUM(F132:F133)</f>
        <v>45.888888888888886</v>
      </c>
    </row>
    <row r="132" spans="1:6" ht="12.75" hidden="1" customHeight="1" outlineLevel="1" x14ac:dyDescent="0.25">
      <c r="A132" s="44" t="s">
        <v>108</v>
      </c>
      <c r="B132" s="68" t="s">
        <v>109</v>
      </c>
      <c r="C132" s="41">
        <v>0.1</v>
      </c>
      <c r="D132" s="69">
        <f>C132*$E$129/$B$129</f>
        <v>0.26666666666666666</v>
      </c>
      <c r="E132" s="41">
        <f>VLOOKUP(A132,INSUMOS!$B$7:$D$42,3,0)</f>
        <v>49.166666666666664</v>
      </c>
      <c r="F132" s="41">
        <f>PRODUCT(D132:E132)</f>
        <v>13.111111111111111</v>
      </c>
    </row>
    <row r="133" spans="1:6" ht="12.75" hidden="1" customHeight="1" outlineLevel="1" x14ac:dyDescent="0.25">
      <c r="A133" s="44" t="s">
        <v>110</v>
      </c>
      <c r="B133" s="68" t="s">
        <v>109</v>
      </c>
      <c r="C133" s="41">
        <v>1</v>
      </c>
      <c r="D133" s="69">
        <f>C133*$E$129/$B$129</f>
        <v>2.6666666666666665</v>
      </c>
      <c r="E133" s="41">
        <f>VLOOKUP(A133,INSUMOS!$B$7:$D$42,3,0)</f>
        <v>12.291666666666666</v>
      </c>
      <c r="F133" s="41">
        <f>PRODUCT(D133:E133)</f>
        <v>32.777777777777771</v>
      </c>
    </row>
    <row r="134" spans="1:6" ht="12.75" hidden="1" customHeight="1" outlineLevel="1" x14ac:dyDescent="0.3">
      <c r="A134" s="64" t="s">
        <v>105</v>
      </c>
      <c r="B134" s="65"/>
      <c r="C134" s="66"/>
      <c r="D134" s="67"/>
      <c r="E134" s="66"/>
      <c r="F134" s="66">
        <f>SUM(F135)</f>
        <v>1.3766666666666665</v>
      </c>
    </row>
    <row r="135" spans="1:6" ht="12.75" hidden="1" customHeight="1" outlineLevel="1" x14ac:dyDescent="0.25">
      <c r="A135" s="44" t="s">
        <v>111</v>
      </c>
      <c r="B135" s="68" t="s">
        <v>112</v>
      </c>
      <c r="C135" s="41"/>
      <c r="D135" s="69">
        <v>3</v>
      </c>
      <c r="E135" s="41">
        <f>F131</f>
        <v>45.888888888888886</v>
      </c>
      <c r="F135" s="41">
        <f>D135*E135/100</f>
        <v>1.3766666666666665</v>
      </c>
    </row>
    <row r="136" spans="1:6" ht="12.75" hidden="1" customHeight="1" outlineLevel="1" x14ac:dyDescent="0.25">
      <c r="A136" s="71"/>
      <c r="B136" s="72"/>
      <c r="C136" s="73"/>
      <c r="D136" s="74"/>
      <c r="E136" s="41"/>
      <c r="F136" s="41"/>
    </row>
    <row r="137" spans="1:6" ht="12.75" customHeight="1" collapsed="1" x14ac:dyDescent="0.3">
      <c r="A137" s="54" t="s">
        <v>134</v>
      </c>
      <c r="B137" s="55"/>
      <c r="C137" s="56"/>
      <c r="D137" s="57"/>
      <c r="E137" s="58" t="s">
        <v>92</v>
      </c>
      <c r="F137" s="59">
        <f>F140+F144</f>
        <v>27.11313333333333</v>
      </c>
    </row>
    <row r="138" spans="1:6" ht="12.75" hidden="1" customHeight="1" outlineLevel="1" x14ac:dyDescent="0.3">
      <c r="A138" s="60" t="s">
        <v>93</v>
      </c>
      <c r="B138" s="61">
        <v>50</v>
      </c>
      <c r="C138" s="62" t="s">
        <v>107</v>
      </c>
      <c r="D138" s="63" t="s">
        <v>95</v>
      </c>
      <c r="E138" s="60">
        <v>8</v>
      </c>
      <c r="F138" s="60" t="s">
        <v>96</v>
      </c>
    </row>
    <row r="139" spans="1:6" ht="12.75" hidden="1" customHeight="1" outlineLevel="1" x14ac:dyDescent="0.3">
      <c r="A139" s="64" t="s">
        <v>97</v>
      </c>
      <c r="B139" s="65" t="s">
        <v>98</v>
      </c>
      <c r="C139" s="66" t="s">
        <v>99</v>
      </c>
      <c r="D139" s="67" t="s">
        <v>100</v>
      </c>
      <c r="E139" s="64" t="s">
        <v>101</v>
      </c>
      <c r="F139" s="64" t="s">
        <v>102</v>
      </c>
    </row>
    <row r="140" spans="1:6" ht="12.75" hidden="1" customHeight="1" outlineLevel="1" x14ac:dyDescent="0.3">
      <c r="A140" s="64" t="s">
        <v>103</v>
      </c>
      <c r="B140" s="65"/>
      <c r="C140" s="66"/>
      <c r="D140" s="67"/>
      <c r="E140" s="66"/>
      <c r="F140" s="66">
        <f>SUM(F141:F143)</f>
        <v>23.993333333333332</v>
      </c>
    </row>
    <row r="141" spans="1:6" ht="12.75" hidden="1" customHeight="1" outlineLevel="1" x14ac:dyDescent="0.25">
      <c r="A141" s="44" t="s">
        <v>108</v>
      </c>
      <c r="B141" s="68" t="s">
        <v>109</v>
      </c>
      <c r="C141" s="41">
        <v>1</v>
      </c>
      <c r="D141" s="69">
        <f>C141*$E$138/$B$138</f>
        <v>0.16</v>
      </c>
      <c r="E141" s="41">
        <f>VLOOKUP(A141,INSUMOS!$B$7:$D$42,3,0)</f>
        <v>49.166666666666664</v>
      </c>
      <c r="F141" s="41">
        <f>PRODUCT(D141:E141)</f>
        <v>7.8666666666666663</v>
      </c>
    </row>
    <row r="142" spans="1:6" ht="12.75" hidden="1" customHeight="1" outlineLevel="1" x14ac:dyDescent="0.25">
      <c r="A142" s="44" t="s">
        <v>113</v>
      </c>
      <c r="B142" s="68" t="s">
        <v>109</v>
      </c>
      <c r="C142" s="41">
        <v>1</v>
      </c>
      <c r="D142" s="69">
        <f>C142*$E$138/$B$138</f>
        <v>0.16</v>
      </c>
      <c r="E142" s="41">
        <f>VLOOKUP(A142,INSUMOS!$B$7:$D$42,3,0)</f>
        <v>27.041666666666668</v>
      </c>
      <c r="F142" s="41">
        <f>PRODUCT(D142:E142)</f>
        <v>4.3266666666666671</v>
      </c>
    </row>
    <row r="143" spans="1:6" ht="12.75" hidden="1" customHeight="1" outlineLevel="1" x14ac:dyDescent="0.25">
      <c r="A143" s="44" t="s">
        <v>110</v>
      </c>
      <c r="B143" s="68" t="s">
        <v>109</v>
      </c>
      <c r="C143" s="41">
        <v>6</v>
      </c>
      <c r="D143" s="69">
        <f>C143*$E$138/$B$138</f>
        <v>0.96</v>
      </c>
      <c r="E143" s="41">
        <f>VLOOKUP(A143,INSUMOS!$B$7:$D$42,3,0)</f>
        <v>12.291666666666666</v>
      </c>
      <c r="F143" s="41">
        <f>PRODUCT(D143:E143)</f>
        <v>11.799999999999999</v>
      </c>
    </row>
    <row r="144" spans="1:6" ht="12.75" hidden="1" customHeight="1" outlineLevel="1" x14ac:dyDescent="0.3">
      <c r="A144" s="64" t="s">
        <v>105</v>
      </c>
      <c r="B144" s="65"/>
      <c r="C144" s="66"/>
      <c r="D144" s="67"/>
      <c r="E144" s="66"/>
      <c r="F144" s="66">
        <f>SUM(F145:F146)</f>
        <v>3.1197999999999997</v>
      </c>
    </row>
    <row r="145" spans="1:6" ht="12.75" hidden="1" customHeight="1" outlineLevel="1" x14ac:dyDescent="0.25">
      <c r="A145" s="44" t="s">
        <v>111</v>
      </c>
      <c r="B145" s="68" t="s">
        <v>112</v>
      </c>
      <c r="C145" s="41"/>
      <c r="D145" s="69">
        <v>3</v>
      </c>
      <c r="E145" s="41">
        <f>F140</f>
        <v>23.993333333333332</v>
      </c>
      <c r="F145" s="41">
        <f>D145*E145/100</f>
        <v>0.71979999999999988</v>
      </c>
    </row>
    <row r="146" spans="1:6" ht="12.75" hidden="1" customHeight="1" outlineLevel="1" x14ac:dyDescent="0.25">
      <c r="A146" s="44" t="s">
        <v>135</v>
      </c>
      <c r="B146" s="68" t="s">
        <v>131</v>
      </c>
      <c r="C146" s="41">
        <v>1</v>
      </c>
      <c r="D146" s="69">
        <f>C146*E138/B138</f>
        <v>0.16</v>
      </c>
      <c r="E146" s="41">
        <f>VLOOKUP(A146,INSUMOS!$B$7:$D$42,3,0)</f>
        <v>15</v>
      </c>
      <c r="F146" s="41">
        <f>D146*E146</f>
        <v>2.4</v>
      </c>
    </row>
    <row r="147" spans="1:6" ht="12.75" hidden="1" customHeight="1" outlineLevel="1" x14ac:dyDescent="0.25">
      <c r="B147" s="72"/>
      <c r="C147" s="73"/>
      <c r="D147" s="74"/>
      <c r="E147" s="41"/>
      <c r="F147" s="41"/>
    </row>
    <row r="148" spans="1:6" ht="12.75" customHeight="1" collapsed="1" x14ac:dyDescent="0.3">
      <c r="A148" s="54" t="s">
        <v>136</v>
      </c>
      <c r="B148" s="55"/>
      <c r="C148" s="56"/>
      <c r="D148" s="57"/>
      <c r="E148" s="58" t="s">
        <v>92</v>
      </c>
      <c r="F148" s="59">
        <f>F151+F154</f>
        <v>5.7227500000000004</v>
      </c>
    </row>
    <row r="149" spans="1:6" ht="12.75" customHeight="1" outlineLevel="1" x14ac:dyDescent="0.3">
      <c r="A149" s="60" t="s">
        <v>93</v>
      </c>
      <c r="B149" s="61">
        <v>200</v>
      </c>
      <c r="C149" s="62" t="s">
        <v>133</v>
      </c>
      <c r="D149" s="63" t="s">
        <v>95</v>
      </c>
      <c r="E149" s="60">
        <v>8</v>
      </c>
      <c r="F149" s="60" t="s">
        <v>96</v>
      </c>
    </row>
    <row r="150" spans="1:6" ht="12.75" customHeight="1" outlineLevel="1" x14ac:dyDescent="0.3">
      <c r="A150" s="64" t="s">
        <v>97</v>
      </c>
      <c r="B150" s="65" t="s">
        <v>98</v>
      </c>
      <c r="C150" s="66" t="s">
        <v>99</v>
      </c>
      <c r="D150" s="67" t="s">
        <v>100</v>
      </c>
      <c r="E150" s="64" t="s">
        <v>101</v>
      </c>
      <c r="F150" s="64" t="s">
        <v>102</v>
      </c>
    </row>
    <row r="151" spans="1:6" ht="12.75" customHeight="1" outlineLevel="1" x14ac:dyDescent="0.3">
      <c r="A151" s="64" t="s">
        <v>103</v>
      </c>
      <c r="B151" s="65"/>
      <c r="C151" s="66"/>
      <c r="D151" s="67"/>
      <c r="E151" s="66"/>
      <c r="F151" s="66">
        <f>SUM(F152:F153)</f>
        <v>0.68833333333333324</v>
      </c>
    </row>
    <row r="152" spans="1:6" ht="12.75" customHeight="1" outlineLevel="1" x14ac:dyDescent="0.25">
      <c r="A152" s="44" t="s">
        <v>108</v>
      </c>
      <c r="B152" s="68" t="s">
        <v>109</v>
      </c>
      <c r="C152" s="41">
        <v>0.1</v>
      </c>
      <c r="D152" s="69">
        <f>C152*$E$149/$B$149</f>
        <v>4.0000000000000001E-3</v>
      </c>
      <c r="E152" s="41">
        <f>VLOOKUP(A152,INSUMOS!$B$7:$D$42,3,0)</f>
        <v>49.166666666666664</v>
      </c>
      <c r="F152" s="41">
        <f>PRODUCT(D152:E152)</f>
        <v>0.19666666666666666</v>
      </c>
    </row>
    <row r="153" spans="1:6" ht="12.75" customHeight="1" outlineLevel="1" x14ac:dyDescent="0.25">
      <c r="A153" s="44" t="s">
        <v>110</v>
      </c>
      <c r="B153" s="68" t="s">
        <v>109</v>
      </c>
      <c r="C153" s="41">
        <v>1</v>
      </c>
      <c r="D153" s="69">
        <f>C153*$E$149/$B$149</f>
        <v>0.04</v>
      </c>
      <c r="E153" s="41">
        <f>VLOOKUP(A153,INSUMOS!$B$7:$D$42,3,0)</f>
        <v>12.291666666666666</v>
      </c>
      <c r="F153" s="41">
        <f>PRODUCT(D153:E153)</f>
        <v>0.49166666666666664</v>
      </c>
    </row>
    <row r="154" spans="1:6" ht="12.75" customHeight="1" outlineLevel="1" x14ac:dyDescent="0.3">
      <c r="A154" s="64" t="s">
        <v>105</v>
      </c>
      <c r="B154" s="65"/>
      <c r="C154" s="66"/>
      <c r="D154" s="67"/>
      <c r="E154" s="66"/>
      <c r="F154" s="66">
        <f>SUM(F155:F156)</f>
        <v>5.034416666666667</v>
      </c>
    </row>
    <row r="155" spans="1:6" ht="12.75" customHeight="1" outlineLevel="1" x14ac:dyDescent="0.25">
      <c r="A155" s="44" t="s">
        <v>111</v>
      </c>
      <c r="B155" s="68" t="s">
        <v>112</v>
      </c>
      <c r="C155" s="41"/>
      <c r="D155" s="69">
        <v>5</v>
      </c>
      <c r="E155" s="41">
        <f>F151</f>
        <v>0.68833333333333324</v>
      </c>
      <c r="F155" s="41">
        <f>D155*E155/100</f>
        <v>3.4416666666666665E-2</v>
      </c>
    </row>
    <row r="156" spans="1:6" ht="12.75" customHeight="1" outlineLevel="1" x14ac:dyDescent="0.25">
      <c r="A156" s="44" t="s">
        <v>130</v>
      </c>
      <c r="B156" s="68" t="s">
        <v>131</v>
      </c>
      <c r="C156" s="41">
        <v>0.5</v>
      </c>
      <c r="D156" s="69">
        <f>C156*$E$119/$B$119</f>
        <v>0.02</v>
      </c>
      <c r="E156" s="41">
        <f>VLOOKUP(A156,INSUMOS!$B$7:$D$42,3,0)</f>
        <v>250</v>
      </c>
      <c r="F156" s="41">
        <f>D156*E156</f>
        <v>5</v>
      </c>
    </row>
    <row r="157" spans="1:6" ht="12.75" customHeight="1" outlineLevel="1" x14ac:dyDescent="0.25">
      <c r="B157" s="1"/>
      <c r="C157" s="21"/>
    </row>
    <row r="158" spans="1:6" ht="12.75" customHeight="1" x14ac:dyDescent="0.3">
      <c r="A158" s="54" t="s">
        <v>137</v>
      </c>
      <c r="B158" s="55"/>
      <c r="C158" s="56"/>
      <c r="D158" s="57"/>
      <c r="E158" s="58" t="s">
        <v>92</v>
      </c>
      <c r="F158" s="59">
        <f>F161+F167+F165</f>
        <v>131.55666666666667</v>
      </c>
    </row>
    <row r="159" spans="1:6" ht="12.75" hidden="1" customHeight="1" outlineLevel="1" x14ac:dyDescent="0.3">
      <c r="A159" s="60" t="s">
        <v>93</v>
      </c>
      <c r="B159" s="61">
        <v>30</v>
      </c>
      <c r="C159" s="62" t="s">
        <v>133</v>
      </c>
      <c r="D159" s="63" t="s">
        <v>95</v>
      </c>
      <c r="E159" s="60">
        <v>8</v>
      </c>
      <c r="F159" s="60" t="s">
        <v>96</v>
      </c>
    </row>
    <row r="160" spans="1:6" ht="12.75" hidden="1" customHeight="1" outlineLevel="1" x14ac:dyDescent="0.3">
      <c r="A160" s="64" t="s">
        <v>97</v>
      </c>
      <c r="B160" s="65" t="s">
        <v>98</v>
      </c>
      <c r="C160" s="66" t="s">
        <v>99</v>
      </c>
      <c r="D160" s="67" t="s">
        <v>100</v>
      </c>
      <c r="E160" s="64" t="s">
        <v>101</v>
      </c>
      <c r="F160" s="64" t="s">
        <v>102</v>
      </c>
    </row>
    <row r="161" spans="1:6" ht="12.75" hidden="1" customHeight="1" outlineLevel="1" x14ac:dyDescent="0.3">
      <c r="A161" s="64" t="s">
        <v>103</v>
      </c>
      <c r="B161" s="65"/>
      <c r="C161" s="66"/>
      <c r="D161" s="67"/>
      <c r="E161" s="66"/>
      <c r="F161" s="66">
        <f>SUM(F162:F164)</f>
        <v>11.8</v>
      </c>
    </row>
    <row r="162" spans="1:6" ht="12.75" hidden="1" customHeight="1" outlineLevel="1" x14ac:dyDescent="0.25">
      <c r="A162" s="44" t="s">
        <v>108</v>
      </c>
      <c r="B162" s="68" t="s">
        <v>109</v>
      </c>
      <c r="C162" s="41">
        <v>0.1</v>
      </c>
      <c r="D162" s="69">
        <f>C162*$E$159/$B$159</f>
        <v>2.6666666666666668E-2</v>
      </c>
      <c r="E162" s="41">
        <f>VLOOKUP(A162,INSUMOS!$B$7:$D$42,3,0)</f>
        <v>49.166666666666664</v>
      </c>
      <c r="F162" s="41">
        <f>PRODUCT(D162:E162)</f>
        <v>1.3111111111111111</v>
      </c>
    </row>
    <row r="163" spans="1:6" ht="12.75" hidden="1" customHeight="1" outlineLevel="1" x14ac:dyDescent="0.25">
      <c r="A163" s="44" t="s">
        <v>113</v>
      </c>
      <c r="B163" s="68" t="s">
        <v>109</v>
      </c>
      <c r="C163" s="41">
        <v>1</v>
      </c>
      <c r="D163" s="69">
        <f>C163*$E$159/$B$159</f>
        <v>0.26666666666666666</v>
      </c>
      <c r="E163" s="41">
        <f>VLOOKUP(A163,INSUMOS!$B$7:$D$42,3,0)</f>
        <v>27.041666666666668</v>
      </c>
      <c r="F163" s="41">
        <f>PRODUCT(D163:E163)</f>
        <v>7.2111111111111112</v>
      </c>
    </row>
    <row r="164" spans="1:6" ht="12.75" hidden="1" customHeight="1" outlineLevel="1" x14ac:dyDescent="0.25">
      <c r="A164" s="44" t="s">
        <v>110</v>
      </c>
      <c r="B164" s="68" t="s">
        <v>109</v>
      </c>
      <c r="C164" s="41">
        <v>1</v>
      </c>
      <c r="D164" s="69">
        <f>C164*$E$159/$B$159</f>
        <v>0.26666666666666666</v>
      </c>
      <c r="E164" s="41">
        <f>VLOOKUP(A164,INSUMOS!$B$7:$D$42,3,0)</f>
        <v>12.291666666666666</v>
      </c>
      <c r="F164" s="41">
        <f>PRODUCT(D164:E164)</f>
        <v>3.2777777777777777</v>
      </c>
    </row>
    <row r="165" spans="1:6" ht="12.75" hidden="1" customHeight="1" outlineLevel="1" x14ac:dyDescent="0.3">
      <c r="A165" s="64" t="s">
        <v>116</v>
      </c>
      <c r="B165" s="65"/>
      <c r="C165" s="66"/>
      <c r="D165" s="67"/>
      <c r="E165" s="66"/>
      <c r="F165" s="66">
        <f>SUM(F166)</f>
        <v>88.5</v>
      </c>
    </row>
    <row r="166" spans="1:6" ht="12.75" hidden="1" customHeight="1" outlineLevel="1" x14ac:dyDescent="0.25">
      <c r="A166" s="44" t="s">
        <v>138</v>
      </c>
      <c r="B166" s="68" t="s">
        <v>37</v>
      </c>
      <c r="C166" s="41"/>
      <c r="D166" s="69">
        <v>1.25</v>
      </c>
      <c r="E166" s="41">
        <f>VLOOKUP(A166,INSUMOS!$B$7:$D$42,3,0)</f>
        <v>70.8</v>
      </c>
      <c r="F166" s="41">
        <f>PRODUCT(D166:E166)</f>
        <v>88.5</v>
      </c>
    </row>
    <row r="167" spans="1:6" ht="12.75" hidden="1" customHeight="1" outlineLevel="1" x14ac:dyDescent="0.3">
      <c r="A167" s="64" t="s">
        <v>105</v>
      </c>
      <c r="B167" s="65"/>
      <c r="C167" s="66"/>
      <c r="D167" s="67"/>
      <c r="E167" s="66"/>
      <c r="F167" s="66">
        <f>SUM(F168:F170)</f>
        <v>31.256666666666668</v>
      </c>
    </row>
    <row r="168" spans="1:6" ht="12.75" hidden="1" customHeight="1" outlineLevel="1" x14ac:dyDescent="0.25">
      <c r="A168" s="44" t="s">
        <v>111</v>
      </c>
      <c r="B168" s="68" t="s">
        <v>112</v>
      </c>
      <c r="C168" s="41"/>
      <c r="D168" s="69">
        <v>5</v>
      </c>
      <c r="E168" s="41">
        <f>F161</f>
        <v>11.8</v>
      </c>
      <c r="F168" s="41">
        <f>D168*E168/100</f>
        <v>0.59</v>
      </c>
    </row>
    <row r="169" spans="1:6" ht="12.75" hidden="1" customHeight="1" outlineLevel="1" x14ac:dyDescent="0.25">
      <c r="A169" s="44" t="s">
        <v>130</v>
      </c>
      <c r="B169" s="68" t="s">
        <v>131</v>
      </c>
      <c r="C169" s="41">
        <v>1</v>
      </c>
      <c r="D169" s="69">
        <f>C169*E159/B159</f>
        <v>0.26666666666666666</v>
      </c>
      <c r="E169" s="41">
        <v>100</v>
      </c>
      <c r="F169" s="41">
        <f>D169*E169</f>
        <v>26.666666666666668</v>
      </c>
    </row>
    <row r="170" spans="1:6" ht="12.75" hidden="1" customHeight="1" outlineLevel="1" x14ac:dyDescent="0.25">
      <c r="A170" s="44" t="s">
        <v>135</v>
      </c>
      <c r="B170" s="68" t="s">
        <v>131</v>
      </c>
      <c r="C170" s="41">
        <v>1</v>
      </c>
      <c r="D170" s="69">
        <f>C170*E159/B159</f>
        <v>0.26666666666666666</v>
      </c>
      <c r="E170" s="41">
        <f>VLOOKUP(A170,INSUMOS!$B$7:$D$42,3,0)</f>
        <v>15</v>
      </c>
      <c r="F170" s="41">
        <f>D170*E170</f>
        <v>4</v>
      </c>
    </row>
    <row r="171" spans="1:6" ht="12.75" hidden="1" customHeight="1" outlineLevel="1" x14ac:dyDescent="0.25">
      <c r="B171" s="1"/>
      <c r="C171" s="21"/>
    </row>
    <row r="172" spans="1:6" ht="12.75" customHeight="1" collapsed="1" x14ac:dyDescent="0.3">
      <c r="A172" s="54" t="s">
        <v>139</v>
      </c>
      <c r="B172" s="55"/>
      <c r="C172" s="56"/>
      <c r="D172" s="57"/>
      <c r="E172" s="58" t="s">
        <v>92</v>
      </c>
      <c r="F172" s="59">
        <f>F175+F178</f>
        <v>28.359333333333336</v>
      </c>
    </row>
    <row r="173" spans="1:6" ht="12.75" hidden="1" customHeight="1" outlineLevel="1" x14ac:dyDescent="0.3">
      <c r="A173" s="60" t="s">
        <v>93</v>
      </c>
      <c r="B173" s="61">
        <v>5</v>
      </c>
      <c r="C173" s="62" t="s">
        <v>133</v>
      </c>
      <c r="D173" s="63" t="s">
        <v>95</v>
      </c>
      <c r="E173" s="60">
        <v>8</v>
      </c>
      <c r="F173" s="60" t="s">
        <v>96</v>
      </c>
    </row>
    <row r="174" spans="1:6" ht="12.75" hidden="1" customHeight="1" outlineLevel="1" x14ac:dyDescent="0.3">
      <c r="A174" s="64" t="s">
        <v>97</v>
      </c>
      <c r="B174" s="65" t="s">
        <v>98</v>
      </c>
      <c r="C174" s="66" t="s">
        <v>99</v>
      </c>
      <c r="D174" s="67" t="s">
        <v>100</v>
      </c>
      <c r="E174" s="64" t="s">
        <v>101</v>
      </c>
      <c r="F174" s="64" t="s">
        <v>102</v>
      </c>
    </row>
    <row r="175" spans="1:6" ht="12.75" hidden="1" customHeight="1" outlineLevel="1" x14ac:dyDescent="0.3">
      <c r="A175" s="64" t="s">
        <v>103</v>
      </c>
      <c r="B175" s="65"/>
      <c r="C175" s="66"/>
      <c r="D175" s="67"/>
      <c r="E175" s="66"/>
      <c r="F175" s="66">
        <f>SUM(F176:F177)</f>
        <v>27.533333333333335</v>
      </c>
    </row>
    <row r="176" spans="1:6" ht="12.75" hidden="1" customHeight="1" outlineLevel="1" x14ac:dyDescent="0.25">
      <c r="A176" s="44" t="s">
        <v>108</v>
      </c>
      <c r="B176" s="68" t="s">
        <v>109</v>
      </c>
      <c r="C176" s="41">
        <v>0.1</v>
      </c>
      <c r="D176" s="69">
        <f>C176*$E$173/$B$173</f>
        <v>0.16</v>
      </c>
      <c r="E176" s="41">
        <f>VLOOKUP(A176,INSUMOS!$B$7:$D$42,3,0)</f>
        <v>49.166666666666664</v>
      </c>
      <c r="F176" s="41">
        <f>PRODUCT(D176:E176)</f>
        <v>7.8666666666666663</v>
      </c>
    </row>
    <row r="177" spans="1:6" ht="12.75" hidden="1" customHeight="1" outlineLevel="1" x14ac:dyDescent="0.25">
      <c r="A177" s="44" t="s">
        <v>110</v>
      </c>
      <c r="B177" s="68" t="s">
        <v>109</v>
      </c>
      <c r="C177" s="41">
        <v>1</v>
      </c>
      <c r="D177" s="69">
        <f>C177*$E$173/$B$173</f>
        <v>1.6</v>
      </c>
      <c r="E177" s="41">
        <f>VLOOKUP(A177,INSUMOS!$B$7:$D$42,3,0)</f>
        <v>12.291666666666666</v>
      </c>
      <c r="F177" s="41">
        <f>PRODUCT(D177:E177)</f>
        <v>19.666666666666668</v>
      </c>
    </row>
    <row r="178" spans="1:6" ht="12.75" hidden="1" customHeight="1" outlineLevel="1" x14ac:dyDescent="0.3">
      <c r="A178" s="64" t="s">
        <v>105</v>
      </c>
      <c r="B178" s="65"/>
      <c r="C178" s="66"/>
      <c r="D178" s="67"/>
      <c r="E178" s="66"/>
      <c r="F178" s="66">
        <f>SUM(F179)</f>
        <v>0.82600000000000007</v>
      </c>
    </row>
    <row r="179" spans="1:6" ht="12.75" hidden="1" customHeight="1" outlineLevel="1" x14ac:dyDescent="0.25">
      <c r="A179" s="44" t="s">
        <v>111</v>
      </c>
      <c r="B179" s="68" t="s">
        <v>112</v>
      </c>
      <c r="C179" s="41"/>
      <c r="D179" s="69">
        <v>3</v>
      </c>
      <c r="E179" s="41">
        <f>F175</f>
        <v>27.533333333333335</v>
      </c>
      <c r="F179" s="41">
        <f>D179*E179/100</f>
        <v>0.82600000000000007</v>
      </c>
    </row>
    <row r="180" spans="1:6" ht="12.75" hidden="1" customHeight="1" outlineLevel="1" x14ac:dyDescent="0.25">
      <c r="B180" s="1"/>
      <c r="C180" s="21"/>
    </row>
    <row r="181" spans="1:6" ht="12.75" customHeight="1" collapsed="1" x14ac:dyDescent="0.3">
      <c r="A181" s="54" t="s">
        <v>140</v>
      </c>
      <c r="B181" s="55"/>
      <c r="C181" s="56"/>
      <c r="D181" s="57"/>
      <c r="E181" s="58" t="s">
        <v>92</v>
      </c>
      <c r="F181" s="59">
        <f>F184+F186</f>
        <v>28.902666666666669</v>
      </c>
    </row>
    <row r="182" spans="1:6" ht="12.75" hidden="1" customHeight="1" outlineLevel="1" x14ac:dyDescent="0.3">
      <c r="A182" s="60" t="s">
        <v>93</v>
      </c>
      <c r="B182" s="61">
        <v>50</v>
      </c>
      <c r="C182" s="62" t="s">
        <v>133</v>
      </c>
      <c r="D182" s="63" t="s">
        <v>95</v>
      </c>
      <c r="E182" s="60">
        <v>8</v>
      </c>
      <c r="F182" s="60" t="s">
        <v>96</v>
      </c>
    </row>
    <row r="183" spans="1:6" ht="12.75" hidden="1" customHeight="1" outlineLevel="1" x14ac:dyDescent="0.3">
      <c r="A183" s="64" t="s">
        <v>97</v>
      </c>
      <c r="B183" s="65" t="s">
        <v>98</v>
      </c>
      <c r="C183" s="66" t="s">
        <v>99</v>
      </c>
      <c r="D183" s="67" t="s">
        <v>100</v>
      </c>
      <c r="E183" s="64" t="s">
        <v>101</v>
      </c>
      <c r="F183" s="64" t="s">
        <v>102</v>
      </c>
    </row>
    <row r="184" spans="1:6" ht="12.75" hidden="1" customHeight="1" outlineLevel="1" x14ac:dyDescent="0.3">
      <c r="A184" s="64" t="s">
        <v>103</v>
      </c>
      <c r="B184" s="65"/>
      <c r="C184" s="66"/>
      <c r="D184" s="67"/>
      <c r="E184" s="66"/>
      <c r="F184" s="66">
        <f>SUM(F185)</f>
        <v>7.8666666666666663</v>
      </c>
    </row>
    <row r="185" spans="1:6" ht="12.75" hidden="1" customHeight="1" outlineLevel="1" x14ac:dyDescent="0.25">
      <c r="A185" s="44" t="s">
        <v>108</v>
      </c>
      <c r="B185" s="68" t="s">
        <v>109</v>
      </c>
      <c r="C185" s="41">
        <v>1</v>
      </c>
      <c r="D185" s="69">
        <f>C185*$E$182/$B$182</f>
        <v>0.16</v>
      </c>
      <c r="E185" s="41">
        <f>VLOOKUP(A185,INSUMOS!$B$7:$D$42,3,0)</f>
        <v>49.166666666666664</v>
      </c>
      <c r="F185" s="41">
        <f>PRODUCT(D185:E185)</f>
        <v>7.8666666666666663</v>
      </c>
    </row>
    <row r="186" spans="1:6" ht="12.75" hidden="1" customHeight="1" outlineLevel="1" x14ac:dyDescent="0.3">
      <c r="A186" s="64" t="s">
        <v>105</v>
      </c>
      <c r="B186" s="65"/>
      <c r="C186" s="66"/>
      <c r="D186" s="67"/>
      <c r="E186" s="66"/>
      <c r="F186" s="66">
        <f>SUM(F187:F188)</f>
        <v>21.036000000000001</v>
      </c>
    </row>
    <row r="187" spans="1:6" ht="12.75" hidden="1" customHeight="1" outlineLevel="1" x14ac:dyDescent="0.25">
      <c r="A187" s="44" t="s">
        <v>141</v>
      </c>
      <c r="B187" s="68" t="s">
        <v>109</v>
      </c>
      <c r="C187" s="41">
        <v>1</v>
      </c>
      <c r="D187" s="69">
        <f>C187*$E$182/$B$182</f>
        <v>0.16</v>
      </c>
      <c r="E187" s="41">
        <f>VLOOKUP(A187,INSUMOS!$B$7:$D$42,3,0)</f>
        <v>130</v>
      </c>
      <c r="F187" s="41">
        <f>PRODUCT(D187:E187)</f>
        <v>20.8</v>
      </c>
    </row>
    <row r="188" spans="1:6" ht="12.75" hidden="1" customHeight="1" outlineLevel="1" x14ac:dyDescent="0.25">
      <c r="A188" s="44" t="s">
        <v>111</v>
      </c>
      <c r="B188" s="68" t="s">
        <v>112</v>
      </c>
      <c r="C188" s="41"/>
      <c r="D188" s="69">
        <v>3</v>
      </c>
      <c r="E188" s="41">
        <f>F184</f>
        <v>7.8666666666666663</v>
      </c>
      <c r="F188" s="41">
        <f>D188*E188/100</f>
        <v>0.23599999999999999</v>
      </c>
    </row>
    <row r="189" spans="1:6" ht="12.75" hidden="1" customHeight="1" outlineLevel="1" x14ac:dyDescent="0.25">
      <c r="B189" s="1"/>
      <c r="C189" s="21"/>
    </row>
    <row r="190" spans="1:6" ht="12.75" customHeight="1" collapsed="1" x14ac:dyDescent="0.3">
      <c r="A190" s="54" t="s">
        <v>142</v>
      </c>
      <c r="B190" s="55"/>
      <c r="C190" s="56"/>
      <c r="D190" s="57"/>
      <c r="E190" s="58" t="s">
        <v>92</v>
      </c>
      <c r="F190" s="59">
        <f>F193+F198+F201</f>
        <v>19.589300000000001</v>
      </c>
    </row>
    <row r="191" spans="1:6" ht="12.75" hidden="1" customHeight="1" outlineLevel="1" x14ac:dyDescent="0.3">
      <c r="A191" s="60" t="s">
        <v>93</v>
      </c>
      <c r="B191" s="61">
        <v>25</v>
      </c>
      <c r="C191" s="62" t="s">
        <v>107</v>
      </c>
      <c r="D191" s="63" t="s">
        <v>95</v>
      </c>
      <c r="E191" s="60">
        <v>8</v>
      </c>
      <c r="F191" s="60" t="s">
        <v>96</v>
      </c>
    </row>
    <row r="192" spans="1:6" ht="12.75" hidden="1" customHeight="1" outlineLevel="1" x14ac:dyDescent="0.3">
      <c r="A192" s="64" t="s">
        <v>97</v>
      </c>
      <c r="B192" s="65" t="s">
        <v>98</v>
      </c>
      <c r="C192" s="66" t="s">
        <v>99</v>
      </c>
      <c r="D192" s="67" t="s">
        <v>100</v>
      </c>
      <c r="E192" s="64" t="s">
        <v>101</v>
      </c>
      <c r="F192" s="64" t="s">
        <v>102</v>
      </c>
    </row>
    <row r="193" spans="1:6" ht="12.75" hidden="1" customHeight="1" outlineLevel="1" x14ac:dyDescent="0.3">
      <c r="A193" s="64" t="s">
        <v>103</v>
      </c>
      <c r="B193" s="65"/>
      <c r="C193" s="66"/>
      <c r="D193" s="67"/>
      <c r="E193" s="66"/>
      <c r="F193" s="66">
        <f>SUM(F194:F197)</f>
        <v>14.31</v>
      </c>
    </row>
    <row r="194" spans="1:6" ht="12.75" hidden="1" customHeight="1" outlineLevel="1" x14ac:dyDescent="0.25">
      <c r="A194" s="44" t="s">
        <v>108</v>
      </c>
      <c r="B194" s="68" t="s">
        <v>109</v>
      </c>
      <c r="C194" s="41">
        <v>0.1</v>
      </c>
      <c r="D194" s="69">
        <f>C194*$E$191/$B$191</f>
        <v>3.2000000000000001E-2</v>
      </c>
      <c r="E194" s="41">
        <f>VLOOKUP(A194,INSUMOS!$B$7:$D$42,3,0)</f>
        <v>49.166666666666664</v>
      </c>
      <c r="F194" s="41">
        <f>PRODUCT(D194:E194)</f>
        <v>1.5733333333333333</v>
      </c>
    </row>
    <row r="195" spans="1:6" ht="12.75" hidden="1" customHeight="1" outlineLevel="1" x14ac:dyDescent="0.25">
      <c r="A195" s="44" t="s">
        <v>113</v>
      </c>
      <c r="B195" s="68" t="s">
        <v>109</v>
      </c>
      <c r="C195" s="41">
        <v>1</v>
      </c>
      <c r="D195" s="69">
        <f>C195*$E$191/$B$191</f>
        <v>0.32</v>
      </c>
      <c r="E195" s="41">
        <f>VLOOKUP(A195,INSUMOS!$B$7:$D$42,3,0)</f>
        <v>27.041666666666668</v>
      </c>
      <c r="F195" s="41">
        <f>PRODUCT(D195:E195)</f>
        <v>8.6533333333333342</v>
      </c>
    </row>
    <row r="196" spans="1:6" ht="12.75" hidden="1" customHeight="1" outlineLevel="1" x14ac:dyDescent="0.25">
      <c r="A196" s="44" t="s">
        <v>110</v>
      </c>
      <c r="B196" s="68" t="s">
        <v>109</v>
      </c>
      <c r="C196" s="41">
        <v>1</v>
      </c>
      <c r="D196" s="69">
        <f>C196*$E$191/$B$191</f>
        <v>0.32</v>
      </c>
      <c r="E196" s="41">
        <f>VLOOKUP(A196,INSUMOS!$B$7:$D$42,3,0)</f>
        <v>12.291666666666666</v>
      </c>
      <c r="F196" s="41">
        <f>PRODUCT(D196:E196)</f>
        <v>3.9333333333333331</v>
      </c>
    </row>
    <row r="197" spans="1:6" ht="12.75" hidden="1" customHeight="1" outlineLevel="1" x14ac:dyDescent="0.25">
      <c r="A197" s="44" t="s">
        <v>114</v>
      </c>
      <c r="B197" s="68" t="s">
        <v>115</v>
      </c>
      <c r="C197" s="41"/>
      <c r="D197" s="69">
        <v>0.03</v>
      </c>
      <c r="E197" s="41">
        <f>VLOOKUP(A197,INSUMOS!$B$7:$D$42,3,0)</f>
        <v>5</v>
      </c>
      <c r="F197" s="41">
        <f>PRODUCT(D197:E197)</f>
        <v>0.15</v>
      </c>
    </row>
    <row r="198" spans="1:6" ht="12.75" hidden="1" customHeight="1" outlineLevel="1" x14ac:dyDescent="0.3">
      <c r="A198" s="64" t="s">
        <v>116</v>
      </c>
      <c r="B198" s="65"/>
      <c r="C198" s="66"/>
      <c r="D198" s="67"/>
      <c r="E198" s="66"/>
      <c r="F198" s="66">
        <f>SUM(F199:F200)</f>
        <v>4.8499999999999996</v>
      </c>
    </row>
    <row r="199" spans="1:6" ht="12.75" hidden="1" customHeight="1" outlineLevel="1" x14ac:dyDescent="0.25">
      <c r="A199" s="44" t="s">
        <v>117</v>
      </c>
      <c r="B199" s="68" t="s">
        <v>118</v>
      </c>
      <c r="C199" s="41"/>
      <c r="D199" s="69">
        <v>0.01</v>
      </c>
      <c r="E199" s="41">
        <f>VLOOKUP(A199,INSUMOS!$B$7:$D$42,3,0)</f>
        <v>5</v>
      </c>
      <c r="F199" s="41">
        <f>PRODUCT(D199:E199)</f>
        <v>0.05</v>
      </c>
    </row>
    <row r="200" spans="1:6" ht="12.75" hidden="1" customHeight="1" outlineLevel="1" x14ac:dyDescent="0.25">
      <c r="A200" s="44" t="s">
        <v>135</v>
      </c>
      <c r="B200" s="68" t="s">
        <v>131</v>
      </c>
      <c r="C200" s="41">
        <v>1</v>
      </c>
      <c r="D200" s="69">
        <f>C200*E191/B191</f>
        <v>0.32</v>
      </c>
      <c r="E200" s="41">
        <f>VLOOKUP(A200,INSUMOS!$B$7:$D$42,3,0)</f>
        <v>15</v>
      </c>
      <c r="F200" s="41">
        <f>D200*E200</f>
        <v>4.8</v>
      </c>
    </row>
    <row r="201" spans="1:6" ht="12.75" hidden="1" customHeight="1" outlineLevel="1" x14ac:dyDescent="0.3">
      <c r="A201" s="64" t="s">
        <v>105</v>
      </c>
      <c r="B201" s="65"/>
      <c r="C201" s="66"/>
      <c r="D201" s="67"/>
      <c r="E201" s="66"/>
      <c r="F201" s="66">
        <f>SUM(F202)</f>
        <v>0.42930000000000001</v>
      </c>
    </row>
    <row r="202" spans="1:6" ht="12.75" hidden="1" customHeight="1" outlineLevel="1" x14ac:dyDescent="0.25">
      <c r="A202" s="44" t="s">
        <v>111</v>
      </c>
      <c r="B202" s="68" t="s">
        <v>112</v>
      </c>
      <c r="C202" s="41"/>
      <c r="D202" s="69">
        <v>3</v>
      </c>
      <c r="E202" s="41">
        <f>+F193</f>
        <v>14.31</v>
      </c>
      <c r="F202" s="41">
        <f>D202*E202/100</f>
        <v>0.42930000000000001</v>
      </c>
    </row>
    <row r="203" spans="1:6" ht="12.75" hidden="1" customHeight="1" outlineLevel="1" x14ac:dyDescent="0.25">
      <c r="B203" s="1"/>
      <c r="C203" s="21"/>
    </row>
    <row r="204" spans="1:6" ht="12.75" customHeight="1" collapsed="1" x14ac:dyDescent="0.25">
      <c r="A204" s="49" t="s">
        <v>40</v>
      </c>
      <c r="B204" s="50"/>
      <c r="C204" s="51"/>
      <c r="D204" s="52"/>
      <c r="E204" s="51"/>
      <c r="F204" s="53"/>
    </row>
    <row r="205" spans="1:6" ht="12.75" customHeight="1" x14ac:dyDescent="0.3">
      <c r="A205" s="54" t="s">
        <v>143</v>
      </c>
      <c r="B205" s="55"/>
      <c r="C205" s="56"/>
      <c r="D205" s="57"/>
      <c r="E205" s="58" t="s">
        <v>92</v>
      </c>
      <c r="F205" s="59">
        <f>F208+F214+F217</f>
        <v>43.417055555555557</v>
      </c>
    </row>
    <row r="206" spans="1:6" ht="12.75" customHeight="1" outlineLevel="1" x14ac:dyDescent="0.3">
      <c r="A206" s="60" t="s">
        <v>93</v>
      </c>
      <c r="B206" s="61">
        <v>60</v>
      </c>
      <c r="C206" s="62" t="s">
        <v>107</v>
      </c>
      <c r="D206" s="63" t="s">
        <v>95</v>
      </c>
      <c r="E206" s="60">
        <v>8</v>
      </c>
      <c r="F206" s="60" t="s">
        <v>96</v>
      </c>
    </row>
    <row r="207" spans="1:6" ht="12.75" customHeight="1" outlineLevel="1" x14ac:dyDescent="0.3">
      <c r="A207" s="64" t="s">
        <v>97</v>
      </c>
      <c r="B207" s="65" t="s">
        <v>98</v>
      </c>
      <c r="C207" s="66" t="s">
        <v>99</v>
      </c>
      <c r="D207" s="67" t="s">
        <v>100</v>
      </c>
      <c r="E207" s="64" t="s">
        <v>101</v>
      </c>
      <c r="F207" s="64" t="s">
        <v>102</v>
      </c>
    </row>
    <row r="208" spans="1:6" ht="12.75" customHeight="1" outlineLevel="1" x14ac:dyDescent="0.3">
      <c r="A208" s="64" t="s">
        <v>103</v>
      </c>
      <c r="B208" s="65"/>
      <c r="C208" s="66"/>
      <c r="D208" s="67"/>
      <c r="E208" s="66"/>
      <c r="F208" s="66">
        <f>SUM(F209:F213)</f>
        <v>13.438888888888888</v>
      </c>
    </row>
    <row r="209" spans="1:6" ht="12.75" customHeight="1" outlineLevel="1" x14ac:dyDescent="0.25">
      <c r="A209" s="44" t="s">
        <v>108</v>
      </c>
      <c r="B209" s="68" t="s">
        <v>109</v>
      </c>
      <c r="C209" s="41">
        <v>0.1</v>
      </c>
      <c r="D209" s="69">
        <f>C209*$E$206/$B$206</f>
        <v>1.3333333333333334E-2</v>
      </c>
      <c r="E209" s="41">
        <f>VLOOKUP(A209,INSUMOS!$B$7:$D$42,3,0)</f>
        <v>49.166666666666664</v>
      </c>
      <c r="F209" s="41">
        <f>PRODUCT(D209:E209)</f>
        <v>0.65555555555555556</v>
      </c>
    </row>
    <row r="210" spans="1:6" ht="12.75" customHeight="1" outlineLevel="1" x14ac:dyDescent="0.25">
      <c r="A210" s="44" t="s">
        <v>113</v>
      </c>
      <c r="B210" s="68" t="s">
        <v>109</v>
      </c>
      <c r="C210" s="41">
        <v>1</v>
      </c>
      <c r="D210" s="69">
        <f>C210*$E$206/$B$206</f>
        <v>0.13333333333333333</v>
      </c>
      <c r="E210" s="41">
        <f>VLOOKUP(A210,INSUMOS!$B$7:$D$42,3,0)</f>
        <v>27.041666666666668</v>
      </c>
      <c r="F210" s="41">
        <f>PRODUCT(D210:E210)</f>
        <v>3.6055555555555556</v>
      </c>
    </row>
    <row r="211" spans="1:6" ht="12.75" customHeight="1" outlineLevel="1" x14ac:dyDescent="0.25">
      <c r="A211" s="44" t="s">
        <v>144</v>
      </c>
      <c r="B211" s="68" t="s">
        <v>109</v>
      </c>
      <c r="C211" s="41">
        <v>1</v>
      </c>
      <c r="D211" s="69">
        <f>C211*$E$206/$B$206</f>
        <v>0.13333333333333333</v>
      </c>
      <c r="E211" s="41">
        <f>VLOOKUP(A211,INSUMOS!$B$7:$D$42,3,0)</f>
        <v>19.666666666666668</v>
      </c>
      <c r="F211" s="41">
        <f>PRODUCT(D211:E211)</f>
        <v>2.6222222222222222</v>
      </c>
    </row>
    <row r="212" spans="1:6" ht="12.75" customHeight="1" outlineLevel="1" x14ac:dyDescent="0.25">
      <c r="A212" s="44" t="s">
        <v>110</v>
      </c>
      <c r="B212" s="68" t="s">
        <v>109</v>
      </c>
      <c r="C212" s="41">
        <v>4</v>
      </c>
      <c r="D212" s="69">
        <f>C212*$E$206/$B$206</f>
        <v>0.53333333333333333</v>
      </c>
      <c r="E212" s="41">
        <f>VLOOKUP(A212,INSUMOS!$B$7:$D$42,3,0)</f>
        <v>12.291666666666666</v>
      </c>
      <c r="F212" s="41">
        <f>PRODUCT(D212:E212)</f>
        <v>6.5555555555555554</v>
      </c>
    </row>
    <row r="213" spans="1:6" ht="12.75" customHeight="1" outlineLevel="1" x14ac:dyDescent="0.25">
      <c r="A213" s="44" t="s">
        <v>114</v>
      </c>
      <c r="B213" s="68" t="s">
        <v>115</v>
      </c>
      <c r="C213" s="41"/>
      <c r="D213" s="69">
        <f>C213*$E$206/$B$206</f>
        <v>0</v>
      </c>
      <c r="E213" s="41">
        <f>VLOOKUP(A213,INSUMOS!$B$7:$D$42,3,0)</f>
        <v>5</v>
      </c>
      <c r="F213" s="41">
        <f>PRODUCT(D213:E213)</f>
        <v>0</v>
      </c>
    </row>
    <row r="214" spans="1:6" ht="12.75" customHeight="1" outlineLevel="1" x14ac:dyDescent="0.3">
      <c r="A214" s="64" t="s">
        <v>116</v>
      </c>
      <c r="B214" s="65"/>
      <c r="C214" s="66"/>
      <c r="D214" s="67"/>
      <c r="E214" s="66"/>
      <c r="F214" s="66">
        <f>SUM(F215:F216)</f>
        <v>28.774999999999999</v>
      </c>
    </row>
    <row r="215" spans="1:6" ht="12.75" customHeight="1" outlineLevel="1" x14ac:dyDescent="0.25">
      <c r="A215" s="44" t="s">
        <v>145</v>
      </c>
      <c r="B215" s="68" t="s">
        <v>147</v>
      </c>
      <c r="C215" s="41"/>
      <c r="D215" s="69">
        <v>0.5</v>
      </c>
      <c r="E215" s="41">
        <f>VLOOKUP(A215,INSUMOS!$B$7:$D$42,3,0)</f>
        <v>31</v>
      </c>
      <c r="F215" s="41">
        <f>PRODUCT(D215:E215)</f>
        <v>15.5</v>
      </c>
    </row>
    <row r="216" spans="1:6" ht="12.75" customHeight="1" outlineLevel="1" x14ac:dyDescent="0.25">
      <c r="A216" s="44" t="s">
        <v>146</v>
      </c>
      <c r="B216" s="68" t="s">
        <v>37</v>
      </c>
      <c r="C216" s="41"/>
      <c r="D216" s="69">
        <v>0.15</v>
      </c>
      <c r="E216" s="41">
        <f>VLOOKUP(A216,INSUMOS!$B$7:$D$42,3,0)</f>
        <v>88.5</v>
      </c>
      <c r="F216" s="41">
        <f>PRODUCT(D216:E216)</f>
        <v>13.275</v>
      </c>
    </row>
    <row r="217" spans="1:6" ht="12.75" customHeight="1" outlineLevel="1" x14ac:dyDescent="0.3">
      <c r="A217" s="64" t="s">
        <v>105</v>
      </c>
      <c r="B217" s="65"/>
      <c r="C217" s="66"/>
      <c r="D217" s="67"/>
      <c r="E217" s="66"/>
      <c r="F217" s="66">
        <f>SUM(F218:F219)</f>
        <v>1.2031666666666667</v>
      </c>
    </row>
    <row r="218" spans="1:6" ht="12.75" customHeight="1" outlineLevel="1" x14ac:dyDescent="0.25">
      <c r="A218" s="44" t="s">
        <v>111</v>
      </c>
      <c r="B218" s="68" t="s">
        <v>112</v>
      </c>
      <c r="C218" s="41"/>
      <c r="D218" s="69">
        <v>3</v>
      </c>
      <c r="E218" s="41">
        <f>F208</f>
        <v>13.438888888888888</v>
      </c>
      <c r="F218" s="41">
        <f>D218*E218/100</f>
        <v>0.40316666666666662</v>
      </c>
    </row>
    <row r="219" spans="1:6" ht="12.75" customHeight="1" outlineLevel="1" x14ac:dyDescent="0.25">
      <c r="A219" s="44" t="s">
        <v>148</v>
      </c>
      <c r="B219" s="68" t="s">
        <v>131</v>
      </c>
      <c r="C219" s="41">
        <v>1</v>
      </c>
      <c r="D219" s="69">
        <f>C219*$E$206/$B$206</f>
        <v>0.13333333333333333</v>
      </c>
      <c r="E219" s="41">
        <f>VLOOKUP(A219,INSUMOS!$B$7:$D$42,3,0)</f>
        <v>6</v>
      </c>
      <c r="F219" s="41">
        <f>PRODUCT(D219:E219)</f>
        <v>0.8</v>
      </c>
    </row>
    <row r="220" spans="1:6" ht="12.75" customHeight="1" outlineLevel="1" x14ac:dyDescent="0.25">
      <c r="B220" s="1"/>
      <c r="C220" s="21"/>
    </row>
    <row r="221" spans="1:6" ht="12.75" customHeight="1" x14ac:dyDescent="0.3">
      <c r="A221" s="54" t="s">
        <v>149</v>
      </c>
      <c r="B221" s="55"/>
      <c r="C221" s="56"/>
      <c r="D221" s="57"/>
      <c r="E221" s="58" t="s">
        <v>92</v>
      </c>
      <c r="F221" s="59">
        <f>F224+F230+F233</f>
        <v>46.960444444444448</v>
      </c>
    </row>
    <row r="222" spans="1:6" ht="12.75" hidden="1" customHeight="1" outlineLevel="1" x14ac:dyDescent="0.3">
      <c r="A222" s="60" t="s">
        <v>93</v>
      </c>
      <c r="B222" s="61">
        <v>15</v>
      </c>
      <c r="C222" s="62" t="s">
        <v>107</v>
      </c>
      <c r="D222" s="63" t="s">
        <v>95</v>
      </c>
      <c r="E222" s="60">
        <v>8</v>
      </c>
      <c r="F222" s="60" t="s">
        <v>96</v>
      </c>
    </row>
    <row r="223" spans="1:6" ht="12.75" hidden="1" customHeight="1" outlineLevel="1" x14ac:dyDescent="0.3">
      <c r="A223" s="64" t="s">
        <v>97</v>
      </c>
      <c r="B223" s="65" t="s">
        <v>98</v>
      </c>
      <c r="C223" s="66" t="s">
        <v>99</v>
      </c>
      <c r="D223" s="67" t="s">
        <v>100</v>
      </c>
      <c r="E223" s="64" t="s">
        <v>101</v>
      </c>
      <c r="F223" s="64" t="s">
        <v>102</v>
      </c>
    </row>
    <row r="224" spans="1:6" ht="12.75" hidden="1" customHeight="1" outlineLevel="1" x14ac:dyDescent="0.3">
      <c r="A224" s="64" t="s">
        <v>103</v>
      </c>
      <c r="B224" s="65"/>
      <c r="C224" s="66"/>
      <c r="D224" s="67"/>
      <c r="E224" s="66"/>
      <c r="F224" s="66">
        <f>SUM(F225:F229)</f>
        <v>43.31111111111111</v>
      </c>
    </row>
    <row r="225" spans="1:6" ht="12.75" hidden="1" customHeight="1" outlineLevel="1" x14ac:dyDescent="0.25">
      <c r="A225" s="44" t="s">
        <v>108</v>
      </c>
      <c r="B225" s="68" t="s">
        <v>109</v>
      </c>
      <c r="C225" s="41">
        <v>0.1</v>
      </c>
      <c r="D225" s="69">
        <f>C225*$E$222/$B$222</f>
        <v>5.3333333333333337E-2</v>
      </c>
      <c r="E225" s="41">
        <f>VLOOKUP(A225,INSUMOS!$B$7:$D$42,3,0)</f>
        <v>49.166666666666664</v>
      </c>
      <c r="F225" s="41">
        <f>PRODUCT(D225:E225)</f>
        <v>2.6222222222222222</v>
      </c>
    </row>
    <row r="226" spans="1:6" ht="12.75" hidden="1" customHeight="1" outlineLevel="1" x14ac:dyDescent="0.25">
      <c r="A226" s="44" t="s">
        <v>113</v>
      </c>
      <c r="B226" s="68" t="s">
        <v>109</v>
      </c>
      <c r="C226" s="41">
        <v>1</v>
      </c>
      <c r="D226" s="69">
        <f>C226*$E$222/$B$222</f>
        <v>0.53333333333333333</v>
      </c>
      <c r="E226" s="41">
        <f>VLOOKUP(A226,INSUMOS!$B$7:$D$42,3,0)</f>
        <v>27.041666666666668</v>
      </c>
      <c r="F226" s="41">
        <f>PRODUCT(D226:E226)</f>
        <v>14.422222222222222</v>
      </c>
    </row>
    <row r="227" spans="1:6" ht="12.75" hidden="1" customHeight="1" outlineLevel="1" x14ac:dyDescent="0.25">
      <c r="A227" s="44" t="s">
        <v>144</v>
      </c>
      <c r="B227" s="68" t="s">
        <v>109</v>
      </c>
      <c r="C227" s="41">
        <v>1</v>
      </c>
      <c r="D227" s="69">
        <f>C227*$E$222/$B$222</f>
        <v>0.53333333333333333</v>
      </c>
      <c r="E227" s="41">
        <f>VLOOKUP(A227,INSUMOS!$B$7:$D$42,3,0)</f>
        <v>19.666666666666668</v>
      </c>
      <c r="F227" s="41">
        <f>PRODUCT(D227:E227)</f>
        <v>10.488888888888889</v>
      </c>
    </row>
    <row r="228" spans="1:6" ht="12.75" hidden="1" customHeight="1" outlineLevel="1" x14ac:dyDescent="0.25">
      <c r="A228" s="44" t="s">
        <v>110</v>
      </c>
      <c r="B228" s="68" t="s">
        <v>109</v>
      </c>
      <c r="C228" s="41">
        <v>0.5</v>
      </c>
      <c r="D228" s="69">
        <f>C228*$E$222/$B$222</f>
        <v>0.26666666666666666</v>
      </c>
      <c r="E228" s="41">
        <f>VLOOKUP(A228,INSUMOS!$B$7:$D$42,3,0)</f>
        <v>12.291666666666666</v>
      </c>
      <c r="F228" s="41">
        <f>PRODUCT(D228:E228)</f>
        <v>3.2777777777777777</v>
      </c>
    </row>
    <row r="229" spans="1:6" ht="12.75" hidden="1" customHeight="1" outlineLevel="1" x14ac:dyDescent="0.25">
      <c r="A229" s="44" t="s">
        <v>114</v>
      </c>
      <c r="B229" s="68" t="s">
        <v>115</v>
      </c>
      <c r="C229" s="41"/>
      <c r="D229" s="69">
        <v>2.5</v>
      </c>
      <c r="E229" s="41">
        <f>VLOOKUP(A229,INSUMOS!$B$7:$D$42,3,0)</f>
        <v>5</v>
      </c>
      <c r="F229" s="41">
        <f>PRODUCT(D229:E229)</f>
        <v>12.5</v>
      </c>
    </row>
    <row r="230" spans="1:6" ht="12.75" hidden="1" customHeight="1" outlineLevel="1" x14ac:dyDescent="0.3">
      <c r="A230" s="64" t="s">
        <v>116</v>
      </c>
      <c r="B230" s="65"/>
      <c r="C230" s="66"/>
      <c r="D230" s="67"/>
      <c r="E230" s="66"/>
      <c r="F230" s="66">
        <f>SUM(F231:F232)</f>
        <v>2.35</v>
      </c>
    </row>
    <row r="231" spans="1:6" ht="12.75" hidden="1" customHeight="1" outlineLevel="1" x14ac:dyDescent="0.25">
      <c r="A231" s="44" t="s">
        <v>117</v>
      </c>
      <c r="B231" s="68" t="s">
        <v>118</v>
      </c>
      <c r="C231" s="41"/>
      <c r="D231" s="69">
        <v>0.3</v>
      </c>
      <c r="E231" s="41">
        <f>VLOOKUP(A231,INSUMOS!$B$7:$D$42,3,0)</f>
        <v>5</v>
      </c>
      <c r="F231" s="41">
        <f>PRODUCT(D231:E231)</f>
        <v>1.5</v>
      </c>
    </row>
    <row r="232" spans="1:6" ht="12.75" hidden="1" customHeight="1" outlineLevel="1" x14ac:dyDescent="0.25">
      <c r="A232" s="44" t="s">
        <v>150</v>
      </c>
      <c r="B232" s="68" t="s">
        <v>118</v>
      </c>
      <c r="C232" s="41"/>
      <c r="D232" s="69">
        <v>0.17</v>
      </c>
      <c r="E232" s="41">
        <f>VLOOKUP(A232,INSUMOS!$B$7:$D$42,3,0)</f>
        <v>5</v>
      </c>
      <c r="F232" s="41">
        <f>PRODUCT(D232:E232)</f>
        <v>0.85000000000000009</v>
      </c>
    </row>
    <row r="233" spans="1:6" ht="12.75" hidden="1" customHeight="1" outlineLevel="1" x14ac:dyDescent="0.3">
      <c r="A233" s="64" t="s">
        <v>105</v>
      </c>
      <c r="B233" s="65"/>
      <c r="C233" s="66"/>
      <c r="D233" s="67"/>
      <c r="E233" s="66"/>
      <c r="F233" s="66">
        <f>SUM(F234)</f>
        <v>1.2993333333333335</v>
      </c>
    </row>
    <row r="234" spans="1:6" ht="12.75" hidden="1" customHeight="1" outlineLevel="1" x14ac:dyDescent="0.25">
      <c r="A234" s="44" t="s">
        <v>111</v>
      </c>
      <c r="B234" s="68" t="s">
        <v>112</v>
      </c>
      <c r="C234" s="41"/>
      <c r="D234" s="69">
        <v>3</v>
      </c>
      <c r="E234" s="41">
        <f>F224</f>
        <v>43.31111111111111</v>
      </c>
      <c r="F234" s="41">
        <f>D234*E234/100</f>
        <v>1.2993333333333335</v>
      </c>
    </row>
    <row r="235" spans="1:6" ht="12.75" hidden="1" customHeight="1" outlineLevel="1" x14ac:dyDescent="0.25">
      <c r="B235" s="1"/>
      <c r="C235" s="21"/>
    </row>
    <row r="236" spans="1:6" ht="12.75" customHeight="1" collapsed="1" x14ac:dyDescent="0.3">
      <c r="A236" s="54" t="s">
        <v>151</v>
      </c>
      <c r="B236" s="55"/>
      <c r="C236" s="56"/>
      <c r="D236" s="57"/>
      <c r="E236" s="58" t="s">
        <v>92</v>
      </c>
      <c r="F236" s="59">
        <f>F239+F244+F248</f>
        <v>399.37605000000002</v>
      </c>
    </row>
    <row r="237" spans="1:6" ht="12.75" hidden="1" customHeight="1" outlineLevel="1" x14ac:dyDescent="0.3">
      <c r="A237" s="60" t="s">
        <v>93</v>
      </c>
      <c r="B237" s="61">
        <v>8</v>
      </c>
      <c r="C237" s="62" t="s">
        <v>133</v>
      </c>
      <c r="D237" s="63" t="s">
        <v>95</v>
      </c>
      <c r="E237" s="60">
        <v>8</v>
      </c>
      <c r="F237" s="60" t="s">
        <v>96</v>
      </c>
    </row>
    <row r="238" spans="1:6" ht="12.75" hidden="1" customHeight="1" outlineLevel="1" x14ac:dyDescent="0.3">
      <c r="A238" s="64" t="s">
        <v>97</v>
      </c>
      <c r="B238" s="65" t="s">
        <v>98</v>
      </c>
      <c r="C238" s="66" t="s">
        <v>99</v>
      </c>
      <c r="D238" s="67" t="s">
        <v>100</v>
      </c>
      <c r="E238" s="64" t="s">
        <v>101</v>
      </c>
      <c r="F238" s="64" t="s">
        <v>102</v>
      </c>
    </row>
    <row r="239" spans="1:6" ht="12.75" hidden="1" customHeight="1" outlineLevel="1" x14ac:dyDescent="0.3">
      <c r="A239" s="64" t="s">
        <v>103</v>
      </c>
      <c r="B239" s="65"/>
      <c r="C239" s="66"/>
      <c r="D239" s="67"/>
      <c r="E239" s="66"/>
      <c r="F239" s="66">
        <f>SUM(F240:F243)</f>
        <v>140.125</v>
      </c>
    </row>
    <row r="240" spans="1:6" ht="12.75" hidden="1" customHeight="1" outlineLevel="1" x14ac:dyDescent="0.25">
      <c r="A240" s="44" t="s">
        <v>108</v>
      </c>
      <c r="B240" s="68" t="s">
        <v>109</v>
      </c>
      <c r="C240" s="41">
        <v>0.1</v>
      </c>
      <c r="D240" s="69">
        <f>C240*$E$237/$B$237</f>
        <v>0.1</v>
      </c>
      <c r="E240" s="41">
        <f>VLOOKUP(A240,INSUMOS!$B$7:$D$42,3,0)</f>
        <v>49.166666666666664</v>
      </c>
      <c r="F240" s="41">
        <f>PRODUCT(D240:E240)</f>
        <v>4.916666666666667</v>
      </c>
    </row>
    <row r="241" spans="1:6" ht="12.75" hidden="1" customHeight="1" outlineLevel="1" x14ac:dyDescent="0.25">
      <c r="A241" s="44" t="s">
        <v>113</v>
      </c>
      <c r="B241" s="68" t="s">
        <v>109</v>
      </c>
      <c r="C241" s="41">
        <v>2</v>
      </c>
      <c r="D241" s="69">
        <f>C241*$E$237/$B$237</f>
        <v>2</v>
      </c>
      <c r="E241" s="41">
        <f>VLOOKUP(A241,INSUMOS!$B$7:$D$42,3,0)</f>
        <v>27.041666666666668</v>
      </c>
      <c r="F241" s="41">
        <f>PRODUCT(D241:E241)</f>
        <v>54.083333333333336</v>
      </c>
    </row>
    <row r="242" spans="1:6" ht="12.75" hidden="1" customHeight="1" outlineLevel="1" x14ac:dyDescent="0.25">
      <c r="A242" s="44" t="s">
        <v>144</v>
      </c>
      <c r="B242" s="68" t="s">
        <v>109</v>
      </c>
      <c r="C242" s="41">
        <v>1</v>
      </c>
      <c r="D242" s="69">
        <f>C242*$E$237/$B$237</f>
        <v>1</v>
      </c>
      <c r="E242" s="41">
        <f>VLOOKUP(A242,INSUMOS!$B$7:$D$42,3,0)</f>
        <v>19.666666666666668</v>
      </c>
      <c r="F242" s="41">
        <f>PRODUCT(D242:E242)</f>
        <v>19.666666666666668</v>
      </c>
    </row>
    <row r="243" spans="1:6" ht="12.75" hidden="1" customHeight="1" outlineLevel="1" x14ac:dyDescent="0.25">
      <c r="A243" s="44" t="s">
        <v>110</v>
      </c>
      <c r="B243" s="68" t="s">
        <v>109</v>
      </c>
      <c r="C243" s="41">
        <v>5</v>
      </c>
      <c r="D243" s="69">
        <f>C243*$E$237/$B$237</f>
        <v>5</v>
      </c>
      <c r="E243" s="41">
        <f>VLOOKUP(A243,INSUMOS!$B$7:$D$42,3,0)</f>
        <v>12.291666666666666</v>
      </c>
      <c r="F243" s="41">
        <f>PRODUCT(D243:E243)</f>
        <v>61.458333333333329</v>
      </c>
    </row>
    <row r="244" spans="1:6" ht="12.75" hidden="1" customHeight="1" outlineLevel="1" x14ac:dyDescent="0.3">
      <c r="A244" s="64" t="s">
        <v>116</v>
      </c>
      <c r="B244" s="65"/>
      <c r="C244" s="66"/>
      <c r="D244" s="67"/>
      <c r="E244" s="66"/>
      <c r="F244" s="66">
        <f>SUM(F245:F247)</f>
        <v>254.9873</v>
      </c>
    </row>
    <row r="245" spans="1:6" ht="12.75" hidden="1" customHeight="1" outlineLevel="1" x14ac:dyDescent="0.25">
      <c r="A245" s="44" t="s">
        <v>152</v>
      </c>
      <c r="B245" s="68" t="s">
        <v>37</v>
      </c>
      <c r="C245" s="41"/>
      <c r="D245" s="69">
        <v>0.504</v>
      </c>
      <c r="E245" s="41">
        <f>VLOOKUP(A245,INSUMOS!$B$7:$D$42,3,0)</f>
        <v>76.7</v>
      </c>
      <c r="F245" s="41">
        <f>PRODUCT(D245:E245)</f>
        <v>38.656800000000004</v>
      </c>
    </row>
    <row r="246" spans="1:6" ht="12.75" hidden="1" customHeight="1" outlineLevel="1" x14ac:dyDescent="0.25">
      <c r="A246" s="44" t="s">
        <v>146</v>
      </c>
      <c r="B246" s="68" t="s">
        <v>37</v>
      </c>
      <c r="C246" s="41"/>
      <c r="D246" s="69">
        <v>0.69299999999999995</v>
      </c>
      <c r="E246" s="41">
        <f>VLOOKUP(A246,INSUMOS!$B$7:$D$42,3,0)</f>
        <v>88.5</v>
      </c>
      <c r="F246" s="41">
        <f>PRODUCT(D246:E246)</f>
        <v>61.330499999999994</v>
      </c>
    </row>
    <row r="247" spans="1:6" ht="12.75" hidden="1" customHeight="1" outlineLevel="1" x14ac:dyDescent="0.25">
      <c r="A247" s="44" t="s">
        <v>145</v>
      </c>
      <c r="B247" s="68" t="s">
        <v>147</v>
      </c>
      <c r="C247" s="41"/>
      <c r="D247" s="69">
        <v>5</v>
      </c>
      <c r="E247" s="41">
        <f>VLOOKUP(A247,INSUMOS!$B$7:$D$42,3,0)</f>
        <v>31</v>
      </c>
      <c r="F247" s="41">
        <f>PRODUCT(D247:E247)</f>
        <v>155</v>
      </c>
    </row>
    <row r="248" spans="1:6" ht="12.75" hidden="1" customHeight="1" outlineLevel="1" x14ac:dyDescent="0.3">
      <c r="A248" s="64" t="s">
        <v>105</v>
      </c>
      <c r="B248" s="65"/>
      <c r="C248" s="66"/>
      <c r="D248" s="67"/>
      <c r="E248" s="66"/>
      <c r="F248" s="66">
        <f>SUM(F249:F250)</f>
        <v>4.2637499999999999</v>
      </c>
    </row>
    <row r="249" spans="1:6" ht="12.75" hidden="1" customHeight="1" outlineLevel="1" x14ac:dyDescent="0.25">
      <c r="A249" s="44" t="s">
        <v>111</v>
      </c>
      <c r="B249" s="68" t="s">
        <v>112</v>
      </c>
      <c r="C249" s="41"/>
      <c r="D249" s="69">
        <v>3</v>
      </c>
      <c r="E249" s="41">
        <f>F239</f>
        <v>140.125</v>
      </c>
      <c r="F249" s="41">
        <f>D249*E249/100</f>
        <v>4.2037500000000003</v>
      </c>
    </row>
    <row r="250" spans="1:6" ht="12.75" hidden="1" customHeight="1" outlineLevel="1" x14ac:dyDescent="0.25">
      <c r="A250" s="44" t="s">
        <v>148</v>
      </c>
      <c r="B250" s="68" t="s">
        <v>131</v>
      </c>
      <c r="C250" s="41">
        <v>1</v>
      </c>
      <c r="D250" s="69">
        <f>C250*$E$237/$B$237</f>
        <v>1</v>
      </c>
      <c r="E250" s="41">
        <f>VLOOKUP(A250,INSUMOS!$B$7:$D$42,3,0)</f>
        <v>6</v>
      </c>
      <c r="F250" s="41">
        <f>D250*E250/100</f>
        <v>0.06</v>
      </c>
    </row>
    <row r="251" spans="1:6" ht="12.75" hidden="1" customHeight="1" outlineLevel="1" x14ac:dyDescent="0.25">
      <c r="B251" s="1"/>
      <c r="C251" s="21"/>
    </row>
    <row r="252" spans="1:6" ht="12.75" customHeight="1" collapsed="1" x14ac:dyDescent="0.3">
      <c r="A252" s="54" t="s">
        <v>153</v>
      </c>
      <c r="B252" s="55"/>
      <c r="C252" s="56"/>
      <c r="D252" s="57"/>
      <c r="E252" s="58" t="s">
        <v>92</v>
      </c>
      <c r="F252" s="59">
        <f>F255+F260+F264</f>
        <v>343.98499230769232</v>
      </c>
    </row>
    <row r="253" spans="1:6" ht="12.75" hidden="1" customHeight="1" outlineLevel="1" x14ac:dyDescent="0.3">
      <c r="A253" s="60" t="s">
        <v>93</v>
      </c>
      <c r="B253" s="61">
        <v>13</v>
      </c>
      <c r="C253" s="62" t="s">
        <v>133</v>
      </c>
      <c r="D253" s="63" t="s">
        <v>95</v>
      </c>
      <c r="E253" s="60">
        <v>8</v>
      </c>
      <c r="F253" s="60" t="s">
        <v>96</v>
      </c>
    </row>
    <row r="254" spans="1:6" ht="12.75" hidden="1" customHeight="1" outlineLevel="1" x14ac:dyDescent="0.3">
      <c r="A254" s="64" t="s">
        <v>97</v>
      </c>
      <c r="B254" s="65" t="s">
        <v>98</v>
      </c>
      <c r="C254" s="66" t="s">
        <v>99</v>
      </c>
      <c r="D254" s="67" t="s">
        <v>100</v>
      </c>
      <c r="E254" s="64" t="s">
        <v>101</v>
      </c>
      <c r="F254" s="64" t="s">
        <v>102</v>
      </c>
    </row>
    <row r="255" spans="1:6" ht="12.75" hidden="1" customHeight="1" outlineLevel="1" x14ac:dyDescent="0.3">
      <c r="A255" s="64" t="s">
        <v>103</v>
      </c>
      <c r="B255" s="65"/>
      <c r="C255" s="66"/>
      <c r="D255" s="67"/>
      <c r="E255" s="66"/>
      <c r="F255" s="66">
        <f>SUM(F256:F259)</f>
        <v>86.230769230769226</v>
      </c>
    </row>
    <row r="256" spans="1:6" ht="12.75" hidden="1" customHeight="1" outlineLevel="1" x14ac:dyDescent="0.25">
      <c r="A256" s="44" t="s">
        <v>108</v>
      </c>
      <c r="B256" s="68" t="s">
        <v>109</v>
      </c>
      <c r="C256" s="41">
        <v>0.1</v>
      </c>
      <c r="D256" s="69">
        <f>C256*$E$253/$B$253</f>
        <v>6.1538461538461542E-2</v>
      </c>
      <c r="E256" s="41">
        <f>VLOOKUP(A256,INSUMOS!$B$7:$D$42,3,0)</f>
        <v>49.166666666666664</v>
      </c>
      <c r="F256" s="41">
        <f>PRODUCT(D256:E256)</f>
        <v>3.0256410256410255</v>
      </c>
    </row>
    <row r="257" spans="1:6" ht="12.75" hidden="1" customHeight="1" outlineLevel="1" x14ac:dyDescent="0.25">
      <c r="A257" s="44" t="s">
        <v>113</v>
      </c>
      <c r="B257" s="68" t="s">
        <v>109</v>
      </c>
      <c r="C257" s="41">
        <v>2</v>
      </c>
      <c r="D257" s="69">
        <f>C257*$E$253/$B$253</f>
        <v>1.2307692307692308</v>
      </c>
      <c r="E257" s="41">
        <f>VLOOKUP(A257,INSUMOS!$B$7:$D$42,3,0)</f>
        <v>27.041666666666668</v>
      </c>
      <c r="F257" s="41">
        <f>PRODUCT(D257:E257)</f>
        <v>33.282051282051285</v>
      </c>
    </row>
    <row r="258" spans="1:6" ht="12.75" hidden="1" customHeight="1" outlineLevel="1" x14ac:dyDescent="0.25">
      <c r="A258" s="44" t="s">
        <v>144</v>
      </c>
      <c r="B258" s="68" t="s">
        <v>109</v>
      </c>
      <c r="C258" s="41">
        <v>1</v>
      </c>
      <c r="D258" s="69">
        <f>C258*$E$253/$B$253</f>
        <v>0.61538461538461542</v>
      </c>
      <c r="E258" s="41">
        <f>VLOOKUP(A258,INSUMOS!$B$7:$D$42,3,0)</f>
        <v>19.666666666666668</v>
      </c>
      <c r="F258" s="41">
        <f>PRODUCT(D258:E258)</f>
        <v>12.102564102564104</v>
      </c>
    </row>
    <row r="259" spans="1:6" ht="12.75" hidden="1" customHeight="1" outlineLevel="1" x14ac:dyDescent="0.25">
      <c r="A259" s="44" t="s">
        <v>110</v>
      </c>
      <c r="B259" s="68" t="s">
        <v>109</v>
      </c>
      <c r="C259" s="41">
        <v>5</v>
      </c>
      <c r="D259" s="69">
        <f>C259*$E$253/$B$253</f>
        <v>3.0769230769230771</v>
      </c>
      <c r="E259" s="41">
        <f>VLOOKUP(A259,INSUMOS!$B$7:$D$42,3,0)</f>
        <v>12.291666666666666</v>
      </c>
      <c r="F259" s="41">
        <f>PRODUCT(D259:E259)</f>
        <v>37.820512820512818</v>
      </c>
    </row>
    <row r="260" spans="1:6" ht="12.75" hidden="1" customHeight="1" outlineLevel="1" x14ac:dyDescent="0.3">
      <c r="A260" s="64" t="s">
        <v>116</v>
      </c>
      <c r="B260" s="65"/>
      <c r="C260" s="66"/>
      <c r="D260" s="67"/>
      <c r="E260" s="66"/>
      <c r="F260" s="66">
        <f>SUM(F261:F263)</f>
        <v>254.9873</v>
      </c>
    </row>
    <row r="261" spans="1:6" ht="12.75" hidden="1" customHeight="1" outlineLevel="1" x14ac:dyDescent="0.25">
      <c r="A261" s="44" t="s">
        <v>152</v>
      </c>
      <c r="B261" s="68" t="s">
        <v>37</v>
      </c>
      <c r="C261" s="41"/>
      <c r="D261" s="69">
        <v>0.504</v>
      </c>
      <c r="E261" s="41">
        <f>VLOOKUP(A261,INSUMOS!$B$7:$D$42,3,0)</f>
        <v>76.7</v>
      </c>
      <c r="F261" s="41">
        <f>PRODUCT(D261:E261)</f>
        <v>38.656800000000004</v>
      </c>
    </row>
    <row r="262" spans="1:6" ht="12.75" hidden="1" customHeight="1" outlineLevel="1" x14ac:dyDescent="0.25">
      <c r="A262" s="44" t="s">
        <v>146</v>
      </c>
      <c r="B262" s="68" t="s">
        <v>37</v>
      </c>
      <c r="C262" s="41"/>
      <c r="D262" s="69">
        <v>0.69299999999999995</v>
      </c>
      <c r="E262" s="41">
        <f>VLOOKUP(A262,INSUMOS!$B$7:$D$42,3,0)</f>
        <v>88.5</v>
      </c>
      <c r="F262" s="41">
        <f>PRODUCT(D262:E262)</f>
        <v>61.330499999999994</v>
      </c>
    </row>
    <row r="263" spans="1:6" ht="12.75" hidden="1" customHeight="1" outlineLevel="1" x14ac:dyDescent="0.25">
      <c r="A263" s="44" t="s">
        <v>145</v>
      </c>
      <c r="B263" s="68" t="s">
        <v>147</v>
      </c>
      <c r="C263" s="41"/>
      <c r="D263" s="69">
        <v>5</v>
      </c>
      <c r="E263" s="41">
        <f>VLOOKUP(A263,INSUMOS!$B$7:$D$42,3,0)</f>
        <v>31</v>
      </c>
      <c r="F263" s="41">
        <f>PRODUCT(D263:E263)</f>
        <v>155</v>
      </c>
    </row>
    <row r="264" spans="1:6" ht="12.75" hidden="1" customHeight="1" outlineLevel="1" x14ac:dyDescent="0.3">
      <c r="A264" s="64" t="s">
        <v>105</v>
      </c>
      <c r="B264" s="65"/>
      <c r="C264" s="66"/>
      <c r="D264" s="67"/>
      <c r="E264" s="66"/>
      <c r="F264" s="66">
        <f>SUM(F265:F266)</f>
        <v>2.766923076923077</v>
      </c>
    </row>
    <row r="265" spans="1:6" ht="12.75" hidden="1" customHeight="1" outlineLevel="1" x14ac:dyDescent="0.25">
      <c r="A265" s="44" t="s">
        <v>111</v>
      </c>
      <c r="B265" s="68" t="s">
        <v>112</v>
      </c>
      <c r="C265" s="41"/>
      <c r="D265" s="69">
        <v>3</v>
      </c>
      <c r="E265" s="41">
        <f>F255</f>
        <v>86.230769230769226</v>
      </c>
      <c r="F265" s="41">
        <f>D265*E265/100</f>
        <v>2.5869230769230769</v>
      </c>
    </row>
    <row r="266" spans="1:6" ht="12.75" hidden="1" customHeight="1" outlineLevel="1" x14ac:dyDescent="0.25">
      <c r="A266" s="44" t="s">
        <v>148</v>
      </c>
      <c r="B266" s="68" t="s">
        <v>131</v>
      </c>
      <c r="C266" s="41">
        <v>1</v>
      </c>
      <c r="D266" s="69">
        <v>3</v>
      </c>
      <c r="E266" s="41">
        <f>VLOOKUP(A266,INSUMOS!$B$7:$D$42,3,0)</f>
        <v>6</v>
      </c>
      <c r="F266" s="41">
        <f>D266*E266/100</f>
        <v>0.18</v>
      </c>
    </row>
    <row r="267" spans="1:6" ht="12.75" hidden="1" customHeight="1" outlineLevel="1" x14ac:dyDescent="0.25">
      <c r="A267" s="75"/>
      <c r="B267" s="72"/>
      <c r="C267" s="77"/>
      <c r="D267" s="78"/>
      <c r="E267" s="41"/>
      <c r="F267" s="41"/>
    </row>
    <row r="268" spans="1:6" ht="12.75" customHeight="1" collapsed="1" x14ac:dyDescent="0.3">
      <c r="A268" s="54" t="s">
        <v>154</v>
      </c>
      <c r="B268" s="55"/>
      <c r="C268" s="56"/>
      <c r="D268" s="57"/>
      <c r="E268" s="58" t="s">
        <v>92</v>
      </c>
      <c r="F268" s="59">
        <f>F271+F276+F279</f>
        <v>267.71520000000004</v>
      </c>
    </row>
    <row r="269" spans="1:6" ht="12.75" hidden="1" customHeight="1" outlineLevel="1" x14ac:dyDescent="0.3">
      <c r="A269" s="60" t="s">
        <v>93</v>
      </c>
      <c r="B269" s="61">
        <v>25</v>
      </c>
      <c r="C269" s="62" t="s">
        <v>133</v>
      </c>
      <c r="D269" s="63" t="s">
        <v>95</v>
      </c>
      <c r="E269" s="60">
        <v>8</v>
      </c>
      <c r="F269" s="60" t="s">
        <v>96</v>
      </c>
    </row>
    <row r="270" spans="1:6" ht="12.75" hidden="1" customHeight="1" outlineLevel="1" x14ac:dyDescent="0.3">
      <c r="A270" s="64" t="s">
        <v>97</v>
      </c>
      <c r="B270" s="65" t="s">
        <v>98</v>
      </c>
      <c r="C270" s="66" t="s">
        <v>99</v>
      </c>
      <c r="D270" s="67" t="s">
        <v>100</v>
      </c>
      <c r="E270" s="64" t="s">
        <v>101</v>
      </c>
      <c r="F270" s="64" t="s">
        <v>102</v>
      </c>
    </row>
    <row r="271" spans="1:6" ht="12.75" hidden="1" customHeight="1" outlineLevel="1" x14ac:dyDescent="0.3">
      <c r="A271" s="64" t="s">
        <v>103</v>
      </c>
      <c r="B271" s="65"/>
      <c r="C271" s="66"/>
      <c r="D271" s="67"/>
      <c r="E271" s="66"/>
      <c r="F271" s="66">
        <f>SUM(F272:F275)</f>
        <v>44.84</v>
      </c>
    </row>
    <row r="272" spans="1:6" ht="12.75" hidden="1" customHeight="1" outlineLevel="1" x14ac:dyDescent="0.25">
      <c r="A272" s="44" t="s">
        <v>108</v>
      </c>
      <c r="B272" s="68" t="s">
        <v>109</v>
      </c>
      <c r="C272" s="41">
        <v>0.1</v>
      </c>
      <c r="D272" s="69">
        <f>C272*$E$538/$B$538</f>
        <v>3.2000000000000001E-2</v>
      </c>
      <c r="E272" s="41">
        <f>VLOOKUP(A272,INSUMOS!$B$7:$D$42,3,0)</f>
        <v>49.166666666666664</v>
      </c>
      <c r="F272" s="41">
        <f>PRODUCT(D272:E272)</f>
        <v>1.5733333333333333</v>
      </c>
    </row>
    <row r="273" spans="1:6" ht="12.75" hidden="1" customHeight="1" outlineLevel="1" x14ac:dyDescent="0.25">
      <c r="A273" s="44" t="s">
        <v>113</v>
      </c>
      <c r="B273" s="68" t="s">
        <v>109</v>
      </c>
      <c r="C273" s="41">
        <v>2</v>
      </c>
      <c r="D273" s="69">
        <f>C273*$E$538/$B$538</f>
        <v>0.64</v>
      </c>
      <c r="E273" s="41">
        <f>VLOOKUP(A273,INSUMOS!$B$7:$D$42,3,0)</f>
        <v>27.041666666666668</v>
      </c>
      <c r="F273" s="41">
        <f>PRODUCT(D273:E273)</f>
        <v>17.306666666666668</v>
      </c>
    </row>
    <row r="274" spans="1:6" ht="12.75" hidden="1" customHeight="1" outlineLevel="1" x14ac:dyDescent="0.25">
      <c r="A274" s="44" t="s">
        <v>144</v>
      </c>
      <c r="B274" s="68" t="s">
        <v>109</v>
      </c>
      <c r="C274" s="41">
        <v>1</v>
      </c>
      <c r="D274" s="69">
        <f>C274*$E$538/$B$538</f>
        <v>0.32</v>
      </c>
      <c r="E274" s="41">
        <f>VLOOKUP(A274,INSUMOS!$B$7:$D$42,3,0)</f>
        <v>19.666666666666668</v>
      </c>
      <c r="F274" s="41">
        <f>PRODUCT(D274:E274)</f>
        <v>6.2933333333333339</v>
      </c>
    </row>
    <row r="275" spans="1:6" ht="12.75" hidden="1" customHeight="1" outlineLevel="1" x14ac:dyDescent="0.25">
      <c r="A275" s="44" t="s">
        <v>110</v>
      </c>
      <c r="B275" s="68" t="s">
        <v>109</v>
      </c>
      <c r="C275" s="41">
        <v>5</v>
      </c>
      <c r="D275" s="69">
        <f>C275*$E$538/$B$538</f>
        <v>1.6</v>
      </c>
      <c r="E275" s="41">
        <f>VLOOKUP(A275,INSUMOS!$B$7:$D$42,3,0)</f>
        <v>12.291666666666666</v>
      </c>
      <c r="F275" s="41">
        <f>PRODUCT(D275:E275)</f>
        <v>19.666666666666668</v>
      </c>
    </row>
    <row r="276" spans="1:6" ht="12.75" hidden="1" customHeight="1" outlineLevel="1" x14ac:dyDescent="0.3">
      <c r="A276" s="64" t="s">
        <v>116</v>
      </c>
      <c r="B276" s="65"/>
      <c r="C276" s="66"/>
      <c r="D276" s="67"/>
      <c r="E276" s="66"/>
      <c r="F276" s="66">
        <f>SUM(F277:F278)</f>
        <v>218.01</v>
      </c>
    </row>
    <row r="277" spans="1:6" ht="12.75" hidden="1" customHeight="1" outlineLevel="1" x14ac:dyDescent="0.25">
      <c r="A277" s="44" t="s">
        <v>155</v>
      </c>
      <c r="B277" s="68" t="s">
        <v>37</v>
      </c>
      <c r="C277" s="41"/>
      <c r="D277" s="69">
        <v>0.75</v>
      </c>
      <c r="E277" s="41">
        <f>VLOOKUP(A277,INSUMOS!$B$7:$D$42,3,0)</f>
        <v>260</v>
      </c>
      <c r="F277" s="41">
        <f>PRODUCT(D277:E277)</f>
        <v>195</v>
      </c>
    </row>
    <row r="278" spans="1:6" ht="12.75" hidden="1" customHeight="1" outlineLevel="1" x14ac:dyDescent="0.25">
      <c r="A278" s="44" t="s">
        <v>152</v>
      </c>
      <c r="B278" s="68" t="s">
        <v>37</v>
      </c>
      <c r="C278" s="41"/>
      <c r="D278" s="69">
        <v>0.3</v>
      </c>
      <c r="E278" s="41">
        <f>VLOOKUP(A278,INSUMOS!$B$7:$D$42,3,0)</f>
        <v>76.7</v>
      </c>
      <c r="F278" s="41">
        <f>PRODUCT(D278:E278)</f>
        <v>23.01</v>
      </c>
    </row>
    <row r="279" spans="1:6" ht="12.75" hidden="1" customHeight="1" outlineLevel="1" x14ac:dyDescent="0.3">
      <c r="A279" s="64" t="s">
        <v>105</v>
      </c>
      <c r="B279" s="65"/>
      <c r="C279" s="66"/>
      <c r="D279" s="67"/>
      <c r="E279" s="66"/>
      <c r="F279" s="66">
        <f>SUM(F280:F281)</f>
        <v>4.8651999999999997</v>
      </c>
    </row>
    <row r="280" spans="1:6" ht="12.75" hidden="1" customHeight="1" outlineLevel="1" x14ac:dyDescent="0.25">
      <c r="A280" s="79" t="s">
        <v>111</v>
      </c>
      <c r="B280" s="80" t="s">
        <v>112</v>
      </c>
      <c r="C280" s="81"/>
      <c r="D280" s="82">
        <v>3</v>
      </c>
      <c r="E280" s="81">
        <f>F271</f>
        <v>44.84</v>
      </c>
      <c r="F280" s="81">
        <f>D280*E280/100</f>
        <v>1.3452000000000002</v>
      </c>
    </row>
    <row r="281" spans="1:6" ht="12.75" hidden="1" customHeight="1" outlineLevel="1" x14ac:dyDescent="0.25">
      <c r="A281" s="44" t="s">
        <v>156</v>
      </c>
      <c r="B281" s="83" t="s">
        <v>131</v>
      </c>
      <c r="C281" s="41">
        <v>0.5</v>
      </c>
      <c r="D281" s="69">
        <f>C281*$E$538/$B$538</f>
        <v>0.16</v>
      </c>
      <c r="E281" s="41">
        <f>VLOOKUP(A281,INSUMOS!$B$7:$D$42,3,0)</f>
        <v>22</v>
      </c>
      <c r="F281" s="41">
        <f>PRODUCT(D281:E281)</f>
        <v>3.52</v>
      </c>
    </row>
    <row r="282" spans="1:6" ht="12.75" hidden="1" customHeight="1" outlineLevel="1" x14ac:dyDescent="0.25">
      <c r="A282" s="75"/>
      <c r="B282" s="72"/>
      <c r="C282" s="77"/>
      <c r="D282" s="78"/>
      <c r="E282" s="41"/>
      <c r="F282" s="41"/>
    </row>
    <row r="283" spans="1:6" ht="12.75" customHeight="1" collapsed="1" x14ac:dyDescent="0.3">
      <c r="A283" s="54" t="s">
        <v>157</v>
      </c>
      <c r="B283" s="55"/>
      <c r="C283" s="56"/>
      <c r="D283" s="57"/>
      <c r="E283" s="58" t="s">
        <v>92</v>
      </c>
      <c r="F283" s="59">
        <f>F286+F291+F294</f>
        <v>42.985277777777775</v>
      </c>
    </row>
    <row r="284" spans="1:6" ht="12.75" hidden="1" customHeight="1" outlineLevel="1" x14ac:dyDescent="0.3">
      <c r="A284" s="60" t="s">
        <v>93</v>
      </c>
      <c r="B284" s="61">
        <v>18</v>
      </c>
      <c r="C284" s="62" t="s">
        <v>107</v>
      </c>
      <c r="D284" s="63" t="s">
        <v>95</v>
      </c>
      <c r="E284" s="60">
        <v>8</v>
      </c>
      <c r="F284" s="60" t="s">
        <v>96</v>
      </c>
    </row>
    <row r="285" spans="1:6" ht="12.75" hidden="1" customHeight="1" outlineLevel="1" x14ac:dyDescent="0.3">
      <c r="A285" s="64" t="s">
        <v>97</v>
      </c>
      <c r="B285" s="65" t="s">
        <v>98</v>
      </c>
      <c r="C285" s="66" t="s">
        <v>99</v>
      </c>
      <c r="D285" s="67" t="s">
        <v>100</v>
      </c>
      <c r="E285" s="64" t="s">
        <v>101</v>
      </c>
      <c r="F285" s="64" t="s">
        <v>102</v>
      </c>
    </row>
    <row r="286" spans="1:6" ht="12.75" hidden="1" customHeight="1" outlineLevel="1" x14ac:dyDescent="0.3">
      <c r="A286" s="64" t="s">
        <v>103</v>
      </c>
      <c r="B286" s="65"/>
      <c r="C286" s="66"/>
      <c r="D286" s="67"/>
      <c r="E286" s="66"/>
      <c r="F286" s="66">
        <f>SUM(F287:F290)</f>
        <v>39.694444444444443</v>
      </c>
    </row>
    <row r="287" spans="1:6" ht="12.75" hidden="1" customHeight="1" outlineLevel="1" x14ac:dyDescent="0.25">
      <c r="A287" s="44" t="s">
        <v>108</v>
      </c>
      <c r="B287" s="68" t="s">
        <v>109</v>
      </c>
      <c r="C287" s="41">
        <v>0.1</v>
      </c>
      <c r="D287" s="69">
        <f>C287*$E$284/$B$284</f>
        <v>4.4444444444444446E-2</v>
      </c>
      <c r="E287" s="41">
        <f>VLOOKUP(A287,INSUMOS!$B$7:$D$42,3,0)</f>
        <v>49.166666666666664</v>
      </c>
      <c r="F287" s="41">
        <f>PRODUCT(D287:E287)</f>
        <v>2.1851851851851851</v>
      </c>
    </row>
    <row r="288" spans="1:6" ht="12.75" hidden="1" customHeight="1" outlineLevel="1" x14ac:dyDescent="0.25">
      <c r="A288" s="44" t="s">
        <v>113</v>
      </c>
      <c r="B288" s="68" t="s">
        <v>109</v>
      </c>
      <c r="C288" s="41">
        <v>1</v>
      </c>
      <c r="D288" s="69">
        <f>C288*$E$284/$B$284</f>
        <v>0.44444444444444442</v>
      </c>
      <c r="E288" s="41">
        <f>VLOOKUP(A288,INSUMOS!$B$7:$D$42,3,0)</f>
        <v>27.041666666666668</v>
      </c>
      <c r="F288" s="41">
        <f>PRODUCT(D288:E288)</f>
        <v>12.018518518518519</v>
      </c>
    </row>
    <row r="289" spans="1:6" ht="12.75" hidden="1" customHeight="1" outlineLevel="1" x14ac:dyDescent="0.25">
      <c r="A289" s="44" t="s">
        <v>144</v>
      </c>
      <c r="B289" s="68" t="s">
        <v>109</v>
      </c>
      <c r="C289" s="41">
        <v>1</v>
      </c>
      <c r="D289" s="69">
        <f>C289*$E$284/$B$284</f>
        <v>0.44444444444444442</v>
      </c>
      <c r="E289" s="41">
        <f>VLOOKUP(A289,INSUMOS!$B$7:$D$42,3,0)</f>
        <v>19.666666666666668</v>
      </c>
      <c r="F289" s="41">
        <f>PRODUCT(D289:E289)</f>
        <v>8.7407407407407405</v>
      </c>
    </row>
    <row r="290" spans="1:6" ht="12.75" hidden="1" customHeight="1" outlineLevel="1" x14ac:dyDescent="0.25">
      <c r="A290" s="44" t="s">
        <v>114</v>
      </c>
      <c r="B290" s="68" t="s">
        <v>158</v>
      </c>
      <c r="C290" s="41"/>
      <c r="D290" s="69">
        <v>3.35</v>
      </c>
      <c r="E290" s="41">
        <f>VLOOKUP(A290,INSUMOS!$B$7:$D$42,3,0)</f>
        <v>5</v>
      </c>
      <c r="F290" s="41">
        <f>PRODUCT(D290:E290)</f>
        <v>16.75</v>
      </c>
    </row>
    <row r="291" spans="1:6" ht="12.75" hidden="1" customHeight="1" outlineLevel="1" x14ac:dyDescent="0.3">
      <c r="A291" s="64" t="s">
        <v>116</v>
      </c>
      <c r="B291" s="65"/>
      <c r="C291" s="66"/>
      <c r="D291" s="67"/>
      <c r="E291" s="66"/>
      <c r="F291" s="66">
        <f>SUM(F292:F293)</f>
        <v>2.1</v>
      </c>
    </row>
    <row r="292" spans="1:6" ht="12.75" hidden="1" customHeight="1" outlineLevel="1" x14ac:dyDescent="0.25">
      <c r="A292" s="44" t="s">
        <v>117</v>
      </c>
      <c r="B292" s="68" t="s">
        <v>118</v>
      </c>
      <c r="C292" s="41"/>
      <c r="D292" s="69">
        <v>0.16</v>
      </c>
      <c r="E292" s="41">
        <f>VLOOKUP(A292,INSUMOS!$B$7:$D$42,3,0)</f>
        <v>5</v>
      </c>
      <c r="F292" s="41">
        <f>PRODUCT(D292:E292)</f>
        <v>0.8</v>
      </c>
    </row>
    <row r="293" spans="1:6" ht="12.75" hidden="1" customHeight="1" outlineLevel="1" x14ac:dyDescent="0.25">
      <c r="A293" s="44" t="s">
        <v>150</v>
      </c>
      <c r="B293" s="68" t="s">
        <v>118</v>
      </c>
      <c r="C293" s="41"/>
      <c r="D293" s="69">
        <v>0.26</v>
      </c>
      <c r="E293" s="41">
        <f>VLOOKUP(A293,INSUMOS!$B$7:$D$42,3,0)</f>
        <v>5</v>
      </c>
      <c r="F293" s="41">
        <f>PRODUCT(D293:E293)</f>
        <v>1.3</v>
      </c>
    </row>
    <row r="294" spans="1:6" ht="12.75" hidden="1" customHeight="1" outlineLevel="1" x14ac:dyDescent="0.3">
      <c r="A294" s="64" t="s">
        <v>105</v>
      </c>
      <c r="B294" s="65"/>
      <c r="C294" s="66"/>
      <c r="D294" s="67"/>
      <c r="E294" s="66"/>
      <c r="F294" s="66">
        <f>SUM(F295)</f>
        <v>1.1908333333333332</v>
      </c>
    </row>
    <row r="295" spans="1:6" ht="12.75" hidden="1" customHeight="1" outlineLevel="1" x14ac:dyDescent="0.25">
      <c r="A295" s="44" t="s">
        <v>111</v>
      </c>
      <c r="B295" s="68" t="s">
        <v>112</v>
      </c>
      <c r="C295" s="41"/>
      <c r="D295" s="69">
        <v>3</v>
      </c>
      <c r="E295" s="41">
        <f>F286</f>
        <v>39.694444444444443</v>
      </c>
      <c r="F295" s="41">
        <f>D295*E295/100</f>
        <v>1.1908333333333332</v>
      </c>
    </row>
    <row r="296" spans="1:6" ht="12.75" hidden="1" customHeight="1" outlineLevel="1" x14ac:dyDescent="0.25">
      <c r="B296" s="84"/>
      <c r="C296" s="21"/>
      <c r="D296" s="85"/>
    </row>
    <row r="297" spans="1:6" ht="12.75" customHeight="1" collapsed="1" x14ac:dyDescent="0.3">
      <c r="A297" s="54" t="s">
        <v>159</v>
      </c>
      <c r="B297" s="55"/>
      <c r="C297" s="56"/>
      <c r="D297" s="57"/>
      <c r="E297" s="58" t="s">
        <v>92</v>
      </c>
      <c r="F297" s="59">
        <f>F300+F305+F309</f>
        <v>386.27311111111118</v>
      </c>
    </row>
    <row r="298" spans="1:6" ht="12.75" hidden="1" customHeight="1" outlineLevel="1" x14ac:dyDescent="0.3">
      <c r="A298" s="60" t="s">
        <v>93</v>
      </c>
      <c r="B298" s="61">
        <v>15</v>
      </c>
      <c r="C298" s="62" t="s">
        <v>133</v>
      </c>
      <c r="D298" s="63" t="s">
        <v>95</v>
      </c>
      <c r="E298" s="60">
        <v>8</v>
      </c>
      <c r="F298" s="60" t="s">
        <v>96</v>
      </c>
    </row>
    <row r="299" spans="1:6" ht="12.75" hidden="1" customHeight="1" outlineLevel="1" x14ac:dyDescent="0.3">
      <c r="A299" s="64" t="s">
        <v>97</v>
      </c>
      <c r="B299" s="65" t="s">
        <v>98</v>
      </c>
      <c r="C299" s="66" t="s">
        <v>99</v>
      </c>
      <c r="D299" s="67" t="s">
        <v>100</v>
      </c>
      <c r="E299" s="64" t="s">
        <v>101</v>
      </c>
      <c r="F299" s="64" t="s">
        <v>102</v>
      </c>
    </row>
    <row r="300" spans="1:6" ht="12.75" hidden="1" customHeight="1" outlineLevel="1" x14ac:dyDescent="0.3">
      <c r="A300" s="64" t="s">
        <v>103</v>
      </c>
      <c r="B300" s="65"/>
      <c r="C300" s="66"/>
      <c r="D300" s="67"/>
      <c r="E300" s="66"/>
      <c r="F300" s="66">
        <f>SUM(F301:F304)</f>
        <v>68.177777777777777</v>
      </c>
    </row>
    <row r="301" spans="1:6" ht="12.75" hidden="1" customHeight="1" outlineLevel="1" x14ac:dyDescent="0.25">
      <c r="A301" s="44" t="s">
        <v>108</v>
      </c>
      <c r="B301" s="68" t="s">
        <v>109</v>
      </c>
      <c r="C301" s="41">
        <v>0.1</v>
      </c>
      <c r="D301" s="69">
        <f>C301*$E$298/$B$298</f>
        <v>5.3333333333333337E-2</v>
      </c>
      <c r="E301" s="41">
        <f>VLOOKUP(A301,INSUMOS!$B$7:$D$42,3,0)</f>
        <v>49.166666666666664</v>
      </c>
      <c r="F301" s="41">
        <f>PRODUCT(D301:E301)</f>
        <v>2.6222222222222222</v>
      </c>
    </row>
    <row r="302" spans="1:6" ht="12.75" hidden="1" customHeight="1" outlineLevel="1" x14ac:dyDescent="0.25">
      <c r="A302" s="44" t="s">
        <v>113</v>
      </c>
      <c r="B302" s="68" t="s">
        <v>109</v>
      </c>
      <c r="C302" s="41">
        <v>2</v>
      </c>
      <c r="D302" s="69">
        <f>C302*$E$298/$B$298</f>
        <v>1.0666666666666667</v>
      </c>
      <c r="E302" s="41">
        <f>VLOOKUP(A302,INSUMOS!$B$7:$D$42,3,0)</f>
        <v>27.041666666666668</v>
      </c>
      <c r="F302" s="41">
        <f>PRODUCT(D302:E302)</f>
        <v>28.844444444444445</v>
      </c>
    </row>
    <row r="303" spans="1:6" ht="12.75" hidden="1" customHeight="1" outlineLevel="1" x14ac:dyDescent="0.25">
      <c r="A303" s="44" t="s">
        <v>144</v>
      </c>
      <c r="B303" s="68" t="s">
        <v>109</v>
      </c>
      <c r="C303" s="41">
        <v>1</v>
      </c>
      <c r="D303" s="69">
        <f>C303*$E$298/$B$298</f>
        <v>0.53333333333333333</v>
      </c>
      <c r="E303" s="41">
        <f>VLOOKUP(A303,INSUMOS!$B$7:$D$42,3,0)</f>
        <v>19.666666666666668</v>
      </c>
      <c r="F303" s="41">
        <f>PRODUCT(D303:E303)</f>
        <v>10.488888888888889</v>
      </c>
    </row>
    <row r="304" spans="1:6" ht="12.75" hidden="1" customHeight="1" outlineLevel="1" x14ac:dyDescent="0.25">
      <c r="A304" s="44" t="s">
        <v>110</v>
      </c>
      <c r="B304" s="68" t="s">
        <v>109</v>
      </c>
      <c r="C304" s="41">
        <v>4</v>
      </c>
      <c r="D304" s="69">
        <f>C304*$E$298/$B$298</f>
        <v>2.1333333333333333</v>
      </c>
      <c r="E304" s="41">
        <f>VLOOKUP(A304,INSUMOS!$B$7:$D$42,3,0)</f>
        <v>12.291666666666666</v>
      </c>
      <c r="F304" s="41">
        <f>PRODUCT(D304:E304)</f>
        <v>26.222222222222221</v>
      </c>
    </row>
    <row r="305" spans="1:6" ht="12.75" hidden="1" customHeight="1" outlineLevel="1" x14ac:dyDescent="0.3">
      <c r="A305" s="64" t="s">
        <v>116</v>
      </c>
      <c r="B305" s="65"/>
      <c r="C305" s="66"/>
      <c r="D305" s="67"/>
      <c r="E305" s="66"/>
      <c r="F305" s="66">
        <f>SUM(F306:F308)</f>
        <v>312.85000000000002</v>
      </c>
    </row>
    <row r="306" spans="1:6" ht="12.75" hidden="1" customHeight="1" outlineLevel="1" x14ac:dyDescent="0.25">
      <c r="A306" s="44" t="s">
        <v>152</v>
      </c>
      <c r="B306" s="68" t="s">
        <v>37</v>
      </c>
      <c r="C306" s="41"/>
      <c r="D306" s="69">
        <v>0.65</v>
      </c>
      <c r="E306" s="41">
        <f>VLOOKUP(A306,INSUMOS!$B$7:$D$42,3,0)</f>
        <v>76.7</v>
      </c>
      <c r="F306" s="41">
        <f>PRODUCT(D306:E306)</f>
        <v>49.855000000000004</v>
      </c>
    </row>
    <row r="307" spans="1:6" ht="12.75" hidden="1" customHeight="1" outlineLevel="1" x14ac:dyDescent="0.25">
      <c r="A307" s="44" t="s">
        <v>146</v>
      </c>
      <c r="B307" s="68" t="s">
        <v>37</v>
      </c>
      <c r="C307" s="41"/>
      <c r="D307" s="69">
        <v>0.87</v>
      </c>
      <c r="E307" s="41">
        <f>VLOOKUP(A307,INSUMOS!$B$7:$D$42,3,0)</f>
        <v>88.5</v>
      </c>
      <c r="F307" s="41">
        <f>PRODUCT(D307:E307)</f>
        <v>76.995000000000005</v>
      </c>
    </row>
    <row r="308" spans="1:6" ht="12.75" hidden="1" customHeight="1" outlineLevel="1" x14ac:dyDescent="0.25">
      <c r="A308" s="44" t="s">
        <v>145</v>
      </c>
      <c r="B308" s="68" t="s">
        <v>147</v>
      </c>
      <c r="C308" s="41"/>
      <c r="D308" s="69">
        <v>6</v>
      </c>
      <c r="E308" s="41">
        <f>VLOOKUP(A308,INSUMOS!$B$7:$D$42,3,0)</f>
        <v>31</v>
      </c>
      <c r="F308" s="41">
        <f>PRODUCT(D308:E308)</f>
        <v>186</v>
      </c>
    </row>
    <row r="309" spans="1:6" ht="12.75" hidden="1" customHeight="1" outlineLevel="1" x14ac:dyDescent="0.3">
      <c r="A309" s="64" t="s">
        <v>105</v>
      </c>
      <c r="B309" s="65"/>
      <c r="C309" s="66"/>
      <c r="D309" s="67"/>
      <c r="E309" s="66"/>
      <c r="F309" s="66">
        <f>SUM(F310:F311)</f>
        <v>5.245333333333333</v>
      </c>
    </row>
    <row r="310" spans="1:6" ht="12.75" hidden="1" customHeight="1" outlineLevel="1" x14ac:dyDescent="0.25">
      <c r="A310" s="44" t="s">
        <v>111</v>
      </c>
      <c r="B310" s="68" t="s">
        <v>112</v>
      </c>
      <c r="C310" s="41"/>
      <c r="D310" s="69">
        <v>3</v>
      </c>
      <c r="E310" s="41">
        <f>F300</f>
        <v>68.177777777777777</v>
      </c>
      <c r="F310" s="41">
        <f>D310*E310/100</f>
        <v>2.0453333333333332</v>
      </c>
    </row>
    <row r="311" spans="1:6" ht="12.75" hidden="1" customHeight="1" outlineLevel="1" x14ac:dyDescent="0.25">
      <c r="A311" s="44" t="s">
        <v>148</v>
      </c>
      <c r="B311" s="68" t="s">
        <v>131</v>
      </c>
      <c r="C311" s="41">
        <v>1</v>
      </c>
      <c r="D311" s="69">
        <f>C311*$E$298/$B$298</f>
        <v>0.53333333333333333</v>
      </c>
      <c r="E311" s="41">
        <f>VLOOKUP(A311,INSUMOS!$B$7:$D$42,3,0)</f>
        <v>6</v>
      </c>
      <c r="F311" s="41">
        <f>PRODUCT(D311:E311)</f>
        <v>3.2</v>
      </c>
    </row>
    <row r="312" spans="1:6" ht="12.75" hidden="1" customHeight="1" outlineLevel="1" x14ac:dyDescent="0.25">
      <c r="B312" s="1"/>
      <c r="C312" s="21"/>
    </row>
    <row r="313" spans="1:6" ht="12.75" customHeight="1" collapsed="1" x14ac:dyDescent="0.3">
      <c r="A313" s="54" t="s">
        <v>160</v>
      </c>
      <c r="B313" s="55"/>
      <c r="C313" s="56"/>
      <c r="D313" s="57"/>
      <c r="E313" s="58" t="s">
        <v>92</v>
      </c>
      <c r="F313" s="59">
        <f>F316+F321+F324</f>
        <v>37.549166666666672</v>
      </c>
    </row>
    <row r="314" spans="1:6" ht="12.75" hidden="1" customHeight="1" outlineLevel="1" x14ac:dyDescent="0.3">
      <c r="A314" s="60" t="s">
        <v>93</v>
      </c>
      <c r="B314" s="61">
        <v>12</v>
      </c>
      <c r="C314" s="62" t="s">
        <v>107</v>
      </c>
      <c r="D314" s="63" t="s">
        <v>95</v>
      </c>
      <c r="E314" s="60">
        <v>8</v>
      </c>
      <c r="F314" s="60" t="s">
        <v>96</v>
      </c>
    </row>
    <row r="315" spans="1:6" ht="12.75" hidden="1" customHeight="1" outlineLevel="1" x14ac:dyDescent="0.3">
      <c r="A315" s="64" t="s">
        <v>97</v>
      </c>
      <c r="B315" s="65" t="s">
        <v>98</v>
      </c>
      <c r="C315" s="66" t="s">
        <v>99</v>
      </c>
      <c r="D315" s="67" t="s">
        <v>100</v>
      </c>
      <c r="E315" s="64" t="s">
        <v>101</v>
      </c>
      <c r="F315" s="64" t="s">
        <v>102</v>
      </c>
    </row>
    <row r="316" spans="1:6" ht="12.75" hidden="1" customHeight="1" outlineLevel="1" x14ac:dyDescent="0.3">
      <c r="A316" s="64" t="s">
        <v>103</v>
      </c>
      <c r="B316" s="65"/>
      <c r="C316" s="66"/>
      <c r="D316" s="67"/>
      <c r="E316" s="66"/>
      <c r="F316" s="66">
        <f>SUM(F317:F320)</f>
        <v>34.416666666666671</v>
      </c>
    </row>
    <row r="317" spans="1:6" ht="12.75" hidden="1" customHeight="1" outlineLevel="1" x14ac:dyDescent="0.25">
      <c r="A317" s="44" t="s">
        <v>108</v>
      </c>
      <c r="B317" s="68" t="s">
        <v>109</v>
      </c>
      <c r="C317" s="41">
        <v>0.1</v>
      </c>
      <c r="D317" s="69">
        <f>C317*$E$314/$B$314</f>
        <v>6.6666666666666666E-2</v>
      </c>
      <c r="E317" s="41">
        <f>VLOOKUP(A317,INSUMOS!$B$7:$D$42,3,0)</f>
        <v>49.166666666666664</v>
      </c>
      <c r="F317" s="41">
        <f>PRODUCT(D317:E317)</f>
        <v>3.2777777777777777</v>
      </c>
    </row>
    <row r="318" spans="1:6" ht="12.75" hidden="1" customHeight="1" outlineLevel="1" x14ac:dyDescent="0.25">
      <c r="A318" s="44" t="s">
        <v>113</v>
      </c>
      <c r="B318" s="68" t="s">
        <v>109</v>
      </c>
      <c r="C318" s="41">
        <v>1</v>
      </c>
      <c r="D318" s="69">
        <f>C318*$E$314/$B$314</f>
        <v>0.66666666666666663</v>
      </c>
      <c r="E318" s="41">
        <f>VLOOKUP(A318,INSUMOS!$B$7:$D$42,3,0)</f>
        <v>27.041666666666668</v>
      </c>
      <c r="F318" s="41">
        <f>PRODUCT(D318:E318)</f>
        <v>18.027777777777779</v>
      </c>
    </row>
    <row r="319" spans="1:6" ht="12.75" hidden="1" customHeight="1" outlineLevel="1" x14ac:dyDescent="0.25">
      <c r="A319" s="44" t="s">
        <v>144</v>
      </c>
      <c r="B319" s="68" t="s">
        <v>109</v>
      </c>
      <c r="C319" s="41">
        <v>1</v>
      </c>
      <c r="D319" s="69">
        <f>C319*$E$314/$B$314</f>
        <v>0.66666666666666663</v>
      </c>
      <c r="E319" s="41">
        <f>VLOOKUP(A319,INSUMOS!$B$7:$D$42,3,0)</f>
        <v>19.666666666666668</v>
      </c>
      <c r="F319" s="41">
        <f>PRODUCT(D319:E319)</f>
        <v>13.111111111111111</v>
      </c>
    </row>
    <row r="320" spans="1:6" ht="12.75" hidden="1" customHeight="1" outlineLevel="1" x14ac:dyDescent="0.25">
      <c r="A320" s="44" t="s">
        <v>114</v>
      </c>
      <c r="B320" s="68" t="s">
        <v>158</v>
      </c>
      <c r="C320" s="41"/>
      <c r="D320" s="69">
        <f>C320*$E$314/$B$314</f>
        <v>0</v>
      </c>
      <c r="E320" s="41">
        <f>VLOOKUP(A320,INSUMOS!$B$7:$D$42,3,0)</f>
        <v>5</v>
      </c>
      <c r="F320" s="41">
        <f>PRODUCT(D320:E320)</f>
        <v>0</v>
      </c>
    </row>
    <row r="321" spans="1:6" ht="12.75" hidden="1" customHeight="1" outlineLevel="1" x14ac:dyDescent="0.3">
      <c r="A321" s="64" t="s">
        <v>116</v>
      </c>
      <c r="B321" s="65"/>
      <c r="C321" s="66"/>
      <c r="D321" s="67"/>
      <c r="E321" s="66"/>
      <c r="F321" s="66">
        <f>SUM(F322:F323)</f>
        <v>2.1</v>
      </c>
    </row>
    <row r="322" spans="1:6" ht="12.75" hidden="1" customHeight="1" outlineLevel="1" x14ac:dyDescent="0.25">
      <c r="A322" s="44" t="s">
        <v>117</v>
      </c>
      <c r="B322" s="68" t="s">
        <v>118</v>
      </c>
      <c r="C322" s="41"/>
      <c r="D322" s="69">
        <v>0.16</v>
      </c>
      <c r="E322" s="41">
        <f>VLOOKUP(A322,INSUMOS!$B$7:$D$42,3,0)</f>
        <v>5</v>
      </c>
      <c r="F322" s="41">
        <f>PRODUCT(D322:E322)</f>
        <v>0.8</v>
      </c>
    </row>
    <row r="323" spans="1:6" ht="12.75" hidden="1" customHeight="1" outlineLevel="1" x14ac:dyDescent="0.25">
      <c r="A323" s="44" t="s">
        <v>150</v>
      </c>
      <c r="B323" s="68" t="s">
        <v>118</v>
      </c>
      <c r="C323" s="41"/>
      <c r="D323" s="69">
        <v>0.26</v>
      </c>
      <c r="E323" s="41">
        <f>VLOOKUP(A323,INSUMOS!$B$7:$D$42,3,0)</f>
        <v>5</v>
      </c>
      <c r="F323" s="41">
        <f>PRODUCT(D323:E323)</f>
        <v>1.3</v>
      </c>
    </row>
    <row r="324" spans="1:6" ht="12.75" hidden="1" customHeight="1" outlineLevel="1" x14ac:dyDescent="0.3">
      <c r="A324" s="64" t="s">
        <v>105</v>
      </c>
      <c r="B324" s="65"/>
      <c r="C324" s="66"/>
      <c r="D324" s="67"/>
      <c r="E324" s="66"/>
      <c r="F324" s="66">
        <f>SUM(F325)</f>
        <v>1.0325000000000002</v>
      </c>
    </row>
    <row r="325" spans="1:6" ht="12.75" hidden="1" customHeight="1" outlineLevel="1" x14ac:dyDescent="0.25">
      <c r="A325" s="44" t="s">
        <v>111</v>
      </c>
      <c r="B325" s="68" t="s">
        <v>112</v>
      </c>
      <c r="C325" s="41"/>
      <c r="D325" s="69">
        <v>3</v>
      </c>
      <c r="E325" s="41">
        <f>F316</f>
        <v>34.416666666666671</v>
      </c>
      <c r="F325" s="41">
        <f>D325*E325/100</f>
        <v>1.0325000000000002</v>
      </c>
    </row>
    <row r="326" spans="1:6" ht="12.75" hidden="1" customHeight="1" outlineLevel="1" x14ac:dyDescent="0.25">
      <c r="B326" s="84"/>
      <c r="C326" s="21"/>
      <c r="D326" s="85"/>
    </row>
    <row r="327" spans="1:6" ht="12.75" customHeight="1" collapsed="1" x14ac:dyDescent="0.3">
      <c r="A327" s="54" t="s">
        <v>161</v>
      </c>
      <c r="B327" s="55"/>
      <c r="C327" s="56"/>
      <c r="D327" s="57"/>
      <c r="E327" s="58" t="s">
        <v>92</v>
      </c>
      <c r="F327" s="59">
        <f>F330+F335+F339</f>
        <v>360.98466666666667</v>
      </c>
    </row>
    <row r="328" spans="1:6" ht="12.75" hidden="1" customHeight="1" outlineLevel="1" x14ac:dyDescent="0.3">
      <c r="A328" s="60" t="s">
        <v>93</v>
      </c>
      <c r="B328" s="61">
        <v>10</v>
      </c>
      <c r="C328" s="62" t="s">
        <v>133</v>
      </c>
      <c r="D328" s="63" t="s">
        <v>95</v>
      </c>
      <c r="E328" s="60">
        <v>8</v>
      </c>
      <c r="F328" s="60" t="s">
        <v>96</v>
      </c>
    </row>
    <row r="329" spans="1:6" ht="12.75" hidden="1" customHeight="1" outlineLevel="1" x14ac:dyDescent="0.3">
      <c r="A329" s="64" t="s">
        <v>97</v>
      </c>
      <c r="B329" s="65" t="s">
        <v>98</v>
      </c>
      <c r="C329" s="66" t="s">
        <v>99</v>
      </c>
      <c r="D329" s="67" t="s">
        <v>100</v>
      </c>
      <c r="E329" s="64" t="s">
        <v>101</v>
      </c>
      <c r="F329" s="64" t="s">
        <v>102</v>
      </c>
    </row>
    <row r="330" spans="1:6" ht="12.75" hidden="1" customHeight="1" outlineLevel="1" x14ac:dyDescent="0.3">
      <c r="A330" s="64" t="s">
        <v>103</v>
      </c>
      <c r="B330" s="65"/>
      <c r="C330" s="66"/>
      <c r="D330" s="67"/>
      <c r="E330" s="66"/>
      <c r="F330" s="66">
        <f>SUM(F331:F334)</f>
        <v>102.26666666666668</v>
      </c>
    </row>
    <row r="331" spans="1:6" ht="12.75" hidden="1" customHeight="1" outlineLevel="1" x14ac:dyDescent="0.25">
      <c r="A331" s="44" t="s">
        <v>108</v>
      </c>
      <c r="B331" s="68" t="s">
        <v>109</v>
      </c>
      <c r="C331" s="41">
        <v>0.1</v>
      </c>
      <c r="D331" s="69">
        <f>C331*$E$328/$B$328</f>
        <v>0.08</v>
      </c>
      <c r="E331" s="41">
        <f>VLOOKUP(A331,INSUMOS!$B$7:$D$42,3,0)</f>
        <v>49.166666666666664</v>
      </c>
      <c r="F331" s="41">
        <f>PRODUCT(D331:E331)</f>
        <v>3.9333333333333331</v>
      </c>
    </row>
    <row r="332" spans="1:6" ht="12.75" hidden="1" customHeight="1" outlineLevel="1" x14ac:dyDescent="0.25">
      <c r="A332" s="44" t="s">
        <v>113</v>
      </c>
      <c r="B332" s="68" t="s">
        <v>109</v>
      </c>
      <c r="C332" s="41">
        <v>2</v>
      </c>
      <c r="D332" s="69">
        <f>C332*$E$328/$B$328</f>
        <v>1.6</v>
      </c>
      <c r="E332" s="41">
        <f>VLOOKUP(A332,INSUMOS!$B$7:$D$42,3,0)</f>
        <v>27.041666666666668</v>
      </c>
      <c r="F332" s="41">
        <f>PRODUCT(D332:E332)</f>
        <v>43.266666666666673</v>
      </c>
    </row>
    <row r="333" spans="1:6" ht="12.75" hidden="1" customHeight="1" outlineLevel="1" x14ac:dyDescent="0.25">
      <c r="A333" s="44" t="s">
        <v>144</v>
      </c>
      <c r="B333" s="68" t="s">
        <v>109</v>
      </c>
      <c r="C333" s="41">
        <v>1</v>
      </c>
      <c r="D333" s="69">
        <f>C333*$E$328/$B$328</f>
        <v>0.8</v>
      </c>
      <c r="E333" s="41">
        <f>VLOOKUP(A333,INSUMOS!$B$7:$D$42,3,0)</f>
        <v>19.666666666666668</v>
      </c>
      <c r="F333" s="41">
        <f>PRODUCT(D333:E333)</f>
        <v>15.733333333333334</v>
      </c>
    </row>
    <row r="334" spans="1:6" ht="12.75" hidden="1" customHeight="1" outlineLevel="1" x14ac:dyDescent="0.25">
      <c r="A334" s="44" t="s">
        <v>110</v>
      </c>
      <c r="B334" s="68" t="s">
        <v>109</v>
      </c>
      <c r="C334" s="41">
        <v>4</v>
      </c>
      <c r="D334" s="69">
        <f>C334*$E$328/$B$328</f>
        <v>3.2</v>
      </c>
      <c r="E334" s="41">
        <f>VLOOKUP(A334,INSUMOS!$B$7:$D$42,3,0)</f>
        <v>12.291666666666666</v>
      </c>
      <c r="F334" s="41">
        <f>PRODUCT(D334:E334)</f>
        <v>39.333333333333336</v>
      </c>
    </row>
    <row r="335" spans="1:6" ht="12.75" hidden="1" customHeight="1" outlineLevel="1" x14ac:dyDescent="0.3">
      <c r="A335" s="64" t="s">
        <v>116</v>
      </c>
      <c r="B335" s="65"/>
      <c r="C335" s="66"/>
      <c r="D335" s="67"/>
      <c r="E335" s="66"/>
      <c r="F335" s="66">
        <f>SUM(F336:F338)</f>
        <v>250.85000000000002</v>
      </c>
    </row>
    <row r="336" spans="1:6" ht="12.75" hidden="1" customHeight="1" outlineLevel="1" x14ac:dyDescent="0.25">
      <c r="A336" s="44" t="s">
        <v>152</v>
      </c>
      <c r="B336" s="68" t="s">
        <v>37</v>
      </c>
      <c r="C336" s="41"/>
      <c r="D336" s="69">
        <v>0.65</v>
      </c>
      <c r="E336" s="41">
        <f>VLOOKUP(A336,INSUMOS!$B$7:$D$42,3,0)</f>
        <v>76.7</v>
      </c>
      <c r="F336" s="41">
        <f>PRODUCT(D336:E336)</f>
        <v>49.855000000000004</v>
      </c>
    </row>
    <row r="337" spans="1:6" ht="12.75" hidden="1" customHeight="1" outlineLevel="1" x14ac:dyDescent="0.25">
      <c r="A337" s="44" t="s">
        <v>146</v>
      </c>
      <c r="B337" s="68" t="s">
        <v>37</v>
      </c>
      <c r="C337" s="41"/>
      <c r="D337" s="69">
        <v>0.87</v>
      </c>
      <c r="E337" s="41">
        <f>VLOOKUP(A337,INSUMOS!$B$7:$D$42,3,0)</f>
        <v>88.5</v>
      </c>
      <c r="F337" s="41">
        <f>PRODUCT(D337:E337)</f>
        <v>76.995000000000005</v>
      </c>
    </row>
    <row r="338" spans="1:6" ht="12.75" hidden="1" customHeight="1" outlineLevel="1" x14ac:dyDescent="0.25">
      <c r="A338" s="44" t="s">
        <v>145</v>
      </c>
      <c r="B338" s="68" t="s">
        <v>147</v>
      </c>
      <c r="C338" s="41"/>
      <c r="D338" s="69">
        <v>4</v>
      </c>
      <c r="E338" s="41">
        <f>VLOOKUP(A338,INSUMOS!$B$7:$D$42,3,0)</f>
        <v>31</v>
      </c>
      <c r="F338" s="41">
        <f>PRODUCT(D338:E338)</f>
        <v>124</v>
      </c>
    </row>
    <row r="339" spans="1:6" ht="12.75" hidden="1" customHeight="1" outlineLevel="1" x14ac:dyDescent="0.3">
      <c r="A339" s="64" t="s">
        <v>105</v>
      </c>
      <c r="B339" s="65"/>
      <c r="C339" s="66"/>
      <c r="D339" s="67"/>
      <c r="E339" s="66"/>
      <c r="F339" s="66">
        <f>SUM(F340:F341)</f>
        <v>7.8680000000000012</v>
      </c>
    </row>
    <row r="340" spans="1:6" ht="12.75" hidden="1" customHeight="1" outlineLevel="1" x14ac:dyDescent="0.25">
      <c r="A340" s="44" t="s">
        <v>111</v>
      </c>
      <c r="B340" s="68" t="s">
        <v>112</v>
      </c>
      <c r="C340" s="41"/>
      <c r="D340" s="69">
        <v>3</v>
      </c>
      <c r="E340" s="41">
        <f>F330</f>
        <v>102.26666666666668</v>
      </c>
      <c r="F340" s="41">
        <f>D340*E340/100</f>
        <v>3.0680000000000005</v>
      </c>
    </row>
    <row r="341" spans="1:6" ht="12.75" hidden="1" customHeight="1" outlineLevel="1" x14ac:dyDescent="0.25">
      <c r="A341" s="44" t="s">
        <v>148</v>
      </c>
      <c r="B341" s="68" t="s">
        <v>131</v>
      </c>
      <c r="C341" s="41">
        <v>1</v>
      </c>
      <c r="D341" s="69">
        <f>C341*$E$328/$B$328</f>
        <v>0.8</v>
      </c>
      <c r="E341" s="41">
        <f>VLOOKUP(A341,INSUMOS!$B$7:$D$42,3,0)</f>
        <v>6</v>
      </c>
      <c r="F341" s="41">
        <f>PRODUCT(D341:E341)</f>
        <v>4.8000000000000007</v>
      </c>
    </row>
    <row r="342" spans="1:6" ht="12.75" hidden="1" customHeight="1" outlineLevel="1" x14ac:dyDescent="0.25">
      <c r="B342" s="1"/>
      <c r="C342" s="21"/>
    </row>
    <row r="343" spans="1:6" ht="12.75" customHeight="1" collapsed="1" x14ac:dyDescent="0.3">
      <c r="A343" s="54" t="s">
        <v>162</v>
      </c>
      <c r="B343" s="55"/>
      <c r="C343" s="56"/>
      <c r="D343" s="57"/>
      <c r="E343" s="58" t="s">
        <v>92</v>
      </c>
      <c r="F343" s="59">
        <f>F346+F352+F354</f>
        <v>48.881933333333336</v>
      </c>
    </row>
    <row r="344" spans="1:6" ht="12.75" hidden="1" customHeight="1" outlineLevel="1" x14ac:dyDescent="0.3">
      <c r="A344" s="60" t="s">
        <v>93</v>
      </c>
      <c r="B344" s="61">
        <v>50</v>
      </c>
      <c r="C344" s="62" t="s">
        <v>107</v>
      </c>
      <c r="D344" s="63" t="s">
        <v>95</v>
      </c>
      <c r="E344" s="60">
        <v>8</v>
      </c>
      <c r="F344" s="60" t="s">
        <v>96</v>
      </c>
    </row>
    <row r="345" spans="1:6" ht="12.75" hidden="1" customHeight="1" outlineLevel="1" x14ac:dyDescent="0.3">
      <c r="A345" s="64" t="s">
        <v>97</v>
      </c>
      <c r="B345" s="65" t="s">
        <v>98</v>
      </c>
      <c r="C345" s="66" t="s">
        <v>99</v>
      </c>
      <c r="D345" s="67" t="s">
        <v>100</v>
      </c>
      <c r="E345" s="64" t="s">
        <v>101</v>
      </c>
      <c r="F345" s="64" t="s">
        <v>102</v>
      </c>
    </row>
    <row r="346" spans="1:6" ht="12.75" hidden="1" customHeight="1" outlineLevel="1" x14ac:dyDescent="0.3">
      <c r="A346" s="64" t="s">
        <v>103</v>
      </c>
      <c r="B346" s="65"/>
      <c r="C346" s="66"/>
      <c r="D346" s="67"/>
      <c r="E346" s="66"/>
      <c r="F346" s="66">
        <f>SUM(F347:F351)</f>
        <v>20.953333333333333</v>
      </c>
    </row>
    <row r="347" spans="1:6" ht="12.75" hidden="1" customHeight="1" outlineLevel="1" x14ac:dyDescent="0.25">
      <c r="A347" s="44" t="s">
        <v>108</v>
      </c>
      <c r="B347" s="68" t="s">
        <v>109</v>
      </c>
      <c r="C347" s="41">
        <v>0.1</v>
      </c>
      <c r="D347" s="69">
        <f>C347*$E$344/$B$344</f>
        <v>1.6E-2</v>
      </c>
      <c r="E347" s="41">
        <f>VLOOKUP(A347,INSUMOS!$B$7:$D$42,3,0)</f>
        <v>49.166666666666664</v>
      </c>
      <c r="F347" s="41">
        <f>PRODUCT(D347:E347)</f>
        <v>0.78666666666666663</v>
      </c>
    </row>
    <row r="348" spans="1:6" ht="12.75" hidden="1" customHeight="1" outlineLevel="1" x14ac:dyDescent="0.25">
      <c r="A348" s="44" t="s">
        <v>113</v>
      </c>
      <c r="B348" s="68" t="s">
        <v>109</v>
      </c>
      <c r="C348" s="41">
        <v>2</v>
      </c>
      <c r="D348" s="69">
        <f>C348*$E$344/$B$344</f>
        <v>0.32</v>
      </c>
      <c r="E348" s="41">
        <f>VLOOKUP(A348,INSUMOS!$B$7:$D$42,3,0)</f>
        <v>27.041666666666668</v>
      </c>
      <c r="F348" s="41">
        <f>PRODUCT(D348:E348)</f>
        <v>8.6533333333333342</v>
      </c>
    </row>
    <row r="349" spans="1:6" ht="12.75" hidden="1" customHeight="1" outlineLevel="1" x14ac:dyDescent="0.25">
      <c r="A349" s="44" t="s">
        <v>144</v>
      </c>
      <c r="B349" s="68" t="s">
        <v>109</v>
      </c>
      <c r="C349" s="41">
        <v>1</v>
      </c>
      <c r="D349" s="69">
        <f>C349*$E$344/$B$344</f>
        <v>0.16</v>
      </c>
      <c r="E349" s="41">
        <f>VLOOKUP(A349,INSUMOS!$B$7:$D$42,3,0)</f>
        <v>19.666666666666668</v>
      </c>
      <c r="F349" s="41">
        <f>PRODUCT(D349:E349)</f>
        <v>3.1466666666666669</v>
      </c>
    </row>
    <row r="350" spans="1:6" ht="12.75" hidden="1" customHeight="1" outlineLevel="1" x14ac:dyDescent="0.25">
      <c r="A350" s="44" t="s">
        <v>110</v>
      </c>
      <c r="B350" s="68" t="s">
        <v>109</v>
      </c>
      <c r="C350" s="41">
        <v>4</v>
      </c>
      <c r="D350" s="69">
        <f>C350*$E$344/$B$344</f>
        <v>0.64</v>
      </c>
      <c r="E350" s="41">
        <f>VLOOKUP(A350,INSUMOS!$B$7:$D$42,3,0)</f>
        <v>12.291666666666666</v>
      </c>
      <c r="F350" s="41">
        <f>PRODUCT(D350:E350)</f>
        <v>7.8666666666666663</v>
      </c>
    </row>
    <row r="351" spans="1:6" ht="12.75" hidden="1" customHeight="1" outlineLevel="1" x14ac:dyDescent="0.25">
      <c r="A351" s="44" t="s">
        <v>114</v>
      </c>
      <c r="B351" s="68" t="s">
        <v>115</v>
      </c>
      <c r="C351" s="41"/>
      <c r="D351" s="69">
        <v>0.1</v>
      </c>
      <c r="E351" s="41">
        <f>VLOOKUP(A351,INSUMOS!$B$7:$D$42,3,0)</f>
        <v>5</v>
      </c>
      <c r="F351" s="41">
        <f>PRODUCT(D351:E351)</f>
        <v>0.5</v>
      </c>
    </row>
    <row r="352" spans="1:6" ht="12.75" hidden="1" customHeight="1" outlineLevel="1" x14ac:dyDescent="0.3">
      <c r="A352" s="64" t="s">
        <v>116</v>
      </c>
      <c r="B352" s="65"/>
      <c r="C352" s="66"/>
      <c r="D352" s="67"/>
      <c r="E352" s="66"/>
      <c r="F352" s="66">
        <f>SUM(F353)</f>
        <v>27.300000000000004</v>
      </c>
    </row>
    <row r="353" spans="1:6" ht="12.75" hidden="1" customHeight="1" outlineLevel="1" x14ac:dyDescent="0.25">
      <c r="A353" s="44" t="s">
        <v>155</v>
      </c>
      <c r="B353" s="68" t="s">
        <v>37</v>
      </c>
      <c r="C353" s="41"/>
      <c r="D353" s="69">
        <f>0.1*1.05</f>
        <v>0.10500000000000001</v>
      </c>
      <c r="E353" s="41">
        <f>VLOOKUP(A353,INSUMOS!$B$7:$D$42,3,0)</f>
        <v>260</v>
      </c>
      <c r="F353" s="41">
        <f>PRODUCT(D353:E353)</f>
        <v>27.300000000000004</v>
      </c>
    </row>
    <row r="354" spans="1:6" ht="12.75" hidden="1" customHeight="1" outlineLevel="1" x14ac:dyDescent="0.3">
      <c r="A354" s="64" t="s">
        <v>105</v>
      </c>
      <c r="B354" s="65"/>
      <c r="C354" s="66"/>
      <c r="D354" s="67"/>
      <c r="E354" s="66"/>
      <c r="F354" s="66">
        <f>SUM(F355)</f>
        <v>0.62860000000000005</v>
      </c>
    </row>
    <row r="355" spans="1:6" ht="12.75" hidden="1" customHeight="1" outlineLevel="1" x14ac:dyDescent="0.25">
      <c r="A355" s="44" t="s">
        <v>111</v>
      </c>
      <c r="B355" s="68" t="s">
        <v>112</v>
      </c>
      <c r="C355" s="41"/>
      <c r="D355" s="69">
        <v>3</v>
      </c>
      <c r="E355" s="41">
        <f>F346</f>
        <v>20.953333333333333</v>
      </c>
      <c r="F355" s="41">
        <f>D355*E355/100</f>
        <v>0.62860000000000005</v>
      </c>
    </row>
    <row r="356" spans="1:6" ht="12.75" hidden="1" customHeight="1" outlineLevel="1" x14ac:dyDescent="0.25">
      <c r="B356" s="1"/>
      <c r="C356" s="21"/>
    </row>
    <row r="357" spans="1:6" ht="12.75" customHeight="1" collapsed="1" x14ac:dyDescent="0.25">
      <c r="A357" s="49" t="s">
        <v>163</v>
      </c>
      <c r="B357" s="50"/>
      <c r="C357" s="51"/>
      <c r="D357" s="52"/>
      <c r="E357" s="51"/>
      <c r="F357" s="53"/>
    </row>
    <row r="358" spans="1:6" ht="12.75" customHeight="1" x14ac:dyDescent="0.3">
      <c r="A358" s="54" t="s">
        <v>164</v>
      </c>
      <c r="B358" s="55"/>
      <c r="C358" s="56"/>
      <c r="D358" s="57"/>
      <c r="E358" s="58" t="s">
        <v>92</v>
      </c>
      <c r="F358" s="59">
        <f>F361+F366+F370</f>
        <v>522.03555555555556</v>
      </c>
    </row>
    <row r="359" spans="1:6" ht="12.75" customHeight="1" outlineLevel="1" x14ac:dyDescent="0.3">
      <c r="A359" s="60" t="s">
        <v>93</v>
      </c>
      <c r="B359" s="61">
        <v>12</v>
      </c>
      <c r="C359" s="62" t="s">
        <v>133</v>
      </c>
      <c r="D359" s="63" t="s">
        <v>95</v>
      </c>
      <c r="E359" s="60">
        <v>8</v>
      </c>
      <c r="F359" s="60" t="s">
        <v>96</v>
      </c>
    </row>
    <row r="360" spans="1:6" ht="12.75" customHeight="1" outlineLevel="1" x14ac:dyDescent="0.3">
      <c r="A360" s="64" t="s">
        <v>97</v>
      </c>
      <c r="B360" s="65" t="s">
        <v>98</v>
      </c>
      <c r="C360" s="66" t="s">
        <v>99</v>
      </c>
      <c r="D360" s="67" t="s">
        <v>100</v>
      </c>
      <c r="E360" s="64" t="s">
        <v>101</v>
      </c>
      <c r="F360" s="64" t="s">
        <v>102</v>
      </c>
    </row>
    <row r="361" spans="1:6" ht="12.75" customHeight="1" outlineLevel="1" x14ac:dyDescent="0.3">
      <c r="A361" s="64" t="s">
        <v>103</v>
      </c>
      <c r="B361" s="65"/>
      <c r="C361" s="66"/>
      <c r="D361" s="67"/>
      <c r="E361" s="66"/>
      <c r="F361" s="66">
        <f>SUM(F362:F365)</f>
        <v>85.222222222222214</v>
      </c>
    </row>
    <row r="362" spans="1:6" ht="12.75" customHeight="1" outlineLevel="1" x14ac:dyDescent="0.25">
      <c r="A362" s="44" t="s">
        <v>108</v>
      </c>
      <c r="B362" s="68" t="s">
        <v>109</v>
      </c>
      <c r="C362" s="41">
        <v>0.1</v>
      </c>
      <c r="D362" s="69">
        <f>C362*$E$359/$B$359</f>
        <v>6.6666666666666666E-2</v>
      </c>
      <c r="E362" s="41">
        <f>VLOOKUP(A362,INSUMOS!$B$7:$D$42,3,0)</f>
        <v>49.166666666666664</v>
      </c>
      <c r="F362" s="41">
        <f>PRODUCT(D362:E362)</f>
        <v>3.2777777777777777</v>
      </c>
    </row>
    <row r="363" spans="1:6" ht="12.75" customHeight="1" outlineLevel="1" x14ac:dyDescent="0.25">
      <c r="A363" s="44" t="s">
        <v>113</v>
      </c>
      <c r="B363" s="68" t="s">
        <v>109</v>
      </c>
      <c r="C363" s="41">
        <v>2</v>
      </c>
      <c r="D363" s="69">
        <f>C363*$E$359/$B$359</f>
        <v>1.3333333333333333</v>
      </c>
      <c r="E363" s="41">
        <f>VLOOKUP(A363,INSUMOS!$B$7:$D$42,3,0)</f>
        <v>27.041666666666668</v>
      </c>
      <c r="F363" s="41">
        <f>PRODUCT(D363:E363)</f>
        <v>36.055555555555557</v>
      </c>
    </row>
    <row r="364" spans="1:6" ht="12.75" customHeight="1" outlineLevel="1" x14ac:dyDescent="0.25">
      <c r="A364" s="44" t="s">
        <v>144</v>
      </c>
      <c r="B364" s="68" t="s">
        <v>109</v>
      </c>
      <c r="C364" s="41">
        <v>1</v>
      </c>
      <c r="D364" s="69">
        <f>C364*$E$359/$B$359</f>
        <v>0.66666666666666663</v>
      </c>
      <c r="E364" s="41">
        <f>VLOOKUP(A364,INSUMOS!$B$7:$D$42,3,0)</f>
        <v>19.666666666666668</v>
      </c>
      <c r="F364" s="41">
        <f>PRODUCT(D364:E364)</f>
        <v>13.111111111111111</v>
      </c>
    </row>
    <row r="365" spans="1:6" ht="12.75" customHeight="1" outlineLevel="1" x14ac:dyDescent="0.25">
      <c r="A365" s="44" t="s">
        <v>110</v>
      </c>
      <c r="B365" s="68" t="s">
        <v>109</v>
      </c>
      <c r="C365" s="41">
        <v>4</v>
      </c>
      <c r="D365" s="69">
        <f>C365*$E$359/$B$359</f>
        <v>2.6666666666666665</v>
      </c>
      <c r="E365" s="41">
        <f>VLOOKUP(A365,INSUMOS!$B$7:$D$42,3,0)</f>
        <v>12.291666666666666</v>
      </c>
      <c r="F365" s="41">
        <f>PRODUCT(D365:E365)</f>
        <v>32.777777777777771</v>
      </c>
    </row>
    <row r="366" spans="1:6" ht="12.75" customHeight="1" outlineLevel="1" x14ac:dyDescent="0.3">
      <c r="A366" s="64" t="s">
        <v>116</v>
      </c>
      <c r="B366" s="65"/>
      <c r="C366" s="66"/>
      <c r="D366" s="67"/>
      <c r="E366" s="66"/>
      <c r="F366" s="66">
        <f>SUM(F367:F369)</f>
        <v>415.59000000000003</v>
      </c>
    </row>
    <row r="367" spans="1:6" ht="12.75" customHeight="1" outlineLevel="1" x14ac:dyDescent="0.25">
      <c r="A367" s="44" t="s">
        <v>165</v>
      </c>
      <c r="B367" s="68" t="s">
        <v>37</v>
      </c>
      <c r="C367" s="41"/>
      <c r="D367" s="69">
        <v>0.65</v>
      </c>
      <c r="E367" s="41">
        <f>VLOOKUP(A367,INSUMOS!$B$7:$D$42,3,0)</f>
        <v>100.3</v>
      </c>
      <c r="F367" s="41">
        <f>PRODUCT(D367:E367)</f>
        <v>65.195000000000007</v>
      </c>
    </row>
    <row r="368" spans="1:6" ht="12.75" customHeight="1" outlineLevel="1" x14ac:dyDescent="0.25">
      <c r="A368" s="44" t="s">
        <v>166</v>
      </c>
      <c r="B368" s="68" t="s">
        <v>37</v>
      </c>
      <c r="C368" s="41"/>
      <c r="D368" s="69">
        <v>0.65</v>
      </c>
      <c r="E368" s="41">
        <f>VLOOKUP(A368,INSUMOS!$B$7:$D$42,3,0)</f>
        <v>100.3</v>
      </c>
      <c r="F368" s="41">
        <f>PRODUCT(D368:E368)</f>
        <v>65.195000000000007</v>
      </c>
    </row>
    <row r="369" spans="1:6" ht="12.75" customHeight="1" outlineLevel="1" x14ac:dyDescent="0.25">
      <c r="A369" s="44" t="s">
        <v>145</v>
      </c>
      <c r="B369" s="68" t="s">
        <v>147</v>
      </c>
      <c r="C369" s="41"/>
      <c r="D369" s="69">
        <v>9.1999999999999993</v>
      </c>
      <c r="E369" s="41">
        <f>VLOOKUP(A369,INSUMOS!$B$7:$D$42,3,0)</f>
        <v>31</v>
      </c>
      <c r="F369" s="41">
        <f>PRODUCT(D369:E369)</f>
        <v>285.2</v>
      </c>
    </row>
    <row r="370" spans="1:6" ht="12.75" customHeight="1" outlineLevel="1" x14ac:dyDescent="0.3">
      <c r="A370" s="64" t="s">
        <v>105</v>
      </c>
      <c r="B370" s="65"/>
      <c r="C370" s="66"/>
      <c r="D370" s="67"/>
      <c r="E370" s="66"/>
      <c r="F370" s="66">
        <f>SUM(F371:F373)</f>
        <v>21.223333333333333</v>
      </c>
    </row>
    <row r="371" spans="1:6" ht="12.75" customHeight="1" outlineLevel="1" x14ac:dyDescent="0.25">
      <c r="A371" s="79" t="s">
        <v>111</v>
      </c>
      <c r="B371" s="80" t="s">
        <v>112</v>
      </c>
      <c r="C371" s="81"/>
      <c r="D371" s="82">
        <v>3</v>
      </c>
      <c r="E371" s="81">
        <f>F361</f>
        <v>85.222222222222214</v>
      </c>
      <c r="F371" s="81">
        <f>D371*E371/100</f>
        <v>2.5566666666666662</v>
      </c>
    </row>
    <row r="372" spans="1:6" ht="12.75" customHeight="1" outlineLevel="1" x14ac:dyDescent="0.25">
      <c r="A372" s="44" t="s">
        <v>148</v>
      </c>
      <c r="B372" s="68" t="s">
        <v>131</v>
      </c>
      <c r="C372" s="41">
        <v>1</v>
      </c>
      <c r="D372" s="69">
        <f>C372*$E$359/$B$359</f>
        <v>0.66666666666666663</v>
      </c>
      <c r="E372" s="41">
        <f>VLOOKUP(A372,INSUMOS!$B$7:$D$42,3,0)</f>
        <v>6</v>
      </c>
      <c r="F372" s="41">
        <f>PRODUCT(D372:E372)</f>
        <v>4</v>
      </c>
    </row>
    <row r="373" spans="1:6" ht="12.75" customHeight="1" outlineLevel="1" x14ac:dyDescent="0.25">
      <c r="A373" s="44" t="s">
        <v>156</v>
      </c>
      <c r="B373" s="83" t="s">
        <v>131</v>
      </c>
      <c r="C373" s="41">
        <v>1</v>
      </c>
      <c r="D373" s="69">
        <f>C373*$E$359/$B$359</f>
        <v>0.66666666666666663</v>
      </c>
      <c r="E373" s="41">
        <f>VLOOKUP(A373,INSUMOS!$B$7:$D$42,3,0)</f>
        <v>22</v>
      </c>
      <c r="F373" s="41">
        <f>PRODUCT(D373:E373)</f>
        <v>14.666666666666666</v>
      </c>
    </row>
    <row r="374" spans="1:6" ht="12.75" customHeight="1" outlineLevel="1" x14ac:dyDescent="0.25">
      <c r="A374" s="75"/>
      <c r="B374" s="72"/>
      <c r="C374" s="77"/>
      <c r="D374" s="78"/>
      <c r="E374" s="41"/>
      <c r="F374" s="41"/>
    </row>
    <row r="375" spans="1:6" ht="12.75" customHeight="1" x14ac:dyDescent="0.3">
      <c r="A375" s="54" t="s">
        <v>490</v>
      </c>
      <c r="B375" s="55"/>
      <c r="C375" s="56"/>
      <c r="D375" s="57"/>
      <c r="E375" s="58" t="s">
        <v>92</v>
      </c>
      <c r="F375" s="59">
        <f>F378+F383+F387</f>
        <v>464.25483333333329</v>
      </c>
    </row>
    <row r="376" spans="1:6" ht="12.75" hidden="1" customHeight="1" outlineLevel="1" x14ac:dyDescent="0.3">
      <c r="A376" s="60" t="s">
        <v>93</v>
      </c>
      <c r="B376" s="61">
        <v>20</v>
      </c>
      <c r="C376" s="62" t="s">
        <v>133</v>
      </c>
      <c r="D376" s="63" t="s">
        <v>95</v>
      </c>
      <c r="E376" s="60">
        <v>8</v>
      </c>
      <c r="F376" s="60" t="s">
        <v>96</v>
      </c>
    </row>
    <row r="377" spans="1:6" ht="12.75" hidden="1" customHeight="1" outlineLevel="1" x14ac:dyDescent="0.3">
      <c r="A377" s="64" t="s">
        <v>97</v>
      </c>
      <c r="B377" s="65" t="s">
        <v>98</v>
      </c>
      <c r="C377" s="66" t="s">
        <v>99</v>
      </c>
      <c r="D377" s="67" t="s">
        <v>100</v>
      </c>
      <c r="E377" s="64" t="s">
        <v>101</v>
      </c>
      <c r="F377" s="64" t="s">
        <v>102</v>
      </c>
    </row>
    <row r="378" spans="1:6" ht="12.75" hidden="1" customHeight="1" outlineLevel="1" x14ac:dyDescent="0.3">
      <c r="A378" s="64" t="s">
        <v>103</v>
      </c>
      <c r="B378" s="65"/>
      <c r="C378" s="66"/>
      <c r="D378" s="67"/>
      <c r="E378" s="66"/>
      <c r="F378" s="66">
        <f>SUM(F379:F382)</f>
        <v>56.05</v>
      </c>
    </row>
    <row r="379" spans="1:6" ht="12.75" hidden="1" customHeight="1" outlineLevel="1" x14ac:dyDescent="0.25">
      <c r="A379" s="44" t="s">
        <v>108</v>
      </c>
      <c r="B379" s="68" t="s">
        <v>109</v>
      </c>
      <c r="C379" s="41">
        <v>0.1</v>
      </c>
      <c r="D379" s="69">
        <f>C379*$E$376/$B$376</f>
        <v>0.04</v>
      </c>
      <c r="E379" s="41">
        <f>VLOOKUP(A379,INSUMOS!$B$7:$D$42,3,0)</f>
        <v>49.166666666666664</v>
      </c>
      <c r="F379" s="41">
        <f>PRODUCT(D379:E379)</f>
        <v>1.9666666666666666</v>
      </c>
    </row>
    <row r="380" spans="1:6" ht="12.75" hidden="1" customHeight="1" outlineLevel="1" x14ac:dyDescent="0.25">
      <c r="A380" s="44" t="s">
        <v>113</v>
      </c>
      <c r="B380" s="68" t="s">
        <v>109</v>
      </c>
      <c r="C380" s="41">
        <v>2</v>
      </c>
      <c r="D380" s="69">
        <f>C380*$E$376/$B$376</f>
        <v>0.8</v>
      </c>
      <c r="E380" s="41">
        <f>VLOOKUP(A380,INSUMOS!$B$7:$D$42,3,0)</f>
        <v>27.041666666666668</v>
      </c>
      <c r="F380" s="41">
        <f>PRODUCT(D380:E380)</f>
        <v>21.633333333333336</v>
      </c>
    </row>
    <row r="381" spans="1:6" ht="12.75" hidden="1" customHeight="1" outlineLevel="1" x14ac:dyDescent="0.25">
      <c r="A381" s="44" t="s">
        <v>144</v>
      </c>
      <c r="B381" s="68" t="s">
        <v>109</v>
      </c>
      <c r="C381" s="41">
        <v>1</v>
      </c>
      <c r="D381" s="69">
        <f>C381*$E$376/$B$376</f>
        <v>0.4</v>
      </c>
      <c r="E381" s="41">
        <f>VLOOKUP(A381,INSUMOS!$B$7:$D$42,3,0)</f>
        <v>19.666666666666668</v>
      </c>
      <c r="F381" s="41">
        <f>PRODUCT(D381:E381)</f>
        <v>7.8666666666666671</v>
      </c>
    </row>
    <row r="382" spans="1:6" ht="12.75" hidden="1" customHeight="1" outlineLevel="1" x14ac:dyDescent="0.25">
      <c r="A382" s="44" t="s">
        <v>110</v>
      </c>
      <c r="B382" s="68" t="s">
        <v>109</v>
      </c>
      <c r="C382" s="41">
        <v>5</v>
      </c>
      <c r="D382" s="69">
        <f>C382*$E$376/$B$376</f>
        <v>2</v>
      </c>
      <c r="E382" s="41">
        <f>VLOOKUP(A382,INSUMOS!$B$7:$D$42,3,0)</f>
        <v>12.291666666666666</v>
      </c>
      <c r="F382" s="41">
        <f>PRODUCT(D382:E382)</f>
        <v>24.583333333333332</v>
      </c>
    </row>
    <row r="383" spans="1:6" ht="12.75" hidden="1" customHeight="1" outlineLevel="1" x14ac:dyDescent="0.3">
      <c r="A383" s="64" t="s">
        <v>116</v>
      </c>
      <c r="B383" s="65"/>
      <c r="C383" s="66"/>
      <c r="D383" s="67"/>
      <c r="E383" s="66"/>
      <c r="F383" s="66">
        <f>SUM(F384:F386)</f>
        <v>397.18999999999994</v>
      </c>
    </row>
    <row r="384" spans="1:6" ht="12.75" hidden="1" customHeight="1" outlineLevel="1" x14ac:dyDescent="0.25">
      <c r="A384" s="44" t="s">
        <v>165</v>
      </c>
      <c r="B384" s="68" t="s">
        <v>37</v>
      </c>
      <c r="C384" s="41"/>
      <c r="D384" s="69">
        <v>0.65</v>
      </c>
      <c r="E384" s="41">
        <f>VLOOKUP(A384,INSUMOS!$B$7:$D$42,3,0)</f>
        <v>100.3</v>
      </c>
      <c r="F384" s="41">
        <f>PRODUCT(D384:E384)</f>
        <v>65.195000000000007</v>
      </c>
    </row>
    <row r="385" spans="1:6" ht="12.75" hidden="1" customHeight="1" outlineLevel="1" x14ac:dyDescent="0.25">
      <c r="A385" s="44" t="s">
        <v>166</v>
      </c>
      <c r="B385" s="68" t="s">
        <v>37</v>
      </c>
      <c r="C385" s="41"/>
      <c r="D385" s="69">
        <v>0.65</v>
      </c>
      <c r="E385" s="41">
        <f>VLOOKUP(A385,INSUMOS!$B$7:$D$42,3,0)</f>
        <v>100.3</v>
      </c>
      <c r="F385" s="41">
        <f>PRODUCT(D385:E385)</f>
        <v>65.195000000000007</v>
      </c>
    </row>
    <row r="386" spans="1:6" ht="12.75" hidden="1" customHeight="1" outlineLevel="1" x14ac:dyDescent="0.25">
      <c r="A386" s="44" t="s">
        <v>169</v>
      </c>
      <c r="B386" s="68" t="s">
        <v>147</v>
      </c>
      <c r="C386" s="41"/>
      <c r="D386" s="69">
        <v>9.1999999999999993</v>
      </c>
      <c r="E386" s="41">
        <f>VLOOKUP(A386,INSUMOS!$B$7:$D$42,3,0)</f>
        <v>29</v>
      </c>
      <c r="F386" s="41">
        <f>PRODUCT(D386:E386)</f>
        <v>266.79999999999995</v>
      </c>
    </row>
    <row r="387" spans="1:6" ht="12.75" hidden="1" customHeight="1" outlineLevel="1" x14ac:dyDescent="0.3">
      <c r="A387" s="64" t="s">
        <v>105</v>
      </c>
      <c r="B387" s="65"/>
      <c r="C387" s="66"/>
      <c r="D387" s="67"/>
      <c r="E387" s="66"/>
      <c r="F387" s="66">
        <f>SUM(F388:F390)</f>
        <v>11.014833333333332</v>
      </c>
    </row>
    <row r="388" spans="1:6" ht="12.75" hidden="1" customHeight="1" outlineLevel="1" x14ac:dyDescent="0.25">
      <c r="A388" s="79" t="s">
        <v>111</v>
      </c>
      <c r="B388" s="80" t="s">
        <v>112</v>
      </c>
      <c r="C388" s="81"/>
      <c r="D388" s="82">
        <v>3</v>
      </c>
      <c r="E388" s="81">
        <f>F378</f>
        <v>56.05</v>
      </c>
      <c r="F388" s="81">
        <f>D388*E388/100</f>
        <v>1.6814999999999998</v>
      </c>
    </row>
    <row r="389" spans="1:6" ht="12.75" hidden="1" customHeight="1" outlineLevel="1" x14ac:dyDescent="0.25">
      <c r="A389" s="44" t="s">
        <v>148</v>
      </c>
      <c r="B389" s="68" t="s">
        <v>131</v>
      </c>
      <c r="C389" s="41">
        <v>0.5</v>
      </c>
      <c r="D389" s="69">
        <f>C389*$E$359/$B$359</f>
        <v>0.33333333333333331</v>
      </c>
      <c r="E389" s="41">
        <f>VLOOKUP(A389,INSUMOS!$B$7:$D$42,3,0)</f>
        <v>6</v>
      </c>
      <c r="F389" s="41">
        <f>PRODUCT(D389:E389)</f>
        <v>2</v>
      </c>
    </row>
    <row r="390" spans="1:6" ht="12.75" hidden="1" customHeight="1" outlineLevel="1" x14ac:dyDescent="0.25">
      <c r="A390" s="44" t="s">
        <v>156</v>
      </c>
      <c r="B390" s="83" t="s">
        <v>131</v>
      </c>
      <c r="C390" s="41">
        <v>0.5</v>
      </c>
      <c r="D390" s="69">
        <f>C390*$E$359/$B$359</f>
        <v>0.33333333333333331</v>
      </c>
      <c r="E390" s="41">
        <f>VLOOKUP(A390,INSUMOS!$B$7:$D$42,3,0)</f>
        <v>22</v>
      </c>
      <c r="F390" s="41">
        <f>PRODUCT(D390:E390)</f>
        <v>7.333333333333333</v>
      </c>
    </row>
    <row r="391" spans="1:6" ht="12.75" hidden="1" customHeight="1" outlineLevel="1" x14ac:dyDescent="0.25">
      <c r="B391" s="1"/>
      <c r="C391" s="21"/>
    </row>
    <row r="392" spans="1:6" ht="12.75" customHeight="1" collapsed="1" x14ac:dyDescent="0.3">
      <c r="A392" s="54" t="s">
        <v>488</v>
      </c>
      <c r="B392" s="55"/>
      <c r="C392" s="56"/>
      <c r="D392" s="57"/>
      <c r="E392" s="58" t="s">
        <v>92</v>
      </c>
      <c r="F392" s="59">
        <f>F395+F400+F404</f>
        <v>448.35853333333341</v>
      </c>
    </row>
    <row r="393" spans="1:6" ht="12.75" hidden="1" customHeight="1" outlineLevel="1" x14ac:dyDescent="0.3">
      <c r="A393" s="60" t="s">
        <v>93</v>
      </c>
      <c r="B393" s="61">
        <v>25</v>
      </c>
      <c r="C393" s="62" t="s">
        <v>133</v>
      </c>
      <c r="D393" s="63" t="s">
        <v>95</v>
      </c>
      <c r="E393" s="60">
        <v>8</v>
      </c>
      <c r="F393" s="60" t="s">
        <v>96</v>
      </c>
    </row>
    <row r="394" spans="1:6" ht="12.75" hidden="1" customHeight="1" outlineLevel="1" x14ac:dyDescent="0.3">
      <c r="A394" s="64" t="s">
        <v>97</v>
      </c>
      <c r="B394" s="65" t="s">
        <v>98</v>
      </c>
      <c r="C394" s="66" t="s">
        <v>99</v>
      </c>
      <c r="D394" s="67" t="s">
        <v>100</v>
      </c>
      <c r="E394" s="64" t="s">
        <v>101</v>
      </c>
      <c r="F394" s="64" t="s">
        <v>102</v>
      </c>
    </row>
    <row r="395" spans="1:6" ht="12.75" hidden="1" customHeight="1" outlineLevel="1" x14ac:dyDescent="0.3">
      <c r="A395" s="64" t="s">
        <v>103</v>
      </c>
      <c r="B395" s="65"/>
      <c r="C395" s="66"/>
      <c r="D395" s="67"/>
      <c r="E395" s="66"/>
      <c r="F395" s="66">
        <f>SUM(F396:F399)</f>
        <v>44.84</v>
      </c>
    </row>
    <row r="396" spans="1:6" ht="12.75" hidden="1" customHeight="1" outlineLevel="1" x14ac:dyDescent="0.25">
      <c r="A396" s="44" t="s">
        <v>108</v>
      </c>
      <c r="B396" s="68" t="s">
        <v>109</v>
      </c>
      <c r="C396" s="41">
        <v>0.1</v>
      </c>
      <c r="D396" s="69">
        <f>C396*$E$393/$B$393</f>
        <v>3.2000000000000001E-2</v>
      </c>
      <c r="E396" s="41">
        <f>VLOOKUP(A396,INSUMOS!$B$7:$D$42,3,0)</f>
        <v>49.166666666666664</v>
      </c>
      <c r="F396" s="41">
        <f>PRODUCT(D396:E396)</f>
        <v>1.5733333333333333</v>
      </c>
    </row>
    <row r="397" spans="1:6" ht="12.75" hidden="1" customHeight="1" outlineLevel="1" x14ac:dyDescent="0.25">
      <c r="A397" s="44" t="s">
        <v>113</v>
      </c>
      <c r="B397" s="68" t="s">
        <v>109</v>
      </c>
      <c r="C397" s="41">
        <v>2</v>
      </c>
      <c r="D397" s="69">
        <f>C397*$E$393/$B$393</f>
        <v>0.64</v>
      </c>
      <c r="E397" s="41">
        <f>VLOOKUP(A397,INSUMOS!$B$7:$D$42,3,0)</f>
        <v>27.041666666666668</v>
      </c>
      <c r="F397" s="41">
        <f>PRODUCT(D397:E397)</f>
        <v>17.306666666666668</v>
      </c>
    </row>
    <row r="398" spans="1:6" ht="12.75" hidden="1" customHeight="1" outlineLevel="1" x14ac:dyDescent="0.25">
      <c r="A398" s="44" t="s">
        <v>144</v>
      </c>
      <c r="B398" s="68" t="s">
        <v>109</v>
      </c>
      <c r="C398" s="41">
        <v>1</v>
      </c>
      <c r="D398" s="69">
        <f>C398*$E$393/$B$393</f>
        <v>0.32</v>
      </c>
      <c r="E398" s="41">
        <f>VLOOKUP(A398,INSUMOS!$B$7:$D$42,3,0)</f>
        <v>19.666666666666668</v>
      </c>
      <c r="F398" s="41">
        <f>PRODUCT(D398:E398)</f>
        <v>6.2933333333333339</v>
      </c>
    </row>
    <row r="399" spans="1:6" ht="12.75" hidden="1" customHeight="1" outlineLevel="1" x14ac:dyDescent="0.25">
      <c r="A399" s="44" t="s">
        <v>110</v>
      </c>
      <c r="B399" s="68" t="s">
        <v>109</v>
      </c>
      <c r="C399" s="41">
        <v>5</v>
      </c>
      <c r="D399" s="69">
        <f>C399*$E$393/$B$393</f>
        <v>1.6</v>
      </c>
      <c r="E399" s="41">
        <f>VLOOKUP(A399,INSUMOS!$B$7:$D$42,3,0)</f>
        <v>12.291666666666666</v>
      </c>
      <c r="F399" s="41">
        <f>PRODUCT(D399:E399)</f>
        <v>19.666666666666668</v>
      </c>
    </row>
    <row r="400" spans="1:6" ht="12.75" hidden="1" customHeight="1" outlineLevel="1" x14ac:dyDescent="0.3">
      <c r="A400" s="64" t="s">
        <v>116</v>
      </c>
      <c r="B400" s="65"/>
      <c r="C400" s="66"/>
      <c r="D400" s="67"/>
      <c r="E400" s="66"/>
      <c r="F400" s="66">
        <f>SUM(F401:F403)</f>
        <v>392.84000000000003</v>
      </c>
    </row>
    <row r="401" spans="1:6" ht="12.75" hidden="1" customHeight="1" outlineLevel="1" x14ac:dyDescent="0.25">
      <c r="A401" s="44" t="s">
        <v>165</v>
      </c>
      <c r="B401" s="68" t="s">
        <v>37</v>
      </c>
      <c r="C401" s="41"/>
      <c r="D401" s="69">
        <v>0.65</v>
      </c>
      <c r="E401" s="41">
        <f>VLOOKUP(A401,INSUMOS!$B$7:$D$42,3,0)</f>
        <v>100.3</v>
      </c>
      <c r="F401" s="41">
        <f>PRODUCT(D401:E401)</f>
        <v>65.195000000000007</v>
      </c>
    </row>
    <row r="402" spans="1:6" ht="12.75" hidden="1" customHeight="1" outlineLevel="1" x14ac:dyDescent="0.25">
      <c r="A402" s="44" t="s">
        <v>166</v>
      </c>
      <c r="B402" s="68" t="s">
        <v>37</v>
      </c>
      <c r="C402" s="41"/>
      <c r="D402" s="69">
        <v>0.65</v>
      </c>
      <c r="E402" s="41">
        <f>VLOOKUP(A402,INSUMOS!$B$7:$D$42,3,0)</f>
        <v>100.3</v>
      </c>
      <c r="F402" s="41">
        <f>PRODUCT(D402:E402)</f>
        <v>65.195000000000007</v>
      </c>
    </row>
    <row r="403" spans="1:6" ht="12.75" hidden="1" customHeight="1" outlineLevel="1" x14ac:dyDescent="0.25">
      <c r="A403" s="44" t="s">
        <v>169</v>
      </c>
      <c r="B403" s="68" t="s">
        <v>147</v>
      </c>
      <c r="C403" s="41"/>
      <c r="D403" s="69">
        <v>9.0500000000000007</v>
      </c>
      <c r="E403" s="41">
        <f>VLOOKUP(A403,INSUMOS!$B$7:$D$42,3,0)</f>
        <v>29</v>
      </c>
      <c r="F403" s="41">
        <f>PRODUCT(D403:E403)</f>
        <v>262.45000000000005</v>
      </c>
    </row>
    <row r="404" spans="1:6" ht="12.75" hidden="1" customHeight="1" outlineLevel="1" x14ac:dyDescent="0.3">
      <c r="A404" s="64" t="s">
        <v>105</v>
      </c>
      <c r="B404" s="65"/>
      <c r="C404" s="66"/>
      <c r="D404" s="67"/>
      <c r="E404" s="66"/>
      <c r="F404" s="66">
        <f>SUM(F405:F407)</f>
        <v>10.678533333333334</v>
      </c>
    </row>
    <row r="405" spans="1:6" ht="12.75" hidden="1" customHeight="1" outlineLevel="1" x14ac:dyDescent="0.25">
      <c r="A405" s="79" t="s">
        <v>111</v>
      </c>
      <c r="B405" s="80" t="s">
        <v>112</v>
      </c>
      <c r="C405" s="81"/>
      <c r="D405" s="82">
        <v>3</v>
      </c>
      <c r="E405" s="81">
        <f>F395</f>
        <v>44.84</v>
      </c>
      <c r="F405" s="81">
        <f>D405*E405/100</f>
        <v>1.3452000000000002</v>
      </c>
    </row>
    <row r="406" spans="1:6" ht="12.75" hidden="1" customHeight="1" outlineLevel="1" x14ac:dyDescent="0.25">
      <c r="A406" s="44" t="s">
        <v>148</v>
      </c>
      <c r="B406" s="68" t="s">
        <v>131</v>
      </c>
      <c r="C406" s="41">
        <v>0.5</v>
      </c>
      <c r="D406" s="69">
        <f>C406*$E$359/$B$359</f>
        <v>0.33333333333333331</v>
      </c>
      <c r="E406" s="41">
        <f>VLOOKUP(A406,INSUMOS!$B$7:$D$42,3,0)</f>
        <v>6</v>
      </c>
      <c r="F406" s="41">
        <f>PRODUCT(D406:E406)</f>
        <v>2</v>
      </c>
    </row>
    <row r="407" spans="1:6" ht="12.75" hidden="1" customHeight="1" outlineLevel="1" x14ac:dyDescent="0.25">
      <c r="A407" s="44" t="s">
        <v>156</v>
      </c>
      <c r="B407" s="83" t="s">
        <v>131</v>
      </c>
      <c r="C407" s="41">
        <v>0.5</v>
      </c>
      <c r="D407" s="69">
        <f>C407*$E$359/$B$359</f>
        <v>0.33333333333333331</v>
      </c>
      <c r="E407" s="41">
        <f>VLOOKUP(A407,INSUMOS!$B$7:$D$42,3,0)</f>
        <v>22</v>
      </c>
      <c r="F407" s="41">
        <f>PRODUCT(D407:E407)</f>
        <v>7.333333333333333</v>
      </c>
    </row>
    <row r="408" spans="1:6" ht="12.75" hidden="1" customHeight="1" outlineLevel="1" x14ac:dyDescent="0.25">
      <c r="B408" s="1"/>
      <c r="C408" s="21"/>
    </row>
    <row r="409" spans="1:6" ht="12.75" customHeight="1" collapsed="1" x14ac:dyDescent="0.3">
      <c r="A409" s="54" t="s">
        <v>172</v>
      </c>
      <c r="B409" s="55"/>
      <c r="C409" s="56"/>
      <c r="D409" s="57"/>
      <c r="E409" s="58" t="s">
        <v>92</v>
      </c>
      <c r="F409" s="59">
        <f>F412+F417+F421</f>
        <v>600.57916666666665</v>
      </c>
    </row>
    <row r="410" spans="1:6" ht="12.75" hidden="1" customHeight="1" outlineLevel="1" x14ac:dyDescent="0.3">
      <c r="A410" s="60" t="s">
        <v>93</v>
      </c>
      <c r="B410" s="61">
        <v>8</v>
      </c>
      <c r="C410" s="62" t="s">
        <v>133</v>
      </c>
      <c r="D410" s="63" t="s">
        <v>95</v>
      </c>
      <c r="E410" s="60">
        <v>8</v>
      </c>
      <c r="F410" s="60" t="s">
        <v>96</v>
      </c>
    </row>
    <row r="411" spans="1:6" ht="12.75" hidden="1" customHeight="1" outlineLevel="1" x14ac:dyDescent="0.3">
      <c r="A411" s="64" t="s">
        <v>97</v>
      </c>
      <c r="B411" s="65" t="s">
        <v>98</v>
      </c>
      <c r="C411" s="66" t="s">
        <v>99</v>
      </c>
      <c r="D411" s="67" t="s">
        <v>100</v>
      </c>
      <c r="E411" s="64" t="s">
        <v>101</v>
      </c>
      <c r="F411" s="64" t="s">
        <v>102</v>
      </c>
    </row>
    <row r="412" spans="1:6" ht="12.75" hidden="1" customHeight="1" outlineLevel="1" x14ac:dyDescent="0.3">
      <c r="A412" s="64" t="s">
        <v>103</v>
      </c>
      <c r="B412" s="65"/>
      <c r="C412" s="66"/>
      <c r="D412" s="67"/>
      <c r="E412" s="66"/>
      <c r="F412" s="66">
        <f>SUM(F413:F416)</f>
        <v>152.41666666666669</v>
      </c>
    </row>
    <row r="413" spans="1:6" ht="12.75" hidden="1" customHeight="1" outlineLevel="1" x14ac:dyDescent="0.25">
      <c r="A413" s="44" t="s">
        <v>108</v>
      </c>
      <c r="B413" s="68" t="s">
        <v>109</v>
      </c>
      <c r="C413" s="41">
        <v>0.1</v>
      </c>
      <c r="D413" s="69">
        <f>C413*$E$410/$B$410</f>
        <v>0.1</v>
      </c>
      <c r="E413" s="41">
        <f>VLOOKUP(A413,INSUMOS!$B$7:$D$42,3,0)</f>
        <v>49.166666666666664</v>
      </c>
      <c r="F413" s="41">
        <f>PRODUCT(D413:E413)</f>
        <v>4.916666666666667</v>
      </c>
    </row>
    <row r="414" spans="1:6" ht="12.75" hidden="1" customHeight="1" outlineLevel="1" x14ac:dyDescent="0.25">
      <c r="A414" s="44" t="s">
        <v>113</v>
      </c>
      <c r="B414" s="68" t="s">
        <v>109</v>
      </c>
      <c r="C414" s="41">
        <v>2</v>
      </c>
      <c r="D414" s="69">
        <f>C414*$E$410/$B$410</f>
        <v>2</v>
      </c>
      <c r="E414" s="41">
        <f>VLOOKUP(A414,INSUMOS!$B$7:$D$42,3,0)</f>
        <v>27.041666666666668</v>
      </c>
      <c r="F414" s="41">
        <f>PRODUCT(D414:E414)</f>
        <v>54.083333333333336</v>
      </c>
    </row>
    <row r="415" spans="1:6" ht="12.75" hidden="1" customHeight="1" outlineLevel="1" x14ac:dyDescent="0.25">
      <c r="A415" s="44" t="s">
        <v>144</v>
      </c>
      <c r="B415" s="68" t="s">
        <v>109</v>
      </c>
      <c r="C415" s="41">
        <v>1</v>
      </c>
      <c r="D415" s="69">
        <f>C415*$E$410/$B$410</f>
        <v>1</v>
      </c>
      <c r="E415" s="41">
        <f>VLOOKUP(A415,INSUMOS!$B$7:$D$42,3,0)</f>
        <v>19.666666666666668</v>
      </c>
      <c r="F415" s="41">
        <f>PRODUCT(D415:E415)</f>
        <v>19.666666666666668</v>
      </c>
    </row>
    <row r="416" spans="1:6" ht="12.75" hidden="1" customHeight="1" outlineLevel="1" x14ac:dyDescent="0.25">
      <c r="A416" s="44" t="s">
        <v>110</v>
      </c>
      <c r="B416" s="68" t="s">
        <v>109</v>
      </c>
      <c r="C416" s="41">
        <v>6</v>
      </c>
      <c r="D416" s="69">
        <f>C416*$E$410/$B$410</f>
        <v>6</v>
      </c>
      <c r="E416" s="41">
        <f>VLOOKUP(A416,INSUMOS!$B$7:$D$42,3,0)</f>
        <v>12.291666666666666</v>
      </c>
      <c r="F416" s="41">
        <f>PRODUCT(D416:E416)</f>
        <v>73.75</v>
      </c>
    </row>
    <row r="417" spans="1:6" ht="12.75" hidden="1" customHeight="1" outlineLevel="1" x14ac:dyDescent="0.3">
      <c r="A417" s="64" t="s">
        <v>116</v>
      </c>
      <c r="B417" s="65"/>
      <c r="C417" s="66"/>
      <c r="D417" s="67"/>
      <c r="E417" s="66"/>
      <c r="F417" s="66">
        <f>SUM(F418:F420)</f>
        <v>415.59000000000003</v>
      </c>
    </row>
    <row r="418" spans="1:6" ht="12.75" hidden="1" customHeight="1" outlineLevel="1" x14ac:dyDescent="0.25">
      <c r="A418" s="44" t="s">
        <v>165</v>
      </c>
      <c r="B418" s="68" t="s">
        <v>37</v>
      </c>
      <c r="C418" s="41"/>
      <c r="D418" s="69">
        <v>0.65</v>
      </c>
      <c r="E418" s="41">
        <f>VLOOKUP(A418,INSUMOS!$B$7:$D$42,3,0)</f>
        <v>100.3</v>
      </c>
      <c r="F418" s="41">
        <f>PRODUCT(D418:E418)</f>
        <v>65.195000000000007</v>
      </c>
    </row>
    <row r="419" spans="1:6" ht="12.75" hidden="1" customHeight="1" outlineLevel="1" x14ac:dyDescent="0.25">
      <c r="A419" s="44" t="s">
        <v>166</v>
      </c>
      <c r="B419" s="68" t="s">
        <v>37</v>
      </c>
      <c r="C419" s="41"/>
      <c r="D419" s="69">
        <v>0.65</v>
      </c>
      <c r="E419" s="41">
        <f>VLOOKUP(A419,INSUMOS!$B$7:$D$42,3,0)</f>
        <v>100.3</v>
      </c>
      <c r="F419" s="41">
        <f>PRODUCT(D419:E419)</f>
        <v>65.195000000000007</v>
      </c>
    </row>
    <row r="420" spans="1:6" ht="12.75" hidden="1" customHeight="1" outlineLevel="1" x14ac:dyDescent="0.25">
      <c r="A420" s="44" t="s">
        <v>145</v>
      </c>
      <c r="B420" s="68" t="s">
        <v>147</v>
      </c>
      <c r="C420" s="41"/>
      <c r="D420" s="69">
        <v>9.1999999999999993</v>
      </c>
      <c r="E420" s="41">
        <f>VLOOKUP(A420,INSUMOS!$B$7:$D$42,3,0)</f>
        <v>31</v>
      </c>
      <c r="F420" s="41">
        <f>PRODUCT(D420:E420)</f>
        <v>285.2</v>
      </c>
    </row>
    <row r="421" spans="1:6" ht="12.75" hidden="1" customHeight="1" outlineLevel="1" x14ac:dyDescent="0.3">
      <c r="A421" s="64" t="s">
        <v>105</v>
      </c>
      <c r="B421" s="65"/>
      <c r="C421" s="66"/>
      <c r="D421" s="67"/>
      <c r="E421" s="66"/>
      <c r="F421" s="66">
        <f>SUM(F422:F424)</f>
        <v>32.572500000000005</v>
      </c>
    </row>
    <row r="422" spans="1:6" ht="12.75" hidden="1" customHeight="1" outlineLevel="1" x14ac:dyDescent="0.25">
      <c r="A422" s="44" t="s">
        <v>111</v>
      </c>
      <c r="B422" s="68" t="s">
        <v>112</v>
      </c>
      <c r="C422" s="41"/>
      <c r="D422" s="69">
        <v>3</v>
      </c>
      <c r="E422" s="41">
        <f>F412</f>
        <v>152.41666666666669</v>
      </c>
      <c r="F422" s="41">
        <f>D422*E422/100</f>
        <v>4.5725000000000007</v>
      </c>
    </row>
    <row r="423" spans="1:6" ht="12.75" hidden="1" customHeight="1" outlineLevel="1" x14ac:dyDescent="0.25">
      <c r="A423" s="44" t="s">
        <v>148</v>
      </c>
      <c r="B423" s="68" t="s">
        <v>131</v>
      </c>
      <c r="C423" s="41">
        <v>1</v>
      </c>
      <c r="D423" s="69">
        <f>C423*$E$410/$B$410</f>
        <v>1</v>
      </c>
      <c r="E423" s="41">
        <f>VLOOKUP(A423,INSUMOS!$B$7:$D$42,3,0)</f>
        <v>6</v>
      </c>
      <c r="F423" s="41">
        <f>PRODUCT(D423:E423)</f>
        <v>6</v>
      </c>
    </row>
    <row r="424" spans="1:6" ht="12.75" hidden="1" customHeight="1" outlineLevel="1" x14ac:dyDescent="0.25">
      <c r="A424" s="44" t="s">
        <v>156</v>
      </c>
      <c r="B424" s="68" t="s">
        <v>131</v>
      </c>
      <c r="C424" s="41">
        <v>1</v>
      </c>
      <c r="D424" s="69">
        <f>C424*$E$410/$B$410</f>
        <v>1</v>
      </c>
      <c r="E424" s="41">
        <f>VLOOKUP(A424,INSUMOS!$B$7:$D$42,3,0)</f>
        <v>22</v>
      </c>
      <c r="F424" s="41">
        <f>PRODUCT(D424:E424)</f>
        <v>22</v>
      </c>
    </row>
    <row r="425" spans="1:6" ht="12.75" hidden="1" customHeight="1" outlineLevel="1" x14ac:dyDescent="0.25">
      <c r="B425" s="1"/>
      <c r="C425" s="21"/>
    </row>
    <row r="426" spans="1:6" ht="12.75" customHeight="1" collapsed="1" x14ac:dyDescent="0.3">
      <c r="A426" s="54" t="s">
        <v>495</v>
      </c>
      <c r="B426" s="55"/>
      <c r="C426" s="56"/>
      <c r="D426" s="57"/>
      <c r="E426" s="58" t="s">
        <v>92</v>
      </c>
      <c r="F426" s="59">
        <f>F429+F434+F438</f>
        <v>614.82466666666664</v>
      </c>
    </row>
    <row r="427" spans="1:6" ht="12.75" hidden="1" customHeight="1" outlineLevel="1" x14ac:dyDescent="0.3">
      <c r="A427" s="60" t="s">
        <v>93</v>
      </c>
      <c r="B427" s="61">
        <v>10</v>
      </c>
      <c r="C427" s="62" t="s">
        <v>133</v>
      </c>
      <c r="D427" s="63" t="s">
        <v>95</v>
      </c>
      <c r="E427" s="60">
        <v>8</v>
      </c>
      <c r="F427" s="60" t="s">
        <v>96</v>
      </c>
    </row>
    <row r="428" spans="1:6" ht="12.75" hidden="1" customHeight="1" outlineLevel="1" x14ac:dyDescent="0.3">
      <c r="A428" s="64" t="s">
        <v>97</v>
      </c>
      <c r="B428" s="65" t="s">
        <v>98</v>
      </c>
      <c r="C428" s="66" t="s">
        <v>99</v>
      </c>
      <c r="D428" s="67" t="s">
        <v>100</v>
      </c>
      <c r="E428" s="64" t="s">
        <v>101</v>
      </c>
      <c r="F428" s="64" t="s">
        <v>102</v>
      </c>
    </row>
    <row r="429" spans="1:6" ht="12.75" hidden="1" customHeight="1" outlineLevel="1" x14ac:dyDescent="0.3">
      <c r="A429" s="64" t="s">
        <v>103</v>
      </c>
      <c r="B429" s="65"/>
      <c r="C429" s="66"/>
      <c r="D429" s="67"/>
      <c r="E429" s="66"/>
      <c r="F429" s="66">
        <f>SUM(F430:F433)</f>
        <v>102.26666666666668</v>
      </c>
    </row>
    <row r="430" spans="1:6" ht="12.75" hidden="1" customHeight="1" outlineLevel="1" x14ac:dyDescent="0.25">
      <c r="A430" s="44" t="s">
        <v>108</v>
      </c>
      <c r="B430" s="68" t="s">
        <v>109</v>
      </c>
      <c r="C430" s="41">
        <v>0.1</v>
      </c>
      <c r="D430" s="69">
        <f>C430*$E$427/$B$427</f>
        <v>0.08</v>
      </c>
      <c r="E430" s="41">
        <f>VLOOKUP(A430,INSUMOS!$B$7:$D$42,3,0)</f>
        <v>49.166666666666664</v>
      </c>
      <c r="F430" s="41">
        <f>PRODUCT(D430:E430)</f>
        <v>3.9333333333333331</v>
      </c>
    </row>
    <row r="431" spans="1:6" ht="12.75" hidden="1" customHeight="1" outlineLevel="1" x14ac:dyDescent="0.25">
      <c r="A431" s="44" t="s">
        <v>113</v>
      </c>
      <c r="B431" s="68" t="s">
        <v>109</v>
      </c>
      <c r="C431" s="41">
        <v>2</v>
      </c>
      <c r="D431" s="69">
        <f>C431*$E$427/$B$427</f>
        <v>1.6</v>
      </c>
      <c r="E431" s="41">
        <f>VLOOKUP(A431,INSUMOS!$B$7:$D$42,3,0)</f>
        <v>27.041666666666668</v>
      </c>
      <c r="F431" s="41">
        <f>PRODUCT(D431:E431)</f>
        <v>43.266666666666673</v>
      </c>
    </row>
    <row r="432" spans="1:6" ht="12.75" hidden="1" customHeight="1" outlineLevel="1" x14ac:dyDescent="0.25">
      <c r="A432" s="44" t="s">
        <v>144</v>
      </c>
      <c r="B432" s="68" t="s">
        <v>109</v>
      </c>
      <c r="C432" s="41">
        <v>1</v>
      </c>
      <c r="D432" s="69">
        <f>C432*$E$427/$B$427</f>
        <v>0.8</v>
      </c>
      <c r="E432" s="41">
        <f>VLOOKUP(A432,INSUMOS!$B$7:$D$42,3,0)</f>
        <v>19.666666666666668</v>
      </c>
      <c r="F432" s="41">
        <f>PRODUCT(D432:E432)</f>
        <v>15.733333333333334</v>
      </c>
    </row>
    <row r="433" spans="1:6" ht="12.75" hidden="1" customHeight="1" outlineLevel="1" x14ac:dyDescent="0.25">
      <c r="A433" s="44" t="s">
        <v>110</v>
      </c>
      <c r="B433" s="68" t="s">
        <v>109</v>
      </c>
      <c r="C433" s="41">
        <v>4</v>
      </c>
      <c r="D433" s="69">
        <f>C433*$E$427/$B$427</f>
        <v>3.2</v>
      </c>
      <c r="E433" s="41">
        <f>VLOOKUP(A433,INSUMOS!$B$7:$D$42,3,0)</f>
        <v>12.291666666666666</v>
      </c>
      <c r="F433" s="41">
        <f>PRODUCT(D433:E433)</f>
        <v>39.333333333333336</v>
      </c>
    </row>
    <row r="434" spans="1:6" ht="12.75" hidden="1" customHeight="1" outlineLevel="1" x14ac:dyDescent="0.3">
      <c r="A434" s="64" t="s">
        <v>116</v>
      </c>
      <c r="B434" s="65"/>
      <c r="C434" s="66"/>
      <c r="D434" s="67"/>
      <c r="E434" s="66"/>
      <c r="F434" s="66">
        <f>SUM(F435:F437)</f>
        <v>487.09000000000003</v>
      </c>
    </row>
    <row r="435" spans="1:6" ht="12.75" hidden="1" customHeight="1" outlineLevel="1" x14ac:dyDescent="0.25">
      <c r="A435" s="44" t="s">
        <v>165</v>
      </c>
      <c r="B435" s="68" t="s">
        <v>115</v>
      </c>
      <c r="C435" s="41"/>
      <c r="D435" s="69">
        <v>0.65</v>
      </c>
      <c r="E435" s="41">
        <f>VLOOKUP(A435,INSUMOS!$B$7:$D$42,3,0)</f>
        <v>100.3</v>
      </c>
      <c r="F435" s="41">
        <f>PRODUCT(D435:E435)</f>
        <v>65.195000000000007</v>
      </c>
    </row>
    <row r="436" spans="1:6" ht="12.75" hidden="1" customHeight="1" outlineLevel="1" x14ac:dyDescent="0.25">
      <c r="A436" s="44" t="s">
        <v>166</v>
      </c>
      <c r="B436" s="68" t="s">
        <v>37</v>
      </c>
      <c r="C436" s="41"/>
      <c r="D436" s="69">
        <v>0.65</v>
      </c>
      <c r="E436" s="41">
        <f>VLOOKUP(A436,INSUMOS!$B$7:$D$42,3,0)</f>
        <v>100.3</v>
      </c>
      <c r="F436" s="41">
        <f>PRODUCT(D436:E436)</f>
        <v>65.195000000000007</v>
      </c>
    </row>
    <row r="437" spans="1:6" ht="12.75" hidden="1" customHeight="1" outlineLevel="1" x14ac:dyDescent="0.25">
      <c r="A437" s="44" t="s">
        <v>169</v>
      </c>
      <c r="B437" s="68" t="s">
        <v>147</v>
      </c>
      <c r="C437" s="41"/>
      <c r="D437" s="69">
        <v>12.3</v>
      </c>
      <c r="E437" s="41">
        <f>VLOOKUP(A437,INSUMOS!$B$7:$D$42,3,0)</f>
        <v>29</v>
      </c>
      <c r="F437" s="41">
        <f>PRODUCT(D437:E437)</f>
        <v>356.70000000000005</v>
      </c>
    </row>
    <row r="438" spans="1:6" ht="12.75" hidden="1" customHeight="1" outlineLevel="1" x14ac:dyDescent="0.3">
      <c r="A438" s="64" t="s">
        <v>105</v>
      </c>
      <c r="B438" s="65"/>
      <c r="C438" s="66"/>
      <c r="D438" s="67"/>
      <c r="E438" s="66"/>
      <c r="F438" s="66">
        <f>SUM(F439:F441)</f>
        <v>25.468000000000004</v>
      </c>
    </row>
    <row r="439" spans="1:6" ht="12.75" hidden="1" customHeight="1" outlineLevel="1" x14ac:dyDescent="0.25">
      <c r="A439" s="79" t="s">
        <v>111</v>
      </c>
      <c r="B439" s="80" t="s">
        <v>112</v>
      </c>
      <c r="C439" s="81"/>
      <c r="D439" s="82">
        <v>3</v>
      </c>
      <c r="E439" s="81">
        <f>F429</f>
        <v>102.26666666666668</v>
      </c>
      <c r="F439" s="81">
        <f>D439*E439/100</f>
        <v>3.0680000000000005</v>
      </c>
    </row>
    <row r="440" spans="1:6" ht="12.75" hidden="1" customHeight="1" outlineLevel="1" x14ac:dyDescent="0.25">
      <c r="A440" s="44" t="s">
        <v>148</v>
      </c>
      <c r="B440" s="68" t="s">
        <v>131</v>
      </c>
      <c r="C440" s="41">
        <v>1</v>
      </c>
      <c r="D440" s="69">
        <f>C440*$E$427/$B$427</f>
        <v>0.8</v>
      </c>
      <c r="E440" s="41">
        <f>VLOOKUP(A440,INSUMOS!$B$7:$D$42,3,0)</f>
        <v>6</v>
      </c>
      <c r="F440" s="41">
        <f>PRODUCT(D440:E440)</f>
        <v>4.8000000000000007</v>
      </c>
    </row>
    <row r="441" spans="1:6" ht="12.75" hidden="1" customHeight="1" outlineLevel="1" x14ac:dyDescent="0.25">
      <c r="A441" s="44" t="s">
        <v>156</v>
      </c>
      <c r="B441" s="83" t="s">
        <v>131</v>
      </c>
      <c r="C441" s="41">
        <v>1</v>
      </c>
      <c r="D441" s="69">
        <f>C441*$E$427/$B$427</f>
        <v>0.8</v>
      </c>
      <c r="E441" s="41">
        <f>VLOOKUP(A441,INSUMOS!$B$7:$D$42,3,0)</f>
        <v>22</v>
      </c>
      <c r="F441" s="41">
        <f>PRODUCT(D441:E441)</f>
        <v>17.600000000000001</v>
      </c>
    </row>
    <row r="442" spans="1:6" ht="12.75" hidden="1" customHeight="1" outlineLevel="1" x14ac:dyDescent="0.25">
      <c r="B442" s="1"/>
      <c r="C442" s="21"/>
    </row>
    <row r="443" spans="1:6" ht="12.75" customHeight="1" collapsed="1" x14ac:dyDescent="0.3">
      <c r="A443" s="54" t="s">
        <v>176</v>
      </c>
      <c r="B443" s="55"/>
      <c r="C443" s="56"/>
      <c r="D443" s="57"/>
      <c r="E443" s="58" t="s">
        <v>92</v>
      </c>
      <c r="F443" s="59">
        <f>F446+F451+F455</f>
        <v>521.75541666666663</v>
      </c>
    </row>
    <row r="444" spans="1:6" ht="12.75" hidden="1" customHeight="1" outlineLevel="1" x14ac:dyDescent="0.3">
      <c r="A444" s="60" t="s">
        <v>93</v>
      </c>
      <c r="B444" s="61">
        <v>16</v>
      </c>
      <c r="C444" s="62" t="s">
        <v>133</v>
      </c>
      <c r="D444" s="63" t="s">
        <v>95</v>
      </c>
      <c r="E444" s="60">
        <v>8</v>
      </c>
      <c r="F444" s="60" t="s">
        <v>96</v>
      </c>
    </row>
    <row r="445" spans="1:6" ht="12.75" hidden="1" customHeight="1" outlineLevel="1" x14ac:dyDescent="0.3">
      <c r="A445" s="64" t="s">
        <v>97</v>
      </c>
      <c r="B445" s="65" t="s">
        <v>98</v>
      </c>
      <c r="C445" s="66" t="s">
        <v>99</v>
      </c>
      <c r="D445" s="67" t="s">
        <v>100</v>
      </c>
      <c r="E445" s="64" t="s">
        <v>101</v>
      </c>
      <c r="F445" s="64" t="s">
        <v>102</v>
      </c>
    </row>
    <row r="446" spans="1:6" ht="12.75" hidden="1" customHeight="1" outlineLevel="1" x14ac:dyDescent="0.3">
      <c r="A446" s="64" t="s">
        <v>103</v>
      </c>
      <c r="B446" s="65"/>
      <c r="C446" s="66"/>
      <c r="D446" s="67"/>
      <c r="E446" s="66"/>
      <c r="F446" s="66">
        <f>SUM(F447:F450)</f>
        <v>100.79166666666666</v>
      </c>
    </row>
    <row r="447" spans="1:6" ht="12.75" hidden="1" customHeight="1" outlineLevel="1" x14ac:dyDescent="0.25">
      <c r="A447" s="44" t="s">
        <v>108</v>
      </c>
      <c r="B447" s="68" t="s">
        <v>109</v>
      </c>
      <c r="C447" s="41">
        <v>0.1</v>
      </c>
      <c r="D447" s="69">
        <f>C447*$E$444/$B$444</f>
        <v>0.05</v>
      </c>
      <c r="E447" s="41">
        <f>VLOOKUP(A447,INSUMOS!$B$7:$D$42,3,0)</f>
        <v>49.166666666666664</v>
      </c>
      <c r="F447" s="41">
        <f>PRODUCT(D447:E447)</f>
        <v>2.4583333333333335</v>
      </c>
    </row>
    <row r="448" spans="1:6" ht="12.75" hidden="1" customHeight="1" outlineLevel="1" x14ac:dyDescent="0.25">
      <c r="A448" s="44" t="s">
        <v>113</v>
      </c>
      <c r="B448" s="68" t="s">
        <v>109</v>
      </c>
      <c r="C448" s="41">
        <v>2</v>
      </c>
      <c r="D448" s="69">
        <f>C448*$E$444/$B$444</f>
        <v>1</v>
      </c>
      <c r="E448" s="41">
        <f>VLOOKUP(A448,INSUMOS!$B$7:$D$42,3,0)</f>
        <v>27.041666666666668</v>
      </c>
      <c r="F448" s="41">
        <f>PRODUCT(D448:E448)</f>
        <v>27.041666666666668</v>
      </c>
    </row>
    <row r="449" spans="1:6" ht="12.75" hidden="1" customHeight="1" outlineLevel="1" x14ac:dyDescent="0.25">
      <c r="A449" s="44" t="s">
        <v>144</v>
      </c>
      <c r="B449" s="68" t="s">
        <v>109</v>
      </c>
      <c r="C449" s="41">
        <v>1</v>
      </c>
      <c r="D449" s="69">
        <f>C449*$E$444/$B$444</f>
        <v>0.5</v>
      </c>
      <c r="E449" s="41">
        <f>VLOOKUP(A449,INSUMOS!$B$7:$D$42,3,0)</f>
        <v>19.666666666666668</v>
      </c>
      <c r="F449" s="41">
        <f>PRODUCT(D449:E449)</f>
        <v>9.8333333333333339</v>
      </c>
    </row>
    <row r="450" spans="1:6" ht="12.75" hidden="1" customHeight="1" outlineLevel="1" x14ac:dyDescent="0.25">
      <c r="A450" s="44" t="s">
        <v>110</v>
      </c>
      <c r="B450" s="68" t="s">
        <v>109</v>
      </c>
      <c r="C450" s="41">
        <v>10</v>
      </c>
      <c r="D450" s="69">
        <f>C450*$E$444/$B$444</f>
        <v>5</v>
      </c>
      <c r="E450" s="41">
        <f>VLOOKUP(A450,INSUMOS!$B$7:$D$42,3,0)</f>
        <v>12.291666666666666</v>
      </c>
      <c r="F450" s="41">
        <f>PRODUCT(D450:E450)</f>
        <v>61.458333333333329</v>
      </c>
    </row>
    <row r="451" spans="1:6" ht="12.75" hidden="1" customHeight="1" outlineLevel="1" x14ac:dyDescent="0.3">
      <c r="A451" s="64" t="s">
        <v>116</v>
      </c>
      <c r="B451" s="65"/>
      <c r="C451" s="66"/>
      <c r="D451" s="67"/>
      <c r="E451" s="66"/>
      <c r="F451" s="66">
        <f>SUM(F452:F454)</f>
        <v>410.94000000000005</v>
      </c>
    </row>
    <row r="452" spans="1:6" ht="12.75" hidden="1" customHeight="1" outlineLevel="1" x14ac:dyDescent="0.25">
      <c r="A452" s="44" t="s">
        <v>165</v>
      </c>
      <c r="B452" s="68" t="s">
        <v>37</v>
      </c>
      <c r="C452" s="41"/>
      <c r="D452" s="69">
        <v>0.65</v>
      </c>
      <c r="E452" s="41">
        <f>VLOOKUP(A452,INSUMOS!$B$7:$D$42,3,0)</f>
        <v>100.3</v>
      </c>
      <c r="F452" s="41">
        <f>PRODUCT(D452:E452)</f>
        <v>65.195000000000007</v>
      </c>
    </row>
    <row r="453" spans="1:6" ht="12.75" hidden="1" customHeight="1" outlineLevel="1" x14ac:dyDescent="0.25">
      <c r="A453" s="44" t="s">
        <v>166</v>
      </c>
      <c r="B453" s="68" t="s">
        <v>37</v>
      </c>
      <c r="C453" s="41"/>
      <c r="D453" s="69">
        <v>0.65</v>
      </c>
      <c r="E453" s="41">
        <f>VLOOKUP(A453,INSUMOS!$B$7:$D$42,3,0)</f>
        <v>100.3</v>
      </c>
      <c r="F453" s="41">
        <f>PRODUCT(D453:E453)</f>
        <v>65.195000000000007</v>
      </c>
    </row>
    <row r="454" spans="1:6" ht="12.75" hidden="1" customHeight="1" outlineLevel="1" x14ac:dyDescent="0.25">
      <c r="A454" s="44" t="s">
        <v>145</v>
      </c>
      <c r="B454" s="68" t="s">
        <v>147</v>
      </c>
      <c r="C454" s="41"/>
      <c r="D454" s="69">
        <v>9.0500000000000007</v>
      </c>
      <c r="E454" s="41">
        <f>VLOOKUP(A454,INSUMOS!$B$7:$D$42,3,0)</f>
        <v>31</v>
      </c>
      <c r="F454" s="41">
        <f>PRODUCT(D454:E454)</f>
        <v>280.55</v>
      </c>
    </row>
    <row r="455" spans="1:6" ht="12.75" hidden="1" customHeight="1" outlineLevel="1" x14ac:dyDescent="0.3">
      <c r="A455" s="64" t="s">
        <v>105</v>
      </c>
      <c r="B455" s="65"/>
      <c r="C455" s="66"/>
      <c r="D455" s="67"/>
      <c r="E455" s="66"/>
      <c r="F455" s="66">
        <f>SUM(F456:F458)</f>
        <v>10.02375</v>
      </c>
    </row>
    <row r="456" spans="1:6" ht="12.75" hidden="1" customHeight="1" outlineLevel="1" x14ac:dyDescent="0.25">
      <c r="A456" s="44" t="s">
        <v>111</v>
      </c>
      <c r="B456" s="68" t="s">
        <v>112</v>
      </c>
      <c r="C456" s="41"/>
      <c r="D456" s="69">
        <v>3</v>
      </c>
      <c r="E456" s="41">
        <f>F446</f>
        <v>100.79166666666666</v>
      </c>
      <c r="F456" s="41">
        <f>D456*E456/100</f>
        <v>3.0237500000000002</v>
      </c>
    </row>
    <row r="457" spans="1:6" ht="12.75" hidden="1" customHeight="1" outlineLevel="1" x14ac:dyDescent="0.25">
      <c r="A457" s="44" t="s">
        <v>148</v>
      </c>
      <c r="B457" s="68" t="s">
        <v>131</v>
      </c>
      <c r="C457" s="41">
        <v>0.5</v>
      </c>
      <c r="D457" s="69">
        <f>C457*$E$444/$B$444</f>
        <v>0.25</v>
      </c>
      <c r="E457" s="41">
        <f>VLOOKUP(A457,INSUMOS!$B$7:$D$42,3,0)</f>
        <v>6</v>
      </c>
      <c r="F457" s="41">
        <f>PRODUCT(D457:E457)</f>
        <v>1.5</v>
      </c>
    </row>
    <row r="458" spans="1:6" ht="12.75" hidden="1" customHeight="1" outlineLevel="1" x14ac:dyDescent="0.25">
      <c r="A458" s="44" t="s">
        <v>156</v>
      </c>
      <c r="B458" s="68" t="s">
        <v>131</v>
      </c>
      <c r="C458" s="41">
        <v>0.5</v>
      </c>
      <c r="D458" s="69">
        <f>C458*$E$444/$B$444</f>
        <v>0.25</v>
      </c>
      <c r="E458" s="41">
        <f>VLOOKUP(A458,INSUMOS!$B$7:$D$42,3,0)</f>
        <v>22</v>
      </c>
      <c r="F458" s="41">
        <f>PRODUCT(D458:E458)</f>
        <v>5.5</v>
      </c>
    </row>
    <row r="459" spans="1:6" ht="12.75" hidden="1" customHeight="1" outlineLevel="1" x14ac:dyDescent="0.25">
      <c r="B459" s="1"/>
      <c r="C459" s="21"/>
    </row>
    <row r="460" spans="1:6" ht="12.75" customHeight="1" collapsed="1" x14ac:dyDescent="0.3">
      <c r="A460" s="54" t="s">
        <v>177</v>
      </c>
      <c r="B460" s="55"/>
      <c r="C460" s="56"/>
      <c r="D460" s="57"/>
      <c r="E460" s="58" t="s">
        <v>92</v>
      </c>
      <c r="F460" s="59">
        <f>F463+F468+F472</f>
        <v>465.65653333333336</v>
      </c>
    </row>
    <row r="461" spans="1:6" ht="12.75" hidden="1" customHeight="1" outlineLevel="1" x14ac:dyDescent="0.3">
      <c r="A461" s="60" t="s">
        <v>93</v>
      </c>
      <c r="B461" s="61">
        <v>25</v>
      </c>
      <c r="C461" s="62" t="s">
        <v>133</v>
      </c>
      <c r="D461" s="63" t="s">
        <v>95</v>
      </c>
      <c r="E461" s="60">
        <v>8</v>
      </c>
      <c r="F461" s="60" t="s">
        <v>96</v>
      </c>
    </row>
    <row r="462" spans="1:6" ht="12.75" hidden="1" customHeight="1" outlineLevel="1" x14ac:dyDescent="0.3">
      <c r="A462" s="64" t="s">
        <v>97</v>
      </c>
      <c r="B462" s="65" t="s">
        <v>98</v>
      </c>
      <c r="C462" s="66" t="s">
        <v>99</v>
      </c>
      <c r="D462" s="67" t="s">
        <v>100</v>
      </c>
      <c r="E462" s="64" t="s">
        <v>101</v>
      </c>
      <c r="F462" s="64" t="s">
        <v>102</v>
      </c>
    </row>
    <row r="463" spans="1:6" ht="12.75" hidden="1" customHeight="1" outlineLevel="1" x14ac:dyDescent="0.3">
      <c r="A463" s="64" t="s">
        <v>103</v>
      </c>
      <c r="B463" s="65"/>
      <c r="C463" s="66"/>
      <c r="D463" s="67"/>
      <c r="E463" s="66"/>
      <c r="F463" s="66">
        <f>SUM(F464:F467)</f>
        <v>48.773333333333333</v>
      </c>
    </row>
    <row r="464" spans="1:6" ht="12.75" hidden="1" customHeight="1" outlineLevel="1" x14ac:dyDescent="0.25">
      <c r="A464" s="44" t="s">
        <v>108</v>
      </c>
      <c r="B464" s="68" t="s">
        <v>109</v>
      </c>
      <c r="C464" s="41">
        <v>0.1</v>
      </c>
      <c r="D464" s="69">
        <f>C464*$E$461/$B$461</f>
        <v>3.2000000000000001E-2</v>
      </c>
      <c r="E464" s="41">
        <f>VLOOKUP(A464,INSUMOS!$B$7:$D$42,3,0)</f>
        <v>49.166666666666664</v>
      </c>
      <c r="F464" s="41">
        <f>PRODUCT(D464:E464)</f>
        <v>1.5733333333333333</v>
      </c>
    </row>
    <row r="465" spans="1:6" ht="12.75" hidden="1" customHeight="1" outlineLevel="1" x14ac:dyDescent="0.25">
      <c r="A465" s="44" t="s">
        <v>113</v>
      </c>
      <c r="B465" s="68" t="s">
        <v>109</v>
      </c>
      <c r="C465" s="41">
        <v>2</v>
      </c>
      <c r="D465" s="69">
        <f>C465*$E$461/$B$461</f>
        <v>0.64</v>
      </c>
      <c r="E465" s="41">
        <f>VLOOKUP(A465,INSUMOS!$B$7:$D$42,3,0)</f>
        <v>27.041666666666668</v>
      </c>
      <c r="F465" s="41">
        <f>PRODUCT(D465:E465)</f>
        <v>17.306666666666668</v>
      </c>
    </row>
    <row r="466" spans="1:6" ht="12.75" hidden="1" customHeight="1" outlineLevel="1" x14ac:dyDescent="0.25">
      <c r="A466" s="44" t="s">
        <v>144</v>
      </c>
      <c r="B466" s="68" t="s">
        <v>109</v>
      </c>
      <c r="C466" s="41">
        <v>1</v>
      </c>
      <c r="D466" s="69">
        <f>C466*$E$461/$B$461</f>
        <v>0.32</v>
      </c>
      <c r="E466" s="41">
        <f>VLOOKUP(A466,INSUMOS!$B$7:$D$42,3,0)</f>
        <v>19.666666666666668</v>
      </c>
      <c r="F466" s="41">
        <f>PRODUCT(D466:E466)</f>
        <v>6.2933333333333339</v>
      </c>
    </row>
    <row r="467" spans="1:6" ht="12.75" hidden="1" customHeight="1" outlineLevel="1" x14ac:dyDescent="0.25">
      <c r="A467" s="44" t="s">
        <v>110</v>
      </c>
      <c r="B467" s="68" t="s">
        <v>109</v>
      </c>
      <c r="C467" s="41">
        <v>6</v>
      </c>
      <c r="D467" s="69">
        <f>C467*$E$461/$B$461</f>
        <v>1.92</v>
      </c>
      <c r="E467" s="41">
        <f>VLOOKUP(A467,INSUMOS!$B$7:$D$42,3,0)</f>
        <v>12.291666666666666</v>
      </c>
      <c r="F467" s="41">
        <f>PRODUCT(D467:E467)</f>
        <v>23.599999999999998</v>
      </c>
    </row>
    <row r="468" spans="1:6" ht="12.75" hidden="1" customHeight="1" outlineLevel="1" x14ac:dyDescent="0.3">
      <c r="A468" s="64" t="s">
        <v>116</v>
      </c>
      <c r="B468" s="65"/>
      <c r="C468" s="66"/>
      <c r="D468" s="67"/>
      <c r="E468" s="66"/>
      <c r="F468" s="66">
        <f>SUM(F469:F471)</f>
        <v>410.94000000000005</v>
      </c>
    </row>
    <row r="469" spans="1:6" ht="12.75" hidden="1" customHeight="1" outlineLevel="1" x14ac:dyDescent="0.25">
      <c r="A469" s="44" t="s">
        <v>165</v>
      </c>
      <c r="B469" s="68" t="s">
        <v>37</v>
      </c>
      <c r="C469" s="41"/>
      <c r="D469" s="69">
        <v>0.65</v>
      </c>
      <c r="E469" s="41">
        <f>VLOOKUP(A469,INSUMOS!$B$7:$D$42,3,0)</f>
        <v>100.3</v>
      </c>
      <c r="F469" s="41">
        <f>PRODUCT(D469:E469)</f>
        <v>65.195000000000007</v>
      </c>
    </row>
    <row r="470" spans="1:6" ht="12.75" hidden="1" customHeight="1" outlineLevel="1" x14ac:dyDescent="0.25">
      <c r="A470" s="44" t="s">
        <v>166</v>
      </c>
      <c r="B470" s="68" t="s">
        <v>37</v>
      </c>
      <c r="C470" s="41"/>
      <c r="D470" s="69">
        <v>0.65</v>
      </c>
      <c r="E470" s="41">
        <f>VLOOKUP(A470,INSUMOS!$B$7:$D$42,3,0)</f>
        <v>100.3</v>
      </c>
      <c r="F470" s="41">
        <f>PRODUCT(D470:E470)</f>
        <v>65.195000000000007</v>
      </c>
    </row>
    <row r="471" spans="1:6" ht="12.75" hidden="1" customHeight="1" outlineLevel="1" x14ac:dyDescent="0.25">
      <c r="A471" s="44" t="s">
        <v>145</v>
      </c>
      <c r="B471" s="68" t="s">
        <v>147</v>
      </c>
      <c r="C471" s="41"/>
      <c r="D471" s="69">
        <v>9.0500000000000007</v>
      </c>
      <c r="E471" s="41">
        <f>VLOOKUP(A471,INSUMOS!$B$7:$D$42,3,0)</f>
        <v>31</v>
      </c>
      <c r="F471" s="41">
        <f>PRODUCT(D471:E471)</f>
        <v>280.55</v>
      </c>
    </row>
    <row r="472" spans="1:6" ht="12.75" hidden="1" customHeight="1" outlineLevel="1" x14ac:dyDescent="0.3">
      <c r="A472" s="64" t="s">
        <v>105</v>
      </c>
      <c r="B472" s="65"/>
      <c r="C472" s="66"/>
      <c r="D472" s="67"/>
      <c r="E472" s="66"/>
      <c r="F472" s="66">
        <f>SUM(F473:F475)</f>
        <v>5.9431999999999992</v>
      </c>
    </row>
    <row r="473" spans="1:6" ht="12.75" hidden="1" customHeight="1" outlineLevel="1" x14ac:dyDescent="0.25">
      <c r="A473" s="44" t="s">
        <v>111</v>
      </c>
      <c r="B473" s="68" t="s">
        <v>112</v>
      </c>
      <c r="C473" s="41"/>
      <c r="D473" s="69">
        <v>3</v>
      </c>
      <c r="E473" s="41">
        <f>F463</f>
        <v>48.773333333333333</v>
      </c>
      <c r="F473" s="41">
        <f>D473*E473/100</f>
        <v>1.4631999999999998</v>
      </c>
    </row>
    <row r="474" spans="1:6" ht="12.75" hidden="1" customHeight="1" outlineLevel="1" x14ac:dyDescent="0.25">
      <c r="A474" s="44" t="s">
        <v>148</v>
      </c>
      <c r="B474" s="68" t="s">
        <v>131</v>
      </c>
      <c r="C474" s="41">
        <v>0.5</v>
      </c>
      <c r="D474" s="69">
        <f>C474*$E$461/$B$461</f>
        <v>0.16</v>
      </c>
      <c r="E474" s="41">
        <f>VLOOKUP(A474,INSUMOS!$B$7:$D$42,3,0)</f>
        <v>6</v>
      </c>
      <c r="F474" s="41">
        <f>PRODUCT(D474:E474)</f>
        <v>0.96</v>
      </c>
    </row>
    <row r="475" spans="1:6" ht="12.75" hidden="1" customHeight="1" outlineLevel="1" x14ac:dyDescent="0.25">
      <c r="A475" s="44" t="s">
        <v>156</v>
      </c>
      <c r="B475" s="68" t="s">
        <v>131</v>
      </c>
      <c r="C475" s="41">
        <v>0.5</v>
      </c>
      <c r="D475" s="69">
        <f>C475*$E$461/$B$461</f>
        <v>0.16</v>
      </c>
      <c r="E475" s="41">
        <f>VLOOKUP(A475,INSUMOS!$B$7:$D$42,3,0)</f>
        <v>22</v>
      </c>
      <c r="F475" s="41">
        <f>PRODUCT(D475:E475)</f>
        <v>3.52</v>
      </c>
    </row>
    <row r="476" spans="1:6" ht="12.75" hidden="1" customHeight="1" outlineLevel="1" x14ac:dyDescent="0.25">
      <c r="B476" s="1"/>
      <c r="C476" s="21"/>
    </row>
    <row r="477" spans="1:6" ht="12.75" customHeight="1" collapsed="1" x14ac:dyDescent="0.3">
      <c r="A477" s="54" t="s">
        <v>380</v>
      </c>
      <c r="B477" s="55"/>
      <c r="C477" s="56"/>
      <c r="D477" s="57"/>
      <c r="E477" s="58" t="s">
        <v>92</v>
      </c>
      <c r="F477" s="59">
        <f>F480+F485+F488</f>
        <v>388.0265333333333</v>
      </c>
    </row>
    <row r="478" spans="1:6" ht="12.75" hidden="1" customHeight="1" outlineLevel="1" x14ac:dyDescent="0.3">
      <c r="A478" s="60" t="s">
        <v>93</v>
      </c>
      <c r="B478" s="61">
        <v>25</v>
      </c>
      <c r="C478" s="62" t="s">
        <v>133</v>
      </c>
      <c r="D478" s="63" t="s">
        <v>95</v>
      </c>
      <c r="E478" s="60">
        <v>8</v>
      </c>
      <c r="F478" s="60" t="s">
        <v>96</v>
      </c>
    </row>
    <row r="479" spans="1:6" ht="12.75" hidden="1" customHeight="1" outlineLevel="1" x14ac:dyDescent="0.3">
      <c r="A479" s="64" t="s">
        <v>97</v>
      </c>
      <c r="B479" s="65" t="s">
        <v>98</v>
      </c>
      <c r="C479" s="66" t="s">
        <v>99</v>
      </c>
      <c r="D479" s="67" t="s">
        <v>100</v>
      </c>
      <c r="E479" s="64" t="s">
        <v>101</v>
      </c>
      <c r="F479" s="64" t="s">
        <v>102</v>
      </c>
    </row>
    <row r="480" spans="1:6" ht="12.75" hidden="1" customHeight="1" outlineLevel="1" x14ac:dyDescent="0.3">
      <c r="A480" s="64" t="s">
        <v>103</v>
      </c>
      <c r="B480" s="65"/>
      <c r="C480" s="66"/>
      <c r="D480" s="67"/>
      <c r="E480" s="66"/>
      <c r="F480" s="66">
        <f>SUM(F481:F484)</f>
        <v>48.773333333333333</v>
      </c>
    </row>
    <row r="481" spans="1:6" ht="12.75" hidden="1" customHeight="1" outlineLevel="1" x14ac:dyDescent="0.25">
      <c r="A481" s="44" t="s">
        <v>108</v>
      </c>
      <c r="B481" s="68" t="s">
        <v>109</v>
      </c>
      <c r="C481" s="41">
        <v>0.1</v>
      </c>
      <c r="D481" s="69">
        <f>C481*$E$478/$B$478</f>
        <v>3.2000000000000001E-2</v>
      </c>
      <c r="E481" s="41">
        <f>VLOOKUP(A481,INSUMOS!$B$7:$D$42,3,0)</f>
        <v>49.166666666666664</v>
      </c>
      <c r="F481" s="41">
        <f>PRODUCT(D481:E481)</f>
        <v>1.5733333333333333</v>
      </c>
    </row>
    <row r="482" spans="1:6" ht="12.75" hidden="1" customHeight="1" outlineLevel="1" x14ac:dyDescent="0.25">
      <c r="A482" s="44" t="s">
        <v>113</v>
      </c>
      <c r="B482" s="68" t="s">
        <v>109</v>
      </c>
      <c r="C482" s="41">
        <v>2</v>
      </c>
      <c r="D482" s="69">
        <f>C482*$E$478/$B$478</f>
        <v>0.64</v>
      </c>
      <c r="E482" s="41">
        <f>VLOOKUP(A482,INSUMOS!$B$7:$D$42,3,0)</f>
        <v>27.041666666666668</v>
      </c>
      <c r="F482" s="41">
        <f>PRODUCT(D482:E482)</f>
        <v>17.306666666666668</v>
      </c>
    </row>
    <row r="483" spans="1:6" ht="12.75" hidden="1" customHeight="1" outlineLevel="1" x14ac:dyDescent="0.25">
      <c r="A483" s="44" t="s">
        <v>144</v>
      </c>
      <c r="B483" s="68" t="s">
        <v>109</v>
      </c>
      <c r="C483" s="41">
        <v>1</v>
      </c>
      <c r="D483" s="69">
        <f>C483*$E$478/$B$478</f>
        <v>0.32</v>
      </c>
      <c r="E483" s="41">
        <f>VLOOKUP(A483,INSUMOS!$B$7:$D$42,3,0)</f>
        <v>19.666666666666668</v>
      </c>
      <c r="F483" s="41">
        <f>PRODUCT(D483:E483)</f>
        <v>6.2933333333333339</v>
      </c>
    </row>
    <row r="484" spans="1:6" ht="12.75" hidden="1" customHeight="1" outlineLevel="1" x14ac:dyDescent="0.25">
      <c r="A484" s="44" t="s">
        <v>110</v>
      </c>
      <c r="B484" s="68" t="s">
        <v>109</v>
      </c>
      <c r="C484" s="41">
        <v>6</v>
      </c>
      <c r="D484" s="69">
        <f>C484*$E$478/$B$478</f>
        <v>1.92</v>
      </c>
      <c r="E484" s="41">
        <f>VLOOKUP(A484,INSUMOS!$B$7:$D$42,3,0)</f>
        <v>12.291666666666666</v>
      </c>
      <c r="F484" s="41">
        <f>PRODUCT(D484:E484)</f>
        <v>23.599999999999998</v>
      </c>
    </row>
    <row r="485" spans="1:6" ht="12.75" hidden="1" customHeight="1" outlineLevel="1" x14ac:dyDescent="0.3">
      <c r="A485" s="64" t="s">
        <v>116</v>
      </c>
      <c r="B485" s="65"/>
      <c r="C485" s="66"/>
      <c r="D485" s="67"/>
      <c r="E485" s="66"/>
      <c r="F485" s="66">
        <f>SUM(F486:F487)</f>
        <v>330.75</v>
      </c>
    </row>
    <row r="486" spans="1:6" ht="12.75" hidden="1" customHeight="1" outlineLevel="1" x14ac:dyDescent="0.25">
      <c r="A486" s="44" t="s">
        <v>167</v>
      </c>
      <c r="B486" s="68" t="s">
        <v>37</v>
      </c>
      <c r="C486" s="41"/>
      <c r="D486" s="69">
        <v>1.05</v>
      </c>
      <c r="E486" s="41">
        <f>VLOOKUP(A486,INSUMOS!$B$7:$D$42,3,0)</f>
        <v>275</v>
      </c>
      <c r="F486" s="41">
        <f>PRODUCT(D486:E486)</f>
        <v>288.75</v>
      </c>
    </row>
    <row r="487" spans="1:6" ht="12.75" hidden="1" customHeight="1" outlineLevel="1" x14ac:dyDescent="0.25">
      <c r="A487" s="44" t="s">
        <v>175</v>
      </c>
      <c r="B487" s="68" t="s">
        <v>37</v>
      </c>
      <c r="C487" s="41"/>
      <c r="D487" s="69">
        <v>1.05</v>
      </c>
      <c r="E487" s="41">
        <f>VLOOKUP(A487,INSUMOS!$B$7:$D$42,3,0)</f>
        <v>40</v>
      </c>
      <c r="F487" s="41">
        <f>PRODUCT(D487:E487)</f>
        <v>42</v>
      </c>
    </row>
    <row r="488" spans="1:6" ht="12.75" hidden="1" customHeight="1" outlineLevel="1" x14ac:dyDescent="0.3">
      <c r="A488" s="64" t="s">
        <v>105</v>
      </c>
      <c r="B488" s="65"/>
      <c r="C488" s="66"/>
      <c r="D488" s="67"/>
      <c r="E488" s="66"/>
      <c r="F488" s="66">
        <f>SUM(F489:F490)</f>
        <v>8.5031999999999996</v>
      </c>
    </row>
    <row r="489" spans="1:6" ht="12.75" hidden="1" customHeight="1" outlineLevel="1" x14ac:dyDescent="0.25">
      <c r="A489" s="44" t="s">
        <v>111</v>
      </c>
      <c r="B489" s="68" t="s">
        <v>112</v>
      </c>
      <c r="C489" s="41"/>
      <c r="D489" s="69">
        <v>3</v>
      </c>
      <c r="E489" s="41">
        <f>F480</f>
        <v>48.773333333333333</v>
      </c>
      <c r="F489" s="41">
        <f>D489*E489/100</f>
        <v>1.4631999999999998</v>
      </c>
    </row>
    <row r="490" spans="1:6" ht="12.75" hidden="1" customHeight="1" outlineLevel="1" x14ac:dyDescent="0.25">
      <c r="A490" s="44" t="s">
        <v>156</v>
      </c>
      <c r="B490" s="68" t="s">
        <v>131</v>
      </c>
      <c r="C490" s="41">
        <v>1</v>
      </c>
      <c r="D490" s="69">
        <f>C490*$E$478/$B$478</f>
        <v>0.32</v>
      </c>
      <c r="E490" s="41">
        <f>VLOOKUP(A490,INSUMOS!$B$7:$D$42,3,0)</f>
        <v>22</v>
      </c>
      <c r="F490" s="41">
        <f>PRODUCT(D490:E490)</f>
        <v>7.04</v>
      </c>
    </row>
    <row r="491" spans="1:6" ht="12.75" hidden="1" customHeight="1" outlineLevel="1" x14ac:dyDescent="0.25">
      <c r="B491" s="1"/>
      <c r="C491" s="21"/>
    </row>
    <row r="492" spans="1:6" ht="12.75" customHeight="1" collapsed="1" x14ac:dyDescent="0.3">
      <c r="A492" s="54" t="s">
        <v>381</v>
      </c>
      <c r="B492" s="55"/>
      <c r="C492" s="56"/>
      <c r="D492" s="57"/>
      <c r="E492" s="58" t="s">
        <v>92</v>
      </c>
      <c r="F492" s="59">
        <f>F495+F500+F503</f>
        <v>388.0265333333333</v>
      </c>
    </row>
    <row r="493" spans="1:6" ht="12.75" hidden="1" customHeight="1" outlineLevel="1" x14ac:dyDescent="0.3">
      <c r="A493" s="60" t="s">
        <v>93</v>
      </c>
      <c r="B493" s="61">
        <v>25</v>
      </c>
      <c r="C493" s="62" t="s">
        <v>133</v>
      </c>
      <c r="D493" s="63" t="s">
        <v>95</v>
      </c>
      <c r="E493" s="60">
        <v>8</v>
      </c>
      <c r="F493" s="60" t="s">
        <v>96</v>
      </c>
    </row>
    <row r="494" spans="1:6" ht="12.75" hidden="1" customHeight="1" outlineLevel="1" x14ac:dyDescent="0.3">
      <c r="A494" s="64" t="s">
        <v>97</v>
      </c>
      <c r="B494" s="65" t="s">
        <v>98</v>
      </c>
      <c r="C494" s="66" t="s">
        <v>99</v>
      </c>
      <c r="D494" s="67" t="s">
        <v>100</v>
      </c>
      <c r="E494" s="64" t="s">
        <v>101</v>
      </c>
      <c r="F494" s="64" t="s">
        <v>102</v>
      </c>
    </row>
    <row r="495" spans="1:6" ht="12.75" hidden="1" customHeight="1" outlineLevel="1" x14ac:dyDescent="0.3">
      <c r="A495" s="64" t="s">
        <v>103</v>
      </c>
      <c r="B495" s="65"/>
      <c r="C495" s="66"/>
      <c r="D495" s="67"/>
      <c r="E495" s="66"/>
      <c r="F495" s="66">
        <f>SUM(F496:F499)</f>
        <v>48.773333333333333</v>
      </c>
    </row>
    <row r="496" spans="1:6" ht="12.75" hidden="1" customHeight="1" outlineLevel="1" x14ac:dyDescent="0.25">
      <c r="A496" s="44" t="s">
        <v>108</v>
      </c>
      <c r="B496" s="68" t="s">
        <v>109</v>
      </c>
      <c r="C496" s="41">
        <v>0.1</v>
      </c>
      <c r="D496" s="69">
        <f>C496*$E$493/$B$493</f>
        <v>3.2000000000000001E-2</v>
      </c>
      <c r="E496" s="41">
        <f>VLOOKUP(A496,INSUMOS!$B$7:$D$42,3,0)</f>
        <v>49.166666666666664</v>
      </c>
      <c r="F496" s="41">
        <f>PRODUCT(D496:E496)</f>
        <v>1.5733333333333333</v>
      </c>
    </row>
    <row r="497" spans="1:6" ht="12.75" hidden="1" customHeight="1" outlineLevel="1" x14ac:dyDescent="0.25">
      <c r="A497" s="44" t="s">
        <v>113</v>
      </c>
      <c r="B497" s="68" t="s">
        <v>109</v>
      </c>
      <c r="C497" s="41">
        <v>2</v>
      </c>
      <c r="D497" s="69">
        <f>C497*$E$493/$B$493</f>
        <v>0.64</v>
      </c>
      <c r="E497" s="41">
        <f>VLOOKUP(A497,INSUMOS!$B$7:$D$42,3,0)</f>
        <v>27.041666666666668</v>
      </c>
      <c r="F497" s="41">
        <f>PRODUCT(D497:E497)</f>
        <v>17.306666666666668</v>
      </c>
    </row>
    <row r="498" spans="1:6" ht="12.75" hidden="1" customHeight="1" outlineLevel="1" x14ac:dyDescent="0.25">
      <c r="A498" s="44" t="s">
        <v>144</v>
      </c>
      <c r="B498" s="68" t="s">
        <v>109</v>
      </c>
      <c r="C498" s="41">
        <v>1</v>
      </c>
      <c r="D498" s="69">
        <f>C498*$E$493/$B$493</f>
        <v>0.32</v>
      </c>
      <c r="E498" s="41">
        <f>VLOOKUP(A498,INSUMOS!$B$7:$D$42,3,0)</f>
        <v>19.666666666666668</v>
      </c>
      <c r="F498" s="41">
        <f>PRODUCT(D498:E498)</f>
        <v>6.2933333333333339</v>
      </c>
    </row>
    <row r="499" spans="1:6" ht="12.75" hidden="1" customHeight="1" outlineLevel="1" x14ac:dyDescent="0.25">
      <c r="A499" s="44" t="s">
        <v>110</v>
      </c>
      <c r="B499" s="68" t="s">
        <v>109</v>
      </c>
      <c r="C499" s="41">
        <v>6</v>
      </c>
      <c r="D499" s="69">
        <f>C499*$E$493/$B$493</f>
        <v>1.92</v>
      </c>
      <c r="E499" s="41">
        <f>VLOOKUP(A499,INSUMOS!$B$7:$D$42,3,0)</f>
        <v>12.291666666666666</v>
      </c>
      <c r="F499" s="41">
        <f>PRODUCT(D499:E499)</f>
        <v>23.599999999999998</v>
      </c>
    </row>
    <row r="500" spans="1:6" ht="12.75" hidden="1" customHeight="1" outlineLevel="1" x14ac:dyDescent="0.3">
      <c r="A500" s="64" t="s">
        <v>116</v>
      </c>
      <c r="B500" s="65"/>
      <c r="C500" s="66"/>
      <c r="D500" s="67"/>
      <c r="E500" s="66"/>
      <c r="F500" s="66">
        <f>SUM(F501:F502)</f>
        <v>330.75</v>
      </c>
    </row>
    <row r="501" spans="1:6" ht="12.75" hidden="1" customHeight="1" outlineLevel="1" x14ac:dyDescent="0.25">
      <c r="A501" s="44" t="s">
        <v>167</v>
      </c>
      <c r="B501" s="68" t="s">
        <v>37</v>
      </c>
      <c r="C501" s="41"/>
      <c r="D501" s="69">
        <v>1.05</v>
      </c>
      <c r="E501" s="41">
        <f>VLOOKUP(A501,INSUMOS!$B$7:$D$42,3,0)</f>
        <v>275</v>
      </c>
      <c r="F501" s="41">
        <f>PRODUCT(D501:E501)</f>
        <v>288.75</v>
      </c>
    </row>
    <row r="502" spans="1:6" ht="12.75" hidden="1" customHeight="1" outlineLevel="1" x14ac:dyDescent="0.25">
      <c r="A502" s="44" t="s">
        <v>175</v>
      </c>
      <c r="B502" s="68" t="s">
        <v>37</v>
      </c>
      <c r="C502" s="41"/>
      <c r="D502" s="69">
        <v>1.05</v>
      </c>
      <c r="E502" s="41">
        <f>VLOOKUP(A502,INSUMOS!$B$7:$D$42,3,0)</f>
        <v>40</v>
      </c>
      <c r="F502" s="41">
        <f>PRODUCT(D502:E502)</f>
        <v>42</v>
      </c>
    </row>
    <row r="503" spans="1:6" ht="12.75" hidden="1" customHeight="1" outlineLevel="1" x14ac:dyDescent="0.3">
      <c r="A503" s="64" t="s">
        <v>105</v>
      </c>
      <c r="B503" s="65"/>
      <c r="C503" s="66"/>
      <c r="D503" s="67"/>
      <c r="E503" s="66"/>
      <c r="F503" s="66">
        <f>SUM(F504:F505)</f>
        <v>8.5031999999999996</v>
      </c>
    </row>
    <row r="504" spans="1:6" ht="12.75" hidden="1" customHeight="1" outlineLevel="1" x14ac:dyDescent="0.25">
      <c r="A504" s="44" t="s">
        <v>111</v>
      </c>
      <c r="B504" s="68" t="s">
        <v>112</v>
      </c>
      <c r="C504" s="41"/>
      <c r="D504" s="69">
        <v>3</v>
      </c>
      <c r="E504" s="41">
        <f>F495</f>
        <v>48.773333333333333</v>
      </c>
      <c r="F504" s="41">
        <f>D504*E504/100</f>
        <v>1.4631999999999998</v>
      </c>
    </row>
    <row r="505" spans="1:6" ht="12.75" hidden="1" customHeight="1" outlineLevel="1" x14ac:dyDescent="0.25">
      <c r="A505" s="44" t="s">
        <v>156</v>
      </c>
      <c r="B505" s="68" t="s">
        <v>131</v>
      </c>
      <c r="C505" s="41">
        <v>1</v>
      </c>
      <c r="D505" s="69">
        <f>C505*$E$493/$B$493</f>
        <v>0.32</v>
      </c>
      <c r="E505" s="41">
        <f>VLOOKUP(A505,INSUMOS!$B$7:$D$42,3,0)</f>
        <v>22</v>
      </c>
      <c r="F505" s="41">
        <f>PRODUCT(D505:E505)</f>
        <v>7.04</v>
      </c>
    </row>
    <row r="506" spans="1:6" ht="12.75" hidden="1" customHeight="1" outlineLevel="1" x14ac:dyDescent="0.25">
      <c r="B506" s="1"/>
      <c r="C506" s="21"/>
    </row>
    <row r="507" spans="1:6" ht="12.75" customHeight="1" collapsed="1" x14ac:dyDescent="0.3">
      <c r="A507" s="54" t="s">
        <v>382</v>
      </c>
      <c r="B507" s="55"/>
      <c r="C507" s="56"/>
      <c r="D507" s="57"/>
      <c r="E507" s="58" t="s">
        <v>92</v>
      </c>
      <c r="F507" s="59">
        <f>F510+F515+F518</f>
        <v>388.0265333333333</v>
      </c>
    </row>
    <row r="508" spans="1:6" ht="12.75" hidden="1" customHeight="1" outlineLevel="1" x14ac:dyDescent="0.3">
      <c r="A508" s="60" t="s">
        <v>93</v>
      </c>
      <c r="B508" s="61">
        <v>25</v>
      </c>
      <c r="C508" s="62" t="s">
        <v>133</v>
      </c>
      <c r="D508" s="63" t="s">
        <v>95</v>
      </c>
      <c r="E508" s="60">
        <v>8</v>
      </c>
      <c r="F508" s="60" t="s">
        <v>96</v>
      </c>
    </row>
    <row r="509" spans="1:6" ht="12.75" hidden="1" customHeight="1" outlineLevel="1" x14ac:dyDescent="0.3">
      <c r="A509" s="64" t="s">
        <v>97</v>
      </c>
      <c r="B509" s="65" t="s">
        <v>98</v>
      </c>
      <c r="C509" s="66" t="s">
        <v>99</v>
      </c>
      <c r="D509" s="67" t="s">
        <v>100</v>
      </c>
      <c r="E509" s="64" t="s">
        <v>101</v>
      </c>
      <c r="F509" s="64" t="s">
        <v>102</v>
      </c>
    </row>
    <row r="510" spans="1:6" ht="12.75" hidden="1" customHeight="1" outlineLevel="1" x14ac:dyDescent="0.3">
      <c r="A510" s="64" t="s">
        <v>103</v>
      </c>
      <c r="B510" s="65"/>
      <c r="C510" s="66"/>
      <c r="D510" s="67"/>
      <c r="E510" s="66"/>
      <c r="F510" s="66">
        <f>SUM(F511:F514)</f>
        <v>48.773333333333333</v>
      </c>
    </row>
    <row r="511" spans="1:6" ht="12.75" hidden="1" customHeight="1" outlineLevel="1" x14ac:dyDescent="0.25">
      <c r="A511" s="44" t="s">
        <v>108</v>
      </c>
      <c r="B511" s="68" t="s">
        <v>109</v>
      </c>
      <c r="C511" s="41">
        <v>0.1</v>
      </c>
      <c r="D511" s="69">
        <f>C511*$E$508/$B$508</f>
        <v>3.2000000000000001E-2</v>
      </c>
      <c r="E511" s="41">
        <f>VLOOKUP(A511,INSUMOS!$B$7:$D$42,3,0)</f>
        <v>49.166666666666664</v>
      </c>
      <c r="F511" s="41">
        <f>PRODUCT(D511:E511)</f>
        <v>1.5733333333333333</v>
      </c>
    </row>
    <row r="512" spans="1:6" ht="12.75" hidden="1" customHeight="1" outlineLevel="1" x14ac:dyDescent="0.25">
      <c r="A512" s="44" t="s">
        <v>113</v>
      </c>
      <c r="B512" s="68" t="s">
        <v>109</v>
      </c>
      <c r="C512" s="41">
        <v>2</v>
      </c>
      <c r="D512" s="69">
        <f>C512*$E$508/$B$508</f>
        <v>0.64</v>
      </c>
      <c r="E512" s="41">
        <f>VLOOKUP(A512,INSUMOS!$B$7:$D$42,3,0)</f>
        <v>27.041666666666668</v>
      </c>
      <c r="F512" s="41">
        <f>PRODUCT(D512:E512)</f>
        <v>17.306666666666668</v>
      </c>
    </row>
    <row r="513" spans="1:6" ht="12.75" hidden="1" customHeight="1" outlineLevel="1" x14ac:dyDescent="0.25">
      <c r="A513" s="44" t="s">
        <v>144</v>
      </c>
      <c r="B513" s="68" t="s">
        <v>109</v>
      </c>
      <c r="C513" s="41">
        <v>1</v>
      </c>
      <c r="D513" s="69">
        <f>C513*$E$508/$B$508</f>
        <v>0.32</v>
      </c>
      <c r="E513" s="41">
        <f>VLOOKUP(A513,INSUMOS!$B$7:$D$42,3,0)</f>
        <v>19.666666666666668</v>
      </c>
      <c r="F513" s="41">
        <f>PRODUCT(D513:E513)</f>
        <v>6.2933333333333339</v>
      </c>
    </row>
    <row r="514" spans="1:6" ht="12.75" hidden="1" customHeight="1" outlineLevel="1" x14ac:dyDescent="0.25">
      <c r="A514" s="44" t="s">
        <v>110</v>
      </c>
      <c r="B514" s="68" t="s">
        <v>109</v>
      </c>
      <c r="C514" s="41">
        <v>6</v>
      </c>
      <c r="D514" s="69">
        <f>C514*$E$508/$B$508</f>
        <v>1.92</v>
      </c>
      <c r="E514" s="41">
        <f>VLOOKUP(A514,INSUMOS!$B$7:$D$42,3,0)</f>
        <v>12.291666666666666</v>
      </c>
      <c r="F514" s="41">
        <f>PRODUCT(D514:E514)</f>
        <v>23.599999999999998</v>
      </c>
    </row>
    <row r="515" spans="1:6" ht="12.75" hidden="1" customHeight="1" outlineLevel="1" x14ac:dyDescent="0.3">
      <c r="A515" s="64" t="s">
        <v>116</v>
      </c>
      <c r="B515" s="65"/>
      <c r="C515" s="66"/>
      <c r="D515" s="67"/>
      <c r="E515" s="66"/>
      <c r="F515" s="66">
        <f>SUM(F516:F517)</f>
        <v>330.75</v>
      </c>
    </row>
    <row r="516" spans="1:6" ht="12.75" hidden="1" customHeight="1" outlineLevel="1" x14ac:dyDescent="0.25">
      <c r="A516" s="44" t="s">
        <v>167</v>
      </c>
      <c r="B516" s="68" t="s">
        <v>37</v>
      </c>
      <c r="C516" s="41"/>
      <c r="D516" s="69">
        <v>1.05</v>
      </c>
      <c r="E516" s="41">
        <f>VLOOKUP(A516,INSUMOS!$B$7:$D$42,3,0)</f>
        <v>275</v>
      </c>
      <c r="F516" s="41">
        <f>PRODUCT(D516:E516)</f>
        <v>288.75</v>
      </c>
    </row>
    <row r="517" spans="1:6" ht="12.75" hidden="1" customHeight="1" outlineLevel="1" x14ac:dyDescent="0.25">
      <c r="A517" s="44" t="s">
        <v>175</v>
      </c>
      <c r="B517" s="68" t="s">
        <v>37</v>
      </c>
      <c r="C517" s="41"/>
      <c r="D517" s="69">
        <v>1.05</v>
      </c>
      <c r="E517" s="41">
        <f>VLOOKUP(A517,INSUMOS!$B$7:$D$42,3,0)</f>
        <v>40</v>
      </c>
      <c r="F517" s="41">
        <f>PRODUCT(D517:E517)</f>
        <v>42</v>
      </c>
    </row>
    <row r="518" spans="1:6" ht="12.75" hidden="1" customHeight="1" outlineLevel="1" x14ac:dyDescent="0.3">
      <c r="A518" s="64" t="s">
        <v>105</v>
      </c>
      <c r="B518" s="65"/>
      <c r="C518" s="66"/>
      <c r="D518" s="67"/>
      <c r="E518" s="66"/>
      <c r="F518" s="66">
        <f>SUM(F519:F520)</f>
        <v>8.5031999999999996</v>
      </c>
    </row>
    <row r="519" spans="1:6" ht="12.75" hidden="1" customHeight="1" outlineLevel="1" x14ac:dyDescent="0.25">
      <c r="A519" s="44" t="s">
        <v>111</v>
      </c>
      <c r="B519" s="68" t="s">
        <v>112</v>
      </c>
      <c r="C519" s="41"/>
      <c r="D519" s="69">
        <v>3</v>
      </c>
      <c r="E519" s="41">
        <f>F510</f>
        <v>48.773333333333333</v>
      </c>
      <c r="F519" s="41">
        <f>D519*E519/100</f>
        <v>1.4631999999999998</v>
      </c>
    </row>
    <row r="520" spans="1:6" ht="12.75" hidden="1" customHeight="1" outlineLevel="1" x14ac:dyDescent="0.25">
      <c r="A520" s="44" t="s">
        <v>156</v>
      </c>
      <c r="B520" s="68" t="s">
        <v>131</v>
      </c>
      <c r="C520" s="41">
        <v>1</v>
      </c>
      <c r="D520" s="69">
        <f>C520*$E$508/$B$508</f>
        <v>0.32</v>
      </c>
      <c r="E520" s="41">
        <f>VLOOKUP(A520,INSUMOS!$B$7:$D$42,3,0)</f>
        <v>22</v>
      </c>
      <c r="F520" s="41">
        <f>PRODUCT(D520:E520)</f>
        <v>7.04</v>
      </c>
    </row>
    <row r="521" spans="1:6" ht="12.75" hidden="1" customHeight="1" outlineLevel="1" x14ac:dyDescent="0.25">
      <c r="B521" s="1"/>
      <c r="C521" s="21"/>
    </row>
    <row r="522" spans="1:6" ht="12.75" customHeight="1" collapsed="1" x14ac:dyDescent="0.3">
      <c r="A522" s="54" t="s">
        <v>580</v>
      </c>
      <c r="B522" s="55"/>
      <c r="C522" s="56"/>
      <c r="D522" s="57"/>
      <c r="E522" s="58" t="s">
        <v>92</v>
      </c>
      <c r="F522" s="59">
        <f>F525+F530+F533</f>
        <v>402.34566666666672</v>
      </c>
    </row>
    <row r="523" spans="1:6" ht="12.75" hidden="1" customHeight="1" outlineLevel="1" x14ac:dyDescent="0.3">
      <c r="A523" s="60" t="s">
        <v>93</v>
      </c>
      <c r="B523" s="61">
        <v>20</v>
      </c>
      <c r="C523" s="62" t="s">
        <v>133</v>
      </c>
      <c r="D523" s="63" t="s">
        <v>95</v>
      </c>
      <c r="E523" s="60">
        <v>8</v>
      </c>
      <c r="F523" s="60" t="s">
        <v>96</v>
      </c>
    </row>
    <row r="524" spans="1:6" ht="12.75" hidden="1" customHeight="1" outlineLevel="1" x14ac:dyDescent="0.3">
      <c r="A524" s="64" t="s">
        <v>97</v>
      </c>
      <c r="B524" s="65" t="s">
        <v>98</v>
      </c>
      <c r="C524" s="66" t="s">
        <v>99</v>
      </c>
      <c r="D524" s="67" t="s">
        <v>100</v>
      </c>
      <c r="E524" s="64" t="s">
        <v>101</v>
      </c>
      <c r="F524" s="64" t="s">
        <v>102</v>
      </c>
    </row>
    <row r="525" spans="1:6" ht="12.75" hidden="1" customHeight="1" outlineLevel="1" x14ac:dyDescent="0.3">
      <c r="A525" s="64" t="s">
        <v>103</v>
      </c>
      <c r="B525" s="65"/>
      <c r="C525" s="66"/>
      <c r="D525" s="67"/>
      <c r="E525" s="66"/>
      <c r="F525" s="66">
        <f>SUM(F526:F529)</f>
        <v>60.966666666666669</v>
      </c>
    </row>
    <row r="526" spans="1:6" ht="12.75" hidden="1" customHeight="1" outlineLevel="1" x14ac:dyDescent="0.25">
      <c r="A526" s="44" t="s">
        <v>108</v>
      </c>
      <c r="B526" s="68" t="s">
        <v>109</v>
      </c>
      <c r="C526" s="41">
        <v>0.1</v>
      </c>
      <c r="D526" s="69">
        <f>C526*$E$523/$B$523</f>
        <v>0.04</v>
      </c>
      <c r="E526" s="41">
        <f>VLOOKUP(A526,INSUMOS!$B$7:$D$42,3,0)</f>
        <v>49.166666666666664</v>
      </c>
      <c r="F526" s="41">
        <f>PRODUCT(D526:E526)</f>
        <v>1.9666666666666666</v>
      </c>
    </row>
    <row r="527" spans="1:6" ht="12.75" hidden="1" customHeight="1" outlineLevel="1" x14ac:dyDescent="0.25">
      <c r="A527" s="44" t="s">
        <v>113</v>
      </c>
      <c r="B527" s="68" t="s">
        <v>109</v>
      </c>
      <c r="C527" s="41">
        <v>2</v>
      </c>
      <c r="D527" s="69">
        <f>C527*$E$523/$B$523</f>
        <v>0.8</v>
      </c>
      <c r="E527" s="41">
        <f>VLOOKUP(A527,INSUMOS!$B$7:$D$42,3,0)</f>
        <v>27.041666666666668</v>
      </c>
      <c r="F527" s="41">
        <f>PRODUCT(D527:E527)</f>
        <v>21.633333333333336</v>
      </c>
    </row>
    <row r="528" spans="1:6" ht="12.75" hidden="1" customHeight="1" outlineLevel="1" x14ac:dyDescent="0.25">
      <c r="A528" s="44" t="s">
        <v>144</v>
      </c>
      <c r="B528" s="68" t="s">
        <v>109</v>
      </c>
      <c r="C528" s="41">
        <v>1</v>
      </c>
      <c r="D528" s="69">
        <f>C528*$E$523/$B$523</f>
        <v>0.4</v>
      </c>
      <c r="E528" s="41">
        <f>VLOOKUP(A528,INSUMOS!$B$7:$D$42,3,0)</f>
        <v>19.666666666666668</v>
      </c>
      <c r="F528" s="41">
        <f>PRODUCT(D528:E528)</f>
        <v>7.8666666666666671</v>
      </c>
    </row>
    <row r="529" spans="1:6" ht="12.75" hidden="1" customHeight="1" outlineLevel="1" x14ac:dyDescent="0.25">
      <c r="A529" s="44" t="s">
        <v>110</v>
      </c>
      <c r="B529" s="68" t="s">
        <v>109</v>
      </c>
      <c r="C529" s="41">
        <v>6</v>
      </c>
      <c r="D529" s="69">
        <f>C529*$E$523/$B$523</f>
        <v>2.4</v>
      </c>
      <c r="E529" s="41">
        <f>VLOOKUP(A529,INSUMOS!$B$7:$D$42,3,0)</f>
        <v>12.291666666666666</v>
      </c>
      <c r="F529" s="41">
        <f>PRODUCT(D529:E529)</f>
        <v>29.499999999999996</v>
      </c>
    </row>
    <row r="530" spans="1:6" ht="12.75" hidden="1" customHeight="1" outlineLevel="1" x14ac:dyDescent="0.3">
      <c r="A530" s="64" t="s">
        <v>116</v>
      </c>
      <c r="B530" s="65"/>
      <c r="C530" s="66"/>
      <c r="D530" s="67"/>
      <c r="E530" s="66"/>
      <c r="F530" s="66">
        <f>SUM(F531:F532)</f>
        <v>330.75</v>
      </c>
    </row>
    <row r="531" spans="1:6" ht="12.75" hidden="1" customHeight="1" outlineLevel="1" x14ac:dyDescent="0.25">
      <c r="A531" s="44" t="s">
        <v>167</v>
      </c>
      <c r="B531" s="68" t="s">
        <v>37</v>
      </c>
      <c r="C531" s="41"/>
      <c r="D531" s="69">
        <v>1.05</v>
      </c>
      <c r="E531" s="41">
        <f>VLOOKUP(A531,INSUMOS!$B$7:$D$42,3,0)</f>
        <v>275</v>
      </c>
      <c r="F531" s="41">
        <f>PRODUCT(D531:E531)</f>
        <v>288.75</v>
      </c>
    </row>
    <row r="532" spans="1:6" ht="12.75" hidden="1" customHeight="1" outlineLevel="1" x14ac:dyDescent="0.25">
      <c r="A532" s="44" t="s">
        <v>175</v>
      </c>
      <c r="B532" s="68" t="s">
        <v>37</v>
      </c>
      <c r="C532" s="41"/>
      <c r="D532" s="69">
        <v>1.05</v>
      </c>
      <c r="E532" s="41">
        <f>VLOOKUP(A532,INSUMOS!$B$7:$D$42,3,0)</f>
        <v>40</v>
      </c>
      <c r="F532" s="41">
        <f>PRODUCT(D532:E532)</f>
        <v>42</v>
      </c>
    </row>
    <row r="533" spans="1:6" ht="12.75" hidden="1" customHeight="1" outlineLevel="1" x14ac:dyDescent="0.3">
      <c r="A533" s="64" t="s">
        <v>105</v>
      </c>
      <c r="B533" s="65"/>
      <c r="C533" s="66"/>
      <c r="D533" s="67"/>
      <c r="E533" s="66"/>
      <c r="F533" s="66">
        <f>SUM(F534:F535)</f>
        <v>10.629000000000001</v>
      </c>
    </row>
    <row r="534" spans="1:6" ht="12.75" hidden="1" customHeight="1" outlineLevel="1" x14ac:dyDescent="0.25">
      <c r="A534" s="44" t="s">
        <v>111</v>
      </c>
      <c r="B534" s="68" t="s">
        <v>112</v>
      </c>
      <c r="C534" s="41"/>
      <c r="D534" s="69">
        <v>3</v>
      </c>
      <c r="E534" s="41">
        <f>F525</f>
        <v>60.966666666666669</v>
      </c>
      <c r="F534" s="41">
        <f>D534*E534/100</f>
        <v>1.829</v>
      </c>
    </row>
    <row r="535" spans="1:6" ht="12.75" hidden="1" customHeight="1" outlineLevel="1" x14ac:dyDescent="0.25">
      <c r="A535" s="44" t="s">
        <v>156</v>
      </c>
      <c r="B535" s="68" t="s">
        <v>131</v>
      </c>
      <c r="C535" s="41">
        <v>1</v>
      </c>
      <c r="D535" s="69">
        <f>C535*$E$523/$B$523</f>
        <v>0.4</v>
      </c>
      <c r="E535" s="41">
        <f>VLOOKUP(A535,INSUMOS!$B$7:$D$42,3,0)</f>
        <v>22</v>
      </c>
      <c r="F535" s="41">
        <f>PRODUCT(D535:E535)</f>
        <v>8.8000000000000007</v>
      </c>
    </row>
    <row r="536" spans="1:6" ht="12.75" hidden="1" customHeight="1" outlineLevel="1" x14ac:dyDescent="0.25">
      <c r="B536" s="1"/>
      <c r="C536" s="21"/>
    </row>
    <row r="537" spans="1:6" ht="12.75" customHeight="1" collapsed="1" x14ac:dyDescent="0.3">
      <c r="A537" s="54" t="s">
        <v>41</v>
      </c>
      <c r="B537" s="55"/>
      <c r="C537" s="56"/>
      <c r="D537" s="57"/>
      <c r="E537" s="58" t="s">
        <v>92</v>
      </c>
      <c r="F537" s="59">
        <f>F540+F545+F548</f>
        <v>380.45520000000005</v>
      </c>
    </row>
    <row r="538" spans="1:6" ht="12.75" customHeight="1" outlineLevel="1" x14ac:dyDescent="0.3">
      <c r="A538" s="60" t="s">
        <v>93</v>
      </c>
      <c r="B538" s="61">
        <v>25</v>
      </c>
      <c r="C538" s="62" t="s">
        <v>133</v>
      </c>
      <c r="D538" s="63" t="s">
        <v>95</v>
      </c>
      <c r="E538" s="60">
        <v>8</v>
      </c>
      <c r="F538" s="60" t="s">
        <v>96</v>
      </c>
    </row>
    <row r="539" spans="1:6" ht="12.75" customHeight="1" outlineLevel="1" x14ac:dyDescent="0.3">
      <c r="A539" s="64" t="s">
        <v>97</v>
      </c>
      <c r="B539" s="65" t="s">
        <v>98</v>
      </c>
      <c r="C539" s="66" t="s">
        <v>99</v>
      </c>
      <c r="D539" s="67" t="s">
        <v>100</v>
      </c>
      <c r="E539" s="64" t="s">
        <v>101</v>
      </c>
      <c r="F539" s="64" t="s">
        <v>102</v>
      </c>
    </row>
    <row r="540" spans="1:6" ht="12.75" customHeight="1" outlineLevel="1" x14ac:dyDescent="0.3">
      <c r="A540" s="64" t="s">
        <v>103</v>
      </c>
      <c r="B540" s="65"/>
      <c r="C540" s="66"/>
      <c r="D540" s="67"/>
      <c r="E540" s="66"/>
      <c r="F540" s="66">
        <f>SUM(F541:F544)</f>
        <v>44.84</v>
      </c>
    </row>
    <row r="541" spans="1:6" ht="12.75" customHeight="1" outlineLevel="1" x14ac:dyDescent="0.25">
      <c r="A541" s="44" t="s">
        <v>108</v>
      </c>
      <c r="B541" s="68" t="s">
        <v>109</v>
      </c>
      <c r="C541" s="41">
        <v>0.1</v>
      </c>
      <c r="D541" s="69">
        <f>C541*$E$538/$B$538</f>
        <v>3.2000000000000001E-2</v>
      </c>
      <c r="E541" s="41">
        <f>VLOOKUP(A541,INSUMOS!$B$7:$D$42,3,0)</f>
        <v>49.166666666666664</v>
      </c>
      <c r="F541" s="41">
        <f>PRODUCT(D541:E541)</f>
        <v>1.5733333333333333</v>
      </c>
    </row>
    <row r="542" spans="1:6" ht="12.75" customHeight="1" outlineLevel="1" x14ac:dyDescent="0.25">
      <c r="A542" s="44" t="s">
        <v>113</v>
      </c>
      <c r="B542" s="68" t="s">
        <v>109</v>
      </c>
      <c r="C542" s="41">
        <v>2</v>
      </c>
      <c r="D542" s="69">
        <f>C542*$E$538/$B$538</f>
        <v>0.64</v>
      </c>
      <c r="E542" s="41">
        <f>VLOOKUP(A542,INSUMOS!$B$7:$D$42,3,0)</f>
        <v>27.041666666666668</v>
      </c>
      <c r="F542" s="41">
        <f>PRODUCT(D542:E542)</f>
        <v>17.306666666666668</v>
      </c>
    </row>
    <row r="543" spans="1:6" ht="12.75" customHeight="1" outlineLevel="1" x14ac:dyDescent="0.25">
      <c r="A543" s="44" t="s">
        <v>144</v>
      </c>
      <c r="B543" s="68" t="s">
        <v>109</v>
      </c>
      <c r="C543" s="41">
        <v>1</v>
      </c>
      <c r="D543" s="69">
        <f>C543*$E$538/$B$538</f>
        <v>0.32</v>
      </c>
      <c r="E543" s="41">
        <f>VLOOKUP(A543,INSUMOS!$B$7:$D$42,3,0)</f>
        <v>19.666666666666668</v>
      </c>
      <c r="F543" s="41">
        <f>PRODUCT(D543:E543)</f>
        <v>6.2933333333333339</v>
      </c>
    </row>
    <row r="544" spans="1:6" ht="12.75" customHeight="1" outlineLevel="1" x14ac:dyDescent="0.25">
      <c r="A544" s="44" t="s">
        <v>110</v>
      </c>
      <c r="B544" s="68" t="s">
        <v>109</v>
      </c>
      <c r="C544" s="41">
        <v>5</v>
      </c>
      <c r="D544" s="69">
        <f>C544*$E$538/$B$538</f>
        <v>1.6</v>
      </c>
      <c r="E544" s="41">
        <f>VLOOKUP(A544,INSUMOS!$B$7:$D$42,3,0)</f>
        <v>12.291666666666666</v>
      </c>
      <c r="F544" s="41">
        <f>PRODUCT(D544:E544)</f>
        <v>19.666666666666668</v>
      </c>
    </row>
    <row r="545" spans="1:6" ht="12.75" customHeight="1" outlineLevel="1" x14ac:dyDescent="0.3">
      <c r="A545" s="64" t="s">
        <v>116</v>
      </c>
      <c r="B545" s="65"/>
      <c r="C545" s="66"/>
      <c r="D545" s="67"/>
      <c r="E545" s="66"/>
      <c r="F545" s="66">
        <f>SUM(F546:F547)</f>
        <v>330.75</v>
      </c>
    </row>
    <row r="546" spans="1:6" ht="12.75" customHeight="1" outlineLevel="1" x14ac:dyDescent="0.25">
      <c r="A546" s="44" t="s">
        <v>167</v>
      </c>
      <c r="B546" s="68" t="s">
        <v>37</v>
      </c>
      <c r="C546" s="41"/>
      <c r="D546" s="69">
        <v>1.05</v>
      </c>
      <c r="E546" s="41">
        <f>VLOOKUP(A546,INSUMOS!$B$7:$D$42,3,0)</f>
        <v>275</v>
      </c>
      <c r="F546" s="41">
        <f>PRODUCT(D546:E546)</f>
        <v>288.75</v>
      </c>
    </row>
    <row r="547" spans="1:6" ht="12.75" customHeight="1" outlineLevel="1" x14ac:dyDescent="0.25">
      <c r="A547" s="44" t="s">
        <v>175</v>
      </c>
      <c r="B547" s="68" t="s">
        <v>37</v>
      </c>
      <c r="C547" s="41"/>
      <c r="D547" s="69">
        <v>1.05</v>
      </c>
      <c r="E547" s="41">
        <f>VLOOKUP(A547,INSUMOS!$B$7:$D$42,3,0)</f>
        <v>40</v>
      </c>
      <c r="F547" s="41">
        <f>PRODUCT(D547:E547)</f>
        <v>42</v>
      </c>
    </row>
    <row r="548" spans="1:6" ht="12.75" customHeight="1" outlineLevel="1" x14ac:dyDescent="0.3">
      <c r="A548" s="64" t="s">
        <v>105</v>
      </c>
      <c r="B548" s="65"/>
      <c r="C548" s="66"/>
      <c r="D548" s="67"/>
      <c r="E548" s="66"/>
      <c r="F548" s="66">
        <f>SUM(F549:F550)</f>
        <v>4.8651999999999997</v>
      </c>
    </row>
    <row r="549" spans="1:6" ht="12.75" customHeight="1" outlineLevel="1" x14ac:dyDescent="0.25">
      <c r="A549" s="79" t="s">
        <v>111</v>
      </c>
      <c r="B549" s="80" t="s">
        <v>112</v>
      </c>
      <c r="C549" s="81"/>
      <c r="D549" s="82">
        <v>3</v>
      </c>
      <c r="E549" s="81">
        <f>F540</f>
        <v>44.84</v>
      </c>
      <c r="F549" s="81">
        <f>D549*E549/100</f>
        <v>1.3452000000000002</v>
      </c>
    </row>
    <row r="550" spans="1:6" ht="12.75" customHeight="1" outlineLevel="1" x14ac:dyDescent="0.25">
      <c r="A550" s="44" t="s">
        <v>156</v>
      </c>
      <c r="B550" s="83" t="s">
        <v>131</v>
      </c>
      <c r="C550" s="41">
        <v>0.5</v>
      </c>
      <c r="D550" s="69">
        <f>C550*$E$538/$B$538</f>
        <v>0.16</v>
      </c>
      <c r="E550" s="41">
        <f>VLOOKUP(A550,INSUMOS!$B$7:$D$42,3,0)</f>
        <v>22</v>
      </c>
      <c r="F550" s="41">
        <f>PRODUCT(D550:E550)</f>
        <v>3.52</v>
      </c>
    </row>
    <row r="551" spans="1:6" ht="12.75" customHeight="1" outlineLevel="1" x14ac:dyDescent="0.25">
      <c r="A551" s="75"/>
      <c r="B551" s="72"/>
      <c r="C551" s="77"/>
      <c r="D551" s="78"/>
      <c r="E551" s="41"/>
      <c r="F551" s="41"/>
    </row>
    <row r="552" spans="1:6" ht="12.75" customHeight="1" x14ac:dyDescent="0.3">
      <c r="A552" s="54" t="s">
        <v>489</v>
      </c>
      <c r="B552" s="55"/>
      <c r="C552" s="56"/>
      <c r="D552" s="57"/>
      <c r="E552" s="58" t="s">
        <v>92</v>
      </c>
      <c r="F552" s="59">
        <f>F555+F560+F562</f>
        <v>377.79833333333329</v>
      </c>
    </row>
    <row r="553" spans="1:6" ht="12.75" hidden="1" customHeight="1" outlineLevel="1" x14ac:dyDescent="0.3">
      <c r="A553" s="60" t="s">
        <v>93</v>
      </c>
      <c r="B553" s="61">
        <v>20</v>
      </c>
      <c r="C553" s="62" t="s">
        <v>133</v>
      </c>
      <c r="D553" s="63" t="s">
        <v>95</v>
      </c>
      <c r="E553" s="60">
        <v>8</v>
      </c>
      <c r="F553" s="60" t="s">
        <v>96</v>
      </c>
    </row>
    <row r="554" spans="1:6" ht="12.75" hidden="1" customHeight="1" outlineLevel="1" x14ac:dyDescent="0.3">
      <c r="A554" s="64" t="s">
        <v>97</v>
      </c>
      <c r="B554" s="65" t="s">
        <v>98</v>
      </c>
      <c r="C554" s="66" t="s">
        <v>99</v>
      </c>
      <c r="D554" s="67" t="s">
        <v>100</v>
      </c>
      <c r="E554" s="64" t="s">
        <v>101</v>
      </c>
      <c r="F554" s="64" t="s">
        <v>102</v>
      </c>
    </row>
    <row r="555" spans="1:6" ht="12.75" hidden="1" customHeight="1" outlineLevel="1" x14ac:dyDescent="0.3">
      <c r="A555" s="64" t="s">
        <v>103</v>
      </c>
      <c r="B555" s="65"/>
      <c r="C555" s="66"/>
      <c r="D555" s="67"/>
      <c r="E555" s="66"/>
      <c r="F555" s="66">
        <f>SUM(F556:F559)</f>
        <v>68.833333333333329</v>
      </c>
    </row>
    <row r="556" spans="1:6" ht="12.75" hidden="1" customHeight="1" outlineLevel="1" x14ac:dyDescent="0.25">
      <c r="A556" s="44" t="s">
        <v>108</v>
      </c>
      <c r="B556" s="68" t="s">
        <v>109</v>
      </c>
      <c r="C556" s="41">
        <v>0.1</v>
      </c>
      <c r="D556" s="69">
        <f>C556*$E$553/$B$553</f>
        <v>0.04</v>
      </c>
      <c r="E556" s="41">
        <f>VLOOKUP(A556,INSUMOS!$B$7:$D$42,3,0)</f>
        <v>49.166666666666664</v>
      </c>
      <c r="F556" s="41">
        <f>PRODUCT(D556:E556)</f>
        <v>1.9666666666666666</v>
      </c>
    </row>
    <row r="557" spans="1:6" ht="12.75" hidden="1" customHeight="1" outlineLevel="1" x14ac:dyDescent="0.25">
      <c r="A557" s="44" t="s">
        <v>113</v>
      </c>
      <c r="B557" s="68" t="s">
        <v>109</v>
      </c>
      <c r="C557" s="41">
        <v>2</v>
      </c>
      <c r="D557" s="69">
        <f>C557*$E$553/$B$553</f>
        <v>0.8</v>
      </c>
      <c r="E557" s="41">
        <f>VLOOKUP(A557,INSUMOS!$B$7:$D$42,3,0)</f>
        <v>27.041666666666668</v>
      </c>
      <c r="F557" s="41">
        <f>PRODUCT(D557:E557)</f>
        <v>21.633333333333336</v>
      </c>
    </row>
    <row r="558" spans="1:6" ht="12.75" hidden="1" customHeight="1" outlineLevel="1" x14ac:dyDescent="0.25">
      <c r="A558" s="44" t="s">
        <v>144</v>
      </c>
      <c r="B558" s="68" t="s">
        <v>109</v>
      </c>
      <c r="C558" s="41">
        <v>2</v>
      </c>
      <c r="D558" s="69">
        <f>C558*$E$553/$B$553</f>
        <v>0.8</v>
      </c>
      <c r="E558" s="41">
        <f>VLOOKUP(A558,INSUMOS!$B$7:$D$42,3,0)</f>
        <v>19.666666666666668</v>
      </c>
      <c r="F558" s="41">
        <f>PRODUCT(D558:E558)</f>
        <v>15.733333333333334</v>
      </c>
    </row>
    <row r="559" spans="1:6" ht="12.75" hidden="1" customHeight="1" outlineLevel="1" x14ac:dyDescent="0.25">
      <c r="A559" s="44" t="s">
        <v>110</v>
      </c>
      <c r="B559" s="68" t="s">
        <v>109</v>
      </c>
      <c r="C559" s="41">
        <v>6</v>
      </c>
      <c r="D559" s="69">
        <f>C559*$E$553/$B$553</f>
        <v>2.4</v>
      </c>
      <c r="E559" s="41">
        <f>VLOOKUP(A559,INSUMOS!$B$7:$D$42,3,0)</f>
        <v>12.291666666666666</v>
      </c>
      <c r="F559" s="41">
        <f>PRODUCT(D559:E559)</f>
        <v>29.499999999999996</v>
      </c>
    </row>
    <row r="560" spans="1:6" ht="12.75" hidden="1" customHeight="1" outlineLevel="1" x14ac:dyDescent="0.3">
      <c r="A560" s="64" t="s">
        <v>116</v>
      </c>
      <c r="B560" s="65"/>
      <c r="C560" s="66"/>
      <c r="D560" s="67"/>
      <c r="E560" s="66"/>
      <c r="F560" s="66">
        <f>SUM(F561)</f>
        <v>302.5</v>
      </c>
    </row>
    <row r="561" spans="1:6" ht="12.75" hidden="1" customHeight="1" outlineLevel="1" x14ac:dyDescent="0.25">
      <c r="A561" s="44" t="s">
        <v>167</v>
      </c>
      <c r="B561" s="68" t="s">
        <v>37</v>
      </c>
      <c r="C561" s="41"/>
      <c r="D561" s="69">
        <v>1.1000000000000001</v>
      </c>
      <c r="E561" s="41">
        <f>VLOOKUP(A561,INSUMOS!$B$7:$D$42,3,0)</f>
        <v>275</v>
      </c>
      <c r="F561" s="41">
        <f>PRODUCT(D561:E561)</f>
        <v>302.5</v>
      </c>
    </row>
    <row r="562" spans="1:6" ht="12.75" hidden="1" customHeight="1" outlineLevel="1" x14ac:dyDescent="0.3">
      <c r="A562" s="64" t="s">
        <v>105</v>
      </c>
      <c r="B562" s="65"/>
      <c r="C562" s="66"/>
      <c r="D562" s="67"/>
      <c r="E562" s="66"/>
      <c r="F562" s="66">
        <f>SUM(F563:F564)</f>
        <v>6.4649999999999999</v>
      </c>
    </row>
    <row r="563" spans="1:6" ht="12.75" hidden="1" customHeight="1" outlineLevel="1" x14ac:dyDescent="0.25">
      <c r="A563" s="79" t="s">
        <v>111</v>
      </c>
      <c r="B563" s="80" t="s">
        <v>112</v>
      </c>
      <c r="C563" s="81"/>
      <c r="D563" s="82">
        <v>3</v>
      </c>
      <c r="E563" s="81">
        <f>F555</f>
        <v>68.833333333333329</v>
      </c>
      <c r="F563" s="81">
        <f>D563*E563/100</f>
        <v>2.0649999999999999</v>
      </c>
    </row>
    <row r="564" spans="1:6" ht="12.75" hidden="1" customHeight="1" outlineLevel="1" x14ac:dyDescent="0.25">
      <c r="A564" s="44" t="s">
        <v>156</v>
      </c>
      <c r="B564" s="83" t="s">
        <v>131</v>
      </c>
      <c r="C564" s="41">
        <v>0.5</v>
      </c>
      <c r="D564" s="69">
        <f>C564*$E$553/$B$553</f>
        <v>0.2</v>
      </c>
      <c r="E564" s="41">
        <f>VLOOKUP(A564,INSUMOS!$B$7:$D$42,3,0)</f>
        <v>22</v>
      </c>
      <c r="F564" s="41">
        <f>PRODUCT(D564:E564)</f>
        <v>4.4000000000000004</v>
      </c>
    </row>
    <row r="565" spans="1:6" ht="12.75" hidden="1" customHeight="1" outlineLevel="1" x14ac:dyDescent="0.25">
      <c r="B565" s="1"/>
      <c r="C565" s="21"/>
    </row>
    <row r="566" spans="1:6" ht="12.75" customHeight="1" collapsed="1" x14ac:dyDescent="0.3">
      <c r="A566" s="54" t="s">
        <v>171</v>
      </c>
      <c r="B566" s="55"/>
      <c r="C566" s="56"/>
      <c r="D566" s="57"/>
      <c r="E566" s="58" t="s">
        <v>92</v>
      </c>
      <c r="F566" s="59">
        <f>F569+F574+F576</f>
        <v>350.88150000000002</v>
      </c>
    </row>
    <row r="567" spans="1:6" ht="12.75" customHeight="1" outlineLevel="1" x14ac:dyDescent="0.3">
      <c r="A567" s="60" t="s">
        <v>93</v>
      </c>
      <c r="B567" s="61">
        <v>20</v>
      </c>
      <c r="C567" s="62" t="s">
        <v>133</v>
      </c>
      <c r="D567" s="63" t="s">
        <v>95</v>
      </c>
      <c r="E567" s="60">
        <v>8</v>
      </c>
      <c r="F567" s="60" t="s">
        <v>96</v>
      </c>
    </row>
    <row r="568" spans="1:6" ht="12.75" customHeight="1" outlineLevel="1" x14ac:dyDescent="0.3">
      <c r="A568" s="64" t="s">
        <v>97</v>
      </c>
      <c r="B568" s="65" t="s">
        <v>98</v>
      </c>
      <c r="C568" s="66" t="s">
        <v>99</v>
      </c>
      <c r="D568" s="67" t="s">
        <v>100</v>
      </c>
      <c r="E568" s="64" t="s">
        <v>101</v>
      </c>
      <c r="F568" s="64" t="s">
        <v>102</v>
      </c>
    </row>
    <row r="569" spans="1:6" ht="12.75" customHeight="1" outlineLevel="1" x14ac:dyDescent="0.3">
      <c r="A569" s="64" t="s">
        <v>103</v>
      </c>
      <c r="B569" s="65"/>
      <c r="C569" s="66"/>
      <c r="D569" s="67"/>
      <c r="E569" s="66"/>
      <c r="F569" s="66">
        <f>SUM(F570:F573)</f>
        <v>56.05</v>
      </c>
    </row>
    <row r="570" spans="1:6" ht="12.75" customHeight="1" outlineLevel="1" x14ac:dyDescent="0.25">
      <c r="A570" s="44" t="s">
        <v>108</v>
      </c>
      <c r="B570" s="68" t="s">
        <v>109</v>
      </c>
      <c r="C570" s="41">
        <v>0.1</v>
      </c>
      <c r="D570" s="69">
        <f>C570*$E$567/$B$567</f>
        <v>0.04</v>
      </c>
      <c r="E570" s="41">
        <f>VLOOKUP(A570,INSUMOS!$B$7:$D$42,3,0)</f>
        <v>49.166666666666664</v>
      </c>
      <c r="F570" s="41">
        <f>PRODUCT(D570:E570)</f>
        <v>1.9666666666666666</v>
      </c>
    </row>
    <row r="571" spans="1:6" ht="12.75" customHeight="1" outlineLevel="1" x14ac:dyDescent="0.25">
      <c r="A571" s="44" t="s">
        <v>113</v>
      </c>
      <c r="B571" s="68" t="s">
        <v>109</v>
      </c>
      <c r="C571" s="41">
        <v>2</v>
      </c>
      <c r="D571" s="69">
        <f>C571*$E$567/$B$567</f>
        <v>0.8</v>
      </c>
      <c r="E571" s="41">
        <f>VLOOKUP(A571,INSUMOS!$B$7:$D$42,3,0)</f>
        <v>27.041666666666668</v>
      </c>
      <c r="F571" s="41">
        <f>PRODUCT(D571:E571)</f>
        <v>21.633333333333336</v>
      </c>
    </row>
    <row r="572" spans="1:6" ht="12.75" customHeight="1" outlineLevel="1" x14ac:dyDescent="0.25">
      <c r="A572" s="44" t="s">
        <v>144</v>
      </c>
      <c r="B572" s="68" t="s">
        <v>109</v>
      </c>
      <c r="C572" s="41">
        <v>1</v>
      </c>
      <c r="D572" s="69">
        <f>C572*$E$567/$B$567</f>
        <v>0.4</v>
      </c>
      <c r="E572" s="41">
        <f>VLOOKUP(A572,INSUMOS!$B$7:$D$42,3,0)</f>
        <v>19.666666666666668</v>
      </c>
      <c r="F572" s="41">
        <f>PRODUCT(D572:E572)</f>
        <v>7.8666666666666671</v>
      </c>
    </row>
    <row r="573" spans="1:6" ht="12.75" customHeight="1" outlineLevel="1" x14ac:dyDescent="0.25">
      <c r="A573" s="44" t="s">
        <v>110</v>
      </c>
      <c r="B573" s="68" t="s">
        <v>109</v>
      </c>
      <c r="C573" s="41">
        <v>5</v>
      </c>
      <c r="D573" s="69">
        <f>C573*$E$567/$B$567</f>
        <v>2</v>
      </c>
      <c r="E573" s="41">
        <f>VLOOKUP(A573,INSUMOS!$B$7:$D$42,3,0)</f>
        <v>12.291666666666666</v>
      </c>
      <c r="F573" s="41">
        <f>PRODUCT(D573:E573)</f>
        <v>24.583333333333332</v>
      </c>
    </row>
    <row r="574" spans="1:6" ht="12.75" customHeight="1" outlineLevel="1" x14ac:dyDescent="0.3">
      <c r="A574" s="64" t="s">
        <v>116</v>
      </c>
      <c r="B574" s="65"/>
      <c r="C574" s="66"/>
      <c r="D574" s="67"/>
      <c r="E574" s="66"/>
      <c r="F574" s="66">
        <f>SUM(F575)</f>
        <v>288.75</v>
      </c>
    </row>
    <row r="575" spans="1:6" ht="12.75" customHeight="1" outlineLevel="1" x14ac:dyDescent="0.25">
      <c r="A575" s="44" t="s">
        <v>167</v>
      </c>
      <c r="B575" s="68" t="s">
        <v>37</v>
      </c>
      <c r="C575" s="41"/>
      <c r="D575" s="69">
        <v>1.05</v>
      </c>
      <c r="E575" s="41">
        <f>VLOOKUP(A575,INSUMOS!$B$7:$D$42,3,0)</f>
        <v>275</v>
      </c>
      <c r="F575" s="41">
        <f>PRODUCT(D575:E575)</f>
        <v>288.75</v>
      </c>
    </row>
    <row r="576" spans="1:6" ht="12.75" customHeight="1" outlineLevel="1" x14ac:dyDescent="0.3">
      <c r="A576" s="64" t="s">
        <v>105</v>
      </c>
      <c r="B576" s="65"/>
      <c r="C576" s="66"/>
      <c r="D576" s="67"/>
      <c r="E576" s="66"/>
      <c r="F576" s="66">
        <f>SUM(F577:F578)</f>
        <v>6.0815000000000001</v>
      </c>
    </row>
    <row r="577" spans="1:6" ht="12.75" customHeight="1" outlineLevel="1" x14ac:dyDescent="0.25">
      <c r="A577" s="79" t="s">
        <v>111</v>
      </c>
      <c r="B577" s="80" t="s">
        <v>112</v>
      </c>
      <c r="C577" s="81"/>
      <c r="D577" s="82">
        <v>3</v>
      </c>
      <c r="E577" s="81">
        <f>F569</f>
        <v>56.05</v>
      </c>
      <c r="F577" s="81">
        <f>D577*E577/100</f>
        <v>1.6814999999999998</v>
      </c>
    </row>
    <row r="578" spans="1:6" ht="12.75" customHeight="1" outlineLevel="1" x14ac:dyDescent="0.25">
      <c r="A578" s="44" t="s">
        <v>156</v>
      </c>
      <c r="B578" s="83" t="s">
        <v>131</v>
      </c>
      <c r="C578" s="41">
        <v>0.5</v>
      </c>
      <c r="D578" s="69">
        <f>C578*$E$567/$B$567</f>
        <v>0.2</v>
      </c>
      <c r="E578" s="41">
        <f>VLOOKUP(A578,INSUMOS!$B$7:$D$42,3,0)</f>
        <v>22</v>
      </c>
      <c r="F578" s="41">
        <f>PRODUCT(D578:E578)</f>
        <v>4.4000000000000004</v>
      </c>
    </row>
    <row r="579" spans="1:6" ht="12.75" customHeight="1" outlineLevel="1" x14ac:dyDescent="0.25">
      <c r="A579" s="75"/>
      <c r="B579" s="72"/>
      <c r="C579" s="77"/>
      <c r="D579" s="78"/>
      <c r="E579" s="41"/>
      <c r="F579" s="41"/>
    </row>
    <row r="580" spans="1:6" ht="12.75" customHeight="1" x14ac:dyDescent="0.3">
      <c r="A580" s="54" t="s">
        <v>375</v>
      </c>
      <c r="B580" s="55"/>
      <c r="C580" s="56"/>
      <c r="D580" s="57"/>
      <c r="E580" s="58" t="s">
        <v>92</v>
      </c>
      <c r="F580" s="59">
        <f>F583+F588+F591</f>
        <v>610.1341666666666</v>
      </c>
    </row>
    <row r="581" spans="1:6" ht="12.75" customHeight="1" outlineLevel="1" x14ac:dyDescent="0.3">
      <c r="A581" s="60" t="s">
        <v>93</v>
      </c>
      <c r="B581" s="61">
        <v>20</v>
      </c>
      <c r="C581" s="62" t="s">
        <v>133</v>
      </c>
      <c r="D581" s="63" t="s">
        <v>95</v>
      </c>
      <c r="E581" s="60">
        <v>8</v>
      </c>
      <c r="F581" s="60" t="s">
        <v>96</v>
      </c>
    </row>
    <row r="582" spans="1:6" ht="12.75" customHeight="1" outlineLevel="1" x14ac:dyDescent="0.3">
      <c r="A582" s="64" t="s">
        <v>97</v>
      </c>
      <c r="B582" s="65" t="s">
        <v>98</v>
      </c>
      <c r="C582" s="66" t="s">
        <v>99</v>
      </c>
      <c r="D582" s="67" t="s">
        <v>100</v>
      </c>
      <c r="E582" s="64" t="s">
        <v>101</v>
      </c>
      <c r="F582" s="64" t="s">
        <v>102</v>
      </c>
    </row>
    <row r="583" spans="1:6" ht="12.75" customHeight="1" outlineLevel="1" x14ac:dyDescent="0.3">
      <c r="A583" s="64" t="s">
        <v>103</v>
      </c>
      <c r="B583" s="65"/>
      <c r="C583" s="66"/>
      <c r="D583" s="67"/>
      <c r="E583" s="66"/>
      <c r="F583" s="66">
        <f>SUM(F584:F587)</f>
        <v>63.916666666666671</v>
      </c>
    </row>
    <row r="584" spans="1:6" ht="12.75" customHeight="1" outlineLevel="1" x14ac:dyDescent="0.25">
      <c r="A584" s="44" t="s">
        <v>108</v>
      </c>
      <c r="B584" s="68" t="s">
        <v>109</v>
      </c>
      <c r="C584" s="41">
        <v>0.1</v>
      </c>
      <c r="D584" s="69">
        <f>C584*$E$581/$B$581</f>
        <v>0.04</v>
      </c>
      <c r="E584" s="41">
        <f>VLOOKUP(A584,INSUMOS!$B$7:$D$42,3,0)</f>
        <v>49.166666666666664</v>
      </c>
      <c r="F584" s="41">
        <f>PRODUCT(D584:E584)</f>
        <v>1.9666666666666666</v>
      </c>
    </row>
    <row r="585" spans="1:6" ht="12.75" customHeight="1" outlineLevel="1" x14ac:dyDescent="0.25">
      <c r="A585" s="44" t="s">
        <v>113</v>
      </c>
      <c r="B585" s="68" t="s">
        <v>109</v>
      </c>
      <c r="C585" s="41">
        <v>2</v>
      </c>
      <c r="D585" s="69">
        <f>C585*$E$581/$B$581</f>
        <v>0.8</v>
      </c>
      <c r="E585" s="41">
        <f>VLOOKUP(A585,INSUMOS!$B$7:$D$42,3,0)</f>
        <v>27.041666666666668</v>
      </c>
      <c r="F585" s="41">
        <f>PRODUCT(D585:E585)</f>
        <v>21.633333333333336</v>
      </c>
    </row>
    <row r="586" spans="1:6" ht="12.75" customHeight="1" outlineLevel="1" x14ac:dyDescent="0.25">
      <c r="A586" s="44" t="s">
        <v>144</v>
      </c>
      <c r="B586" s="68" t="s">
        <v>109</v>
      </c>
      <c r="C586" s="41">
        <v>2</v>
      </c>
      <c r="D586" s="69">
        <f>C586*$E$581/$B$581</f>
        <v>0.8</v>
      </c>
      <c r="E586" s="41">
        <f>VLOOKUP(A586,INSUMOS!$B$7:$D$42,3,0)</f>
        <v>19.666666666666668</v>
      </c>
      <c r="F586" s="41">
        <f>PRODUCT(D586:E586)</f>
        <v>15.733333333333334</v>
      </c>
    </row>
    <row r="587" spans="1:6" ht="12.75" customHeight="1" outlineLevel="1" x14ac:dyDescent="0.25">
      <c r="A587" s="44" t="s">
        <v>110</v>
      </c>
      <c r="B587" s="68" t="s">
        <v>109</v>
      </c>
      <c r="C587" s="41">
        <v>5</v>
      </c>
      <c r="D587" s="69">
        <f>C587*$E$581/$B$581</f>
        <v>2</v>
      </c>
      <c r="E587" s="41">
        <f>VLOOKUP(A587,INSUMOS!$B$7:$D$42,3,0)</f>
        <v>12.291666666666666</v>
      </c>
      <c r="F587" s="41">
        <f>PRODUCT(D587:E587)</f>
        <v>24.583333333333332</v>
      </c>
    </row>
    <row r="588" spans="1:6" ht="12.75" customHeight="1" outlineLevel="1" x14ac:dyDescent="0.3">
      <c r="A588" s="64" t="s">
        <v>116</v>
      </c>
      <c r="B588" s="65"/>
      <c r="C588" s="66"/>
      <c r="D588" s="67"/>
      <c r="E588" s="66"/>
      <c r="F588" s="66">
        <f>SUM(F589:F590)</f>
        <v>535.5</v>
      </c>
    </row>
    <row r="589" spans="1:6" ht="12.75" customHeight="1" outlineLevel="1" x14ac:dyDescent="0.25">
      <c r="A589" s="44" t="s">
        <v>320</v>
      </c>
      <c r="B589" s="68" t="s">
        <v>37</v>
      </c>
      <c r="C589" s="41"/>
      <c r="D589" s="69">
        <v>1.05</v>
      </c>
      <c r="E589" s="41">
        <f>VLOOKUP(A589,INSUMOS!$B$7:$D$42,3,0)</f>
        <v>350</v>
      </c>
      <c r="F589" s="41">
        <f>PRODUCT(D589:E589)</f>
        <v>367.5</v>
      </c>
    </row>
    <row r="590" spans="1:6" ht="12.75" customHeight="1" outlineLevel="1" x14ac:dyDescent="0.25">
      <c r="A590" s="44" t="s">
        <v>175</v>
      </c>
      <c r="B590" s="68" t="s">
        <v>37</v>
      </c>
      <c r="C590" s="41"/>
      <c r="D590" s="69">
        <v>4.2</v>
      </c>
      <c r="E590" s="41">
        <f>VLOOKUP(A590,INSUMOS!$B$7:$D$42,3,0)</f>
        <v>40</v>
      </c>
      <c r="F590" s="41">
        <f>PRODUCT(D590:E590)</f>
        <v>168</v>
      </c>
    </row>
    <row r="591" spans="1:6" ht="12.75" customHeight="1" outlineLevel="1" x14ac:dyDescent="0.3">
      <c r="A591" s="64" t="s">
        <v>105</v>
      </c>
      <c r="B591" s="65"/>
      <c r="C591" s="66"/>
      <c r="D591" s="67"/>
      <c r="E591" s="66"/>
      <c r="F591" s="66">
        <f>SUM(F592:F593)</f>
        <v>10.717500000000001</v>
      </c>
    </row>
    <row r="592" spans="1:6" ht="12.75" customHeight="1" outlineLevel="1" x14ac:dyDescent="0.25">
      <c r="A592" s="44" t="s">
        <v>111</v>
      </c>
      <c r="B592" s="68" t="s">
        <v>112</v>
      </c>
      <c r="C592" s="41"/>
      <c r="D592" s="69">
        <v>3</v>
      </c>
      <c r="E592" s="41">
        <f>F583</f>
        <v>63.916666666666671</v>
      </c>
      <c r="F592" s="41">
        <f>D592*E592/100</f>
        <v>1.9175</v>
      </c>
    </row>
    <row r="593" spans="1:6" ht="12.75" customHeight="1" outlineLevel="1" x14ac:dyDescent="0.25">
      <c r="A593" s="44" t="s">
        <v>156</v>
      </c>
      <c r="B593" s="68" t="s">
        <v>131</v>
      </c>
      <c r="C593" s="41">
        <v>1</v>
      </c>
      <c r="D593" s="69">
        <f>C593*$E$581/$B$581</f>
        <v>0.4</v>
      </c>
      <c r="E593" s="41">
        <f>VLOOKUP(A593,INSUMOS!$B$7:$D$42,3,0)</f>
        <v>22</v>
      </c>
      <c r="F593" s="41">
        <f>PRODUCT(D593:E593)</f>
        <v>8.8000000000000007</v>
      </c>
    </row>
    <row r="594" spans="1:6" ht="12.75" customHeight="1" outlineLevel="1" x14ac:dyDescent="0.25">
      <c r="A594" s="343"/>
      <c r="B594" s="344"/>
      <c r="C594" s="135"/>
      <c r="D594" s="345"/>
      <c r="E594" s="135"/>
      <c r="F594" s="135"/>
    </row>
    <row r="595" spans="1:6" ht="12.75" customHeight="1" x14ac:dyDescent="0.3">
      <c r="A595" s="54" t="s">
        <v>350</v>
      </c>
      <c r="B595" s="55"/>
      <c r="C595" s="56"/>
      <c r="D595" s="57"/>
      <c r="E595" s="58" t="s">
        <v>92</v>
      </c>
      <c r="F595" s="59">
        <f>F598+F603+F605</f>
        <v>417.20520000000005</v>
      </c>
    </row>
    <row r="596" spans="1:6" ht="12.75" hidden="1" customHeight="1" outlineLevel="1" x14ac:dyDescent="0.3">
      <c r="A596" s="60" t="s">
        <v>93</v>
      </c>
      <c r="B596" s="61">
        <v>25</v>
      </c>
      <c r="C596" s="62" t="s">
        <v>133</v>
      </c>
      <c r="D596" s="63" t="s">
        <v>95</v>
      </c>
      <c r="E596" s="60">
        <v>8</v>
      </c>
      <c r="F596" s="60" t="s">
        <v>96</v>
      </c>
    </row>
    <row r="597" spans="1:6" ht="12.75" hidden="1" customHeight="1" outlineLevel="1" x14ac:dyDescent="0.3">
      <c r="A597" s="64" t="s">
        <v>97</v>
      </c>
      <c r="B597" s="65" t="s">
        <v>98</v>
      </c>
      <c r="C597" s="66" t="s">
        <v>99</v>
      </c>
      <c r="D597" s="67" t="s">
        <v>100</v>
      </c>
      <c r="E597" s="64" t="s">
        <v>101</v>
      </c>
      <c r="F597" s="64" t="s">
        <v>102</v>
      </c>
    </row>
    <row r="598" spans="1:6" ht="12.75" hidden="1" customHeight="1" outlineLevel="1" x14ac:dyDescent="0.3">
      <c r="A598" s="64" t="s">
        <v>103</v>
      </c>
      <c r="B598" s="65"/>
      <c r="C598" s="66"/>
      <c r="D598" s="67"/>
      <c r="E598" s="66"/>
      <c r="F598" s="66">
        <f>SUM(F599:F602)</f>
        <v>44.84</v>
      </c>
    </row>
    <row r="599" spans="1:6" ht="12.75" hidden="1" customHeight="1" outlineLevel="1" x14ac:dyDescent="0.25">
      <c r="A599" s="44" t="s">
        <v>108</v>
      </c>
      <c r="B599" s="68" t="s">
        <v>109</v>
      </c>
      <c r="C599" s="41">
        <v>0.1</v>
      </c>
      <c r="D599" s="69">
        <f>C599*$E$596/$B$596</f>
        <v>3.2000000000000001E-2</v>
      </c>
      <c r="E599" s="41">
        <f>VLOOKUP(A599,INSUMOS!$B$7:$D$42,3,0)</f>
        <v>49.166666666666664</v>
      </c>
      <c r="F599" s="41">
        <f>PRODUCT(D599:E599)</f>
        <v>1.5733333333333333</v>
      </c>
    </row>
    <row r="600" spans="1:6" ht="12.75" hidden="1" customHeight="1" outlineLevel="1" x14ac:dyDescent="0.25">
      <c r="A600" s="44" t="s">
        <v>113</v>
      </c>
      <c r="B600" s="68" t="s">
        <v>109</v>
      </c>
      <c r="C600" s="41">
        <v>2</v>
      </c>
      <c r="D600" s="69">
        <f>C600*$E$596/$B$596</f>
        <v>0.64</v>
      </c>
      <c r="E600" s="41">
        <f>VLOOKUP(A600,INSUMOS!$B$7:$D$42,3,0)</f>
        <v>27.041666666666668</v>
      </c>
      <c r="F600" s="41">
        <f>PRODUCT(D600:E600)</f>
        <v>17.306666666666668</v>
      </c>
    </row>
    <row r="601" spans="1:6" ht="12.75" hidden="1" customHeight="1" outlineLevel="1" x14ac:dyDescent="0.25">
      <c r="A601" s="44" t="s">
        <v>144</v>
      </c>
      <c r="B601" s="68" t="s">
        <v>109</v>
      </c>
      <c r="C601" s="41">
        <v>1</v>
      </c>
      <c r="D601" s="69">
        <f>C601*$E$596/$B$596</f>
        <v>0.32</v>
      </c>
      <c r="E601" s="41">
        <f>VLOOKUP(A601,INSUMOS!$B$7:$D$42,3,0)</f>
        <v>19.666666666666668</v>
      </c>
      <c r="F601" s="41">
        <f>PRODUCT(D601:E601)</f>
        <v>6.2933333333333339</v>
      </c>
    </row>
    <row r="602" spans="1:6" ht="12.75" hidden="1" customHeight="1" outlineLevel="1" x14ac:dyDescent="0.25">
      <c r="A602" s="44" t="s">
        <v>110</v>
      </c>
      <c r="B602" s="68" t="s">
        <v>109</v>
      </c>
      <c r="C602" s="41">
        <v>5</v>
      </c>
      <c r="D602" s="69">
        <f>C602*$E$596/$B$596</f>
        <v>1.6</v>
      </c>
      <c r="E602" s="41">
        <f>VLOOKUP(A602,INSUMOS!$B$7:$D$42,3,0)</f>
        <v>12.291666666666666</v>
      </c>
      <c r="F602" s="41">
        <f>PRODUCT(D602:E602)</f>
        <v>19.666666666666668</v>
      </c>
    </row>
    <row r="603" spans="1:6" ht="12.75" hidden="1" customHeight="1" outlineLevel="1" x14ac:dyDescent="0.3">
      <c r="A603" s="64" t="s">
        <v>116</v>
      </c>
      <c r="B603" s="65"/>
      <c r="C603" s="66"/>
      <c r="D603" s="67"/>
      <c r="E603" s="66"/>
      <c r="F603" s="66">
        <f>SUM(F604)</f>
        <v>367.5</v>
      </c>
    </row>
    <row r="604" spans="1:6" ht="12.75" hidden="1" customHeight="1" outlineLevel="1" x14ac:dyDescent="0.25">
      <c r="A604" s="44" t="s">
        <v>320</v>
      </c>
      <c r="B604" s="68" t="s">
        <v>37</v>
      </c>
      <c r="C604" s="41"/>
      <c r="D604" s="69">
        <v>1.05</v>
      </c>
      <c r="E604" s="41">
        <f>VLOOKUP(A604,INSUMOS!$B$7:$D$42,3,0)</f>
        <v>350</v>
      </c>
      <c r="F604" s="41">
        <f>PRODUCT(D604:E604)</f>
        <v>367.5</v>
      </c>
    </row>
    <row r="605" spans="1:6" ht="12.75" hidden="1" customHeight="1" outlineLevel="1" x14ac:dyDescent="0.3">
      <c r="A605" s="64" t="s">
        <v>105</v>
      </c>
      <c r="B605" s="65"/>
      <c r="C605" s="66"/>
      <c r="D605" s="67"/>
      <c r="E605" s="66"/>
      <c r="F605" s="66">
        <f>SUM(F606:F607)</f>
        <v>4.8651999999999997</v>
      </c>
    </row>
    <row r="606" spans="1:6" ht="12.75" hidden="1" customHeight="1" outlineLevel="1" x14ac:dyDescent="0.25">
      <c r="A606" s="79" t="s">
        <v>111</v>
      </c>
      <c r="B606" s="80" t="s">
        <v>112</v>
      </c>
      <c r="C606" s="81"/>
      <c r="D606" s="82">
        <v>3</v>
      </c>
      <c r="E606" s="81">
        <f>F598</f>
        <v>44.84</v>
      </c>
      <c r="F606" s="81">
        <f>D606*E606/100</f>
        <v>1.3452000000000002</v>
      </c>
    </row>
    <row r="607" spans="1:6" ht="12.75" hidden="1" customHeight="1" outlineLevel="1" x14ac:dyDescent="0.25">
      <c r="A607" s="44" t="s">
        <v>156</v>
      </c>
      <c r="B607" s="83" t="s">
        <v>131</v>
      </c>
      <c r="C607" s="41">
        <v>0.5</v>
      </c>
      <c r="D607" s="69">
        <f>C607*$E$596/$B$596</f>
        <v>0.16</v>
      </c>
      <c r="E607" s="41">
        <f>VLOOKUP(A607,INSUMOS!$B$7:$D$42,3,0)</f>
        <v>22</v>
      </c>
      <c r="F607" s="41">
        <f>PRODUCT(D607:E607)</f>
        <v>3.52</v>
      </c>
    </row>
    <row r="608" spans="1:6" ht="12.75" hidden="1" customHeight="1" outlineLevel="1" x14ac:dyDescent="0.25">
      <c r="A608" s="75"/>
      <c r="B608" s="72"/>
      <c r="C608" s="77"/>
      <c r="D608" s="78"/>
      <c r="E608" s="41"/>
      <c r="F608" s="41"/>
    </row>
    <row r="609" spans="1:6" ht="12.75" customHeight="1" collapsed="1" x14ac:dyDescent="0.3">
      <c r="A609" s="54" t="s">
        <v>9</v>
      </c>
      <c r="B609" s="55"/>
      <c r="C609" s="56"/>
      <c r="D609" s="57"/>
      <c r="E609" s="58" t="s">
        <v>92</v>
      </c>
      <c r="F609" s="59">
        <f>F612+F617+F620</f>
        <v>457.71533333333332</v>
      </c>
    </row>
    <row r="610" spans="1:6" ht="12.75" customHeight="1" outlineLevel="1" x14ac:dyDescent="0.3">
      <c r="A610" s="60" t="s">
        <v>93</v>
      </c>
      <c r="B610" s="61">
        <v>15</v>
      </c>
      <c r="C610" s="62" t="s">
        <v>133</v>
      </c>
      <c r="D610" s="63" t="s">
        <v>95</v>
      </c>
      <c r="E610" s="60">
        <v>8</v>
      </c>
      <c r="F610" s="60" t="s">
        <v>96</v>
      </c>
    </row>
    <row r="611" spans="1:6" ht="12.75" customHeight="1" outlineLevel="1" x14ac:dyDescent="0.3">
      <c r="A611" s="64" t="s">
        <v>97</v>
      </c>
      <c r="B611" s="65" t="s">
        <v>98</v>
      </c>
      <c r="C611" s="66" t="s">
        <v>99</v>
      </c>
      <c r="D611" s="67" t="s">
        <v>100</v>
      </c>
      <c r="E611" s="64" t="s">
        <v>101</v>
      </c>
      <c r="F611" s="64" t="s">
        <v>102</v>
      </c>
    </row>
    <row r="612" spans="1:6" ht="12.75" customHeight="1" outlineLevel="1" x14ac:dyDescent="0.3">
      <c r="A612" s="64" t="s">
        <v>103</v>
      </c>
      <c r="B612" s="65"/>
      <c r="C612" s="66"/>
      <c r="D612" s="67"/>
      <c r="E612" s="66"/>
      <c r="F612" s="66">
        <f>SUM(F613:F616)</f>
        <v>94.4</v>
      </c>
    </row>
    <row r="613" spans="1:6" ht="12.75" customHeight="1" outlineLevel="1" x14ac:dyDescent="0.25">
      <c r="A613" s="44" t="s">
        <v>108</v>
      </c>
      <c r="B613" s="68" t="s">
        <v>109</v>
      </c>
      <c r="C613" s="41">
        <v>0.1</v>
      </c>
      <c r="D613" s="69">
        <f>C613*$E$610/$B$610</f>
        <v>5.3333333333333337E-2</v>
      </c>
      <c r="E613" s="41">
        <f>VLOOKUP(A613,INSUMOS!$B$7:$D$42,3,0)</f>
        <v>49.166666666666664</v>
      </c>
      <c r="F613" s="41">
        <f>PRODUCT(D613:E613)</f>
        <v>2.6222222222222222</v>
      </c>
    </row>
    <row r="614" spans="1:6" ht="12.75" customHeight="1" outlineLevel="1" x14ac:dyDescent="0.25">
      <c r="A614" s="44" t="s">
        <v>113</v>
      </c>
      <c r="B614" s="68" t="s">
        <v>109</v>
      </c>
      <c r="C614" s="41">
        <v>2</v>
      </c>
      <c r="D614" s="69">
        <f>C614*$E$610/$B$610</f>
        <v>1.0666666666666667</v>
      </c>
      <c r="E614" s="41">
        <f>VLOOKUP(A614,INSUMOS!$B$7:$D$42,3,0)</f>
        <v>27.041666666666668</v>
      </c>
      <c r="F614" s="41">
        <f>PRODUCT(D614:E614)</f>
        <v>28.844444444444445</v>
      </c>
    </row>
    <row r="615" spans="1:6" ht="12.75" customHeight="1" outlineLevel="1" x14ac:dyDescent="0.25">
      <c r="A615" s="44" t="s">
        <v>144</v>
      </c>
      <c r="B615" s="68" t="s">
        <v>109</v>
      </c>
      <c r="C615" s="41">
        <v>1</v>
      </c>
      <c r="D615" s="69">
        <f>C615*$E$610/$B$610</f>
        <v>0.53333333333333333</v>
      </c>
      <c r="E615" s="41">
        <f>VLOOKUP(A615,INSUMOS!$B$7:$D$42,3,0)</f>
        <v>19.666666666666668</v>
      </c>
      <c r="F615" s="41">
        <f>PRODUCT(D615:E615)</f>
        <v>10.488888888888889</v>
      </c>
    </row>
    <row r="616" spans="1:6" ht="12.75" customHeight="1" outlineLevel="1" x14ac:dyDescent="0.25">
      <c r="A616" s="44" t="s">
        <v>110</v>
      </c>
      <c r="B616" s="68" t="s">
        <v>109</v>
      </c>
      <c r="C616" s="41">
        <v>8</v>
      </c>
      <c r="D616" s="69">
        <f>C616*$E$610/$B$610</f>
        <v>4.2666666666666666</v>
      </c>
      <c r="E616" s="41">
        <f>VLOOKUP(A616,INSUMOS!$B$7:$D$42,3,0)</f>
        <v>12.291666666666666</v>
      </c>
      <c r="F616" s="41">
        <f>PRODUCT(D616:E616)</f>
        <v>52.444444444444443</v>
      </c>
    </row>
    <row r="617" spans="1:6" ht="12.75" customHeight="1" outlineLevel="1" x14ac:dyDescent="0.3">
      <c r="A617" s="64" t="s">
        <v>116</v>
      </c>
      <c r="B617" s="65"/>
      <c r="C617" s="66"/>
      <c r="D617" s="67"/>
      <c r="E617" s="66"/>
      <c r="F617" s="66">
        <f>SUM(F618:F619)</f>
        <v>348.75</v>
      </c>
    </row>
    <row r="618" spans="1:6" ht="12.75" customHeight="1" outlineLevel="1" x14ac:dyDescent="0.25">
      <c r="A618" s="44" t="s">
        <v>167</v>
      </c>
      <c r="B618" s="68" t="s">
        <v>37</v>
      </c>
      <c r="C618" s="41"/>
      <c r="D618" s="69">
        <v>1.05</v>
      </c>
      <c r="E618" s="41">
        <f>VLOOKUP(A618,INSUMOS!$B$7:$D$42,3,0)</f>
        <v>275</v>
      </c>
      <c r="F618" s="41">
        <f>PRODUCT(D618:E618)</f>
        <v>288.75</v>
      </c>
    </row>
    <row r="619" spans="1:6" ht="12.75" customHeight="1" outlineLevel="1" x14ac:dyDescent="0.25">
      <c r="A619" s="44" t="s">
        <v>175</v>
      </c>
      <c r="B619" s="68" t="s">
        <v>37</v>
      </c>
      <c r="C619" s="41"/>
      <c r="D619" s="69">
        <v>1.5</v>
      </c>
      <c r="E619" s="41">
        <f>VLOOKUP(A619,INSUMOS!$B$7:$D$42,3,0)</f>
        <v>40</v>
      </c>
      <c r="F619" s="41">
        <f>PRODUCT(D619:E619)</f>
        <v>60</v>
      </c>
    </row>
    <row r="620" spans="1:6" ht="12.75" customHeight="1" outlineLevel="1" x14ac:dyDescent="0.3">
      <c r="A620" s="64" t="s">
        <v>105</v>
      </c>
      <c r="B620" s="65"/>
      <c r="C620" s="66"/>
      <c r="D620" s="67"/>
      <c r="E620" s="66"/>
      <c r="F620" s="66">
        <f>SUM(F621:F622)</f>
        <v>14.565333333333333</v>
      </c>
    </row>
    <row r="621" spans="1:6" ht="12.75" customHeight="1" outlineLevel="1" x14ac:dyDescent="0.25">
      <c r="A621" s="44" t="s">
        <v>111</v>
      </c>
      <c r="B621" s="68" t="s">
        <v>112</v>
      </c>
      <c r="C621" s="41"/>
      <c r="D621" s="69">
        <v>3</v>
      </c>
      <c r="E621" s="41">
        <f>F612</f>
        <v>94.4</v>
      </c>
      <c r="F621" s="41">
        <f>D621*E621/100</f>
        <v>2.8320000000000003</v>
      </c>
    </row>
    <row r="622" spans="1:6" ht="12.75" customHeight="1" outlineLevel="1" x14ac:dyDescent="0.25">
      <c r="A622" s="44" t="s">
        <v>156</v>
      </c>
      <c r="B622" s="68" t="s">
        <v>131</v>
      </c>
      <c r="C622" s="41">
        <v>1</v>
      </c>
      <c r="D622" s="69">
        <f>C622*$E$610/$B$610</f>
        <v>0.53333333333333333</v>
      </c>
      <c r="E622" s="41">
        <f>VLOOKUP(A622,INSUMOS!$B$7:$D$42,3,0)</f>
        <v>22</v>
      </c>
      <c r="F622" s="41">
        <f>PRODUCT(D622:E622)</f>
        <v>11.733333333333333</v>
      </c>
    </row>
    <row r="623" spans="1:6" ht="12.75" customHeight="1" outlineLevel="1" x14ac:dyDescent="0.25">
      <c r="B623" s="1"/>
      <c r="C623" s="21"/>
    </row>
    <row r="624" spans="1:6" ht="12.75" customHeight="1" x14ac:dyDescent="0.3">
      <c r="A624" s="54" t="s">
        <v>178</v>
      </c>
      <c r="B624" s="55"/>
      <c r="C624" s="56"/>
      <c r="D624" s="57"/>
      <c r="E624" s="58" t="s">
        <v>92</v>
      </c>
      <c r="F624" s="59">
        <f>F627+F632+F635</f>
        <v>437.45866666666666</v>
      </c>
    </row>
    <row r="625" spans="1:6" ht="12.75" customHeight="1" outlineLevel="1" x14ac:dyDescent="0.3">
      <c r="A625" s="60" t="s">
        <v>93</v>
      </c>
      <c r="B625" s="61">
        <v>15</v>
      </c>
      <c r="C625" s="62" t="s">
        <v>133</v>
      </c>
      <c r="D625" s="63" t="s">
        <v>95</v>
      </c>
      <c r="E625" s="60">
        <v>8</v>
      </c>
      <c r="F625" s="60" t="s">
        <v>96</v>
      </c>
    </row>
    <row r="626" spans="1:6" ht="12.75" customHeight="1" outlineLevel="1" x14ac:dyDescent="0.3">
      <c r="A626" s="64" t="s">
        <v>97</v>
      </c>
      <c r="B626" s="65" t="s">
        <v>98</v>
      </c>
      <c r="C626" s="66" t="s">
        <v>99</v>
      </c>
      <c r="D626" s="67" t="s">
        <v>100</v>
      </c>
      <c r="E626" s="64" t="s">
        <v>101</v>
      </c>
      <c r="F626" s="64" t="s">
        <v>102</v>
      </c>
    </row>
    <row r="627" spans="1:6" ht="12.75" customHeight="1" outlineLevel="1" x14ac:dyDescent="0.3">
      <c r="A627" s="64" t="s">
        <v>103</v>
      </c>
      <c r="B627" s="65"/>
      <c r="C627" s="66"/>
      <c r="D627" s="67"/>
      <c r="E627" s="66"/>
      <c r="F627" s="66">
        <f>SUM(F628:F631)</f>
        <v>74.73333333333332</v>
      </c>
    </row>
    <row r="628" spans="1:6" ht="12.75" customHeight="1" outlineLevel="1" x14ac:dyDescent="0.25">
      <c r="A628" s="44" t="s">
        <v>108</v>
      </c>
      <c r="B628" s="68" t="s">
        <v>109</v>
      </c>
      <c r="C628" s="41">
        <v>0.1</v>
      </c>
      <c r="D628" s="69">
        <f>C628*$E$625/$B$625</f>
        <v>5.3333333333333337E-2</v>
      </c>
      <c r="E628" s="41">
        <f>VLOOKUP(A628,INSUMOS!$B$7:$D$42,3,0)</f>
        <v>49.166666666666664</v>
      </c>
      <c r="F628" s="41">
        <f>PRODUCT(D628:E628)</f>
        <v>2.6222222222222222</v>
      </c>
    </row>
    <row r="629" spans="1:6" ht="12.75" customHeight="1" outlineLevel="1" x14ac:dyDescent="0.25">
      <c r="A629" s="44" t="s">
        <v>113</v>
      </c>
      <c r="B629" s="68" t="s">
        <v>109</v>
      </c>
      <c r="C629" s="41">
        <v>2</v>
      </c>
      <c r="D629" s="69">
        <f>C629*$E$625/$B$625</f>
        <v>1.0666666666666667</v>
      </c>
      <c r="E629" s="41">
        <f>VLOOKUP(A629,INSUMOS!$B$7:$D$42,3,0)</f>
        <v>27.041666666666668</v>
      </c>
      <c r="F629" s="41">
        <f>PRODUCT(D629:E629)</f>
        <v>28.844444444444445</v>
      </c>
    </row>
    <row r="630" spans="1:6" ht="12.75" customHeight="1" outlineLevel="1" x14ac:dyDescent="0.25">
      <c r="A630" s="44" t="s">
        <v>144</v>
      </c>
      <c r="B630" s="68" t="s">
        <v>109</v>
      </c>
      <c r="C630" s="41">
        <v>1</v>
      </c>
      <c r="D630" s="69">
        <f>C630*$E$625/$B$625</f>
        <v>0.53333333333333333</v>
      </c>
      <c r="E630" s="41">
        <f>VLOOKUP(A630,INSUMOS!$B$7:$D$42,3,0)</f>
        <v>19.666666666666668</v>
      </c>
      <c r="F630" s="41">
        <f>PRODUCT(D630:E630)</f>
        <v>10.488888888888889</v>
      </c>
    </row>
    <row r="631" spans="1:6" ht="12.75" customHeight="1" outlineLevel="1" x14ac:dyDescent="0.25">
      <c r="A631" s="44" t="s">
        <v>110</v>
      </c>
      <c r="B631" s="68" t="s">
        <v>109</v>
      </c>
      <c r="C631" s="41">
        <v>5</v>
      </c>
      <c r="D631" s="69">
        <f>C631*$E$625/$B$625</f>
        <v>2.6666666666666665</v>
      </c>
      <c r="E631" s="41">
        <f>VLOOKUP(A631,INSUMOS!$B$7:$D$42,3,0)</f>
        <v>12.291666666666666</v>
      </c>
      <c r="F631" s="41">
        <f>PRODUCT(D631:E631)</f>
        <v>32.777777777777771</v>
      </c>
    </row>
    <row r="632" spans="1:6" ht="12.75" customHeight="1" outlineLevel="1" x14ac:dyDescent="0.3">
      <c r="A632" s="64" t="s">
        <v>116</v>
      </c>
      <c r="B632" s="65"/>
      <c r="C632" s="66"/>
      <c r="D632" s="67"/>
      <c r="E632" s="66"/>
      <c r="F632" s="66">
        <f>SUM(F633:F634)</f>
        <v>348.75</v>
      </c>
    </row>
    <row r="633" spans="1:6" ht="12.75" customHeight="1" outlineLevel="1" x14ac:dyDescent="0.25">
      <c r="A633" s="44" t="s">
        <v>167</v>
      </c>
      <c r="B633" s="68" t="s">
        <v>37</v>
      </c>
      <c r="C633" s="41"/>
      <c r="D633" s="69">
        <v>1.05</v>
      </c>
      <c r="E633" s="41">
        <f>VLOOKUP(A633,INSUMOS!$B$7:$D$42,3,0)</f>
        <v>275</v>
      </c>
      <c r="F633" s="41">
        <f>PRODUCT(D633:E633)</f>
        <v>288.75</v>
      </c>
    </row>
    <row r="634" spans="1:6" ht="12.75" customHeight="1" outlineLevel="1" x14ac:dyDescent="0.25">
      <c r="A634" s="44" t="s">
        <v>175</v>
      </c>
      <c r="B634" s="68" t="s">
        <v>37</v>
      </c>
      <c r="C634" s="41"/>
      <c r="D634" s="69">
        <v>1.5</v>
      </c>
      <c r="E634" s="41">
        <f>VLOOKUP(A634,INSUMOS!$B$7:$D$42,3,0)</f>
        <v>40</v>
      </c>
      <c r="F634" s="41">
        <f>PRODUCT(D634:E634)</f>
        <v>60</v>
      </c>
    </row>
    <row r="635" spans="1:6" ht="12.75" customHeight="1" outlineLevel="1" x14ac:dyDescent="0.3">
      <c r="A635" s="64" t="s">
        <v>105</v>
      </c>
      <c r="B635" s="65"/>
      <c r="C635" s="66"/>
      <c r="D635" s="67"/>
      <c r="E635" s="66"/>
      <c r="F635" s="66">
        <f>SUM(F636:F637)</f>
        <v>13.975333333333332</v>
      </c>
    </row>
    <row r="636" spans="1:6" ht="12.75" customHeight="1" outlineLevel="1" x14ac:dyDescent="0.25">
      <c r="A636" s="44" t="s">
        <v>111</v>
      </c>
      <c r="B636" s="68" t="s">
        <v>112</v>
      </c>
      <c r="C636" s="41"/>
      <c r="D636" s="69">
        <v>3</v>
      </c>
      <c r="E636" s="41">
        <f>F627</f>
        <v>74.73333333333332</v>
      </c>
      <c r="F636" s="41">
        <f>D636*E636/100</f>
        <v>2.2419999999999995</v>
      </c>
    </row>
    <row r="637" spans="1:6" ht="12.75" customHeight="1" outlineLevel="1" x14ac:dyDescent="0.25">
      <c r="A637" s="44" t="s">
        <v>156</v>
      </c>
      <c r="B637" s="68" t="s">
        <v>131</v>
      </c>
      <c r="C637" s="41">
        <v>1</v>
      </c>
      <c r="D637" s="69">
        <f>C637*$E$625/$B$625</f>
        <v>0.53333333333333333</v>
      </c>
      <c r="E637" s="41">
        <f>VLOOKUP(A637,INSUMOS!$B$7:$D$42,3,0)</f>
        <v>22</v>
      </c>
      <c r="F637" s="41">
        <f>PRODUCT(D637:E637)</f>
        <v>11.733333333333333</v>
      </c>
    </row>
    <row r="638" spans="1:6" ht="12.75" customHeight="1" outlineLevel="1" x14ac:dyDescent="0.25">
      <c r="B638" s="1"/>
      <c r="C638" s="21"/>
    </row>
    <row r="639" spans="1:6" ht="12.75" customHeight="1" x14ac:dyDescent="0.3">
      <c r="A639" s="54" t="s">
        <v>492</v>
      </c>
      <c r="B639" s="55"/>
      <c r="C639" s="56"/>
      <c r="D639" s="57"/>
      <c r="E639" s="58" t="s">
        <v>92</v>
      </c>
      <c r="F639" s="59">
        <f>F642+F647+F649</f>
        <v>460.29833333333335</v>
      </c>
    </row>
    <row r="640" spans="1:6" ht="12.75" hidden="1" customHeight="1" outlineLevel="1" x14ac:dyDescent="0.3">
      <c r="A640" s="60" t="s">
        <v>93</v>
      </c>
      <c r="B640" s="61">
        <v>20</v>
      </c>
      <c r="C640" s="62" t="s">
        <v>133</v>
      </c>
      <c r="D640" s="63" t="s">
        <v>95</v>
      </c>
      <c r="E640" s="60">
        <v>8</v>
      </c>
      <c r="F640" s="60" t="s">
        <v>96</v>
      </c>
    </row>
    <row r="641" spans="1:6" ht="12.75" hidden="1" customHeight="1" outlineLevel="1" x14ac:dyDescent="0.3">
      <c r="A641" s="64" t="s">
        <v>97</v>
      </c>
      <c r="B641" s="65" t="s">
        <v>98</v>
      </c>
      <c r="C641" s="66" t="s">
        <v>99</v>
      </c>
      <c r="D641" s="67" t="s">
        <v>100</v>
      </c>
      <c r="E641" s="64" t="s">
        <v>101</v>
      </c>
      <c r="F641" s="64" t="s">
        <v>102</v>
      </c>
    </row>
    <row r="642" spans="1:6" ht="12.75" hidden="1" customHeight="1" outlineLevel="1" x14ac:dyDescent="0.3">
      <c r="A642" s="64" t="s">
        <v>103</v>
      </c>
      <c r="B642" s="65"/>
      <c r="C642" s="66"/>
      <c r="D642" s="67"/>
      <c r="E642" s="66"/>
      <c r="F642" s="66">
        <f>SUM(F643:F646)</f>
        <v>68.833333333333329</v>
      </c>
    </row>
    <row r="643" spans="1:6" ht="12.75" hidden="1" customHeight="1" outlineLevel="1" x14ac:dyDescent="0.25">
      <c r="A643" s="44" t="s">
        <v>108</v>
      </c>
      <c r="B643" s="68" t="s">
        <v>109</v>
      </c>
      <c r="C643" s="41">
        <v>0.1</v>
      </c>
      <c r="D643" s="69">
        <f>C643*$E$553/$B$553</f>
        <v>0.04</v>
      </c>
      <c r="E643" s="41">
        <f>VLOOKUP(A643,INSUMOS!$B$7:$D$42,3,0)</f>
        <v>49.166666666666664</v>
      </c>
      <c r="F643" s="41">
        <f>PRODUCT(D643:E643)</f>
        <v>1.9666666666666666</v>
      </c>
    </row>
    <row r="644" spans="1:6" ht="12.75" hidden="1" customHeight="1" outlineLevel="1" x14ac:dyDescent="0.25">
      <c r="A644" s="44" t="s">
        <v>113</v>
      </c>
      <c r="B644" s="68" t="s">
        <v>109</v>
      </c>
      <c r="C644" s="41">
        <v>2</v>
      </c>
      <c r="D644" s="69">
        <f>C644*$E$553/$B$553</f>
        <v>0.8</v>
      </c>
      <c r="E644" s="41">
        <f>VLOOKUP(A644,INSUMOS!$B$7:$D$42,3,0)</f>
        <v>27.041666666666668</v>
      </c>
      <c r="F644" s="41">
        <f>PRODUCT(D644:E644)</f>
        <v>21.633333333333336</v>
      </c>
    </row>
    <row r="645" spans="1:6" ht="12.75" hidden="1" customHeight="1" outlineLevel="1" x14ac:dyDescent="0.25">
      <c r="A645" s="44" t="s">
        <v>144</v>
      </c>
      <c r="B645" s="68" t="s">
        <v>109</v>
      </c>
      <c r="C645" s="41">
        <v>2</v>
      </c>
      <c r="D645" s="69">
        <f>C645*$E$553/$B$553</f>
        <v>0.8</v>
      </c>
      <c r="E645" s="41">
        <f>VLOOKUP(A645,INSUMOS!$B$7:$D$42,3,0)</f>
        <v>19.666666666666668</v>
      </c>
      <c r="F645" s="41">
        <f>PRODUCT(D645:E645)</f>
        <v>15.733333333333334</v>
      </c>
    </row>
    <row r="646" spans="1:6" ht="12.75" hidden="1" customHeight="1" outlineLevel="1" x14ac:dyDescent="0.25">
      <c r="A646" s="44" t="s">
        <v>110</v>
      </c>
      <c r="B646" s="68" t="s">
        <v>109</v>
      </c>
      <c r="C646" s="41">
        <v>6</v>
      </c>
      <c r="D646" s="69">
        <f>C646*$E$553/$B$553</f>
        <v>2.4</v>
      </c>
      <c r="E646" s="41">
        <f>VLOOKUP(A646,INSUMOS!$B$7:$D$42,3,0)</f>
        <v>12.291666666666666</v>
      </c>
      <c r="F646" s="41">
        <f>PRODUCT(D646:E646)</f>
        <v>29.499999999999996</v>
      </c>
    </row>
    <row r="647" spans="1:6" ht="12.75" hidden="1" customHeight="1" outlineLevel="1" x14ac:dyDescent="0.3">
      <c r="A647" s="64" t="s">
        <v>116</v>
      </c>
      <c r="B647" s="65"/>
      <c r="C647" s="66"/>
      <c r="D647" s="67"/>
      <c r="E647" s="66"/>
      <c r="F647" s="66">
        <f>SUM(F648)</f>
        <v>385.00000000000006</v>
      </c>
    </row>
    <row r="648" spans="1:6" ht="12.75" hidden="1" customHeight="1" outlineLevel="1" x14ac:dyDescent="0.25">
      <c r="A648" s="44" t="s">
        <v>320</v>
      </c>
      <c r="B648" s="68" t="s">
        <v>37</v>
      </c>
      <c r="C648" s="41"/>
      <c r="D648" s="69">
        <v>1.1000000000000001</v>
      </c>
      <c r="E648" s="41">
        <f>VLOOKUP(A648,INSUMOS!$B$7:$D$42,3,0)</f>
        <v>350</v>
      </c>
      <c r="F648" s="41">
        <f>PRODUCT(D648:E648)</f>
        <v>385.00000000000006</v>
      </c>
    </row>
    <row r="649" spans="1:6" ht="12.75" hidden="1" customHeight="1" outlineLevel="1" x14ac:dyDescent="0.3">
      <c r="A649" s="64" t="s">
        <v>105</v>
      </c>
      <c r="B649" s="65"/>
      <c r="C649" s="66"/>
      <c r="D649" s="67"/>
      <c r="E649" s="66"/>
      <c r="F649" s="66">
        <f>SUM(F650:F651)</f>
        <v>6.4649999999999999</v>
      </c>
    </row>
    <row r="650" spans="1:6" ht="12.75" hidden="1" customHeight="1" outlineLevel="1" x14ac:dyDescent="0.25">
      <c r="A650" s="79" t="s">
        <v>111</v>
      </c>
      <c r="B650" s="80" t="s">
        <v>112</v>
      </c>
      <c r="C650" s="81"/>
      <c r="D650" s="82">
        <v>3</v>
      </c>
      <c r="E650" s="81">
        <f>F642</f>
        <v>68.833333333333329</v>
      </c>
      <c r="F650" s="81">
        <f>D650*E650/100</f>
        <v>2.0649999999999999</v>
      </c>
    </row>
    <row r="651" spans="1:6" ht="12.75" hidden="1" customHeight="1" outlineLevel="1" x14ac:dyDescent="0.25">
      <c r="A651" s="44" t="s">
        <v>156</v>
      </c>
      <c r="B651" s="83" t="s">
        <v>131</v>
      </c>
      <c r="C651" s="41">
        <v>0.5</v>
      </c>
      <c r="D651" s="69">
        <f>C651*$E$553/$B$553</f>
        <v>0.2</v>
      </c>
      <c r="E651" s="41">
        <f>VLOOKUP(A651,INSUMOS!$B$7:$D$42,3,0)</f>
        <v>22</v>
      </c>
      <c r="F651" s="41">
        <f>PRODUCT(D651:E651)</f>
        <v>4.4000000000000004</v>
      </c>
    </row>
    <row r="652" spans="1:6" ht="12.75" hidden="1" customHeight="1" outlineLevel="1" x14ac:dyDescent="0.25">
      <c r="A652" s="75"/>
      <c r="B652" s="72"/>
      <c r="C652" s="77"/>
      <c r="D652" s="78"/>
      <c r="E652" s="41"/>
      <c r="F652" s="41"/>
    </row>
    <row r="653" spans="1:6" ht="12.75" customHeight="1" collapsed="1" x14ac:dyDescent="0.3">
      <c r="A653" s="54" t="s">
        <v>487</v>
      </c>
      <c r="B653" s="55"/>
      <c r="C653" s="56"/>
      <c r="D653" s="57"/>
      <c r="E653" s="58" t="s">
        <v>92</v>
      </c>
      <c r="F653" s="59">
        <f>F656+F661+F663</f>
        <v>486.483</v>
      </c>
    </row>
    <row r="654" spans="1:6" ht="12.75" hidden="1" customHeight="1" outlineLevel="1" x14ac:dyDescent="0.3">
      <c r="A654" s="60" t="s">
        <v>93</v>
      </c>
      <c r="B654" s="61">
        <v>10</v>
      </c>
      <c r="C654" s="62" t="s">
        <v>133</v>
      </c>
      <c r="D654" s="63" t="s">
        <v>95</v>
      </c>
      <c r="E654" s="60">
        <v>8</v>
      </c>
      <c r="F654" s="60" t="s">
        <v>96</v>
      </c>
    </row>
    <row r="655" spans="1:6" ht="12.75" hidden="1" customHeight="1" outlineLevel="1" x14ac:dyDescent="0.3">
      <c r="A655" s="64" t="s">
        <v>97</v>
      </c>
      <c r="B655" s="65" t="s">
        <v>98</v>
      </c>
      <c r="C655" s="66" t="s">
        <v>99</v>
      </c>
      <c r="D655" s="67" t="s">
        <v>100</v>
      </c>
      <c r="E655" s="64" t="s">
        <v>101</v>
      </c>
      <c r="F655" s="64" t="s">
        <v>102</v>
      </c>
    </row>
    <row r="656" spans="1:6" ht="12.75" hidden="1" customHeight="1" outlineLevel="1" x14ac:dyDescent="0.3">
      <c r="A656" s="64" t="s">
        <v>103</v>
      </c>
      <c r="B656" s="65"/>
      <c r="C656" s="66"/>
      <c r="D656" s="67"/>
      <c r="E656" s="66"/>
      <c r="F656" s="66">
        <f>SUM(F657:F660)</f>
        <v>112.1</v>
      </c>
    </row>
    <row r="657" spans="1:6" ht="12.75" hidden="1" customHeight="1" outlineLevel="1" x14ac:dyDescent="0.25">
      <c r="A657" s="44" t="s">
        <v>108</v>
      </c>
      <c r="B657" s="68" t="s">
        <v>109</v>
      </c>
      <c r="C657" s="41">
        <v>0.1</v>
      </c>
      <c r="D657" s="69">
        <f>C657*$E$654/$B$654</f>
        <v>0.08</v>
      </c>
      <c r="E657" s="41">
        <f>VLOOKUP(A657,INSUMOS!$B$7:$D$42,3,0)</f>
        <v>49.166666666666664</v>
      </c>
      <c r="F657" s="41">
        <f>PRODUCT(D657:E657)</f>
        <v>3.9333333333333331</v>
      </c>
    </row>
    <row r="658" spans="1:6" ht="12.75" hidden="1" customHeight="1" outlineLevel="1" x14ac:dyDescent="0.25">
      <c r="A658" s="44" t="s">
        <v>113</v>
      </c>
      <c r="B658" s="68" t="s">
        <v>109</v>
      </c>
      <c r="C658" s="41">
        <v>2</v>
      </c>
      <c r="D658" s="69">
        <f>C658*$E$654/$B$654</f>
        <v>1.6</v>
      </c>
      <c r="E658" s="41">
        <f>VLOOKUP(A658,INSUMOS!$B$7:$D$42,3,0)</f>
        <v>27.041666666666668</v>
      </c>
      <c r="F658" s="41">
        <f>PRODUCT(D658:E658)</f>
        <v>43.266666666666673</v>
      </c>
    </row>
    <row r="659" spans="1:6" ht="12.75" hidden="1" customHeight="1" outlineLevel="1" x14ac:dyDescent="0.25">
      <c r="A659" s="44" t="s">
        <v>144</v>
      </c>
      <c r="B659" s="68" t="s">
        <v>109</v>
      </c>
      <c r="C659" s="41">
        <v>1</v>
      </c>
      <c r="D659" s="69">
        <f>C659*$E$654/$B$654</f>
        <v>0.8</v>
      </c>
      <c r="E659" s="41">
        <f>VLOOKUP(A659,INSUMOS!$B$7:$D$42,3,0)</f>
        <v>19.666666666666668</v>
      </c>
      <c r="F659" s="41">
        <f>PRODUCT(D659:E659)</f>
        <v>15.733333333333334</v>
      </c>
    </row>
    <row r="660" spans="1:6" ht="12.75" hidden="1" customHeight="1" outlineLevel="1" x14ac:dyDescent="0.25">
      <c r="A660" s="44" t="s">
        <v>110</v>
      </c>
      <c r="B660" s="68" t="s">
        <v>109</v>
      </c>
      <c r="C660" s="41">
        <v>5</v>
      </c>
      <c r="D660" s="69">
        <f>C660*$E$654/$B$654</f>
        <v>4</v>
      </c>
      <c r="E660" s="41">
        <f>VLOOKUP(A660,INSUMOS!$B$7:$D$42,3,0)</f>
        <v>12.291666666666666</v>
      </c>
      <c r="F660" s="41">
        <f>PRODUCT(D660:E660)</f>
        <v>49.166666666666664</v>
      </c>
    </row>
    <row r="661" spans="1:6" ht="12.75" hidden="1" customHeight="1" outlineLevel="1" x14ac:dyDescent="0.3">
      <c r="A661" s="64" t="s">
        <v>116</v>
      </c>
      <c r="B661" s="65"/>
      <c r="C661" s="66"/>
      <c r="D661" s="67"/>
      <c r="E661" s="66"/>
      <c r="F661" s="66">
        <f>SUM(F662)</f>
        <v>367.5</v>
      </c>
    </row>
    <row r="662" spans="1:6" ht="12.75" hidden="1" customHeight="1" outlineLevel="1" x14ac:dyDescent="0.25">
      <c r="A662" s="44" t="s">
        <v>320</v>
      </c>
      <c r="B662" s="68" t="s">
        <v>37</v>
      </c>
      <c r="C662" s="41"/>
      <c r="D662" s="69">
        <v>1.05</v>
      </c>
      <c r="E662" s="41">
        <f>VLOOKUP(A662,INSUMOS!$B$7:$D$42,3,0)</f>
        <v>350</v>
      </c>
      <c r="F662" s="41">
        <f>PRODUCT(D662:E662)</f>
        <v>367.5</v>
      </c>
    </row>
    <row r="663" spans="1:6" ht="12.75" hidden="1" customHeight="1" outlineLevel="1" x14ac:dyDescent="0.3">
      <c r="A663" s="64" t="s">
        <v>105</v>
      </c>
      <c r="B663" s="65"/>
      <c r="C663" s="66"/>
      <c r="D663" s="67"/>
      <c r="E663" s="66"/>
      <c r="F663" s="66">
        <f>SUM(F664:F665)</f>
        <v>6.8829999999999991</v>
      </c>
    </row>
    <row r="664" spans="1:6" ht="12.75" hidden="1" customHeight="1" outlineLevel="1" x14ac:dyDescent="0.25">
      <c r="A664" s="79" t="s">
        <v>111</v>
      </c>
      <c r="B664" s="80" t="s">
        <v>112</v>
      </c>
      <c r="C664" s="81"/>
      <c r="D664" s="82">
        <v>3</v>
      </c>
      <c r="E664" s="81">
        <f>F656</f>
        <v>112.1</v>
      </c>
      <c r="F664" s="81">
        <f>D664*E664/100</f>
        <v>3.3629999999999995</v>
      </c>
    </row>
    <row r="665" spans="1:6" ht="12.75" hidden="1" customHeight="1" outlineLevel="1" x14ac:dyDescent="0.25">
      <c r="A665" s="44" t="s">
        <v>156</v>
      </c>
      <c r="B665" s="83" t="s">
        <v>131</v>
      </c>
      <c r="C665" s="41">
        <v>0.5</v>
      </c>
      <c r="D665" s="69">
        <f>C665*$E$596/$B$596</f>
        <v>0.16</v>
      </c>
      <c r="E665" s="41">
        <f>VLOOKUP(A665,INSUMOS!$B$7:$D$42,3,0)</f>
        <v>22</v>
      </c>
      <c r="F665" s="41">
        <f>PRODUCT(D665:E665)</f>
        <v>3.52</v>
      </c>
    </row>
    <row r="666" spans="1:6" ht="12.75" hidden="1" customHeight="1" outlineLevel="1" x14ac:dyDescent="0.25">
      <c r="B666" s="1"/>
      <c r="C666" s="21"/>
    </row>
    <row r="667" spans="1:6" ht="12.75" customHeight="1" collapsed="1" x14ac:dyDescent="0.3">
      <c r="A667" s="54" t="s">
        <v>365</v>
      </c>
      <c r="B667" s="55"/>
      <c r="C667" s="56"/>
      <c r="D667" s="57"/>
      <c r="E667" s="58" t="s">
        <v>92</v>
      </c>
      <c r="F667" s="59">
        <f>F670+F675+F678</f>
        <v>617.22399999999993</v>
      </c>
    </row>
    <row r="668" spans="1:6" ht="12.75" customHeight="1" outlineLevel="1" x14ac:dyDescent="0.3">
      <c r="A668" s="60" t="s">
        <v>93</v>
      </c>
      <c r="B668" s="61">
        <v>20</v>
      </c>
      <c r="C668" s="62" t="s">
        <v>133</v>
      </c>
      <c r="D668" s="63" t="s">
        <v>95</v>
      </c>
      <c r="E668" s="60">
        <v>8</v>
      </c>
      <c r="F668" s="60" t="s">
        <v>96</v>
      </c>
    </row>
    <row r="669" spans="1:6" ht="12.75" customHeight="1" outlineLevel="1" x14ac:dyDescent="0.3">
      <c r="A669" s="64" t="s">
        <v>97</v>
      </c>
      <c r="B669" s="65" t="s">
        <v>98</v>
      </c>
      <c r="C669" s="66" t="s">
        <v>99</v>
      </c>
      <c r="D669" s="67" t="s">
        <v>100</v>
      </c>
      <c r="E669" s="64" t="s">
        <v>101</v>
      </c>
      <c r="F669" s="64" t="s">
        <v>102</v>
      </c>
    </row>
    <row r="670" spans="1:6" ht="12.75" customHeight="1" outlineLevel="1" x14ac:dyDescent="0.3">
      <c r="A670" s="64" t="s">
        <v>103</v>
      </c>
      <c r="B670" s="65"/>
      <c r="C670" s="66"/>
      <c r="D670" s="67"/>
      <c r="E670" s="66"/>
      <c r="F670" s="66">
        <f>SUM(F671:F674)</f>
        <v>70.800000000000011</v>
      </c>
    </row>
    <row r="671" spans="1:6" ht="12.75" customHeight="1" outlineLevel="1" x14ac:dyDescent="0.25">
      <c r="A671" s="44" t="s">
        <v>108</v>
      </c>
      <c r="B671" s="68" t="s">
        <v>109</v>
      </c>
      <c r="C671" s="41">
        <v>0.1</v>
      </c>
      <c r="D671" s="69">
        <f>C671*$E$668/$B$668</f>
        <v>0.04</v>
      </c>
      <c r="E671" s="41">
        <f>VLOOKUP(A671,INSUMOS!$B$7:$D$42,3,0)</f>
        <v>49.166666666666664</v>
      </c>
      <c r="F671" s="41">
        <f>PRODUCT(D671:E671)</f>
        <v>1.9666666666666666</v>
      </c>
    </row>
    <row r="672" spans="1:6" ht="12.75" customHeight="1" outlineLevel="1" x14ac:dyDescent="0.25">
      <c r="A672" s="44" t="s">
        <v>113</v>
      </c>
      <c r="B672" s="68" t="s">
        <v>109</v>
      </c>
      <c r="C672" s="41">
        <v>2</v>
      </c>
      <c r="D672" s="69">
        <f>C672*$E$668/$B$668</f>
        <v>0.8</v>
      </c>
      <c r="E672" s="41">
        <f>VLOOKUP(A672,INSUMOS!$B$7:$D$42,3,0)</f>
        <v>27.041666666666668</v>
      </c>
      <c r="F672" s="41">
        <f>PRODUCT(D672:E672)</f>
        <v>21.633333333333336</v>
      </c>
    </row>
    <row r="673" spans="1:6" ht="12.75" customHeight="1" outlineLevel="1" x14ac:dyDescent="0.25">
      <c r="A673" s="44" t="s">
        <v>144</v>
      </c>
      <c r="B673" s="68" t="s">
        <v>109</v>
      </c>
      <c r="C673" s="41">
        <v>1</v>
      </c>
      <c r="D673" s="69">
        <f>C673*$E$668/$B$668</f>
        <v>0.4</v>
      </c>
      <c r="E673" s="41">
        <f>VLOOKUP(A673,INSUMOS!$B$7:$D$42,3,0)</f>
        <v>19.666666666666668</v>
      </c>
      <c r="F673" s="41">
        <f>PRODUCT(D673:E673)</f>
        <v>7.8666666666666671</v>
      </c>
    </row>
    <row r="674" spans="1:6" ht="12.75" customHeight="1" outlineLevel="1" x14ac:dyDescent="0.25">
      <c r="A674" s="44" t="s">
        <v>110</v>
      </c>
      <c r="B674" s="68" t="s">
        <v>109</v>
      </c>
      <c r="C674" s="41">
        <v>8</v>
      </c>
      <c r="D674" s="69">
        <f>C674*$E$668/$B$668</f>
        <v>3.2</v>
      </c>
      <c r="E674" s="41">
        <f>VLOOKUP(A674,INSUMOS!$B$7:$D$42,3,0)</f>
        <v>12.291666666666666</v>
      </c>
      <c r="F674" s="41">
        <f>PRODUCT(D674:E674)</f>
        <v>39.333333333333336</v>
      </c>
    </row>
    <row r="675" spans="1:6" ht="12.75" customHeight="1" outlineLevel="1" x14ac:dyDescent="0.3">
      <c r="A675" s="64" t="s">
        <v>116</v>
      </c>
      <c r="B675" s="65"/>
      <c r="C675" s="66"/>
      <c r="D675" s="67"/>
      <c r="E675" s="66"/>
      <c r="F675" s="66">
        <f>SUM(F676:F677)</f>
        <v>535.5</v>
      </c>
    </row>
    <row r="676" spans="1:6" ht="12.75" customHeight="1" outlineLevel="1" x14ac:dyDescent="0.25">
      <c r="A676" s="44" t="s">
        <v>320</v>
      </c>
      <c r="B676" s="68" t="s">
        <v>37</v>
      </c>
      <c r="C676" s="41"/>
      <c r="D676" s="69">
        <v>1.05</v>
      </c>
      <c r="E676" s="41">
        <f>VLOOKUP(A676,INSUMOS!$B$7:$D$42,3,0)</f>
        <v>350</v>
      </c>
      <c r="F676" s="41">
        <f>PRODUCT(D676:E676)</f>
        <v>367.5</v>
      </c>
    </row>
    <row r="677" spans="1:6" ht="12.75" customHeight="1" outlineLevel="1" x14ac:dyDescent="0.25">
      <c r="A677" s="44" t="s">
        <v>175</v>
      </c>
      <c r="B677" s="68" t="s">
        <v>37</v>
      </c>
      <c r="C677" s="41"/>
      <c r="D677" s="69">
        <v>4.2</v>
      </c>
      <c r="E677" s="41">
        <f>VLOOKUP(A677,INSUMOS!$B$7:$D$42,3,0)</f>
        <v>40</v>
      </c>
      <c r="F677" s="41">
        <f>PRODUCT(D677:E677)</f>
        <v>168</v>
      </c>
    </row>
    <row r="678" spans="1:6" ht="12.75" customHeight="1" outlineLevel="1" x14ac:dyDescent="0.3">
      <c r="A678" s="64" t="s">
        <v>105</v>
      </c>
      <c r="B678" s="65"/>
      <c r="C678" s="66"/>
      <c r="D678" s="67"/>
      <c r="E678" s="66"/>
      <c r="F678" s="66">
        <f>SUM(F679:F680)</f>
        <v>10.924000000000001</v>
      </c>
    </row>
    <row r="679" spans="1:6" ht="12.75" customHeight="1" outlineLevel="1" x14ac:dyDescent="0.25">
      <c r="A679" s="44" t="s">
        <v>111</v>
      </c>
      <c r="B679" s="68" t="s">
        <v>112</v>
      </c>
      <c r="C679" s="41"/>
      <c r="D679" s="69">
        <v>3</v>
      </c>
      <c r="E679" s="41">
        <f>F670</f>
        <v>70.800000000000011</v>
      </c>
      <c r="F679" s="41">
        <f>D679*E679/100</f>
        <v>2.1240000000000006</v>
      </c>
    </row>
    <row r="680" spans="1:6" ht="12.75" customHeight="1" outlineLevel="1" x14ac:dyDescent="0.25">
      <c r="A680" s="44" t="s">
        <v>156</v>
      </c>
      <c r="B680" s="68" t="s">
        <v>131</v>
      </c>
      <c r="C680" s="41">
        <v>1</v>
      </c>
      <c r="D680" s="69">
        <f>C680*$E$668/$B$668</f>
        <v>0.4</v>
      </c>
      <c r="E680" s="41">
        <f>VLOOKUP(A680,INSUMOS!$B$7:$D$42,3,0)</f>
        <v>22</v>
      </c>
      <c r="F680" s="41">
        <f>PRODUCT(D680:E680)</f>
        <v>8.8000000000000007</v>
      </c>
    </row>
    <row r="681" spans="1:6" ht="12.75" customHeight="1" outlineLevel="1" x14ac:dyDescent="0.25">
      <c r="B681" s="1"/>
      <c r="C681" s="21"/>
    </row>
    <row r="682" spans="1:6" ht="12.75" customHeight="1" x14ac:dyDescent="0.3">
      <c r="A682" s="54" t="s">
        <v>42</v>
      </c>
      <c r="B682" s="55"/>
      <c r="C682" s="56"/>
      <c r="D682" s="57"/>
      <c r="E682" s="58" t="s">
        <v>92</v>
      </c>
      <c r="F682" s="59">
        <f>F685+F691+F694</f>
        <v>47.401583333333335</v>
      </c>
    </row>
    <row r="683" spans="1:6" ht="12.75" customHeight="1" outlineLevel="1" x14ac:dyDescent="0.3">
      <c r="A683" s="60" t="s">
        <v>93</v>
      </c>
      <c r="B683" s="61">
        <v>20</v>
      </c>
      <c r="C683" s="62" t="s">
        <v>107</v>
      </c>
      <c r="D683" s="63" t="s">
        <v>95</v>
      </c>
      <c r="E683" s="60">
        <v>8</v>
      </c>
      <c r="F683" s="60" t="s">
        <v>96</v>
      </c>
    </row>
    <row r="684" spans="1:6" ht="12.75" customHeight="1" outlineLevel="1" x14ac:dyDescent="0.3">
      <c r="A684" s="64" t="s">
        <v>97</v>
      </c>
      <c r="B684" s="65" t="s">
        <v>98</v>
      </c>
      <c r="C684" s="66" t="s">
        <v>99</v>
      </c>
      <c r="D684" s="67" t="s">
        <v>100</v>
      </c>
      <c r="E684" s="64" t="s">
        <v>101</v>
      </c>
      <c r="F684" s="64" t="s">
        <v>102</v>
      </c>
    </row>
    <row r="685" spans="1:6" ht="12.75" customHeight="1" outlineLevel="1" x14ac:dyDescent="0.3">
      <c r="A685" s="64" t="s">
        <v>103</v>
      </c>
      <c r="B685" s="65"/>
      <c r="C685" s="66"/>
      <c r="D685" s="67"/>
      <c r="E685" s="66"/>
      <c r="F685" s="66">
        <f>SUM(F686:F690)</f>
        <v>43.108333333333334</v>
      </c>
    </row>
    <row r="686" spans="1:6" ht="12.75" customHeight="1" outlineLevel="1" x14ac:dyDescent="0.25">
      <c r="A686" s="44" t="s">
        <v>108</v>
      </c>
      <c r="B686" s="68" t="s">
        <v>109</v>
      </c>
      <c r="C686" s="41">
        <v>0.1</v>
      </c>
      <c r="D686" s="69">
        <f>C686*$E$683/$B$683</f>
        <v>0.04</v>
      </c>
      <c r="E686" s="41">
        <f>VLOOKUP(A686,INSUMOS!$B$7:$D$42,3,0)</f>
        <v>49.166666666666664</v>
      </c>
      <c r="F686" s="41">
        <f>PRODUCT(D686:E686)</f>
        <v>1.9666666666666666</v>
      </c>
    </row>
    <row r="687" spans="1:6" ht="12.75" customHeight="1" outlineLevel="1" x14ac:dyDescent="0.25">
      <c r="A687" s="44" t="s">
        <v>113</v>
      </c>
      <c r="B687" s="68" t="s">
        <v>109</v>
      </c>
      <c r="C687" s="41">
        <v>1</v>
      </c>
      <c r="D687" s="69">
        <f>C687*$E$683/$B$683</f>
        <v>0.4</v>
      </c>
      <c r="E687" s="41">
        <f>VLOOKUP(A687,INSUMOS!$B$7:$D$42,3,0)</f>
        <v>27.041666666666668</v>
      </c>
      <c r="F687" s="41">
        <f>PRODUCT(D687:E687)</f>
        <v>10.816666666666668</v>
      </c>
    </row>
    <row r="688" spans="1:6" ht="12.75" customHeight="1" outlineLevel="1" x14ac:dyDescent="0.25">
      <c r="A688" s="44" t="s">
        <v>144</v>
      </c>
      <c r="B688" s="68" t="s">
        <v>109</v>
      </c>
      <c r="C688" s="41">
        <v>1</v>
      </c>
      <c r="D688" s="69">
        <f>C688*$E$683/$B$683</f>
        <v>0.4</v>
      </c>
      <c r="E688" s="41">
        <f>VLOOKUP(A688,INSUMOS!$B$7:$D$42,3,0)</f>
        <v>19.666666666666668</v>
      </c>
      <c r="F688" s="41">
        <f>PRODUCT(D688:E688)</f>
        <v>7.8666666666666671</v>
      </c>
    </row>
    <row r="689" spans="1:6" ht="12.75" customHeight="1" outlineLevel="1" x14ac:dyDescent="0.25">
      <c r="A689" s="44" t="s">
        <v>110</v>
      </c>
      <c r="B689" s="68" t="s">
        <v>109</v>
      </c>
      <c r="C689" s="41">
        <v>0.5</v>
      </c>
      <c r="D689" s="69">
        <f>C689*$E$683/$B$683</f>
        <v>0.2</v>
      </c>
      <c r="E689" s="41">
        <f>VLOOKUP(A689,INSUMOS!$B$7:$D$42,3,0)</f>
        <v>12.291666666666666</v>
      </c>
      <c r="F689" s="41">
        <f>PRODUCT(D689:E689)</f>
        <v>2.4583333333333335</v>
      </c>
    </row>
    <row r="690" spans="1:6" ht="12.75" customHeight="1" outlineLevel="1" x14ac:dyDescent="0.25">
      <c r="A690" s="44" t="s">
        <v>114</v>
      </c>
      <c r="B690" s="68" t="s">
        <v>115</v>
      </c>
      <c r="C690" s="41"/>
      <c r="D690" s="69">
        <v>4</v>
      </c>
      <c r="E690" s="41">
        <f>VLOOKUP(A690,INSUMOS!$B$7:$D$42,3,0)</f>
        <v>5</v>
      </c>
      <c r="F690" s="41">
        <f>PRODUCT(D690:E690)</f>
        <v>20</v>
      </c>
    </row>
    <row r="691" spans="1:6" ht="12.75" customHeight="1" outlineLevel="1" x14ac:dyDescent="0.3">
      <c r="A691" s="64" t="s">
        <v>116</v>
      </c>
      <c r="B691" s="65"/>
      <c r="C691" s="66"/>
      <c r="D691" s="67"/>
      <c r="E691" s="66"/>
      <c r="F691" s="66">
        <f>SUM(F692:F693)</f>
        <v>3</v>
      </c>
    </row>
    <row r="692" spans="1:6" ht="12.75" customHeight="1" outlineLevel="1" x14ac:dyDescent="0.25">
      <c r="A692" s="44" t="s">
        <v>117</v>
      </c>
      <c r="B692" s="68" t="s">
        <v>118</v>
      </c>
      <c r="C692" s="41"/>
      <c r="D692" s="69">
        <v>0.3</v>
      </c>
      <c r="E692" s="41">
        <f>VLOOKUP(A692,INSUMOS!$B$7:$D$42,3,0)</f>
        <v>5</v>
      </c>
      <c r="F692" s="41">
        <f>PRODUCT(D692:E692)</f>
        <v>1.5</v>
      </c>
    </row>
    <row r="693" spans="1:6" ht="12.75" customHeight="1" outlineLevel="1" x14ac:dyDescent="0.25">
      <c r="A693" s="44" t="s">
        <v>150</v>
      </c>
      <c r="B693" s="68" t="s">
        <v>118</v>
      </c>
      <c r="C693" s="41"/>
      <c r="D693" s="69">
        <v>0.3</v>
      </c>
      <c r="E693" s="41">
        <f>VLOOKUP(A693,INSUMOS!$B$7:$D$42,3,0)</f>
        <v>5</v>
      </c>
      <c r="F693" s="41">
        <f>PRODUCT(D693:E693)</f>
        <v>1.5</v>
      </c>
    </row>
    <row r="694" spans="1:6" ht="12.75" customHeight="1" outlineLevel="1" x14ac:dyDescent="0.3">
      <c r="A694" s="64" t="s">
        <v>105</v>
      </c>
      <c r="B694" s="65"/>
      <c r="C694" s="66"/>
      <c r="D694" s="67"/>
      <c r="E694" s="66"/>
      <c r="F694" s="66">
        <f>SUM(F695)</f>
        <v>1.2932499999999998</v>
      </c>
    </row>
    <row r="695" spans="1:6" ht="12.75" customHeight="1" outlineLevel="1" x14ac:dyDescent="0.25">
      <c r="A695" s="44" t="s">
        <v>111</v>
      </c>
      <c r="B695" s="68" t="s">
        <v>112</v>
      </c>
      <c r="C695" s="41"/>
      <c r="D695" s="69">
        <v>3</v>
      </c>
      <c r="E695" s="41">
        <f>F685</f>
        <v>43.108333333333334</v>
      </c>
      <c r="F695" s="41">
        <f>D695*E695/100</f>
        <v>1.2932499999999998</v>
      </c>
    </row>
    <row r="696" spans="1:6" ht="12.75" customHeight="1" outlineLevel="1" x14ac:dyDescent="0.25">
      <c r="B696" s="1"/>
      <c r="C696" s="21"/>
    </row>
    <row r="697" spans="1:6" ht="12.75" customHeight="1" x14ac:dyDescent="0.3">
      <c r="A697" s="54" t="s">
        <v>493</v>
      </c>
      <c r="B697" s="55"/>
      <c r="C697" s="56"/>
      <c r="D697" s="57"/>
      <c r="E697" s="58" t="s">
        <v>92</v>
      </c>
      <c r="F697" s="59">
        <f>F700+F706+F709</f>
        <v>51.325416666666669</v>
      </c>
    </row>
    <row r="698" spans="1:6" ht="12.75" hidden="1" customHeight="1" outlineLevel="1" x14ac:dyDescent="0.3">
      <c r="A698" s="60" t="s">
        <v>93</v>
      </c>
      <c r="B698" s="61">
        <v>15</v>
      </c>
      <c r="C698" s="62" t="s">
        <v>107</v>
      </c>
      <c r="D698" s="63" t="s">
        <v>95</v>
      </c>
      <c r="E698" s="60">
        <v>8</v>
      </c>
      <c r="F698" s="60" t="s">
        <v>96</v>
      </c>
    </row>
    <row r="699" spans="1:6" ht="12.75" hidden="1" customHeight="1" outlineLevel="1" x14ac:dyDescent="0.3">
      <c r="A699" s="64" t="s">
        <v>97</v>
      </c>
      <c r="B699" s="65" t="s">
        <v>98</v>
      </c>
      <c r="C699" s="66" t="s">
        <v>99</v>
      </c>
      <c r="D699" s="67" t="s">
        <v>100</v>
      </c>
      <c r="E699" s="64" t="s">
        <v>101</v>
      </c>
      <c r="F699" s="64" t="s">
        <v>102</v>
      </c>
    </row>
    <row r="700" spans="1:6" ht="12.75" hidden="1" customHeight="1" outlineLevel="1" x14ac:dyDescent="0.3">
      <c r="A700" s="64" t="s">
        <v>103</v>
      </c>
      <c r="B700" s="65"/>
      <c r="C700" s="66"/>
      <c r="D700" s="67"/>
      <c r="E700" s="66"/>
      <c r="F700" s="66">
        <f>SUM(F701:F705)</f>
        <v>47.791666666666664</v>
      </c>
    </row>
    <row r="701" spans="1:6" ht="12.75" hidden="1" customHeight="1" outlineLevel="1" x14ac:dyDescent="0.25">
      <c r="A701" s="44" t="s">
        <v>108</v>
      </c>
      <c r="B701" s="68" t="s">
        <v>109</v>
      </c>
      <c r="C701" s="41">
        <v>0.1</v>
      </c>
      <c r="D701" s="69">
        <f>C701*$E$698/$B$698</f>
        <v>5.3333333333333337E-2</v>
      </c>
      <c r="E701" s="41">
        <f>VLOOKUP(A701,INSUMOS!$B$7:$D$42,3,0)</f>
        <v>49.166666666666664</v>
      </c>
      <c r="F701" s="41">
        <f>PRODUCT(D701:E701)</f>
        <v>2.6222222222222222</v>
      </c>
    </row>
    <row r="702" spans="1:6" ht="12.75" hidden="1" customHeight="1" outlineLevel="1" x14ac:dyDescent="0.25">
      <c r="A702" s="44" t="s">
        <v>113</v>
      </c>
      <c r="B702" s="68" t="s">
        <v>109</v>
      </c>
      <c r="C702" s="41">
        <v>1</v>
      </c>
      <c r="D702" s="69">
        <f>C702*$E$698/$B$698</f>
        <v>0.53333333333333333</v>
      </c>
      <c r="E702" s="41">
        <f>VLOOKUP(A702,INSUMOS!$B$7:$D$42,3,0)</f>
        <v>27.041666666666668</v>
      </c>
      <c r="F702" s="41">
        <f>PRODUCT(D702:E702)</f>
        <v>14.422222222222222</v>
      </c>
    </row>
    <row r="703" spans="1:6" ht="12.75" hidden="1" customHeight="1" outlineLevel="1" x14ac:dyDescent="0.25">
      <c r="A703" s="44" t="s">
        <v>144</v>
      </c>
      <c r="B703" s="68" t="s">
        <v>109</v>
      </c>
      <c r="C703" s="41">
        <v>1</v>
      </c>
      <c r="D703" s="69">
        <f>C703*$E$698/$B$698</f>
        <v>0.53333333333333333</v>
      </c>
      <c r="E703" s="41">
        <f>VLOOKUP(A703,INSUMOS!$B$7:$D$42,3,0)</f>
        <v>19.666666666666668</v>
      </c>
      <c r="F703" s="41">
        <f>PRODUCT(D703:E703)</f>
        <v>10.488888888888889</v>
      </c>
    </row>
    <row r="704" spans="1:6" ht="12.75" hidden="1" customHeight="1" outlineLevel="1" x14ac:dyDescent="0.25">
      <c r="A704" s="44" t="s">
        <v>110</v>
      </c>
      <c r="B704" s="68" t="s">
        <v>109</v>
      </c>
      <c r="C704" s="41">
        <v>0.5</v>
      </c>
      <c r="D704" s="69">
        <f>C704*$E$683/$B$683</f>
        <v>0.2</v>
      </c>
      <c r="E704" s="41">
        <f>VLOOKUP(A704,INSUMOS!$B$7:$D$42,3,0)</f>
        <v>12.291666666666666</v>
      </c>
      <c r="F704" s="41">
        <f>PRODUCT(D704:E704)</f>
        <v>2.4583333333333335</v>
      </c>
    </row>
    <row r="705" spans="1:6" ht="12.75" hidden="1" customHeight="1" outlineLevel="1" x14ac:dyDescent="0.25">
      <c r="A705" s="44" t="s">
        <v>114</v>
      </c>
      <c r="B705" s="68" t="s">
        <v>115</v>
      </c>
      <c r="C705" s="41"/>
      <c r="D705" s="69">
        <v>3.56</v>
      </c>
      <c r="E705" s="41">
        <f>VLOOKUP(A705,INSUMOS!$B$7:$D$42,3,0)</f>
        <v>5</v>
      </c>
      <c r="F705" s="41">
        <f>PRODUCT(D705:E705)</f>
        <v>17.8</v>
      </c>
    </row>
    <row r="706" spans="1:6" ht="12.75" hidden="1" customHeight="1" outlineLevel="1" x14ac:dyDescent="0.3">
      <c r="A706" s="64" t="s">
        <v>116</v>
      </c>
      <c r="B706" s="65"/>
      <c r="C706" s="66"/>
      <c r="D706" s="67"/>
      <c r="E706" s="66"/>
      <c r="F706" s="66">
        <f>SUM(F707:F708)</f>
        <v>2.1</v>
      </c>
    </row>
    <row r="707" spans="1:6" ht="12.75" hidden="1" customHeight="1" outlineLevel="1" x14ac:dyDescent="0.25">
      <c r="A707" s="44" t="s">
        <v>117</v>
      </c>
      <c r="B707" s="68" t="s">
        <v>118</v>
      </c>
      <c r="C707" s="41"/>
      <c r="D707" s="69">
        <v>0.16</v>
      </c>
      <c r="E707" s="41">
        <f>VLOOKUP(A707,INSUMOS!$B$7:$D$42,3,0)</f>
        <v>5</v>
      </c>
      <c r="F707" s="41">
        <f>PRODUCT(D707:E707)</f>
        <v>0.8</v>
      </c>
    </row>
    <row r="708" spans="1:6" ht="12.75" hidden="1" customHeight="1" outlineLevel="1" x14ac:dyDescent="0.25">
      <c r="A708" s="44" t="s">
        <v>150</v>
      </c>
      <c r="B708" s="68" t="s">
        <v>118</v>
      </c>
      <c r="C708" s="41"/>
      <c r="D708" s="69">
        <v>0.26</v>
      </c>
      <c r="E708" s="41">
        <f>VLOOKUP(A708,INSUMOS!$B$7:$D$42,3,0)</f>
        <v>5</v>
      </c>
      <c r="F708" s="41">
        <f>PRODUCT(D708:E708)</f>
        <v>1.3</v>
      </c>
    </row>
    <row r="709" spans="1:6" ht="12.75" hidden="1" customHeight="1" outlineLevel="1" x14ac:dyDescent="0.3">
      <c r="A709" s="64" t="s">
        <v>105</v>
      </c>
      <c r="B709" s="65"/>
      <c r="C709" s="66"/>
      <c r="D709" s="67"/>
      <c r="E709" s="66"/>
      <c r="F709" s="66">
        <f>SUM(F710)</f>
        <v>1.4337500000000001</v>
      </c>
    </row>
    <row r="710" spans="1:6" ht="12.75" hidden="1" customHeight="1" outlineLevel="1" x14ac:dyDescent="0.25">
      <c r="A710" s="44" t="s">
        <v>111</v>
      </c>
      <c r="B710" s="68" t="s">
        <v>112</v>
      </c>
      <c r="C710" s="41"/>
      <c r="D710" s="69">
        <v>3</v>
      </c>
      <c r="E710" s="41">
        <f>F700</f>
        <v>47.791666666666664</v>
      </c>
      <c r="F710" s="41">
        <f>D710*E710/100</f>
        <v>1.4337500000000001</v>
      </c>
    </row>
    <row r="711" spans="1:6" ht="12.75" hidden="1" customHeight="1" outlineLevel="1" x14ac:dyDescent="0.25">
      <c r="A711" s="75"/>
      <c r="B711" s="72"/>
      <c r="C711" s="77"/>
      <c r="D711" s="78"/>
      <c r="E711" s="41"/>
      <c r="F711" s="41"/>
    </row>
    <row r="712" spans="1:6" ht="12.75" customHeight="1" collapsed="1" x14ac:dyDescent="0.3">
      <c r="A712" s="54" t="s">
        <v>173</v>
      </c>
      <c r="B712" s="55"/>
      <c r="C712" s="56"/>
      <c r="D712" s="57"/>
      <c r="E712" s="58" t="s">
        <v>92</v>
      </c>
      <c r="F712" s="59">
        <f>F715+F721+F724</f>
        <v>41.869305555555563</v>
      </c>
    </row>
    <row r="713" spans="1:6" ht="12.75" customHeight="1" outlineLevel="1" x14ac:dyDescent="0.3">
      <c r="A713" s="60" t="s">
        <v>93</v>
      </c>
      <c r="B713" s="61">
        <v>12</v>
      </c>
      <c r="C713" s="62" t="s">
        <v>107</v>
      </c>
      <c r="D713" s="63" t="s">
        <v>95</v>
      </c>
      <c r="E713" s="60">
        <v>8</v>
      </c>
      <c r="F713" s="60" t="s">
        <v>96</v>
      </c>
    </row>
    <row r="714" spans="1:6" ht="12.75" customHeight="1" outlineLevel="1" x14ac:dyDescent="0.3">
      <c r="A714" s="64" t="s">
        <v>97</v>
      </c>
      <c r="B714" s="65" t="s">
        <v>98</v>
      </c>
      <c r="C714" s="66" t="s">
        <v>99</v>
      </c>
      <c r="D714" s="67" t="s">
        <v>100</v>
      </c>
      <c r="E714" s="64" t="s">
        <v>101</v>
      </c>
      <c r="F714" s="64" t="s">
        <v>102</v>
      </c>
    </row>
    <row r="715" spans="1:6" ht="12.75" customHeight="1" outlineLevel="1" x14ac:dyDescent="0.3">
      <c r="A715" s="64" t="s">
        <v>103</v>
      </c>
      <c r="B715" s="65"/>
      <c r="C715" s="66"/>
      <c r="D715" s="67"/>
      <c r="E715" s="66"/>
      <c r="F715" s="66">
        <f>SUM(F716:F720)</f>
        <v>38.513888888888893</v>
      </c>
    </row>
    <row r="716" spans="1:6" ht="12.75" customHeight="1" outlineLevel="1" x14ac:dyDescent="0.25">
      <c r="A716" s="44" t="s">
        <v>108</v>
      </c>
      <c r="B716" s="68" t="s">
        <v>109</v>
      </c>
      <c r="C716" s="41">
        <v>0.1</v>
      </c>
      <c r="D716" s="69">
        <f>C716*$E$713/$B$713</f>
        <v>6.6666666666666666E-2</v>
      </c>
      <c r="E716" s="41">
        <f>VLOOKUP(A716,INSUMOS!$B$7:$D$42,3,0)</f>
        <v>49.166666666666664</v>
      </c>
      <c r="F716" s="41">
        <f>PRODUCT(D716:E716)</f>
        <v>3.2777777777777777</v>
      </c>
    </row>
    <row r="717" spans="1:6" ht="12.75" customHeight="1" outlineLevel="1" x14ac:dyDescent="0.25">
      <c r="A717" s="44" t="s">
        <v>113</v>
      </c>
      <c r="B717" s="68" t="s">
        <v>109</v>
      </c>
      <c r="C717" s="41">
        <v>1</v>
      </c>
      <c r="D717" s="69">
        <f>C717*$E$713/$B$713</f>
        <v>0.66666666666666663</v>
      </c>
      <c r="E717" s="41">
        <f>VLOOKUP(A717,INSUMOS!$B$7:$D$42,3,0)</f>
        <v>27.041666666666668</v>
      </c>
      <c r="F717" s="41">
        <f>PRODUCT(D717:E717)</f>
        <v>18.027777777777779</v>
      </c>
    </row>
    <row r="718" spans="1:6" ht="12.75" customHeight="1" outlineLevel="1" x14ac:dyDescent="0.25">
      <c r="A718" s="44" t="s">
        <v>144</v>
      </c>
      <c r="B718" s="68" t="s">
        <v>109</v>
      </c>
      <c r="C718" s="41">
        <v>1</v>
      </c>
      <c r="D718" s="69">
        <f>C718*$E$713/$B$713</f>
        <v>0.66666666666666663</v>
      </c>
      <c r="E718" s="41">
        <f>VLOOKUP(A718,INSUMOS!$B$7:$D$42,3,0)</f>
        <v>19.666666666666668</v>
      </c>
      <c r="F718" s="41">
        <f>PRODUCT(D718:E718)</f>
        <v>13.111111111111111</v>
      </c>
    </row>
    <row r="719" spans="1:6" ht="12.75" customHeight="1" outlineLevel="1" x14ac:dyDescent="0.25">
      <c r="A719" s="44" t="s">
        <v>110</v>
      </c>
      <c r="B719" s="68" t="s">
        <v>109</v>
      </c>
      <c r="C719" s="41">
        <v>0.5</v>
      </c>
      <c r="D719" s="69">
        <f>C719*$E$713/$B$713</f>
        <v>0.33333333333333331</v>
      </c>
      <c r="E719" s="41">
        <f>VLOOKUP(A719,INSUMOS!$B$7:$D$42,3,0)</f>
        <v>12.291666666666666</v>
      </c>
      <c r="F719" s="41">
        <f>PRODUCT(D719:E719)</f>
        <v>4.0972222222222214</v>
      </c>
    </row>
    <row r="720" spans="1:6" ht="12.75" customHeight="1" outlineLevel="1" x14ac:dyDescent="0.25">
      <c r="A720" s="44" t="s">
        <v>114</v>
      </c>
      <c r="B720" s="68" t="s">
        <v>158</v>
      </c>
      <c r="C720" s="41"/>
      <c r="D720" s="69">
        <f>C720*$E$713/$B$713</f>
        <v>0</v>
      </c>
      <c r="E720" s="41">
        <f>VLOOKUP(A720,INSUMOS!$B$7:$D$42,3,0)</f>
        <v>5</v>
      </c>
      <c r="F720" s="41">
        <f>PRODUCT(D720:E720)</f>
        <v>0</v>
      </c>
    </row>
    <row r="721" spans="1:6" ht="12.75" customHeight="1" outlineLevel="1" x14ac:dyDescent="0.3">
      <c r="A721" s="64" t="s">
        <v>116</v>
      </c>
      <c r="B721" s="65"/>
      <c r="C721" s="66"/>
      <c r="D721" s="67"/>
      <c r="E721" s="66"/>
      <c r="F721" s="66">
        <f>SUM(F722:F723)</f>
        <v>2.2000000000000002</v>
      </c>
    </row>
    <row r="722" spans="1:6" ht="12.75" customHeight="1" outlineLevel="1" x14ac:dyDescent="0.25">
      <c r="A722" s="44" t="s">
        <v>117</v>
      </c>
      <c r="B722" s="68" t="s">
        <v>118</v>
      </c>
      <c r="C722" s="41"/>
      <c r="D722" s="69">
        <v>0.24</v>
      </c>
      <c r="E722" s="41">
        <f>VLOOKUP(A722,INSUMOS!$B$7:$D$42,3,0)</f>
        <v>5</v>
      </c>
      <c r="F722" s="41">
        <f>PRODUCT(D722:E722)</f>
        <v>1.2</v>
      </c>
    </row>
    <row r="723" spans="1:6" ht="12.75" customHeight="1" outlineLevel="1" x14ac:dyDescent="0.25">
      <c r="A723" s="44" t="s">
        <v>150</v>
      </c>
      <c r="B723" s="68" t="s">
        <v>118</v>
      </c>
      <c r="C723" s="41"/>
      <c r="D723" s="69">
        <v>0.2</v>
      </c>
      <c r="E723" s="41">
        <f>VLOOKUP(A723,INSUMOS!$B$7:$D$42,3,0)</f>
        <v>5</v>
      </c>
      <c r="F723" s="41">
        <f>PRODUCT(D723:E723)</f>
        <v>1</v>
      </c>
    </row>
    <row r="724" spans="1:6" ht="12.75" customHeight="1" outlineLevel="1" x14ac:dyDescent="0.3">
      <c r="A724" s="64" t="s">
        <v>105</v>
      </c>
      <c r="B724" s="65"/>
      <c r="C724" s="66"/>
      <c r="D724" s="67"/>
      <c r="E724" s="66"/>
      <c r="F724" s="66">
        <f>SUM(F725)</f>
        <v>1.1554166666666668</v>
      </c>
    </row>
    <row r="725" spans="1:6" ht="12.75" customHeight="1" outlineLevel="1" x14ac:dyDescent="0.25">
      <c r="A725" s="44" t="s">
        <v>111</v>
      </c>
      <c r="B725" s="68" t="s">
        <v>112</v>
      </c>
      <c r="C725" s="41"/>
      <c r="D725" s="69">
        <v>3</v>
      </c>
      <c r="E725" s="41">
        <f>F715</f>
        <v>38.513888888888893</v>
      </c>
      <c r="F725" s="41">
        <f>D725*E725/100</f>
        <v>1.1554166666666668</v>
      </c>
    </row>
    <row r="726" spans="1:6" ht="12.75" customHeight="1" outlineLevel="1" x14ac:dyDescent="0.25">
      <c r="A726" s="75"/>
      <c r="B726" s="72"/>
      <c r="C726" s="73"/>
      <c r="D726" s="74"/>
      <c r="E726" s="41"/>
      <c r="F726" s="41"/>
    </row>
    <row r="727" spans="1:6" ht="12.75" customHeight="1" x14ac:dyDescent="0.3">
      <c r="A727" s="54" t="s">
        <v>6</v>
      </c>
      <c r="B727" s="55"/>
      <c r="C727" s="56"/>
      <c r="D727" s="57"/>
      <c r="E727" s="58" t="s">
        <v>92</v>
      </c>
      <c r="F727" s="59">
        <f>+F730+F736+F739</f>
        <v>60.46680555555556</v>
      </c>
    </row>
    <row r="728" spans="1:6" ht="12.75" customHeight="1" outlineLevel="1" x14ac:dyDescent="0.3">
      <c r="A728" s="60" t="s">
        <v>93</v>
      </c>
      <c r="B728" s="61">
        <v>12</v>
      </c>
      <c r="C728" s="62" t="s">
        <v>107</v>
      </c>
      <c r="D728" s="63" t="s">
        <v>95</v>
      </c>
      <c r="E728" s="60">
        <v>8</v>
      </c>
      <c r="F728" s="60" t="s">
        <v>96</v>
      </c>
    </row>
    <row r="729" spans="1:6" ht="12.75" customHeight="1" outlineLevel="1" x14ac:dyDescent="0.3">
      <c r="A729" s="64" t="s">
        <v>97</v>
      </c>
      <c r="B729" s="65" t="s">
        <v>98</v>
      </c>
      <c r="C729" s="66" t="s">
        <v>99</v>
      </c>
      <c r="D729" s="67" t="s">
        <v>100</v>
      </c>
      <c r="E729" s="64" t="s">
        <v>101</v>
      </c>
      <c r="F729" s="64" t="s">
        <v>102</v>
      </c>
    </row>
    <row r="730" spans="1:6" ht="12.75" customHeight="1" outlineLevel="1" x14ac:dyDescent="0.3">
      <c r="A730" s="64" t="s">
        <v>103</v>
      </c>
      <c r="B730" s="65"/>
      <c r="C730" s="66"/>
      <c r="D730" s="67"/>
      <c r="E730" s="66"/>
      <c r="F730" s="66">
        <f>SUM(F731:F735)</f>
        <v>56.763888888888893</v>
      </c>
    </row>
    <row r="731" spans="1:6" ht="12.75" customHeight="1" outlineLevel="1" x14ac:dyDescent="0.25">
      <c r="A731" s="44" t="s">
        <v>108</v>
      </c>
      <c r="B731" s="68" t="s">
        <v>109</v>
      </c>
      <c r="C731" s="41">
        <v>0.1</v>
      </c>
      <c r="D731" s="69">
        <f>C731*$E$728/$B$728</f>
        <v>6.6666666666666666E-2</v>
      </c>
      <c r="E731" s="41">
        <f>VLOOKUP(A731,INSUMOS!$B$7:$D$42,3,0)</f>
        <v>49.166666666666664</v>
      </c>
      <c r="F731" s="41">
        <f>PRODUCT(D731:E731)</f>
        <v>3.2777777777777777</v>
      </c>
    </row>
    <row r="732" spans="1:6" ht="12.75" customHeight="1" outlineLevel="1" x14ac:dyDescent="0.25">
      <c r="A732" s="44" t="s">
        <v>113</v>
      </c>
      <c r="B732" s="68" t="s">
        <v>109</v>
      </c>
      <c r="C732" s="41">
        <v>1</v>
      </c>
      <c r="D732" s="69">
        <f>C732*$E$728/$B$728</f>
        <v>0.66666666666666663</v>
      </c>
      <c r="E732" s="41">
        <f>VLOOKUP(A732,INSUMOS!$B$7:$D$42,3,0)</f>
        <v>27.041666666666668</v>
      </c>
      <c r="F732" s="41">
        <f>PRODUCT(D732:E732)</f>
        <v>18.027777777777779</v>
      </c>
    </row>
    <row r="733" spans="1:6" ht="12.75" customHeight="1" outlineLevel="1" x14ac:dyDescent="0.25">
      <c r="A733" s="44" t="s">
        <v>144</v>
      </c>
      <c r="B733" s="68" t="s">
        <v>109</v>
      </c>
      <c r="C733" s="41">
        <v>1</v>
      </c>
      <c r="D733" s="69">
        <f>C733*$E$728/$B$728</f>
        <v>0.66666666666666663</v>
      </c>
      <c r="E733" s="41">
        <f>VLOOKUP(A733,INSUMOS!$B$7:$D$42,3,0)</f>
        <v>19.666666666666668</v>
      </c>
      <c r="F733" s="41">
        <f>PRODUCT(D733:E733)</f>
        <v>13.111111111111111</v>
      </c>
    </row>
    <row r="734" spans="1:6" ht="12.75" customHeight="1" outlineLevel="1" x14ac:dyDescent="0.25">
      <c r="A734" s="44" t="s">
        <v>110</v>
      </c>
      <c r="B734" s="68" t="s">
        <v>109</v>
      </c>
      <c r="C734" s="41">
        <v>0.5</v>
      </c>
      <c r="D734" s="69">
        <f>C734*$E$728/$B$728</f>
        <v>0.33333333333333331</v>
      </c>
      <c r="E734" s="41">
        <f>VLOOKUP(A734,INSUMOS!$B$7:$D$42,3,0)</f>
        <v>12.291666666666666</v>
      </c>
      <c r="F734" s="41">
        <f>PRODUCT(D734:E734)</f>
        <v>4.0972222222222214</v>
      </c>
    </row>
    <row r="735" spans="1:6" ht="12.75" customHeight="1" outlineLevel="1" x14ac:dyDescent="0.25">
      <c r="A735" s="44" t="s">
        <v>114</v>
      </c>
      <c r="B735" s="68" t="s">
        <v>115</v>
      </c>
      <c r="C735" s="41"/>
      <c r="D735" s="69">
        <v>3.65</v>
      </c>
      <c r="E735" s="41">
        <f>VLOOKUP(A735,INSUMOS!$B$7:$D$42,3,0)</f>
        <v>5</v>
      </c>
      <c r="F735" s="41">
        <f>PRODUCT(D735:E735)</f>
        <v>18.25</v>
      </c>
    </row>
    <row r="736" spans="1:6" ht="12.75" customHeight="1" outlineLevel="1" x14ac:dyDescent="0.3">
      <c r="A736" s="64" t="s">
        <v>116</v>
      </c>
      <c r="B736" s="65"/>
      <c r="C736" s="66"/>
      <c r="D736" s="67"/>
      <c r="E736" s="66"/>
      <c r="F736" s="66">
        <f>SUM(F737:F738)</f>
        <v>2</v>
      </c>
    </row>
    <row r="737" spans="1:6" ht="12.75" customHeight="1" outlineLevel="1" x14ac:dyDescent="0.25">
      <c r="A737" s="44" t="s">
        <v>117</v>
      </c>
      <c r="B737" s="68" t="s">
        <v>118</v>
      </c>
      <c r="C737" s="41"/>
      <c r="D737" s="69">
        <v>0.2</v>
      </c>
      <c r="E737" s="41">
        <f>VLOOKUP(A737,INSUMOS!$B$7:$D$42,3,0)</f>
        <v>5</v>
      </c>
      <c r="F737" s="41">
        <f>PRODUCT(D737:E737)</f>
        <v>1</v>
      </c>
    </row>
    <row r="738" spans="1:6" ht="12.75" customHeight="1" outlineLevel="1" x14ac:dyDescent="0.25">
      <c r="A738" s="44" t="s">
        <v>150</v>
      </c>
      <c r="B738" s="68" t="s">
        <v>118</v>
      </c>
      <c r="C738" s="41"/>
      <c r="D738" s="69">
        <v>0.2</v>
      </c>
      <c r="E738" s="41">
        <f>VLOOKUP(A738,INSUMOS!$B$7:$D$42,3,0)</f>
        <v>5</v>
      </c>
      <c r="F738" s="41">
        <f>PRODUCT(D738:E738)</f>
        <v>1</v>
      </c>
    </row>
    <row r="739" spans="1:6" ht="12.75" customHeight="1" outlineLevel="1" x14ac:dyDescent="0.3">
      <c r="A739" s="64" t="s">
        <v>105</v>
      </c>
      <c r="B739" s="65"/>
      <c r="C739" s="66"/>
      <c r="D739" s="67"/>
      <c r="E739" s="66"/>
      <c r="F739" s="66">
        <f>SUM(F740)</f>
        <v>1.7029166666666669</v>
      </c>
    </row>
    <row r="740" spans="1:6" ht="12.75" customHeight="1" outlineLevel="1" x14ac:dyDescent="0.25">
      <c r="A740" s="44" t="s">
        <v>111</v>
      </c>
      <c r="B740" s="68" t="s">
        <v>112</v>
      </c>
      <c r="C740" s="41"/>
      <c r="D740" s="69">
        <v>3</v>
      </c>
      <c r="E740" s="41">
        <f>F730</f>
        <v>56.763888888888893</v>
      </c>
      <c r="F740" s="41">
        <f>D740*E740/100</f>
        <v>1.7029166666666669</v>
      </c>
    </row>
    <row r="741" spans="1:6" ht="12.75" customHeight="1" outlineLevel="1" x14ac:dyDescent="0.25">
      <c r="B741" s="1"/>
      <c r="C741" s="21"/>
    </row>
    <row r="742" spans="1:6" ht="12.75" customHeight="1" x14ac:dyDescent="0.3">
      <c r="A742" s="54" t="s">
        <v>10</v>
      </c>
      <c r="B742" s="55"/>
      <c r="C742" s="56"/>
      <c r="D742" s="57"/>
      <c r="E742" s="58" t="s">
        <v>92</v>
      </c>
      <c r="F742" s="59">
        <f>F745+F751+F754</f>
        <v>54.894305555555562</v>
      </c>
    </row>
    <row r="743" spans="1:6" ht="12.75" hidden="1" customHeight="1" outlineLevel="1" x14ac:dyDescent="0.3">
      <c r="A743" s="60" t="s">
        <v>93</v>
      </c>
      <c r="B743" s="61">
        <v>12</v>
      </c>
      <c r="C743" s="62" t="s">
        <v>107</v>
      </c>
      <c r="D743" s="63" t="s">
        <v>95</v>
      </c>
      <c r="E743" s="60">
        <v>8</v>
      </c>
      <c r="F743" s="60" t="s">
        <v>96</v>
      </c>
    </row>
    <row r="744" spans="1:6" ht="12.75" hidden="1" customHeight="1" outlineLevel="1" x14ac:dyDescent="0.3">
      <c r="A744" s="64" t="s">
        <v>97</v>
      </c>
      <c r="B744" s="65" t="s">
        <v>98</v>
      </c>
      <c r="C744" s="66" t="s">
        <v>99</v>
      </c>
      <c r="D744" s="67" t="s">
        <v>100</v>
      </c>
      <c r="E744" s="64" t="s">
        <v>101</v>
      </c>
      <c r="F744" s="64" t="s">
        <v>102</v>
      </c>
    </row>
    <row r="745" spans="1:6" ht="12.75" hidden="1" customHeight="1" outlineLevel="1" x14ac:dyDescent="0.3">
      <c r="A745" s="64" t="s">
        <v>103</v>
      </c>
      <c r="B745" s="65"/>
      <c r="C745" s="66"/>
      <c r="D745" s="67"/>
      <c r="E745" s="66"/>
      <c r="F745" s="66">
        <f>SUM(F746:F750)</f>
        <v>51.013888888888893</v>
      </c>
    </row>
    <row r="746" spans="1:6" ht="12.75" hidden="1" customHeight="1" outlineLevel="1" x14ac:dyDescent="0.25">
      <c r="A746" s="44" t="s">
        <v>108</v>
      </c>
      <c r="B746" s="68" t="s">
        <v>109</v>
      </c>
      <c r="C746" s="41">
        <v>0.1</v>
      </c>
      <c r="D746" s="69">
        <f>C746*$E$743/$B$743</f>
        <v>6.6666666666666666E-2</v>
      </c>
      <c r="E746" s="41">
        <f>VLOOKUP(A746,INSUMOS!$B$7:$D$42,3,0)</f>
        <v>49.166666666666664</v>
      </c>
      <c r="F746" s="41">
        <f>PRODUCT(D746:E746)</f>
        <v>3.2777777777777777</v>
      </c>
    </row>
    <row r="747" spans="1:6" ht="12.75" hidden="1" customHeight="1" outlineLevel="1" x14ac:dyDescent="0.25">
      <c r="A747" s="44" t="s">
        <v>113</v>
      </c>
      <c r="B747" s="68" t="s">
        <v>109</v>
      </c>
      <c r="C747" s="41">
        <v>1</v>
      </c>
      <c r="D747" s="69">
        <f>C747*$E$743/$B$743</f>
        <v>0.66666666666666663</v>
      </c>
      <c r="E747" s="41">
        <f>VLOOKUP(A747,INSUMOS!$B$7:$D$42,3,0)</f>
        <v>27.041666666666668</v>
      </c>
      <c r="F747" s="41">
        <f>PRODUCT(D747:E747)</f>
        <v>18.027777777777779</v>
      </c>
    </row>
    <row r="748" spans="1:6" ht="12.75" hidden="1" customHeight="1" outlineLevel="1" x14ac:dyDescent="0.25">
      <c r="A748" s="44" t="s">
        <v>144</v>
      </c>
      <c r="B748" s="68" t="s">
        <v>109</v>
      </c>
      <c r="C748" s="41">
        <v>1</v>
      </c>
      <c r="D748" s="69">
        <f>C748*$E$743/$B$743</f>
        <v>0.66666666666666663</v>
      </c>
      <c r="E748" s="41">
        <f>VLOOKUP(A748,INSUMOS!$B$7:$D$42,3,0)</f>
        <v>19.666666666666668</v>
      </c>
      <c r="F748" s="41">
        <f>PRODUCT(D748:E748)</f>
        <v>13.111111111111111</v>
      </c>
    </row>
    <row r="749" spans="1:6" ht="12.75" hidden="1" customHeight="1" outlineLevel="1" x14ac:dyDescent="0.25">
      <c r="A749" s="44" t="s">
        <v>110</v>
      </c>
      <c r="B749" s="68" t="s">
        <v>109</v>
      </c>
      <c r="C749" s="41">
        <v>0.5</v>
      </c>
      <c r="D749" s="69">
        <f>C749*$E$743/$B$743</f>
        <v>0.33333333333333331</v>
      </c>
      <c r="E749" s="41">
        <f>VLOOKUP(A749,INSUMOS!$B$7:$D$42,3,0)</f>
        <v>12.291666666666666</v>
      </c>
      <c r="F749" s="41">
        <f>PRODUCT(D749:E749)</f>
        <v>4.0972222222222214</v>
      </c>
    </row>
    <row r="750" spans="1:6" ht="12.75" hidden="1" customHeight="1" outlineLevel="1" x14ac:dyDescent="0.25">
      <c r="A750" s="44" t="s">
        <v>114</v>
      </c>
      <c r="B750" s="68" t="s">
        <v>115</v>
      </c>
      <c r="C750" s="41"/>
      <c r="D750" s="69">
        <v>2.5</v>
      </c>
      <c r="E750" s="41">
        <f>VLOOKUP(A750,INSUMOS!$B$7:$D$42,3,0)</f>
        <v>5</v>
      </c>
      <c r="F750" s="41">
        <f>PRODUCT(D750:E750)</f>
        <v>12.5</v>
      </c>
    </row>
    <row r="751" spans="1:6" ht="12.75" hidden="1" customHeight="1" outlineLevel="1" x14ac:dyDescent="0.3">
      <c r="A751" s="64" t="s">
        <v>116</v>
      </c>
      <c r="B751" s="65"/>
      <c r="C751" s="66"/>
      <c r="D751" s="67"/>
      <c r="E751" s="66"/>
      <c r="F751" s="66">
        <f>SUM(F752:F753)</f>
        <v>2.35</v>
      </c>
    </row>
    <row r="752" spans="1:6" ht="12.75" hidden="1" customHeight="1" outlineLevel="1" x14ac:dyDescent="0.25">
      <c r="A752" s="44" t="s">
        <v>117</v>
      </c>
      <c r="B752" s="68" t="s">
        <v>118</v>
      </c>
      <c r="C752" s="41"/>
      <c r="D752" s="69">
        <v>0.3</v>
      </c>
      <c r="E752" s="41">
        <f>VLOOKUP(A752,INSUMOS!$B$7:$D$42,3,0)</f>
        <v>5</v>
      </c>
      <c r="F752" s="41">
        <f>PRODUCT(D752:E752)</f>
        <v>1.5</v>
      </c>
    </row>
    <row r="753" spans="1:6" ht="12.75" hidden="1" customHeight="1" outlineLevel="1" x14ac:dyDescent="0.25">
      <c r="A753" s="44" t="s">
        <v>150</v>
      </c>
      <c r="B753" s="68" t="s">
        <v>118</v>
      </c>
      <c r="C753" s="41"/>
      <c r="D753" s="69">
        <v>0.17</v>
      </c>
      <c r="E753" s="41">
        <f>VLOOKUP(A753,INSUMOS!$B$7:$D$42,3,0)</f>
        <v>5</v>
      </c>
      <c r="F753" s="41">
        <f>PRODUCT(D753:E753)</f>
        <v>0.85000000000000009</v>
      </c>
    </row>
    <row r="754" spans="1:6" ht="12.75" hidden="1" customHeight="1" outlineLevel="1" x14ac:dyDescent="0.3">
      <c r="A754" s="64" t="s">
        <v>105</v>
      </c>
      <c r="B754" s="65"/>
      <c r="C754" s="66"/>
      <c r="D754" s="67"/>
      <c r="E754" s="66"/>
      <c r="F754" s="66">
        <f>SUM(F755)</f>
        <v>1.5304166666666668</v>
      </c>
    </row>
    <row r="755" spans="1:6" ht="12.75" hidden="1" customHeight="1" outlineLevel="1" x14ac:dyDescent="0.25">
      <c r="A755" s="44" t="s">
        <v>111</v>
      </c>
      <c r="B755" s="68" t="s">
        <v>112</v>
      </c>
      <c r="C755" s="41"/>
      <c r="D755" s="69">
        <v>3</v>
      </c>
      <c r="E755" s="41">
        <f>F745</f>
        <v>51.013888888888893</v>
      </c>
      <c r="F755" s="41">
        <f>D755*E755/100</f>
        <v>1.5304166666666668</v>
      </c>
    </row>
    <row r="756" spans="1:6" ht="12.75" hidden="1" customHeight="1" outlineLevel="1" x14ac:dyDescent="0.25">
      <c r="B756" s="1"/>
      <c r="C756" s="21"/>
    </row>
    <row r="757" spans="1:6" ht="12.75" customHeight="1" collapsed="1" x14ac:dyDescent="0.3">
      <c r="A757" s="54" t="s">
        <v>179</v>
      </c>
      <c r="B757" s="55"/>
      <c r="C757" s="56"/>
      <c r="D757" s="57"/>
      <c r="E757" s="58" t="s">
        <v>92</v>
      </c>
      <c r="F757" s="59">
        <f>F760+F766+F769</f>
        <v>62.828166666666668</v>
      </c>
    </row>
    <row r="758" spans="1:6" ht="12.75" hidden="1" customHeight="1" outlineLevel="1" x14ac:dyDescent="0.3">
      <c r="A758" s="60" t="s">
        <v>93</v>
      </c>
      <c r="B758" s="61">
        <v>10</v>
      </c>
      <c r="C758" s="62" t="s">
        <v>107</v>
      </c>
      <c r="D758" s="63" t="s">
        <v>95</v>
      </c>
      <c r="E758" s="60">
        <v>8</v>
      </c>
      <c r="F758" s="60" t="s">
        <v>96</v>
      </c>
    </row>
    <row r="759" spans="1:6" ht="12.75" hidden="1" customHeight="1" outlineLevel="1" x14ac:dyDescent="0.3">
      <c r="A759" s="64" t="s">
        <v>97</v>
      </c>
      <c r="B759" s="65" t="s">
        <v>98</v>
      </c>
      <c r="C759" s="66" t="s">
        <v>99</v>
      </c>
      <c r="D759" s="67" t="s">
        <v>100</v>
      </c>
      <c r="E759" s="64" t="s">
        <v>101</v>
      </c>
      <c r="F759" s="64" t="s">
        <v>102</v>
      </c>
    </row>
    <row r="760" spans="1:6" ht="12.75" hidden="1" customHeight="1" outlineLevel="1" x14ac:dyDescent="0.3">
      <c r="A760" s="64" t="s">
        <v>103</v>
      </c>
      <c r="B760" s="65"/>
      <c r="C760" s="66"/>
      <c r="D760" s="67"/>
      <c r="E760" s="66"/>
      <c r="F760" s="66">
        <f>SUM(F761:F765)</f>
        <v>58.716666666666669</v>
      </c>
    </row>
    <row r="761" spans="1:6" ht="12.75" hidden="1" customHeight="1" outlineLevel="1" x14ac:dyDescent="0.25">
      <c r="A761" s="44" t="s">
        <v>108</v>
      </c>
      <c r="B761" s="68" t="s">
        <v>109</v>
      </c>
      <c r="C761" s="41">
        <v>0.1</v>
      </c>
      <c r="D761" s="69">
        <f>C761*$E$758/$B$758</f>
        <v>0.08</v>
      </c>
      <c r="E761" s="41">
        <f>VLOOKUP(A761,INSUMOS!$B$7:$D$42,3,0)</f>
        <v>49.166666666666664</v>
      </c>
      <c r="F761" s="41">
        <f>PRODUCT(D761:E761)</f>
        <v>3.9333333333333331</v>
      </c>
    </row>
    <row r="762" spans="1:6" ht="12.75" hidden="1" customHeight="1" outlineLevel="1" x14ac:dyDescent="0.25">
      <c r="A762" s="44" t="s">
        <v>113</v>
      </c>
      <c r="B762" s="68" t="s">
        <v>109</v>
      </c>
      <c r="C762" s="41">
        <v>1</v>
      </c>
      <c r="D762" s="69">
        <f>C762*$E$758/$B$758</f>
        <v>0.8</v>
      </c>
      <c r="E762" s="41">
        <f>VLOOKUP(A762,INSUMOS!$B$7:$D$42,3,0)</f>
        <v>27.041666666666668</v>
      </c>
      <c r="F762" s="41">
        <f>PRODUCT(D762:E762)</f>
        <v>21.633333333333336</v>
      </c>
    </row>
    <row r="763" spans="1:6" ht="12.75" hidden="1" customHeight="1" outlineLevel="1" x14ac:dyDescent="0.25">
      <c r="A763" s="44" t="s">
        <v>144</v>
      </c>
      <c r="B763" s="68" t="s">
        <v>109</v>
      </c>
      <c r="C763" s="41">
        <v>1</v>
      </c>
      <c r="D763" s="69">
        <f>C763*$E$758/$B$758</f>
        <v>0.8</v>
      </c>
      <c r="E763" s="41">
        <f>VLOOKUP(A763,INSUMOS!$B$7:$D$42,3,0)</f>
        <v>19.666666666666668</v>
      </c>
      <c r="F763" s="41">
        <f>PRODUCT(D763:E763)</f>
        <v>15.733333333333334</v>
      </c>
    </row>
    <row r="764" spans="1:6" ht="12.75" hidden="1" customHeight="1" outlineLevel="1" x14ac:dyDescent="0.25">
      <c r="A764" s="44" t="s">
        <v>110</v>
      </c>
      <c r="B764" s="68" t="s">
        <v>109</v>
      </c>
      <c r="C764" s="41">
        <v>0.5</v>
      </c>
      <c r="D764" s="69">
        <f>C764*$E$758/$B$758</f>
        <v>0.4</v>
      </c>
      <c r="E764" s="41">
        <f>VLOOKUP(A764,INSUMOS!$B$7:$D$42,3,0)</f>
        <v>12.291666666666666</v>
      </c>
      <c r="F764" s="41">
        <f>PRODUCT(D764:E764)</f>
        <v>4.916666666666667</v>
      </c>
    </row>
    <row r="765" spans="1:6" ht="12.75" hidden="1" customHeight="1" outlineLevel="1" x14ac:dyDescent="0.25">
      <c r="A765" s="44" t="s">
        <v>114</v>
      </c>
      <c r="B765" s="68" t="s">
        <v>115</v>
      </c>
      <c r="C765" s="41"/>
      <c r="D765" s="69">
        <v>2.5</v>
      </c>
      <c r="E765" s="41">
        <f>VLOOKUP(A765,INSUMOS!$B$7:$D$42,3,0)</f>
        <v>5</v>
      </c>
      <c r="F765" s="41">
        <f>PRODUCT(D765:E765)</f>
        <v>12.5</v>
      </c>
    </row>
    <row r="766" spans="1:6" ht="12.75" hidden="1" customHeight="1" outlineLevel="1" x14ac:dyDescent="0.3">
      <c r="A766" s="64" t="s">
        <v>116</v>
      </c>
      <c r="B766" s="65"/>
      <c r="C766" s="66"/>
      <c r="D766" s="67"/>
      <c r="E766" s="66"/>
      <c r="F766" s="66">
        <f>SUM(F767:F768)</f>
        <v>2.35</v>
      </c>
    </row>
    <row r="767" spans="1:6" ht="12.75" hidden="1" customHeight="1" outlineLevel="1" x14ac:dyDescent="0.25">
      <c r="A767" s="44" t="s">
        <v>117</v>
      </c>
      <c r="B767" s="68" t="s">
        <v>118</v>
      </c>
      <c r="C767" s="41"/>
      <c r="D767" s="69">
        <v>0.3</v>
      </c>
      <c r="E767" s="41">
        <f>VLOOKUP(A767,INSUMOS!$B$7:$D$42,3,0)</f>
        <v>5</v>
      </c>
      <c r="F767" s="41">
        <f>PRODUCT(D767:E767)</f>
        <v>1.5</v>
      </c>
    </row>
    <row r="768" spans="1:6" ht="12.75" hidden="1" customHeight="1" outlineLevel="1" x14ac:dyDescent="0.25">
      <c r="A768" s="44" t="s">
        <v>150</v>
      </c>
      <c r="B768" s="68" t="s">
        <v>118</v>
      </c>
      <c r="C768" s="41"/>
      <c r="D768" s="69">
        <v>0.17</v>
      </c>
      <c r="E768" s="41">
        <f>VLOOKUP(A768,INSUMOS!$B$7:$D$42,3,0)</f>
        <v>5</v>
      </c>
      <c r="F768" s="41">
        <f>PRODUCT(D768:E768)</f>
        <v>0.85000000000000009</v>
      </c>
    </row>
    <row r="769" spans="1:6" ht="12.75" hidden="1" customHeight="1" outlineLevel="1" x14ac:dyDescent="0.3">
      <c r="A769" s="64" t="s">
        <v>105</v>
      </c>
      <c r="B769" s="65"/>
      <c r="C769" s="66"/>
      <c r="D769" s="67"/>
      <c r="E769" s="66"/>
      <c r="F769" s="66">
        <f>SUM(F770)</f>
        <v>1.7615000000000001</v>
      </c>
    </row>
    <row r="770" spans="1:6" ht="12.75" hidden="1" customHeight="1" outlineLevel="1" x14ac:dyDescent="0.25">
      <c r="A770" s="44" t="s">
        <v>111</v>
      </c>
      <c r="B770" s="68" t="s">
        <v>112</v>
      </c>
      <c r="C770" s="41"/>
      <c r="D770" s="69">
        <v>3</v>
      </c>
      <c r="E770" s="41">
        <f>F760</f>
        <v>58.716666666666669</v>
      </c>
      <c r="F770" s="41">
        <f>D770*E770/100</f>
        <v>1.7615000000000001</v>
      </c>
    </row>
    <row r="771" spans="1:6" ht="12.75" hidden="1" customHeight="1" outlineLevel="1" x14ac:dyDescent="0.25">
      <c r="B771" s="1"/>
      <c r="C771" s="21"/>
    </row>
    <row r="772" spans="1:6" ht="12.75" customHeight="1" collapsed="1" x14ac:dyDescent="0.3">
      <c r="A772" s="54" t="s">
        <v>13</v>
      </c>
      <c r="B772" s="55"/>
      <c r="C772" s="56"/>
      <c r="D772" s="57"/>
      <c r="E772" s="58" t="s">
        <v>92</v>
      </c>
      <c r="F772" s="59">
        <f>F775+F781+F784</f>
        <v>49.102766666666668</v>
      </c>
    </row>
    <row r="773" spans="1:6" ht="12.75" customHeight="1" outlineLevel="1" x14ac:dyDescent="0.3">
      <c r="A773" s="60" t="s">
        <v>93</v>
      </c>
      <c r="B773" s="61">
        <v>25</v>
      </c>
      <c r="C773" s="62" t="s">
        <v>107</v>
      </c>
      <c r="D773" s="63" t="s">
        <v>95</v>
      </c>
      <c r="E773" s="60">
        <v>8</v>
      </c>
      <c r="F773" s="60" t="s">
        <v>96</v>
      </c>
    </row>
    <row r="774" spans="1:6" ht="12.75" customHeight="1" outlineLevel="1" x14ac:dyDescent="0.3">
      <c r="A774" s="64" t="s">
        <v>97</v>
      </c>
      <c r="B774" s="65" t="s">
        <v>98</v>
      </c>
      <c r="C774" s="66" t="s">
        <v>99</v>
      </c>
      <c r="D774" s="67" t="s">
        <v>100</v>
      </c>
      <c r="E774" s="64" t="s">
        <v>101</v>
      </c>
      <c r="F774" s="64" t="s">
        <v>102</v>
      </c>
    </row>
    <row r="775" spans="1:6" ht="12.75" customHeight="1" outlineLevel="1" x14ac:dyDescent="0.3">
      <c r="A775" s="64" t="s">
        <v>103</v>
      </c>
      <c r="B775" s="65"/>
      <c r="C775" s="66"/>
      <c r="D775" s="67"/>
      <c r="E775" s="66"/>
      <c r="F775" s="66">
        <f>SUM(F776:F780)</f>
        <v>45.536666666666662</v>
      </c>
    </row>
    <row r="776" spans="1:6" ht="12.75" customHeight="1" outlineLevel="1" x14ac:dyDescent="0.25">
      <c r="A776" s="44" t="s">
        <v>108</v>
      </c>
      <c r="B776" s="68" t="s">
        <v>109</v>
      </c>
      <c r="C776" s="41">
        <v>0.1</v>
      </c>
      <c r="D776" s="69">
        <f>C776*$E$773/$B$773</f>
        <v>3.2000000000000001E-2</v>
      </c>
      <c r="E776" s="41">
        <f>VLOOKUP(A776,INSUMOS!$B$7:$D$42,3,0)</f>
        <v>49.166666666666664</v>
      </c>
      <c r="F776" s="41">
        <f>PRODUCT(D776:E776)</f>
        <v>1.5733333333333333</v>
      </c>
    </row>
    <row r="777" spans="1:6" ht="12.75" customHeight="1" outlineLevel="1" x14ac:dyDescent="0.25">
      <c r="A777" s="44" t="s">
        <v>113</v>
      </c>
      <c r="B777" s="68" t="s">
        <v>109</v>
      </c>
      <c r="C777" s="41">
        <v>1</v>
      </c>
      <c r="D777" s="69">
        <f>C777*$E$773/$B$773</f>
        <v>0.32</v>
      </c>
      <c r="E777" s="41">
        <f>VLOOKUP(A777,INSUMOS!$B$7:$D$42,3,0)</f>
        <v>27.041666666666668</v>
      </c>
      <c r="F777" s="41">
        <f>PRODUCT(D777:E777)</f>
        <v>8.6533333333333342</v>
      </c>
    </row>
    <row r="778" spans="1:6" ht="12.75" customHeight="1" outlineLevel="1" x14ac:dyDescent="0.25">
      <c r="A778" s="44" t="s">
        <v>144</v>
      </c>
      <c r="B778" s="68" t="s">
        <v>109</v>
      </c>
      <c r="C778" s="41">
        <v>1</v>
      </c>
      <c r="D778" s="69">
        <f>C778*$E$773/$B$773</f>
        <v>0.32</v>
      </c>
      <c r="E778" s="41">
        <f>VLOOKUP(A778,INSUMOS!$B$7:$D$42,3,0)</f>
        <v>19.666666666666668</v>
      </c>
      <c r="F778" s="41">
        <f>PRODUCT(D778:E778)</f>
        <v>6.2933333333333339</v>
      </c>
    </row>
    <row r="779" spans="1:6" ht="12.75" customHeight="1" outlineLevel="1" x14ac:dyDescent="0.25">
      <c r="A779" s="44" t="s">
        <v>110</v>
      </c>
      <c r="B779" s="68" t="s">
        <v>109</v>
      </c>
      <c r="C779" s="41">
        <v>0.5</v>
      </c>
      <c r="D779" s="69">
        <f>C779*$E$773/$B$773</f>
        <v>0.16</v>
      </c>
      <c r="E779" s="41">
        <f>VLOOKUP(A779,INSUMOS!$B$7:$D$42,3,0)</f>
        <v>12.291666666666666</v>
      </c>
      <c r="F779" s="41">
        <f>PRODUCT(D779:E779)</f>
        <v>1.9666666666666666</v>
      </c>
    </row>
    <row r="780" spans="1:6" ht="12.75" customHeight="1" outlineLevel="1" x14ac:dyDescent="0.25">
      <c r="A780" s="44" t="s">
        <v>114</v>
      </c>
      <c r="B780" s="68" t="s">
        <v>158</v>
      </c>
      <c r="C780" s="41"/>
      <c r="D780" s="69">
        <v>5.41</v>
      </c>
      <c r="E780" s="41">
        <f>VLOOKUP(A780,INSUMOS!$B$7:$D$42,3,0)</f>
        <v>5</v>
      </c>
      <c r="F780" s="41">
        <f>PRODUCT(D780:E780)</f>
        <v>27.05</v>
      </c>
    </row>
    <row r="781" spans="1:6" ht="12.75" customHeight="1" outlineLevel="1" x14ac:dyDescent="0.3">
      <c r="A781" s="64" t="s">
        <v>116</v>
      </c>
      <c r="B781" s="65"/>
      <c r="C781" s="66"/>
      <c r="D781" s="67"/>
      <c r="E781" s="66"/>
      <c r="F781" s="66">
        <f>SUM(F782:F783)</f>
        <v>2.2000000000000002</v>
      </c>
    </row>
    <row r="782" spans="1:6" ht="12.75" customHeight="1" outlineLevel="1" x14ac:dyDescent="0.25">
      <c r="A782" s="44" t="s">
        <v>117</v>
      </c>
      <c r="B782" s="68" t="s">
        <v>118</v>
      </c>
      <c r="C782" s="41"/>
      <c r="D782" s="69">
        <v>0.24</v>
      </c>
      <c r="E782" s="41">
        <f>VLOOKUP(A782,INSUMOS!$B$7:$D$42,3,0)</f>
        <v>5</v>
      </c>
      <c r="F782" s="41">
        <f>PRODUCT(D782:E782)</f>
        <v>1.2</v>
      </c>
    </row>
    <row r="783" spans="1:6" ht="12.75" customHeight="1" outlineLevel="1" x14ac:dyDescent="0.25">
      <c r="A783" s="44" t="s">
        <v>150</v>
      </c>
      <c r="B783" s="68" t="s">
        <v>118</v>
      </c>
      <c r="C783" s="41"/>
      <c r="D783" s="69">
        <v>0.2</v>
      </c>
      <c r="E783" s="41">
        <f>VLOOKUP(A783,INSUMOS!$B$7:$D$42,3,0)</f>
        <v>5</v>
      </c>
      <c r="F783" s="41">
        <f>PRODUCT(D783:E783)</f>
        <v>1</v>
      </c>
    </row>
    <row r="784" spans="1:6" ht="12.75" customHeight="1" outlineLevel="1" x14ac:dyDescent="0.3">
      <c r="A784" s="64" t="s">
        <v>105</v>
      </c>
      <c r="B784" s="65"/>
      <c r="C784" s="66"/>
      <c r="D784" s="67"/>
      <c r="E784" s="66"/>
      <c r="F784" s="66">
        <f>SUM(F785)</f>
        <v>1.3660999999999999</v>
      </c>
    </row>
    <row r="785" spans="1:6" ht="12.75" customHeight="1" outlineLevel="1" x14ac:dyDescent="0.25">
      <c r="A785" s="44" t="s">
        <v>111</v>
      </c>
      <c r="B785" s="68" t="s">
        <v>112</v>
      </c>
      <c r="C785" s="41"/>
      <c r="D785" s="69">
        <v>3</v>
      </c>
      <c r="E785" s="41">
        <f>F775</f>
        <v>45.536666666666662</v>
      </c>
      <c r="F785" s="41">
        <f>D785*E785/100</f>
        <v>1.3660999999999999</v>
      </c>
    </row>
    <row r="786" spans="1:6" ht="12.75" customHeight="1" outlineLevel="1" x14ac:dyDescent="0.25">
      <c r="A786" s="75"/>
      <c r="B786" s="72"/>
      <c r="C786" s="73"/>
      <c r="D786" s="74"/>
      <c r="E786" s="41"/>
      <c r="F786" s="41"/>
    </row>
    <row r="787" spans="1:6" ht="12.75" customHeight="1" x14ac:dyDescent="0.3">
      <c r="A787" s="54" t="s">
        <v>15</v>
      </c>
      <c r="B787" s="55"/>
      <c r="C787" s="56"/>
      <c r="D787" s="57"/>
      <c r="E787" s="58" t="s">
        <v>92</v>
      </c>
      <c r="F787" s="59">
        <f>F790+F796+F799</f>
        <v>32.984904761904758</v>
      </c>
    </row>
    <row r="788" spans="1:6" ht="12.75" customHeight="1" outlineLevel="1" x14ac:dyDescent="0.3">
      <c r="A788" s="60" t="s">
        <v>93</v>
      </c>
      <c r="B788" s="61">
        <v>35</v>
      </c>
      <c r="C788" s="62" t="s">
        <v>107</v>
      </c>
      <c r="D788" s="63" t="s">
        <v>95</v>
      </c>
      <c r="E788" s="60">
        <v>8</v>
      </c>
      <c r="F788" s="60" t="s">
        <v>96</v>
      </c>
    </row>
    <row r="789" spans="1:6" ht="12.75" customHeight="1" outlineLevel="1" x14ac:dyDescent="0.3">
      <c r="A789" s="64" t="s">
        <v>97</v>
      </c>
      <c r="B789" s="65" t="s">
        <v>98</v>
      </c>
      <c r="C789" s="66" t="s">
        <v>99</v>
      </c>
      <c r="D789" s="67" t="s">
        <v>100</v>
      </c>
      <c r="E789" s="64" t="s">
        <v>101</v>
      </c>
      <c r="F789" s="64" t="s">
        <v>102</v>
      </c>
    </row>
    <row r="790" spans="1:6" ht="12.75" customHeight="1" outlineLevel="1" x14ac:dyDescent="0.3">
      <c r="A790" s="64" t="s">
        <v>103</v>
      </c>
      <c r="B790" s="65"/>
      <c r="C790" s="66"/>
      <c r="D790" s="67"/>
      <c r="E790" s="66"/>
      <c r="F790" s="66">
        <f>SUM(F791:F795)</f>
        <v>31.004761904761907</v>
      </c>
    </row>
    <row r="791" spans="1:6" ht="12.75" customHeight="1" outlineLevel="1" x14ac:dyDescent="0.25">
      <c r="A791" s="44" t="s">
        <v>108</v>
      </c>
      <c r="B791" s="68" t="s">
        <v>109</v>
      </c>
      <c r="C791" s="41">
        <v>0.1</v>
      </c>
      <c r="D791" s="69">
        <f>C791*$E$788/$B$788</f>
        <v>2.2857142857142857E-2</v>
      </c>
      <c r="E791" s="41">
        <f>VLOOKUP(A791,INSUMOS!$B$7:$D$42,3,0)</f>
        <v>49.166666666666664</v>
      </c>
      <c r="F791" s="41">
        <f>PRODUCT(D791:E791)</f>
        <v>1.1238095238095238</v>
      </c>
    </row>
    <row r="792" spans="1:6" ht="12.75" customHeight="1" outlineLevel="1" x14ac:dyDescent="0.25">
      <c r="A792" s="44" t="s">
        <v>113</v>
      </c>
      <c r="B792" s="68" t="s">
        <v>109</v>
      </c>
      <c r="C792" s="41">
        <v>1</v>
      </c>
      <c r="D792" s="69">
        <f>C792*$E$788/$B$788</f>
        <v>0.22857142857142856</v>
      </c>
      <c r="E792" s="41">
        <f>VLOOKUP(A792,INSUMOS!$B$7:$D$42,3,0)</f>
        <v>27.041666666666668</v>
      </c>
      <c r="F792" s="41">
        <f>PRODUCT(D792:E792)</f>
        <v>6.1809523809523812</v>
      </c>
    </row>
    <row r="793" spans="1:6" ht="12.75" customHeight="1" outlineLevel="1" x14ac:dyDescent="0.25">
      <c r="A793" s="44" t="s">
        <v>144</v>
      </c>
      <c r="B793" s="68" t="s">
        <v>109</v>
      </c>
      <c r="C793" s="41">
        <v>1</v>
      </c>
      <c r="D793" s="69">
        <f>C793*$E$788/$B$788</f>
        <v>0.22857142857142856</v>
      </c>
      <c r="E793" s="41">
        <f>VLOOKUP(A793,INSUMOS!$B$7:$D$42,3,0)</f>
        <v>19.666666666666668</v>
      </c>
      <c r="F793" s="41">
        <f>PRODUCT(D793:E793)</f>
        <v>4.4952380952380953</v>
      </c>
    </row>
    <row r="794" spans="1:6" ht="12.75" customHeight="1" outlineLevel="1" x14ac:dyDescent="0.25">
      <c r="A794" s="44" t="s">
        <v>110</v>
      </c>
      <c r="B794" s="68" t="s">
        <v>109</v>
      </c>
      <c r="C794" s="41">
        <v>0.5</v>
      </c>
      <c r="D794" s="69">
        <f>C794*$E$788/$B$788</f>
        <v>0.11428571428571428</v>
      </c>
      <c r="E794" s="41">
        <f>VLOOKUP(A794,INSUMOS!$B$7:$D$42,3,0)</f>
        <v>12.291666666666666</v>
      </c>
      <c r="F794" s="41">
        <f>PRODUCT(D794:E794)</f>
        <v>1.4047619047619047</v>
      </c>
    </row>
    <row r="795" spans="1:6" ht="12.75" customHeight="1" outlineLevel="1" x14ac:dyDescent="0.25">
      <c r="A795" s="44" t="s">
        <v>114</v>
      </c>
      <c r="B795" s="68" t="s">
        <v>158</v>
      </c>
      <c r="C795" s="41"/>
      <c r="D795" s="69">
        <v>3.56</v>
      </c>
      <c r="E795" s="41">
        <f>VLOOKUP(A795,INSUMOS!$B$7:$D$42,3,0)</f>
        <v>5</v>
      </c>
      <c r="F795" s="41">
        <f>PRODUCT(D795:E795)</f>
        <v>17.8</v>
      </c>
    </row>
    <row r="796" spans="1:6" ht="12.75" customHeight="1" outlineLevel="1" x14ac:dyDescent="0.3">
      <c r="A796" s="64" t="s">
        <v>116</v>
      </c>
      <c r="B796" s="65"/>
      <c r="C796" s="66"/>
      <c r="D796" s="67"/>
      <c r="E796" s="66"/>
      <c r="F796" s="66">
        <f>SUM(F797:F798)</f>
        <v>1.05</v>
      </c>
    </row>
    <row r="797" spans="1:6" ht="12.75" customHeight="1" outlineLevel="1" x14ac:dyDescent="0.25">
      <c r="A797" s="44" t="s">
        <v>117</v>
      </c>
      <c r="B797" s="68" t="s">
        <v>118</v>
      </c>
      <c r="C797" s="41"/>
      <c r="D797" s="69">
        <v>0.11</v>
      </c>
      <c r="E797" s="41">
        <f>VLOOKUP(A797,INSUMOS!$B$7:$D$42,3,0)</f>
        <v>5</v>
      </c>
      <c r="F797" s="41">
        <f>PRODUCT(D797:E797)</f>
        <v>0.55000000000000004</v>
      </c>
    </row>
    <row r="798" spans="1:6" ht="12.75" customHeight="1" outlineLevel="1" x14ac:dyDescent="0.25">
      <c r="A798" s="44" t="s">
        <v>150</v>
      </c>
      <c r="B798" s="68" t="s">
        <v>118</v>
      </c>
      <c r="C798" s="41"/>
      <c r="D798" s="69">
        <v>0.1</v>
      </c>
      <c r="E798" s="41">
        <f>VLOOKUP(A798,INSUMOS!$B$7:$D$42,3,0)</f>
        <v>5</v>
      </c>
      <c r="F798" s="41">
        <f>PRODUCT(D798:E798)</f>
        <v>0.5</v>
      </c>
    </row>
    <row r="799" spans="1:6" ht="12.75" customHeight="1" outlineLevel="1" x14ac:dyDescent="0.3">
      <c r="A799" s="64" t="s">
        <v>105</v>
      </c>
      <c r="B799" s="65"/>
      <c r="C799" s="66"/>
      <c r="D799" s="67"/>
      <c r="E799" s="66"/>
      <c r="F799" s="66">
        <f>SUM(F800)</f>
        <v>0.93014285714285716</v>
      </c>
    </row>
    <row r="800" spans="1:6" ht="12.75" customHeight="1" outlineLevel="1" x14ac:dyDescent="0.25">
      <c r="A800" s="44" t="s">
        <v>111</v>
      </c>
      <c r="B800" s="68" t="s">
        <v>112</v>
      </c>
      <c r="C800" s="41"/>
      <c r="D800" s="69">
        <v>3</v>
      </c>
      <c r="E800" s="41">
        <f>F790</f>
        <v>31.004761904761907</v>
      </c>
      <c r="F800" s="41">
        <f>D800*E800/100</f>
        <v>0.93014285714285716</v>
      </c>
    </row>
    <row r="801" spans="1:6" ht="12.75" customHeight="1" outlineLevel="1" x14ac:dyDescent="0.25">
      <c r="A801" s="75"/>
      <c r="B801" s="72"/>
      <c r="C801" s="73"/>
      <c r="D801" s="74"/>
      <c r="E801" s="41"/>
      <c r="F801" s="41"/>
    </row>
    <row r="802" spans="1:6" ht="12.75" customHeight="1" x14ac:dyDescent="0.3">
      <c r="A802" s="54" t="s">
        <v>497</v>
      </c>
      <c r="B802" s="55"/>
      <c r="C802" s="56"/>
      <c r="D802" s="57"/>
      <c r="E802" s="58" t="s">
        <v>92</v>
      </c>
      <c r="F802" s="59">
        <f>F805+F810+F812</f>
        <v>4.7131541666666674</v>
      </c>
    </row>
    <row r="803" spans="1:6" ht="12.75" customHeight="1" outlineLevel="1" x14ac:dyDescent="0.3">
      <c r="A803" s="60" t="s">
        <v>93</v>
      </c>
      <c r="B803" s="61">
        <v>800</v>
      </c>
      <c r="C803" s="62" t="s">
        <v>181</v>
      </c>
      <c r="D803" s="63" t="s">
        <v>95</v>
      </c>
      <c r="E803" s="60">
        <v>8</v>
      </c>
      <c r="F803" s="60" t="s">
        <v>96</v>
      </c>
    </row>
    <row r="804" spans="1:6" ht="12.75" customHeight="1" outlineLevel="1" x14ac:dyDescent="0.3">
      <c r="A804" s="64" t="s">
        <v>97</v>
      </c>
      <c r="B804" s="65" t="s">
        <v>98</v>
      </c>
      <c r="C804" s="66" t="s">
        <v>99</v>
      </c>
      <c r="D804" s="67" t="s">
        <v>100</v>
      </c>
      <c r="E804" s="64" t="s">
        <v>101</v>
      </c>
      <c r="F804" s="64" t="s">
        <v>102</v>
      </c>
    </row>
    <row r="805" spans="1:6" ht="12.75" customHeight="1" outlineLevel="1" x14ac:dyDescent="0.3">
      <c r="A805" s="64" t="s">
        <v>103</v>
      </c>
      <c r="B805" s="65"/>
      <c r="C805" s="66"/>
      <c r="D805" s="67"/>
      <c r="E805" s="66"/>
      <c r="F805" s="66">
        <f>SUM(F806:F809)</f>
        <v>1.0079166666666666</v>
      </c>
    </row>
    <row r="806" spans="1:6" ht="12.75" customHeight="1" outlineLevel="1" x14ac:dyDescent="0.25">
      <c r="A806" s="44" t="s">
        <v>108</v>
      </c>
      <c r="B806" s="68" t="s">
        <v>109</v>
      </c>
      <c r="C806" s="41">
        <v>0.1</v>
      </c>
      <c r="D806" s="69">
        <f>C806*$E$803/$B$803</f>
        <v>1E-3</v>
      </c>
      <c r="E806" s="41">
        <f>VLOOKUP(A806,INSUMOS!$B$7:$D$42,3,0)</f>
        <v>49.166666666666664</v>
      </c>
      <c r="F806" s="41">
        <f>PRODUCT(D806:E806)</f>
        <v>4.9166666666666664E-2</v>
      </c>
    </row>
    <row r="807" spans="1:6" ht="12.75" customHeight="1" outlineLevel="1" x14ac:dyDescent="0.25">
      <c r="A807" s="44" t="s">
        <v>113</v>
      </c>
      <c r="B807" s="68" t="s">
        <v>109</v>
      </c>
      <c r="C807" s="41">
        <v>1</v>
      </c>
      <c r="D807" s="69">
        <f>C807*$E$803/$B$803</f>
        <v>0.01</v>
      </c>
      <c r="E807" s="41">
        <f>VLOOKUP(A807,INSUMOS!$B$7:$D$42,3,0)</f>
        <v>27.041666666666668</v>
      </c>
      <c r="F807" s="41">
        <f>PRODUCT(D807:E807)</f>
        <v>0.27041666666666669</v>
      </c>
    </row>
    <row r="808" spans="1:6" ht="12.75" customHeight="1" outlineLevel="1" x14ac:dyDescent="0.25">
      <c r="A808" s="44" t="s">
        <v>144</v>
      </c>
      <c r="B808" s="68" t="s">
        <v>109</v>
      </c>
      <c r="C808" s="41">
        <v>1</v>
      </c>
      <c r="D808" s="69">
        <f>C808*$E$803/$B$803</f>
        <v>0.01</v>
      </c>
      <c r="E808" s="41">
        <f>VLOOKUP(A808,INSUMOS!$B$7:$D$42,3,0)</f>
        <v>19.666666666666668</v>
      </c>
      <c r="F808" s="41">
        <f>PRODUCT(D808:E808)</f>
        <v>0.19666666666666668</v>
      </c>
    </row>
    <row r="809" spans="1:6" ht="12.75" customHeight="1" outlineLevel="1" x14ac:dyDescent="0.25">
      <c r="A809" s="44" t="s">
        <v>110</v>
      </c>
      <c r="B809" s="68" t="s">
        <v>109</v>
      </c>
      <c r="C809" s="41">
        <v>4</v>
      </c>
      <c r="D809" s="69">
        <f>C809*$E$803/$B$803</f>
        <v>0.04</v>
      </c>
      <c r="E809" s="41">
        <f>VLOOKUP(A809,INSUMOS!$B$7:$D$42,3,0)</f>
        <v>12.291666666666666</v>
      </c>
      <c r="F809" s="41">
        <f>PRODUCT(D809:E809)</f>
        <v>0.49166666666666664</v>
      </c>
    </row>
    <row r="810" spans="1:6" ht="12.75" customHeight="1" outlineLevel="1" x14ac:dyDescent="0.3">
      <c r="A810" s="64" t="s">
        <v>116</v>
      </c>
      <c r="B810" s="65"/>
      <c r="C810" s="66"/>
      <c r="D810" s="67"/>
      <c r="E810" s="66"/>
      <c r="F810" s="66">
        <f>SUM(F811)</f>
        <v>3.6750000000000003</v>
      </c>
    </row>
    <row r="811" spans="1:6" ht="12.75" customHeight="1" outlineLevel="1" x14ac:dyDescent="0.25">
      <c r="A811" s="44" t="s">
        <v>182</v>
      </c>
      <c r="B811" s="68" t="s">
        <v>126</v>
      </c>
      <c r="C811" s="41"/>
      <c r="D811" s="69">
        <v>1.05</v>
      </c>
      <c r="E811" s="41">
        <f>VLOOKUP(A811,INSUMOS!$B$7:$D$42,3,0)</f>
        <v>3.5</v>
      </c>
      <c r="F811" s="41">
        <f>PRODUCT(D811:E811)</f>
        <v>3.6750000000000003</v>
      </c>
    </row>
    <row r="812" spans="1:6" ht="12.75" customHeight="1" outlineLevel="1" x14ac:dyDescent="0.3">
      <c r="A812" s="64" t="s">
        <v>105</v>
      </c>
      <c r="B812" s="65"/>
      <c r="C812" s="66"/>
      <c r="D812" s="67"/>
      <c r="E812" s="66"/>
      <c r="F812" s="66">
        <f>SUM(F813)</f>
        <v>3.0237499999999997E-2</v>
      </c>
    </row>
    <row r="813" spans="1:6" ht="12.75" customHeight="1" outlineLevel="1" x14ac:dyDescent="0.25">
      <c r="A813" s="44" t="s">
        <v>111</v>
      </c>
      <c r="B813" s="68" t="s">
        <v>112</v>
      </c>
      <c r="C813" s="41"/>
      <c r="D813" s="69">
        <v>3</v>
      </c>
      <c r="E813" s="41">
        <f>F805</f>
        <v>1.0079166666666666</v>
      </c>
      <c r="F813" s="41">
        <f>D813*E813/100</f>
        <v>3.0237499999999997E-2</v>
      </c>
    </row>
    <row r="814" spans="1:6" ht="12.75" customHeight="1" outlineLevel="1" x14ac:dyDescent="0.25">
      <c r="A814" s="75"/>
      <c r="B814" s="72"/>
      <c r="C814" s="73"/>
      <c r="D814" s="74"/>
      <c r="E814" s="41"/>
      <c r="F814" s="41"/>
    </row>
    <row r="815" spans="1:6" ht="12.75" customHeight="1" x14ac:dyDescent="0.3">
      <c r="A815" s="54" t="s">
        <v>18</v>
      </c>
      <c r="B815" s="55"/>
      <c r="C815" s="56"/>
      <c r="D815" s="57"/>
      <c r="E815" s="58" t="s">
        <v>92</v>
      </c>
      <c r="F815" s="59">
        <f>F818+F824+F827</f>
        <v>45.340404761904757</v>
      </c>
    </row>
    <row r="816" spans="1:6" ht="12.75" customHeight="1" outlineLevel="1" x14ac:dyDescent="0.3">
      <c r="A816" s="60" t="s">
        <v>93</v>
      </c>
      <c r="B816" s="61">
        <v>35</v>
      </c>
      <c r="C816" s="62" t="s">
        <v>107</v>
      </c>
      <c r="D816" s="63" t="s">
        <v>95</v>
      </c>
      <c r="E816" s="60">
        <v>8</v>
      </c>
      <c r="F816" s="60" t="s">
        <v>96</v>
      </c>
    </row>
    <row r="817" spans="1:6" ht="12.75" customHeight="1" outlineLevel="1" x14ac:dyDescent="0.3">
      <c r="A817" s="64" t="s">
        <v>97</v>
      </c>
      <c r="B817" s="65" t="s">
        <v>98</v>
      </c>
      <c r="C817" s="66" t="s">
        <v>99</v>
      </c>
      <c r="D817" s="67" t="s">
        <v>100</v>
      </c>
      <c r="E817" s="64" t="s">
        <v>101</v>
      </c>
      <c r="F817" s="64" t="s">
        <v>102</v>
      </c>
    </row>
    <row r="818" spans="1:6" ht="12.75" customHeight="1" outlineLevel="1" x14ac:dyDescent="0.3">
      <c r="A818" s="64" t="s">
        <v>103</v>
      </c>
      <c r="B818" s="65"/>
      <c r="C818" s="66"/>
      <c r="D818" s="67"/>
      <c r="E818" s="66"/>
      <c r="F818" s="66">
        <f>SUM(F819:F823)</f>
        <v>42.854761904761901</v>
      </c>
    </row>
    <row r="819" spans="1:6" ht="12.75" customHeight="1" outlineLevel="1" x14ac:dyDescent="0.25">
      <c r="A819" s="44" t="s">
        <v>108</v>
      </c>
      <c r="B819" s="68" t="s">
        <v>109</v>
      </c>
      <c r="C819" s="41">
        <v>0.1</v>
      </c>
      <c r="D819" s="69">
        <f>C819*$E$816/$B$816</f>
        <v>2.2857142857142857E-2</v>
      </c>
      <c r="E819" s="41">
        <f>VLOOKUP(A819,INSUMOS!$B$7:$D$42,3,0)</f>
        <v>49.166666666666664</v>
      </c>
      <c r="F819" s="41">
        <f>PRODUCT(D819:E819)</f>
        <v>1.1238095238095238</v>
      </c>
    </row>
    <row r="820" spans="1:6" ht="12.75" customHeight="1" outlineLevel="1" x14ac:dyDescent="0.25">
      <c r="A820" s="44" t="s">
        <v>113</v>
      </c>
      <c r="B820" s="68" t="s">
        <v>109</v>
      </c>
      <c r="C820" s="41">
        <v>1</v>
      </c>
      <c r="D820" s="69">
        <f>C820*$E$816/$B$816</f>
        <v>0.22857142857142856</v>
      </c>
      <c r="E820" s="41">
        <f>VLOOKUP(A820,INSUMOS!$B$7:$D$42,3,0)</f>
        <v>27.041666666666668</v>
      </c>
      <c r="F820" s="41">
        <f>PRODUCT(D820:E820)</f>
        <v>6.1809523809523812</v>
      </c>
    </row>
    <row r="821" spans="1:6" ht="12.75" customHeight="1" outlineLevel="1" x14ac:dyDescent="0.25">
      <c r="A821" s="44" t="s">
        <v>144</v>
      </c>
      <c r="B821" s="68" t="s">
        <v>109</v>
      </c>
      <c r="C821" s="41">
        <v>1</v>
      </c>
      <c r="D821" s="69">
        <f>C821*$E$816/$B$816</f>
        <v>0.22857142857142856</v>
      </c>
      <c r="E821" s="41">
        <f>VLOOKUP(A821,INSUMOS!$B$7:$D$42,3,0)</f>
        <v>19.666666666666668</v>
      </c>
      <c r="F821" s="41">
        <f>PRODUCT(D821:E821)</f>
        <v>4.4952380952380953</v>
      </c>
    </row>
    <row r="822" spans="1:6" ht="12.75" customHeight="1" outlineLevel="1" x14ac:dyDescent="0.25">
      <c r="A822" s="44" t="s">
        <v>110</v>
      </c>
      <c r="B822" s="68" t="s">
        <v>109</v>
      </c>
      <c r="C822" s="41">
        <v>0.5</v>
      </c>
      <c r="D822" s="69">
        <f>C822*$E$816/$B$816</f>
        <v>0.11428571428571428</v>
      </c>
      <c r="E822" s="41">
        <f>VLOOKUP(A822,INSUMOS!$B$7:$D$42,3,0)</f>
        <v>12.291666666666666</v>
      </c>
      <c r="F822" s="41">
        <f>PRODUCT(D822:E822)</f>
        <v>1.4047619047619047</v>
      </c>
    </row>
    <row r="823" spans="1:6" ht="12.75" customHeight="1" outlineLevel="1" x14ac:dyDescent="0.25">
      <c r="A823" s="44" t="s">
        <v>114</v>
      </c>
      <c r="B823" s="68" t="s">
        <v>158</v>
      </c>
      <c r="C823" s="41"/>
      <c r="D823" s="69">
        <v>5.93</v>
      </c>
      <c r="E823" s="41">
        <f>VLOOKUP(A823,INSUMOS!$B$7:$D$42,3,0)</f>
        <v>5</v>
      </c>
      <c r="F823" s="41">
        <f>PRODUCT(D823:E823)</f>
        <v>29.65</v>
      </c>
    </row>
    <row r="824" spans="1:6" ht="12.75" customHeight="1" outlineLevel="1" x14ac:dyDescent="0.3">
      <c r="A824" s="64" t="s">
        <v>116</v>
      </c>
      <c r="B824" s="65"/>
      <c r="C824" s="66"/>
      <c r="D824" s="67"/>
      <c r="E824" s="66"/>
      <c r="F824" s="66">
        <f>SUM(F825:F826)</f>
        <v>1.2000000000000002</v>
      </c>
    </row>
    <row r="825" spans="1:6" ht="12.75" customHeight="1" outlineLevel="1" x14ac:dyDescent="0.25">
      <c r="A825" s="44" t="s">
        <v>117</v>
      </c>
      <c r="B825" s="68" t="s">
        <v>118</v>
      </c>
      <c r="C825" s="41"/>
      <c r="D825" s="69">
        <v>0.14000000000000001</v>
      </c>
      <c r="E825" s="41">
        <f>VLOOKUP(A825,INSUMOS!$B$7:$D$42,3,0)</f>
        <v>5</v>
      </c>
      <c r="F825" s="41">
        <f>PRODUCT(D825:E825)</f>
        <v>0.70000000000000007</v>
      </c>
    </row>
    <row r="826" spans="1:6" ht="12.75" customHeight="1" outlineLevel="1" x14ac:dyDescent="0.25">
      <c r="A826" s="44" t="s">
        <v>150</v>
      </c>
      <c r="B826" s="68" t="s">
        <v>118</v>
      </c>
      <c r="C826" s="41"/>
      <c r="D826" s="69">
        <v>0.1</v>
      </c>
      <c r="E826" s="41">
        <f>VLOOKUP(A826,INSUMOS!$B$7:$D$42,3,0)</f>
        <v>5</v>
      </c>
      <c r="F826" s="41">
        <f>PRODUCT(D826:E826)</f>
        <v>0.5</v>
      </c>
    </row>
    <row r="827" spans="1:6" ht="12.75" customHeight="1" outlineLevel="1" x14ac:dyDescent="0.3">
      <c r="A827" s="64" t="s">
        <v>105</v>
      </c>
      <c r="B827" s="65"/>
      <c r="C827" s="66"/>
      <c r="D827" s="67"/>
      <c r="E827" s="66"/>
      <c r="F827" s="66">
        <f>SUM(F828)</f>
        <v>1.2856428571428569</v>
      </c>
    </row>
    <row r="828" spans="1:6" ht="12.75" customHeight="1" outlineLevel="1" x14ac:dyDescent="0.25">
      <c r="A828" s="44" t="s">
        <v>111</v>
      </c>
      <c r="B828" s="68" t="s">
        <v>112</v>
      </c>
      <c r="C828" s="41"/>
      <c r="D828" s="69">
        <v>3</v>
      </c>
      <c r="E828" s="41">
        <f>F818</f>
        <v>42.854761904761901</v>
      </c>
      <c r="F828" s="41">
        <f>D828*E828/100</f>
        <v>1.2856428571428569</v>
      </c>
    </row>
    <row r="829" spans="1:6" ht="12.75" customHeight="1" outlineLevel="1" x14ac:dyDescent="0.25">
      <c r="A829" s="75"/>
      <c r="B829" s="72"/>
      <c r="C829" s="73"/>
      <c r="D829" s="74"/>
      <c r="E829" s="41"/>
      <c r="F829" s="41"/>
    </row>
    <row r="830" spans="1:6" ht="12.75" customHeight="1" x14ac:dyDescent="0.3">
      <c r="A830" s="54" t="s">
        <v>21</v>
      </c>
      <c r="B830" s="55"/>
      <c r="C830" s="56"/>
      <c r="D830" s="57"/>
      <c r="E830" s="58" t="s">
        <v>92</v>
      </c>
      <c r="F830" s="59">
        <f>F833+F839+F842</f>
        <v>69.980305555555574</v>
      </c>
    </row>
    <row r="831" spans="1:6" ht="12.75" customHeight="1" outlineLevel="1" x14ac:dyDescent="0.3">
      <c r="A831" s="60" t="s">
        <v>93</v>
      </c>
      <c r="B831" s="61">
        <v>12</v>
      </c>
      <c r="C831" s="62" t="s">
        <v>107</v>
      </c>
      <c r="D831" s="63" t="s">
        <v>95</v>
      </c>
      <c r="E831" s="60">
        <v>8</v>
      </c>
      <c r="F831" s="60" t="s">
        <v>96</v>
      </c>
    </row>
    <row r="832" spans="1:6" ht="12.75" customHeight="1" outlineLevel="1" x14ac:dyDescent="0.3">
      <c r="A832" s="64" t="s">
        <v>97</v>
      </c>
      <c r="B832" s="65" t="s">
        <v>98</v>
      </c>
      <c r="C832" s="66" t="s">
        <v>99</v>
      </c>
      <c r="D832" s="67" t="s">
        <v>100</v>
      </c>
      <c r="E832" s="64" t="s">
        <v>101</v>
      </c>
      <c r="F832" s="64" t="s">
        <v>102</v>
      </c>
    </row>
    <row r="833" spans="1:6" ht="12.75" customHeight="1" outlineLevel="1" x14ac:dyDescent="0.3">
      <c r="A833" s="64" t="s">
        <v>103</v>
      </c>
      <c r="B833" s="65"/>
      <c r="C833" s="66"/>
      <c r="D833" s="67"/>
      <c r="E833" s="66"/>
      <c r="F833" s="66">
        <f>SUM(F834:F838)</f>
        <v>67.213888888888903</v>
      </c>
    </row>
    <row r="834" spans="1:6" ht="12.75" customHeight="1" outlineLevel="1" x14ac:dyDescent="0.25">
      <c r="A834" s="44" t="s">
        <v>108</v>
      </c>
      <c r="B834" s="68" t="s">
        <v>109</v>
      </c>
      <c r="C834" s="41">
        <v>0.1</v>
      </c>
      <c r="D834" s="69">
        <f>C834*$E$831/$B$831</f>
        <v>6.6666666666666666E-2</v>
      </c>
      <c r="E834" s="41">
        <f>VLOOKUP(A834,INSUMOS!$B$7:$D$42,3,0)</f>
        <v>49.166666666666664</v>
      </c>
      <c r="F834" s="41">
        <f>PRODUCT(D834:E834)</f>
        <v>3.2777777777777777</v>
      </c>
    </row>
    <row r="835" spans="1:6" ht="12.75" customHeight="1" outlineLevel="1" x14ac:dyDescent="0.25">
      <c r="A835" s="44" t="s">
        <v>113</v>
      </c>
      <c r="B835" s="68" t="s">
        <v>109</v>
      </c>
      <c r="C835" s="41">
        <v>1</v>
      </c>
      <c r="D835" s="69">
        <f>C835*$E$831/$B$831</f>
        <v>0.66666666666666663</v>
      </c>
      <c r="E835" s="41">
        <f>VLOOKUP(A835,INSUMOS!$B$7:$D$42,3,0)</f>
        <v>27.041666666666668</v>
      </c>
      <c r="F835" s="41">
        <f>PRODUCT(D835:E835)</f>
        <v>18.027777777777779</v>
      </c>
    </row>
    <row r="836" spans="1:6" ht="12.75" customHeight="1" outlineLevel="1" x14ac:dyDescent="0.25">
      <c r="A836" s="44" t="s">
        <v>144</v>
      </c>
      <c r="B836" s="68" t="s">
        <v>109</v>
      </c>
      <c r="C836" s="41">
        <v>1</v>
      </c>
      <c r="D836" s="69">
        <f>C836*$E$831/$B$831</f>
        <v>0.66666666666666663</v>
      </c>
      <c r="E836" s="41">
        <f>VLOOKUP(A836,INSUMOS!$B$7:$D$42,3,0)</f>
        <v>19.666666666666668</v>
      </c>
      <c r="F836" s="41">
        <f>PRODUCT(D836:E836)</f>
        <v>13.111111111111111</v>
      </c>
    </row>
    <row r="837" spans="1:6" ht="12.75" customHeight="1" outlineLevel="1" x14ac:dyDescent="0.25">
      <c r="A837" s="44" t="s">
        <v>110</v>
      </c>
      <c r="B837" s="68" t="s">
        <v>109</v>
      </c>
      <c r="C837" s="41">
        <v>0.5</v>
      </c>
      <c r="D837" s="69">
        <f>C837*$E$831/$B$831</f>
        <v>0.33333333333333331</v>
      </c>
      <c r="E837" s="41">
        <f>VLOOKUP(A837,INSUMOS!$B$7:$D$42,3,0)</f>
        <v>12.291666666666666</v>
      </c>
      <c r="F837" s="41">
        <f>PRODUCT(D837:E837)</f>
        <v>4.0972222222222214</v>
      </c>
    </row>
    <row r="838" spans="1:6" ht="12.75" customHeight="1" outlineLevel="1" x14ac:dyDescent="0.25">
      <c r="A838" s="44" t="s">
        <v>114</v>
      </c>
      <c r="B838" s="68" t="s">
        <v>158</v>
      </c>
      <c r="C838" s="41"/>
      <c r="D838" s="69">
        <v>5.74</v>
      </c>
      <c r="E838" s="41">
        <f>VLOOKUP(A838,INSUMOS!$B$7:$D$42,3,0)</f>
        <v>5</v>
      </c>
      <c r="F838" s="41">
        <f>PRODUCT(D838:E838)</f>
        <v>28.700000000000003</v>
      </c>
    </row>
    <row r="839" spans="1:6" ht="12.75" customHeight="1" outlineLevel="1" x14ac:dyDescent="0.3">
      <c r="A839" s="64" t="s">
        <v>116</v>
      </c>
      <c r="B839" s="65"/>
      <c r="C839" s="66"/>
      <c r="D839" s="67"/>
      <c r="E839" s="66"/>
      <c r="F839" s="66">
        <f>SUM(F840)</f>
        <v>0.75</v>
      </c>
    </row>
    <row r="840" spans="1:6" ht="12.75" customHeight="1" outlineLevel="1" x14ac:dyDescent="0.25">
      <c r="A840" s="44" t="s">
        <v>117</v>
      </c>
      <c r="B840" s="68" t="s">
        <v>118</v>
      </c>
      <c r="C840" s="41"/>
      <c r="D840" s="69">
        <v>0.15</v>
      </c>
      <c r="E840" s="41">
        <f>VLOOKUP(A840,INSUMOS!$B$7:$D$42,3,0)</f>
        <v>5</v>
      </c>
      <c r="F840" s="41">
        <f>PRODUCT(D840:E840)</f>
        <v>0.75</v>
      </c>
    </row>
    <row r="841" spans="1:6" ht="12.75" customHeight="1" outlineLevel="1" x14ac:dyDescent="0.25">
      <c r="A841" s="44" t="s">
        <v>150</v>
      </c>
      <c r="B841" s="68" t="s">
        <v>118</v>
      </c>
      <c r="C841" s="41"/>
      <c r="D841" s="69">
        <v>0.12</v>
      </c>
      <c r="E841" s="41">
        <f>VLOOKUP(A841,INSUMOS!$B$7:$D$42,3,0)</f>
        <v>5</v>
      </c>
      <c r="F841" s="41">
        <f>PRODUCT(D841:E841)</f>
        <v>0.6</v>
      </c>
    </row>
    <row r="842" spans="1:6" ht="12.75" customHeight="1" outlineLevel="1" x14ac:dyDescent="0.3">
      <c r="A842" s="64" t="s">
        <v>105</v>
      </c>
      <c r="B842" s="65"/>
      <c r="C842" s="66"/>
      <c r="D842" s="67"/>
      <c r="E842" s="66"/>
      <c r="F842" s="66">
        <f>SUM(F843)</f>
        <v>2.0164166666666672</v>
      </c>
    </row>
    <row r="843" spans="1:6" ht="12.75" customHeight="1" outlineLevel="1" x14ac:dyDescent="0.25">
      <c r="A843" s="44" t="s">
        <v>111</v>
      </c>
      <c r="B843" s="68" t="s">
        <v>112</v>
      </c>
      <c r="C843" s="41"/>
      <c r="D843" s="69">
        <v>3</v>
      </c>
      <c r="E843" s="41">
        <f>F833</f>
        <v>67.213888888888903</v>
      </c>
      <c r="F843" s="41">
        <f>D843*E843/100</f>
        <v>2.0164166666666672</v>
      </c>
    </row>
    <row r="844" spans="1:6" ht="12.75" customHeight="1" outlineLevel="1" x14ac:dyDescent="0.25">
      <c r="B844" s="84"/>
      <c r="C844" s="21"/>
      <c r="D844" s="85"/>
      <c r="E844" s="21"/>
      <c r="F844" s="21"/>
    </row>
    <row r="845" spans="1:6" ht="12.75" customHeight="1" x14ac:dyDescent="0.3">
      <c r="A845" s="54" t="s">
        <v>43</v>
      </c>
      <c r="B845" s="55"/>
      <c r="C845" s="56"/>
      <c r="D845" s="57"/>
      <c r="E845" s="58" t="s">
        <v>92</v>
      </c>
      <c r="F845" s="59">
        <f>F848+F852+F855</f>
        <v>7.3643333333333345</v>
      </c>
    </row>
    <row r="846" spans="1:6" ht="12.75" hidden="1" customHeight="1" outlineLevel="1" x14ac:dyDescent="0.3">
      <c r="A846" s="60" t="s">
        <v>93</v>
      </c>
      <c r="B846" s="61">
        <v>300</v>
      </c>
      <c r="C846" s="62" t="s">
        <v>170</v>
      </c>
      <c r="D846" s="63" t="s">
        <v>95</v>
      </c>
      <c r="E846" s="60">
        <v>8</v>
      </c>
      <c r="F846" s="60" t="s">
        <v>96</v>
      </c>
    </row>
    <row r="847" spans="1:6" ht="12.75" hidden="1" customHeight="1" outlineLevel="1" x14ac:dyDescent="0.3">
      <c r="A847" s="64" t="s">
        <v>97</v>
      </c>
      <c r="B847" s="65" t="s">
        <v>98</v>
      </c>
      <c r="C847" s="66" t="s">
        <v>99</v>
      </c>
      <c r="D847" s="67" t="s">
        <v>100</v>
      </c>
      <c r="E847" s="64" t="s">
        <v>101</v>
      </c>
      <c r="F847" s="64" t="s">
        <v>102</v>
      </c>
    </row>
    <row r="848" spans="1:6" ht="12.75" hidden="1" customHeight="1" outlineLevel="1" x14ac:dyDescent="0.3">
      <c r="A848" s="64" t="s">
        <v>103</v>
      </c>
      <c r="B848" s="65"/>
      <c r="C848" s="66"/>
      <c r="D848" s="67"/>
      <c r="E848" s="66"/>
      <c r="F848" s="66">
        <f>SUM(F849:F851)</f>
        <v>1.3766666666666667</v>
      </c>
    </row>
    <row r="849" spans="1:6" ht="12.75" hidden="1" customHeight="1" outlineLevel="1" x14ac:dyDescent="0.25">
      <c r="A849" s="44" t="s">
        <v>108</v>
      </c>
      <c r="B849" s="68" t="s">
        <v>109</v>
      </c>
      <c r="C849" s="41">
        <v>0.1</v>
      </c>
      <c r="D849" s="69">
        <f>C849*$E$846/$B$846</f>
        <v>2.666666666666667E-3</v>
      </c>
      <c r="E849" s="41">
        <f>VLOOKUP(A849,INSUMOS!$B$7:$D$42,3,0)</f>
        <v>49.166666666666664</v>
      </c>
      <c r="F849" s="41">
        <f>PRODUCT(D849:E849)</f>
        <v>0.13111111111111112</v>
      </c>
    </row>
    <row r="850" spans="1:6" ht="12.75" hidden="1" customHeight="1" outlineLevel="1" x14ac:dyDescent="0.25">
      <c r="A850" s="44" t="s">
        <v>113</v>
      </c>
      <c r="B850" s="68" t="s">
        <v>109</v>
      </c>
      <c r="C850" s="41">
        <v>1</v>
      </c>
      <c r="D850" s="69">
        <f>C850*$E$846/$B$846</f>
        <v>2.6666666666666668E-2</v>
      </c>
      <c r="E850" s="41">
        <f>VLOOKUP(A850,INSUMOS!$B$7:$D$42,3,0)</f>
        <v>27.041666666666668</v>
      </c>
      <c r="F850" s="41">
        <f>PRODUCT(D850:E850)</f>
        <v>0.72111111111111115</v>
      </c>
    </row>
    <row r="851" spans="1:6" ht="12.75" hidden="1" customHeight="1" outlineLevel="1" x14ac:dyDescent="0.25">
      <c r="A851" s="44" t="s">
        <v>144</v>
      </c>
      <c r="B851" s="68" t="s">
        <v>109</v>
      </c>
      <c r="C851" s="41">
        <v>1</v>
      </c>
      <c r="D851" s="69">
        <f>C851*$E$846/$B$846</f>
        <v>2.6666666666666668E-2</v>
      </c>
      <c r="E851" s="41">
        <f>VLOOKUP(A851,INSUMOS!$B$7:$D$42,3,0)</f>
        <v>19.666666666666668</v>
      </c>
      <c r="F851" s="41">
        <f>PRODUCT(D851:E851)</f>
        <v>0.52444444444444449</v>
      </c>
    </row>
    <row r="852" spans="1:6" ht="12.75" hidden="1" customHeight="1" outlineLevel="1" x14ac:dyDescent="0.3">
      <c r="A852" s="64" t="s">
        <v>116</v>
      </c>
      <c r="B852" s="65"/>
      <c r="C852" s="66"/>
      <c r="D852" s="67"/>
      <c r="E852" s="66"/>
      <c r="F852" s="66">
        <f>SUM(F853:F854)</f>
        <v>5.8500000000000005</v>
      </c>
    </row>
    <row r="853" spans="1:6" ht="12.75" hidden="1" customHeight="1" outlineLevel="1" x14ac:dyDescent="0.25">
      <c r="A853" s="44" t="s">
        <v>124</v>
      </c>
      <c r="B853" s="68" t="s">
        <v>118</v>
      </c>
      <c r="C853" s="41"/>
      <c r="D853" s="69">
        <v>0.05</v>
      </c>
      <c r="E853" s="41">
        <f>VLOOKUP(A853,INSUMOS!$B$7:$D$42,3,0)</f>
        <v>5</v>
      </c>
      <c r="F853" s="41">
        <f>PRODUCT(D853:E853)</f>
        <v>0.25</v>
      </c>
    </row>
    <row r="854" spans="1:6" ht="12.75" hidden="1" customHeight="1" outlineLevel="1" x14ac:dyDescent="0.25">
      <c r="A854" s="44" t="s">
        <v>168</v>
      </c>
      <c r="B854" s="68" t="s">
        <v>118</v>
      </c>
      <c r="C854" s="41"/>
      <c r="D854" s="69">
        <v>1.1200000000000001</v>
      </c>
      <c r="E854" s="41">
        <f>VLOOKUP(A854,INSUMOS!$B$7:$D$42,3,0)</f>
        <v>5</v>
      </c>
      <c r="F854" s="41">
        <f>PRODUCT(D854:E854)</f>
        <v>5.6000000000000005</v>
      </c>
    </row>
    <row r="855" spans="1:6" ht="12.75" hidden="1" customHeight="1" outlineLevel="1" x14ac:dyDescent="0.3">
      <c r="A855" s="64" t="s">
        <v>105</v>
      </c>
      <c r="B855" s="65"/>
      <c r="C855" s="66"/>
      <c r="D855" s="67"/>
      <c r="E855" s="66"/>
      <c r="F855" s="66">
        <f>SUM(F856)</f>
        <v>0.13766666666666669</v>
      </c>
    </row>
    <row r="856" spans="1:6" ht="12.75" hidden="1" customHeight="1" outlineLevel="1" x14ac:dyDescent="0.25">
      <c r="A856" s="44" t="s">
        <v>111</v>
      </c>
      <c r="B856" s="68" t="s">
        <v>112</v>
      </c>
      <c r="C856" s="41"/>
      <c r="D856" s="69">
        <v>10</v>
      </c>
      <c r="E856" s="41">
        <f>F848</f>
        <v>1.3766666666666667</v>
      </c>
      <c r="F856" s="41">
        <f>D856*E856/100</f>
        <v>0.13766666666666669</v>
      </c>
    </row>
    <row r="857" spans="1:6" ht="12.75" hidden="1" customHeight="1" outlineLevel="1" x14ac:dyDescent="0.25">
      <c r="B857" s="1"/>
      <c r="C857" s="21"/>
    </row>
    <row r="858" spans="1:6" ht="12.75" customHeight="1" collapsed="1" x14ac:dyDescent="0.3">
      <c r="A858" s="54" t="s">
        <v>496</v>
      </c>
      <c r="B858" s="55"/>
      <c r="C858" s="56"/>
      <c r="D858" s="57"/>
      <c r="E858" s="58" t="s">
        <v>92</v>
      </c>
      <c r="F858" s="59">
        <f>F861+F865+F868</f>
        <v>7.8715000000000011</v>
      </c>
    </row>
    <row r="859" spans="1:6" ht="12.75" hidden="1" customHeight="1" outlineLevel="1" x14ac:dyDescent="0.3">
      <c r="A859" s="60" t="s">
        <v>93</v>
      </c>
      <c r="B859" s="61">
        <v>200</v>
      </c>
      <c r="C859" s="62" t="s">
        <v>170</v>
      </c>
      <c r="D859" s="63" t="s">
        <v>95</v>
      </c>
      <c r="E859" s="60">
        <v>8</v>
      </c>
      <c r="F859" s="60" t="s">
        <v>96</v>
      </c>
    </row>
    <row r="860" spans="1:6" ht="12.75" hidden="1" customHeight="1" outlineLevel="1" x14ac:dyDescent="0.3">
      <c r="A860" s="64" t="s">
        <v>97</v>
      </c>
      <c r="B860" s="65" t="s">
        <v>98</v>
      </c>
      <c r="C860" s="66" t="s">
        <v>99</v>
      </c>
      <c r="D860" s="67" t="s">
        <v>100</v>
      </c>
      <c r="E860" s="64" t="s">
        <v>101</v>
      </c>
      <c r="F860" s="64" t="s">
        <v>102</v>
      </c>
    </row>
    <row r="861" spans="1:6" ht="12.75" hidden="1" customHeight="1" outlineLevel="1" x14ac:dyDescent="0.3">
      <c r="A861" s="64" t="s">
        <v>103</v>
      </c>
      <c r="B861" s="65"/>
      <c r="C861" s="66"/>
      <c r="D861" s="67"/>
      <c r="E861" s="66"/>
      <c r="F861" s="66">
        <f>SUM(F862:F864)</f>
        <v>2.0649999999999999</v>
      </c>
    </row>
    <row r="862" spans="1:6" ht="12.75" hidden="1" customHeight="1" outlineLevel="1" x14ac:dyDescent="0.25">
      <c r="A862" s="44" t="s">
        <v>108</v>
      </c>
      <c r="B862" s="68" t="s">
        <v>109</v>
      </c>
      <c r="C862" s="41">
        <v>0.1</v>
      </c>
      <c r="D862" s="69">
        <f>C862*$E$859/$B$859</f>
        <v>4.0000000000000001E-3</v>
      </c>
      <c r="E862" s="41">
        <f>VLOOKUP(A862,INSUMOS!$B$7:$D$42,3,0)</f>
        <v>49.166666666666664</v>
      </c>
      <c r="F862" s="41">
        <f>PRODUCT(D862:E862)</f>
        <v>0.19666666666666666</v>
      </c>
    </row>
    <row r="863" spans="1:6" ht="12.75" hidden="1" customHeight="1" outlineLevel="1" x14ac:dyDescent="0.25">
      <c r="A863" s="44" t="s">
        <v>113</v>
      </c>
      <c r="B863" s="68" t="s">
        <v>109</v>
      </c>
      <c r="C863" s="41">
        <v>1</v>
      </c>
      <c r="D863" s="69">
        <f>C863*$E$859/$B$859</f>
        <v>0.04</v>
      </c>
      <c r="E863" s="41">
        <f>VLOOKUP(A863,INSUMOS!$B$7:$D$42,3,0)</f>
        <v>27.041666666666668</v>
      </c>
      <c r="F863" s="41">
        <f>PRODUCT(D863:E863)</f>
        <v>1.0816666666666668</v>
      </c>
    </row>
    <row r="864" spans="1:6" ht="12.75" hidden="1" customHeight="1" outlineLevel="1" x14ac:dyDescent="0.25">
      <c r="A864" s="44" t="s">
        <v>144</v>
      </c>
      <c r="B864" s="68" t="s">
        <v>109</v>
      </c>
      <c r="C864" s="41">
        <v>1</v>
      </c>
      <c r="D864" s="69">
        <f>C864*$E$859/$B$859</f>
        <v>0.04</v>
      </c>
      <c r="E864" s="41">
        <f>VLOOKUP(A864,INSUMOS!$B$7:$D$42,3,0)</f>
        <v>19.666666666666668</v>
      </c>
      <c r="F864" s="41">
        <f>PRODUCT(D864:E864)</f>
        <v>0.78666666666666674</v>
      </c>
    </row>
    <row r="865" spans="1:6" ht="12.75" hidden="1" customHeight="1" outlineLevel="1" x14ac:dyDescent="0.3">
      <c r="A865" s="64" t="s">
        <v>116</v>
      </c>
      <c r="B865" s="65"/>
      <c r="C865" s="66"/>
      <c r="D865" s="67"/>
      <c r="E865" s="66"/>
      <c r="F865" s="66">
        <f>SUM(F866:F867)</f>
        <v>5.6000000000000005</v>
      </c>
    </row>
    <row r="866" spans="1:6" ht="12.75" hidden="1" customHeight="1" outlineLevel="1" x14ac:dyDescent="0.25">
      <c r="A866" s="44" t="s">
        <v>124</v>
      </c>
      <c r="B866" s="68" t="s">
        <v>118</v>
      </c>
      <c r="C866" s="41"/>
      <c r="D866" s="69">
        <v>0.05</v>
      </c>
      <c r="E866" s="41">
        <f>VLOOKUP(A866,INSUMOS!$B$7:$D$42,3,0)</f>
        <v>5</v>
      </c>
      <c r="F866" s="41">
        <f>PRODUCT(D866:E866)</f>
        <v>0.25</v>
      </c>
    </row>
    <row r="867" spans="1:6" ht="12.75" hidden="1" customHeight="1" outlineLevel="1" x14ac:dyDescent="0.25">
      <c r="A867" s="44" t="s">
        <v>168</v>
      </c>
      <c r="B867" s="68" t="s">
        <v>118</v>
      </c>
      <c r="C867" s="41"/>
      <c r="D867" s="69">
        <v>1.07</v>
      </c>
      <c r="E867" s="41">
        <f>VLOOKUP(A867,INSUMOS!$B$7:$D$42,3,0)</f>
        <v>5</v>
      </c>
      <c r="F867" s="41">
        <f>PRODUCT(D867:E867)</f>
        <v>5.3500000000000005</v>
      </c>
    </row>
    <row r="868" spans="1:6" ht="12.75" hidden="1" customHeight="1" outlineLevel="1" x14ac:dyDescent="0.3">
      <c r="A868" s="64" t="s">
        <v>105</v>
      </c>
      <c r="B868" s="65"/>
      <c r="C868" s="66"/>
      <c r="D868" s="67"/>
      <c r="E868" s="66"/>
      <c r="F868" s="66">
        <f>SUM(F869)</f>
        <v>0.20649999999999999</v>
      </c>
    </row>
    <row r="869" spans="1:6" ht="12.75" hidden="1" customHeight="1" outlineLevel="1" x14ac:dyDescent="0.25">
      <c r="A869" s="44" t="s">
        <v>111</v>
      </c>
      <c r="B869" s="68" t="s">
        <v>112</v>
      </c>
      <c r="C869" s="41"/>
      <c r="D869" s="69">
        <v>10</v>
      </c>
      <c r="E869" s="41">
        <f>F861</f>
        <v>2.0649999999999999</v>
      </c>
      <c r="F869" s="41">
        <f>D869*E869/100</f>
        <v>0.20649999999999999</v>
      </c>
    </row>
    <row r="870" spans="1:6" ht="12.75" hidden="1" customHeight="1" outlineLevel="1" x14ac:dyDescent="0.25">
      <c r="B870" s="1"/>
      <c r="C870" s="21"/>
    </row>
    <row r="871" spans="1:6" ht="12.75" customHeight="1" collapsed="1" x14ac:dyDescent="0.3">
      <c r="A871" s="54" t="s">
        <v>494</v>
      </c>
      <c r="B871" s="55"/>
      <c r="C871" s="56"/>
      <c r="D871" s="57"/>
      <c r="E871" s="58" t="s">
        <v>92</v>
      </c>
      <c r="F871" s="59">
        <f>F874+F878+F881</f>
        <v>7.6672000000000011</v>
      </c>
    </row>
    <row r="872" spans="1:6" ht="12.75" hidden="1" customHeight="1" outlineLevel="1" x14ac:dyDescent="0.3">
      <c r="A872" s="60" t="s">
        <v>93</v>
      </c>
      <c r="B872" s="61">
        <v>250</v>
      </c>
      <c r="C872" s="62" t="s">
        <v>170</v>
      </c>
      <c r="D872" s="63" t="s">
        <v>95</v>
      </c>
      <c r="E872" s="60">
        <v>8</v>
      </c>
      <c r="F872" s="60" t="s">
        <v>96</v>
      </c>
    </row>
    <row r="873" spans="1:6" ht="12.75" hidden="1" customHeight="1" outlineLevel="1" x14ac:dyDescent="0.3">
      <c r="A873" s="64" t="s">
        <v>97</v>
      </c>
      <c r="B873" s="65" t="s">
        <v>98</v>
      </c>
      <c r="C873" s="66" t="s">
        <v>99</v>
      </c>
      <c r="D873" s="67" t="s">
        <v>100</v>
      </c>
      <c r="E873" s="64" t="s">
        <v>101</v>
      </c>
      <c r="F873" s="64" t="s">
        <v>102</v>
      </c>
    </row>
    <row r="874" spans="1:6" ht="12.75" hidden="1" customHeight="1" outlineLevel="1" x14ac:dyDescent="0.3">
      <c r="A874" s="64" t="s">
        <v>103</v>
      </c>
      <c r="B874" s="65"/>
      <c r="C874" s="66"/>
      <c r="D874" s="67"/>
      <c r="E874" s="66"/>
      <c r="F874" s="66">
        <f>SUM(F875:F877)</f>
        <v>1.6520000000000001</v>
      </c>
    </row>
    <row r="875" spans="1:6" ht="12.75" hidden="1" customHeight="1" outlineLevel="1" x14ac:dyDescent="0.25">
      <c r="A875" s="44" t="s">
        <v>108</v>
      </c>
      <c r="B875" s="68" t="s">
        <v>109</v>
      </c>
      <c r="C875" s="41">
        <v>0.1</v>
      </c>
      <c r="D875" s="69">
        <f>C875*$E$872/$B$872</f>
        <v>3.2000000000000002E-3</v>
      </c>
      <c r="E875" s="41">
        <f>VLOOKUP(A875,INSUMOS!$B$7:$D$42,3,0)</f>
        <v>49.166666666666664</v>
      </c>
      <c r="F875" s="41">
        <f>PRODUCT(D875:E875)</f>
        <v>0.15733333333333333</v>
      </c>
    </row>
    <row r="876" spans="1:6" ht="12.75" hidden="1" customHeight="1" outlineLevel="1" x14ac:dyDescent="0.25">
      <c r="A876" s="44" t="s">
        <v>113</v>
      </c>
      <c r="B876" s="68" t="s">
        <v>109</v>
      </c>
      <c r="C876" s="41">
        <v>1</v>
      </c>
      <c r="D876" s="69">
        <f>C876*$E$872/$B$872</f>
        <v>3.2000000000000001E-2</v>
      </c>
      <c r="E876" s="41">
        <f>VLOOKUP(A876,INSUMOS!$B$7:$D$42,3,0)</f>
        <v>27.041666666666668</v>
      </c>
      <c r="F876" s="41">
        <f>PRODUCT(D876:E876)</f>
        <v>0.8653333333333334</v>
      </c>
    </row>
    <row r="877" spans="1:6" ht="12.75" hidden="1" customHeight="1" outlineLevel="1" x14ac:dyDescent="0.25">
      <c r="A877" s="44" t="s">
        <v>144</v>
      </c>
      <c r="B877" s="68" t="s">
        <v>109</v>
      </c>
      <c r="C877" s="41">
        <v>1</v>
      </c>
      <c r="D877" s="69">
        <f>C877*$E$872/$B$872</f>
        <v>3.2000000000000001E-2</v>
      </c>
      <c r="E877" s="41">
        <f>VLOOKUP(A877,INSUMOS!$B$7:$D$42,3,0)</f>
        <v>19.666666666666668</v>
      </c>
      <c r="F877" s="41">
        <f>PRODUCT(D877:E877)</f>
        <v>0.62933333333333341</v>
      </c>
    </row>
    <row r="878" spans="1:6" ht="12.75" hidden="1" customHeight="1" outlineLevel="1" x14ac:dyDescent="0.3">
      <c r="A878" s="64" t="s">
        <v>116</v>
      </c>
      <c r="B878" s="65"/>
      <c r="C878" s="66"/>
      <c r="D878" s="67"/>
      <c r="E878" s="66"/>
      <c r="F878" s="66">
        <f>SUM(F879:F880)</f>
        <v>5.8500000000000005</v>
      </c>
    </row>
    <row r="879" spans="1:6" ht="12.75" hidden="1" customHeight="1" outlineLevel="1" x14ac:dyDescent="0.25">
      <c r="A879" s="44" t="s">
        <v>124</v>
      </c>
      <c r="B879" s="68" t="s">
        <v>118</v>
      </c>
      <c r="C879" s="41"/>
      <c r="D879" s="69">
        <v>0.05</v>
      </c>
      <c r="E879" s="41">
        <f>VLOOKUP(A879,INSUMOS!$B$7:$D$42,3,0)</f>
        <v>5</v>
      </c>
      <c r="F879" s="41">
        <f>PRODUCT(D879:E879)</f>
        <v>0.25</v>
      </c>
    </row>
    <row r="880" spans="1:6" ht="12.75" hidden="1" customHeight="1" outlineLevel="1" x14ac:dyDescent="0.25">
      <c r="A880" s="44" t="s">
        <v>168</v>
      </c>
      <c r="B880" s="68" t="s">
        <v>118</v>
      </c>
      <c r="C880" s="41"/>
      <c r="D880" s="69">
        <v>1.1200000000000001</v>
      </c>
      <c r="E880" s="41">
        <f>VLOOKUP(A880,INSUMOS!$B$7:$D$42,3,0)</f>
        <v>5</v>
      </c>
      <c r="F880" s="41">
        <f>PRODUCT(D880:E880)</f>
        <v>5.6000000000000005</v>
      </c>
    </row>
    <row r="881" spans="1:6" ht="12.75" hidden="1" customHeight="1" outlineLevel="1" x14ac:dyDescent="0.3">
      <c r="A881" s="64" t="s">
        <v>105</v>
      </c>
      <c r="B881" s="65"/>
      <c r="C881" s="66"/>
      <c r="D881" s="67"/>
      <c r="E881" s="66"/>
      <c r="F881" s="66">
        <f>SUM(F882)</f>
        <v>0.16520000000000004</v>
      </c>
    </row>
    <row r="882" spans="1:6" ht="12.75" hidden="1" customHeight="1" outlineLevel="1" x14ac:dyDescent="0.25">
      <c r="A882" s="44" t="s">
        <v>111</v>
      </c>
      <c r="B882" s="68" t="s">
        <v>112</v>
      </c>
      <c r="C882" s="41"/>
      <c r="D882" s="69">
        <v>10</v>
      </c>
      <c r="E882" s="41">
        <f>F874</f>
        <v>1.6520000000000001</v>
      </c>
      <c r="F882" s="41">
        <f>D882*E882/100</f>
        <v>0.16520000000000004</v>
      </c>
    </row>
    <row r="883" spans="1:6" ht="12.75" hidden="1" customHeight="1" outlineLevel="1" x14ac:dyDescent="0.25">
      <c r="B883" s="1"/>
      <c r="C883" s="21"/>
    </row>
    <row r="884" spans="1:6" ht="12.75" customHeight="1" collapsed="1" x14ac:dyDescent="0.3">
      <c r="A884" s="54" t="s">
        <v>174</v>
      </c>
      <c r="B884" s="55"/>
      <c r="C884" s="56"/>
      <c r="D884" s="57"/>
      <c r="E884" s="58" t="s">
        <v>92</v>
      </c>
      <c r="F884" s="59">
        <f>F887+F891+F894</f>
        <v>7.8715000000000011</v>
      </c>
    </row>
    <row r="885" spans="1:6" ht="12.75" customHeight="1" outlineLevel="1" x14ac:dyDescent="0.3">
      <c r="A885" s="60" t="s">
        <v>93</v>
      </c>
      <c r="B885" s="61">
        <v>200</v>
      </c>
      <c r="C885" s="62" t="s">
        <v>170</v>
      </c>
      <c r="D885" s="63" t="s">
        <v>95</v>
      </c>
      <c r="E885" s="60">
        <v>8</v>
      </c>
      <c r="F885" s="60" t="s">
        <v>96</v>
      </c>
    </row>
    <row r="886" spans="1:6" ht="12.75" customHeight="1" outlineLevel="1" x14ac:dyDescent="0.3">
      <c r="A886" s="64" t="s">
        <v>97</v>
      </c>
      <c r="B886" s="65" t="s">
        <v>98</v>
      </c>
      <c r="C886" s="66" t="s">
        <v>99</v>
      </c>
      <c r="D886" s="67" t="s">
        <v>100</v>
      </c>
      <c r="E886" s="64" t="s">
        <v>101</v>
      </c>
      <c r="F886" s="64" t="s">
        <v>102</v>
      </c>
    </row>
    <row r="887" spans="1:6" ht="12.75" customHeight="1" outlineLevel="1" x14ac:dyDescent="0.3">
      <c r="A887" s="64" t="s">
        <v>103</v>
      </c>
      <c r="B887" s="65"/>
      <c r="C887" s="66"/>
      <c r="D887" s="67"/>
      <c r="E887" s="66"/>
      <c r="F887" s="66">
        <f>SUM(F888:F890)</f>
        <v>2.0649999999999999</v>
      </c>
    </row>
    <row r="888" spans="1:6" ht="12.75" customHeight="1" outlineLevel="1" x14ac:dyDescent="0.25">
      <c r="A888" s="44" t="s">
        <v>108</v>
      </c>
      <c r="B888" s="68" t="s">
        <v>109</v>
      </c>
      <c r="C888" s="41">
        <v>0.1</v>
      </c>
      <c r="D888" s="69">
        <f>C888*$E$885/$B$885</f>
        <v>4.0000000000000001E-3</v>
      </c>
      <c r="E888" s="41">
        <f>VLOOKUP(A888,INSUMOS!$B$7:$D$42,3,0)</f>
        <v>49.166666666666664</v>
      </c>
      <c r="F888" s="41">
        <f>PRODUCT(D888:E888)</f>
        <v>0.19666666666666666</v>
      </c>
    </row>
    <row r="889" spans="1:6" ht="12.75" customHeight="1" outlineLevel="1" x14ac:dyDescent="0.25">
      <c r="A889" s="44" t="s">
        <v>113</v>
      </c>
      <c r="B889" s="68" t="s">
        <v>109</v>
      </c>
      <c r="C889" s="41">
        <v>1</v>
      </c>
      <c r="D889" s="69">
        <f>C889*$E$885/$B$885</f>
        <v>0.04</v>
      </c>
      <c r="E889" s="41">
        <f>VLOOKUP(A889,INSUMOS!$B$7:$D$42,3,0)</f>
        <v>27.041666666666668</v>
      </c>
      <c r="F889" s="41">
        <f>PRODUCT(D889:E889)</f>
        <v>1.0816666666666668</v>
      </c>
    </row>
    <row r="890" spans="1:6" ht="12.75" customHeight="1" outlineLevel="1" x14ac:dyDescent="0.25">
      <c r="A890" s="44" t="s">
        <v>144</v>
      </c>
      <c r="B890" s="68" t="s">
        <v>109</v>
      </c>
      <c r="C890" s="41">
        <v>1</v>
      </c>
      <c r="D890" s="69">
        <f>C890*$E$885/$B$885</f>
        <v>0.04</v>
      </c>
      <c r="E890" s="41">
        <f>VLOOKUP(A890,INSUMOS!$B$7:$D$42,3,0)</f>
        <v>19.666666666666668</v>
      </c>
      <c r="F890" s="41">
        <f>PRODUCT(D890:E890)</f>
        <v>0.78666666666666674</v>
      </c>
    </row>
    <row r="891" spans="1:6" ht="12.75" customHeight="1" outlineLevel="1" x14ac:dyDescent="0.3">
      <c r="A891" s="64" t="s">
        <v>116</v>
      </c>
      <c r="B891" s="65"/>
      <c r="C891" s="66"/>
      <c r="D891" s="67"/>
      <c r="E891" s="66"/>
      <c r="F891" s="66">
        <f>SUM(F892:F893)</f>
        <v>5.6000000000000005</v>
      </c>
    </row>
    <row r="892" spans="1:6" ht="12.75" customHeight="1" outlineLevel="1" x14ac:dyDescent="0.25">
      <c r="A892" s="44" t="s">
        <v>124</v>
      </c>
      <c r="B892" s="68" t="s">
        <v>118</v>
      </c>
      <c r="C892" s="41"/>
      <c r="D892" s="69">
        <v>0.05</v>
      </c>
      <c r="E892" s="41">
        <f>VLOOKUP(A892,INSUMOS!$B$7:$D$42,3,0)</f>
        <v>5</v>
      </c>
      <c r="F892" s="41">
        <f>PRODUCT(D892:E892)</f>
        <v>0.25</v>
      </c>
    </row>
    <row r="893" spans="1:6" ht="12.75" customHeight="1" outlineLevel="1" x14ac:dyDescent="0.25">
      <c r="A893" s="44" t="s">
        <v>168</v>
      </c>
      <c r="B893" s="68" t="s">
        <v>118</v>
      </c>
      <c r="C893" s="41"/>
      <c r="D893" s="69">
        <v>1.07</v>
      </c>
      <c r="E893" s="41">
        <f>VLOOKUP(A893,INSUMOS!$B$7:$D$42,3,0)</f>
        <v>5</v>
      </c>
      <c r="F893" s="41">
        <f>PRODUCT(D893:E893)</f>
        <v>5.3500000000000005</v>
      </c>
    </row>
    <row r="894" spans="1:6" ht="12.75" customHeight="1" outlineLevel="1" x14ac:dyDescent="0.3">
      <c r="A894" s="64" t="s">
        <v>105</v>
      </c>
      <c r="B894" s="65"/>
      <c r="C894" s="66"/>
      <c r="D894" s="67"/>
      <c r="E894" s="66"/>
      <c r="F894" s="66">
        <f>SUM(F895)</f>
        <v>0.20649999999999999</v>
      </c>
    </row>
    <row r="895" spans="1:6" ht="12.75" customHeight="1" outlineLevel="1" x14ac:dyDescent="0.25">
      <c r="A895" s="44" t="s">
        <v>111</v>
      </c>
      <c r="B895" s="68" t="s">
        <v>112</v>
      </c>
      <c r="C895" s="41"/>
      <c r="D895" s="69">
        <v>10</v>
      </c>
      <c r="E895" s="41">
        <f>F887</f>
        <v>2.0649999999999999</v>
      </c>
      <c r="F895" s="41">
        <f>D895*E895/100</f>
        <v>0.20649999999999999</v>
      </c>
    </row>
    <row r="896" spans="1:6" ht="12.75" customHeight="1" outlineLevel="1" x14ac:dyDescent="0.25">
      <c r="A896" s="75"/>
      <c r="B896" s="72"/>
      <c r="C896" s="73"/>
      <c r="D896" s="74"/>
      <c r="E896" s="41"/>
      <c r="F896" s="41"/>
    </row>
    <row r="897" spans="1:6" ht="12.75" customHeight="1" x14ac:dyDescent="0.3">
      <c r="A897" s="54" t="s">
        <v>7</v>
      </c>
      <c r="B897" s="55"/>
      <c r="C897" s="56"/>
      <c r="D897" s="57"/>
      <c r="E897" s="58" t="s">
        <v>92</v>
      </c>
      <c r="F897" s="59">
        <f>F900+F904+F907</f>
        <v>7.8715000000000011</v>
      </c>
    </row>
    <row r="898" spans="1:6" ht="13.5" customHeight="1" outlineLevel="1" x14ac:dyDescent="0.3">
      <c r="A898" s="60" t="s">
        <v>93</v>
      </c>
      <c r="B898" s="61">
        <v>200</v>
      </c>
      <c r="C898" s="62" t="s">
        <v>170</v>
      </c>
      <c r="D898" s="63" t="s">
        <v>95</v>
      </c>
      <c r="E898" s="60">
        <v>8</v>
      </c>
      <c r="F898" s="60" t="s">
        <v>96</v>
      </c>
    </row>
    <row r="899" spans="1:6" ht="12.75" customHeight="1" outlineLevel="1" x14ac:dyDescent="0.3">
      <c r="A899" s="64" t="s">
        <v>97</v>
      </c>
      <c r="B899" s="65" t="s">
        <v>98</v>
      </c>
      <c r="C899" s="66" t="s">
        <v>99</v>
      </c>
      <c r="D899" s="67" t="s">
        <v>100</v>
      </c>
      <c r="E899" s="64" t="s">
        <v>101</v>
      </c>
      <c r="F899" s="64" t="s">
        <v>102</v>
      </c>
    </row>
    <row r="900" spans="1:6" ht="12.75" customHeight="1" outlineLevel="1" x14ac:dyDescent="0.3">
      <c r="A900" s="64" t="s">
        <v>103</v>
      </c>
      <c r="B900" s="65"/>
      <c r="C900" s="66"/>
      <c r="D900" s="67"/>
      <c r="E900" s="66"/>
      <c r="F900" s="66">
        <f>SUM(F901:F903)</f>
        <v>2.0649999999999999</v>
      </c>
    </row>
    <row r="901" spans="1:6" ht="12.75" customHeight="1" outlineLevel="1" x14ac:dyDescent="0.25">
      <c r="A901" s="44" t="s">
        <v>108</v>
      </c>
      <c r="B901" s="68" t="s">
        <v>109</v>
      </c>
      <c r="C901" s="41">
        <v>0.1</v>
      </c>
      <c r="D901" s="69">
        <f>C901*$E$898/$B$898</f>
        <v>4.0000000000000001E-3</v>
      </c>
      <c r="E901" s="41">
        <f>VLOOKUP(A901,INSUMOS!$B$7:$D$42,3,0)</f>
        <v>49.166666666666664</v>
      </c>
      <c r="F901" s="41">
        <f>PRODUCT(D901:E901)</f>
        <v>0.19666666666666666</v>
      </c>
    </row>
    <row r="902" spans="1:6" ht="12.75" customHeight="1" outlineLevel="1" x14ac:dyDescent="0.25">
      <c r="A902" s="44" t="s">
        <v>113</v>
      </c>
      <c r="B902" s="68" t="s">
        <v>109</v>
      </c>
      <c r="C902" s="41">
        <v>1</v>
      </c>
      <c r="D902" s="69">
        <f>C902*$E$898/$B$898</f>
        <v>0.04</v>
      </c>
      <c r="E902" s="41">
        <f>VLOOKUP(A902,INSUMOS!$B$7:$D$42,3,0)</f>
        <v>27.041666666666668</v>
      </c>
      <c r="F902" s="41">
        <f>PRODUCT(D902:E902)</f>
        <v>1.0816666666666668</v>
      </c>
    </row>
    <row r="903" spans="1:6" ht="12.75" customHeight="1" outlineLevel="1" x14ac:dyDescent="0.25">
      <c r="A903" s="44" t="s">
        <v>144</v>
      </c>
      <c r="B903" s="68" t="s">
        <v>109</v>
      </c>
      <c r="C903" s="41">
        <v>1</v>
      </c>
      <c r="D903" s="69">
        <f>C903*$E$898/$B$898</f>
        <v>0.04</v>
      </c>
      <c r="E903" s="41">
        <f>VLOOKUP(A903,INSUMOS!$B$7:$D$42,3,0)</f>
        <v>19.666666666666668</v>
      </c>
      <c r="F903" s="41">
        <f>PRODUCT(D903:E903)</f>
        <v>0.78666666666666674</v>
      </c>
    </row>
    <row r="904" spans="1:6" ht="12.75" customHeight="1" outlineLevel="1" x14ac:dyDescent="0.3">
      <c r="A904" s="64" t="s">
        <v>116</v>
      </c>
      <c r="B904" s="65"/>
      <c r="C904" s="66"/>
      <c r="D904" s="67"/>
      <c r="E904" s="66"/>
      <c r="F904" s="66">
        <f>SUM(F905:F906)</f>
        <v>5.6000000000000005</v>
      </c>
    </row>
    <row r="905" spans="1:6" ht="12.75" customHeight="1" outlineLevel="1" x14ac:dyDescent="0.25">
      <c r="A905" s="44" t="s">
        <v>124</v>
      </c>
      <c r="B905" s="68" t="s">
        <v>118</v>
      </c>
      <c r="C905" s="41"/>
      <c r="D905" s="69">
        <v>0.05</v>
      </c>
      <c r="E905" s="41">
        <f>VLOOKUP(A905,INSUMOS!$B$7:$D$42,3,0)</f>
        <v>5</v>
      </c>
      <c r="F905" s="41">
        <f>PRODUCT(D905:E905)</f>
        <v>0.25</v>
      </c>
    </row>
    <row r="906" spans="1:6" ht="12.75" customHeight="1" outlineLevel="1" x14ac:dyDescent="0.25">
      <c r="A906" s="44" t="s">
        <v>168</v>
      </c>
      <c r="B906" s="68" t="s">
        <v>118</v>
      </c>
      <c r="C906" s="41"/>
      <c r="D906" s="69">
        <v>1.07</v>
      </c>
      <c r="E906" s="41">
        <f>VLOOKUP(A906,INSUMOS!$B$7:$D$42,3,0)</f>
        <v>5</v>
      </c>
      <c r="F906" s="41">
        <f>PRODUCT(D906:E906)</f>
        <v>5.3500000000000005</v>
      </c>
    </row>
    <row r="907" spans="1:6" ht="12.75" customHeight="1" outlineLevel="1" x14ac:dyDescent="0.3">
      <c r="A907" s="64" t="s">
        <v>105</v>
      </c>
      <c r="B907" s="65"/>
      <c r="C907" s="66"/>
      <c r="D907" s="67"/>
      <c r="E907" s="66"/>
      <c r="F907" s="66">
        <f>SUM(F908)</f>
        <v>0.20649999999999999</v>
      </c>
    </row>
    <row r="908" spans="1:6" ht="12.75" customHeight="1" outlineLevel="1" x14ac:dyDescent="0.25">
      <c r="A908" s="44" t="s">
        <v>111</v>
      </c>
      <c r="B908" s="68" t="s">
        <v>112</v>
      </c>
      <c r="C908" s="41"/>
      <c r="D908" s="69">
        <v>10</v>
      </c>
      <c r="E908" s="41">
        <f>F900</f>
        <v>2.0649999999999999</v>
      </c>
      <c r="F908" s="41">
        <f>D908*E908/100</f>
        <v>0.20649999999999999</v>
      </c>
    </row>
    <row r="909" spans="1:6" ht="12.75" customHeight="1" outlineLevel="1" x14ac:dyDescent="0.25">
      <c r="B909" s="1"/>
      <c r="C909" s="21"/>
    </row>
    <row r="910" spans="1:6" ht="12.75" customHeight="1" x14ac:dyDescent="0.3">
      <c r="A910" s="54" t="s">
        <v>11</v>
      </c>
      <c r="B910" s="55"/>
      <c r="C910" s="56"/>
      <c r="D910" s="57"/>
      <c r="E910" s="58" t="s">
        <v>92</v>
      </c>
      <c r="F910" s="59">
        <f>F913+F917+F920</f>
        <v>8.0214999999999996</v>
      </c>
    </row>
    <row r="911" spans="1:6" ht="12.75" customHeight="1" outlineLevel="1" x14ac:dyDescent="0.3">
      <c r="A911" s="60" t="s">
        <v>93</v>
      </c>
      <c r="B911" s="61">
        <v>200</v>
      </c>
      <c r="C911" s="62" t="s">
        <v>170</v>
      </c>
      <c r="D911" s="63" t="s">
        <v>95</v>
      </c>
      <c r="E911" s="60">
        <v>8</v>
      </c>
      <c r="F911" s="60" t="s">
        <v>96</v>
      </c>
    </row>
    <row r="912" spans="1:6" ht="12.75" customHeight="1" outlineLevel="1" x14ac:dyDescent="0.3">
      <c r="A912" s="64" t="s">
        <v>97</v>
      </c>
      <c r="B912" s="65" t="s">
        <v>98</v>
      </c>
      <c r="C912" s="66" t="s">
        <v>99</v>
      </c>
      <c r="D912" s="67" t="s">
        <v>100</v>
      </c>
      <c r="E912" s="64" t="s">
        <v>101</v>
      </c>
      <c r="F912" s="64" t="s">
        <v>102</v>
      </c>
    </row>
    <row r="913" spans="1:6" ht="12.75" customHeight="1" outlineLevel="1" x14ac:dyDescent="0.3">
      <c r="A913" s="64" t="s">
        <v>103</v>
      </c>
      <c r="B913" s="65"/>
      <c r="C913" s="66"/>
      <c r="D913" s="67"/>
      <c r="E913" s="66"/>
      <c r="F913" s="66">
        <f>SUM(F914:F916)</f>
        <v>2.0649999999999999</v>
      </c>
    </row>
    <row r="914" spans="1:6" ht="12.75" customHeight="1" outlineLevel="1" x14ac:dyDescent="0.25">
      <c r="A914" s="44" t="s">
        <v>108</v>
      </c>
      <c r="B914" s="68" t="s">
        <v>109</v>
      </c>
      <c r="C914" s="41">
        <v>0.1</v>
      </c>
      <c r="D914" s="69">
        <f>C914*$E$911/$B$911</f>
        <v>4.0000000000000001E-3</v>
      </c>
      <c r="E914" s="41">
        <f>VLOOKUP(A914,INSUMOS!$B$7:$D$42,3,0)</f>
        <v>49.166666666666664</v>
      </c>
      <c r="F914" s="41">
        <f>PRODUCT(D914:E914)</f>
        <v>0.19666666666666666</v>
      </c>
    </row>
    <row r="915" spans="1:6" ht="12.75" customHeight="1" outlineLevel="1" x14ac:dyDescent="0.25">
      <c r="A915" s="44" t="s">
        <v>113</v>
      </c>
      <c r="B915" s="68" t="s">
        <v>109</v>
      </c>
      <c r="C915" s="41">
        <v>1</v>
      </c>
      <c r="D915" s="69">
        <f>C915*$E$911/$B$911</f>
        <v>0.04</v>
      </c>
      <c r="E915" s="41">
        <f>VLOOKUP(A915,INSUMOS!$B$7:$D$42,3,0)</f>
        <v>27.041666666666668</v>
      </c>
      <c r="F915" s="41">
        <f>PRODUCT(D915:E915)</f>
        <v>1.0816666666666668</v>
      </c>
    </row>
    <row r="916" spans="1:6" ht="12.75" customHeight="1" outlineLevel="1" x14ac:dyDescent="0.25">
      <c r="A916" s="44" t="s">
        <v>144</v>
      </c>
      <c r="B916" s="68" t="s">
        <v>109</v>
      </c>
      <c r="C916" s="41">
        <v>1</v>
      </c>
      <c r="D916" s="69">
        <f>C916*$E$911/$B$911</f>
        <v>0.04</v>
      </c>
      <c r="E916" s="41">
        <f>VLOOKUP(A916,INSUMOS!$B$7:$D$42,3,0)</f>
        <v>19.666666666666668</v>
      </c>
      <c r="F916" s="41">
        <f>PRODUCT(D916:E916)</f>
        <v>0.78666666666666674</v>
      </c>
    </row>
    <row r="917" spans="1:6" ht="12.75" customHeight="1" outlineLevel="1" x14ac:dyDescent="0.3">
      <c r="A917" s="64" t="s">
        <v>116</v>
      </c>
      <c r="B917" s="65"/>
      <c r="C917" s="66"/>
      <c r="D917" s="67"/>
      <c r="E917" s="66"/>
      <c r="F917" s="66">
        <f>SUM(F918:F919)</f>
        <v>5.75</v>
      </c>
    </row>
    <row r="918" spans="1:6" ht="12.75" customHeight="1" outlineLevel="1" x14ac:dyDescent="0.25">
      <c r="A918" s="44" t="s">
        <v>124</v>
      </c>
      <c r="B918" s="68" t="s">
        <v>118</v>
      </c>
      <c r="C918" s="41"/>
      <c r="D918" s="69">
        <v>0.05</v>
      </c>
      <c r="E918" s="41">
        <f>VLOOKUP(A918,INSUMOS!$B$7:$D$42,3,0)</f>
        <v>5</v>
      </c>
      <c r="F918" s="41">
        <f>PRODUCT(D918:E918)</f>
        <v>0.25</v>
      </c>
    </row>
    <row r="919" spans="1:6" ht="12.75" customHeight="1" outlineLevel="1" x14ac:dyDescent="0.25">
      <c r="A919" s="44" t="s">
        <v>168</v>
      </c>
      <c r="B919" s="68" t="s">
        <v>118</v>
      </c>
      <c r="C919" s="41"/>
      <c r="D919" s="69">
        <v>1.1000000000000001</v>
      </c>
      <c r="E919" s="41">
        <f>VLOOKUP(A919,INSUMOS!$B$7:$D$42,3,0)</f>
        <v>5</v>
      </c>
      <c r="F919" s="41">
        <f>PRODUCT(D919:E919)</f>
        <v>5.5</v>
      </c>
    </row>
    <row r="920" spans="1:6" ht="12.75" customHeight="1" outlineLevel="1" x14ac:dyDescent="0.3">
      <c r="A920" s="64" t="s">
        <v>105</v>
      </c>
      <c r="B920" s="65"/>
      <c r="C920" s="66"/>
      <c r="D920" s="67"/>
      <c r="E920" s="66"/>
      <c r="F920" s="66">
        <f>SUM(F921)</f>
        <v>0.20649999999999999</v>
      </c>
    </row>
    <row r="921" spans="1:6" ht="12.75" customHeight="1" outlineLevel="1" x14ac:dyDescent="0.25">
      <c r="A921" s="44" t="s">
        <v>111</v>
      </c>
      <c r="B921" s="68" t="s">
        <v>112</v>
      </c>
      <c r="C921" s="41"/>
      <c r="D921" s="69">
        <v>10</v>
      </c>
      <c r="E921" s="41">
        <f>F913</f>
        <v>2.0649999999999999</v>
      </c>
      <c r="F921" s="41">
        <f>D921*E921/100</f>
        <v>0.20649999999999999</v>
      </c>
    </row>
    <row r="922" spans="1:6" ht="12.75" customHeight="1" outlineLevel="1" x14ac:dyDescent="0.25">
      <c r="B922" s="1"/>
      <c r="C922" s="21"/>
    </row>
    <row r="923" spans="1:6" ht="12.75" customHeight="1" x14ac:dyDescent="0.3">
      <c r="A923" s="54" t="s">
        <v>180</v>
      </c>
      <c r="B923" s="55"/>
      <c r="C923" s="56"/>
      <c r="D923" s="57"/>
      <c r="E923" s="58" t="s">
        <v>92</v>
      </c>
      <c r="F923" s="59">
        <f>F926+F930+F933</f>
        <v>8.0214999999999996</v>
      </c>
    </row>
    <row r="924" spans="1:6" ht="12.75" hidden="1" customHeight="1" outlineLevel="1" x14ac:dyDescent="0.3">
      <c r="A924" s="60" t="s">
        <v>93</v>
      </c>
      <c r="B924" s="61">
        <f>+B911</f>
        <v>200</v>
      </c>
      <c r="C924" s="62" t="s">
        <v>170</v>
      </c>
      <c r="D924" s="63" t="s">
        <v>95</v>
      </c>
      <c r="E924" s="60">
        <v>8</v>
      </c>
      <c r="F924" s="60" t="s">
        <v>96</v>
      </c>
    </row>
    <row r="925" spans="1:6" ht="12.75" hidden="1" customHeight="1" outlineLevel="1" x14ac:dyDescent="0.3">
      <c r="A925" s="64" t="s">
        <v>97</v>
      </c>
      <c r="B925" s="65" t="s">
        <v>98</v>
      </c>
      <c r="C925" s="66" t="s">
        <v>99</v>
      </c>
      <c r="D925" s="67" t="s">
        <v>100</v>
      </c>
      <c r="E925" s="64" t="s">
        <v>101</v>
      </c>
      <c r="F925" s="64" t="s">
        <v>102</v>
      </c>
    </row>
    <row r="926" spans="1:6" ht="12.75" hidden="1" customHeight="1" outlineLevel="1" x14ac:dyDescent="0.3">
      <c r="A926" s="64" t="s">
        <v>103</v>
      </c>
      <c r="B926" s="65"/>
      <c r="C926" s="66"/>
      <c r="D926" s="67"/>
      <c r="E926" s="66"/>
      <c r="F926" s="66">
        <f>SUM(F927:F929)</f>
        <v>2.0649999999999999</v>
      </c>
    </row>
    <row r="927" spans="1:6" ht="12.75" hidden="1" customHeight="1" outlineLevel="1" x14ac:dyDescent="0.25">
      <c r="A927" s="44" t="s">
        <v>108</v>
      </c>
      <c r="B927" s="68" t="s">
        <v>109</v>
      </c>
      <c r="C927" s="41">
        <v>0.1</v>
      </c>
      <c r="D927" s="69">
        <f>C927*$E$924/$B$924</f>
        <v>4.0000000000000001E-3</v>
      </c>
      <c r="E927" s="41">
        <f>VLOOKUP(A927,INSUMOS!$B$7:$D$42,3,0)</f>
        <v>49.166666666666664</v>
      </c>
      <c r="F927" s="41">
        <f>PRODUCT(D927:E927)</f>
        <v>0.19666666666666666</v>
      </c>
    </row>
    <row r="928" spans="1:6" ht="12.75" hidden="1" customHeight="1" outlineLevel="1" x14ac:dyDescent="0.25">
      <c r="A928" s="44" t="s">
        <v>113</v>
      </c>
      <c r="B928" s="68" t="s">
        <v>109</v>
      </c>
      <c r="C928" s="41">
        <v>1</v>
      </c>
      <c r="D928" s="69">
        <f>C928*$E$924/$B$924</f>
        <v>0.04</v>
      </c>
      <c r="E928" s="41">
        <f>VLOOKUP(A928,INSUMOS!$B$7:$D$42,3,0)</f>
        <v>27.041666666666668</v>
      </c>
      <c r="F928" s="41">
        <f>PRODUCT(D928:E928)</f>
        <v>1.0816666666666668</v>
      </c>
    </row>
    <row r="929" spans="1:6" ht="12.75" hidden="1" customHeight="1" outlineLevel="1" x14ac:dyDescent="0.25">
      <c r="A929" s="44" t="s">
        <v>144</v>
      </c>
      <c r="B929" s="68" t="s">
        <v>109</v>
      </c>
      <c r="C929" s="41">
        <v>1</v>
      </c>
      <c r="D929" s="69">
        <f>C929*$E$924/$B$924</f>
        <v>0.04</v>
      </c>
      <c r="E929" s="41">
        <f>VLOOKUP(A929,INSUMOS!$B$7:$D$42,3,0)</f>
        <v>19.666666666666668</v>
      </c>
      <c r="F929" s="41">
        <f>PRODUCT(D929:E929)</f>
        <v>0.78666666666666674</v>
      </c>
    </row>
    <row r="930" spans="1:6" ht="12.75" hidden="1" customHeight="1" outlineLevel="1" x14ac:dyDescent="0.3">
      <c r="A930" s="64" t="s">
        <v>116</v>
      </c>
      <c r="B930" s="65"/>
      <c r="C930" s="66"/>
      <c r="D930" s="67"/>
      <c r="E930" s="66"/>
      <c r="F930" s="66">
        <f>SUM(F931:F932)</f>
        <v>5.75</v>
      </c>
    </row>
    <row r="931" spans="1:6" ht="12.75" hidden="1" customHeight="1" outlineLevel="1" x14ac:dyDescent="0.25">
      <c r="A931" s="44" t="s">
        <v>124</v>
      </c>
      <c r="B931" s="68" t="s">
        <v>118</v>
      </c>
      <c r="C931" s="41"/>
      <c r="D931" s="69">
        <v>0.05</v>
      </c>
      <c r="E931" s="41">
        <f>VLOOKUP(A931,INSUMOS!$B$7:$D$42,3,0)</f>
        <v>5</v>
      </c>
      <c r="F931" s="41">
        <f>PRODUCT(D931:E931)</f>
        <v>0.25</v>
      </c>
    </row>
    <row r="932" spans="1:6" ht="12.75" hidden="1" customHeight="1" outlineLevel="1" x14ac:dyDescent="0.25">
      <c r="A932" s="44" t="s">
        <v>168</v>
      </c>
      <c r="B932" s="68" t="s">
        <v>118</v>
      </c>
      <c r="C932" s="41"/>
      <c r="D932" s="69">
        <v>1.1000000000000001</v>
      </c>
      <c r="E932" s="41">
        <f>VLOOKUP(A932,INSUMOS!$B$7:$D$42,3,0)</f>
        <v>5</v>
      </c>
      <c r="F932" s="41">
        <f>PRODUCT(D932:E932)</f>
        <v>5.5</v>
      </c>
    </row>
    <row r="933" spans="1:6" ht="12.75" hidden="1" customHeight="1" outlineLevel="1" x14ac:dyDescent="0.3">
      <c r="A933" s="64" t="s">
        <v>105</v>
      </c>
      <c r="B933" s="65"/>
      <c r="C933" s="66"/>
      <c r="D933" s="67"/>
      <c r="E933" s="66"/>
      <c r="F933" s="66">
        <f>SUM(F934)</f>
        <v>0.20649999999999999</v>
      </c>
    </row>
    <row r="934" spans="1:6" ht="12.75" hidden="1" customHeight="1" outlineLevel="1" x14ac:dyDescent="0.25">
      <c r="A934" s="44" t="s">
        <v>111</v>
      </c>
      <c r="B934" s="68" t="s">
        <v>112</v>
      </c>
      <c r="C934" s="41"/>
      <c r="D934" s="69">
        <v>10</v>
      </c>
      <c r="E934" s="41">
        <f>F926</f>
        <v>2.0649999999999999</v>
      </c>
      <c r="F934" s="41">
        <f>D934*E934/100</f>
        <v>0.20649999999999999</v>
      </c>
    </row>
    <row r="935" spans="1:6" ht="12.75" hidden="1" customHeight="1" outlineLevel="1" x14ac:dyDescent="0.25">
      <c r="B935" s="1"/>
      <c r="C935" s="21"/>
    </row>
    <row r="936" spans="1:6" ht="12.75" customHeight="1" collapsed="1" x14ac:dyDescent="0.3">
      <c r="A936" s="54" t="s">
        <v>48</v>
      </c>
      <c r="B936" s="55"/>
      <c r="C936" s="56"/>
      <c r="D936" s="57"/>
      <c r="E936" s="58" t="s">
        <v>92</v>
      </c>
      <c r="F936" s="59">
        <f>F939+F943+F946</f>
        <v>7.4172000000000011</v>
      </c>
    </row>
    <row r="937" spans="1:6" ht="12.75" customHeight="1" outlineLevel="1" x14ac:dyDescent="0.3">
      <c r="A937" s="60" t="s">
        <v>93</v>
      </c>
      <c r="B937" s="61">
        <v>250</v>
      </c>
      <c r="C937" s="62" t="s">
        <v>170</v>
      </c>
      <c r="D937" s="63" t="s">
        <v>95</v>
      </c>
      <c r="E937" s="60">
        <v>8</v>
      </c>
      <c r="F937" s="60" t="s">
        <v>96</v>
      </c>
    </row>
    <row r="938" spans="1:6" ht="12.75" customHeight="1" outlineLevel="1" x14ac:dyDescent="0.3">
      <c r="A938" s="64" t="s">
        <v>97</v>
      </c>
      <c r="B938" s="65" t="s">
        <v>98</v>
      </c>
      <c r="C938" s="66" t="s">
        <v>99</v>
      </c>
      <c r="D938" s="67" t="s">
        <v>100</v>
      </c>
      <c r="E938" s="64" t="s">
        <v>101</v>
      </c>
      <c r="F938" s="64" t="s">
        <v>102</v>
      </c>
    </row>
    <row r="939" spans="1:6" ht="12.75" customHeight="1" outlineLevel="1" x14ac:dyDescent="0.3">
      <c r="A939" s="64" t="s">
        <v>103</v>
      </c>
      <c r="B939" s="65"/>
      <c r="C939" s="66"/>
      <c r="D939" s="67"/>
      <c r="E939" s="66"/>
      <c r="F939" s="66">
        <f>SUM(F940:F942)</f>
        <v>1.6520000000000001</v>
      </c>
    </row>
    <row r="940" spans="1:6" ht="12.75" customHeight="1" outlineLevel="1" x14ac:dyDescent="0.25">
      <c r="A940" s="44" t="s">
        <v>108</v>
      </c>
      <c r="B940" s="68" t="s">
        <v>109</v>
      </c>
      <c r="C940" s="41">
        <v>0.1</v>
      </c>
      <c r="D940" s="69">
        <f>C940*$E$937/$B$937</f>
        <v>3.2000000000000002E-3</v>
      </c>
      <c r="E940" s="41">
        <f>VLOOKUP(A940,INSUMOS!$B$7:$D$42,3,0)</f>
        <v>49.166666666666664</v>
      </c>
      <c r="F940" s="41">
        <f>PRODUCT(D940:E940)</f>
        <v>0.15733333333333333</v>
      </c>
    </row>
    <row r="941" spans="1:6" ht="12.75" customHeight="1" outlineLevel="1" x14ac:dyDescent="0.25">
      <c r="A941" s="44" t="s">
        <v>113</v>
      </c>
      <c r="B941" s="68" t="s">
        <v>109</v>
      </c>
      <c r="C941" s="41">
        <v>1</v>
      </c>
      <c r="D941" s="69">
        <f>C941*$E$937/$B$937</f>
        <v>3.2000000000000001E-2</v>
      </c>
      <c r="E941" s="41">
        <f>VLOOKUP(A941,INSUMOS!$B$7:$D$42,3,0)</f>
        <v>27.041666666666668</v>
      </c>
      <c r="F941" s="41">
        <f>PRODUCT(D941:E941)</f>
        <v>0.8653333333333334</v>
      </c>
    </row>
    <row r="942" spans="1:6" ht="12.75" customHeight="1" outlineLevel="1" x14ac:dyDescent="0.25">
      <c r="A942" s="44" t="s">
        <v>144</v>
      </c>
      <c r="B942" s="68" t="s">
        <v>109</v>
      </c>
      <c r="C942" s="41">
        <v>1</v>
      </c>
      <c r="D942" s="69">
        <f>C942*$E$937/$B$937</f>
        <v>3.2000000000000001E-2</v>
      </c>
      <c r="E942" s="41">
        <f>VLOOKUP(A942,INSUMOS!$B$7:$D$42,3,0)</f>
        <v>19.666666666666668</v>
      </c>
      <c r="F942" s="41">
        <f>PRODUCT(D942:E942)</f>
        <v>0.62933333333333341</v>
      </c>
    </row>
    <row r="943" spans="1:6" ht="12.75" customHeight="1" outlineLevel="1" x14ac:dyDescent="0.3">
      <c r="A943" s="64" t="s">
        <v>116</v>
      </c>
      <c r="B943" s="65"/>
      <c r="C943" s="66"/>
      <c r="D943" s="67"/>
      <c r="E943" s="66"/>
      <c r="F943" s="66">
        <f>SUM(F944:F945)</f>
        <v>5.6000000000000005</v>
      </c>
    </row>
    <row r="944" spans="1:6" ht="12.75" customHeight="1" outlineLevel="1" x14ac:dyDescent="0.25">
      <c r="A944" s="44" t="s">
        <v>124</v>
      </c>
      <c r="B944" s="68" t="s">
        <v>118</v>
      </c>
      <c r="C944" s="41"/>
      <c r="D944" s="69">
        <v>0.05</v>
      </c>
      <c r="E944" s="41">
        <f>VLOOKUP(A944,INSUMOS!$B$7:$D$42,3,0)</f>
        <v>5</v>
      </c>
      <c r="F944" s="41">
        <f>PRODUCT(D944:E944)</f>
        <v>0.25</v>
      </c>
    </row>
    <row r="945" spans="1:6" ht="12.75" customHeight="1" outlineLevel="1" x14ac:dyDescent="0.25">
      <c r="A945" s="44" t="s">
        <v>168</v>
      </c>
      <c r="B945" s="68" t="s">
        <v>118</v>
      </c>
      <c r="C945" s="41"/>
      <c r="D945" s="69">
        <v>1.07</v>
      </c>
      <c r="E945" s="41">
        <f>VLOOKUP(A945,INSUMOS!$B$7:$D$42,3,0)</f>
        <v>5</v>
      </c>
      <c r="F945" s="41">
        <f>PRODUCT(D945:E945)</f>
        <v>5.3500000000000005</v>
      </c>
    </row>
    <row r="946" spans="1:6" ht="12.75" customHeight="1" outlineLevel="1" x14ac:dyDescent="0.3">
      <c r="A946" s="64" t="s">
        <v>105</v>
      </c>
      <c r="B946" s="65"/>
      <c r="C946" s="66"/>
      <c r="D946" s="67"/>
      <c r="E946" s="66"/>
      <c r="F946" s="66">
        <f>SUM(F947)</f>
        <v>0.16520000000000004</v>
      </c>
    </row>
    <row r="947" spans="1:6" ht="12.75" customHeight="1" outlineLevel="1" x14ac:dyDescent="0.25">
      <c r="A947" s="44" t="s">
        <v>111</v>
      </c>
      <c r="B947" s="68" t="s">
        <v>112</v>
      </c>
      <c r="C947" s="41"/>
      <c r="D947" s="69">
        <v>10</v>
      </c>
      <c r="E947" s="41">
        <f>F939</f>
        <v>1.6520000000000001</v>
      </c>
      <c r="F947" s="41">
        <f>D947*E947/100</f>
        <v>0.16520000000000004</v>
      </c>
    </row>
    <row r="948" spans="1:6" ht="12.75" customHeight="1" outlineLevel="1" x14ac:dyDescent="0.25">
      <c r="A948" s="75"/>
      <c r="B948" s="72"/>
      <c r="C948" s="73"/>
      <c r="D948" s="74"/>
      <c r="E948" s="41"/>
      <c r="F948" s="41"/>
    </row>
    <row r="949" spans="1:6" ht="12.75" customHeight="1" x14ac:dyDescent="0.3">
      <c r="A949" s="54" t="s">
        <v>16</v>
      </c>
      <c r="B949" s="55"/>
      <c r="C949" s="56"/>
      <c r="D949" s="57"/>
      <c r="E949" s="58" t="s">
        <v>92</v>
      </c>
      <c r="F949" s="59">
        <f>F952+F956+F959</f>
        <v>7.4172000000000011</v>
      </c>
    </row>
    <row r="950" spans="1:6" ht="12.75" customHeight="1" outlineLevel="1" x14ac:dyDescent="0.3">
      <c r="A950" s="60" t="s">
        <v>93</v>
      </c>
      <c r="B950" s="61">
        <f>+B937</f>
        <v>250</v>
      </c>
      <c r="C950" s="62" t="s">
        <v>170</v>
      </c>
      <c r="D950" s="63" t="s">
        <v>95</v>
      </c>
      <c r="E950" s="60">
        <v>8</v>
      </c>
      <c r="F950" s="60" t="s">
        <v>96</v>
      </c>
    </row>
    <row r="951" spans="1:6" ht="12.75" customHeight="1" outlineLevel="1" x14ac:dyDescent="0.3">
      <c r="A951" s="64" t="s">
        <v>97</v>
      </c>
      <c r="B951" s="65" t="s">
        <v>98</v>
      </c>
      <c r="C951" s="66" t="s">
        <v>99</v>
      </c>
      <c r="D951" s="67" t="s">
        <v>100</v>
      </c>
      <c r="E951" s="64" t="s">
        <v>101</v>
      </c>
      <c r="F951" s="64" t="s">
        <v>102</v>
      </c>
    </row>
    <row r="952" spans="1:6" ht="12.75" customHeight="1" outlineLevel="1" x14ac:dyDescent="0.3">
      <c r="A952" s="64" t="s">
        <v>103</v>
      </c>
      <c r="B952" s="65"/>
      <c r="C952" s="66"/>
      <c r="D952" s="67"/>
      <c r="E952" s="66"/>
      <c r="F952" s="66">
        <f>SUM(F953:F955)</f>
        <v>1.6520000000000001</v>
      </c>
    </row>
    <row r="953" spans="1:6" ht="12.75" customHeight="1" outlineLevel="1" x14ac:dyDescent="0.25">
      <c r="A953" s="44" t="s">
        <v>108</v>
      </c>
      <c r="B953" s="68" t="s">
        <v>109</v>
      </c>
      <c r="C953" s="41">
        <v>0.1</v>
      </c>
      <c r="D953" s="69">
        <f>C953*$E$950/$B$950</f>
        <v>3.2000000000000002E-3</v>
      </c>
      <c r="E953" s="41">
        <f>VLOOKUP(A953,INSUMOS!$B$7:$D$42,3,0)</f>
        <v>49.166666666666664</v>
      </c>
      <c r="F953" s="41">
        <f>PRODUCT(D953:E953)</f>
        <v>0.15733333333333333</v>
      </c>
    </row>
    <row r="954" spans="1:6" ht="12.75" customHeight="1" outlineLevel="1" x14ac:dyDescent="0.25">
      <c r="A954" s="44" t="s">
        <v>113</v>
      </c>
      <c r="B954" s="68" t="s">
        <v>109</v>
      </c>
      <c r="C954" s="41">
        <v>1</v>
      </c>
      <c r="D954" s="69">
        <f>C954*$E$950/$B$950</f>
        <v>3.2000000000000001E-2</v>
      </c>
      <c r="E954" s="41">
        <f>VLOOKUP(A954,INSUMOS!$B$7:$D$42,3,0)</f>
        <v>27.041666666666668</v>
      </c>
      <c r="F954" s="41">
        <f>PRODUCT(D954:E954)</f>
        <v>0.8653333333333334</v>
      </c>
    </row>
    <row r="955" spans="1:6" ht="12.75" customHeight="1" outlineLevel="1" x14ac:dyDescent="0.25">
      <c r="A955" s="44" t="s">
        <v>144</v>
      </c>
      <c r="B955" s="68" t="s">
        <v>109</v>
      </c>
      <c r="C955" s="41">
        <v>1</v>
      </c>
      <c r="D955" s="69">
        <f>C955*$E$950/$B$950</f>
        <v>3.2000000000000001E-2</v>
      </c>
      <c r="E955" s="41">
        <f>VLOOKUP(A955,INSUMOS!$B$7:$D$42,3,0)</f>
        <v>19.666666666666668</v>
      </c>
      <c r="F955" s="41">
        <f>PRODUCT(D955:E955)</f>
        <v>0.62933333333333341</v>
      </c>
    </row>
    <row r="956" spans="1:6" ht="12.75" customHeight="1" outlineLevel="1" x14ac:dyDescent="0.3">
      <c r="A956" s="64" t="s">
        <v>116</v>
      </c>
      <c r="B956" s="65"/>
      <c r="C956" s="66"/>
      <c r="D956" s="67"/>
      <c r="E956" s="66"/>
      <c r="F956" s="66">
        <f>SUM(F957:F958)</f>
        <v>5.6000000000000005</v>
      </c>
    </row>
    <row r="957" spans="1:6" ht="12.75" customHeight="1" outlineLevel="1" x14ac:dyDescent="0.25">
      <c r="A957" s="44" t="s">
        <v>124</v>
      </c>
      <c r="B957" s="68" t="s">
        <v>118</v>
      </c>
      <c r="C957" s="41"/>
      <c r="D957" s="69">
        <v>0.05</v>
      </c>
      <c r="E957" s="41">
        <f>VLOOKUP(A957,INSUMOS!$B$7:$D$42,3,0)</f>
        <v>5</v>
      </c>
      <c r="F957" s="41">
        <f>PRODUCT(D957:E957)</f>
        <v>0.25</v>
      </c>
    </row>
    <row r="958" spans="1:6" ht="12.75" customHeight="1" outlineLevel="1" x14ac:dyDescent="0.25">
      <c r="A958" s="44" t="s">
        <v>168</v>
      </c>
      <c r="B958" s="68" t="s">
        <v>118</v>
      </c>
      <c r="C958" s="41"/>
      <c r="D958" s="69">
        <v>1.07</v>
      </c>
      <c r="E958" s="41">
        <f>VLOOKUP(A958,INSUMOS!$B$7:$D$42,3,0)</f>
        <v>5</v>
      </c>
      <c r="F958" s="41">
        <f>PRODUCT(D958:E958)</f>
        <v>5.3500000000000005</v>
      </c>
    </row>
    <row r="959" spans="1:6" ht="12.75" customHeight="1" outlineLevel="1" x14ac:dyDescent="0.3">
      <c r="A959" s="64" t="s">
        <v>105</v>
      </c>
      <c r="B959" s="65"/>
      <c r="C959" s="66"/>
      <c r="D959" s="67"/>
      <c r="E959" s="66"/>
      <c r="F959" s="66">
        <f>SUM(F960)</f>
        <v>0.16520000000000004</v>
      </c>
    </row>
    <row r="960" spans="1:6" ht="12.75" customHeight="1" outlineLevel="1" x14ac:dyDescent="0.25">
      <c r="A960" s="44" t="s">
        <v>111</v>
      </c>
      <c r="B960" s="68" t="s">
        <v>112</v>
      </c>
      <c r="C960" s="41"/>
      <c r="D960" s="69">
        <v>10</v>
      </c>
      <c r="E960" s="41">
        <f>F952</f>
        <v>1.6520000000000001</v>
      </c>
      <c r="F960" s="41">
        <f>D960*E960/100</f>
        <v>0.16520000000000004</v>
      </c>
    </row>
    <row r="961" spans="1:6" ht="12.75" customHeight="1" outlineLevel="1" x14ac:dyDescent="0.25">
      <c r="B961" s="1"/>
      <c r="C961" s="21"/>
    </row>
    <row r="962" spans="1:6" ht="12.75" customHeight="1" x14ac:dyDescent="0.3">
      <c r="A962" s="54" t="s">
        <v>19</v>
      </c>
      <c r="B962" s="55"/>
      <c r="C962" s="56"/>
      <c r="D962" s="57"/>
      <c r="E962" s="58" t="s">
        <v>92</v>
      </c>
      <c r="F962" s="59">
        <f>F965+F969+F972</f>
        <v>7.4172000000000011</v>
      </c>
    </row>
    <row r="963" spans="1:6" ht="12.75" customHeight="1" outlineLevel="1" x14ac:dyDescent="0.3">
      <c r="A963" s="60" t="s">
        <v>93</v>
      </c>
      <c r="B963" s="61">
        <f>+B950</f>
        <v>250</v>
      </c>
      <c r="C963" s="62" t="s">
        <v>170</v>
      </c>
      <c r="D963" s="63" t="s">
        <v>95</v>
      </c>
      <c r="E963" s="60">
        <v>8</v>
      </c>
      <c r="F963" s="60" t="s">
        <v>96</v>
      </c>
    </row>
    <row r="964" spans="1:6" ht="12.75" customHeight="1" outlineLevel="1" x14ac:dyDescent="0.3">
      <c r="A964" s="64" t="s">
        <v>97</v>
      </c>
      <c r="B964" s="65" t="s">
        <v>98</v>
      </c>
      <c r="C964" s="66" t="s">
        <v>99</v>
      </c>
      <c r="D964" s="67" t="s">
        <v>100</v>
      </c>
      <c r="E964" s="64" t="s">
        <v>101</v>
      </c>
      <c r="F964" s="64" t="s">
        <v>102</v>
      </c>
    </row>
    <row r="965" spans="1:6" ht="12.75" customHeight="1" outlineLevel="1" x14ac:dyDescent="0.3">
      <c r="A965" s="64" t="s">
        <v>103</v>
      </c>
      <c r="B965" s="65"/>
      <c r="C965" s="66"/>
      <c r="D965" s="67"/>
      <c r="E965" s="66"/>
      <c r="F965" s="66">
        <f>SUM(F966:F968)</f>
        <v>1.6520000000000001</v>
      </c>
    </row>
    <row r="966" spans="1:6" ht="12.75" customHeight="1" outlineLevel="1" x14ac:dyDescent="0.25">
      <c r="A966" s="44" t="s">
        <v>108</v>
      </c>
      <c r="B966" s="68" t="s">
        <v>109</v>
      </c>
      <c r="C966" s="41">
        <v>0.1</v>
      </c>
      <c r="D966" s="69">
        <f>C966*$E$963/$B$963</f>
        <v>3.2000000000000002E-3</v>
      </c>
      <c r="E966" s="41">
        <f>VLOOKUP(A966,INSUMOS!$B$7:$D$42,3,0)</f>
        <v>49.166666666666664</v>
      </c>
      <c r="F966" s="41">
        <f>PRODUCT(D966:E966)</f>
        <v>0.15733333333333333</v>
      </c>
    </row>
    <row r="967" spans="1:6" ht="12.75" customHeight="1" outlineLevel="1" x14ac:dyDescent="0.25">
      <c r="A967" s="44" t="s">
        <v>113</v>
      </c>
      <c r="B967" s="68" t="s">
        <v>109</v>
      </c>
      <c r="C967" s="41">
        <v>1</v>
      </c>
      <c r="D967" s="69">
        <f>C967*$E$963/$B$963</f>
        <v>3.2000000000000001E-2</v>
      </c>
      <c r="E967" s="41">
        <f>VLOOKUP(A967,INSUMOS!$B$7:$D$42,3,0)</f>
        <v>27.041666666666668</v>
      </c>
      <c r="F967" s="41">
        <f>PRODUCT(D967:E967)</f>
        <v>0.8653333333333334</v>
      </c>
    </row>
    <row r="968" spans="1:6" ht="12.75" customHeight="1" outlineLevel="1" x14ac:dyDescent="0.25">
      <c r="A968" s="44" t="s">
        <v>144</v>
      </c>
      <c r="B968" s="68" t="s">
        <v>109</v>
      </c>
      <c r="C968" s="41">
        <v>1</v>
      </c>
      <c r="D968" s="69">
        <f>C968*$E$963/$B$963</f>
        <v>3.2000000000000001E-2</v>
      </c>
      <c r="E968" s="41">
        <f>VLOOKUP(A968,INSUMOS!$B$7:$D$42,3,0)</f>
        <v>19.666666666666668</v>
      </c>
      <c r="F968" s="41">
        <f>PRODUCT(D968:E968)</f>
        <v>0.62933333333333341</v>
      </c>
    </row>
    <row r="969" spans="1:6" ht="12.75" customHeight="1" outlineLevel="1" x14ac:dyDescent="0.3">
      <c r="A969" s="64" t="s">
        <v>116</v>
      </c>
      <c r="B969" s="65"/>
      <c r="C969" s="66"/>
      <c r="D969" s="67"/>
      <c r="E969" s="66"/>
      <c r="F969" s="66">
        <f>SUM(F970:F971)</f>
        <v>5.6000000000000005</v>
      </c>
    </row>
    <row r="970" spans="1:6" ht="12.75" customHeight="1" outlineLevel="1" x14ac:dyDescent="0.25">
      <c r="A970" s="44" t="s">
        <v>124</v>
      </c>
      <c r="B970" s="68" t="s">
        <v>118</v>
      </c>
      <c r="C970" s="41"/>
      <c r="D970" s="69">
        <v>0.05</v>
      </c>
      <c r="E970" s="41">
        <f>VLOOKUP(A970,INSUMOS!$B$7:$D$42,3,0)</f>
        <v>5</v>
      </c>
      <c r="F970" s="41">
        <f>PRODUCT(D970:E970)</f>
        <v>0.25</v>
      </c>
    </row>
    <row r="971" spans="1:6" ht="12.75" customHeight="1" outlineLevel="1" x14ac:dyDescent="0.25">
      <c r="A971" s="44" t="s">
        <v>168</v>
      </c>
      <c r="B971" s="68" t="s">
        <v>118</v>
      </c>
      <c r="C971" s="41"/>
      <c r="D971" s="69">
        <v>1.07</v>
      </c>
      <c r="E971" s="41">
        <f>VLOOKUP(A971,INSUMOS!$B$7:$D$42,3,0)</f>
        <v>5</v>
      </c>
      <c r="F971" s="41">
        <f>PRODUCT(D971:E971)</f>
        <v>5.3500000000000005</v>
      </c>
    </row>
    <row r="972" spans="1:6" ht="12.75" customHeight="1" outlineLevel="1" x14ac:dyDescent="0.3">
      <c r="A972" s="64" t="s">
        <v>105</v>
      </c>
      <c r="B972" s="65"/>
      <c r="C972" s="66"/>
      <c r="D972" s="67"/>
      <c r="E972" s="66"/>
      <c r="F972" s="66">
        <f>SUM(F973)</f>
        <v>0.16520000000000004</v>
      </c>
    </row>
    <row r="973" spans="1:6" ht="12.75" customHeight="1" outlineLevel="1" x14ac:dyDescent="0.25">
      <c r="A973" s="44" t="s">
        <v>111</v>
      </c>
      <c r="B973" s="68" t="s">
        <v>112</v>
      </c>
      <c r="C973" s="41"/>
      <c r="D973" s="69">
        <v>10</v>
      </c>
      <c r="E973" s="41">
        <f>F965</f>
        <v>1.6520000000000001</v>
      </c>
      <c r="F973" s="41">
        <f>D973*E973/100</f>
        <v>0.16520000000000004</v>
      </c>
    </row>
    <row r="974" spans="1:6" ht="12.75" customHeight="1" outlineLevel="1" x14ac:dyDescent="0.25">
      <c r="B974" s="1"/>
      <c r="C974" s="21"/>
    </row>
    <row r="975" spans="1:6" ht="12.75" customHeight="1" x14ac:dyDescent="0.3">
      <c r="A975" s="54" t="s">
        <v>22</v>
      </c>
      <c r="B975" s="55"/>
      <c r="C975" s="56"/>
      <c r="D975" s="57"/>
      <c r="E975" s="58" t="s">
        <v>92</v>
      </c>
      <c r="F975" s="59">
        <f>F978+F982+F985</f>
        <v>7.4172000000000011</v>
      </c>
    </row>
    <row r="976" spans="1:6" ht="12.75" customHeight="1" outlineLevel="1" x14ac:dyDescent="0.3">
      <c r="A976" s="60" t="s">
        <v>93</v>
      </c>
      <c r="B976" s="61">
        <f>+B963</f>
        <v>250</v>
      </c>
      <c r="C976" s="62" t="s">
        <v>170</v>
      </c>
      <c r="D976" s="63" t="s">
        <v>95</v>
      </c>
      <c r="E976" s="60">
        <v>8</v>
      </c>
      <c r="F976" s="60" t="s">
        <v>96</v>
      </c>
    </row>
    <row r="977" spans="1:6" ht="12.75" customHeight="1" outlineLevel="1" x14ac:dyDescent="0.3">
      <c r="A977" s="64" t="s">
        <v>97</v>
      </c>
      <c r="B977" s="65" t="s">
        <v>98</v>
      </c>
      <c r="C977" s="66" t="s">
        <v>99</v>
      </c>
      <c r="D977" s="67" t="s">
        <v>100</v>
      </c>
      <c r="E977" s="64" t="s">
        <v>101</v>
      </c>
      <c r="F977" s="64" t="s">
        <v>102</v>
      </c>
    </row>
    <row r="978" spans="1:6" ht="12.75" customHeight="1" outlineLevel="1" x14ac:dyDescent="0.3">
      <c r="A978" s="64" t="s">
        <v>103</v>
      </c>
      <c r="B978" s="65"/>
      <c r="C978" s="66"/>
      <c r="D978" s="67"/>
      <c r="E978" s="66"/>
      <c r="F978" s="66">
        <f>SUM(F979:F981)</f>
        <v>1.6520000000000001</v>
      </c>
    </row>
    <row r="979" spans="1:6" ht="12.75" customHeight="1" outlineLevel="1" x14ac:dyDescent="0.25">
      <c r="A979" s="44" t="s">
        <v>108</v>
      </c>
      <c r="B979" s="68" t="s">
        <v>109</v>
      </c>
      <c r="C979" s="41">
        <v>0.1</v>
      </c>
      <c r="D979" s="69">
        <f>C979*$E$976/$B$976</f>
        <v>3.2000000000000002E-3</v>
      </c>
      <c r="E979" s="41">
        <f>VLOOKUP(A979,INSUMOS!$B$7:$D$42,3,0)</f>
        <v>49.166666666666664</v>
      </c>
      <c r="F979" s="41">
        <f>PRODUCT(D979:E979)</f>
        <v>0.15733333333333333</v>
      </c>
    </row>
    <row r="980" spans="1:6" ht="12.75" customHeight="1" outlineLevel="1" x14ac:dyDescent="0.25">
      <c r="A980" s="44" t="s">
        <v>113</v>
      </c>
      <c r="B980" s="68" t="s">
        <v>109</v>
      </c>
      <c r="C980" s="41">
        <v>1</v>
      </c>
      <c r="D980" s="69">
        <f>C980*$E$976/$B$976</f>
        <v>3.2000000000000001E-2</v>
      </c>
      <c r="E980" s="41">
        <f>VLOOKUP(A980,INSUMOS!$B$7:$D$42,3,0)</f>
        <v>27.041666666666668</v>
      </c>
      <c r="F980" s="41">
        <f>PRODUCT(D980:E980)</f>
        <v>0.8653333333333334</v>
      </c>
    </row>
    <row r="981" spans="1:6" ht="12.75" customHeight="1" outlineLevel="1" x14ac:dyDescent="0.25">
      <c r="A981" s="44" t="s">
        <v>144</v>
      </c>
      <c r="B981" s="68" t="s">
        <v>109</v>
      </c>
      <c r="C981" s="41">
        <v>1</v>
      </c>
      <c r="D981" s="69">
        <f>C981*$E$976/$B$976</f>
        <v>3.2000000000000001E-2</v>
      </c>
      <c r="E981" s="41">
        <f>VLOOKUP(A981,INSUMOS!$B$7:$D$42,3,0)</f>
        <v>19.666666666666668</v>
      </c>
      <c r="F981" s="41">
        <f>PRODUCT(D981:E981)</f>
        <v>0.62933333333333341</v>
      </c>
    </row>
    <row r="982" spans="1:6" ht="12.75" customHeight="1" outlineLevel="1" x14ac:dyDescent="0.3">
      <c r="A982" s="64" t="s">
        <v>116</v>
      </c>
      <c r="B982" s="65"/>
      <c r="C982" s="66"/>
      <c r="D982" s="67"/>
      <c r="E982" s="66"/>
      <c r="F982" s="66">
        <f>SUM(F983:F984)</f>
        <v>5.6000000000000005</v>
      </c>
    </row>
    <row r="983" spans="1:6" ht="12.75" customHeight="1" outlineLevel="1" x14ac:dyDescent="0.25">
      <c r="A983" s="44" t="s">
        <v>124</v>
      </c>
      <c r="B983" s="68" t="s">
        <v>118</v>
      </c>
      <c r="C983" s="41"/>
      <c r="D983" s="69">
        <v>0.05</v>
      </c>
      <c r="E983" s="41">
        <f>VLOOKUP(A983,INSUMOS!$B$7:$D$42,3,0)</f>
        <v>5</v>
      </c>
      <c r="F983" s="41">
        <f>PRODUCT(D983:E983)</f>
        <v>0.25</v>
      </c>
    </row>
    <row r="984" spans="1:6" ht="12.75" customHeight="1" outlineLevel="1" x14ac:dyDescent="0.25">
      <c r="A984" s="44" t="s">
        <v>168</v>
      </c>
      <c r="B984" s="68" t="s">
        <v>118</v>
      </c>
      <c r="C984" s="41"/>
      <c r="D984" s="69">
        <v>1.07</v>
      </c>
      <c r="E984" s="41">
        <f>VLOOKUP(A984,INSUMOS!$B$7:$D$42,3,0)</f>
        <v>5</v>
      </c>
      <c r="F984" s="41">
        <f>PRODUCT(D984:E984)</f>
        <v>5.3500000000000005</v>
      </c>
    </row>
    <row r="985" spans="1:6" ht="12.75" customHeight="1" outlineLevel="1" x14ac:dyDescent="0.3">
      <c r="A985" s="64" t="s">
        <v>105</v>
      </c>
      <c r="B985" s="65"/>
      <c r="C985" s="66"/>
      <c r="D985" s="67"/>
      <c r="E985" s="66"/>
      <c r="F985" s="66">
        <f>SUM(F986)</f>
        <v>0.16520000000000004</v>
      </c>
    </row>
    <row r="986" spans="1:6" ht="12.75" customHeight="1" outlineLevel="1" x14ac:dyDescent="0.25">
      <c r="A986" s="44" t="s">
        <v>111</v>
      </c>
      <c r="B986" s="68" t="s">
        <v>112</v>
      </c>
      <c r="C986" s="41"/>
      <c r="D986" s="69">
        <v>10</v>
      </c>
      <c r="E986" s="41">
        <f>F978</f>
        <v>1.6520000000000001</v>
      </c>
      <c r="F986" s="41">
        <f>D986*E986/100</f>
        <v>0.16520000000000004</v>
      </c>
    </row>
    <row r="987" spans="1:6" ht="12.75" customHeight="1" outlineLevel="1" x14ac:dyDescent="0.25">
      <c r="B987" s="84"/>
      <c r="C987" s="21"/>
      <c r="D987" s="85"/>
      <c r="E987" s="21"/>
      <c r="F987" s="21"/>
    </row>
    <row r="988" spans="1:6" ht="12.75" customHeight="1" x14ac:dyDescent="0.25">
      <c r="A988" s="49" t="s">
        <v>498</v>
      </c>
      <c r="B988" s="50"/>
      <c r="C988" s="51"/>
      <c r="D988" s="52"/>
      <c r="E988" s="51"/>
      <c r="F988" s="53"/>
    </row>
    <row r="989" spans="1:6" ht="12.75" customHeight="1" collapsed="1" x14ac:dyDescent="0.3">
      <c r="A989" s="54" t="s">
        <v>186</v>
      </c>
      <c r="B989" s="55"/>
      <c r="C989" s="56"/>
      <c r="D989" s="57"/>
      <c r="E989" s="58" t="s">
        <v>92</v>
      </c>
      <c r="F989" s="59">
        <f>F992+F996+F1001</f>
        <v>109.28824561403509</v>
      </c>
    </row>
    <row r="990" spans="1:6" ht="12.75" customHeight="1" outlineLevel="1" x14ac:dyDescent="0.3">
      <c r="A990" s="60" t="s">
        <v>93</v>
      </c>
      <c r="B990" s="61">
        <v>9.5</v>
      </c>
      <c r="C990" s="62" t="s">
        <v>107</v>
      </c>
      <c r="D990" s="63" t="s">
        <v>95</v>
      </c>
      <c r="E990" s="60">
        <v>8</v>
      </c>
      <c r="F990" s="60" t="s">
        <v>96</v>
      </c>
    </row>
    <row r="991" spans="1:6" ht="12.75" customHeight="1" outlineLevel="1" x14ac:dyDescent="0.3">
      <c r="A991" s="64" t="s">
        <v>97</v>
      </c>
      <c r="B991" s="65" t="s">
        <v>98</v>
      </c>
      <c r="C991" s="66" t="s">
        <v>99</v>
      </c>
      <c r="D991" s="67" t="s">
        <v>100</v>
      </c>
      <c r="E991" s="64" t="s">
        <v>101</v>
      </c>
      <c r="F991" s="64" t="s">
        <v>102</v>
      </c>
    </row>
    <row r="992" spans="1:6" ht="12.75" customHeight="1" outlineLevel="1" x14ac:dyDescent="0.3">
      <c r="A992" s="64" t="s">
        <v>103</v>
      </c>
      <c r="B992" s="65"/>
      <c r="C992" s="66"/>
      <c r="D992" s="67"/>
      <c r="E992" s="66"/>
      <c r="F992" s="66">
        <f>SUM(F993:F995)</f>
        <v>32.087719298245617</v>
      </c>
    </row>
    <row r="993" spans="1:6" ht="12.75" customHeight="1" outlineLevel="1" x14ac:dyDescent="0.25">
      <c r="A993" s="44" t="s">
        <v>108</v>
      </c>
      <c r="B993" s="68" t="s">
        <v>109</v>
      </c>
      <c r="C993" s="41">
        <v>0.1</v>
      </c>
      <c r="D993" s="69">
        <f>C993*$E$990/$B$990</f>
        <v>8.4210526315789472E-2</v>
      </c>
      <c r="E993" s="41">
        <f>VLOOKUP(A993,INSUMOS!$B$7:$D$42,3,0)</f>
        <v>49.166666666666664</v>
      </c>
      <c r="F993" s="41">
        <f>PRODUCT(D993:E993)</f>
        <v>4.140350877192982</v>
      </c>
    </row>
    <row r="994" spans="1:6" ht="12.75" customHeight="1" outlineLevel="1" x14ac:dyDescent="0.25">
      <c r="A994" s="44" t="s">
        <v>113</v>
      </c>
      <c r="B994" s="68" t="s">
        <v>109</v>
      </c>
      <c r="C994" s="41">
        <v>1</v>
      </c>
      <c r="D994" s="69">
        <f>C994*$E$990/$B$990</f>
        <v>0.84210526315789469</v>
      </c>
      <c r="E994" s="41">
        <f>VLOOKUP(A994,INSUMOS!$B$7:$D$42,3,0)</f>
        <v>27.041666666666668</v>
      </c>
      <c r="F994" s="41">
        <f>PRODUCT(D994:E994)</f>
        <v>22.771929824561404</v>
      </c>
    </row>
    <row r="995" spans="1:6" ht="12.75" customHeight="1" outlineLevel="1" x14ac:dyDescent="0.25">
      <c r="A995" s="44" t="s">
        <v>110</v>
      </c>
      <c r="B995" s="68" t="s">
        <v>109</v>
      </c>
      <c r="C995" s="41">
        <v>0.5</v>
      </c>
      <c r="D995" s="69">
        <f>C995*$E$990/$B$990</f>
        <v>0.42105263157894735</v>
      </c>
      <c r="E995" s="41">
        <f>VLOOKUP(A995,INSUMOS!$B$7:$D$42,3,0)</f>
        <v>12.291666666666666</v>
      </c>
      <c r="F995" s="41">
        <f>PRODUCT(D995:E995)</f>
        <v>5.1754385964912277</v>
      </c>
    </row>
    <row r="996" spans="1:6" ht="12.75" customHeight="1" outlineLevel="1" x14ac:dyDescent="0.3">
      <c r="A996" s="64" t="s">
        <v>116</v>
      </c>
      <c r="B996" s="65"/>
      <c r="C996" s="66"/>
      <c r="D996" s="67"/>
      <c r="E996" s="66"/>
      <c r="F996" s="66">
        <f>SUM(F997:F1000)</f>
        <v>73.08</v>
      </c>
    </row>
    <row r="997" spans="1:6" ht="12.75" customHeight="1" outlineLevel="1" x14ac:dyDescent="0.25">
      <c r="A997" s="44" t="s">
        <v>165</v>
      </c>
      <c r="B997" s="68" t="s">
        <v>37</v>
      </c>
      <c r="C997" s="41"/>
      <c r="D997" s="69">
        <v>0.1</v>
      </c>
      <c r="E997" s="41">
        <f>VLOOKUP(A997,INSUMOS!$B$7:$D$42,3,0)</f>
        <v>100.3</v>
      </c>
      <c r="F997" s="41">
        <f>PRODUCT(D997:E997)</f>
        <v>10.030000000000001</v>
      </c>
    </row>
    <row r="998" spans="1:6" ht="12.75" customHeight="1" outlineLevel="1" x14ac:dyDescent="0.25">
      <c r="A998" s="44" t="s">
        <v>145</v>
      </c>
      <c r="B998" s="68" t="s">
        <v>147</v>
      </c>
      <c r="C998" s="41"/>
      <c r="D998" s="69">
        <v>0.4</v>
      </c>
      <c r="E998" s="41">
        <f>VLOOKUP(A998,INSUMOS!$B$7:$D$42,3,0)</f>
        <v>31</v>
      </c>
      <c r="F998" s="41">
        <f>PRODUCT(D998:E998)</f>
        <v>12.4</v>
      </c>
    </row>
    <row r="999" spans="1:6" ht="12.75" customHeight="1" outlineLevel="1" x14ac:dyDescent="0.25">
      <c r="A999" s="44" t="s">
        <v>187</v>
      </c>
      <c r="B999" s="68" t="s">
        <v>126</v>
      </c>
      <c r="C999" s="41"/>
      <c r="D999" s="69">
        <v>42</v>
      </c>
      <c r="E999" s="41">
        <f>VLOOKUP(A999,INSUMOS!$B$7:$D$42,3,0)</f>
        <v>1.2</v>
      </c>
      <c r="F999" s="41">
        <f>PRODUCT(D999:E999)</f>
        <v>50.4</v>
      </c>
    </row>
    <row r="1000" spans="1:6" ht="12.75" customHeight="1" outlineLevel="1" x14ac:dyDescent="0.25">
      <c r="A1000" s="44" t="s">
        <v>117</v>
      </c>
      <c r="B1000" s="68" t="s">
        <v>118</v>
      </c>
      <c r="C1000" s="41"/>
      <c r="D1000" s="69">
        <v>0.05</v>
      </c>
      <c r="E1000" s="41">
        <f>VLOOKUP(A1000,INSUMOS!$B$7:$D$42,3,0)</f>
        <v>5</v>
      </c>
      <c r="F1000" s="41">
        <f>PRODUCT(D1000:E1000)</f>
        <v>0.25</v>
      </c>
    </row>
    <row r="1001" spans="1:6" ht="12.75" customHeight="1" outlineLevel="1" x14ac:dyDescent="0.3">
      <c r="A1001" s="64" t="s">
        <v>105</v>
      </c>
      <c r="B1001" s="65"/>
      <c r="C1001" s="66"/>
      <c r="D1001" s="67"/>
      <c r="E1001" s="66"/>
      <c r="F1001" s="66">
        <f>SUM(F1002:F1003)</f>
        <v>4.1205263157894736</v>
      </c>
    </row>
    <row r="1002" spans="1:6" ht="12.75" customHeight="1" outlineLevel="1" x14ac:dyDescent="0.25">
      <c r="A1002" s="44" t="s">
        <v>111</v>
      </c>
      <c r="B1002" s="68" t="s">
        <v>112</v>
      </c>
      <c r="C1002" s="41"/>
      <c r="D1002" s="69">
        <v>3</v>
      </c>
      <c r="E1002" s="41">
        <f>F992</f>
        <v>32.087719298245617</v>
      </c>
      <c r="F1002" s="41">
        <f>D1002*E1002/100</f>
        <v>0.9626315789473685</v>
      </c>
    </row>
    <row r="1003" spans="1:6" ht="12.75" customHeight="1" outlineLevel="1" x14ac:dyDescent="0.25">
      <c r="A1003" s="44" t="s">
        <v>188</v>
      </c>
      <c r="B1003" s="68" t="s">
        <v>109</v>
      </c>
      <c r="C1003" s="41">
        <v>0.75</v>
      </c>
      <c r="D1003" s="69">
        <f>C1003*$E$990/$B$990</f>
        <v>0.63157894736842102</v>
      </c>
      <c r="E1003" s="41">
        <f>VLOOKUP(A1003,INSUMOS!$B$7:$D$42,3,0)</f>
        <v>5</v>
      </c>
      <c r="F1003" s="41">
        <f>D1003*E1003</f>
        <v>3.1578947368421053</v>
      </c>
    </row>
    <row r="1004" spans="1:6" ht="12.75" customHeight="1" outlineLevel="1" x14ac:dyDescent="0.25">
      <c r="A1004" s="75"/>
      <c r="B1004" s="72"/>
      <c r="C1004" s="73"/>
      <c r="D1004" s="74"/>
      <c r="E1004" s="41"/>
      <c r="F1004" s="41"/>
    </row>
    <row r="1005" spans="1:6" ht="12.75" customHeight="1" x14ac:dyDescent="0.3">
      <c r="A1005" s="54" t="s">
        <v>499</v>
      </c>
      <c r="B1005" s="55"/>
      <c r="C1005" s="56"/>
      <c r="D1005" s="57"/>
      <c r="E1005" s="58" t="s">
        <v>92</v>
      </c>
      <c r="F1005" s="59">
        <f>F1008+F1012+F1017</f>
        <v>154.10725371120108</v>
      </c>
    </row>
    <row r="1006" spans="1:6" ht="12.75" customHeight="1" outlineLevel="1" x14ac:dyDescent="0.3">
      <c r="A1006" s="60" t="s">
        <v>93</v>
      </c>
      <c r="B1006" s="61">
        <v>6.5</v>
      </c>
      <c r="C1006" s="62" t="s">
        <v>107</v>
      </c>
      <c r="D1006" s="63" t="s">
        <v>95</v>
      </c>
      <c r="E1006" s="60">
        <v>8</v>
      </c>
      <c r="F1006" s="60" t="s">
        <v>96</v>
      </c>
    </row>
    <row r="1007" spans="1:6" ht="12.75" customHeight="1" outlineLevel="1" x14ac:dyDescent="0.3">
      <c r="A1007" s="64" t="s">
        <v>97</v>
      </c>
      <c r="B1007" s="65" t="s">
        <v>98</v>
      </c>
      <c r="C1007" s="66" t="s">
        <v>99</v>
      </c>
      <c r="D1007" s="67" t="s">
        <v>100</v>
      </c>
      <c r="E1007" s="64" t="s">
        <v>101</v>
      </c>
      <c r="F1007" s="64" t="s">
        <v>102</v>
      </c>
    </row>
    <row r="1008" spans="1:6" ht="12.75" customHeight="1" outlineLevel="1" x14ac:dyDescent="0.3">
      <c r="A1008" s="64" t="s">
        <v>103</v>
      </c>
      <c r="B1008" s="65"/>
      <c r="C1008" s="66"/>
      <c r="D1008" s="67"/>
      <c r="E1008" s="66"/>
      <c r="F1008" s="66">
        <f>SUM(F1009:F1011)</f>
        <v>46.897435897435898</v>
      </c>
    </row>
    <row r="1009" spans="1:13" ht="12.75" customHeight="1" outlineLevel="1" x14ac:dyDescent="0.25">
      <c r="A1009" s="44" t="s">
        <v>108</v>
      </c>
      <c r="B1009" s="68" t="s">
        <v>109</v>
      </c>
      <c r="C1009" s="41">
        <v>0.1</v>
      </c>
      <c r="D1009" s="69">
        <f>C1009*$E$1006/$B$1006</f>
        <v>0.12307692307692308</v>
      </c>
      <c r="E1009" s="41">
        <f>VLOOKUP(A1009,INSUMOS!$B$7:$D$42,3,0)</f>
        <v>49.166666666666664</v>
      </c>
      <c r="F1009" s="41">
        <f>PRODUCT(D1009:E1009)</f>
        <v>6.0512820512820511</v>
      </c>
    </row>
    <row r="1010" spans="1:13" ht="12.75" customHeight="1" outlineLevel="1" x14ac:dyDescent="0.25">
      <c r="A1010" s="44" t="s">
        <v>113</v>
      </c>
      <c r="B1010" s="68" t="s">
        <v>109</v>
      </c>
      <c r="C1010" s="41">
        <v>1</v>
      </c>
      <c r="D1010" s="69">
        <f>C1010*$E$1006/$B$1006</f>
        <v>1.2307692307692308</v>
      </c>
      <c r="E1010" s="41">
        <f>VLOOKUP(A1010,INSUMOS!$B$7:$D$42,3,0)</f>
        <v>27.041666666666668</v>
      </c>
      <c r="F1010" s="41">
        <f>PRODUCT(D1010:E1010)</f>
        <v>33.282051282051285</v>
      </c>
    </row>
    <row r="1011" spans="1:13" ht="12.75" customHeight="1" outlineLevel="1" x14ac:dyDescent="0.25">
      <c r="A1011" s="44" t="s">
        <v>110</v>
      </c>
      <c r="B1011" s="68" t="s">
        <v>109</v>
      </c>
      <c r="C1011" s="41">
        <v>0.5</v>
      </c>
      <c r="D1011" s="69">
        <f>C1011*$E$1006/$B$1006</f>
        <v>0.61538461538461542</v>
      </c>
      <c r="E1011" s="41">
        <f>VLOOKUP(A1011,INSUMOS!$B$7:$D$42,3,0)</f>
        <v>12.291666666666666</v>
      </c>
      <c r="F1011" s="41">
        <f>PRODUCT(D1011:E1011)</f>
        <v>7.5641025641025639</v>
      </c>
    </row>
    <row r="1012" spans="1:13" ht="12.75" customHeight="1" outlineLevel="1" x14ac:dyDescent="0.3">
      <c r="A1012" s="64" t="s">
        <v>116</v>
      </c>
      <c r="B1012" s="65"/>
      <c r="C1012" s="66"/>
      <c r="D1012" s="67"/>
      <c r="E1012" s="66"/>
      <c r="F1012" s="66">
        <f>SUM(F1013:F1016)</f>
        <v>102.64500000000001</v>
      </c>
    </row>
    <row r="1013" spans="1:13" ht="12.75" customHeight="1" outlineLevel="1" x14ac:dyDescent="0.25">
      <c r="A1013" s="44" t="s">
        <v>165</v>
      </c>
      <c r="B1013" s="68" t="s">
        <v>37</v>
      </c>
      <c r="C1013" s="41"/>
      <c r="D1013" s="69">
        <v>0.15</v>
      </c>
      <c r="E1013" s="41">
        <f>VLOOKUP(A1013,INSUMOS!$B$7:$D$42,3,0)</f>
        <v>100.3</v>
      </c>
      <c r="F1013" s="41">
        <f>PRODUCT(D1013:E1013)</f>
        <v>15.044999999999998</v>
      </c>
    </row>
    <row r="1014" spans="1:13" ht="12.75" customHeight="1" outlineLevel="1" x14ac:dyDescent="0.25">
      <c r="A1014" s="44" t="s">
        <v>145</v>
      </c>
      <c r="B1014" s="68" t="s">
        <v>147</v>
      </c>
      <c r="C1014" s="41"/>
      <c r="D1014" s="69">
        <v>0.65</v>
      </c>
      <c r="E1014" s="41">
        <f>VLOOKUP(A1014,INSUMOS!$B$7:$D$42,3,0)</f>
        <v>31</v>
      </c>
      <c r="F1014" s="41">
        <f>PRODUCT(D1014:E1014)</f>
        <v>20.150000000000002</v>
      </c>
    </row>
    <row r="1015" spans="1:13" ht="12.75" customHeight="1" outlineLevel="1" x14ac:dyDescent="0.25">
      <c r="A1015" s="44" t="s">
        <v>187</v>
      </c>
      <c r="B1015" s="68" t="s">
        <v>126</v>
      </c>
      <c r="C1015" s="41"/>
      <c r="D1015" s="69">
        <v>56</v>
      </c>
      <c r="E1015" s="41">
        <f>VLOOKUP(A1015,INSUMOS!$B$7:$D$42,3,0)</f>
        <v>1.2</v>
      </c>
      <c r="F1015" s="41">
        <f>PRODUCT(D1015:E1015)</f>
        <v>67.2</v>
      </c>
    </row>
    <row r="1016" spans="1:13" ht="12.75" customHeight="1" outlineLevel="1" x14ac:dyDescent="0.25">
      <c r="A1016" s="44" t="s">
        <v>117</v>
      </c>
      <c r="B1016" s="68" t="s">
        <v>118</v>
      </c>
      <c r="C1016" s="41"/>
      <c r="D1016" s="69">
        <v>0.05</v>
      </c>
      <c r="E1016" s="41">
        <f>VLOOKUP(A1016,INSUMOS!$B$7:$D$42,3,0)</f>
        <v>5</v>
      </c>
      <c r="F1016" s="41">
        <f>PRODUCT(D1016:E1016)</f>
        <v>0.25</v>
      </c>
    </row>
    <row r="1017" spans="1:13" ht="12.75" customHeight="1" outlineLevel="1" x14ac:dyDescent="0.3">
      <c r="A1017" s="64" t="s">
        <v>105</v>
      </c>
      <c r="B1017" s="65"/>
      <c r="C1017" s="66"/>
      <c r="D1017" s="67"/>
      <c r="E1017" s="66"/>
      <c r="F1017" s="66">
        <f>SUM(F1018:F1019)</f>
        <v>4.564817813765182</v>
      </c>
    </row>
    <row r="1018" spans="1:13" ht="12.75" customHeight="1" outlineLevel="1" x14ac:dyDescent="0.25">
      <c r="A1018" s="44" t="s">
        <v>111</v>
      </c>
      <c r="B1018" s="68" t="s">
        <v>112</v>
      </c>
      <c r="C1018" s="41"/>
      <c r="D1018" s="69">
        <v>3</v>
      </c>
      <c r="E1018" s="41">
        <f>F1008</f>
        <v>46.897435897435898</v>
      </c>
      <c r="F1018" s="41">
        <f>D1018*E1018/100</f>
        <v>1.4069230769230767</v>
      </c>
    </row>
    <row r="1019" spans="1:13" ht="12.75" customHeight="1" outlineLevel="1" x14ac:dyDescent="0.25">
      <c r="A1019" s="44" t="s">
        <v>188</v>
      </c>
      <c r="B1019" s="68" t="s">
        <v>109</v>
      </c>
      <c r="C1019" s="41">
        <v>0.75</v>
      </c>
      <c r="D1019" s="69">
        <f>C1019*$E$990/$B$990</f>
        <v>0.63157894736842102</v>
      </c>
      <c r="E1019" s="41">
        <f>VLOOKUP(A1019,INSUMOS!$B$7:$D$42,3,0)</f>
        <v>5</v>
      </c>
      <c r="F1019" s="41">
        <f>D1019*E1019</f>
        <v>3.1578947368421053</v>
      </c>
    </row>
    <row r="1020" spans="1:13" ht="12.75" customHeight="1" outlineLevel="1" x14ac:dyDescent="0.25">
      <c r="A1020" s="75"/>
      <c r="B1020" s="72"/>
      <c r="C1020" s="73"/>
      <c r="D1020" s="74"/>
      <c r="E1020" s="41"/>
      <c r="F1020" s="41"/>
    </row>
    <row r="1021" spans="1:13" ht="12.75" customHeight="1" x14ac:dyDescent="0.3">
      <c r="A1021" s="54" t="s">
        <v>183</v>
      </c>
      <c r="B1021" s="55"/>
      <c r="C1021" s="56"/>
      <c r="D1021" s="57"/>
      <c r="E1021" s="58" t="s">
        <v>92</v>
      </c>
      <c r="F1021" s="59">
        <f>F1024+F1029+F1033</f>
        <v>497.1154166666667</v>
      </c>
      <c r="H1021" s="54" t="s">
        <v>765</v>
      </c>
      <c r="I1021" s="55"/>
      <c r="J1021" s="56"/>
      <c r="K1021" s="57"/>
      <c r="L1021" s="58" t="s">
        <v>92</v>
      </c>
      <c r="M1021" s="59">
        <f>M1024+M1029+M1035</f>
        <v>233.24166666666667</v>
      </c>
    </row>
    <row r="1022" spans="1:13" ht="12.75" customHeight="1" outlineLevel="1" x14ac:dyDescent="0.3">
      <c r="A1022" s="60" t="s">
        <v>93</v>
      </c>
      <c r="B1022" s="61">
        <v>8</v>
      </c>
      <c r="C1022" s="62" t="s">
        <v>133</v>
      </c>
      <c r="D1022" s="63" t="s">
        <v>95</v>
      </c>
      <c r="E1022" s="60">
        <v>8</v>
      </c>
      <c r="F1022" s="60" t="s">
        <v>96</v>
      </c>
      <c r="H1022" s="60" t="s">
        <v>93</v>
      </c>
      <c r="I1022" s="61">
        <v>6</v>
      </c>
      <c r="J1022" s="62" t="s">
        <v>181</v>
      </c>
      <c r="K1022" s="63" t="s">
        <v>95</v>
      </c>
      <c r="L1022" s="60">
        <v>8</v>
      </c>
      <c r="M1022" s="60" t="s">
        <v>96</v>
      </c>
    </row>
    <row r="1023" spans="1:13" ht="12.75" customHeight="1" outlineLevel="1" x14ac:dyDescent="0.3">
      <c r="A1023" s="64" t="s">
        <v>97</v>
      </c>
      <c r="B1023" s="65" t="s">
        <v>98</v>
      </c>
      <c r="C1023" s="66" t="s">
        <v>99</v>
      </c>
      <c r="D1023" s="67" t="s">
        <v>100</v>
      </c>
      <c r="E1023" s="64" t="s">
        <v>101</v>
      </c>
      <c r="F1023" s="64" t="s">
        <v>102</v>
      </c>
      <c r="H1023" s="64" t="s">
        <v>97</v>
      </c>
      <c r="I1023" s="65" t="s">
        <v>98</v>
      </c>
      <c r="J1023" s="66" t="s">
        <v>99</v>
      </c>
      <c r="K1023" s="67" t="s">
        <v>100</v>
      </c>
      <c r="L1023" s="64" t="s">
        <v>101</v>
      </c>
      <c r="M1023" s="64" t="s">
        <v>102</v>
      </c>
    </row>
    <row r="1024" spans="1:13" ht="12.75" customHeight="1" outlineLevel="1" x14ac:dyDescent="0.3">
      <c r="A1024" s="64" t="s">
        <v>103</v>
      </c>
      <c r="B1024" s="65"/>
      <c r="C1024" s="66"/>
      <c r="D1024" s="67"/>
      <c r="E1024" s="66"/>
      <c r="F1024" s="66">
        <f>SUM(F1025:F1028)</f>
        <v>100.79166666666666</v>
      </c>
      <c r="H1024" s="64" t="s">
        <v>103</v>
      </c>
      <c r="I1024" s="65"/>
      <c r="J1024" s="66"/>
      <c r="K1024" s="67"/>
      <c r="L1024" s="66"/>
      <c r="M1024" s="66">
        <f>SUM(M1025:M1028)</f>
        <v>102.5</v>
      </c>
    </row>
    <row r="1025" spans="1:13" ht="12.75" customHeight="1" outlineLevel="1" x14ac:dyDescent="0.25">
      <c r="A1025" s="44" t="s">
        <v>108</v>
      </c>
      <c r="B1025" s="68" t="s">
        <v>109</v>
      </c>
      <c r="C1025" s="41">
        <v>0.1</v>
      </c>
      <c r="D1025" s="69">
        <f>C1025*$E$1022/$B$1022</f>
        <v>0.1</v>
      </c>
      <c r="E1025" s="41">
        <f>VLOOKUP(A1025,INSUMOS!$B$7:$D$42,3,0)</f>
        <v>49.166666666666664</v>
      </c>
      <c r="F1025" s="41">
        <f>PRODUCT(D1025:E1025)</f>
        <v>4.916666666666667</v>
      </c>
      <c r="H1025" s="44" t="s">
        <v>108</v>
      </c>
      <c r="I1025" s="68" t="s">
        <v>109</v>
      </c>
      <c r="J1025" s="41">
        <v>0.1</v>
      </c>
      <c r="K1025" s="69">
        <f>J1025*L1022/I1022</f>
        <v>0.13333333333333333</v>
      </c>
      <c r="L1025" s="41">
        <f>VLOOKUP(H1025,[2]INSUMOS!$B$7:$D$42,3,0)</f>
        <v>31.25</v>
      </c>
      <c r="M1025" s="41">
        <f>PRODUCT(K1025:L1025)</f>
        <v>4.166666666666667</v>
      </c>
    </row>
    <row r="1026" spans="1:13" ht="12.75" customHeight="1" outlineLevel="1" x14ac:dyDescent="0.25">
      <c r="A1026" s="44" t="s">
        <v>113</v>
      </c>
      <c r="B1026" s="68" t="s">
        <v>109</v>
      </c>
      <c r="C1026" s="41">
        <v>1</v>
      </c>
      <c r="D1026" s="69">
        <f>C1026*$E$1022/$B$1022</f>
        <v>1</v>
      </c>
      <c r="E1026" s="41">
        <f>VLOOKUP(A1026,INSUMOS!$B$7:$D$42,3,0)</f>
        <v>27.041666666666668</v>
      </c>
      <c r="F1026" s="41">
        <f>PRODUCT(D1026:E1026)</f>
        <v>27.041666666666668</v>
      </c>
      <c r="H1026" s="44" t="s">
        <v>113</v>
      </c>
      <c r="I1026" s="68" t="s">
        <v>109</v>
      </c>
      <c r="J1026" s="41">
        <v>2</v>
      </c>
      <c r="K1026" s="69">
        <f>J1026*L1022/I1022</f>
        <v>2.6666666666666665</v>
      </c>
      <c r="L1026" s="41">
        <f>VLOOKUP(H1026,[2]INSUMOS!$B$7:$D$42,3,0)</f>
        <v>19.7916666666667</v>
      </c>
      <c r="M1026" s="41">
        <f>PRODUCT(K1026:L1026)</f>
        <v>52.777777777777864</v>
      </c>
    </row>
    <row r="1027" spans="1:13" ht="12.75" customHeight="1" outlineLevel="1" x14ac:dyDescent="0.25">
      <c r="A1027" s="44" t="s">
        <v>144</v>
      </c>
      <c r="B1027" s="68" t="s">
        <v>109</v>
      </c>
      <c r="C1027" s="41">
        <v>1</v>
      </c>
      <c r="D1027" s="69">
        <f>C1027*$E$1022/$B$1022</f>
        <v>1</v>
      </c>
      <c r="E1027" s="41">
        <f>VLOOKUP(A1027,INSUMOS!$B$7:$D$42,3,0)</f>
        <v>19.666666666666668</v>
      </c>
      <c r="F1027" s="41">
        <f>PRODUCT(D1027:E1027)</f>
        <v>19.666666666666668</v>
      </c>
      <c r="H1027" s="44" t="s">
        <v>110</v>
      </c>
      <c r="I1027" s="68" t="s">
        <v>109</v>
      </c>
      <c r="J1027" s="41">
        <v>2</v>
      </c>
      <c r="K1027" s="69">
        <f>J1027*L1022/I1022</f>
        <v>2.6666666666666665</v>
      </c>
      <c r="L1027" s="41">
        <f>VLOOKUP(H1027,[2]INSUMOS!$B$7:$D$42,3,0)</f>
        <v>11.4583333333333</v>
      </c>
      <c r="M1027" s="41">
        <f>PRODUCT(K1027:L1027)</f>
        <v>30.555555555555465</v>
      </c>
    </row>
    <row r="1028" spans="1:13" ht="12.75" customHeight="1" outlineLevel="1" x14ac:dyDescent="0.25">
      <c r="A1028" s="44" t="s">
        <v>110</v>
      </c>
      <c r="B1028" s="68" t="s">
        <v>109</v>
      </c>
      <c r="C1028" s="41">
        <v>4</v>
      </c>
      <c r="D1028" s="69">
        <f>C1028*$E$1022/$B$1022</f>
        <v>4</v>
      </c>
      <c r="E1028" s="41">
        <f>VLOOKUP(A1028,INSUMOS!$B$7:$D$42,3,0)</f>
        <v>12.291666666666666</v>
      </c>
      <c r="F1028" s="41">
        <f>PRODUCT(D1028:E1028)</f>
        <v>49.166666666666664</v>
      </c>
      <c r="H1028" s="44" t="s">
        <v>114</v>
      </c>
      <c r="I1028" s="68" t="s">
        <v>115</v>
      </c>
      <c r="J1028" s="41"/>
      <c r="K1028" s="69">
        <v>3</v>
      </c>
      <c r="L1028" s="41">
        <f>VLOOKUP(H1028,[2]INSUMOS!$B$7:$D$42,3,0)</f>
        <v>5</v>
      </c>
      <c r="M1028" s="41">
        <f>PRODUCT(K1028:L1028)</f>
        <v>15</v>
      </c>
    </row>
    <row r="1029" spans="1:13" ht="12.75" customHeight="1" outlineLevel="1" x14ac:dyDescent="0.3">
      <c r="A1029" s="64" t="s">
        <v>116</v>
      </c>
      <c r="B1029" s="65"/>
      <c r="C1029" s="66"/>
      <c r="D1029" s="67"/>
      <c r="E1029" s="66"/>
      <c r="F1029" s="66">
        <f>SUM(F1030:F1032)</f>
        <v>379.3</v>
      </c>
      <c r="H1029" s="64" t="s">
        <v>116</v>
      </c>
      <c r="I1029" s="65"/>
      <c r="J1029" s="66"/>
      <c r="K1029" s="67"/>
      <c r="L1029" s="66"/>
      <c r="M1029" s="66">
        <f>SUM(M1030:M1034)</f>
        <v>121</v>
      </c>
    </row>
    <row r="1030" spans="1:13" ht="12.75" customHeight="1" outlineLevel="1" x14ac:dyDescent="0.25">
      <c r="A1030" s="44" t="s">
        <v>165</v>
      </c>
      <c r="B1030" s="68" t="s">
        <v>37</v>
      </c>
      <c r="C1030" s="41"/>
      <c r="D1030" s="69">
        <v>0.5</v>
      </c>
      <c r="E1030" s="41">
        <f>VLOOKUP(A1030,INSUMOS!$B$7:$D$42,3,0)</f>
        <v>100.3</v>
      </c>
      <c r="F1030" s="41">
        <f>PRODUCT(D1030:E1030)</f>
        <v>50.15</v>
      </c>
      <c r="H1030" s="44" t="s">
        <v>165</v>
      </c>
      <c r="I1030" s="68" t="s">
        <v>37</v>
      </c>
      <c r="J1030" s="41"/>
      <c r="K1030" s="69">
        <v>0.1</v>
      </c>
      <c r="L1030" s="41">
        <f>VLOOKUP(H1030,[2]INSUMOS!$B$7:$D$42,3,0)</f>
        <v>85</v>
      </c>
      <c r="M1030" s="41">
        <f>PRODUCT(K1030:L1030)</f>
        <v>8.5</v>
      </c>
    </row>
    <row r="1031" spans="1:13" ht="12.75" customHeight="1" outlineLevel="1" x14ac:dyDescent="0.25">
      <c r="A1031" s="44" t="s">
        <v>166</v>
      </c>
      <c r="B1031" s="68" t="s">
        <v>37</v>
      </c>
      <c r="C1031" s="41"/>
      <c r="D1031" s="69">
        <v>0.5</v>
      </c>
      <c r="E1031" s="41">
        <f>VLOOKUP(A1031,INSUMOS!$B$7:$D$42,3,0)</f>
        <v>100.3</v>
      </c>
      <c r="F1031" s="41">
        <f>PRODUCT(D1031:E1031)</f>
        <v>50.15</v>
      </c>
      <c r="H1031" s="44" t="s">
        <v>166</v>
      </c>
      <c r="I1031" s="68" t="s">
        <v>37</v>
      </c>
      <c r="J1031" s="41"/>
      <c r="K1031" s="69">
        <v>0.1</v>
      </c>
      <c r="L1031" s="41">
        <f>VLOOKUP(H1031,[2]INSUMOS!$B$7:$D$42,3,0)</f>
        <v>85</v>
      </c>
      <c r="M1031" s="41">
        <f>PRODUCT(K1031:L1031)</f>
        <v>8.5</v>
      </c>
    </row>
    <row r="1032" spans="1:13" ht="12.75" customHeight="1" outlineLevel="1" x14ac:dyDescent="0.25">
      <c r="A1032" s="44" t="s">
        <v>145</v>
      </c>
      <c r="B1032" s="68" t="s">
        <v>147</v>
      </c>
      <c r="C1032" s="41"/>
      <c r="D1032" s="69">
        <v>9</v>
      </c>
      <c r="E1032" s="41">
        <f>VLOOKUP(A1032,INSUMOS!$B$7:$D$42,3,0)</f>
        <v>31</v>
      </c>
      <c r="F1032" s="41">
        <f>PRODUCT(D1032:E1032)</f>
        <v>279</v>
      </c>
      <c r="H1032" s="44" t="s">
        <v>145</v>
      </c>
      <c r="I1032" s="68" t="s">
        <v>147</v>
      </c>
      <c r="J1032" s="41"/>
      <c r="K1032" s="69">
        <v>1.5</v>
      </c>
      <c r="L1032" s="41">
        <f>VLOOKUP(H1032,[2]INSUMOS!$B$7:$D$42,3,0)</f>
        <v>29</v>
      </c>
      <c r="M1032" s="41">
        <f>PRODUCT(K1032:L1032)</f>
        <v>43.5</v>
      </c>
    </row>
    <row r="1033" spans="1:13" ht="12.75" customHeight="1" outlineLevel="1" x14ac:dyDescent="0.3">
      <c r="A1033" s="64" t="s">
        <v>105</v>
      </c>
      <c r="B1033" s="65"/>
      <c r="C1033" s="66"/>
      <c r="D1033" s="67"/>
      <c r="E1033" s="66"/>
      <c r="F1033" s="66">
        <f>SUM(F1034:F1036)</f>
        <v>17.02375</v>
      </c>
      <c r="H1033" s="44" t="s">
        <v>168</v>
      </c>
      <c r="I1033" s="68" t="s">
        <v>118</v>
      </c>
      <c r="J1033" s="41"/>
      <c r="K1033" s="69">
        <v>15</v>
      </c>
      <c r="L1033" s="41">
        <f>VLOOKUP(H1033,[2]INSUMOS!$B$7:$D$42,3,0)</f>
        <v>4</v>
      </c>
      <c r="M1033" s="41">
        <f>PRODUCT(K1033:L1033)</f>
        <v>60</v>
      </c>
    </row>
    <row r="1034" spans="1:13" ht="12.75" customHeight="1" outlineLevel="1" x14ac:dyDescent="0.25">
      <c r="A1034" s="44" t="s">
        <v>111</v>
      </c>
      <c r="B1034" s="68" t="s">
        <v>112</v>
      </c>
      <c r="C1034" s="41"/>
      <c r="D1034" s="69">
        <v>3</v>
      </c>
      <c r="E1034" s="41">
        <f>F1024</f>
        <v>100.79166666666666</v>
      </c>
      <c r="F1034" s="41">
        <f>D1034*E1034/100</f>
        <v>3.0237500000000002</v>
      </c>
      <c r="H1034" s="44" t="s">
        <v>117</v>
      </c>
      <c r="I1034" s="68" t="s">
        <v>118</v>
      </c>
      <c r="J1034" s="41"/>
      <c r="K1034" s="69">
        <v>0.1</v>
      </c>
      <c r="L1034" s="41">
        <f>VLOOKUP(H1034,[2]INSUMOS!$B$7:$D$42,3,0)</f>
        <v>5</v>
      </c>
      <c r="M1034" s="41">
        <f>PRODUCT(K1034:L1034)</f>
        <v>0.5</v>
      </c>
    </row>
    <row r="1035" spans="1:13" ht="12.75" customHeight="1" outlineLevel="1" x14ac:dyDescent="0.3">
      <c r="A1035" s="44" t="s">
        <v>148</v>
      </c>
      <c r="B1035" s="68" t="s">
        <v>131</v>
      </c>
      <c r="C1035" s="41">
        <v>0.5</v>
      </c>
      <c r="D1035" s="69">
        <f>C1035*$E$1022/$B$1022</f>
        <v>0.5</v>
      </c>
      <c r="E1035" s="41">
        <f>VLOOKUP(A1035,INSUMOS!$B$7:$D$42,3,0)</f>
        <v>6</v>
      </c>
      <c r="F1035" s="41">
        <f>PRODUCT(D1035:E1035)</f>
        <v>3</v>
      </c>
      <c r="H1035" s="64" t="s">
        <v>105</v>
      </c>
      <c r="I1035" s="65"/>
      <c r="J1035" s="66"/>
      <c r="K1035" s="67"/>
      <c r="L1035" s="66"/>
      <c r="M1035" s="66">
        <f>SUM(M1036:M1037)</f>
        <v>9.7416666666666671</v>
      </c>
    </row>
    <row r="1036" spans="1:13" ht="12.75" customHeight="1" outlineLevel="1" x14ac:dyDescent="0.25">
      <c r="A1036" s="44" t="s">
        <v>156</v>
      </c>
      <c r="B1036" s="68" t="s">
        <v>131</v>
      </c>
      <c r="C1036" s="41">
        <v>0.5</v>
      </c>
      <c r="D1036" s="69">
        <f>C1036*$E$1022/$B$1022</f>
        <v>0.5</v>
      </c>
      <c r="E1036" s="41">
        <f>VLOOKUP(A1036,INSUMOS!$B$7:$D$42,3,0)</f>
        <v>22</v>
      </c>
      <c r="F1036" s="41">
        <f>PRODUCT(D1036:E1036)</f>
        <v>11</v>
      </c>
      <c r="H1036" s="44" t="s">
        <v>111</v>
      </c>
      <c r="I1036" s="68" t="s">
        <v>112</v>
      </c>
      <c r="J1036" s="41"/>
      <c r="K1036" s="69">
        <v>3</v>
      </c>
      <c r="L1036" s="41">
        <f>M1024</f>
        <v>102.5</v>
      </c>
      <c r="M1036" s="41">
        <f>K1036*L1036/100</f>
        <v>3.0750000000000002</v>
      </c>
    </row>
    <row r="1037" spans="1:13" ht="12.75" customHeight="1" outlineLevel="1" x14ac:dyDescent="0.25">
      <c r="B1037" s="1"/>
      <c r="C1037" s="21"/>
      <c r="H1037" s="44" t="s">
        <v>148</v>
      </c>
      <c r="I1037" s="68" t="s">
        <v>109</v>
      </c>
      <c r="J1037" s="41">
        <v>1</v>
      </c>
      <c r="K1037" s="69">
        <f>J1037*L1022/I1022</f>
        <v>1.3333333333333333</v>
      </c>
      <c r="L1037" s="41">
        <f>VLOOKUP(H1037,[2]INSUMOS!$B$7:$D$42,3,0)</f>
        <v>5</v>
      </c>
      <c r="M1037" s="41">
        <f>K1037*L1037</f>
        <v>6.6666666666666661</v>
      </c>
    </row>
    <row r="1038" spans="1:13" ht="12.75" customHeight="1" x14ac:dyDescent="0.3">
      <c r="A1038" s="54" t="s">
        <v>184</v>
      </c>
      <c r="B1038" s="55"/>
      <c r="C1038" s="56"/>
      <c r="D1038" s="57"/>
      <c r="E1038" s="58" t="s">
        <v>92</v>
      </c>
      <c r="F1038" s="59">
        <f>F1041+F1047+F1050</f>
        <v>48.353166666666667</v>
      </c>
    </row>
    <row r="1039" spans="1:13" ht="12.75" hidden="1" customHeight="1" outlineLevel="1" x14ac:dyDescent="0.3">
      <c r="A1039" s="60" t="s">
        <v>93</v>
      </c>
      <c r="B1039" s="61">
        <v>10</v>
      </c>
      <c r="C1039" s="62" t="s">
        <v>107</v>
      </c>
      <c r="D1039" s="63" t="s">
        <v>95</v>
      </c>
      <c r="E1039" s="60">
        <v>8</v>
      </c>
      <c r="F1039" s="60" t="s">
        <v>96</v>
      </c>
    </row>
    <row r="1040" spans="1:13" ht="12.75" hidden="1" customHeight="1" outlineLevel="1" x14ac:dyDescent="0.3">
      <c r="A1040" s="64" t="s">
        <v>97</v>
      </c>
      <c r="B1040" s="65" t="s">
        <v>98</v>
      </c>
      <c r="C1040" s="66" t="s">
        <v>99</v>
      </c>
      <c r="D1040" s="67" t="s">
        <v>100</v>
      </c>
      <c r="E1040" s="64" t="s">
        <v>101</v>
      </c>
      <c r="F1040" s="64" t="s">
        <v>102</v>
      </c>
    </row>
    <row r="1041" spans="1:6" ht="12.75" hidden="1" customHeight="1" outlineLevel="1" x14ac:dyDescent="0.3">
      <c r="A1041" s="64" t="s">
        <v>103</v>
      </c>
      <c r="B1041" s="65"/>
      <c r="C1041" s="66"/>
      <c r="D1041" s="67"/>
      <c r="E1041" s="66"/>
      <c r="F1041" s="66">
        <f>SUM(F1042:F1045)</f>
        <v>46.216666666666669</v>
      </c>
    </row>
    <row r="1042" spans="1:6" ht="12.75" hidden="1" customHeight="1" outlineLevel="1" x14ac:dyDescent="0.25">
      <c r="A1042" s="44" t="s">
        <v>108</v>
      </c>
      <c r="B1042" s="68" t="s">
        <v>109</v>
      </c>
      <c r="C1042" s="41">
        <v>0.1</v>
      </c>
      <c r="D1042" s="69">
        <f>C1042*$E$1039/$B$1039</f>
        <v>0.08</v>
      </c>
      <c r="E1042" s="41">
        <f>VLOOKUP(A1042,INSUMOS!$B$7:$D$42,3,0)</f>
        <v>49.166666666666664</v>
      </c>
      <c r="F1042" s="41">
        <f>PRODUCT(D1042:E1042)</f>
        <v>3.9333333333333331</v>
      </c>
    </row>
    <row r="1043" spans="1:6" ht="12.75" hidden="1" customHeight="1" outlineLevel="1" x14ac:dyDescent="0.25">
      <c r="A1043" s="44" t="s">
        <v>113</v>
      </c>
      <c r="B1043" s="68" t="s">
        <v>109</v>
      </c>
      <c r="C1043" s="41">
        <v>1</v>
      </c>
      <c r="D1043" s="69">
        <f>C1043*$E$1039/$B$1039</f>
        <v>0.8</v>
      </c>
      <c r="E1043" s="41">
        <f>VLOOKUP(A1043,INSUMOS!$B$7:$D$42,3,0)</f>
        <v>27.041666666666668</v>
      </c>
      <c r="F1043" s="41">
        <f>PRODUCT(D1043:E1043)</f>
        <v>21.633333333333336</v>
      </c>
    </row>
    <row r="1044" spans="1:6" ht="12.75" hidden="1" customHeight="1" outlineLevel="1" x14ac:dyDescent="0.25">
      <c r="A1044" s="44" t="s">
        <v>144</v>
      </c>
      <c r="B1044" s="68" t="s">
        <v>109</v>
      </c>
      <c r="C1044" s="41">
        <v>1</v>
      </c>
      <c r="D1044" s="69">
        <f>C1044*$E$1039/$B$1039</f>
        <v>0.8</v>
      </c>
      <c r="E1044" s="41">
        <f>VLOOKUP(A1044,INSUMOS!$B$7:$D$42,3,0)</f>
        <v>19.666666666666668</v>
      </c>
      <c r="F1044" s="41">
        <f>PRODUCT(D1044:E1044)</f>
        <v>15.733333333333334</v>
      </c>
    </row>
    <row r="1045" spans="1:6" ht="12.75" hidden="1" customHeight="1" outlineLevel="1" x14ac:dyDescent="0.25">
      <c r="A1045" s="44" t="s">
        <v>110</v>
      </c>
      <c r="B1045" s="68" t="s">
        <v>109</v>
      </c>
      <c r="C1045" s="41">
        <v>0.5</v>
      </c>
      <c r="D1045" s="69">
        <f>C1045*$E$1039/$B$1039</f>
        <v>0.4</v>
      </c>
      <c r="E1045" s="41">
        <f>VLOOKUP(A1045,INSUMOS!$B$7:$D$42,3,0)</f>
        <v>12.291666666666666</v>
      </c>
      <c r="F1045" s="41">
        <f>PRODUCT(D1045:E1045)</f>
        <v>4.916666666666667</v>
      </c>
    </row>
    <row r="1046" spans="1:6" ht="12.75" hidden="1" customHeight="1" outlineLevel="1" x14ac:dyDescent="0.25">
      <c r="A1046" s="44" t="s">
        <v>114</v>
      </c>
      <c r="B1046" s="68" t="s">
        <v>158</v>
      </c>
      <c r="C1046" s="41"/>
      <c r="D1046" s="69">
        <f>C1046*$E$1039/$B$1039</f>
        <v>0</v>
      </c>
      <c r="E1046" s="41">
        <f>VLOOKUP(A1046,INSUMOS!$B$7:$D$42,3,0)</f>
        <v>5</v>
      </c>
      <c r="F1046" s="41">
        <f>PRODUCT(D1046:E1046)</f>
        <v>0</v>
      </c>
    </row>
    <row r="1047" spans="1:6" ht="12.75" hidden="1" customHeight="1" outlineLevel="1" x14ac:dyDescent="0.3">
      <c r="A1047" s="64" t="s">
        <v>116</v>
      </c>
      <c r="B1047" s="65"/>
      <c r="C1047" s="66"/>
      <c r="D1047" s="67"/>
      <c r="E1047" s="66"/>
      <c r="F1047" s="66">
        <f>SUM(F1048)</f>
        <v>0.75</v>
      </c>
    </row>
    <row r="1048" spans="1:6" ht="12.75" hidden="1" customHeight="1" outlineLevel="1" x14ac:dyDescent="0.25">
      <c r="A1048" s="44" t="s">
        <v>117</v>
      </c>
      <c r="B1048" s="68" t="s">
        <v>118</v>
      </c>
      <c r="C1048" s="41"/>
      <c r="D1048" s="69">
        <v>0.15</v>
      </c>
      <c r="E1048" s="41">
        <f>VLOOKUP(A1048,INSUMOS!$B$7:$D$42,3,0)</f>
        <v>5</v>
      </c>
      <c r="F1048" s="41">
        <f>PRODUCT(D1048:E1048)</f>
        <v>0.75</v>
      </c>
    </row>
    <row r="1049" spans="1:6" ht="12.75" hidden="1" customHeight="1" outlineLevel="1" x14ac:dyDescent="0.25">
      <c r="A1049" s="44" t="s">
        <v>150</v>
      </c>
      <c r="B1049" s="68" t="s">
        <v>118</v>
      </c>
      <c r="C1049" s="41"/>
      <c r="D1049" s="69">
        <v>0.12</v>
      </c>
      <c r="E1049" s="41">
        <f>VLOOKUP(A1049,INSUMOS!$B$7:$D$42,3,0)</f>
        <v>5</v>
      </c>
      <c r="F1049" s="41">
        <f>PRODUCT(D1049:E1049)</f>
        <v>0.6</v>
      </c>
    </row>
    <row r="1050" spans="1:6" ht="12.75" hidden="1" customHeight="1" outlineLevel="1" x14ac:dyDescent="0.3">
      <c r="A1050" s="64" t="s">
        <v>105</v>
      </c>
      <c r="B1050" s="65"/>
      <c r="C1050" s="66"/>
      <c r="D1050" s="67"/>
      <c r="E1050" s="66"/>
      <c r="F1050" s="66">
        <f>SUM(F1051)</f>
        <v>1.3865000000000001</v>
      </c>
    </row>
    <row r="1051" spans="1:6" ht="12.75" hidden="1" customHeight="1" outlineLevel="1" x14ac:dyDescent="0.25">
      <c r="A1051" s="44" t="s">
        <v>111</v>
      </c>
      <c r="B1051" s="68" t="s">
        <v>112</v>
      </c>
      <c r="C1051" s="41"/>
      <c r="D1051" s="69">
        <v>3</v>
      </c>
      <c r="E1051" s="41">
        <f>F1041</f>
        <v>46.216666666666669</v>
      </c>
      <c r="F1051" s="41">
        <f>D1051*E1051/100</f>
        <v>1.3865000000000001</v>
      </c>
    </row>
    <row r="1052" spans="1:6" ht="12.75" hidden="1" customHeight="1" outlineLevel="1" x14ac:dyDescent="0.25">
      <c r="B1052" s="84"/>
      <c r="C1052" s="21"/>
      <c r="D1052" s="85"/>
      <c r="E1052" s="21"/>
      <c r="F1052" s="21"/>
    </row>
    <row r="1053" spans="1:6" ht="12.75" customHeight="1" collapsed="1" x14ac:dyDescent="0.3">
      <c r="A1053" s="54" t="s">
        <v>185</v>
      </c>
      <c r="B1053" s="55"/>
      <c r="C1053" s="56"/>
      <c r="D1053" s="57"/>
      <c r="E1053" s="58" t="s">
        <v>92</v>
      </c>
      <c r="F1053" s="59">
        <f>F1056+F1060+F1063</f>
        <v>7.1143333333333345</v>
      </c>
    </row>
    <row r="1054" spans="1:6" ht="12.75" customHeight="1" outlineLevel="1" x14ac:dyDescent="0.3">
      <c r="A1054" s="60" t="s">
        <v>93</v>
      </c>
      <c r="B1054" s="61">
        <v>300</v>
      </c>
      <c r="C1054" s="62" t="s">
        <v>133</v>
      </c>
      <c r="D1054" s="63" t="s">
        <v>95</v>
      </c>
      <c r="E1054" s="60">
        <v>8</v>
      </c>
      <c r="F1054" s="60" t="s">
        <v>96</v>
      </c>
    </row>
    <row r="1055" spans="1:6" ht="12.75" customHeight="1" outlineLevel="1" x14ac:dyDescent="0.3">
      <c r="A1055" s="64" t="s">
        <v>97</v>
      </c>
      <c r="B1055" s="65" t="s">
        <v>98</v>
      </c>
      <c r="C1055" s="66" t="s">
        <v>99</v>
      </c>
      <c r="D1055" s="67" t="s">
        <v>100</v>
      </c>
      <c r="E1055" s="64" t="s">
        <v>101</v>
      </c>
      <c r="F1055" s="64" t="s">
        <v>102</v>
      </c>
    </row>
    <row r="1056" spans="1:6" ht="12.75" customHeight="1" outlineLevel="1" x14ac:dyDescent="0.3">
      <c r="A1056" s="64" t="s">
        <v>103</v>
      </c>
      <c r="B1056" s="65"/>
      <c r="C1056" s="66"/>
      <c r="D1056" s="67"/>
      <c r="E1056" s="66"/>
      <c r="F1056" s="66">
        <f>SUM(F1057:F1059)</f>
        <v>1.3766666666666667</v>
      </c>
    </row>
    <row r="1057" spans="1:6" ht="12.75" customHeight="1" outlineLevel="1" x14ac:dyDescent="0.25">
      <c r="A1057" s="44" t="s">
        <v>108</v>
      </c>
      <c r="B1057" s="68" t="s">
        <v>109</v>
      </c>
      <c r="C1057" s="41">
        <v>0.1</v>
      </c>
      <c r="D1057" s="69">
        <f>C1057*$E$1054/$B$1054</f>
        <v>2.666666666666667E-3</v>
      </c>
      <c r="E1057" s="41">
        <f>VLOOKUP(A1057,INSUMOS!$B$7:$D$42,3,0)</f>
        <v>49.166666666666664</v>
      </c>
      <c r="F1057" s="41">
        <f>PRODUCT(D1057:E1057)</f>
        <v>0.13111111111111112</v>
      </c>
    </row>
    <row r="1058" spans="1:6" ht="12.75" customHeight="1" outlineLevel="1" x14ac:dyDescent="0.25">
      <c r="A1058" s="44" t="s">
        <v>113</v>
      </c>
      <c r="B1058" s="68" t="s">
        <v>109</v>
      </c>
      <c r="C1058" s="41">
        <v>1</v>
      </c>
      <c r="D1058" s="69">
        <f>C1058*$E$1054/$B$1054</f>
        <v>2.6666666666666668E-2</v>
      </c>
      <c r="E1058" s="41">
        <f>VLOOKUP(A1058,INSUMOS!$B$7:$D$42,3,0)</f>
        <v>27.041666666666668</v>
      </c>
      <c r="F1058" s="41">
        <f>PRODUCT(D1058:E1058)</f>
        <v>0.72111111111111115</v>
      </c>
    </row>
    <row r="1059" spans="1:6" ht="12.75" customHeight="1" outlineLevel="1" x14ac:dyDescent="0.25">
      <c r="A1059" s="44" t="s">
        <v>144</v>
      </c>
      <c r="B1059" s="68" t="s">
        <v>109</v>
      </c>
      <c r="C1059" s="41">
        <v>1</v>
      </c>
      <c r="D1059" s="69">
        <f>C1059*$E$1054/$B$1054</f>
        <v>2.6666666666666668E-2</v>
      </c>
      <c r="E1059" s="41">
        <f>VLOOKUP(A1059,INSUMOS!$B$7:$D$42,3,0)</f>
        <v>19.666666666666668</v>
      </c>
      <c r="F1059" s="41">
        <f>PRODUCT(D1059:E1059)</f>
        <v>0.52444444444444449</v>
      </c>
    </row>
    <row r="1060" spans="1:6" ht="12.75" customHeight="1" outlineLevel="1" x14ac:dyDescent="0.3">
      <c r="A1060" s="64" t="s">
        <v>116</v>
      </c>
      <c r="B1060" s="65"/>
      <c r="C1060" s="66"/>
      <c r="D1060" s="67"/>
      <c r="E1060" s="66"/>
      <c r="F1060" s="66">
        <f>SUM(F1061:F1062)</f>
        <v>5.6000000000000005</v>
      </c>
    </row>
    <row r="1061" spans="1:6" ht="12.75" customHeight="1" outlineLevel="1" x14ac:dyDescent="0.25">
      <c r="A1061" s="44" t="s">
        <v>124</v>
      </c>
      <c r="B1061" s="68" t="s">
        <v>118</v>
      </c>
      <c r="C1061" s="41"/>
      <c r="D1061" s="69">
        <v>0.05</v>
      </c>
      <c r="E1061" s="41">
        <f>VLOOKUP(A1061,INSUMOS!$B$7:$D$42,3,0)</f>
        <v>5</v>
      </c>
      <c r="F1061" s="41">
        <f>PRODUCT(D1061:E1061)</f>
        <v>0.25</v>
      </c>
    </row>
    <row r="1062" spans="1:6" ht="12.75" customHeight="1" outlineLevel="1" x14ac:dyDescent="0.25">
      <c r="A1062" s="44" t="s">
        <v>168</v>
      </c>
      <c r="B1062" s="68" t="s">
        <v>118</v>
      </c>
      <c r="C1062" s="41"/>
      <c r="D1062" s="69">
        <v>1.07</v>
      </c>
      <c r="E1062" s="41">
        <f>VLOOKUP(A1062,INSUMOS!$B$7:$D$42,3,0)</f>
        <v>5</v>
      </c>
      <c r="F1062" s="41">
        <f>PRODUCT(D1062:E1062)</f>
        <v>5.3500000000000005</v>
      </c>
    </row>
    <row r="1063" spans="1:6" ht="12.75" customHeight="1" outlineLevel="1" x14ac:dyDescent="0.3">
      <c r="A1063" s="64" t="s">
        <v>105</v>
      </c>
      <c r="B1063" s="65"/>
      <c r="C1063" s="66"/>
      <c r="D1063" s="67"/>
      <c r="E1063" s="66"/>
      <c r="F1063" s="66">
        <f>SUM(F1064)</f>
        <v>0.13766666666666669</v>
      </c>
    </row>
    <row r="1064" spans="1:6" ht="12.75" customHeight="1" outlineLevel="1" x14ac:dyDescent="0.25">
      <c r="A1064" s="44" t="s">
        <v>111</v>
      </c>
      <c r="B1064" s="68" t="s">
        <v>112</v>
      </c>
      <c r="C1064" s="41"/>
      <c r="D1064" s="69">
        <v>10</v>
      </c>
      <c r="E1064" s="41">
        <f>F1056</f>
        <v>1.3766666666666667</v>
      </c>
      <c r="F1064" s="41">
        <f>D1064*E1064/100</f>
        <v>0.13766666666666669</v>
      </c>
    </row>
    <row r="1065" spans="1:6" ht="12.75" customHeight="1" outlineLevel="1" x14ac:dyDescent="0.25">
      <c r="B1065" s="84"/>
      <c r="C1065" s="21"/>
      <c r="D1065" s="85"/>
      <c r="E1065" s="21"/>
      <c r="F1065" s="21"/>
    </row>
    <row r="1066" spans="1:6" ht="12.75" customHeight="1" x14ac:dyDescent="0.3">
      <c r="A1066" s="54" t="s">
        <v>189</v>
      </c>
      <c r="B1066" s="55"/>
      <c r="C1066" s="56"/>
      <c r="D1066" s="57"/>
      <c r="E1066" s="58" t="s">
        <v>92</v>
      </c>
      <c r="F1066" s="59">
        <f>F1069+F1073+F1077</f>
        <v>94.469103333333337</v>
      </c>
    </row>
    <row r="1067" spans="1:6" ht="12.75" customHeight="1" outlineLevel="1" x14ac:dyDescent="0.3">
      <c r="A1067" s="60" t="s">
        <v>93</v>
      </c>
      <c r="B1067" s="61">
        <v>10</v>
      </c>
      <c r="C1067" s="62" t="s">
        <v>107</v>
      </c>
      <c r="D1067" s="63" t="s">
        <v>95</v>
      </c>
      <c r="E1067" s="60">
        <v>8</v>
      </c>
      <c r="F1067" s="60" t="s">
        <v>96</v>
      </c>
    </row>
    <row r="1068" spans="1:6" ht="12.75" customHeight="1" outlineLevel="1" x14ac:dyDescent="0.3">
      <c r="A1068" s="64" t="s">
        <v>97</v>
      </c>
      <c r="B1068" s="65" t="s">
        <v>98</v>
      </c>
      <c r="C1068" s="66" t="s">
        <v>99</v>
      </c>
      <c r="D1068" s="67" t="s">
        <v>100</v>
      </c>
      <c r="E1068" s="64" t="s">
        <v>101</v>
      </c>
      <c r="F1068" s="64" t="s">
        <v>102</v>
      </c>
    </row>
    <row r="1069" spans="1:6" ht="12.75" customHeight="1" outlineLevel="1" x14ac:dyDescent="0.3">
      <c r="A1069" s="64" t="s">
        <v>103</v>
      </c>
      <c r="B1069" s="65"/>
      <c r="C1069" s="66"/>
      <c r="D1069" s="67"/>
      <c r="E1069" s="66"/>
      <c r="F1069" s="66">
        <f>SUM(F1070:F1072)</f>
        <v>30.483333333333338</v>
      </c>
    </row>
    <row r="1070" spans="1:6" ht="12.75" customHeight="1" outlineLevel="1" x14ac:dyDescent="0.25">
      <c r="A1070" s="44" t="s">
        <v>108</v>
      </c>
      <c r="B1070" s="68" t="s">
        <v>109</v>
      </c>
      <c r="C1070" s="41">
        <v>0.1</v>
      </c>
      <c r="D1070" s="69">
        <f>C1070*$E$1067/$B$1067</f>
        <v>0.08</v>
      </c>
      <c r="E1070" s="41">
        <f>VLOOKUP(A1070,INSUMOS!$B$7:$D$42,3,0)</f>
        <v>49.166666666666664</v>
      </c>
      <c r="F1070" s="41">
        <f>PRODUCT(D1070:E1070)</f>
        <v>3.9333333333333331</v>
      </c>
    </row>
    <row r="1071" spans="1:6" ht="12.75" customHeight="1" outlineLevel="1" x14ac:dyDescent="0.25">
      <c r="A1071" s="44" t="s">
        <v>113</v>
      </c>
      <c r="B1071" s="68" t="s">
        <v>109</v>
      </c>
      <c r="C1071" s="41">
        <v>1</v>
      </c>
      <c r="D1071" s="69">
        <f>C1071*$E$1067/$B$1067</f>
        <v>0.8</v>
      </c>
      <c r="E1071" s="41">
        <f>VLOOKUP(A1071,INSUMOS!$B$7:$D$42,3,0)</f>
        <v>27.041666666666668</v>
      </c>
      <c r="F1071" s="41">
        <f>PRODUCT(D1071:E1071)</f>
        <v>21.633333333333336</v>
      </c>
    </row>
    <row r="1072" spans="1:6" ht="12.75" customHeight="1" outlineLevel="1" x14ac:dyDescent="0.25">
      <c r="A1072" s="44" t="s">
        <v>110</v>
      </c>
      <c r="B1072" s="68" t="s">
        <v>109</v>
      </c>
      <c r="C1072" s="41">
        <v>0.5</v>
      </c>
      <c r="D1072" s="69">
        <f>C1072*$E$1067/$B$1067</f>
        <v>0.4</v>
      </c>
      <c r="E1072" s="41">
        <f>VLOOKUP(A1072,INSUMOS!$B$7:$D$42,3,0)</f>
        <v>12.291666666666666</v>
      </c>
      <c r="F1072" s="41">
        <f>PRODUCT(D1072:E1072)</f>
        <v>4.916666666666667</v>
      </c>
    </row>
    <row r="1073" spans="1:6" ht="12.75" customHeight="1" outlineLevel="1" x14ac:dyDescent="0.3">
      <c r="A1073" s="64" t="s">
        <v>116</v>
      </c>
      <c r="B1073" s="65"/>
      <c r="C1073" s="66"/>
      <c r="D1073" s="67"/>
      <c r="E1073" s="66"/>
      <c r="F1073" s="66">
        <f>SUM(F1074:F1076)</f>
        <v>60.071269999999998</v>
      </c>
    </row>
    <row r="1074" spans="1:6" ht="12.75" customHeight="1" outlineLevel="1" x14ac:dyDescent="0.25">
      <c r="A1074" s="44" t="s">
        <v>165</v>
      </c>
      <c r="B1074" s="68" t="s">
        <v>37</v>
      </c>
      <c r="C1074" s="41"/>
      <c r="D1074" s="69">
        <v>6.2899999999999998E-2</v>
      </c>
      <c r="E1074" s="41">
        <f>VLOOKUP(A1074,INSUMOS!$B$7:$D$42,3,0)</f>
        <v>100.3</v>
      </c>
      <c r="F1074" s="41">
        <f>PRODUCT(D1074:E1074)</f>
        <v>6.3088699999999998</v>
      </c>
    </row>
    <row r="1075" spans="1:6" ht="12.75" customHeight="1" outlineLevel="1" x14ac:dyDescent="0.25">
      <c r="A1075" s="44" t="s">
        <v>169</v>
      </c>
      <c r="B1075" s="68" t="s">
        <v>147</v>
      </c>
      <c r="C1075" s="41"/>
      <c r="D1075" s="69">
        <v>0.40560000000000002</v>
      </c>
      <c r="E1075" s="41">
        <f>VLOOKUP(A1075,INSUMOS!$B$7:$D$42,3,0)</f>
        <v>29</v>
      </c>
      <c r="F1075" s="41">
        <f>PRODUCT(D1075:E1075)</f>
        <v>11.762400000000001</v>
      </c>
    </row>
    <row r="1076" spans="1:6" ht="12.75" customHeight="1" outlineLevel="1" x14ac:dyDescent="0.25">
      <c r="A1076" s="44" t="s">
        <v>190</v>
      </c>
      <c r="B1076" s="68" t="s">
        <v>126</v>
      </c>
      <c r="C1076" s="41"/>
      <c r="D1076" s="69">
        <v>42</v>
      </c>
      <c r="E1076" s="41">
        <f>VLOOKUP(A1076,INSUMOS!$B$7:$D$42,3,0)</f>
        <v>1</v>
      </c>
      <c r="F1076" s="41">
        <f>PRODUCT(D1076:E1076)</f>
        <v>42</v>
      </c>
    </row>
    <row r="1077" spans="1:6" ht="12.75" customHeight="1" outlineLevel="1" x14ac:dyDescent="0.3">
      <c r="A1077" s="64" t="s">
        <v>105</v>
      </c>
      <c r="B1077" s="65"/>
      <c r="C1077" s="66"/>
      <c r="D1077" s="67"/>
      <c r="E1077" s="66"/>
      <c r="F1077" s="66">
        <f>SUM(F1078:F1079)</f>
        <v>3.9145000000000003</v>
      </c>
    </row>
    <row r="1078" spans="1:6" ht="12.75" customHeight="1" outlineLevel="1" x14ac:dyDescent="0.25">
      <c r="A1078" s="44" t="s">
        <v>111</v>
      </c>
      <c r="B1078" s="68" t="s">
        <v>112</v>
      </c>
      <c r="C1078" s="41"/>
      <c r="D1078" s="69">
        <v>3</v>
      </c>
      <c r="E1078" s="41">
        <f>F1069</f>
        <v>30.483333333333338</v>
      </c>
      <c r="F1078" s="41">
        <f>D1078*E1078/100</f>
        <v>0.9145000000000002</v>
      </c>
    </row>
    <row r="1079" spans="1:6" ht="12.75" customHeight="1" outlineLevel="1" x14ac:dyDescent="0.25">
      <c r="A1079" s="44" t="s">
        <v>188</v>
      </c>
      <c r="B1079" s="68" t="s">
        <v>109</v>
      </c>
      <c r="C1079" s="41">
        <v>0.75</v>
      </c>
      <c r="D1079" s="69">
        <f>C1079*$E$1067/$B$1067</f>
        <v>0.6</v>
      </c>
      <c r="E1079" s="41">
        <f>VLOOKUP(A1079,INSUMOS!$B$7:$D$42,3,0)</f>
        <v>5</v>
      </c>
      <c r="F1079" s="41">
        <f>D1079*E1079</f>
        <v>3</v>
      </c>
    </row>
    <row r="1080" spans="1:6" ht="12.75" customHeight="1" outlineLevel="1" x14ac:dyDescent="0.25">
      <c r="B1080" s="84"/>
      <c r="C1080" s="21"/>
      <c r="D1080" s="85"/>
    </row>
    <row r="1081" spans="1:6" ht="12.75" customHeight="1" x14ac:dyDescent="0.25">
      <c r="A1081" s="49" t="s">
        <v>500</v>
      </c>
      <c r="B1081" s="50"/>
      <c r="C1081" s="51"/>
      <c r="D1081" s="52"/>
      <c r="E1081" s="51"/>
      <c r="F1081" s="53"/>
    </row>
    <row r="1082" spans="1:6" ht="12.75" customHeight="1" x14ac:dyDescent="0.3">
      <c r="A1082" s="54" t="s">
        <v>191</v>
      </c>
      <c r="B1082" s="55"/>
      <c r="C1082" s="56"/>
      <c r="D1082" s="57"/>
      <c r="E1082" s="58" t="s">
        <v>92</v>
      </c>
      <c r="F1082" s="59">
        <f>F1085+F1090+F1094</f>
        <v>27.086451851851855</v>
      </c>
    </row>
    <row r="1083" spans="1:6" ht="12.75" hidden="1" customHeight="1" outlineLevel="1" x14ac:dyDescent="0.3">
      <c r="A1083" s="60" t="s">
        <v>93</v>
      </c>
      <c r="B1083" s="61">
        <v>18</v>
      </c>
      <c r="C1083" s="62" t="s">
        <v>107</v>
      </c>
      <c r="D1083" s="63" t="s">
        <v>95</v>
      </c>
      <c r="E1083" s="60">
        <v>8</v>
      </c>
      <c r="F1083" s="60" t="s">
        <v>96</v>
      </c>
    </row>
    <row r="1084" spans="1:6" ht="12.75" hidden="1" customHeight="1" outlineLevel="1" x14ac:dyDescent="0.3">
      <c r="A1084" s="64" t="s">
        <v>97</v>
      </c>
      <c r="B1084" s="65" t="s">
        <v>98</v>
      </c>
      <c r="C1084" s="66" t="s">
        <v>99</v>
      </c>
      <c r="D1084" s="67" t="s">
        <v>100</v>
      </c>
      <c r="E1084" s="64" t="s">
        <v>101</v>
      </c>
      <c r="F1084" s="64" t="s">
        <v>102</v>
      </c>
    </row>
    <row r="1085" spans="1:6" ht="12.75" hidden="1" customHeight="1" outlineLevel="1" x14ac:dyDescent="0.3">
      <c r="A1085" s="64" t="s">
        <v>103</v>
      </c>
      <c r="B1085" s="65"/>
      <c r="C1085" s="66"/>
      <c r="D1085" s="67"/>
      <c r="E1085" s="66"/>
      <c r="F1085" s="66">
        <f>SUM(F1086:F1089)</f>
        <v>19.935185185185187</v>
      </c>
    </row>
    <row r="1086" spans="1:6" ht="12.75" hidden="1" customHeight="1" outlineLevel="1" x14ac:dyDescent="0.25">
      <c r="A1086" s="44" t="s">
        <v>108</v>
      </c>
      <c r="B1086" s="68" t="s">
        <v>109</v>
      </c>
      <c r="C1086" s="41">
        <v>0.1</v>
      </c>
      <c r="D1086" s="69">
        <f>C1086*$E$1083/$B$1083</f>
        <v>4.4444444444444446E-2</v>
      </c>
      <c r="E1086" s="41">
        <f>VLOOKUP(A1086,INSUMOS!$B$7:$D$42,3,0)</f>
        <v>49.166666666666664</v>
      </c>
      <c r="F1086" s="41">
        <f>PRODUCT(D1086:E1086)</f>
        <v>2.1851851851851851</v>
      </c>
    </row>
    <row r="1087" spans="1:6" ht="12.75" hidden="1" customHeight="1" outlineLevel="1" x14ac:dyDescent="0.25">
      <c r="A1087" s="44" t="s">
        <v>113</v>
      </c>
      <c r="B1087" s="68" t="s">
        <v>109</v>
      </c>
      <c r="C1087" s="41">
        <v>1</v>
      </c>
      <c r="D1087" s="69">
        <f>C1087*$E$1083/$B$1083</f>
        <v>0.44444444444444442</v>
      </c>
      <c r="E1087" s="41">
        <f>VLOOKUP(A1087,INSUMOS!$B$7:$D$42,3,0)</f>
        <v>27.041666666666668</v>
      </c>
      <c r="F1087" s="41">
        <f>PRODUCT(D1087:E1087)</f>
        <v>12.018518518518519</v>
      </c>
    </row>
    <row r="1088" spans="1:6" ht="12.75" hidden="1" customHeight="1" outlineLevel="1" x14ac:dyDescent="0.25">
      <c r="A1088" s="44" t="s">
        <v>110</v>
      </c>
      <c r="B1088" s="68" t="s">
        <v>109</v>
      </c>
      <c r="C1088" s="41">
        <v>0.5</v>
      </c>
      <c r="D1088" s="69">
        <f>C1088*$E$1083/$B$1083</f>
        <v>0.22222222222222221</v>
      </c>
      <c r="E1088" s="41">
        <f>VLOOKUP(A1088,INSUMOS!$B$7:$D$42,3,0)</f>
        <v>12.291666666666666</v>
      </c>
      <c r="F1088" s="41">
        <f>PRODUCT(D1088:E1088)</f>
        <v>2.7314814814814814</v>
      </c>
    </row>
    <row r="1089" spans="1:6" ht="12.75" hidden="1" customHeight="1" outlineLevel="1" x14ac:dyDescent="0.25">
      <c r="A1089" s="44" t="s">
        <v>114</v>
      </c>
      <c r="B1089" s="68" t="s">
        <v>115</v>
      </c>
      <c r="C1089" s="41"/>
      <c r="D1089" s="69">
        <v>0.6</v>
      </c>
      <c r="E1089" s="41">
        <f>VLOOKUP(A1089,INSUMOS!$B$7:$D$42,3,0)</f>
        <v>5</v>
      </c>
      <c r="F1089" s="41">
        <f>PRODUCT(D1089:E1089)</f>
        <v>3</v>
      </c>
    </row>
    <row r="1090" spans="1:6" ht="12.75" hidden="1" customHeight="1" outlineLevel="1" x14ac:dyDescent="0.3">
      <c r="A1090" s="64" t="s">
        <v>116</v>
      </c>
      <c r="B1090" s="65"/>
      <c r="C1090" s="66"/>
      <c r="D1090" s="67"/>
      <c r="E1090" s="66"/>
      <c r="F1090" s="66">
        <f>SUM(F1091:F1093)</f>
        <v>5.4421000000000008</v>
      </c>
    </row>
    <row r="1091" spans="1:6" ht="12.75" hidden="1" customHeight="1" outlineLevel="1" x14ac:dyDescent="0.25">
      <c r="A1091" s="44" t="s">
        <v>192</v>
      </c>
      <c r="B1091" s="68" t="s">
        <v>37</v>
      </c>
      <c r="C1091" s="41"/>
      <c r="D1091" s="69">
        <v>1.7000000000000001E-2</v>
      </c>
      <c r="E1091" s="41">
        <f>VLOOKUP(A1091,INSUMOS!$B$7:$D$42,3,0)</f>
        <v>100.3</v>
      </c>
      <c r="F1091" s="41">
        <f>PRODUCT(D1091:E1091)</f>
        <v>1.7051000000000001</v>
      </c>
    </row>
    <row r="1092" spans="1:6" ht="12.75" hidden="1" customHeight="1" outlineLevel="1" x14ac:dyDescent="0.25">
      <c r="A1092" s="44" t="s">
        <v>145</v>
      </c>
      <c r="B1092" s="68" t="s">
        <v>147</v>
      </c>
      <c r="C1092" s="41"/>
      <c r="D1092" s="69">
        <v>0.11700000000000001</v>
      </c>
      <c r="E1092" s="41">
        <f>VLOOKUP(A1092,INSUMOS!$B$7:$D$42,3,0)</f>
        <v>31</v>
      </c>
      <c r="F1092" s="41">
        <f>PRODUCT(D1092:E1092)</f>
        <v>3.6270000000000002</v>
      </c>
    </row>
    <row r="1093" spans="1:6" ht="12.75" hidden="1" customHeight="1" outlineLevel="1" x14ac:dyDescent="0.25">
      <c r="A1093" s="44" t="s">
        <v>117</v>
      </c>
      <c r="B1093" s="68" t="s">
        <v>118</v>
      </c>
      <c r="C1093" s="41"/>
      <c r="D1093" s="69">
        <v>2.1999999999999999E-2</v>
      </c>
      <c r="E1093" s="41">
        <f>VLOOKUP(A1093,INSUMOS!$B$7:$D$42,3,0)</f>
        <v>5</v>
      </c>
      <c r="F1093" s="41">
        <f>PRODUCT(D1093:E1093)</f>
        <v>0.10999999999999999</v>
      </c>
    </row>
    <row r="1094" spans="1:6" ht="12.75" hidden="1" customHeight="1" outlineLevel="1" x14ac:dyDescent="0.3">
      <c r="A1094" s="64" t="s">
        <v>105</v>
      </c>
      <c r="B1094" s="65"/>
      <c r="C1094" s="66"/>
      <c r="D1094" s="67"/>
      <c r="E1094" s="66"/>
      <c r="F1094" s="66">
        <f>SUM(F1095:F1096)</f>
        <v>1.7091666666666667</v>
      </c>
    </row>
    <row r="1095" spans="1:6" ht="12.75" hidden="1" customHeight="1" outlineLevel="1" x14ac:dyDescent="0.25">
      <c r="A1095" s="44" t="s">
        <v>111</v>
      </c>
      <c r="B1095" s="68" t="s">
        <v>112</v>
      </c>
      <c r="C1095" s="41"/>
      <c r="D1095" s="69">
        <v>3</v>
      </c>
      <c r="E1095" s="41">
        <f>F1085</f>
        <v>19.935185185185187</v>
      </c>
      <c r="F1095" s="41">
        <f>D1095*E1095/100</f>
        <v>0.59805555555555556</v>
      </c>
    </row>
    <row r="1096" spans="1:6" ht="12.75" hidden="1" customHeight="1" outlineLevel="1" x14ac:dyDescent="0.25">
      <c r="A1096" s="44" t="s">
        <v>188</v>
      </c>
      <c r="B1096" s="68" t="s">
        <v>109</v>
      </c>
      <c r="C1096" s="41">
        <v>0.5</v>
      </c>
      <c r="D1096" s="69">
        <f>C1096*$E$1083/$B$1083</f>
        <v>0.22222222222222221</v>
      </c>
      <c r="E1096" s="41">
        <f>VLOOKUP(A1096,INSUMOS!$B$7:$D$42,3,0)</f>
        <v>5</v>
      </c>
      <c r="F1096" s="41">
        <f>D1096*E1096</f>
        <v>1.1111111111111112</v>
      </c>
    </row>
    <row r="1097" spans="1:6" ht="12.75" hidden="1" customHeight="1" outlineLevel="1" x14ac:dyDescent="0.25">
      <c r="B1097" s="84"/>
      <c r="C1097" s="21"/>
      <c r="D1097" s="85"/>
    </row>
    <row r="1098" spans="1:6" ht="12.75" customHeight="1" collapsed="1" x14ac:dyDescent="0.3">
      <c r="A1098" s="54" t="s">
        <v>193</v>
      </c>
      <c r="B1098" s="55"/>
      <c r="C1098" s="56"/>
      <c r="D1098" s="57"/>
      <c r="E1098" s="58" t="s">
        <v>92</v>
      </c>
      <c r="F1098" s="59">
        <f>F1101+F1106+F1110</f>
        <v>33.020222222222223</v>
      </c>
    </row>
    <row r="1099" spans="1:6" ht="12.75" customHeight="1" outlineLevel="1" x14ac:dyDescent="0.3">
      <c r="A1099" s="60" t="s">
        <v>93</v>
      </c>
      <c r="B1099" s="61">
        <v>15</v>
      </c>
      <c r="C1099" s="62" t="s">
        <v>107</v>
      </c>
      <c r="D1099" s="63" t="s">
        <v>95</v>
      </c>
      <c r="E1099" s="60">
        <v>8</v>
      </c>
      <c r="F1099" s="60" t="s">
        <v>96</v>
      </c>
    </row>
    <row r="1100" spans="1:6" ht="12.75" customHeight="1" outlineLevel="1" x14ac:dyDescent="0.3">
      <c r="A1100" s="64" t="s">
        <v>97</v>
      </c>
      <c r="B1100" s="65" t="s">
        <v>98</v>
      </c>
      <c r="C1100" s="66" t="s">
        <v>99</v>
      </c>
      <c r="D1100" s="67" t="s">
        <v>100</v>
      </c>
      <c r="E1100" s="64" t="s">
        <v>101</v>
      </c>
      <c r="F1100" s="64" t="s">
        <v>102</v>
      </c>
    </row>
    <row r="1101" spans="1:6" ht="12.75" customHeight="1" outlineLevel="1" x14ac:dyDescent="0.3">
      <c r="A1101" s="64" t="s">
        <v>103</v>
      </c>
      <c r="B1101" s="65"/>
      <c r="C1101" s="66"/>
      <c r="D1101" s="67"/>
      <c r="E1101" s="66"/>
      <c r="F1101" s="66">
        <f>SUM(F1102:F1105)</f>
        <v>23.572222222222223</v>
      </c>
    </row>
    <row r="1102" spans="1:6" ht="12.75" customHeight="1" outlineLevel="1" x14ac:dyDescent="0.25">
      <c r="A1102" s="44" t="s">
        <v>108</v>
      </c>
      <c r="B1102" s="68" t="s">
        <v>109</v>
      </c>
      <c r="C1102" s="41">
        <v>0.1</v>
      </c>
      <c r="D1102" s="69">
        <f>C1102*$E$1099/$B$1099</f>
        <v>5.3333333333333337E-2</v>
      </c>
      <c r="E1102" s="41">
        <f>VLOOKUP(A1102,INSUMOS!$B$7:$D$42,3,0)</f>
        <v>49.166666666666664</v>
      </c>
      <c r="F1102" s="41">
        <f>PRODUCT(D1102:E1102)</f>
        <v>2.6222222222222222</v>
      </c>
    </row>
    <row r="1103" spans="1:6" ht="12.75" customHeight="1" outlineLevel="1" x14ac:dyDescent="0.25">
      <c r="A1103" s="44" t="s">
        <v>113</v>
      </c>
      <c r="B1103" s="68" t="s">
        <v>109</v>
      </c>
      <c r="C1103" s="41">
        <v>1</v>
      </c>
      <c r="D1103" s="69">
        <f>C1103*$E$1099/$B$1099</f>
        <v>0.53333333333333333</v>
      </c>
      <c r="E1103" s="41">
        <f>VLOOKUP(A1103,INSUMOS!$B$7:$D$42,3,0)</f>
        <v>27.041666666666668</v>
      </c>
      <c r="F1103" s="41">
        <f>PRODUCT(D1103:E1103)</f>
        <v>14.422222222222222</v>
      </c>
    </row>
    <row r="1104" spans="1:6" ht="12.75" customHeight="1" outlineLevel="1" x14ac:dyDescent="0.25">
      <c r="A1104" s="44" t="s">
        <v>110</v>
      </c>
      <c r="B1104" s="68" t="s">
        <v>109</v>
      </c>
      <c r="C1104" s="41">
        <v>0.5</v>
      </c>
      <c r="D1104" s="69">
        <f>C1104*$E$1099/$B$1099</f>
        <v>0.26666666666666666</v>
      </c>
      <c r="E1104" s="41">
        <f>VLOOKUP(A1104,INSUMOS!$B$7:$D$42,3,0)</f>
        <v>12.291666666666666</v>
      </c>
      <c r="F1104" s="41">
        <f>PRODUCT(D1104:E1104)</f>
        <v>3.2777777777777777</v>
      </c>
    </row>
    <row r="1105" spans="1:6" ht="12.75" customHeight="1" outlineLevel="1" x14ac:dyDescent="0.25">
      <c r="A1105" s="44" t="s">
        <v>114</v>
      </c>
      <c r="B1105" s="68" t="s">
        <v>115</v>
      </c>
      <c r="C1105" s="41"/>
      <c r="D1105" s="69">
        <v>0.65</v>
      </c>
      <c r="E1105" s="41">
        <f>VLOOKUP(A1105,INSUMOS!$B$7:$D$42,3,0)</f>
        <v>5</v>
      </c>
      <c r="F1105" s="41">
        <f>PRODUCT(D1105:E1105)</f>
        <v>3.25</v>
      </c>
    </row>
    <row r="1106" spans="1:6" ht="12.75" customHeight="1" outlineLevel="1" x14ac:dyDescent="0.3">
      <c r="A1106" s="64" t="s">
        <v>116</v>
      </c>
      <c r="B1106" s="65"/>
      <c r="C1106" s="66"/>
      <c r="D1106" s="67"/>
      <c r="E1106" s="66"/>
      <c r="F1106" s="66">
        <f>SUM(F1107:F1109)</f>
        <v>7.4074999999999998</v>
      </c>
    </row>
    <row r="1107" spans="1:6" ht="12.75" customHeight="1" outlineLevel="1" x14ac:dyDescent="0.25">
      <c r="A1107" s="44" t="s">
        <v>192</v>
      </c>
      <c r="B1107" s="68" t="s">
        <v>37</v>
      </c>
      <c r="C1107" s="41"/>
      <c r="D1107" s="69">
        <v>2.5000000000000001E-2</v>
      </c>
      <c r="E1107" s="41">
        <f>VLOOKUP(A1107,INSUMOS!$B$7:$D$42,3,0)</f>
        <v>100.3</v>
      </c>
      <c r="F1107" s="41">
        <f>PRODUCT(D1107:E1107)</f>
        <v>2.5075000000000003</v>
      </c>
    </row>
    <row r="1108" spans="1:6" ht="12.75" customHeight="1" outlineLevel="1" x14ac:dyDescent="0.25">
      <c r="A1108" s="44" t="s">
        <v>145</v>
      </c>
      <c r="B1108" s="68" t="s">
        <v>147</v>
      </c>
      <c r="C1108" s="41"/>
      <c r="D1108" s="69">
        <v>0.15</v>
      </c>
      <c r="E1108" s="41">
        <f>VLOOKUP(A1108,INSUMOS!$B$7:$D$42,3,0)</f>
        <v>31</v>
      </c>
      <c r="F1108" s="41">
        <f>PRODUCT(D1108:E1108)</f>
        <v>4.6499999999999995</v>
      </c>
    </row>
    <row r="1109" spans="1:6" ht="12.75" customHeight="1" outlineLevel="1" x14ac:dyDescent="0.25">
      <c r="A1109" s="44" t="s">
        <v>117</v>
      </c>
      <c r="B1109" s="68" t="s">
        <v>118</v>
      </c>
      <c r="C1109" s="41"/>
      <c r="D1109" s="69">
        <v>0.05</v>
      </c>
      <c r="E1109" s="41">
        <f>VLOOKUP(A1109,INSUMOS!$B$7:$D$42,3,0)</f>
        <v>5</v>
      </c>
      <c r="F1109" s="41">
        <f>PRODUCT(D1109:E1109)</f>
        <v>0.25</v>
      </c>
    </row>
    <row r="1110" spans="1:6" ht="12.75" customHeight="1" outlineLevel="1" x14ac:dyDescent="0.3">
      <c r="A1110" s="64" t="s">
        <v>105</v>
      </c>
      <c r="B1110" s="65"/>
      <c r="C1110" s="66"/>
      <c r="D1110" s="67"/>
      <c r="E1110" s="66"/>
      <c r="F1110" s="66">
        <f>SUM(F1111:F1112)</f>
        <v>2.0404999999999998</v>
      </c>
    </row>
    <row r="1111" spans="1:6" ht="12.75" customHeight="1" outlineLevel="1" x14ac:dyDescent="0.25">
      <c r="A1111" s="44" t="s">
        <v>111</v>
      </c>
      <c r="B1111" s="68" t="s">
        <v>112</v>
      </c>
      <c r="C1111" s="41"/>
      <c r="D1111" s="69">
        <v>3</v>
      </c>
      <c r="E1111" s="41">
        <f>F1101</f>
        <v>23.572222222222223</v>
      </c>
      <c r="F1111" s="41">
        <f>D1111*E1111/100</f>
        <v>0.70716666666666672</v>
      </c>
    </row>
    <row r="1112" spans="1:6" ht="12.75" customHeight="1" outlineLevel="1" x14ac:dyDescent="0.25">
      <c r="A1112" s="44" t="s">
        <v>188</v>
      </c>
      <c r="B1112" s="68" t="s">
        <v>109</v>
      </c>
      <c r="C1112" s="41">
        <v>0.5</v>
      </c>
      <c r="D1112" s="69">
        <f>C1112*$E$1099/$B$1099</f>
        <v>0.26666666666666666</v>
      </c>
      <c r="E1112" s="41">
        <f>VLOOKUP(A1112,INSUMOS!$B$7:$D$42,3,0)</f>
        <v>5</v>
      </c>
      <c r="F1112" s="41">
        <f>D1112*E1112</f>
        <v>1.3333333333333333</v>
      </c>
    </row>
    <row r="1113" spans="1:6" ht="12.75" customHeight="1" outlineLevel="1" x14ac:dyDescent="0.25">
      <c r="B1113" s="84"/>
      <c r="C1113" s="21"/>
      <c r="D1113" s="85"/>
    </row>
    <row r="1114" spans="1:6" ht="12.75" customHeight="1" x14ac:dyDescent="0.3">
      <c r="A1114" s="54" t="s">
        <v>194</v>
      </c>
      <c r="B1114" s="55"/>
      <c r="C1114" s="56"/>
      <c r="D1114" s="57"/>
      <c r="E1114" s="58" t="s">
        <v>92</v>
      </c>
      <c r="F1114" s="59">
        <f>F1117+F1122+F1126</f>
        <v>46.667833333333334</v>
      </c>
    </row>
    <row r="1115" spans="1:6" ht="12.75" customHeight="1" outlineLevel="1" x14ac:dyDescent="0.3">
      <c r="A1115" s="60" t="s">
        <v>93</v>
      </c>
      <c r="B1115" s="61">
        <v>10</v>
      </c>
      <c r="C1115" s="62" t="s">
        <v>107</v>
      </c>
      <c r="D1115" s="63" t="s">
        <v>95</v>
      </c>
      <c r="E1115" s="60">
        <v>8</v>
      </c>
      <c r="F1115" s="60" t="s">
        <v>96</v>
      </c>
    </row>
    <row r="1116" spans="1:6" ht="12.75" customHeight="1" outlineLevel="1" x14ac:dyDescent="0.3">
      <c r="A1116" s="64" t="s">
        <v>97</v>
      </c>
      <c r="B1116" s="65" t="s">
        <v>98</v>
      </c>
      <c r="C1116" s="66" t="s">
        <v>99</v>
      </c>
      <c r="D1116" s="67" t="s">
        <v>100</v>
      </c>
      <c r="E1116" s="64" t="s">
        <v>101</v>
      </c>
      <c r="F1116" s="64" t="s">
        <v>102</v>
      </c>
    </row>
    <row r="1117" spans="1:6" ht="12.75" customHeight="1" outlineLevel="1" x14ac:dyDescent="0.3">
      <c r="A1117" s="64" t="s">
        <v>103</v>
      </c>
      <c r="B1117" s="65"/>
      <c r="C1117" s="66"/>
      <c r="D1117" s="67"/>
      <c r="E1117" s="66"/>
      <c r="F1117" s="66">
        <f>SUM(F1118:F1121)</f>
        <v>34.233333333333334</v>
      </c>
    </row>
    <row r="1118" spans="1:6" ht="12.75" customHeight="1" outlineLevel="1" x14ac:dyDescent="0.25">
      <c r="A1118" s="44" t="s">
        <v>108</v>
      </c>
      <c r="B1118" s="68" t="s">
        <v>109</v>
      </c>
      <c r="C1118" s="41">
        <v>0.1</v>
      </c>
      <c r="D1118" s="69">
        <f>C1118*$E$1115/$B$1115</f>
        <v>0.08</v>
      </c>
      <c r="E1118" s="41">
        <f>VLOOKUP(A1118,INSUMOS!$B$7:$D$42,3,0)</f>
        <v>49.166666666666664</v>
      </c>
      <c r="F1118" s="41">
        <f>PRODUCT(D1118:E1118)</f>
        <v>3.9333333333333331</v>
      </c>
    </row>
    <row r="1119" spans="1:6" ht="12.75" customHeight="1" outlineLevel="1" x14ac:dyDescent="0.25">
      <c r="A1119" s="44" t="s">
        <v>113</v>
      </c>
      <c r="B1119" s="68" t="s">
        <v>109</v>
      </c>
      <c r="C1119" s="41">
        <v>1</v>
      </c>
      <c r="D1119" s="69">
        <f>C1119*$E$1115/$B$1115</f>
        <v>0.8</v>
      </c>
      <c r="E1119" s="41">
        <f>VLOOKUP(A1119,INSUMOS!$B$7:$D$42,3,0)</f>
        <v>27.041666666666668</v>
      </c>
      <c r="F1119" s="41">
        <f>PRODUCT(D1119:E1119)</f>
        <v>21.633333333333336</v>
      </c>
    </row>
    <row r="1120" spans="1:6" ht="12.75" customHeight="1" outlineLevel="1" x14ac:dyDescent="0.25">
      <c r="A1120" s="44" t="s">
        <v>110</v>
      </c>
      <c r="B1120" s="68" t="s">
        <v>109</v>
      </c>
      <c r="C1120" s="41">
        <v>0.5</v>
      </c>
      <c r="D1120" s="69">
        <f>C1120*$E$1115/$B$1115</f>
        <v>0.4</v>
      </c>
      <c r="E1120" s="41">
        <f>VLOOKUP(A1120,INSUMOS!$B$7:$D$42,3,0)</f>
        <v>12.291666666666666</v>
      </c>
      <c r="F1120" s="41">
        <f>PRODUCT(D1120:E1120)</f>
        <v>4.916666666666667</v>
      </c>
    </row>
    <row r="1121" spans="1:6" ht="12.75" customHeight="1" outlineLevel="1" x14ac:dyDescent="0.25">
      <c r="A1121" s="44" t="s">
        <v>114</v>
      </c>
      <c r="B1121" s="68" t="s">
        <v>115</v>
      </c>
      <c r="C1121" s="41"/>
      <c r="D1121" s="69">
        <v>0.75</v>
      </c>
      <c r="E1121" s="41">
        <f>VLOOKUP(A1121,INSUMOS!$B$7:$D$42,3,0)</f>
        <v>5</v>
      </c>
      <c r="F1121" s="41">
        <f>PRODUCT(D1121:E1121)</f>
        <v>3.75</v>
      </c>
    </row>
    <row r="1122" spans="1:6" ht="12.75" customHeight="1" outlineLevel="1" x14ac:dyDescent="0.3">
      <c r="A1122" s="64" t="s">
        <v>116</v>
      </c>
      <c r="B1122" s="65"/>
      <c r="C1122" s="66"/>
      <c r="D1122" s="67"/>
      <c r="E1122" s="66"/>
      <c r="F1122" s="66">
        <f>SUM(F1123:F1125)</f>
        <v>7.4074999999999998</v>
      </c>
    </row>
    <row r="1123" spans="1:6" ht="12.75" customHeight="1" outlineLevel="1" x14ac:dyDescent="0.25">
      <c r="A1123" s="44" t="s">
        <v>192</v>
      </c>
      <c r="B1123" s="68" t="s">
        <v>37</v>
      </c>
      <c r="C1123" s="41"/>
      <c r="D1123" s="69">
        <v>2.5000000000000001E-2</v>
      </c>
      <c r="E1123" s="41">
        <f>VLOOKUP(A1123,INSUMOS!$B$7:$D$42,3,0)</f>
        <v>100.3</v>
      </c>
      <c r="F1123" s="41">
        <f>PRODUCT(D1123:E1123)</f>
        <v>2.5075000000000003</v>
      </c>
    </row>
    <row r="1124" spans="1:6" ht="12.75" customHeight="1" outlineLevel="1" x14ac:dyDescent="0.25">
      <c r="A1124" s="44" t="s">
        <v>145</v>
      </c>
      <c r="B1124" s="68" t="s">
        <v>147</v>
      </c>
      <c r="C1124" s="41"/>
      <c r="D1124" s="69">
        <v>0.15</v>
      </c>
      <c r="E1124" s="41">
        <f>VLOOKUP(A1124,INSUMOS!$B$7:$D$42,3,0)</f>
        <v>31</v>
      </c>
      <c r="F1124" s="41">
        <f>PRODUCT(D1124:E1124)</f>
        <v>4.6499999999999995</v>
      </c>
    </row>
    <row r="1125" spans="1:6" ht="12.75" customHeight="1" outlineLevel="1" x14ac:dyDescent="0.25">
      <c r="A1125" s="44" t="s">
        <v>117</v>
      </c>
      <c r="B1125" s="68" t="s">
        <v>118</v>
      </c>
      <c r="C1125" s="41"/>
      <c r="D1125" s="69">
        <v>0.05</v>
      </c>
      <c r="E1125" s="41">
        <f>VLOOKUP(A1125,INSUMOS!$B$7:$D$42,3,0)</f>
        <v>5</v>
      </c>
      <c r="F1125" s="41">
        <f>PRODUCT(D1125:E1125)</f>
        <v>0.25</v>
      </c>
    </row>
    <row r="1126" spans="1:6" ht="12.75" customHeight="1" outlineLevel="1" x14ac:dyDescent="0.3">
      <c r="A1126" s="64" t="s">
        <v>105</v>
      </c>
      <c r="B1126" s="65"/>
      <c r="C1126" s="66"/>
      <c r="D1126" s="67"/>
      <c r="E1126" s="66"/>
      <c r="F1126" s="66">
        <f>SUM(F1127:F1128)</f>
        <v>5.0270000000000001</v>
      </c>
    </row>
    <row r="1127" spans="1:6" ht="12.75" customHeight="1" outlineLevel="1" x14ac:dyDescent="0.25">
      <c r="A1127" s="44" t="s">
        <v>111</v>
      </c>
      <c r="B1127" s="68" t="s">
        <v>112</v>
      </c>
      <c r="C1127" s="41"/>
      <c r="D1127" s="69">
        <v>3</v>
      </c>
      <c r="E1127" s="41">
        <f>F1117</f>
        <v>34.233333333333334</v>
      </c>
      <c r="F1127" s="41">
        <f>D1127*E1127/100</f>
        <v>1.0270000000000001</v>
      </c>
    </row>
    <row r="1128" spans="1:6" ht="12.75" customHeight="1" outlineLevel="1" x14ac:dyDescent="0.25">
      <c r="A1128" s="44" t="s">
        <v>188</v>
      </c>
      <c r="B1128" s="68" t="s">
        <v>109</v>
      </c>
      <c r="C1128" s="41">
        <v>1</v>
      </c>
      <c r="D1128" s="69">
        <f>C1128*$E$1115/$B$1115</f>
        <v>0.8</v>
      </c>
      <c r="E1128" s="41">
        <f>VLOOKUP(A1128,INSUMOS!$B$7:$D$42,3,0)</f>
        <v>5</v>
      </c>
      <c r="F1128" s="41">
        <f>D1128*E1128</f>
        <v>4</v>
      </c>
    </row>
    <row r="1129" spans="1:6" ht="12.75" customHeight="1" outlineLevel="1" x14ac:dyDescent="0.25">
      <c r="B1129" s="84"/>
      <c r="C1129" s="21"/>
      <c r="D1129" s="85"/>
    </row>
    <row r="1130" spans="1:6" ht="12.75" customHeight="1" x14ac:dyDescent="0.3">
      <c r="A1130" s="54" t="s">
        <v>376</v>
      </c>
      <c r="B1130" s="55"/>
      <c r="C1130" s="56"/>
      <c r="D1130" s="57"/>
      <c r="E1130" s="58" t="s">
        <v>92</v>
      </c>
      <c r="F1130" s="59">
        <f>F1133+F1138+F1143</f>
        <v>56.517291666666672</v>
      </c>
    </row>
    <row r="1131" spans="1:6" ht="12.75" hidden="1" customHeight="1" outlineLevel="1" x14ac:dyDescent="0.3">
      <c r="A1131" s="60" t="s">
        <v>93</v>
      </c>
      <c r="B1131" s="61">
        <v>8</v>
      </c>
      <c r="C1131" s="62" t="s">
        <v>107</v>
      </c>
      <c r="D1131" s="63" t="s">
        <v>95</v>
      </c>
      <c r="E1131" s="60">
        <v>8</v>
      </c>
      <c r="F1131" s="60" t="s">
        <v>96</v>
      </c>
    </row>
    <row r="1132" spans="1:6" ht="12.75" hidden="1" customHeight="1" outlineLevel="1" x14ac:dyDescent="0.3">
      <c r="A1132" s="64" t="s">
        <v>97</v>
      </c>
      <c r="B1132" s="65" t="s">
        <v>98</v>
      </c>
      <c r="C1132" s="66" t="s">
        <v>99</v>
      </c>
      <c r="D1132" s="67" t="s">
        <v>100</v>
      </c>
      <c r="E1132" s="64" t="s">
        <v>101</v>
      </c>
      <c r="F1132" s="64" t="s">
        <v>102</v>
      </c>
    </row>
    <row r="1133" spans="1:6" ht="12.75" hidden="1" customHeight="1" outlineLevel="1" x14ac:dyDescent="0.3">
      <c r="A1133" s="64" t="s">
        <v>103</v>
      </c>
      <c r="B1133" s="65"/>
      <c r="C1133" s="66"/>
      <c r="D1133" s="67"/>
      <c r="E1133" s="66"/>
      <c r="F1133" s="66">
        <f>SUM(F1134:F1137)</f>
        <v>41.854166666666671</v>
      </c>
    </row>
    <row r="1134" spans="1:6" ht="12.75" hidden="1" customHeight="1" outlineLevel="1" x14ac:dyDescent="0.25">
      <c r="A1134" s="44" t="s">
        <v>108</v>
      </c>
      <c r="B1134" s="68" t="s">
        <v>109</v>
      </c>
      <c r="C1134" s="41">
        <v>0.1</v>
      </c>
      <c r="D1134" s="69">
        <f>C1134*$E$1131/$B$1131</f>
        <v>0.1</v>
      </c>
      <c r="E1134" s="41">
        <f>VLOOKUP(A1134,INSUMOS!$B$7:$D$42,3,0)</f>
        <v>49.166666666666664</v>
      </c>
      <c r="F1134" s="41">
        <f>PRODUCT(D1134:E1134)</f>
        <v>4.916666666666667</v>
      </c>
    </row>
    <row r="1135" spans="1:6" ht="12.75" hidden="1" customHeight="1" outlineLevel="1" x14ac:dyDescent="0.25">
      <c r="A1135" s="44" t="s">
        <v>113</v>
      </c>
      <c r="B1135" s="68" t="s">
        <v>109</v>
      </c>
      <c r="C1135" s="41">
        <v>1</v>
      </c>
      <c r="D1135" s="69">
        <f>C1135*$E$1131/$B$1131</f>
        <v>1</v>
      </c>
      <c r="E1135" s="41">
        <f>VLOOKUP(A1135,INSUMOS!$B$7:$D$42,3,0)</f>
        <v>27.041666666666668</v>
      </c>
      <c r="F1135" s="41">
        <f>PRODUCT(D1135:E1135)</f>
        <v>27.041666666666668</v>
      </c>
    </row>
    <row r="1136" spans="1:6" ht="12.75" hidden="1" customHeight="1" outlineLevel="1" x14ac:dyDescent="0.25">
      <c r="A1136" s="44" t="s">
        <v>110</v>
      </c>
      <c r="B1136" s="68" t="s">
        <v>109</v>
      </c>
      <c r="C1136" s="41">
        <v>0.5</v>
      </c>
      <c r="D1136" s="69">
        <f>C1136*$E$1131/$B$1131</f>
        <v>0.5</v>
      </c>
      <c r="E1136" s="41">
        <f>VLOOKUP(A1136,INSUMOS!$B$7:$D$42,3,0)</f>
        <v>12.291666666666666</v>
      </c>
      <c r="F1136" s="41">
        <f>PRODUCT(D1136:E1136)</f>
        <v>6.145833333333333</v>
      </c>
    </row>
    <row r="1137" spans="1:6" ht="12.75" hidden="1" customHeight="1" outlineLevel="1" x14ac:dyDescent="0.25">
      <c r="A1137" s="44" t="s">
        <v>114</v>
      </c>
      <c r="B1137" s="68" t="s">
        <v>115</v>
      </c>
      <c r="C1137" s="41"/>
      <c r="D1137" s="69">
        <v>0.75</v>
      </c>
      <c r="E1137" s="41">
        <f>VLOOKUP(A1137,INSUMOS!$B$7:$D$42,3,0)</f>
        <v>5</v>
      </c>
      <c r="F1137" s="41">
        <f>PRODUCT(D1137:E1137)</f>
        <v>3.75</v>
      </c>
    </row>
    <row r="1138" spans="1:6" ht="12.75" hidden="1" customHeight="1" outlineLevel="1" x14ac:dyDescent="0.3">
      <c r="A1138" s="64" t="s">
        <v>116</v>
      </c>
      <c r="B1138" s="65"/>
      <c r="C1138" s="66"/>
      <c r="D1138" s="67"/>
      <c r="E1138" s="66"/>
      <c r="F1138" s="66">
        <f>SUM(F1139:F1142)</f>
        <v>13.407499999999999</v>
      </c>
    </row>
    <row r="1139" spans="1:6" ht="12.75" hidden="1" customHeight="1" outlineLevel="1" x14ac:dyDescent="0.25">
      <c r="A1139" s="44" t="s">
        <v>192</v>
      </c>
      <c r="B1139" s="68" t="s">
        <v>37</v>
      </c>
      <c r="C1139" s="41"/>
      <c r="D1139" s="69">
        <v>2.5000000000000001E-2</v>
      </c>
      <c r="E1139" s="41">
        <f>VLOOKUP(A1139,INSUMOS!$B$7:$D$42,3,0)</f>
        <v>100.3</v>
      </c>
      <c r="F1139" s="41">
        <f>PRODUCT(D1139:E1139)</f>
        <v>2.5075000000000003</v>
      </c>
    </row>
    <row r="1140" spans="1:6" ht="12.75" hidden="1" customHeight="1" outlineLevel="1" x14ac:dyDescent="0.25">
      <c r="A1140" s="86" t="s">
        <v>195</v>
      </c>
      <c r="B1140" s="68" t="s">
        <v>2</v>
      </c>
      <c r="C1140" s="41"/>
      <c r="D1140" s="69">
        <v>0.5</v>
      </c>
      <c r="E1140" s="41">
        <v>12</v>
      </c>
      <c r="F1140" s="41">
        <f>PRODUCT(D1140:E1140)</f>
        <v>6</v>
      </c>
    </row>
    <row r="1141" spans="1:6" ht="12.75" hidden="1" customHeight="1" outlineLevel="1" x14ac:dyDescent="0.25">
      <c r="A1141" s="44" t="s">
        <v>145</v>
      </c>
      <c r="B1141" s="68" t="s">
        <v>147</v>
      </c>
      <c r="C1141" s="41"/>
      <c r="D1141" s="69">
        <v>0.15</v>
      </c>
      <c r="E1141" s="41">
        <f>VLOOKUP(A1141,INSUMOS!$B$7:$D$42,3,0)</f>
        <v>31</v>
      </c>
      <c r="F1141" s="41">
        <f>PRODUCT(D1141:E1141)</f>
        <v>4.6499999999999995</v>
      </c>
    </row>
    <row r="1142" spans="1:6" ht="12.75" hidden="1" customHeight="1" outlineLevel="1" x14ac:dyDescent="0.25">
      <c r="A1142" s="44" t="s">
        <v>117</v>
      </c>
      <c r="B1142" s="68" t="s">
        <v>118</v>
      </c>
      <c r="C1142" s="41"/>
      <c r="D1142" s="69">
        <v>0.05</v>
      </c>
      <c r="E1142" s="41">
        <f>VLOOKUP(A1142,INSUMOS!$B$7:$D$42,3,0)</f>
        <v>5</v>
      </c>
      <c r="F1142" s="41">
        <f>PRODUCT(D1142:E1142)</f>
        <v>0.25</v>
      </c>
    </row>
    <row r="1143" spans="1:6" ht="12.75" hidden="1" customHeight="1" outlineLevel="1" x14ac:dyDescent="0.3">
      <c r="A1143" s="64" t="s">
        <v>105</v>
      </c>
      <c r="B1143" s="65"/>
      <c r="C1143" s="66"/>
      <c r="D1143" s="67"/>
      <c r="E1143" s="66"/>
      <c r="F1143" s="66">
        <f>SUM(F1144)</f>
        <v>1.2556250000000002</v>
      </c>
    </row>
    <row r="1144" spans="1:6" ht="12.75" hidden="1" customHeight="1" outlineLevel="1" x14ac:dyDescent="0.25">
      <c r="A1144" s="44" t="s">
        <v>111</v>
      </c>
      <c r="B1144" s="68" t="s">
        <v>112</v>
      </c>
      <c r="C1144" s="41"/>
      <c r="D1144" s="69">
        <v>3</v>
      </c>
      <c r="E1144" s="41">
        <f>F1133</f>
        <v>41.854166666666671</v>
      </c>
      <c r="F1144" s="41">
        <f>D1144*E1144/100</f>
        <v>1.2556250000000002</v>
      </c>
    </row>
    <row r="1145" spans="1:6" ht="12.75" hidden="1" customHeight="1" outlineLevel="1" x14ac:dyDescent="0.25">
      <c r="B1145" s="84"/>
      <c r="C1145" s="21"/>
      <c r="D1145" s="85"/>
    </row>
    <row r="1146" spans="1:6" ht="12.75" customHeight="1" collapsed="1" x14ac:dyDescent="0.3">
      <c r="A1146" s="54" t="s">
        <v>196</v>
      </c>
      <c r="B1146" s="55"/>
      <c r="C1146" s="56"/>
      <c r="D1146" s="57"/>
      <c r="E1146" s="58" t="s">
        <v>92</v>
      </c>
      <c r="F1146" s="59">
        <f>F1149+F1154+F1158</f>
        <v>42.444933333333339</v>
      </c>
    </row>
    <row r="1147" spans="1:6" ht="12.75" customHeight="1" outlineLevel="1" x14ac:dyDescent="0.3">
      <c r="A1147" s="60" t="s">
        <v>93</v>
      </c>
      <c r="B1147" s="61">
        <v>10</v>
      </c>
      <c r="C1147" s="62" t="s">
        <v>107</v>
      </c>
      <c r="D1147" s="63" t="s">
        <v>95</v>
      </c>
      <c r="E1147" s="60">
        <v>8</v>
      </c>
      <c r="F1147" s="60" t="s">
        <v>96</v>
      </c>
    </row>
    <row r="1148" spans="1:6" ht="12.75" customHeight="1" outlineLevel="1" x14ac:dyDescent="0.3">
      <c r="A1148" s="64" t="s">
        <v>97</v>
      </c>
      <c r="B1148" s="65" t="s">
        <v>98</v>
      </c>
      <c r="C1148" s="66" t="s">
        <v>99</v>
      </c>
      <c r="D1148" s="67" t="s">
        <v>100</v>
      </c>
      <c r="E1148" s="64" t="s">
        <v>101</v>
      </c>
      <c r="F1148" s="64" t="s">
        <v>102</v>
      </c>
    </row>
    <row r="1149" spans="1:6" ht="12.75" customHeight="1" outlineLevel="1" x14ac:dyDescent="0.3">
      <c r="A1149" s="64" t="s">
        <v>103</v>
      </c>
      <c r="B1149" s="65"/>
      <c r="C1149" s="66"/>
      <c r="D1149" s="67"/>
      <c r="E1149" s="66"/>
      <c r="F1149" s="66">
        <f>SUM(F1150:F1153)</f>
        <v>33.983333333333334</v>
      </c>
    </row>
    <row r="1150" spans="1:6" ht="12.75" customHeight="1" outlineLevel="1" x14ac:dyDescent="0.25">
      <c r="A1150" s="44" t="s">
        <v>108</v>
      </c>
      <c r="B1150" s="68" t="s">
        <v>109</v>
      </c>
      <c r="C1150" s="41">
        <v>0.1</v>
      </c>
      <c r="D1150" s="69">
        <f>C1150*$E$1147/$B$1147</f>
        <v>0.08</v>
      </c>
      <c r="E1150" s="41">
        <f>VLOOKUP(A1150,INSUMOS!$B$7:$D$42,3,0)</f>
        <v>49.166666666666664</v>
      </c>
      <c r="F1150" s="41">
        <f>PRODUCT(D1150:E1150)</f>
        <v>3.9333333333333331</v>
      </c>
    </row>
    <row r="1151" spans="1:6" ht="12.75" customHeight="1" outlineLevel="1" x14ac:dyDescent="0.25">
      <c r="A1151" s="44" t="s">
        <v>113</v>
      </c>
      <c r="B1151" s="68" t="s">
        <v>109</v>
      </c>
      <c r="C1151" s="41">
        <v>1</v>
      </c>
      <c r="D1151" s="69">
        <f>C1151*$E$1147/$B$1147</f>
        <v>0.8</v>
      </c>
      <c r="E1151" s="41">
        <f>VLOOKUP(A1151,INSUMOS!$B$7:$D$42,3,0)</f>
        <v>27.041666666666668</v>
      </c>
      <c r="F1151" s="41">
        <f>PRODUCT(D1151:E1151)</f>
        <v>21.633333333333336</v>
      </c>
    </row>
    <row r="1152" spans="1:6" ht="12.75" customHeight="1" outlineLevel="1" x14ac:dyDescent="0.25">
      <c r="A1152" s="44" t="s">
        <v>110</v>
      </c>
      <c r="B1152" s="68" t="s">
        <v>109</v>
      </c>
      <c r="C1152" s="41">
        <v>0.5</v>
      </c>
      <c r="D1152" s="69">
        <f>C1152*$E$1147/$B$1147</f>
        <v>0.4</v>
      </c>
      <c r="E1152" s="41">
        <f>VLOOKUP(A1152,INSUMOS!$B$7:$D$42,3,0)</f>
        <v>12.291666666666666</v>
      </c>
      <c r="F1152" s="41">
        <f>PRODUCT(D1152:E1152)</f>
        <v>4.916666666666667</v>
      </c>
    </row>
    <row r="1153" spans="1:6" ht="12.75" customHeight="1" outlineLevel="1" x14ac:dyDescent="0.25">
      <c r="A1153" s="44" t="s">
        <v>114</v>
      </c>
      <c r="B1153" s="68" t="s">
        <v>115</v>
      </c>
      <c r="C1153" s="41"/>
      <c r="D1153" s="69">
        <v>0.7</v>
      </c>
      <c r="E1153" s="41">
        <f>VLOOKUP(A1153,INSUMOS!$B$7:$D$42,3,0)</f>
        <v>5</v>
      </c>
      <c r="F1153" s="41">
        <f>PRODUCT(D1153:E1153)</f>
        <v>3.5</v>
      </c>
    </row>
    <row r="1154" spans="1:6" ht="12.75" customHeight="1" outlineLevel="1" x14ac:dyDescent="0.3">
      <c r="A1154" s="64" t="s">
        <v>116</v>
      </c>
      <c r="B1154" s="65"/>
      <c r="C1154" s="66"/>
      <c r="D1154" s="67"/>
      <c r="E1154" s="66"/>
      <c r="F1154" s="66">
        <f>SUM(F1155:F1157)</f>
        <v>5.4421000000000008</v>
      </c>
    </row>
    <row r="1155" spans="1:6" ht="12.75" customHeight="1" outlineLevel="1" x14ac:dyDescent="0.25">
      <c r="A1155" s="44" t="s">
        <v>192</v>
      </c>
      <c r="B1155" s="68" t="s">
        <v>37</v>
      </c>
      <c r="C1155" s="41"/>
      <c r="D1155" s="69">
        <v>1.7000000000000001E-2</v>
      </c>
      <c r="E1155" s="41">
        <f>VLOOKUP(A1155,INSUMOS!$B$7:$D$42,3,0)</f>
        <v>100.3</v>
      </c>
      <c r="F1155" s="41">
        <f>PRODUCT(D1155:E1155)</f>
        <v>1.7051000000000001</v>
      </c>
    </row>
    <row r="1156" spans="1:6" ht="12.75" customHeight="1" outlineLevel="1" x14ac:dyDescent="0.25">
      <c r="A1156" s="44" t="s">
        <v>145</v>
      </c>
      <c r="B1156" s="68" t="s">
        <v>147</v>
      </c>
      <c r="C1156" s="41"/>
      <c r="D1156" s="69">
        <v>0.11700000000000001</v>
      </c>
      <c r="E1156" s="41">
        <f>VLOOKUP(A1156,INSUMOS!$B$7:$D$42,3,0)</f>
        <v>31</v>
      </c>
      <c r="F1156" s="41">
        <f>PRODUCT(D1156:E1156)</f>
        <v>3.6270000000000002</v>
      </c>
    </row>
    <row r="1157" spans="1:6" ht="12.75" customHeight="1" outlineLevel="1" x14ac:dyDescent="0.25">
      <c r="A1157" s="44" t="s">
        <v>117</v>
      </c>
      <c r="B1157" s="68" t="s">
        <v>118</v>
      </c>
      <c r="C1157" s="41"/>
      <c r="D1157" s="69">
        <v>2.1999999999999999E-2</v>
      </c>
      <c r="E1157" s="41">
        <f>VLOOKUP(A1157,INSUMOS!$B$7:$D$42,3,0)</f>
        <v>5</v>
      </c>
      <c r="F1157" s="41">
        <f>PRODUCT(D1157:E1157)</f>
        <v>0.10999999999999999</v>
      </c>
    </row>
    <row r="1158" spans="1:6" ht="12.75" customHeight="1" outlineLevel="1" x14ac:dyDescent="0.3">
      <c r="A1158" s="64" t="s">
        <v>105</v>
      </c>
      <c r="B1158" s="65"/>
      <c r="C1158" s="66"/>
      <c r="D1158" s="67"/>
      <c r="E1158" s="66"/>
      <c r="F1158" s="66">
        <f>SUM(F1159:F1160)</f>
        <v>3.0194999999999999</v>
      </c>
    </row>
    <row r="1159" spans="1:6" ht="12.75" customHeight="1" outlineLevel="1" x14ac:dyDescent="0.25">
      <c r="A1159" s="44" t="s">
        <v>111</v>
      </c>
      <c r="B1159" s="68" t="s">
        <v>112</v>
      </c>
      <c r="C1159" s="41"/>
      <c r="D1159" s="69">
        <v>3</v>
      </c>
      <c r="E1159" s="41">
        <f>F1149</f>
        <v>33.983333333333334</v>
      </c>
      <c r="F1159" s="41">
        <f>D1159*E1159/100</f>
        <v>1.0195000000000001</v>
      </c>
    </row>
    <row r="1160" spans="1:6" ht="12.75" customHeight="1" outlineLevel="1" x14ac:dyDescent="0.25">
      <c r="A1160" s="44" t="s">
        <v>188</v>
      </c>
      <c r="B1160" s="68" t="s">
        <v>109</v>
      </c>
      <c r="C1160" s="41">
        <v>0.5</v>
      </c>
      <c r="D1160" s="69">
        <f>C1160*$E$1147/$B$1147</f>
        <v>0.4</v>
      </c>
      <c r="E1160" s="41">
        <f>VLOOKUP(A1160,INSUMOS!$B$7:$D$42,3,0)</f>
        <v>5</v>
      </c>
      <c r="F1160" s="41">
        <f>D1160*E1160</f>
        <v>2</v>
      </c>
    </row>
    <row r="1161" spans="1:6" ht="12.75" customHeight="1" outlineLevel="1" x14ac:dyDescent="0.25">
      <c r="B1161" s="84"/>
      <c r="C1161" s="21"/>
      <c r="D1161" s="85"/>
    </row>
    <row r="1162" spans="1:6" ht="12.75" customHeight="1" x14ac:dyDescent="0.3">
      <c r="A1162" s="54" t="s">
        <v>197</v>
      </c>
      <c r="B1162" s="55"/>
      <c r="C1162" s="56"/>
      <c r="D1162" s="57"/>
      <c r="E1162" s="58" t="s">
        <v>92</v>
      </c>
      <c r="F1162" s="59">
        <f>F1165+F1170+F1174</f>
        <v>41.136266666666671</v>
      </c>
    </row>
    <row r="1163" spans="1:6" ht="12.75" customHeight="1" outlineLevel="1" x14ac:dyDescent="0.3">
      <c r="A1163" s="60" t="s">
        <v>93</v>
      </c>
      <c r="B1163" s="61">
        <v>14</v>
      </c>
      <c r="C1163" s="62" t="s">
        <v>107</v>
      </c>
      <c r="D1163" s="63" t="s">
        <v>95</v>
      </c>
      <c r="E1163" s="60">
        <v>8</v>
      </c>
      <c r="F1163" s="60" t="s">
        <v>96</v>
      </c>
    </row>
    <row r="1164" spans="1:6" ht="12.75" customHeight="1" outlineLevel="1" x14ac:dyDescent="0.3">
      <c r="A1164" s="64" t="s">
        <v>97</v>
      </c>
      <c r="B1164" s="65" t="s">
        <v>98</v>
      </c>
      <c r="C1164" s="66" t="s">
        <v>99</v>
      </c>
      <c r="D1164" s="67" t="s">
        <v>100</v>
      </c>
      <c r="E1164" s="64" t="s">
        <v>101</v>
      </c>
      <c r="F1164" s="64" t="s">
        <v>102</v>
      </c>
    </row>
    <row r="1165" spans="1:6" ht="12.75" customHeight="1" outlineLevel="1" x14ac:dyDescent="0.3">
      <c r="A1165" s="64" t="s">
        <v>103</v>
      </c>
      <c r="B1165" s="65"/>
      <c r="C1165" s="66"/>
      <c r="D1165" s="67"/>
      <c r="E1165" s="66"/>
      <c r="F1165" s="66">
        <f>SUM(F1166:F1169)</f>
        <v>31.773809523809526</v>
      </c>
    </row>
    <row r="1166" spans="1:6" ht="12.75" customHeight="1" outlineLevel="1" x14ac:dyDescent="0.25">
      <c r="A1166" s="44" t="s">
        <v>108</v>
      </c>
      <c r="B1166" s="68" t="s">
        <v>109</v>
      </c>
      <c r="C1166" s="41">
        <v>0.1</v>
      </c>
      <c r="D1166" s="69">
        <f>C1166*$E$1163/$B$1163</f>
        <v>5.7142857142857148E-2</v>
      </c>
      <c r="E1166" s="41">
        <f>VLOOKUP(A1166,INSUMOS!$B$7:$D$42,3,0)</f>
        <v>49.166666666666664</v>
      </c>
      <c r="F1166" s="41">
        <f>PRODUCT(D1166:E1166)</f>
        <v>2.8095238095238098</v>
      </c>
    </row>
    <row r="1167" spans="1:6" ht="12.75" customHeight="1" outlineLevel="1" x14ac:dyDescent="0.25">
      <c r="A1167" s="44" t="s">
        <v>113</v>
      </c>
      <c r="B1167" s="68" t="s">
        <v>109</v>
      </c>
      <c r="C1167" s="41">
        <v>1</v>
      </c>
      <c r="D1167" s="69">
        <f>C1167*$E$1163/$B$1163</f>
        <v>0.5714285714285714</v>
      </c>
      <c r="E1167" s="41">
        <f>VLOOKUP(A1167,INSUMOS!$B$7:$D$42,3,0)</f>
        <v>27.041666666666668</v>
      </c>
      <c r="F1167" s="41">
        <f>PRODUCT(D1167:E1167)</f>
        <v>15.452380952380953</v>
      </c>
    </row>
    <row r="1168" spans="1:6" ht="12.75" customHeight="1" outlineLevel="1" x14ac:dyDescent="0.25">
      <c r="A1168" s="44" t="s">
        <v>110</v>
      </c>
      <c r="B1168" s="68" t="s">
        <v>109</v>
      </c>
      <c r="C1168" s="41">
        <v>0.5</v>
      </c>
      <c r="D1168" s="69">
        <f>C1168*$E$1163/$B$1163</f>
        <v>0.2857142857142857</v>
      </c>
      <c r="E1168" s="41">
        <f>VLOOKUP(A1168,INSUMOS!$B$7:$D$42,3,0)</f>
        <v>12.291666666666666</v>
      </c>
      <c r="F1168" s="41">
        <f>PRODUCT(D1168:E1168)</f>
        <v>3.5119047619047614</v>
      </c>
    </row>
    <row r="1169" spans="1:6" ht="12.75" customHeight="1" outlineLevel="1" x14ac:dyDescent="0.25">
      <c r="A1169" s="44" t="s">
        <v>114</v>
      </c>
      <c r="B1169" s="68" t="s">
        <v>115</v>
      </c>
      <c r="C1169" s="41"/>
      <c r="D1169" s="69">
        <v>2</v>
      </c>
      <c r="E1169" s="41">
        <f>VLOOKUP(A1169,INSUMOS!$B$7:$D$42,3,0)</f>
        <v>5</v>
      </c>
      <c r="F1169" s="41">
        <f>PRODUCT(D1169:E1169)</f>
        <v>10</v>
      </c>
    </row>
    <row r="1170" spans="1:6" ht="12.75" customHeight="1" outlineLevel="1" x14ac:dyDescent="0.3">
      <c r="A1170" s="64" t="s">
        <v>116</v>
      </c>
      <c r="B1170" s="65"/>
      <c r="C1170" s="66"/>
      <c r="D1170" s="67"/>
      <c r="E1170" s="66"/>
      <c r="F1170" s="66">
        <f>SUM(F1171:F1173)</f>
        <v>5.5521000000000003</v>
      </c>
    </row>
    <row r="1171" spans="1:6" ht="12.75" customHeight="1" outlineLevel="1" x14ac:dyDescent="0.25">
      <c r="A1171" s="44" t="s">
        <v>192</v>
      </c>
      <c r="B1171" s="68" t="s">
        <v>37</v>
      </c>
      <c r="C1171" s="41"/>
      <c r="D1171" s="69">
        <v>1.7000000000000001E-2</v>
      </c>
      <c r="E1171" s="41">
        <f>VLOOKUP(A1171,INSUMOS!$B$7:$D$42,3,0)</f>
        <v>100.3</v>
      </c>
      <c r="F1171" s="41">
        <f>PRODUCT(D1171:E1171)</f>
        <v>1.7051000000000001</v>
      </c>
    </row>
    <row r="1172" spans="1:6" ht="12.75" customHeight="1" outlineLevel="1" x14ac:dyDescent="0.25">
      <c r="A1172" s="44" t="s">
        <v>145</v>
      </c>
      <c r="B1172" s="68" t="s">
        <v>147</v>
      </c>
      <c r="C1172" s="41"/>
      <c r="D1172" s="69">
        <v>0.11700000000000001</v>
      </c>
      <c r="E1172" s="41">
        <f>VLOOKUP(A1172,INSUMOS!$B$7:$D$42,3,0)</f>
        <v>31</v>
      </c>
      <c r="F1172" s="41">
        <f>PRODUCT(D1172:E1172)</f>
        <v>3.6270000000000002</v>
      </c>
    </row>
    <row r="1173" spans="1:6" ht="12.75" customHeight="1" outlineLevel="1" x14ac:dyDescent="0.25">
      <c r="A1173" s="44" t="s">
        <v>117</v>
      </c>
      <c r="B1173" s="68" t="s">
        <v>118</v>
      </c>
      <c r="C1173" s="41"/>
      <c r="D1173" s="69">
        <v>4.3999999999999997E-2</v>
      </c>
      <c r="E1173" s="41">
        <f>VLOOKUP(A1173,INSUMOS!$B$7:$D$42,3,0)</f>
        <v>5</v>
      </c>
      <c r="F1173" s="41">
        <f>PRODUCT(D1173:E1173)</f>
        <v>0.21999999999999997</v>
      </c>
    </row>
    <row r="1174" spans="1:6" ht="12.75" customHeight="1" outlineLevel="1" x14ac:dyDescent="0.3">
      <c r="A1174" s="64" t="s">
        <v>105</v>
      </c>
      <c r="B1174" s="65"/>
      <c r="C1174" s="66"/>
      <c r="D1174" s="67"/>
      <c r="E1174" s="66"/>
      <c r="F1174" s="66">
        <f>SUM(F1175:F1176)</f>
        <v>3.8103571428571428</v>
      </c>
    </row>
    <row r="1175" spans="1:6" ht="12.75" customHeight="1" outlineLevel="1" x14ac:dyDescent="0.25">
      <c r="A1175" s="44" t="s">
        <v>111</v>
      </c>
      <c r="B1175" s="68" t="s">
        <v>112</v>
      </c>
      <c r="C1175" s="41"/>
      <c r="D1175" s="69">
        <v>3</v>
      </c>
      <c r="E1175" s="41">
        <f>F1165</f>
        <v>31.773809523809526</v>
      </c>
      <c r="F1175" s="41">
        <f>D1175*E1175/100</f>
        <v>0.95321428571428579</v>
      </c>
    </row>
    <row r="1176" spans="1:6" ht="12.75" customHeight="1" outlineLevel="1" x14ac:dyDescent="0.25">
      <c r="A1176" s="44" t="s">
        <v>188</v>
      </c>
      <c r="B1176" s="68" t="s">
        <v>109</v>
      </c>
      <c r="C1176" s="41">
        <v>1</v>
      </c>
      <c r="D1176" s="69">
        <f>C1176*$E$1163/$B$1163</f>
        <v>0.5714285714285714</v>
      </c>
      <c r="E1176" s="41">
        <f>VLOOKUP(A1176,INSUMOS!$B$7:$D$42,3,0)</f>
        <v>5</v>
      </c>
      <c r="F1176" s="41">
        <f>D1176*E1176</f>
        <v>2.8571428571428568</v>
      </c>
    </row>
    <row r="1177" spans="1:6" ht="12.75" customHeight="1" outlineLevel="1" x14ac:dyDescent="0.25">
      <c r="B1177" s="84"/>
      <c r="C1177" s="21"/>
      <c r="D1177" s="85"/>
    </row>
    <row r="1178" spans="1:6" ht="12.75" customHeight="1" x14ac:dyDescent="0.3">
      <c r="A1178" s="54" t="s">
        <v>198</v>
      </c>
      <c r="B1178" s="55"/>
      <c r="C1178" s="56"/>
      <c r="D1178" s="57"/>
      <c r="E1178" s="58" t="s">
        <v>92</v>
      </c>
      <c r="F1178" s="59">
        <f>F1181+F1186+F1190</f>
        <v>37.677693333333337</v>
      </c>
    </row>
    <row r="1179" spans="1:6" ht="12.75" customHeight="1" outlineLevel="1" x14ac:dyDescent="0.3">
      <c r="A1179" s="60" t="s">
        <v>93</v>
      </c>
      <c r="B1179" s="61">
        <v>12</v>
      </c>
      <c r="C1179" s="62" t="s">
        <v>107</v>
      </c>
      <c r="D1179" s="63" t="s">
        <v>95</v>
      </c>
      <c r="E1179" s="60">
        <v>8</v>
      </c>
      <c r="F1179" s="60" t="s">
        <v>96</v>
      </c>
    </row>
    <row r="1180" spans="1:6" ht="12.75" customHeight="1" outlineLevel="1" x14ac:dyDescent="0.3">
      <c r="A1180" s="64" t="s">
        <v>97</v>
      </c>
      <c r="B1180" s="65" t="s">
        <v>98</v>
      </c>
      <c r="C1180" s="66" t="s">
        <v>99</v>
      </c>
      <c r="D1180" s="67" t="s">
        <v>100</v>
      </c>
      <c r="E1180" s="64" t="s">
        <v>101</v>
      </c>
      <c r="F1180" s="64" t="s">
        <v>102</v>
      </c>
    </row>
    <row r="1181" spans="1:6" ht="12.75" customHeight="1" outlineLevel="1" x14ac:dyDescent="0.3">
      <c r="A1181" s="64" t="s">
        <v>103</v>
      </c>
      <c r="B1181" s="65"/>
      <c r="C1181" s="66"/>
      <c r="D1181" s="67"/>
      <c r="E1181" s="66"/>
      <c r="F1181" s="66">
        <f>SUM(F1182:F1185)</f>
        <v>29.911999999999999</v>
      </c>
    </row>
    <row r="1182" spans="1:6" ht="12.75" customHeight="1" outlineLevel="1" x14ac:dyDescent="0.25">
      <c r="A1182" s="44" t="s">
        <v>108</v>
      </c>
      <c r="B1182" s="68" t="s">
        <v>109</v>
      </c>
      <c r="C1182" s="41">
        <v>0.1</v>
      </c>
      <c r="D1182" s="69">
        <f>C1182*$E$1179/$B$1179</f>
        <v>6.6666666666666666E-2</v>
      </c>
      <c r="E1182" s="41">
        <f>'[3]LISTA DE MATERIALES'!$D$4</f>
        <v>23.08</v>
      </c>
      <c r="F1182" s="41">
        <f>PRODUCT(D1182:E1182)</f>
        <v>1.5386666666666666</v>
      </c>
    </row>
    <row r="1183" spans="1:6" ht="12.75" customHeight="1" outlineLevel="1" x14ac:dyDescent="0.25">
      <c r="A1183" s="44" t="s">
        <v>113</v>
      </c>
      <c r="B1183" s="68" t="s">
        <v>109</v>
      </c>
      <c r="C1183" s="41">
        <v>1</v>
      </c>
      <c r="D1183" s="69">
        <f>C1183*$E$1179/$B$1179</f>
        <v>0.66666666666666663</v>
      </c>
      <c r="E1183" s="41">
        <f>'[3]LISTA DE MATERIALES'!$D$5</f>
        <v>20.07</v>
      </c>
      <c r="F1183" s="41">
        <f>PRODUCT(D1183:E1183)</f>
        <v>13.379999999999999</v>
      </c>
    </row>
    <row r="1184" spans="1:6" ht="12.75" customHeight="1" outlineLevel="1" x14ac:dyDescent="0.25">
      <c r="A1184" s="44" t="s">
        <v>110</v>
      </c>
      <c r="B1184" s="68" t="s">
        <v>109</v>
      </c>
      <c r="C1184" s="41">
        <v>0.5</v>
      </c>
      <c r="D1184" s="69">
        <f>C1184*$E$1179/$B$1179</f>
        <v>0.33333333333333331</v>
      </c>
      <c r="E1184" s="41">
        <f>'[3]LISTA DE MATERIALES'!$D$7</f>
        <v>14.98</v>
      </c>
      <c r="F1184" s="41">
        <f>PRODUCT(D1184:E1184)</f>
        <v>4.9933333333333332</v>
      </c>
    </row>
    <row r="1185" spans="1:6" ht="12.75" customHeight="1" outlineLevel="1" x14ac:dyDescent="0.25">
      <c r="A1185" s="44" t="s">
        <v>114</v>
      </c>
      <c r="B1185" s="68" t="s">
        <v>115</v>
      </c>
      <c r="C1185" s="41"/>
      <c r="D1185" s="69">
        <v>2</v>
      </c>
      <c r="E1185" s="41">
        <f>VLOOKUP(A1185,INSUMOS!$B$7:$D$42,3,0)</f>
        <v>5</v>
      </c>
      <c r="F1185" s="41">
        <f>PRODUCT(D1185:E1185)</f>
        <v>10</v>
      </c>
    </row>
    <row r="1186" spans="1:6" ht="12.75" customHeight="1" outlineLevel="1" x14ac:dyDescent="0.3">
      <c r="A1186" s="64" t="s">
        <v>116</v>
      </c>
      <c r="B1186" s="65"/>
      <c r="C1186" s="66"/>
      <c r="D1186" s="67"/>
      <c r="E1186" s="66"/>
      <c r="F1186" s="66">
        <f>SUM(F1187:F1189)</f>
        <v>3.5350000000000001</v>
      </c>
    </row>
    <row r="1187" spans="1:6" ht="12.75" customHeight="1" outlineLevel="1" x14ac:dyDescent="0.25">
      <c r="A1187" s="44" t="s">
        <v>192</v>
      </c>
      <c r="B1187" s="68" t="s">
        <v>37</v>
      </c>
      <c r="C1187" s="41"/>
      <c r="D1187" s="69">
        <v>1.7000000000000001E-2</v>
      </c>
      <c r="E1187" s="41">
        <f>'[3]LISTA DE MATERIALES'!$D$10</f>
        <v>65</v>
      </c>
      <c r="F1187" s="41">
        <f>PRODUCT(D1187:E1187)</f>
        <v>1.105</v>
      </c>
    </row>
    <row r="1188" spans="1:6" ht="12.75" customHeight="1" outlineLevel="1" x14ac:dyDescent="0.25">
      <c r="A1188" s="44" t="s">
        <v>145</v>
      </c>
      <c r="B1188" s="68" t="s">
        <v>147</v>
      </c>
      <c r="C1188" s="41"/>
      <c r="D1188" s="69">
        <v>0.11700000000000001</v>
      </c>
      <c r="E1188" s="41">
        <f>'[3]LISTA DE MATERIALES'!$D$12</f>
        <v>20.5</v>
      </c>
      <c r="F1188" s="41">
        <f>PRODUCT(D1188:E1188)</f>
        <v>2.3985000000000003</v>
      </c>
    </row>
    <row r="1189" spans="1:6" ht="12.75" customHeight="1" outlineLevel="1" x14ac:dyDescent="0.25">
      <c r="A1189" s="44" t="s">
        <v>117</v>
      </c>
      <c r="B1189" s="68" t="s">
        <v>118</v>
      </c>
      <c r="C1189" s="41"/>
      <c r="D1189" s="69">
        <v>8.9999999999999993E-3</v>
      </c>
      <c r="E1189" s="41">
        <f>'[3]LISTA DE MATERIALES'!$D$16</f>
        <v>3.5</v>
      </c>
      <c r="F1189" s="41">
        <f>PRODUCT(D1189:E1189)</f>
        <v>3.15E-2</v>
      </c>
    </row>
    <row r="1190" spans="1:6" ht="12.75" customHeight="1" outlineLevel="1" x14ac:dyDescent="0.3">
      <c r="A1190" s="64" t="s">
        <v>105</v>
      </c>
      <c r="B1190" s="65"/>
      <c r="C1190" s="66"/>
      <c r="D1190" s="67"/>
      <c r="E1190" s="66"/>
      <c r="F1190" s="66">
        <f>SUM(F1191:F1192)</f>
        <v>4.230693333333333</v>
      </c>
    </row>
    <row r="1191" spans="1:6" ht="12.75" customHeight="1" outlineLevel="1" x14ac:dyDescent="0.25">
      <c r="A1191" s="44" t="s">
        <v>111</v>
      </c>
      <c r="B1191" s="68" t="s">
        <v>112</v>
      </c>
      <c r="C1191" s="41"/>
      <c r="D1191" s="69">
        <v>3</v>
      </c>
      <c r="E1191" s="41">
        <f>F1181</f>
        <v>29.911999999999999</v>
      </c>
      <c r="F1191" s="41">
        <f>D1191*E1191/100</f>
        <v>0.89735999999999994</v>
      </c>
    </row>
    <row r="1192" spans="1:6" ht="12.75" customHeight="1" outlineLevel="1" x14ac:dyDescent="0.25">
      <c r="A1192" s="44" t="s">
        <v>188</v>
      </c>
      <c r="B1192" s="68" t="s">
        <v>109</v>
      </c>
      <c r="C1192" s="41">
        <v>1</v>
      </c>
      <c r="D1192" s="69">
        <f>C1192*$E$1179/$B$1179</f>
        <v>0.66666666666666663</v>
      </c>
      <c r="E1192" s="41">
        <f>'[3]LISTA DE MATERIALES'!$D$14</f>
        <v>5</v>
      </c>
      <c r="F1192" s="41">
        <f>D1192*E1192</f>
        <v>3.333333333333333</v>
      </c>
    </row>
    <row r="1193" spans="1:6" ht="12.75" customHeight="1" outlineLevel="1" x14ac:dyDescent="0.25">
      <c r="B1193" s="1"/>
      <c r="C1193" s="21"/>
    </row>
    <row r="1194" spans="1:6" ht="12.75" customHeight="1" x14ac:dyDescent="0.3">
      <c r="A1194" s="54" t="s">
        <v>377</v>
      </c>
      <c r="B1194" s="55"/>
      <c r="C1194" s="56"/>
      <c r="D1194" s="57"/>
      <c r="E1194" s="58" t="s">
        <v>92</v>
      </c>
      <c r="F1194" s="59">
        <f>F1197+F1202+F1206</f>
        <v>37.265693333333331</v>
      </c>
    </row>
    <row r="1195" spans="1:6" ht="12.75" customHeight="1" outlineLevel="1" x14ac:dyDescent="0.3">
      <c r="A1195" s="60" t="s">
        <v>93</v>
      </c>
      <c r="B1195" s="61">
        <v>12</v>
      </c>
      <c r="C1195" s="62" t="s">
        <v>107</v>
      </c>
      <c r="D1195" s="63" t="s">
        <v>95</v>
      </c>
      <c r="E1195" s="60">
        <v>8</v>
      </c>
      <c r="F1195" s="60" t="s">
        <v>96</v>
      </c>
    </row>
    <row r="1196" spans="1:6" ht="12.75" customHeight="1" outlineLevel="1" x14ac:dyDescent="0.3">
      <c r="A1196" s="64" t="s">
        <v>97</v>
      </c>
      <c r="B1196" s="65" t="s">
        <v>98</v>
      </c>
      <c r="C1196" s="66" t="s">
        <v>99</v>
      </c>
      <c r="D1196" s="67" t="s">
        <v>100</v>
      </c>
      <c r="E1196" s="64" t="s">
        <v>101</v>
      </c>
      <c r="F1196" s="64" t="s">
        <v>102</v>
      </c>
    </row>
    <row r="1197" spans="1:6" ht="12.75" customHeight="1" outlineLevel="1" x14ac:dyDescent="0.3">
      <c r="A1197" s="64" t="s">
        <v>103</v>
      </c>
      <c r="B1197" s="65"/>
      <c r="C1197" s="66"/>
      <c r="D1197" s="67"/>
      <c r="E1197" s="66"/>
      <c r="F1197" s="66">
        <f>SUM(F1198:F1201)</f>
        <v>29.512</v>
      </c>
    </row>
    <row r="1198" spans="1:6" ht="12.75" customHeight="1" outlineLevel="1" x14ac:dyDescent="0.25">
      <c r="A1198" s="44" t="s">
        <v>108</v>
      </c>
      <c r="B1198" s="68" t="s">
        <v>109</v>
      </c>
      <c r="C1198" s="41">
        <v>0.1</v>
      </c>
      <c r="D1198" s="69">
        <f>C1198*$E$1195/$B$1195</f>
        <v>6.6666666666666666E-2</v>
      </c>
      <c r="E1198" s="41">
        <f>'[3]LISTA DE MATERIALES'!$D$4</f>
        <v>23.08</v>
      </c>
      <c r="F1198" s="41">
        <f>PRODUCT(D1198:E1198)</f>
        <v>1.5386666666666666</v>
      </c>
    </row>
    <row r="1199" spans="1:6" ht="12.75" customHeight="1" outlineLevel="1" x14ac:dyDescent="0.25">
      <c r="A1199" s="44" t="s">
        <v>113</v>
      </c>
      <c r="B1199" s="68" t="s">
        <v>109</v>
      </c>
      <c r="C1199" s="41">
        <v>1</v>
      </c>
      <c r="D1199" s="69">
        <f>C1199*$E$1195/$B$1195</f>
        <v>0.66666666666666663</v>
      </c>
      <c r="E1199" s="41">
        <f>'[3]LISTA DE MATERIALES'!$D$5</f>
        <v>20.07</v>
      </c>
      <c r="F1199" s="41">
        <f>PRODUCT(D1199:E1199)</f>
        <v>13.379999999999999</v>
      </c>
    </row>
    <row r="1200" spans="1:6" ht="12.75" customHeight="1" outlineLevel="1" x14ac:dyDescent="0.25">
      <c r="A1200" s="44" t="s">
        <v>110</v>
      </c>
      <c r="B1200" s="68" t="s">
        <v>109</v>
      </c>
      <c r="C1200" s="41">
        <v>0.5</v>
      </c>
      <c r="D1200" s="69">
        <f>C1200*$E$1195/$B$1195</f>
        <v>0.33333333333333331</v>
      </c>
      <c r="E1200" s="41">
        <f>'[3]LISTA DE MATERIALES'!$D$7</f>
        <v>14.98</v>
      </c>
      <c r="F1200" s="41">
        <f>PRODUCT(D1200:E1200)</f>
        <v>4.9933333333333332</v>
      </c>
    </row>
    <row r="1201" spans="1:6" ht="12.75" customHeight="1" outlineLevel="1" x14ac:dyDescent="0.25">
      <c r="A1201" s="44" t="s">
        <v>114</v>
      </c>
      <c r="B1201" s="68" t="s">
        <v>115</v>
      </c>
      <c r="C1201" s="41"/>
      <c r="D1201" s="69">
        <v>2</v>
      </c>
      <c r="E1201" s="41">
        <f>'[3]LISTA DE MATERIALES'!$D$17</f>
        <v>4.8</v>
      </c>
      <c r="F1201" s="41">
        <f>PRODUCT(D1201:E1201)</f>
        <v>9.6</v>
      </c>
    </row>
    <row r="1202" spans="1:6" ht="12.75" customHeight="1" outlineLevel="1" x14ac:dyDescent="0.3">
      <c r="A1202" s="64" t="s">
        <v>116</v>
      </c>
      <c r="B1202" s="65"/>
      <c r="C1202" s="66"/>
      <c r="D1202" s="67"/>
      <c r="E1202" s="66"/>
      <c r="F1202" s="66">
        <f>SUM(F1203:F1205)</f>
        <v>3.5350000000000001</v>
      </c>
    </row>
    <row r="1203" spans="1:6" ht="12.75" customHeight="1" outlineLevel="1" x14ac:dyDescent="0.25">
      <c r="A1203" s="44" t="s">
        <v>192</v>
      </c>
      <c r="B1203" s="68" t="s">
        <v>37</v>
      </c>
      <c r="C1203" s="41"/>
      <c r="D1203" s="69">
        <v>1.7000000000000001E-2</v>
      </c>
      <c r="E1203" s="41">
        <f>'[3]LISTA DE MATERIALES'!$D$10</f>
        <v>65</v>
      </c>
      <c r="F1203" s="41">
        <f>PRODUCT(D1203:E1203)</f>
        <v>1.105</v>
      </c>
    </row>
    <row r="1204" spans="1:6" ht="12.75" customHeight="1" outlineLevel="1" x14ac:dyDescent="0.25">
      <c r="A1204" s="44" t="s">
        <v>145</v>
      </c>
      <c r="B1204" s="68" t="s">
        <v>147</v>
      </c>
      <c r="C1204" s="41"/>
      <c r="D1204" s="69">
        <v>0.11700000000000001</v>
      </c>
      <c r="E1204" s="41">
        <f>'[3]LISTA DE MATERIALES'!$D$12</f>
        <v>20.5</v>
      </c>
      <c r="F1204" s="41">
        <f>PRODUCT(D1204:E1204)</f>
        <v>2.3985000000000003</v>
      </c>
    </row>
    <row r="1205" spans="1:6" ht="12.75" customHeight="1" outlineLevel="1" x14ac:dyDescent="0.25">
      <c r="A1205" s="44" t="s">
        <v>117</v>
      </c>
      <c r="B1205" s="68" t="s">
        <v>118</v>
      </c>
      <c r="C1205" s="41"/>
      <c r="D1205" s="69">
        <v>8.9999999999999993E-3</v>
      </c>
      <c r="E1205" s="41">
        <f>'[3]LISTA DE MATERIALES'!$D$16</f>
        <v>3.5</v>
      </c>
      <c r="F1205" s="41">
        <f>PRODUCT(D1205:E1205)</f>
        <v>3.15E-2</v>
      </c>
    </row>
    <row r="1206" spans="1:6" ht="12.75" customHeight="1" outlineLevel="1" x14ac:dyDescent="0.3">
      <c r="A1206" s="64" t="s">
        <v>105</v>
      </c>
      <c r="B1206" s="65"/>
      <c r="C1206" s="66"/>
      <c r="D1206" s="67"/>
      <c r="E1206" s="66"/>
      <c r="F1206" s="66">
        <f>SUM(F1207:F1208)</f>
        <v>4.2186933333333334</v>
      </c>
    </row>
    <row r="1207" spans="1:6" ht="12.75" customHeight="1" outlineLevel="1" x14ac:dyDescent="0.25">
      <c r="A1207" s="44" t="s">
        <v>111</v>
      </c>
      <c r="B1207" s="68" t="s">
        <v>112</v>
      </c>
      <c r="C1207" s="41"/>
      <c r="D1207" s="69">
        <v>3</v>
      </c>
      <c r="E1207" s="41">
        <f>F1197</f>
        <v>29.512</v>
      </c>
      <c r="F1207" s="41">
        <f>D1207*E1207/100</f>
        <v>0.88536000000000004</v>
      </c>
    </row>
    <row r="1208" spans="1:6" ht="12.75" customHeight="1" outlineLevel="1" x14ac:dyDescent="0.25">
      <c r="A1208" s="44" t="s">
        <v>188</v>
      </c>
      <c r="B1208" s="68" t="s">
        <v>109</v>
      </c>
      <c r="C1208" s="41">
        <v>1</v>
      </c>
      <c r="D1208" s="69">
        <f>C1208*$E$1195/$B$1195</f>
        <v>0.66666666666666663</v>
      </c>
      <c r="E1208" s="41">
        <f>'[3]LISTA DE MATERIALES'!$D$14</f>
        <v>5</v>
      </c>
      <c r="F1208" s="41">
        <f>D1208*E1208</f>
        <v>3.333333333333333</v>
      </c>
    </row>
    <row r="1209" spans="1:6" ht="12.75" customHeight="1" outlineLevel="1" x14ac:dyDescent="0.25">
      <c r="B1209" s="1"/>
      <c r="C1209" s="21"/>
    </row>
    <row r="1210" spans="1:6" ht="12.75" customHeight="1" x14ac:dyDescent="0.3">
      <c r="A1210" s="54" t="s">
        <v>199</v>
      </c>
      <c r="B1210" s="55"/>
      <c r="C1210" s="56"/>
      <c r="D1210" s="57"/>
      <c r="E1210" s="58" t="s">
        <v>92</v>
      </c>
      <c r="F1210" s="59">
        <f>F1213+F1218+F1222</f>
        <v>13.026416800000002</v>
      </c>
    </row>
    <row r="1211" spans="1:6" ht="12.75" customHeight="1" outlineLevel="1" x14ac:dyDescent="0.3">
      <c r="A1211" s="60" t="s">
        <v>93</v>
      </c>
      <c r="B1211" s="61">
        <v>20</v>
      </c>
      <c r="C1211" s="62" t="s">
        <v>200</v>
      </c>
      <c r="D1211" s="63" t="s">
        <v>95</v>
      </c>
      <c r="E1211" s="60">
        <v>8</v>
      </c>
      <c r="F1211" s="60" t="s">
        <v>96</v>
      </c>
    </row>
    <row r="1212" spans="1:6" ht="12.75" customHeight="1" outlineLevel="1" x14ac:dyDescent="0.3">
      <c r="A1212" s="64" t="s">
        <v>97</v>
      </c>
      <c r="B1212" s="65" t="s">
        <v>98</v>
      </c>
      <c r="C1212" s="66" t="s">
        <v>99</v>
      </c>
      <c r="D1212" s="67" t="s">
        <v>100</v>
      </c>
      <c r="E1212" s="64" t="s">
        <v>101</v>
      </c>
      <c r="F1212" s="64" t="s">
        <v>102</v>
      </c>
    </row>
    <row r="1213" spans="1:6" ht="12.75" customHeight="1" outlineLevel="1" x14ac:dyDescent="0.3">
      <c r="A1213" s="64" t="s">
        <v>103</v>
      </c>
      <c r="B1213" s="65"/>
      <c r="C1213" s="66"/>
      <c r="D1213" s="67"/>
      <c r="E1213" s="66"/>
      <c r="F1213" s="66">
        <f>SUM(F1214:F1217)</f>
        <v>12.12856</v>
      </c>
    </row>
    <row r="1214" spans="1:6" ht="12.75" customHeight="1" outlineLevel="1" x14ac:dyDescent="0.25">
      <c r="A1214" s="44" t="s">
        <v>108</v>
      </c>
      <c r="B1214" s="68" t="s">
        <v>109</v>
      </c>
      <c r="C1214" s="41">
        <v>0.1</v>
      </c>
      <c r="D1214" s="69">
        <f>C1214*$E$1211/$B$1211</f>
        <v>0.04</v>
      </c>
      <c r="E1214" s="41">
        <f>'[3]LISTA DE MATERIALES'!$D$4</f>
        <v>23.08</v>
      </c>
      <c r="F1214" s="41">
        <f>PRODUCT(D1214:E1214)</f>
        <v>0.92319999999999991</v>
      </c>
    </row>
    <row r="1215" spans="1:6" ht="12.75" customHeight="1" outlineLevel="1" x14ac:dyDescent="0.25">
      <c r="A1215" s="44" t="s">
        <v>113</v>
      </c>
      <c r="B1215" s="68" t="s">
        <v>109</v>
      </c>
      <c r="C1215" s="41">
        <v>1</v>
      </c>
      <c r="D1215" s="69">
        <f>C1215*$E$1211/$B$1211</f>
        <v>0.4</v>
      </c>
      <c r="E1215" s="41">
        <f>'[3]LISTA DE MATERIALES'!$D$5</f>
        <v>20.07</v>
      </c>
      <c r="F1215" s="41">
        <f>PRODUCT(D1215:E1215)</f>
        <v>8.0280000000000005</v>
      </c>
    </row>
    <row r="1216" spans="1:6" ht="12.75" customHeight="1" outlineLevel="1" x14ac:dyDescent="0.25">
      <c r="A1216" s="44" t="s">
        <v>110</v>
      </c>
      <c r="B1216" s="68" t="s">
        <v>109</v>
      </c>
      <c r="C1216" s="41">
        <v>0.33</v>
      </c>
      <c r="D1216" s="69">
        <f>C1216*$E$1211/$B$1211</f>
        <v>0.13200000000000001</v>
      </c>
      <c r="E1216" s="41">
        <f>'[3]LISTA DE MATERIALES'!$D$7</f>
        <v>14.98</v>
      </c>
      <c r="F1216" s="41">
        <f>PRODUCT(D1216:E1216)</f>
        <v>1.9773600000000002</v>
      </c>
    </row>
    <row r="1217" spans="1:6" ht="12.75" customHeight="1" outlineLevel="1" x14ac:dyDescent="0.25">
      <c r="A1217" s="44" t="s">
        <v>114</v>
      </c>
      <c r="B1217" s="68" t="s">
        <v>115</v>
      </c>
      <c r="C1217" s="41"/>
      <c r="D1217" s="69">
        <v>0.25</v>
      </c>
      <c r="E1217" s="41">
        <f>'[3]LISTA DE MATERIALES'!$D$17</f>
        <v>4.8</v>
      </c>
      <c r="F1217" s="41">
        <f>PRODUCT(D1217:E1217)</f>
        <v>1.2</v>
      </c>
    </row>
    <row r="1218" spans="1:6" ht="12.75" customHeight="1" outlineLevel="1" x14ac:dyDescent="0.3">
      <c r="A1218" s="64" t="s">
        <v>116</v>
      </c>
      <c r="B1218" s="65"/>
      <c r="C1218" s="66"/>
      <c r="D1218" s="67"/>
      <c r="E1218" s="66"/>
      <c r="F1218" s="66">
        <f>SUM(F1219:F1221)</f>
        <v>0.53400000000000003</v>
      </c>
    </row>
    <row r="1219" spans="1:6" ht="12.75" customHeight="1" outlineLevel="1" x14ac:dyDescent="0.25">
      <c r="A1219" s="44" t="s">
        <v>192</v>
      </c>
      <c r="B1219" s="68" t="s">
        <v>37</v>
      </c>
      <c r="C1219" s="41"/>
      <c r="D1219" s="69">
        <v>2E-3</v>
      </c>
      <c r="E1219" s="41">
        <f>'[3]LISTA DE MATERIALES'!$D$10</f>
        <v>65</v>
      </c>
      <c r="F1219" s="41">
        <f>PRODUCT(D1219:E1219)</f>
        <v>0.13</v>
      </c>
    </row>
    <row r="1220" spans="1:6" ht="12.75" customHeight="1" outlineLevel="1" x14ac:dyDescent="0.25">
      <c r="A1220" s="44" t="s">
        <v>145</v>
      </c>
      <c r="B1220" s="68" t="s">
        <v>147</v>
      </c>
      <c r="C1220" s="41"/>
      <c r="D1220" s="69">
        <v>1.7999999999999999E-2</v>
      </c>
      <c r="E1220" s="41">
        <f>'[3]LISTA DE MATERIALES'!$D$12</f>
        <v>20.5</v>
      </c>
      <c r="F1220" s="41">
        <f>PRODUCT(D1220:E1220)</f>
        <v>0.36899999999999999</v>
      </c>
    </row>
    <row r="1221" spans="1:6" ht="12.75" customHeight="1" outlineLevel="1" x14ac:dyDescent="0.25">
      <c r="A1221" s="44" t="s">
        <v>117</v>
      </c>
      <c r="B1221" s="68" t="s">
        <v>118</v>
      </c>
      <c r="C1221" s="41"/>
      <c r="D1221" s="69">
        <v>0.01</v>
      </c>
      <c r="E1221" s="41">
        <f>'[3]LISTA DE MATERIALES'!$D$16</f>
        <v>3.5</v>
      </c>
      <c r="F1221" s="41">
        <f>PRODUCT(D1221:E1221)</f>
        <v>3.5000000000000003E-2</v>
      </c>
    </row>
    <row r="1222" spans="1:6" ht="12.75" customHeight="1" outlineLevel="1" x14ac:dyDescent="0.3">
      <c r="A1222" s="64" t="s">
        <v>105</v>
      </c>
      <c r="B1222" s="65"/>
      <c r="C1222" s="66"/>
      <c r="D1222" s="67"/>
      <c r="E1222" s="66"/>
      <c r="F1222" s="66">
        <f>SUM(F1223)</f>
        <v>0.36385679999999998</v>
      </c>
    </row>
    <row r="1223" spans="1:6" ht="12.75" customHeight="1" outlineLevel="1" x14ac:dyDescent="0.25">
      <c r="A1223" s="44" t="s">
        <v>111</v>
      </c>
      <c r="B1223" s="68" t="s">
        <v>112</v>
      </c>
      <c r="C1223" s="41"/>
      <c r="D1223" s="69">
        <v>3</v>
      </c>
      <c r="E1223" s="41">
        <f>F1213</f>
        <v>12.12856</v>
      </c>
      <c r="F1223" s="41">
        <f>D1223*E1223/100</f>
        <v>0.36385679999999998</v>
      </c>
    </row>
    <row r="1224" spans="1:6" ht="12.75" customHeight="1" outlineLevel="1" x14ac:dyDescent="0.25">
      <c r="B1224" s="1"/>
      <c r="C1224" s="21"/>
    </row>
    <row r="1225" spans="1:6" ht="12.75" customHeight="1" x14ac:dyDescent="0.3">
      <c r="A1225" s="54" t="s">
        <v>201</v>
      </c>
      <c r="B1225" s="55"/>
      <c r="C1225" s="56"/>
      <c r="D1225" s="57"/>
      <c r="E1225" s="58" t="s">
        <v>92</v>
      </c>
      <c r="F1225" s="59">
        <f>F1228+F1234+F1237</f>
        <v>50.541750000000008</v>
      </c>
    </row>
    <row r="1226" spans="1:6" ht="12.75" customHeight="1" outlineLevel="1" x14ac:dyDescent="0.3">
      <c r="A1226" s="60" t="s">
        <v>93</v>
      </c>
      <c r="B1226" s="61">
        <v>50</v>
      </c>
      <c r="C1226" s="62" t="s">
        <v>107</v>
      </c>
      <c r="D1226" s="63" t="s">
        <v>95</v>
      </c>
      <c r="E1226" s="60">
        <v>8</v>
      </c>
      <c r="F1226" s="60" t="s">
        <v>96</v>
      </c>
    </row>
    <row r="1227" spans="1:6" ht="12.75" customHeight="1" outlineLevel="1" x14ac:dyDescent="0.3">
      <c r="A1227" s="64" t="s">
        <v>97</v>
      </c>
      <c r="B1227" s="65" t="s">
        <v>98</v>
      </c>
      <c r="C1227" s="66" t="s">
        <v>99</v>
      </c>
      <c r="D1227" s="67" t="s">
        <v>100</v>
      </c>
      <c r="E1227" s="64" t="s">
        <v>101</v>
      </c>
      <c r="F1227" s="64" t="s">
        <v>102</v>
      </c>
    </row>
    <row r="1228" spans="1:6" ht="12.75" customHeight="1" outlineLevel="1" x14ac:dyDescent="0.3">
      <c r="A1228" s="64" t="s">
        <v>103</v>
      </c>
      <c r="B1228" s="65"/>
      <c r="C1228" s="66"/>
      <c r="D1228" s="67"/>
      <c r="E1228" s="66"/>
      <c r="F1228" s="66">
        <f>SUM(F1229:F1233)</f>
        <v>29.725000000000001</v>
      </c>
    </row>
    <row r="1229" spans="1:6" ht="12.75" customHeight="1" outlineLevel="1" x14ac:dyDescent="0.25">
      <c r="A1229" s="44" t="s">
        <v>108</v>
      </c>
      <c r="B1229" s="68" t="s">
        <v>109</v>
      </c>
      <c r="C1229" s="41">
        <v>0.1</v>
      </c>
      <c r="D1229" s="69">
        <f>C1229*$E$1226/$B$1226</f>
        <v>1.6E-2</v>
      </c>
      <c r="E1229" s="41">
        <f>VLOOKUP(A1229,INSUMOS!$B$7:$D$42,3,0)</f>
        <v>49.166666666666664</v>
      </c>
      <c r="F1229" s="41">
        <f>PRODUCT(D1229:E1229)</f>
        <v>0.78666666666666663</v>
      </c>
    </row>
    <row r="1230" spans="1:6" ht="12.75" customHeight="1" outlineLevel="1" x14ac:dyDescent="0.25">
      <c r="A1230" s="44" t="s">
        <v>113</v>
      </c>
      <c r="B1230" s="68" t="s">
        <v>109</v>
      </c>
      <c r="C1230" s="41">
        <v>1</v>
      </c>
      <c r="D1230" s="69">
        <f>C1230*$E$1226/$B$1226</f>
        <v>0.16</v>
      </c>
      <c r="E1230" s="41">
        <f>VLOOKUP(A1230,INSUMOS!$B$7:$D$42,3,0)</f>
        <v>27.041666666666668</v>
      </c>
      <c r="F1230" s="41">
        <f>PRODUCT(D1230:E1230)</f>
        <v>4.3266666666666671</v>
      </c>
    </row>
    <row r="1231" spans="1:6" ht="12.75" customHeight="1" outlineLevel="1" x14ac:dyDescent="0.25">
      <c r="A1231" s="44" t="s">
        <v>144</v>
      </c>
      <c r="B1231" s="68" t="s">
        <v>109</v>
      </c>
      <c r="C1231" s="41">
        <v>4</v>
      </c>
      <c r="D1231" s="69">
        <f>C1231*$E$1226/$B$1226</f>
        <v>0.64</v>
      </c>
      <c r="E1231" s="41">
        <f>VLOOKUP(A1231,INSUMOS!$B$7:$D$42,3,0)</f>
        <v>19.666666666666668</v>
      </c>
      <c r="F1231" s="41">
        <f>PRODUCT(D1231:E1231)</f>
        <v>12.586666666666668</v>
      </c>
    </row>
    <row r="1232" spans="1:6" ht="12.75" customHeight="1" outlineLevel="1" x14ac:dyDescent="0.25">
      <c r="A1232" s="44" t="s">
        <v>110</v>
      </c>
      <c r="B1232" s="68" t="s">
        <v>109</v>
      </c>
      <c r="C1232" s="41">
        <v>6</v>
      </c>
      <c r="D1232" s="69">
        <f>C1232*$E$1226/$B$1226</f>
        <v>0.96</v>
      </c>
      <c r="E1232" s="41">
        <f>VLOOKUP(A1232,INSUMOS!$B$7:$D$42,3,0)</f>
        <v>12.291666666666666</v>
      </c>
      <c r="F1232" s="41">
        <f>PRODUCT(D1232:E1232)</f>
        <v>11.799999999999999</v>
      </c>
    </row>
    <row r="1233" spans="1:6" ht="12.75" customHeight="1" outlineLevel="1" x14ac:dyDescent="0.25">
      <c r="A1233" s="44" t="s">
        <v>114</v>
      </c>
      <c r="B1233" s="68" t="s">
        <v>115</v>
      </c>
      <c r="C1233" s="41"/>
      <c r="D1233" s="69">
        <v>4.4999999999999998E-2</v>
      </c>
      <c r="E1233" s="41">
        <f>VLOOKUP(A1233,INSUMOS!$B$7:$D$42,3,0)</f>
        <v>5</v>
      </c>
      <c r="F1233" s="41">
        <f>PRODUCT(D1233:E1233)</f>
        <v>0.22499999999999998</v>
      </c>
    </row>
    <row r="1234" spans="1:6" ht="12.75" customHeight="1" outlineLevel="1" x14ac:dyDescent="0.3">
      <c r="A1234" s="64" t="s">
        <v>116</v>
      </c>
      <c r="B1234" s="65"/>
      <c r="C1234" s="66"/>
      <c r="D1234" s="67"/>
      <c r="E1234" s="66"/>
      <c r="F1234" s="66">
        <f>SUM(F1235:F1236)</f>
        <v>18.965000000000003</v>
      </c>
    </row>
    <row r="1235" spans="1:6" ht="12.75" customHeight="1" outlineLevel="1" x14ac:dyDescent="0.25">
      <c r="A1235" s="44" t="s">
        <v>192</v>
      </c>
      <c r="B1235" s="68" t="s">
        <v>37</v>
      </c>
      <c r="C1235" s="41"/>
      <c r="D1235" s="69">
        <v>0.05</v>
      </c>
      <c r="E1235" s="41">
        <f>VLOOKUP(A1235,INSUMOS!$B$7:$D$42,3,0)</f>
        <v>100.3</v>
      </c>
      <c r="F1235" s="41">
        <f>PRODUCT(D1235:E1235)</f>
        <v>5.0150000000000006</v>
      </c>
    </row>
    <row r="1236" spans="1:6" ht="12.75" customHeight="1" outlineLevel="1" x14ac:dyDescent="0.25">
      <c r="A1236" s="44" t="s">
        <v>145</v>
      </c>
      <c r="B1236" s="68" t="s">
        <v>147</v>
      </c>
      <c r="C1236" s="41"/>
      <c r="D1236" s="69">
        <v>0.45</v>
      </c>
      <c r="E1236" s="41">
        <f>VLOOKUP(A1236,INSUMOS!$B$7:$D$42,3,0)</f>
        <v>31</v>
      </c>
      <c r="F1236" s="41">
        <f>PRODUCT(D1236:E1236)</f>
        <v>13.950000000000001</v>
      </c>
    </row>
    <row r="1237" spans="1:6" ht="12.75" customHeight="1" outlineLevel="1" x14ac:dyDescent="0.3">
      <c r="A1237" s="64" t="s">
        <v>105</v>
      </c>
      <c r="B1237" s="65"/>
      <c r="C1237" s="66"/>
      <c r="D1237" s="67"/>
      <c r="E1237" s="66"/>
      <c r="F1237" s="66">
        <f>SUM(F1238:F1239)</f>
        <v>1.85175</v>
      </c>
    </row>
    <row r="1238" spans="1:6" ht="12.75" customHeight="1" outlineLevel="1" x14ac:dyDescent="0.25">
      <c r="A1238" s="44" t="s">
        <v>111</v>
      </c>
      <c r="B1238" s="68" t="s">
        <v>112</v>
      </c>
      <c r="C1238" s="41"/>
      <c r="D1238" s="69">
        <v>3</v>
      </c>
      <c r="E1238" s="41">
        <f>F1228</f>
        <v>29.725000000000001</v>
      </c>
      <c r="F1238" s="41">
        <f>D1238*E1238/100</f>
        <v>0.89175000000000015</v>
      </c>
    </row>
    <row r="1239" spans="1:6" ht="12.75" customHeight="1" outlineLevel="1" x14ac:dyDescent="0.25">
      <c r="A1239" s="44" t="s">
        <v>148</v>
      </c>
      <c r="B1239" s="68" t="s">
        <v>131</v>
      </c>
      <c r="C1239" s="41">
        <v>1</v>
      </c>
      <c r="D1239" s="69">
        <f>C1239*$E$1226/$B$1226</f>
        <v>0.16</v>
      </c>
      <c r="E1239" s="41">
        <f>VLOOKUP(A1239,INSUMOS!$B$7:$D$42,3,0)</f>
        <v>6</v>
      </c>
      <c r="F1239" s="41">
        <f>D1239*E1239</f>
        <v>0.96</v>
      </c>
    </row>
    <row r="1240" spans="1:6" ht="12.75" customHeight="1" x14ac:dyDescent="0.25">
      <c r="A1240" s="49" t="s">
        <v>501</v>
      </c>
      <c r="B1240" s="50"/>
      <c r="C1240" s="51"/>
      <c r="D1240" s="52"/>
      <c r="E1240" s="51"/>
      <c r="F1240" s="53"/>
    </row>
    <row r="1241" spans="1:6" ht="12.75" customHeight="1" x14ac:dyDescent="0.3">
      <c r="A1241" s="54" t="s">
        <v>502</v>
      </c>
      <c r="B1241" s="55"/>
      <c r="C1241" s="56"/>
      <c r="D1241" s="57"/>
      <c r="E1241" s="58" t="s">
        <v>92</v>
      </c>
      <c r="F1241" s="59" t="e">
        <f>F1244+F1248+F1252</f>
        <v>#N/A</v>
      </c>
    </row>
    <row r="1242" spans="1:6" ht="12.75" hidden="1" customHeight="1" outlineLevel="1" x14ac:dyDescent="0.3">
      <c r="A1242" s="60" t="s">
        <v>93</v>
      </c>
      <c r="B1242" s="61">
        <v>18</v>
      </c>
      <c r="C1242" s="62" t="s">
        <v>503</v>
      </c>
      <c r="D1242" s="63" t="s">
        <v>95</v>
      </c>
      <c r="E1242" s="60">
        <v>8</v>
      </c>
      <c r="F1242" s="60" t="s">
        <v>96</v>
      </c>
    </row>
    <row r="1243" spans="1:6" ht="12.75" hidden="1" customHeight="1" outlineLevel="1" x14ac:dyDescent="0.3">
      <c r="A1243" s="64" t="s">
        <v>97</v>
      </c>
      <c r="B1243" s="65" t="s">
        <v>98</v>
      </c>
      <c r="C1243" s="66" t="s">
        <v>99</v>
      </c>
      <c r="D1243" s="67" t="s">
        <v>100</v>
      </c>
      <c r="E1243" s="64" t="s">
        <v>101</v>
      </c>
      <c r="F1243" s="64" t="s">
        <v>102</v>
      </c>
    </row>
    <row r="1244" spans="1:6" ht="12.75" hidden="1" customHeight="1" outlineLevel="1" x14ac:dyDescent="0.3">
      <c r="A1244" s="64" t="s">
        <v>103</v>
      </c>
      <c r="B1244" s="65"/>
      <c r="C1244" s="66"/>
      <c r="D1244" s="67"/>
      <c r="E1244" s="66"/>
      <c r="F1244" s="66">
        <f>SUM(F1245:F1247)</f>
        <v>16.935185185185187</v>
      </c>
    </row>
    <row r="1245" spans="1:6" ht="12.75" hidden="1" customHeight="1" outlineLevel="1" x14ac:dyDescent="0.25">
      <c r="A1245" s="44" t="s">
        <v>108</v>
      </c>
      <c r="B1245" s="68" t="s">
        <v>109</v>
      </c>
      <c r="C1245" s="41">
        <v>0.1</v>
      </c>
      <c r="D1245" s="69">
        <f>C1245*$E$1242/$B$1242</f>
        <v>4.4444444444444446E-2</v>
      </c>
      <c r="E1245" s="41">
        <f>VLOOKUP(A1245,INSUMOS!$B$7:$D$42,3,0)</f>
        <v>49.166666666666664</v>
      </c>
      <c r="F1245" s="41">
        <f>PRODUCT(D1245:E1245)</f>
        <v>2.1851851851851851</v>
      </c>
    </row>
    <row r="1246" spans="1:6" ht="12.75" hidden="1" customHeight="1" outlineLevel="1" x14ac:dyDescent="0.25">
      <c r="A1246" s="44" t="s">
        <v>113</v>
      </c>
      <c r="B1246" s="68" t="s">
        <v>109</v>
      </c>
      <c r="C1246" s="41">
        <v>1</v>
      </c>
      <c r="D1246" s="69">
        <f>C1246*$E$1242/$B$1242</f>
        <v>0.44444444444444442</v>
      </c>
      <c r="E1246" s="41">
        <f>VLOOKUP(A1246,INSUMOS!$B$7:$D$42,3,0)</f>
        <v>27.041666666666668</v>
      </c>
      <c r="F1246" s="41">
        <f>PRODUCT(D1246:E1246)</f>
        <v>12.018518518518519</v>
      </c>
    </row>
    <row r="1247" spans="1:6" ht="12.75" hidden="1" customHeight="1" outlineLevel="1" x14ac:dyDescent="0.25">
      <c r="A1247" s="44" t="s">
        <v>110</v>
      </c>
      <c r="B1247" s="68" t="s">
        <v>109</v>
      </c>
      <c r="C1247" s="41">
        <v>0.5</v>
      </c>
      <c r="D1247" s="69">
        <f>C1247*$E$1242/$B$1242</f>
        <v>0.22222222222222221</v>
      </c>
      <c r="E1247" s="41">
        <f>VLOOKUP(A1247,INSUMOS!$B$7:$D$42,3,0)</f>
        <v>12.291666666666666</v>
      </c>
      <c r="F1247" s="41">
        <f>PRODUCT(D1247:E1247)</f>
        <v>2.7314814814814814</v>
      </c>
    </row>
    <row r="1248" spans="1:6" ht="12.75" hidden="1" customHeight="1" outlineLevel="1" x14ac:dyDescent="0.3">
      <c r="A1248" s="64" t="s">
        <v>116</v>
      </c>
      <c r="B1248" s="65"/>
      <c r="C1248" s="66"/>
      <c r="D1248" s="67"/>
      <c r="E1248" s="66"/>
      <c r="F1248" s="66" t="e">
        <f>SUM(F1249:F1251)</f>
        <v>#N/A</v>
      </c>
    </row>
    <row r="1249" spans="1:6" ht="12.75" hidden="1" customHeight="1" outlineLevel="1" x14ac:dyDescent="0.25">
      <c r="A1249" s="44"/>
      <c r="B1249" s="68" t="s">
        <v>37</v>
      </c>
      <c r="C1249" s="41"/>
      <c r="D1249" s="69">
        <v>1.7000000000000001E-2</v>
      </c>
      <c r="E1249" s="41" t="e">
        <f>VLOOKUP(A1249,INSUMOS!$B$7:$D$42,3,0)</f>
        <v>#N/A</v>
      </c>
      <c r="F1249" s="41" t="e">
        <f>PRODUCT(D1249:E1249)</f>
        <v>#N/A</v>
      </c>
    </row>
    <row r="1250" spans="1:6" ht="12.75" hidden="1" customHeight="1" outlineLevel="1" x14ac:dyDescent="0.25">
      <c r="A1250" s="44"/>
      <c r="B1250" s="68" t="s">
        <v>147</v>
      </c>
      <c r="C1250" s="41"/>
      <c r="D1250" s="69">
        <v>0.11700000000000001</v>
      </c>
      <c r="E1250" s="41" t="e">
        <f>VLOOKUP(A1250,INSUMOS!$B$7:$D$42,3,0)</f>
        <v>#N/A</v>
      </c>
      <c r="F1250" s="41" t="e">
        <f>PRODUCT(D1250:E1250)</f>
        <v>#N/A</v>
      </c>
    </row>
    <row r="1251" spans="1:6" ht="12.75" hidden="1" customHeight="1" outlineLevel="1" x14ac:dyDescent="0.25">
      <c r="A1251" s="44"/>
      <c r="B1251" s="68" t="s">
        <v>118</v>
      </c>
      <c r="C1251" s="41"/>
      <c r="D1251" s="69">
        <v>2.1999999999999999E-2</v>
      </c>
      <c r="E1251" s="41" t="e">
        <f>VLOOKUP(A1251,INSUMOS!$B$7:$D$42,3,0)</f>
        <v>#N/A</v>
      </c>
      <c r="F1251" s="41" t="e">
        <f>PRODUCT(D1251:E1251)</f>
        <v>#N/A</v>
      </c>
    </row>
    <row r="1252" spans="1:6" ht="12.75" hidden="1" customHeight="1" outlineLevel="1" x14ac:dyDescent="0.3">
      <c r="A1252" s="64" t="s">
        <v>105</v>
      </c>
      <c r="B1252" s="65"/>
      <c r="C1252" s="66"/>
      <c r="D1252" s="67"/>
      <c r="E1252" s="66"/>
      <c r="F1252" s="66">
        <f>SUM(F1253:F1253)</f>
        <v>0.50805555555555559</v>
      </c>
    </row>
    <row r="1253" spans="1:6" ht="12.75" hidden="1" customHeight="1" outlineLevel="1" x14ac:dyDescent="0.25">
      <c r="A1253" s="44" t="s">
        <v>111</v>
      </c>
      <c r="B1253" s="68" t="s">
        <v>112</v>
      </c>
      <c r="C1253" s="41"/>
      <c r="D1253" s="69">
        <v>3</v>
      </c>
      <c r="E1253" s="41">
        <f>F1244</f>
        <v>16.935185185185187</v>
      </c>
      <c r="F1253" s="41">
        <f>D1253*E1253/100</f>
        <v>0.50805555555555559</v>
      </c>
    </row>
    <row r="1254" spans="1:6" ht="12.75" hidden="1" customHeight="1" outlineLevel="1" x14ac:dyDescent="0.25">
      <c r="B1254" s="84"/>
      <c r="C1254" s="21"/>
      <c r="D1254" s="85"/>
    </row>
    <row r="1255" spans="1:6" ht="15" customHeight="1" collapsed="1" x14ac:dyDescent="0.25"/>
  </sheetData>
  <dataValidations count="1">
    <dataValidation type="list" allowBlank="1" showErrorMessage="1" sqref="A953:A955 A966:A968 A979:A981 A1057:A1059" xr:uid="{00000000-0002-0000-0400-000000000000}">
      <formula1>$B$7:$B$23</formula1>
    </dataValidation>
  </dataValidations>
  <pageMargins left="0.7" right="0.7" top="0.75" bottom="0.75" header="0" footer="0"/>
  <pageSetup orientation="portrait" r:id="rId1"/>
  <rowBreaks count="1" manualBreakCount="1">
    <brk id="84" man="1"/>
  </rowBreaks>
  <ignoredErrors>
    <ignoredError sqref="F1090 F1122 F7 F17 F52 F27 F63 F112:F113 F165 F186 F198 F400 F366 F352 F335 F321 F305 F276 F291 F260 F244 F214 F230 F1106 F1138 F1154 F1170 F1186 F1202 F1218 F1234" formula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400-000001000000}">
          <x14:formula1>
            <xm:f>INSUMOS!$B$7:$B$42</xm:f>
          </x14:formula1>
          <xm:sqref>A15:A16 A584:A587 A589:A590 A657:A660 A662 A665 A100:A102 A599:A602 A604 A607 A24:A26 A28 A60:A62 A64:A67 A89:A91 A93 A110:A111 A113 A132:A133 A122:A123 A125 A141:A143 A146 A156 A162:A164 A166 A169:A170 A176:A177 A185 A187 A194:A197 A199:A200 A209:A213 A215:A216 A219 A225:A229 A231:A232 A240:A243 A245:A247 A250 A256:A259 A261:A263 A266 A272:A275 A277:A278 A281 A287:A290 A292:A293 A301:A304 A306:A308 A311 A317:A320 A322:A323 A331:A334 A336:A338 A341 A347:A351 A353 A362:A365 A367:A369 A372:A373 A541:A544 A1249:A1251 A550 A686:A690 A692:A693 A849:A851 A853:A854 A396:A399 A401:A403 A406:A407 A556:A559 A561 A1239 A701:A705 A707:A708 A875:A877 A879:A880 A570:A573 A575 A578 A413:A416 A418:A420 A423:A424 A716:A720 A722:A723 A888:A890 A892:A893 A430:A433 A435:A437 A440:A441 A731:A735 A737:A738 A901:A903 A905:A906 A447:A450 A452:A454 A457:A458 A746:A750 A752:A753 A914:A916 A918:A919 A761:A765 A767:A768 A927:A929 A931:A932 A776:A780 A782:A783 A940:A942 A944:A945 A791:A795 A797:A798 A806:A809 A957:A958 A819:A823 A825:A826 A970:A971 A834:A838 A840:A841 A983:A984 A1025:A1028 A1030:A1032 A1035:A1036 A1042:A1046 A1048:A1049 A1061:A1062 A993:A995 A866:A867 A1003 A1070:A1072 A1074:A1076 A1079 A1086:A1089 A1091:A1093 A1096 A1102:A1105 A1107:A1109 A1112 A1118:A1121 A1123:A1125 A1128 A1134:A1137 A1139 A1141:A1142 A1150:A1153 A1155:A1157 A1160 A1166:A1169 A1171:A1173 A1176 A1182:A1185 A1187:A1189 A1192 A1198:A1201 A1203:A1205 A1208 A1214:A1217 A1219:A1221 A1229:A1233 A1235:A1236 A564 A643:A646 A648 A651 A75:A77 A79:A81 A379:A382 A384:A386 A389:A390 A38:A40 A42 A546:A547 A593:A594 A609:A638 A667:A681 A862:A864 A997:A1000 A1009:A1011 A1019 A1013:A1016 A1245:A1247 A523:A536 A508:A521 A493:A506 A460:A476 A478:A491 A152:A153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82F6B-E59B-4565-9D04-39C0D62D8F0F}">
  <dimension ref="A1:AI59"/>
  <sheetViews>
    <sheetView view="pageBreakPreview" topLeftCell="B1" zoomScale="70" zoomScaleNormal="70" zoomScaleSheetLayoutView="70" workbookViewId="0">
      <selection activeCell="C27" sqref="C27"/>
    </sheetView>
  </sheetViews>
  <sheetFormatPr baseColWidth="10" defaultRowHeight="13.2" outlineLevelCol="1" x14ac:dyDescent="0.25"/>
  <cols>
    <col min="1" max="1" width="0" hidden="1" customWidth="1" outlineLevel="1"/>
    <col min="2" max="2" width="41.21875" customWidth="1" collapsed="1"/>
    <col min="3" max="3" width="19.6640625" customWidth="1"/>
    <col min="4" max="4" width="8.77734375" customWidth="1"/>
    <col min="5" max="5" width="15.77734375" customWidth="1"/>
    <col min="6" max="6" width="8.77734375" customWidth="1"/>
    <col min="7" max="7" width="15.77734375" customWidth="1"/>
    <col min="8" max="8" width="8.77734375" customWidth="1"/>
    <col min="9" max="9" width="15.77734375" customWidth="1"/>
    <col min="10" max="10" width="8.77734375" customWidth="1"/>
    <col min="11" max="11" width="15.77734375" customWidth="1"/>
    <col min="12" max="12" width="8.77734375" customWidth="1"/>
    <col min="13" max="13" width="15.77734375" customWidth="1"/>
    <col min="14" max="14" width="8.77734375" customWidth="1"/>
    <col min="15" max="15" width="15.77734375" customWidth="1"/>
    <col min="16" max="16" width="8.77734375" customWidth="1"/>
    <col min="17" max="17" width="15.77734375" customWidth="1"/>
    <col min="18" max="18" width="8.77734375" customWidth="1"/>
    <col min="19" max="19" width="15.77734375" customWidth="1"/>
    <col min="20" max="20" width="8.77734375" customWidth="1"/>
    <col min="21" max="21" width="15.77734375" customWidth="1"/>
    <col min="22" max="22" width="8.77734375" customWidth="1"/>
    <col min="23" max="23" width="15.77734375" customWidth="1"/>
    <col min="24" max="24" width="8.77734375" customWidth="1"/>
    <col min="25" max="25" width="15.77734375" customWidth="1"/>
    <col min="26" max="26" width="8.77734375" customWidth="1"/>
    <col min="27" max="27" width="15.77734375" customWidth="1"/>
    <col min="28" max="28" width="8.77734375" customWidth="1"/>
    <col min="29" max="29" width="15.77734375" customWidth="1"/>
    <col min="30" max="30" width="8.77734375" customWidth="1"/>
    <col min="31" max="31" width="15.77734375" customWidth="1"/>
    <col min="32" max="32" width="8.77734375" customWidth="1"/>
    <col min="33" max="33" width="15.77734375" customWidth="1"/>
    <col min="34" max="34" width="8.77734375" customWidth="1"/>
    <col min="35" max="35" width="15.77734375" customWidth="1"/>
  </cols>
  <sheetData>
    <row r="1" spans="1:35" ht="41.4" customHeight="1" thickBot="1" x14ac:dyDescent="0.3">
      <c r="B1" s="852" t="s">
        <v>845</v>
      </c>
      <c r="C1" s="852"/>
      <c r="D1" s="852" t="s">
        <v>846</v>
      </c>
      <c r="E1" s="852"/>
      <c r="F1" s="852"/>
      <c r="G1" s="852"/>
      <c r="H1" s="852"/>
      <c r="I1" s="852"/>
      <c r="J1" s="852"/>
      <c r="K1" s="852"/>
      <c r="L1" s="852" t="s">
        <v>846</v>
      </c>
      <c r="M1" s="852"/>
      <c r="N1" s="852"/>
      <c r="O1" s="852"/>
      <c r="P1" s="852"/>
      <c r="Q1" s="852"/>
      <c r="R1" s="852"/>
      <c r="S1" s="852"/>
      <c r="T1" s="852" t="s">
        <v>846</v>
      </c>
      <c r="U1" s="852"/>
      <c r="V1" s="852"/>
      <c r="W1" s="852"/>
      <c r="X1" s="852"/>
      <c r="Y1" s="852"/>
      <c r="Z1" s="852"/>
      <c r="AA1" s="852"/>
      <c r="AB1" s="852" t="s">
        <v>846</v>
      </c>
      <c r="AC1" s="852"/>
      <c r="AD1" s="852"/>
      <c r="AE1" s="852"/>
      <c r="AF1" s="852"/>
      <c r="AG1" s="852"/>
      <c r="AH1" s="852"/>
      <c r="AI1" s="852"/>
    </row>
    <row r="2" spans="1:35" ht="36" customHeight="1" thickBot="1" x14ac:dyDescent="0.3">
      <c r="B2" s="651" t="s">
        <v>437</v>
      </c>
      <c r="C2" s="652" t="s">
        <v>86</v>
      </c>
      <c r="D2" s="850" t="s">
        <v>813</v>
      </c>
      <c r="E2" s="851"/>
      <c r="F2" s="850" t="s">
        <v>814</v>
      </c>
      <c r="G2" s="851"/>
      <c r="H2" s="850" t="s">
        <v>815</v>
      </c>
      <c r="I2" s="851"/>
      <c r="J2" s="850" t="s">
        <v>816</v>
      </c>
      <c r="K2" s="851"/>
      <c r="L2" s="850" t="s">
        <v>817</v>
      </c>
      <c r="M2" s="851"/>
      <c r="N2" s="850" t="s">
        <v>818</v>
      </c>
      <c r="O2" s="851"/>
      <c r="P2" s="850" t="s">
        <v>819</v>
      </c>
      <c r="Q2" s="851"/>
      <c r="R2" s="850" t="s">
        <v>820</v>
      </c>
      <c r="S2" s="851"/>
      <c r="T2" s="850" t="s">
        <v>821</v>
      </c>
      <c r="U2" s="851"/>
      <c r="V2" s="850" t="s">
        <v>822</v>
      </c>
      <c r="W2" s="851"/>
      <c r="X2" s="850" t="s">
        <v>823</v>
      </c>
      <c r="Y2" s="851"/>
      <c r="Z2" s="850" t="s">
        <v>824</v>
      </c>
      <c r="AA2" s="851"/>
      <c r="AB2" s="850" t="s">
        <v>825</v>
      </c>
      <c r="AC2" s="851"/>
      <c r="AD2" s="850" t="s">
        <v>826</v>
      </c>
      <c r="AE2" s="851"/>
      <c r="AF2" s="850" t="s">
        <v>827</v>
      </c>
      <c r="AG2" s="851"/>
      <c r="AH2" s="850" t="s">
        <v>828</v>
      </c>
      <c r="AI2" s="851"/>
    </row>
    <row r="3" spans="1:35" ht="26.4" x14ac:dyDescent="0.25">
      <c r="B3" s="641" t="s">
        <v>785</v>
      </c>
      <c r="C3" s="653">
        <f>SUM(C4:C7)</f>
        <v>54537.403035781819</v>
      </c>
      <c r="D3" s="656"/>
      <c r="E3" s="656">
        <f>SUM(E4:E7)</f>
        <v>16611.609295413335</v>
      </c>
      <c r="F3" s="656"/>
      <c r="G3" s="656">
        <f>SUM(G4:G7)</f>
        <v>19465.50147006732</v>
      </c>
      <c r="H3" s="656"/>
      <c r="I3" s="656">
        <f>SUM(I4:I7)</f>
        <v>12893.808408115296</v>
      </c>
      <c r="J3" s="656"/>
      <c r="K3" s="656">
        <f>SUM(K4:K7)</f>
        <v>0</v>
      </c>
      <c r="L3" s="656"/>
      <c r="M3" s="656">
        <f>SUM(M4:M7)</f>
        <v>1855.4946207286207</v>
      </c>
      <c r="N3" s="656"/>
      <c r="O3" s="656">
        <f>SUM(O4:O7)</f>
        <v>0</v>
      </c>
      <c r="P3" s="656"/>
      <c r="Q3" s="656">
        <f>SUM(Q4:Q7)</f>
        <v>0</v>
      </c>
      <c r="R3" s="656"/>
      <c r="S3" s="656">
        <f>SUM(S4:S7)</f>
        <v>0</v>
      </c>
      <c r="T3" s="656"/>
      <c r="U3" s="656">
        <f>SUM(U4:U7)</f>
        <v>1855.4946207286207</v>
      </c>
      <c r="V3" s="656"/>
      <c r="W3" s="656">
        <f>SUM(W4:W7)</f>
        <v>0</v>
      </c>
      <c r="X3" s="656"/>
      <c r="Y3" s="656">
        <f>SUM(Y4:Y7)</f>
        <v>0</v>
      </c>
      <c r="Z3" s="656"/>
      <c r="AA3" s="656">
        <f>SUM(AA4:AA7)</f>
        <v>0</v>
      </c>
      <c r="AB3" s="656"/>
      <c r="AC3" s="656">
        <f>SUM(AC4:AC7)</f>
        <v>1855.4946207286207</v>
      </c>
      <c r="AD3" s="656"/>
      <c r="AE3" s="656">
        <f>SUM(AE4:AE7)</f>
        <v>0</v>
      </c>
      <c r="AF3" s="656"/>
      <c r="AG3" s="656">
        <f>SUM(AG4:AG7)</f>
        <v>0</v>
      </c>
      <c r="AH3" s="656"/>
      <c r="AI3" s="656">
        <f>SUM(AI4:AI7)</f>
        <v>0</v>
      </c>
    </row>
    <row r="4" spans="1:35" x14ac:dyDescent="0.25">
      <c r="A4" s="657">
        <f>+D4+F4+H4+J4+L4+N4+P4+R4+T4+V4+X4+Z4+AB4+AD4+AF4+AH4</f>
        <v>1</v>
      </c>
      <c r="B4" s="642" t="s">
        <v>5</v>
      </c>
      <c r="C4" s="654">
        <v>10876.106681283431</v>
      </c>
      <c r="D4" s="655">
        <v>0.7</v>
      </c>
      <c r="E4" s="654">
        <f>+C4*D4</f>
        <v>7613.2746768984007</v>
      </c>
      <c r="F4" s="655">
        <v>0.3</v>
      </c>
      <c r="G4" s="654">
        <f>+C4*F4</f>
        <v>3262.832004385029</v>
      </c>
      <c r="H4" s="655">
        <v>0</v>
      </c>
      <c r="I4" s="654">
        <f>+C4*H4</f>
        <v>0</v>
      </c>
      <c r="J4" s="655">
        <v>0</v>
      </c>
      <c r="K4" s="654">
        <f>+C4*J4</f>
        <v>0</v>
      </c>
      <c r="L4" s="655">
        <v>0</v>
      </c>
      <c r="M4" s="654">
        <f>+L4*C4</f>
        <v>0</v>
      </c>
      <c r="N4" s="655">
        <v>0</v>
      </c>
      <c r="O4" s="654">
        <f>+N4*C4</f>
        <v>0</v>
      </c>
      <c r="P4" s="655">
        <v>0</v>
      </c>
      <c r="Q4" s="654">
        <f>+P4*C4</f>
        <v>0</v>
      </c>
      <c r="R4" s="655">
        <v>0</v>
      </c>
      <c r="S4" s="654">
        <f>+R4*C4</f>
        <v>0</v>
      </c>
      <c r="T4" s="655">
        <v>0</v>
      </c>
      <c r="U4" s="654">
        <f>+C4*T4</f>
        <v>0</v>
      </c>
      <c r="V4" s="655">
        <v>0</v>
      </c>
      <c r="W4" s="654">
        <f>+C4*V4</f>
        <v>0</v>
      </c>
      <c r="X4" s="655">
        <v>0</v>
      </c>
      <c r="Y4" s="654">
        <f>+C4*X4</f>
        <v>0</v>
      </c>
      <c r="Z4" s="655">
        <v>0</v>
      </c>
      <c r="AA4" s="654">
        <f>+C4*Z4</f>
        <v>0</v>
      </c>
      <c r="AB4" s="655">
        <v>0</v>
      </c>
      <c r="AC4" s="654">
        <f>+C4*AB4</f>
        <v>0</v>
      </c>
      <c r="AD4" s="655">
        <v>0</v>
      </c>
      <c r="AE4" s="654">
        <f>+C4*AD4</f>
        <v>0</v>
      </c>
      <c r="AF4" s="655">
        <v>0</v>
      </c>
      <c r="AG4" s="654">
        <f>+C4*AF4</f>
        <v>0</v>
      </c>
      <c r="AH4" s="655">
        <v>0</v>
      </c>
      <c r="AI4" s="654">
        <f>+AH4*C4</f>
        <v>0</v>
      </c>
    </row>
    <row r="5" spans="1:35" x14ac:dyDescent="0.25">
      <c r="A5" s="657">
        <f t="shared" ref="A5:A26" si="0">+D5+F5+H5+J5+L5+N5+P5+R5+T5+V5+X5+Z5+AB5+AD5+AF5+AH5</f>
        <v>1</v>
      </c>
      <c r="B5" s="642" t="s">
        <v>794</v>
      </c>
      <c r="C5" s="654">
        <v>28571.359991145262</v>
      </c>
      <c r="D5" s="655">
        <v>0.25</v>
      </c>
      <c r="E5" s="654">
        <f t="shared" ref="E5:E7" si="1">+C5*D5</f>
        <v>7142.8399977863155</v>
      </c>
      <c r="F5" s="655">
        <v>0.5</v>
      </c>
      <c r="G5" s="654">
        <f t="shared" ref="G5:G26" si="2">+C5*F5</f>
        <v>14285.679995572631</v>
      </c>
      <c r="H5" s="655">
        <v>0.25</v>
      </c>
      <c r="I5" s="654">
        <f t="shared" ref="I5:I7" si="3">+C5*H5</f>
        <v>7142.8399977863155</v>
      </c>
      <c r="J5" s="655">
        <v>0</v>
      </c>
      <c r="K5" s="654">
        <f t="shared" ref="K5:K7" si="4">+C5*J5</f>
        <v>0</v>
      </c>
      <c r="L5" s="655">
        <v>0</v>
      </c>
      <c r="M5" s="654">
        <f t="shared" ref="M5:M26" si="5">+L5*C5</f>
        <v>0</v>
      </c>
      <c r="N5" s="655">
        <v>0</v>
      </c>
      <c r="O5" s="654">
        <f t="shared" ref="O5:O7" si="6">+N5*C5</f>
        <v>0</v>
      </c>
      <c r="P5" s="655">
        <v>0</v>
      </c>
      <c r="Q5" s="654">
        <f t="shared" ref="Q5:Q7" si="7">+P5*C5</f>
        <v>0</v>
      </c>
      <c r="R5" s="655">
        <v>0</v>
      </c>
      <c r="S5" s="654">
        <f t="shared" ref="S5:S7" si="8">+R5*C5</f>
        <v>0</v>
      </c>
      <c r="T5" s="655">
        <v>0</v>
      </c>
      <c r="U5" s="654">
        <f t="shared" ref="U5:U7" si="9">+C5*T5</f>
        <v>0</v>
      </c>
      <c r="V5" s="655">
        <v>0</v>
      </c>
      <c r="W5" s="654">
        <f t="shared" ref="W5:W7" si="10">+C5*V5</f>
        <v>0</v>
      </c>
      <c r="X5" s="655">
        <v>0</v>
      </c>
      <c r="Y5" s="654">
        <f t="shared" ref="Y5:Y7" si="11">+C5*X5</f>
        <v>0</v>
      </c>
      <c r="Z5" s="655">
        <v>0</v>
      </c>
      <c r="AA5" s="654">
        <f t="shared" ref="AA5:AA7" si="12">+C5*Z5</f>
        <v>0</v>
      </c>
      <c r="AB5" s="655">
        <v>0</v>
      </c>
      <c r="AC5" s="654">
        <f t="shared" ref="AC5:AC7" si="13">+C5*AB5</f>
        <v>0</v>
      </c>
      <c r="AD5" s="655">
        <v>0</v>
      </c>
      <c r="AE5" s="654">
        <f t="shared" ref="AE5:AE7" si="14">+C5*AD5</f>
        <v>0</v>
      </c>
      <c r="AF5" s="655">
        <v>0</v>
      </c>
      <c r="AG5" s="654">
        <f t="shared" ref="AG5:AG7" si="15">+C5*AF5</f>
        <v>0</v>
      </c>
      <c r="AH5" s="655">
        <v>0</v>
      </c>
      <c r="AI5" s="654">
        <f t="shared" ref="AI5:AI26" si="16">+AH5*C5</f>
        <v>0</v>
      </c>
    </row>
    <row r="6" spans="1:35" x14ac:dyDescent="0.25">
      <c r="A6" s="657">
        <f t="shared" si="0"/>
        <v>1</v>
      </c>
      <c r="B6" s="642" t="s">
        <v>35</v>
      </c>
      <c r="C6" s="654">
        <v>7667.9578804386392</v>
      </c>
      <c r="D6" s="655">
        <v>0</v>
      </c>
      <c r="E6" s="654">
        <f t="shared" si="1"/>
        <v>0</v>
      </c>
      <c r="F6" s="655">
        <v>0.25</v>
      </c>
      <c r="G6" s="654">
        <f t="shared" si="2"/>
        <v>1916.9894701096598</v>
      </c>
      <c r="H6" s="655">
        <v>0.75</v>
      </c>
      <c r="I6" s="654">
        <f t="shared" si="3"/>
        <v>5750.9684103289792</v>
      </c>
      <c r="J6" s="655">
        <v>0</v>
      </c>
      <c r="K6" s="654">
        <f t="shared" si="4"/>
        <v>0</v>
      </c>
      <c r="L6" s="655">
        <v>0</v>
      </c>
      <c r="M6" s="654">
        <f t="shared" si="5"/>
        <v>0</v>
      </c>
      <c r="N6" s="655">
        <v>0</v>
      </c>
      <c r="O6" s="654">
        <f t="shared" si="6"/>
        <v>0</v>
      </c>
      <c r="P6" s="655">
        <v>0</v>
      </c>
      <c r="Q6" s="654">
        <f t="shared" si="7"/>
        <v>0</v>
      </c>
      <c r="R6" s="655">
        <v>0</v>
      </c>
      <c r="S6" s="654">
        <f t="shared" si="8"/>
        <v>0</v>
      </c>
      <c r="T6" s="655">
        <v>0</v>
      </c>
      <c r="U6" s="654">
        <f t="shared" si="9"/>
        <v>0</v>
      </c>
      <c r="V6" s="655">
        <v>0</v>
      </c>
      <c r="W6" s="654">
        <f t="shared" si="10"/>
        <v>0</v>
      </c>
      <c r="X6" s="655">
        <v>0</v>
      </c>
      <c r="Y6" s="654">
        <f t="shared" si="11"/>
        <v>0</v>
      </c>
      <c r="Z6" s="655">
        <v>0</v>
      </c>
      <c r="AA6" s="654">
        <f t="shared" si="12"/>
        <v>0</v>
      </c>
      <c r="AB6" s="655">
        <v>0</v>
      </c>
      <c r="AC6" s="654">
        <f t="shared" si="13"/>
        <v>0</v>
      </c>
      <c r="AD6" s="655">
        <v>0</v>
      </c>
      <c r="AE6" s="654">
        <f t="shared" si="14"/>
        <v>0</v>
      </c>
      <c r="AF6" s="655">
        <v>0</v>
      </c>
      <c r="AG6" s="654">
        <f t="shared" si="15"/>
        <v>0</v>
      </c>
      <c r="AH6" s="655">
        <v>0</v>
      </c>
      <c r="AI6" s="654">
        <f t="shared" si="16"/>
        <v>0</v>
      </c>
    </row>
    <row r="7" spans="1:35" x14ac:dyDescent="0.25">
      <c r="A7" s="657">
        <f t="shared" si="0"/>
        <v>1</v>
      </c>
      <c r="B7" s="642" t="s">
        <v>471</v>
      </c>
      <c r="C7" s="654">
        <v>7421.9784829144828</v>
      </c>
      <c r="D7" s="655">
        <v>0.25</v>
      </c>
      <c r="E7" s="654">
        <f t="shared" si="1"/>
        <v>1855.4946207286207</v>
      </c>
      <c r="F7" s="655">
        <v>0</v>
      </c>
      <c r="G7" s="654">
        <f t="shared" si="2"/>
        <v>0</v>
      </c>
      <c r="H7" s="655">
        <v>0</v>
      </c>
      <c r="I7" s="654">
        <f t="shared" si="3"/>
        <v>0</v>
      </c>
      <c r="J7" s="655">
        <v>0</v>
      </c>
      <c r="K7" s="654">
        <f t="shared" si="4"/>
        <v>0</v>
      </c>
      <c r="L7" s="655">
        <v>0.25</v>
      </c>
      <c r="M7" s="654">
        <f t="shared" si="5"/>
        <v>1855.4946207286207</v>
      </c>
      <c r="N7" s="655">
        <v>0</v>
      </c>
      <c r="O7" s="654">
        <f t="shared" si="6"/>
        <v>0</v>
      </c>
      <c r="P7" s="655">
        <v>0</v>
      </c>
      <c r="Q7" s="654">
        <f t="shared" si="7"/>
        <v>0</v>
      </c>
      <c r="R7" s="655">
        <v>0</v>
      </c>
      <c r="S7" s="654">
        <f t="shared" si="8"/>
        <v>0</v>
      </c>
      <c r="T7" s="655">
        <v>0.25</v>
      </c>
      <c r="U7" s="654">
        <f t="shared" si="9"/>
        <v>1855.4946207286207</v>
      </c>
      <c r="V7" s="655">
        <v>0</v>
      </c>
      <c r="W7" s="654">
        <f t="shared" si="10"/>
        <v>0</v>
      </c>
      <c r="X7" s="655">
        <v>0</v>
      </c>
      <c r="Y7" s="654">
        <f t="shared" si="11"/>
        <v>0</v>
      </c>
      <c r="Z7" s="655">
        <v>0</v>
      </c>
      <c r="AA7" s="654">
        <f t="shared" si="12"/>
        <v>0</v>
      </c>
      <c r="AB7" s="655">
        <v>0.25</v>
      </c>
      <c r="AC7" s="654">
        <f t="shared" si="13"/>
        <v>1855.4946207286207</v>
      </c>
      <c r="AD7" s="655">
        <v>0</v>
      </c>
      <c r="AE7" s="654">
        <f t="shared" si="14"/>
        <v>0</v>
      </c>
      <c r="AF7" s="655">
        <v>0</v>
      </c>
      <c r="AG7" s="654">
        <f t="shared" si="15"/>
        <v>0</v>
      </c>
      <c r="AH7" s="655">
        <v>0</v>
      </c>
      <c r="AI7" s="654">
        <f t="shared" si="16"/>
        <v>0</v>
      </c>
    </row>
    <row r="8" spans="1:35" x14ac:dyDescent="0.25">
      <c r="A8" s="657"/>
      <c r="B8" s="643" t="s">
        <v>786</v>
      </c>
      <c r="C8" s="653">
        <f>SUM(C9:C14)</f>
        <v>129861.17183386424</v>
      </c>
      <c r="D8" s="656"/>
      <c r="E8" s="653">
        <f>SUM(E9:E14)</f>
        <v>0</v>
      </c>
      <c r="F8" s="656"/>
      <c r="G8" s="653">
        <f>SUM(G9:G14)</f>
        <v>0</v>
      </c>
      <c r="H8" s="656"/>
      <c r="I8" s="653">
        <f>SUM(I9:I14)</f>
        <v>8223.1861983025465</v>
      </c>
      <c r="J8" s="656"/>
      <c r="K8" s="653">
        <f>SUM(K9:K14)</f>
        <v>21614.506485327387</v>
      </c>
      <c r="L8" s="656"/>
      <c r="M8" s="653">
        <f>SUM(M9:M14)</f>
        <v>20910.14582561337</v>
      </c>
      <c r="N8" s="656"/>
      <c r="O8" s="653">
        <f>SUM(O9:O14)</f>
        <v>8066.1911765628447</v>
      </c>
      <c r="P8" s="656"/>
      <c r="Q8" s="653">
        <f>SUM(Q9:Q14)</f>
        <v>13234.325265285139</v>
      </c>
      <c r="R8" s="656"/>
      <c r="S8" s="653">
        <f>SUM(S9:S14)</f>
        <v>0</v>
      </c>
      <c r="T8" s="656"/>
      <c r="U8" s="653">
        <f>SUM(U9:U14)</f>
        <v>5683.1674229901573</v>
      </c>
      <c r="V8" s="656"/>
      <c r="W8" s="653">
        <f>SUM(W9:W14)</f>
        <v>11307.683726098239</v>
      </c>
      <c r="X8" s="656"/>
      <c r="Y8" s="653">
        <f>SUM(Y9:Y14)</f>
        <v>11307.683726098239</v>
      </c>
      <c r="Z8" s="656"/>
      <c r="AA8" s="653">
        <f>SUM(AA9:AA14)</f>
        <v>11640.946069139198</v>
      </c>
      <c r="AB8" s="656"/>
      <c r="AC8" s="653">
        <f>SUM(AC9:AC14)</f>
        <v>5957.7786461490405</v>
      </c>
      <c r="AD8" s="656"/>
      <c r="AE8" s="653">
        <f>SUM(AE9:AE14)</f>
        <v>5957.7786461490405</v>
      </c>
      <c r="AF8" s="656"/>
      <c r="AG8" s="653">
        <f>SUM(AG9:AG14)</f>
        <v>5957.7786461490405</v>
      </c>
      <c r="AH8" s="656"/>
      <c r="AI8" s="653">
        <f>SUM(AI9:AI14)</f>
        <v>0</v>
      </c>
    </row>
    <row r="9" spans="1:35" x14ac:dyDescent="0.25">
      <c r="A9" s="657">
        <f t="shared" si="0"/>
        <v>1</v>
      </c>
      <c r="B9" s="642" t="s">
        <v>40</v>
      </c>
      <c r="C9" s="654">
        <v>17227.113629074312</v>
      </c>
      <c r="D9" s="655">
        <v>0</v>
      </c>
      <c r="E9" s="654">
        <f t="shared" ref="E9:E14" si="17">+C9*D9</f>
        <v>0</v>
      </c>
      <c r="F9" s="655">
        <v>0</v>
      </c>
      <c r="G9" s="654">
        <f t="shared" si="2"/>
        <v>0</v>
      </c>
      <c r="H9" s="655">
        <v>0</v>
      </c>
      <c r="I9" s="654">
        <f t="shared" ref="I9:I14" si="18">+C9*H9</f>
        <v>0</v>
      </c>
      <c r="J9" s="655">
        <v>0.3</v>
      </c>
      <c r="K9" s="654">
        <f t="shared" ref="K9:K14" si="19">+C9*J9</f>
        <v>5168.1340887222932</v>
      </c>
      <c r="L9" s="655">
        <v>0.1</v>
      </c>
      <c r="M9" s="654">
        <f t="shared" si="5"/>
        <v>1722.7113629074313</v>
      </c>
      <c r="N9" s="655">
        <v>0.15</v>
      </c>
      <c r="O9" s="654">
        <f t="shared" ref="O9:O14" si="20">+N9*C9</f>
        <v>2584.0670443611466</v>
      </c>
      <c r="P9" s="655">
        <v>0.45</v>
      </c>
      <c r="Q9" s="654">
        <f t="shared" ref="Q9:Q14" si="21">+P9*C9</f>
        <v>7752.2011330834412</v>
      </c>
      <c r="R9" s="655">
        <v>0</v>
      </c>
      <c r="S9" s="654">
        <f t="shared" ref="S9:S14" si="22">+R9*C9</f>
        <v>0</v>
      </c>
      <c r="T9" s="655">
        <v>0</v>
      </c>
      <c r="U9" s="654">
        <f t="shared" ref="U9:U14" si="23">+C9*T9</f>
        <v>0</v>
      </c>
      <c r="V9" s="655">
        <v>0</v>
      </c>
      <c r="W9" s="654">
        <f t="shared" ref="W9:W14" si="24">+C9*V9</f>
        <v>0</v>
      </c>
      <c r="X9" s="655">
        <v>0</v>
      </c>
      <c r="Y9" s="654">
        <f t="shared" ref="Y9:Y14" si="25">+C9*X9</f>
        <v>0</v>
      </c>
      <c r="Z9" s="655">
        <v>0</v>
      </c>
      <c r="AA9" s="654">
        <f t="shared" ref="AA9:AA14" si="26">+C9*Z9</f>
        <v>0</v>
      </c>
      <c r="AB9" s="655">
        <v>0</v>
      </c>
      <c r="AC9" s="654">
        <f t="shared" ref="AC9:AC14" si="27">+C9*AB9</f>
        <v>0</v>
      </c>
      <c r="AD9" s="655">
        <v>0</v>
      </c>
      <c r="AE9" s="654">
        <f t="shared" ref="AE9:AE14" si="28">+C9*AD9</f>
        <v>0</v>
      </c>
      <c r="AF9" s="655">
        <v>0</v>
      </c>
      <c r="AG9" s="654">
        <f t="shared" ref="AG9:AG14" si="29">+C9*AF9</f>
        <v>0</v>
      </c>
      <c r="AH9" s="655">
        <v>0</v>
      </c>
      <c r="AI9" s="654">
        <f t="shared" si="16"/>
        <v>0</v>
      </c>
    </row>
    <row r="10" spans="1:35" x14ac:dyDescent="0.25">
      <c r="A10" s="657">
        <f t="shared" si="0"/>
        <v>0.99999999999999989</v>
      </c>
      <c r="B10" s="642" t="s">
        <v>163</v>
      </c>
      <c r="C10" s="654">
        <v>54821.241322016976</v>
      </c>
      <c r="D10" s="655">
        <v>0</v>
      </c>
      <c r="E10" s="654">
        <f t="shared" si="17"/>
        <v>0</v>
      </c>
      <c r="F10" s="655">
        <v>0</v>
      </c>
      <c r="G10" s="654">
        <f t="shared" si="2"/>
        <v>0</v>
      </c>
      <c r="H10" s="655">
        <v>0.15</v>
      </c>
      <c r="I10" s="654">
        <f t="shared" si="18"/>
        <v>8223.1861983025465</v>
      </c>
      <c r="J10" s="655">
        <v>0.3</v>
      </c>
      <c r="K10" s="654">
        <f t="shared" si="19"/>
        <v>16446.372396605093</v>
      </c>
      <c r="L10" s="655">
        <v>0.35</v>
      </c>
      <c r="M10" s="654">
        <f t="shared" si="5"/>
        <v>19187.43446270594</v>
      </c>
      <c r="N10" s="655">
        <v>0.1</v>
      </c>
      <c r="O10" s="654">
        <f t="shared" si="20"/>
        <v>5482.1241322016976</v>
      </c>
      <c r="P10" s="655">
        <v>0.1</v>
      </c>
      <c r="Q10" s="654">
        <f t="shared" si="21"/>
        <v>5482.1241322016976</v>
      </c>
      <c r="R10" s="655">
        <v>0</v>
      </c>
      <c r="S10" s="654">
        <f t="shared" si="22"/>
        <v>0</v>
      </c>
      <c r="T10" s="655">
        <v>0</v>
      </c>
      <c r="U10" s="654">
        <f t="shared" si="23"/>
        <v>0</v>
      </c>
      <c r="V10" s="655">
        <v>0</v>
      </c>
      <c r="W10" s="654">
        <f t="shared" si="24"/>
        <v>0</v>
      </c>
      <c r="X10" s="655">
        <v>0</v>
      </c>
      <c r="Y10" s="654">
        <f t="shared" si="25"/>
        <v>0</v>
      </c>
      <c r="Z10" s="655">
        <v>0</v>
      </c>
      <c r="AA10" s="654">
        <f t="shared" si="26"/>
        <v>0</v>
      </c>
      <c r="AB10" s="655">
        <v>0</v>
      </c>
      <c r="AC10" s="654">
        <f t="shared" si="27"/>
        <v>0</v>
      </c>
      <c r="AD10" s="655">
        <v>0</v>
      </c>
      <c r="AE10" s="654">
        <f t="shared" si="28"/>
        <v>0</v>
      </c>
      <c r="AF10" s="655">
        <v>0</v>
      </c>
      <c r="AG10" s="654">
        <f t="shared" si="29"/>
        <v>0</v>
      </c>
      <c r="AH10" s="655">
        <v>0</v>
      </c>
      <c r="AI10" s="654">
        <f t="shared" si="16"/>
        <v>0</v>
      </c>
    </row>
    <row r="11" spans="1:35" x14ac:dyDescent="0.25">
      <c r="A11" s="657">
        <f t="shared" si="0"/>
        <v>1</v>
      </c>
      <c r="B11" s="642" t="s">
        <v>787</v>
      </c>
      <c r="C11" s="654">
        <v>11249.032606216164</v>
      </c>
      <c r="D11" s="655">
        <v>0</v>
      </c>
      <c r="E11" s="654">
        <f t="shared" si="17"/>
        <v>0</v>
      </c>
      <c r="F11" s="655">
        <v>0</v>
      </c>
      <c r="G11" s="654">
        <f t="shared" si="2"/>
        <v>0</v>
      </c>
      <c r="H11" s="655">
        <v>0</v>
      </c>
      <c r="I11" s="654">
        <f t="shared" si="18"/>
        <v>0</v>
      </c>
      <c r="J11" s="655">
        <v>0</v>
      </c>
      <c r="K11" s="654">
        <f t="shared" si="19"/>
        <v>0</v>
      </c>
      <c r="L11" s="655">
        <v>0</v>
      </c>
      <c r="M11" s="654">
        <f t="shared" si="5"/>
        <v>0</v>
      </c>
      <c r="N11" s="655">
        <v>0</v>
      </c>
      <c r="O11" s="654">
        <f t="shared" si="20"/>
        <v>0</v>
      </c>
      <c r="P11" s="655">
        <v>0</v>
      </c>
      <c r="Q11" s="654">
        <f t="shared" si="21"/>
        <v>0</v>
      </c>
      <c r="R11" s="655">
        <v>0</v>
      </c>
      <c r="S11" s="654">
        <f t="shared" si="22"/>
        <v>0</v>
      </c>
      <c r="T11" s="655">
        <v>0</v>
      </c>
      <c r="U11" s="654">
        <f t="shared" si="23"/>
        <v>0</v>
      </c>
      <c r="V11" s="655">
        <v>0.5</v>
      </c>
      <c r="W11" s="654">
        <f t="shared" si="24"/>
        <v>5624.516303108082</v>
      </c>
      <c r="X11" s="655">
        <v>0.5</v>
      </c>
      <c r="Y11" s="654">
        <f t="shared" si="25"/>
        <v>5624.516303108082</v>
      </c>
      <c r="Z11" s="655"/>
      <c r="AA11" s="654">
        <f t="shared" si="26"/>
        <v>0</v>
      </c>
      <c r="AB11" s="655">
        <v>0</v>
      </c>
      <c r="AC11" s="654">
        <f t="shared" si="27"/>
        <v>0</v>
      </c>
      <c r="AD11" s="655">
        <v>0</v>
      </c>
      <c r="AE11" s="654">
        <f t="shared" si="28"/>
        <v>0</v>
      </c>
      <c r="AF11" s="655">
        <v>0</v>
      </c>
      <c r="AG11" s="654">
        <f t="shared" si="29"/>
        <v>0</v>
      </c>
      <c r="AH11" s="655">
        <v>0</v>
      </c>
      <c r="AI11" s="654">
        <f t="shared" si="16"/>
        <v>0</v>
      </c>
    </row>
    <row r="12" spans="1:35" x14ac:dyDescent="0.25">
      <c r="A12" s="657">
        <f t="shared" si="0"/>
        <v>1</v>
      </c>
      <c r="B12" s="642" t="s">
        <v>788</v>
      </c>
      <c r="C12" s="654">
        <v>22732.669691960629</v>
      </c>
      <c r="D12" s="655">
        <v>0</v>
      </c>
      <c r="E12" s="654">
        <f t="shared" si="17"/>
        <v>0</v>
      </c>
      <c r="F12" s="655">
        <v>0</v>
      </c>
      <c r="G12" s="654">
        <f t="shared" si="2"/>
        <v>0</v>
      </c>
      <c r="H12" s="655">
        <v>0</v>
      </c>
      <c r="I12" s="654">
        <f t="shared" si="18"/>
        <v>0</v>
      </c>
      <c r="J12" s="655">
        <v>0</v>
      </c>
      <c r="K12" s="654">
        <f t="shared" si="19"/>
        <v>0</v>
      </c>
      <c r="L12" s="655">
        <v>0</v>
      </c>
      <c r="M12" s="654">
        <f t="shared" si="5"/>
        <v>0</v>
      </c>
      <c r="N12" s="655">
        <v>0</v>
      </c>
      <c r="O12" s="654">
        <f t="shared" si="20"/>
        <v>0</v>
      </c>
      <c r="P12" s="655">
        <v>0</v>
      </c>
      <c r="Q12" s="654">
        <f t="shared" si="21"/>
        <v>0</v>
      </c>
      <c r="R12" s="655">
        <v>0</v>
      </c>
      <c r="S12" s="654">
        <f t="shared" si="22"/>
        <v>0</v>
      </c>
      <c r="T12" s="655">
        <v>0.25</v>
      </c>
      <c r="U12" s="654">
        <f t="shared" si="23"/>
        <v>5683.1674229901573</v>
      </c>
      <c r="V12" s="655">
        <v>0.25</v>
      </c>
      <c r="W12" s="654">
        <f t="shared" si="24"/>
        <v>5683.1674229901573</v>
      </c>
      <c r="X12" s="655">
        <v>0.25</v>
      </c>
      <c r="Y12" s="654">
        <f t="shared" si="25"/>
        <v>5683.1674229901573</v>
      </c>
      <c r="Z12" s="655">
        <v>0.25</v>
      </c>
      <c r="AA12" s="654">
        <f t="shared" si="26"/>
        <v>5683.1674229901573</v>
      </c>
      <c r="AB12" s="655"/>
      <c r="AC12" s="654">
        <f t="shared" si="27"/>
        <v>0</v>
      </c>
      <c r="AD12" s="655">
        <v>0</v>
      </c>
      <c r="AE12" s="654">
        <f t="shared" si="28"/>
        <v>0</v>
      </c>
      <c r="AF12" s="655">
        <v>0</v>
      </c>
      <c r="AG12" s="654">
        <f t="shared" si="29"/>
        <v>0</v>
      </c>
      <c r="AH12" s="655">
        <v>0</v>
      </c>
      <c r="AI12" s="654">
        <f t="shared" si="16"/>
        <v>0</v>
      </c>
    </row>
    <row r="13" spans="1:35" x14ac:dyDescent="0.25">
      <c r="A13" s="657">
        <f t="shared" si="0"/>
        <v>1</v>
      </c>
      <c r="B13" s="642" t="s">
        <v>789</v>
      </c>
      <c r="C13" s="654">
        <v>11915.557292298081</v>
      </c>
      <c r="D13" s="655">
        <v>0</v>
      </c>
      <c r="E13" s="654">
        <f t="shared" si="17"/>
        <v>0</v>
      </c>
      <c r="F13" s="655">
        <v>0</v>
      </c>
      <c r="G13" s="654">
        <f t="shared" si="2"/>
        <v>0</v>
      </c>
      <c r="H13" s="655">
        <v>0</v>
      </c>
      <c r="I13" s="654">
        <f t="shared" si="18"/>
        <v>0</v>
      </c>
      <c r="J13" s="655">
        <v>0</v>
      </c>
      <c r="K13" s="654">
        <f t="shared" si="19"/>
        <v>0</v>
      </c>
      <c r="L13" s="655">
        <v>0</v>
      </c>
      <c r="M13" s="654">
        <f t="shared" si="5"/>
        <v>0</v>
      </c>
      <c r="N13" s="655">
        <v>0</v>
      </c>
      <c r="O13" s="654">
        <f t="shared" si="20"/>
        <v>0</v>
      </c>
      <c r="P13" s="655">
        <v>0</v>
      </c>
      <c r="Q13" s="654">
        <f t="shared" si="21"/>
        <v>0</v>
      </c>
      <c r="R13" s="655">
        <v>0</v>
      </c>
      <c r="S13" s="654">
        <f t="shared" si="22"/>
        <v>0</v>
      </c>
      <c r="T13" s="655">
        <v>0</v>
      </c>
      <c r="U13" s="654">
        <f t="shared" si="23"/>
        <v>0</v>
      </c>
      <c r="V13" s="655">
        <v>0</v>
      </c>
      <c r="W13" s="654">
        <f t="shared" si="24"/>
        <v>0</v>
      </c>
      <c r="X13" s="655">
        <v>0</v>
      </c>
      <c r="Y13" s="654">
        <f t="shared" si="25"/>
        <v>0</v>
      </c>
      <c r="Z13" s="655">
        <v>0.25</v>
      </c>
      <c r="AA13" s="654">
        <f t="shared" si="26"/>
        <v>2978.8893230745202</v>
      </c>
      <c r="AB13" s="655">
        <v>0.25</v>
      </c>
      <c r="AC13" s="654">
        <f t="shared" si="27"/>
        <v>2978.8893230745202</v>
      </c>
      <c r="AD13" s="655">
        <v>0.25</v>
      </c>
      <c r="AE13" s="654">
        <f t="shared" si="28"/>
        <v>2978.8893230745202</v>
      </c>
      <c r="AF13" s="655">
        <v>0.25</v>
      </c>
      <c r="AG13" s="654">
        <f t="shared" si="29"/>
        <v>2978.8893230745202</v>
      </c>
      <c r="AH13" s="655">
        <v>0</v>
      </c>
      <c r="AI13" s="654">
        <f t="shared" si="16"/>
        <v>0</v>
      </c>
    </row>
    <row r="14" spans="1:35" x14ac:dyDescent="0.25">
      <c r="A14" s="657">
        <f t="shared" si="0"/>
        <v>1</v>
      </c>
      <c r="B14" s="642" t="s">
        <v>790</v>
      </c>
      <c r="C14" s="654">
        <v>11915.557292298081</v>
      </c>
      <c r="D14" s="655">
        <v>0</v>
      </c>
      <c r="E14" s="654">
        <f t="shared" si="17"/>
        <v>0</v>
      </c>
      <c r="F14" s="655">
        <v>0</v>
      </c>
      <c r="G14" s="654">
        <f t="shared" si="2"/>
        <v>0</v>
      </c>
      <c r="H14" s="655">
        <v>0</v>
      </c>
      <c r="I14" s="654">
        <f t="shared" si="18"/>
        <v>0</v>
      </c>
      <c r="J14" s="655">
        <v>0</v>
      </c>
      <c r="K14" s="654">
        <f t="shared" si="19"/>
        <v>0</v>
      </c>
      <c r="L14" s="655">
        <v>0</v>
      </c>
      <c r="M14" s="654">
        <f t="shared" si="5"/>
        <v>0</v>
      </c>
      <c r="N14" s="655">
        <v>0</v>
      </c>
      <c r="O14" s="654">
        <f t="shared" si="20"/>
        <v>0</v>
      </c>
      <c r="P14" s="655">
        <v>0</v>
      </c>
      <c r="Q14" s="654">
        <f t="shared" si="21"/>
        <v>0</v>
      </c>
      <c r="R14" s="655">
        <v>0</v>
      </c>
      <c r="S14" s="654">
        <f t="shared" si="22"/>
        <v>0</v>
      </c>
      <c r="T14" s="655">
        <v>0</v>
      </c>
      <c r="U14" s="654">
        <f t="shared" si="23"/>
        <v>0</v>
      </c>
      <c r="V14" s="655">
        <v>0</v>
      </c>
      <c r="W14" s="654">
        <f t="shared" si="24"/>
        <v>0</v>
      </c>
      <c r="X14" s="655">
        <v>0</v>
      </c>
      <c r="Y14" s="654">
        <f t="shared" si="25"/>
        <v>0</v>
      </c>
      <c r="Z14" s="655">
        <v>0.25</v>
      </c>
      <c r="AA14" s="654">
        <f t="shared" si="26"/>
        <v>2978.8893230745202</v>
      </c>
      <c r="AB14" s="655">
        <v>0.25</v>
      </c>
      <c r="AC14" s="654">
        <f t="shared" si="27"/>
        <v>2978.8893230745202</v>
      </c>
      <c r="AD14" s="655">
        <v>0.25</v>
      </c>
      <c r="AE14" s="654">
        <f t="shared" si="28"/>
        <v>2978.8893230745202</v>
      </c>
      <c r="AF14" s="655">
        <v>0.25</v>
      </c>
      <c r="AG14" s="654">
        <f t="shared" si="29"/>
        <v>2978.8893230745202</v>
      </c>
      <c r="AH14" s="655">
        <v>0</v>
      </c>
      <c r="AI14" s="654">
        <f t="shared" si="16"/>
        <v>0</v>
      </c>
    </row>
    <row r="15" spans="1:35" x14ac:dyDescent="0.25">
      <c r="A15" s="657">
        <f t="shared" si="0"/>
        <v>0</v>
      </c>
      <c r="B15" s="643" t="s">
        <v>791</v>
      </c>
      <c r="C15" s="653">
        <f>SUM(C16:C20)</f>
        <v>77800.712565177004</v>
      </c>
      <c r="D15" s="656"/>
      <c r="E15" s="653">
        <f>SUM(E16:E20)</f>
        <v>0</v>
      </c>
      <c r="F15" s="656"/>
      <c r="G15" s="653">
        <f>SUM(G16:G20)</f>
        <v>0</v>
      </c>
      <c r="H15" s="656"/>
      <c r="I15" s="653">
        <f>SUM(I16:I20)</f>
        <v>0</v>
      </c>
      <c r="J15" s="656"/>
      <c r="K15" s="653">
        <f>SUM(K16:K20)</f>
        <v>0</v>
      </c>
      <c r="L15" s="656"/>
      <c r="M15" s="653">
        <f>SUM(M16:M20)</f>
        <v>0</v>
      </c>
      <c r="N15" s="656"/>
      <c r="O15" s="653">
        <f>SUM(O16:O20)</f>
        <v>16095.646690927029</v>
      </c>
      <c r="P15" s="656"/>
      <c r="Q15" s="653">
        <f>SUM(Q16:Q20)</f>
        <v>11266.95268364892</v>
      </c>
      <c r="R15" s="656"/>
      <c r="S15" s="653">
        <f>SUM(S16:S20)</f>
        <v>4828.694007278109</v>
      </c>
      <c r="T15" s="656"/>
      <c r="U15" s="653">
        <f>SUM(U16:U20)</f>
        <v>4468.3339846117806</v>
      </c>
      <c r="V15" s="656"/>
      <c r="W15" s="653">
        <f>SUM(W16:W20)</f>
        <v>9811.6244725644574</v>
      </c>
      <c r="X15" s="656"/>
      <c r="Y15" s="653">
        <f>SUM(Y16:Y20)</f>
        <v>9811.6244725644574</v>
      </c>
      <c r="Z15" s="656"/>
      <c r="AA15" s="653">
        <f>SUM(AA16:AA20)</f>
        <v>8730.7095518543993</v>
      </c>
      <c r="AB15" s="656"/>
      <c r="AC15" s="653">
        <f>SUM(AC16:AC20)</f>
        <v>4262.3755672426178</v>
      </c>
      <c r="AD15" s="656"/>
      <c r="AE15" s="653">
        <f>SUM(AE16:AE20)</f>
        <v>8524.7511344852355</v>
      </c>
      <c r="AF15" s="656"/>
      <c r="AG15" s="653">
        <f>SUM(AG16:AG20)</f>
        <v>0</v>
      </c>
      <c r="AH15" s="656"/>
      <c r="AI15" s="653">
        <f>SUM(AI16:AI20)</f>
        <v>0</v>
      </c>
    </row>
    <row r="16" spans="1:35" x14ac:dyDescent="0.25">
      <c r="A16" s="657">
        <f t="shared" si="0"/>
        <v>1</v>
      </c>
      <c r="B16" s="642" t="s">
        <v>163</v>
      </c>
      <c r="C16" s="654">
        <v>32191.293381854059</v>
      </c>
      <c r="D16" s="655">
        <v>0</v>
      </c>
      <c r="E16" s="654">
        <f t="shared" ref="E16:E20" si="30">+C16*D16</f>
        <v>0</v>
      </c>
      <c r="F16" s="655">
        <v>0</v>
      </c>
      <c r="G16" s="654">
        <f t="shared" si="2"/>
        <v>0</v>
      </c>
      <c r="H16" s="655">
        <v>0</v>
      </c>
      <c r="I16" s="654">
        <f t="shared" ref="I16:I20" si="31">+C16*H16</f>
        <v>0</v>
      </c>
      <c r="J16" s="655">
        <v>0</v>
      </c>
      <c r="K16" s="654">
        <f t="shared" ref="K16:K20" si="32">+C16*J16</f>
        <v>0</v>
      </c>
      <c r="L16" s="655">
        <v>0</v>
      </c>
      <c r="M16" s="654">
        <f t="shared" si="5"/>
        <v>0</v>
      </c>
      <c r="N16" s="655">
        <v>0.5</v>
      </c>
      <c r="O16" s="654">
        <f t="shared" ref="O16:O20" si="33">+N16*C16</f>
        <v>16095.646690927029</v>
      </c>
      <c r="P16" s="655">
        <v>0.35</v>
      </c>
      <c r="Q16" s="654">
        <f t="shared" ref="Q16:Q20" si="34">+P16*C16</f>
        <v>11266.95268364892</v>
      </c>
      <c r="R16" s="655">
        <v>0.15</v>
      </c>
      <c r="S16" s="654">
        <f t="shared" ref="S16:S20" si="35">+R16*C16</f>
        <v>4828.694007278109</v>
      </c>
      <c r="T16" s="655">
        <v>0</v>
      </c>
      <c r="U16" s="654">
        <f t="shared" ref="U16:U20" si="36">+C16*T16</f>
        <v>0</v>
      </c>
      <c r="V16" s="655">
        <v>0</v>
      </c>
      <c r="W16" s="654">
        <f t="shared" ref="W16:W20" si="37">+C16*V16</f>
        <v>0</v>
      </c>
      <c r="X16" s="655">
        <v>0</v>
      </c>
      <c r="Y16" s="654">
        <f t="shared" ref="Y16:Y20" si="38">+C16*X16</f>
        <v>0</v>
      </c>
      <c r="Z16" s="655">
        <v>0</v>
      </c>
      <c r="AA16" s="654">
        <f t="shared" ref="AA16:AA20" si="39">+C16*Z16</f>
        <v>0</v>
      </c>
      <c r="AB16" s="655">
        <v>0</v>
      </c>
      <c r="AC16" s="654">
        <f t="shared" ref="AC16:AC20" si="40">+C16*AB16</f>
        <v>0</v>
      </c>
      <c r="AD16" s="655">
        <v>0</v>
      </c>
      <c r="AE16" s="654">
        <f t="shared" ref="AE16:AE20" si="41">+C16*AD16</f>
        <v>0</v>
      </c>
      <c r="AF16" s="655">
        <v>0</v>
      </c>
      <c r="AG16" s="654">
        <f t="shared" ref="AG16:AG20" si="42">+C16*AF16</f>
        <v>0</v>
      </c>
      <c r="AH16" s="655">
        <v>0</v>
      </c>
      <c r="AI16" s="654">
        <f t="shared" si="16"/>
        <v>0</v>
      </c>
    </row>
    <row r="17" spans="1:35" x14ac:dyDescent="0.25">
      <c r="A17" s="657">
        <f t="shared" si="0"/>
        <v>1</v>
      </c>
      <c r="B17" s="642" t="s">
        <v>787</v>
      </c>
      <c r="C17" s="654">
        <v>10686.580975905354</v>
      </c>
      <c r="D17" s="655">
        <v>0</v>
      </c>
      <c r="E17" s="654">
        <f t="shared" si="30"/>
        <v>0</v>
      </c>
      <c r="F17" s="655">
        <v>0</v>
      </c>
      <c r="G17" s="654">
        <f t="shared" si="2"/>
        <v>0</v>
      </c>
      <c r="H17" s="655">
        <v>0</v>
      </c>
      <c r="I17" s="654">
        <f t="shared" si="31"/>
        <v>0</v>
      </c>
      <c r="J17" s="655">
        <v>0</v>
      </c>
      <c r="K17" s="654">
        <f t="shared" si="32"/>
        <v>0</v>
      </c>
      <c r="L17" s="655">
        <v>0</v>
      </c>
      <c r="M17" s="654">
        <f t="shared" si="5"/>
        <v>0</v>
      </c>
      <c r="N17" s="655">
        <v>0</v>
      </c>
      <c r="O17" s="654">
        <f t="shared" si="33"/>
        <v>0</v>
      </c>
      <c r="P17" s="655">
        <v>0</v>
      </c>
      <c r="Q17" s="654">
        <f t="shared" si="34"/>
        <v>0</v>
      </c>
      <c r="R17" s="655">
        <v>0</v>
      </c>
      <c r="S17" s="654">
        <f t="shared" si="35"/>
        <v>0</v>
      </c>
      <c r="T17" s="655">
        <v>0</v>
      </c>
      <c r="U17" s="654">
        <f t="shared" si="36"/>
        <v>0</v>
      </c>
      <c r="V17" s="655">
        <v>0.5</v>
      </c>
      <c r="W17" s="654">
        <f t="shared" si="37"/>
        <v>5343.2904879526768</v>
      </c>
      <c r="X17" s="655">
        <v>0.5</v>
      </c>
      <c r="Y17" s="654">
        <f t="shared" si="38"/>
        <v>5343.2904879526768</v>
      </c>
      <c r="Z17" s="655">
        <v>0</v>
      </c>
      <c r="AA17" s="654">
        <f t="shared" si="39"/>
        <v>0</v>
      </c>
      <c r="AB17" s="655">
        <v>0</v>
      </c>
      <c r="AC17" s="654">
        <f t="shared" si="40"/>
        <v>0</v>
      </c>
      <c r="AD17" s="655">
        <v>0</v>
      </c>
      <c r="AE17" s="654">
        <f t="shared" si="41"/>
        <v>0</v>
      </c>
      <c r="AF17" s="655">
        <v>0</v>
      </c>
      <c r="AG17" s="654">
        <f t="shared" si="42"/>
        <v>0</v>
      </c>
      <c r="AH17" s="655">
        <v>0</v>
      </c>
      <c r="AI17" s="654">
        <f t="shared" si="16"/>
        <v>0</v>
      </c>
    </row>
    <row r="18" spans="1:35" x14ac:dyDescent="0.25">
      <c r="A18" s="657">
        <f t="shared" si="0"/>
        <v>1</v>
      </c>
      <c r="B18" s="642" t="s">
        <v>788</v>
      </c>
      <c r="C18" s="654">
        <v>17049.502268970471</v>
      </c>
      <c r="D18" s="655">
        <v>0</v>
      </c>
      <c r="E18" s="654">
        <f t="shared" si="30"/>
        <v>0</v>
      </c>
      <c r="F18" s="655">
        <v>0</v>
      </c>
      <c r="G18" s="654">
        <f t="shared" si="2"/>
        <v>0</v>
      </c>
      <c r="H18" s="655">
        <v>0</v>
      </c>
      <c r="I18" s="654">
        <f t="shared" si="31"/>
        <v>0</v>
      </c>
      <c r="J18" s="655">
        <v>0</v>
      </c>
      <c r="K18" s="654">
        <f t="shared" si="32"/>
        <v>0</v>
      </c>
      <c r="L18" s="655">
        <v>0</v>
      </c>
      <c r="M18" s="654">
        <f t="shared" si="5"/>
        <v>0</v>
      </c>
      <c r="N18" s="655">
        <v>0</v>
      </c>
      <c r="O18" s="654">
        <f t="shared" si="33"/>
        <v>0</v>
      </c>
      <c r="P18" s="655">
        <v>0</v>
      </c>
      <c r="Q18" s="654">
        <f t="shared" si="34"/>
        <v>0</v>
      </c>
      <c r="R18" s="655">
        <v>0</v>
      </c>
      <c r="S18" s="654">
        <f t="shared" si="35"/>
        <v>0</v>
      </c>
      <c r="T18" s="655">
        <v>0</v>
      </c>
      <c r="U18" s="654">
        <f t="shared" si="36"/>
        <v>0</v>
      </c>
      <c r="V18" s="655">
        <v>0</v>
      </c>
      <c r="W18" s="654">
        <f t="shared" si="37"/>
        <v>0</v>
      </c>
      <c r="X18" s="655">
        <v>0</v>
      </c>
      <c r="Y18" s="654">
        <f t="shared" si="38"/>
        <v>0</v>
      </c>
      <c r="Z18" s="655">
        <v>0.25</v>
      </c>
      <c r="AA18" s="654">
        <f t="shared" si="39"/>
        <v>4262.3755672426178</v>
      </c>
      <c r="AB18" s="655">
        <v>0.25</v>
      </c>
      <c r="AC18" s="654">
        <f t="shared" si="40"/>
        <v>4262.3755672426178</v>
      </c>
      <c r="AD18" s="655">
        <v>0.5</v>
      </c>
      <c r="AE18" s="654">
        <f t="shared" si="41"/>
        <v>8524.7511344852355</v>
      </c>
      <c r="AF18" s="655">
        <v>0</v>
      </c>
      <c r="AG18" s="654">
        <f t="shared" si="42"/>
        <v>0</v>
      </c>
      <c r="AH18" s="655">
        <v>0</v>
      </c>
      <c r="AI18" s="654">
        <f t="shared" si="16"/>
        <v>0</v>
      </c>
    </row>
    <row r="19" spans="1:35" x14ac:dyDescent="0.25">
      <c r="A19" s="657">
        <f t="shared" si="0"/>
        <v>1</v>
      </c>
      <c r="B19" s="642" t="s">
        <v>789</v>
      </c>
      <c r="C19" s="654">
        <v>8936.6679692235612</v>
      </c>
      <c r="D19" s="655">
        <v>0</v>
      </c>
      <c r="E19" s="654">
        <f t="shared" si="30"/>
        <v>0</v>
      </c>
      <c r="F19" s="655">
        <v>0</v>
      </c>
      <c r="G19" s="654">
        <f t="shared" si="2"/>
        <v>0</v>
      </c>
      <c r="H19" s="655">
        <v>0</v>
      </c>
      <c r="I19" s="654">
        <f t="shared" si="31"/>
        <v>0</v>
      </c>
      <c r="J19" s="655">
        <v>0</v>
      </c>
      <c r="K19" s="654">
        <f t="shared" si="32"/>
        <v>0</v>
      </c>
      <c r="L19" s="655">
        <v>0</v>
      </c>
      <c r="M19" s="654">
        <f t="shared" si="5"/>
        <v>0</v>
      </c>
      <c r="N19" s="655">
        <v>0</v>
      </c>
      <c r="O19" s="654">
        <f t="shared" si="33"/>
        <v>0</v>
      </c>
      <c r="P19" s="655">
        <v>0</v>
      </c>
      <c r="Q19" s="654">
        <f t="shared" si="34"/>
        <v>0</v>
      </c>
      <c r="R19" s="655">
        <v>0</v>
      </c>
      <c r="S19" s="654">
        <f t="shared" si="35"/>
        <v>0</v>
      </c>
      <c r="T19" s="655">
        <v>0.25</v>
      </c>
      <c r="U19" s="654">
        <f t="shared" si="36"/>
        <v>2234.1669923058903</v>
      </c>
      <c r="V19" s="655">
        <v>0.25</v>
      </c>
      <c r="W19" s="654">
        <f t="shared" si="37"/>
        <v>2234.1669923058903</v>
      </c>
      <c r="X19" s="655">
        <v>0.25</v>
      </c>
      <c r="Y19" s="654">
        <f t="shared" si="38"/>
        <v>2234.1669923058903</v>
      </c>
      <c r="Z19" s="655">
        <v>0.25</v>
      </c>
      <c r="AA19" s="654">
        <f t="shared" si="39"/>
        <v>2234.1669923058903</v>
      </c>
      <c r="AB19" s="655">
        <v>0</v>
      </c>
      <c r="AC19" s="654">
        <f t="shared" si="40"/>
        <v>0</v>
      </c>
      <c r="AD19" s="655">
        <v>0</v>
      </c>
      <c r="AE19" s="654">
        <f t="shared" si="41"/>
        <v>0</v>
      </c>
      <c r="AF19" s="655">
        <v>0</v>
      </c>
      <c r="AG19" s="654">
        <f t="shared" si="42"/>
        <v>0</v>
      </c>
      <c r="AH19" s="655">
        <v>0</v>
      </c>
      <c r="AI19" s="654">
        <f t="shared" si="16"/>
        <v>0</v>
      </c>
    </row>
    <row r="20" spans="1:35" x14ac:dyDescent="0.25">
      <c r="A20" s="657">
        <f t="shared" si="0"/>
        <v>1</v>
      </c>
      <c r="B20" s="642" t="s">
        <v>790</v>
      </c>
      <c r="C20" s="654">
        <v>8936.6679692235612</v>
      </c>
      <c r="D20" s="655">
        <v>0</v>
      </c>
      <c r="E20" s="654">
        <f t="shared" si="30"/>
        <v>0</v>
      </c>
      <c r="F20" s="655">
        <v>0</v>
      </c>
      <c r="G20" s="654">
        <f t="shared" si="2"/>
        <v>0</v>
      </c>
      <c r="H20" s="655">
        <v>0</v>
      </c>
      <c r="I20" s="654">
        <f t="shared" si="31"/>
        <v>0</v>
      </c>
      <c r="J20" s="655">
        <v>0</v>
      </c>
      <c r="K20" s="654">
        <f t="shared" si="32"/>
        <v>0</v>
      </c>
      <c r="L20" s="655">
        <v>0</v>
      </c>
      <c r="M20" s="654">
        <f t="shared" si="5"/>
        <v>0</v>
      </c>
      <c r="N20" s="655">
        <v>0</v>
      </c>
      <c r="O20" s="654">
        <f t="shared" si="33"/>
        <v>0</v>
      </c>
      <c r="P20" s="655">
        <v>0</v>
      </c>
      <c r="Q20" s="654">
        <f t="shared" si="34"/>
        <v>0</v>
      </c>
      <c r="R20" s="655">
        <v>0</v>
      </c>
      <c r="S20" s="654">
        <f t="shared" si="35"/>
        <v>0</v>
      </c>
      <c r="T20" s="655">
        <v>0.25</v>
      </c>
      <c r="U20" s="654">
        <f t="shared" si="36"/>
        <v>2234.1669923058903</v>
      </c>
      <c r="V20" s="655">
        <v>0.25</v>
      </c>
      <c r="W20" s="654">
        <f t="shared" si="37"/>
        <v>2234.1669923058903</v>
      </c>
      <c r="X20" s="655">
        <v>0.25</v>
      </c>
      <c r="Y20" s="654">
        <f t="shared" si="38"/>
        <v>2234.1669923058903</v>
      </c>
      <c r="Z20" s="655">
        <v>0.25</v>
      </c>
      <c r="AA20" s="654">
        <f t="shared" si="39"/>
        <v>2234.1669923058903</v>
      </c>
      <c r="AB20" s="655">
        <v>0</v>
      </c>
      <c r="AC20" s="654">
        <f t="shared" si="40"/>
        <v>0</v>
      </c>
      <c r="AD20" s="655">
        <v>0</v>
      </c>
      <c r="AE20" s="654">
        <f t="shared" si="41"/>
        <v>0</v>
      </c>
      <c r="AF20" s="655">
        <v>0</v>
      </c>
      <c r="AG20" s="654">
        <f t="shared" si="42"/>
        <v>0</v>
      </c>
      <c r="AH20" s="655">
        <v>0</v>
      </c>
      <c r="AI20" s="654">
        <f t="shared" si="16"/>
        <v>0</v>
      </c>
    </row>
    <row r="21" spans="1:35" x14ac:dyDescent="0.25">
      <c r="A21" s="657">
        <f t="shared" si="0"/>
        <v>0</v>
      </c>
      <c r="B21" s="643" t="s">
        <v>319</v>
      </c>
      <c r="C21" s="653">
        <f>SUM(C22:C26)</f>
        <v>77800.712565177004</v>
      </c>
      <c r="D21" s="656"/>
      <c r="E21" s="653">
        <f>SUM(E22:E26)</f>
        <v>0</v>
      </c>
      <c r="F21" s="656"/>
      <c r="G21" s="653">
        <f>SUM(G22:G26)</f>
        <v>0</v>
      </c>
      <c r="H21" s="656"/>
      <c r="I21" s="653">
        <f>SUM(I22:I26)</f>
        <v>0</v>
      </c>
      <c r="J21" s="656"/>
      <c r="K21" s="653">
        <f>SUM(K22:K26)</f>
        <v>0</v>
      </c>
      <c r="L21" s="656"/>
      <c r="M21" s="653">
        <f>SUM(M22:M26)</f>
        <v>0</v>
      </c>
      <c r="N21" s="656"/>
      <c r="O21" s="653">
        <f>SUM(O22:O26)</f>
        <v>0</v>
      </c>
      <c r="P21" s="656"/>
      <c r="Q21" s="653">
        <f>SUM(Q22:Q26)</f>
        <v>0</v>
      </c>
      <c r="R21" s="656"/>
      <c r="S21" s="653">
        <f>SUM(S22:S26)</f>
        <v>19314.776029112436</v>
      </c>
      <c r="T21" s="656"/>
      <c r="U21" s="653">
        <f>SUM(U22:U26)</f>
        <v>12876.517352741625</v>
      </c>
      <c r="V21" s="656"/>
      <c r="W21" s="653">
        <f>SUM(W22:W26)</f>
        <v>2671.6452439763384</v>
      </c>
      <c r="X21" s="656"/>
      <c r="Y21" s="653">
        <f>SUM(Y22:Y26)</f>
        <v>2671.6452439763384</v>
      </c>
      <c r="Z21" s="656"/>
      <c r="AA21" s="653">
        <f>SUM(AA22:AA26)</f>
        <v>2671.6452439763384</v>
      </c>
      <c r="AB21" s="656"/>
      <c r="AC21" s="653">
        <f>SUM(AC22:AC26)</f>
        <v>7139.9792285881194</v>
      </c>
      <c r="AD21" s="656"/>
      <c r="AE21" s="653">
        <f>SUM(AE22:AE26)</f>
        <v>4468.3339846117806</v>
      </c>
      <c r="AF21" s="656"/>
      <c r="AG21" s="653">
        <f>SUM(AG22:AG26)</f>
        <v>12993.085119097017</v>
      </c>
      <c r="AH21" s="656"/>
      <c r="AI21" s="653">
        <f>SUM(AI22:AI26)</f>
        <v>12993.085119097017</v>
      </c>
    </row>
    <row r="22" spans="1:35" x14ac:dyDescent="0.25">
      <c r="A22" s="657">
        <f t="shared" si="0"/>
        <v>1</v>
      </c>
      <c r="B22" s="642" t="s">
        <v>163</v>
      </c>
      <c r="C22" s="654">
        <v>32191.293381854059</v>
      </c>
      <c r="D22" s="655">
        <v>0</v>
      </c>
      <c r="E22" s="654">
        <f t="shared" ref="E22:E26" si="43">+C22*D22</f>
        <v>0</v>
      </c>
      <c r="F22" s="655">
        <v>0</v>
      </c>
      <c r="G22" s="654">
        <f t="shared" si="2"/>
        <v>0</v>
      </c>
      <c r="H22" s="655">
        <v>0</v>
      </c>
      <c r="I22" s="654">
        <f t="shared" ref="I22:I26" si="44">+C22*H22</f>
        <v>0</v>
      </c>
      <c r="J22" s="655">
        <v>0</v>
      </c>
      <c r="K22" s="654">
        <f t="shared" ref="K22:K26" si="45">+C22*J22</f>
        <v>0</v>
      </c>
      <c r="L22" s="655">
        <v>0</v>
      </c>
      <c r="M22" s="654">
        <f t="shared" si="5"/>
        <v>0</v>
      </c>
      <c r="N22" s="655">
        <v>0</v>
      </c>
      <c r="O22" s="654">
        <f t="shared" ref="O22:O26" si="46">+N22*C22</f>
        <v>0</v>
      </c>
      <c r="P22" s="655">
        <v>0</v>
      </c>
      <c r="Q22" s="654">
        <f t="shared" ref="Q22:Q26" si="47">+P22*C22</f>
        <v>0</v>
      </c>
      <c r="R22" s="655">
        <v>0.6</v>
      </c>
      <c r="S22" s="654">
        <f t="shared" ref="S22:S26" si="48">+R22*C22</f>
        <v>19314.776029112436</v>
      </c>
      <c r="T22" s="655">
        <v>0.4</v>
      </c>
      <c r="U22" s="654">
        <f t="shared" ref="U22:U26" si="49">+C22*T22</f>
        <v>12876.517352741625</v>
      </c>
      <c r="V22" s="655"/>
      <c r="W22" s="654">
        <f t="shared" ref="W22:W26" si="50">+C22*V22</f>
        <v>0</v>
      </c>
      <c r="X22" s="655">
        <v>0</v>
      </c>
      <c r="Y22" s="654">
        <f t="shared" ref="Y22:Y26" si="51">+C22*X22</f>
        <v>0</v>
      </c>
      <c r="Z22" s="655"/>
      <c r="AA22" s="654">
        <f t="shared" ref="AA22:AA26" si="52">+C22*Z22</f>
        <v>0</v>
      </c>
      <c r="AB22" s="655"/>
      <c r="AC22" s="654">
        <f t="shared" ref="AC22:AC26" si="53">+C22*AB22</f>
        <v>0</v>
      </c>
      <c r="AD22" s="655">
        <v>0</v>
      </c>
      <c r="AE22" s="654">
        <f t="shared" ref="AE22:AE26" si="54">+C22*AD22</f>
        <v>0</v>
      </c>
      <c r="AF22" s="655">
        <v>0</v>
      </c>
      <c r="AG22" s="654">
        <f t="shared" ref="AG22:AG26" si="55">+C22*AF22</f>
        <v>0</v>
      </c>
      <c r="AH22" s="655">
        <v>0</v>
      </c>
      <c r="AI22" s="654">
        <f t="shared" si="16"/>
        <v>0</v>
      </c>
    </row>
    <row r="23" spans="1:35" x14ac:dyDescent="0.25">
      <c r="A23" s="657">
        <f t="shared" si="0"/>
        <v>1</v>
      </c>
      <c r="B23" s="642" t="s">
        <v>787</v>
      </c>
      <c r="C23" s="654">
        <v>10686.580975905354</v>
      </c>
      <c r="D23" s="655">
        <v>0</v>
      </c>
      <c r="E23" s="654">
        <f t="shared" si="43"/>
        <v>0</v>
      </c>
      <c r="F23" s="655">
        <v>0</v>
      </c>
      <c r="G23" s="654">
        <f t="shared" si="2"/>
        <v>0</v>
      </c>
      <c r="H23" s="655">
        <v>0</v>
      </c>
      <c r="I23" s="654">
        <f t="shared" si="44"/>
        <v>0</v>
      </c>
      <c r="J23" s="655">
        <v>0</v>
      </c>
      <c r="K23" s="654">
        <f t="shared" si="45"/>
        <v>0</v>
      </c>
      <c r="L23" s="655">
        <v>0</v>
      </c>
      <c r="M23" s="654">
        <f t="shared" si="5"/>
        <v>0</v>
      </c>
      <c r="N23" s="655">
        <v>0</v>
      </c>
      <c r="O23" s="654">
        <f t="shared" si="46"/>
        <v>0</v>
      </c>
      <c r="P23" s="655">
        <v>0</v>
      </c>
      <c r="Q23" s="654">
        <f t="shared" si="47"/>
        <v>0</v>
      </c>
      <c r="R23" s="655">
        <v>0</v>
      </c>
      <c r="S23" s="654">
        <f t="shared" si="48"/>
        <v>0</v>
      </c>
      <c r="T23" s="655">
        <v>0</v>
      </c>
      <c r="U23" s="654">
        <f t="shared" si="49"/>
        <v>0</v>
      </c>
      <c r="V23" s="655">
        <v>0.25</v>
      </c>
      <c r="W23" s="654">
        <f t="shared" si="50"/>
        <v>2671.6452439763384</v>
      </c>
      <c r="X23" s="655">
        <v>0.25</v>
      </c>
      <c r="Y23" s="654">
        <f t="shared" si="51"/>
        <v>2671.6452439763384</v>
      </c>
      <c r="Z23" s="655">
        <v>0.25</v>
      </c>
      <c r="AA23" s="654">
        <f t="shared" si="52"/>
        <v>2671.6452439763384</v>
      </c>
      <c r="AB23" s="655">
        <v>0.25</v>
      </c>
      <c r="AC23" s="654">
        <f t="shared" si="53"/>
        <v>2671.6452439763384</v>
      </c>
      <c r="AD23" s="655">
        <v>0</v>
      </c>
      <c r="AE23" s="654">
        <f t="shared" si="54"/>
        <v>0</v>
      </c>
      <c r="AF23" s="655">
        <v>0</v>
      </c>
      <c r="AG23" s="654">
        <f t="shared" si="55"/>
        <v>0</v>
      </c>
      <c r="AH23" s="655">
        <v>0</v>
      </c>
      <c r="AI23" s="654">
        <f t="shared" si="16"/>
        <v>0</v>
      </c>
    </row>
    <row r="24" spans="1:35" x14ac:dyDescent="0.25">
      <c r="A24" s="657">
        <f t="shared" si="0"/>
        <v>1</v>
      </c>
      <c r="B24" s="642" t="s">
        <v>788</v>
      </c>
      <c r="C24" s="654">
        <v>17049.502268970471</v>
      </c>
      <c r="D24" s="655">
        <v>0</v>
      </c>
      <c r="E24" s="654">
        <f t="shared" si="43"/>
        <v>0</v>
      </c>
      <c r="F24" s="655">
        <v>0</v>
      </c>
      <c r="G24" s="654">
        <f t="shared" si="2"/>
        <v>0</v>
      </c>
      <c r="H24" s="655">
        <v>0</v>
      </c>
      <c r="I24" s="654">
        <f t="shared" si="44"/>
        <v>0</v>
      </c>
      <c r="J24" s="655">
        <v>0</v>
      </c>
      <c r="K24" s="654">
        <f t="shared" si="45"/>
        <v>0</v>
      </c>
      <c r="L24" s="655">
        <v>0</v>
      </c>
      <c r="M24" s="654">
        <f t="shared" si="5"/>
        <v>0</v>
      </c>
      <c r="N24" s="655">
        <v>0</v>
      </c>
      <c r="O24" s="654">
        <f t="shared" si="46"/>
        <v>0</v>
      </c>
      <c r="P24" s="655">
        <v>0</v>
      </c>
      <c r="Q24" s="654">
        <f t="shared" si="47"/>
        <v>0</v>
      </c>
      <c r="R24" s="655">
        <v>0</v>
      </c>
      <c r="S24" s="654">
        <f t="shared" si="48"/>
        <v>0</v>
      </c>
      <c r="T24" s="655">
        <v>0</v>
      </c>
      <c r="U24" s="654">
        <f t="shared" si="49"/>
        <v>0</v>
      </c>
      <c r="V24" s="655">
        <v>0</v>
      </c>
      <c r="W24" s="654">
        <f t="shared" si="50"/>
        <v>0</v>
      </c>
      <c r="X24" s="655">
        <v>0</v>
      </c>
      <c r="Y24" s="654">
        <f t="shared" si="51"/>
        <v>0</v>
      </c>
      <c r="Z24" s="655">
        <v>0</v>
      </c>
      <c r="AA24" s="654">
        <f t="shared" si="52"/>
        <v>0</v>
      </c>
      <c r="AB24" s="655">
        <v>0</v>
      </c>
      <c r="AC24" s="654">
        <f t="shared" si="53"/>
        <v>0</v>
      </c>
      <c r="AD24" s="655">
        <v>0</v>
      </c>
      <c r="AE24" s="654">
        <f t="shared" si="54"/>
        <v>0</v>
      </c>
      <c r="AF24" s="655">
        <v>0.5</v>
      </c>
      <c r="AG24" s="654">
        <f t="shared" si="55"/>
        <v>8524.7511344852355</v>
      </c>
      <c r="AH24" s="655">
        <v>0.5</v>
      </c>
      <c r="AI24" s="654">
        <f t="shared" si="16"/>
        <v>8524.7511344852355</v>
      </c>
    </row>
    <row r="25" spans="1:35" x14ac:dyDescent="0.25">
      <c r="A25" s="657">
        <f t="shared" si="0"/>
        <v>1</v>
      </c>
      <c r="B25" s="642" t="s">
        <v>789</v>
      </c>
      <c r="C25" s="654">
        <v>8936.6679692235612</v>
      </c>
      <c r="D25" s="655">
        <v>0</v>
      </c>
      <c r="E25" s="654">
        <f t="shared" si="43"/>
        <v>0</v>
      </c>
      <c r="F25" s="655">
        <v>0</v>
      </c>
      <c r="G25" s="654">
        <f t="shared" si="2"/>
        <v>0</v>
      </c>
      <c r="H25" s="655">
        <v>0</v>
      </c>
      <c r="I25" s="654">
        <f t="shared" si="44"/>
        <v>0</v>
      </c>
      <c r="J25" s="655">
        <v>0</v>
      </c>
      <c r="K25" s="654">
        <f t="shared" si="45"/>
        <v>0</v>
      </c>
      <c r="L25" s="655">
        <v>0</v>
      </c>
      <c r="M25" s="654">
        <f t="shared" si="5"/>
        <v>0</v>
      </c>
      <c r="N25" s="655">
        <v>0</v>
      </c>
      <c r="O25" s="654">
        <f t="shared" si="46"/>
        <v>0</v>
      </c>
      <c r="P25" s="655">
        <v>0</v>
      </c>
      <c r="Q25" s="654">
        <f t="shared" si="47"/>
        <v>0</v>
      </c>
      <c r="R25" s="655">
        <v>0</v>
      </c>
      <c r="S25" s="654">
        <f t="shared" si="48"/>
        <v>0</v>
      </c>
      <c r="T25" s="655">
        <v>0</v>
      </c>
      <c r="U25" s="654">
        <f t="shared" si="49"/>
        <v>0</v>
      </c>
      <c r="V25" s="655">
        <v>0</v>
      </c>
      <c r="W25" s="654">
        <f t="shared" si="50"/>
        <v>0</v>
      </c>
      <c r="X25" s="655">
        <v>0</v>
      </c>
      <c r="Y25" s="654">
        <f t="shared" si="51"/>
        <v>0</v>
      </c>
      <c r="Z25" s="655">
        <v>0</v>
      </c>
      <c r="AA25" s="654">
        <f t="shared" si="52"/>
        <v>0</v>
      </c>
      <c r="AB25" s="655">
        <v>0.25</v>
      </c>
      <c r="AC25" s="654">
        <f t="shared" si="53"/>
        <v>2234.1669923058903</v>
      </c>
      <c r="AD25" s="655">
        <v>0.25</v>
      </c>
      <c r="AE25" s="654">
        <f t="shared" si="54"/>
        <v>2234.1669923058903</v>
      </c>
      <c r="AF25" s="655">
        <v>0.25</v>
      </c>
      <c r="AG25" s="654">
        <f t="shared" si="55"/>
        <v>2234.1669923058903</v>
      </c>
      <c r="AH25" s="655">
        <v>0.25</v>
      </c>
      <c r="AI25" s="654">
        <f t="shared" si="16"/>
        <v>2234.1669923058903</v>
      </c>
    </row>
    <row r="26" spans="1:35" x14ac:dyDescent="0.25">
      <c r="A26" s="657">
        <f t="shared" si="0"/>
        <v>1</v>
      </c>
      <c r="B26" s="642" t="s">
        <v>790</v>
      </c>
      <c r="C26" s="654">
        <v>8936.6679692235612</v>
      </c>
      <c r="D26" s="655">
        <v>0</v>
      </c>
      <c r="E26" s="654">
        <f t="shared" si="43"/>
        <v>0</v>
      </c>
      <c r="F26" s="655">
        <v>0</v>
      </c>
      <c r="G26" s="654">
        <f t="shared" si="2"/>
        <v>0</v>
      </c>
      <c r="H26" s="655">
        <v>0</v>
      </c>
      <c r="I26" s="654">
        <f t="shared" si="44"/>
        <v>0</v>
      </c>
      <c r="J26" s="655">
        <v>0</v>
      </c>
      <c r="K26" s="654">
        <f t="shared" si="45"/>
        <v>0</v>
      </c>
      <c r="L26" s="655">
        <v>0</v>
      </c>
      <c r="M26" s="654">
        <f t="shared" si="5"/>
        <v>0</v>
      </c>
      <c r="N26" s="655">
        <v>0</v>
      </c>
      <c r="O26" s="654">
        <f t="shared" si="46"/>
        <v>0</v>
      </c>
      <c r="P26" s="655">
        <v>0</v>
      </c>
      <c r="Q26" s="654">
        <f t="shared" si="47"/>
        <v>0</v>
      </c>
      <c r="R26" s="655">
        <v>0</v>
      </c>
      <c r="S26" s="654">
        <f t="shared" si="48"/>
        <v>0</v>
      </c>
      <c r="T26" s="655">
        <v>0</v>
      </c>
      <c r="U26" s="654">
        <f t="shared" si="49"/>
        <v>0</v>
      </c>
      <c r="V26" s="655">
        <v>0</v>
      </c>
      <c r="W26" s="654">
        <f t="shared" si="50"/>
        <v>0</v>
      </c>
      <c r="X26" s="655">
        <v>0</v>
      </c>
      <c r="Y26" s="654">
        <f t="shared" si="51"/>
        <v>0</v>
      </c>
      <c r="Z26" s="655">
        <v>0</v>
      </c>
      <c r="AA26" s="654">
        <f t="shared" si="52"/>
        <v>0</v>
      </c>
      <c r="AB26" s="655">
        <v>0.25</v>
      </c>
      <c r="AC26" s="654">
        <f t="shared" si="53"/>
        <v>2234.1669923058903</v>
      </c>
      <c r="AD26" s="655">
        <v>0.25</v>
      </c>
      <c r="AE26" s="654">
        <f t="shared" si="54"/>
        <v>2234.1669923058903</v>
      </c>
      <c r="AF26" s="655">
        <v>0.25</v>
      </c>
      <c r="AG26" s="654">
        <f t="shared" si="55"/>
        <v>2234.1669923058903</v>
      </c>
      <c r="AH26" s="655">
        <v>0.25</v>
      </c>
      <c r="AI26" s="654">
        <f t="shared" si="16"/>
        <v>2234.1669923058903</v>
      </c>
    </row>
    <row r="27" spans="1:35" x14ac:dyDescent="0.25">
      <c r="A27" s="639">
        <f>+C27/$C$30</f>
        <v>0.91891891891891897</v>
      </c>
      <c r="B27" s="658" t="s">
        <v>316</v>
      </c>
      <c r="C27" s="659">
        <f>+C21+C15+C8+C3</f>
        <v>340000.00000000006</v>
      </c>
      <c r="D27" s="660"/>
      <c r="E27" s="659">
        <f>+E21+E15+E8+E3</f>
        <v>16611.609295413335</v>
      </c>
      <c r="F27" s="660"/>
      <c r="G27" s="659">
        <f>+G21+G15+G8+G3</f>
        <v>19465.50147006732</v>
      </c>
      <c r="H27" s="660"/>
      <c r="I27" s="659">
        <f>+I21+I15+I8+I3</f>
        <v>21116.994606417844</v>
      </c>
      <c r="J27" s="660"/>
      <c r="K27" s="659">
        <f>+K21+K15+K8+K3</f>
        <v>21614.506485327387</v>
      </c>
      <c r="L27" s="660"/>
      <c r="M27" s="659">
        <f>+M21+M15+M8+M3</f>
        <v>22765.640446341989</v>
      </c>
      <c r="N27" s="660"/>
      <c r="O27" s="659">
        <f>+O21+O15+O8+O3</f>
        <v>24161.837867489874</v>
      </c>
      <c r="P27" s="660"/>
      <c r="Q27" s="659">
        <f>+Q21+Q15+Q8+Q3</f>
        <v>24501.277948934061</v>
      </c>
      <c r="R27" s="660"/>
      <c r="S27" s="659">
        <f>+S21+S15+S8+S3</f>
        <v>24143.470036390543</v>
      </c>
      <c r="T27" s="660"/>
      <c r="U27" s="659">
        <f>+U21+U15+U8+U3</f>
        <v>24883.513381072182</v>
      </c>
      <c r="V27" s="660"/>
      <c r="W27" s="659">
        <f>+W21+W15+W8+W3</f>
        <v>23790.953442639035</v>
      </c>
      <c r="X27" s="660"/>
      <c r="Y27" s="659">
        <f>+Y21+Y15+Y8+Y3</f>
        <v>23790.953442639035</v>
      </c>
      <c r="Z27" s="660"/>
      <c r="AA27" s="659">
        <f>+AA21+AA15+AA8+AA3</f>
        <v>23043.300864969933</v>
      </c>
      <c r="AB27" s="660"/>
      <c r="AC27" s="659">
        <f>+AC21+AC15+AC8+AC3</f>
        <v>19215.628062708398</v>
      </c>
      <c r="AD27" s="660"/>
      <c r="AE27" s="659">
        <f>+AE21+AE15+AE8+AE3</f>
        <v>18950.863765246057</v>
      </c>
      <c r="AF27" s="660"/>
      <c r="AG27" s="659">
        <f>+AG21+AG15+AG8+AG3</f>
        <v>18950.863765246057</v>
      </c>
      <c r="AH27" s="660"/>
      <c r="AI27" s="659">
        <f>+AI21+AI15+AI8+AI3</f>
        <v>12993.085119097017</v>
      </c>
    </row>
    <row r="28" spans="1:35" x14ac:dyDescent="0.25">
      <c r="A28" s="639">
        <f>+C28/$C$30</f>
        <v>8.1081081081081072E-2</v>
      </c>
      <c r="B28" s="661" t="s">
        <v>792</v>
      </c>
      <c r="C28" s="640">
        <v>30000</v>
      </c>
      <c r="D28" s="161"/>
      <c r="E28" s="640">
        <f>+E27*$A$29</f>
        <v>1465.7302319482353</v>
      </c>
      <c r="F28" s="161"/>
      <c r="G28" s="640">
        <f>+G27*$A$29</f>
        <v>1717.544247358881</v>
      </c>
      <c r="H28" s="161"/>
      <c r="I28" s="640">
        <f>+I27*$A$29</f>
        <v>1863.2642299780448</v>
      </c>
      <c r="J28" s="161"/>
      <c r="K28" s="640">
        <f>+K27*$A$29</f>
        <v>1907.1623369406516</v>
      </c>
      <c r="L28" s="161"/>
      <c r="M28" s="640">
        <f>+M27*$A$29</f>
        <v>2008.7329805595871</v>
      </c>
      <c r="N28" s="161"/>
      <c r="O28" s="640">
        <f>+O27*$A$29</f>
        <v>2131.9268706608709</v>
      </c>
      <c r="P28" s="161"/>
      <c r="Q28" s="640">
        <f>+Q27*$A$29</f>
        <v>2161.877466082417</v>
      </c>
      <c r="R28" s="161"/>
      <c r="S28" s="640">
        <f>+S27*$A$29</f>
        <v>2130.3061796815182</v>
      </c>
      <c r="T28" s="161"/>
      <c r="U28" s="640">
        <f>+U27*$A$29</f>
        <v>2195.60412185931</v>
      </c>
      <c r="V28" s="161"/>
      <c r="W28" s="640">
        <f>+W27*$A$29</f>
        <v>2099.201774350503</v>
      </c>
      <c r="X28" s="161"/>
      <c r="Y28" s="640">
        <f>+Y27*$A$29</f>
        <v>2099.201774350503</v>
      </c>
      <c r="Z28" s="161"/>
      <c r="AA28" s="640">
        <f>+AA27*$A$29</f>
        <v>2033.2324292620528</v>
      </c>
      <c r="AB28" s="161"/>
      <c r="AC28" s="640">
        <f>+AC27*$A$29</f>
        <v>1695.4965937683878</v>
      </c>
      <c r="AD28" s="161"/>
      <c r="AE28" s="640">
        <f>+AE27*$A$29</f>
        <v>1672.135038109946</v>
      </c>
      <c r="AF28" s="161"/>
      <c r="AG28" s="640">
        <f>+AG27*$A$29</f>
        <v>1672.135038109946</v>
      </c>
      <c r="AH28" s="161"/>
      <c r="AI28" s="640">
        <f>+AI27*$A$29</f>
        <v>1146.4486869791485</v>
      </c>
    </row>
    <row r="29" spans="1:35" x14ac:dyDescent="0.25">
      <c r="A29">
        <f>+A28/A27</f>
        <v>8.8235294117647051E-2</v>
      </c>
      <c r="B29" s="661"/>
      <c r="C29" s="443" t="s">
        <v>251</v>
      </c>
      <c r="D29" s="161"/>
      <c r="E29" s="443" t="s">
        <v>251</v>
      </c>
      <c r="F29" s="161"/>
      <c r="G29" s="443" t="s">
        <v>251</v>
      </c>
      <c r="H29" s="161"/>
      <c r="I29" s="443" t="s">
        <v>251</v>
      </c>
      <c r="J29" s="161"/>
      <c r="K29" s="443" t="s">
        <v>251</v>
      </c>
      <c r="L29" s="161"/>
      <c r="M29" s="443" t="s">
        <v>251</v>
      </c>
      <c r="N29" s="161"/>
      <c r="O29" s="443" t="s">
        <v>251</v>
      </c>
      <c r="P29" s="161"/>
      <c r="Q29" s="443" t="s">
        <v>251</v>
      </c>
      <c r="R29" s="161"/>
      <c r="S29" s="443" t="s">
        <v>251</v>
      </c>
      <c r="T29" s="161"/>
      <c r="U29" s="443" t="s">
        <v>251</v>
      </c>
      <c r="V29" s="161"/>
      <c r="W29" s="443" t="s">
        <v>251</v>
      </c>
      <c r="X29" s="161"/>
      <c r="Y29" s="443" t="s">
        <v>251</v>
      </c>
      <c r="Z29" s="161"/>
      <c r="AA29" s="443" t="s">
        <v>251</v>
      </c>
      <c r="AB29" s="161"/>
      <c r="AC29" s="443" t="s">
        <v>251</v>
      </c>
      <c r="AD29" s="161"/>
      <c r="AE29" s="443" t="s">
        <v>251</v>
      </c>
      <c r="AF29" s="161"/>
      <c r="AG29" s="443" t="s">
        <v>251</v>
      </c>
      <c r="AH29" s="161"/>
      <c r="AI29" s="443" t="s">
        <v>251</v>
      </c>
    </row>
    <row r="30" spans="1:35" x14ac:dyDescent="0.25">
      <c r="B30" s="661" t="s">
        <v>793</v>
      </c>
      <c r="C30" s="640">
        <f>+C27+C28</f>
        <v>370000.00000000006</v>
      </c>
      <c r="D30" s="161"/>
      <c r="E30" s="640">
        <f>+E27+E28</f>
        <v>18077.339527361572</v>
      </c>
      <c r="F30" s="161"/>
      <c r="G30" s="640">
        <f>+G27+G28</f>
        <v>21183.045717426201</v>
      </c>
      <c r="H30" s="161"/>
      <c r="I30" s="640">
        <f>+I27+I28</f>
        <v>22980.258836395889</v>
      </c>
      <c r="J30" s="161"/>
      <c r="K30" s="640">
        <f>+K27+K28</f>
        <v>23521.668822268039</v>
      </c>
      <c r="L30" s="161"/>
      <c r="M30" s="640">
        <f>+M27+M28</f>
        <v>24774.373426901577</v>
      </c>
      <c r="N30" s="161"/>
      <c r="O30" s="640">
        <f>+O27+O28</f>
        <v>26293.764738150745</v>
      </c>
      <c r="P30" s="161"/>
      <c r="Q30" s="640">
        <f>+Q27+Q28</f>
        <v>26663.155415016477</v>
      </c>
      <c r="R30" s="161"/>
      <c r="S30" s="640">
        <f>+S27+S28</f>
        <v>26273.776216072059</v>
      </c>
      <c r="T30" s="161"/>
      <c r="U30" s="640">
        <f>+U27+U28</f>
        <v>27079.117502931491</v>
      </c>
      <c r="V30" s="161"/>
      <c r="W30" s="640">
        <f>+W27+W28</f>
        <v>25890.155216989537</v>
      </c>
      <c r="X30" s="161"/>
      <c r="Y30" s="640">
        <f>+Y27+Y28</f>
        <v>25890.155216989537</v>
      </c>
      <c r="Z30" s="161"/>
      <c r="AA30" s="640">
        <f>+AA27+AA28</f>
        <v>25076.533294231987</v>
      </c>
      <c r="AB30" s="161"/>
      <c r="AC30" s="640">
        <f>+AC27+AC28</f>
        <v>20911.124656476786</v>
      </c>
      <c r="AD30" s="161"/>
      <c r="AE30" s="640">
        <f>+AE27+AE28</f>
        <v>20622.998803356004</v>
      </c>
      <c r="AF30" s="161"/>
      <c r="AG30" s="640">
        <f>+AG27+AG28</f>
        <v>20622.998803356004</v>
      </c>
      <c r="AH30" s="161"/>
      <c r="AI30" s="640">
        <f>+AI27+AI28</f>
        <v>14139.533806076166</v>
      </c>
    </row>
    <row r="31" spans="1:35" x14ac:dyDescent="0.25">
      <c r="B31" s="661"/>
      <c r="C31" s="640"/>
      <c r="D31" s="161"/>
      <c r="E31" s="666">
        <f>+E30/$C$30</f>
        <v>4.8857674398274507E-2</v>
      </c>
      <c r="F31" s="161"/>
      <c r="G31" s="666">
        <f>+G30/$C$30</f>
        <v>5.7251474911962696E-2</v>
      </c>
      <c r="H31" s="161"/>
      <c r="I31" s="666">
        <f>+I30/$C$30</f>
        <v>6.2108807665934823E-2</v>
      </c>
      <c r="J31" s="161"/>
      <c r="K31" s="666">
        <f>+K30/$C$30</f>
        <v>6.3572077898021717E-2</v>
      </c>
      <c r="L31" s="161"/>
      <c r="M31" s="666">
        <f>+M30/$C$30</f>
        <v>6.6957766018652901E-2</v>
      </c>
      <c r="N31" s="161"/>
      <c r="O31" s="666">
        <f>+O30/$C$30</f>
        <v>7.1064229022029024E-2</v>
      </c>
      <c r="P31" s="161"/>
      <c r="Q31" s="666">
        <f>+Q30/$C$30</f>
        <v>7.2062582202747222E-2</v>
      </c>
      <c r="R31" s="161"/>
      <c r="S31" s="666">
        <f>+S30/$C$30</f>
        <v>7.1010205989383929E-2</v>
      </c>
      <c r="T31" s="161"/>
      <c r="U31" s="666">
        <f>+U30/$C$30</f>
        <v>7.3186804061976987E-2</v>
      </c>
      <c r="V31" s="161"/>
      <c r="W31" s="666">
        <f>+W30/$C$30</f>
        <v>6.9973392478350091E-2</v>
      </c>
      <c r="X31" s="161"/>
      <c r="Y31" s="666">
        <f>+Y30/$C$30</f>
        <v>6.9973392478350091E-2</v>
      </c>
      <c r="Z31" s="161"/>
      <c r="AA31" s="666">
        <f>+AA30/$C$30</f>
        <v>6.7774414308735084E-2</v>
      </c>
      <c r="AB31" s="161"/>
      <c r="AC31" s="666">
        <f>+AC30/$C$30</f>
        <v>5.6516553125612927E-2</v>
      </c>
      <c r="AD31" s="161"/>
      <c r="AE31" s="666">
        <f>+AE30/$C$30</f>
        <v>5.5737834603664868E-2</v>
      </c>
      <c r="AF31" s="161"/>
      <c r="AG31" s="666">
        <f>+AG30/$C$30</f>
        <v>5.5737834603664868E-2</v>
      </c>
      <c r="AH31" s="161"/>
      <c r="AI31" s="666">
        <f>+AI30/$C$30</f>
        <v>3.8214956232638278E-2</v>
      </c>
    </row>
    <row r="32" spans="1:35" x14ac:dyDescent="0.25">
      <c r="B32" s="661" t="s">
        <v>796</v>
      </c>
      <c r="C32" s="640">
        <v>-50000</v>
      </c>
      <c r="D32" s="161"/>
      <c r="E32" s="640">
        <f>+$C$32*E31</f>
        <v>-2442.8837199137251</v>
      </c>
      <c r="F32" s="161"/>
      <c r="G32" s="640">
        <f>+$C$32*G31</f>
        <v>-2862.5737455981348</v>
      </c>
      <c r="H32" s="161"/>
      <c r="I32" s="640">
        <f>+$C$32*I31</f>
        <v>-3105.4403832967409</v>
      </c>
      <c r="J32" s="161"/>
      <c r="K32" s="640">
        <f>+$C$32*K31</f>
        <v>-3178.6038949010858</v>
      </c>
      <c r="L32" s="161"/>
      <c r="M32" s="640">
        <f>+$C$32*M31</f>
        <v>-3347.8883009326451</v>
      </c>
      <c r="N32" s="161"/>
      <c r="O32" s="640">
        <f>+$C$32*O31</f>
        <v>-3553.2114511014511</v>
      </c>
      <c r="P32" s="161"/>
      <c r="Q32" s="640">
        <f>+$C$32*Q31</f>
        <v>-3603.1291101373613</v>
      </c>
      <c r="R32" s="161"/>
      <c r="S32" s="640">
        <f>+$C$32*S31</f>
        <v>-3550.5102994691965</v>
      </c>
      <c r="T32" s="161"/>
      <c r="U32" s="640">
        <f>+$C$32*U31</f>
        <v>-3659.3402030988495</v>
      </c>
      <c r="V32" s="161"/>
      <c r="W32" s="640">
        <f>+$C$32*W31</f>
        <v>-3498.6696239175044</v>
      </c>
      <c r="X32" s="161"/>
      <c r="Y32" s="640">
        <f>+$C$32*Y31</f>
        <v>-3498.6696239175044</v>
      </c>
      <c r="Z32" s="161"/>
      <c r="AA32" s="640">
        <f>+$C$32*AA31</f>
        <v>-3388.7207154367543</v>
      </c>
      <c r="AB32" s="161"/>
      <c r="AC32" s="640">
        <f>+$C$32*AC31</f>
        <v>-2825.8276562806464</v>
      </c>
      <c r="AD32" s="161"/>
      <c r="AE32" s="640">
        <f>+$C$32*AE31</f>
        <v>-2786.8917301832435</v>
      </c>
      <c r="AF32" s="161"/>
      <c r="AG32" s="640">
        <f>+$C$32*AG31</f>
        <v>-2786.8917301832435</v>
      </c>
      <c r="AH32" s="161"/>
      <c r="AI32" s="640">
        <f>+$C$32*AI31</f>
        <v>-1910.7478116319139</v>
      </c>
    </row>
    <row r="33" spans="2:35" x14ac:dyDescent="0.25">
      <c r="B33" s="661"/>
      <c r="C33" s="443" t="s">
        <v>251</v>
      </c>
      <c r="D33" s="161"/>
      <c r="E33" s="443" t="s">
        <v>251</v>
      </c>
      <c r="F33" s="161"/>
      <c r="G33" s="443" t="s">
        <v>251</v>
      </c>
      <c r="H33" s="161"/>
      <c r="I33" s="443" t="s">
        <v>251</v>
      </c>
      <c r="J33" s="161"/>
      <c r="K33" s="443" t="s">
        <v>251</v>
      </c>
      <c r="L33" s="161"/>
      <c r="M33" s="443" t="s">
        <v>251</v>
      </c>
      <c r="N33" s="161"/>
      <c r="O33" s="443" t="s">
        <v>251</v>
      </c>
      <c r="P33" s="161"/>
      <c r="Q33" s="443" t="s">
        <v>251</v>
      </c>
      <c r="R33" s="161"/>
      <c r="S33" s="443" t="s">
        <v>251</v>
      </c>
      <c r="T33" s="161"/>
      <c r="U33" s="443" t="s">
        <v>251</v>
      </c>
      <c r="V33" s="161"/>
      <c r="W33" s="443" t="s">
        <v>251</v>
      </c>
      <c r="X33" s="161"/>
      <c r="Y33" s="443" t="s">
        <v>251</v>
      </c>
      <c r="Z33" s="161"/>
      <c r="AA33" s="443" t="s">
        <v>251</v>
      </c>
      <c r="AB33" s="161"/>
      <c r="AC33" s="443" t="s">
        <v>251</v>
      </c>
      <c r="AD33" s="161"/>
      <c r="AE33" s="443" t="s">
        <v>251</v>
      </c>
      <c r="AF33" s="161"/>
      <c r="AG33" s="443" t="s">
        <v>251</v>
      </c>
      <c r="AH33" s="161"/>
      <c r="AI33" s="443" t="s">
        <v>251</v>
      </c>
    </row>
    <row r="34" spans="2:35" x14ac:dyDescent="0.25">
      <c r="B34" s="662"/>
      <c r="C34" s="665">
        <f>+C32/C30</f>
        <v>-0.13513513513513511</v>
      </c>
      <c r="D34" s="663"/>
      <c r="E34" s="664">
        <f>+E30+E32</f>
        <v>15634.455807447846</v>
      </c>
      <c r="F34" s="663"/>
      <c r="G34" s="664">
        <f>+G30+G32</f>
        <v>18320.471971828065</v>
      </c>
      <c r="H34" s="663"/>
      <c r="I34" s="664">
        <f>+I30+I32</f>
        <v>19874.818453099149</v>
      </c>
      <c r="J34" s="663"/>
      <c r="K34" s="664">
        <f>+K30+K32</f>
        <v>20343.064927366951</v>
      </c>
      <c r="L34" s="663"/>
      <c r="M34" s="664">
        <f>+M30+M32</f>
        <v>21426.485125968931</v>
      </c>
      <c r="N34" s="663"/>
      <c r="O34" s="664">
        <f>+O30+O32</f>
        <v>22740.553287049293</v>
      </c>
      <c r="P34" s="663"/>
      <c r="Q34" s="664">
        <f>+Q30+Q32</f>
        <v>23060.026304879117</v>
      </c>
      <c r="R34" s="663"/>
      <c r="S34" s="664">
        <f>+S30+S32</f>
        <v>22723.265916602864</v>
      </c>
      <c r="T34" s="663"/>
      <c r="U34" s="664">
        <f>+U30+U32</f>
        <v>23419.77729983264</v>
      </c>
      <c r="V34" s="663"/>
      <c r="W34" s="664">
        <f>+W30+W32</f>
        <v>22391.485593072033</v>
      </c>
      <c r="X34" s="663"/>
      <c r="Y34" s="664">
        <f>+Y30+Y32</f>
        <v>22391.485593072033</v>
      </c>
      <c r="Z34" s="663"/>
      <c r="AA34" s="664">
        <f>+AA30+AA32</f>
        <v>21687.812578795234</v>
      </c>
      <c r="AB34" s="663"/>
      <c r="AC34" s="664">
        <f>+AC30+AC32</f>
        <v>18085.29700019614</v>
      </c>
      <c r="AD34" s="663"/>
      <c r="AE34" s="664">
        <f>+AE30+AE32</f>
        <v>17836.10707317276</v>
      </c>
      <c r="AF34" s="663"/>
      <c r="AG34" s="664">
        <f>+AG30+AG32</f>
        <v>17836.10707317276</v>
      </c>
      <c r="AH34" s="663"/>
      <c r="AI34" s="664">
        <f>+AI30+AI32</f>
        <v>12228.785994444252</v>
      </c>
    </row>
    <row r="38" spans="2:35" ht="13.8" thickBot="1" x14ac:dyDescent="0.3">
      <c r="C38" s="637">
        <f>+C30/16</f>
        <v>23125.000000000004</v>
      </c>
    </row>
    <row r="40" spans="2:35" ht="13.8" thickBot="1" x14ac:dyDescent="0.3">
      <c r="C40" s="637" t="s">
        <v>446</v>
      </c>
      <c r="D40" s="637"/>
      <c r="E40" s="637" t="s">
        <v>86</v>
      </c>
    </row>
    <row r="41" spans="2:35" x14ac:dyDescent="0.25">
      <c r="C41" s="192" t="s">
        <v>795</v>
      </c>
      <c r="D41" s="193"/>
      <c r="E41" s="667">
        <f>-C32</f>
        <v>50000</v>
      </c>
    </row>
    <row r="42" spans="2:35" x14ac:dyDescent="0.25">
      <c r="C42" s="192" t="s">
        <v>829</v>
      </c>
      <c r="D42" s="193"/>
      <c r="E42" s="667">
        <v>20000</v>
      </c>
      <c r="G42" s="638">
        <f>100/16</f>
        <v>6.25</v>
      </c>
      <c r="I42" s="638"/>
      <c r="K42" s="638"/>
      <c r="M42" s="638"/>
      <c r="O42" s="638"/>
      <c r="Q42" s="638"/>
      <c r="S42" s="638"/>
      <c r="U42" s="638"/>
      <c r="W42" s="638"/>
      <c r="Y42" s="638"/>
      <c r="AA42" s="638"/>
      <c r="AC42" s="638"/>
      <c r="AE42" s="638"/>
      <c r="AG42" s="638"/>
      <c r="AI42" s="638"/>
    </row>
    <row r="43" spans="2:35" x14ac:dyDescent="0.25">
      <c r="C43" s="192" t="s">
        <v>830</v>
      </c>
      <c r="D43" s="193"/>
      <c r="E43" s="667">
        <v>20000</v>
      </c>
      <c r="G43" s="638"/>
      <c r="I43" s="638"/>
      <c r="K43" s="638"/>
      <c r="M43" s="638"/>
      <c r="O43" s="638"/>
      <c r="Q43" s="638"/>
      <c r="S43" s="638"/>
      <c r="U43" s="638"/>
      <c r="W43" s="638"/>
      <c r="Y43" s="638"/>
      <c r="AA43" s="638"/>
      <c r="AC43" s="638"/>
      <c r="AE43" s="638"/>
      <c r="AG43" s="638"/>
      <c r="AI43" s="638"/>
    </row>
    <row r="44" spans="2:35" x14ac:dyDescent="0.25">
      <c r="C44" s="192" t="s">
        <v>831</v>
      </c>
      <c r="D44" s="193"/>
      <c r="E44" s="667">
        <v>20000</v>
      </c>
      <c r="G44" s="638"/>
      <c r="I44" s="638"/>
      <c r="K44" s="638"/>
      <c r="M44" s="638"/>
      <c r="O44" s="638"/>
      <c r="Q44" s="638"/>
      <c r="S44" s="638"/>
      <c r="U44" s="638"/>
      <c r="W44" s="638"/>
      <c r="Y44" s="638"/>
      <c r="AA44" s="638"/>
      <c r="AC44" s="638"/>
      <c r="AE44" s="638"/>
      <c r="AG44" s="638"/>
      <c r="AI44" s="638"/>
    </row>
    <row r="45" spans="2:35" x14ac:dyDescent="0.25">
      <c r="C45" s="192" t="s">
        <v>832</v>
      </c>
      <c r="D45" s="193"/>
      <c r="E45" s="667">
        <v>20000</v>
      </c>
      <c r="G45" s="638"/>
      <c r="I45" s="638"/>
      <c r="K45" s="638"/>
      <c r="M45" s="638"/>
      <c r="O45" s="638"/>
      <c r="Q45" s="638"/>
      <c r="S45" s="638"/>
      <c r="U45" s="638"/>
      <c r="W45" s="638"/>
      <c r="Y45" s="638"/>
      <c r="AA45" s="638"/>
      <c r="AC45" s="638"/>
      <c r="AE45" s="638"/>
      <c r="AG45" s="638"/>
      <c r="AI45" s="638"/>
    </row>
    <row r="46" spans="2:35" x14ac:dyDescent="0.25">
      <c r="C46" s="192" t="s">
        <v>833</v>
      </c>
      <c r="D46" s="193"/>
      <c r="E46" s="667">
        <v>20000</v>
      </c>
      <c r="G46" s="638"/>
      <c r="I46" s="638"/>
      <c r="K46" s="638"/>
      <c r="M46" s="638"/>
      <c r="O46" s="638"/>
      <c r="Q46" s="638"/>
      <c r="S46" s="638"/>
      <c r="U46" s="638"/>
      <c r="W46" s="638"/>
      <c r="Y46" s="638"/>
      <c r="AA46" s="638"/>
      <c r="AC46" s="638"/>
      <c r="AE46" s="638"/>
      <c r="AG46" s="638"/>
      <c r="AI46" s="638"/>
    </row>
    <row r="47" spans="2:35" x14ac:dyDescent="0.25">
      <c r="C47" s="192" t="s">
        <v>834</v>
      </c>
      <c r="D47" s="193"/>
      <c r="E47" s="667">
        <v>20000</v>
      </c>
      <c r="G47" s="638"/>
      <c r="I47" s="638"/>
      <c r="K47" s="638"/>
      <c r="M47" s="638"/>
      <c r="O47" s="638"/>
      <c r="Q47" s="638"/>
      <c r="S47" s="638"/>
      <c r="U47" s="638"/>
      <c r="W47" s="638"/>
      <c r="Y47" s="638"/>
      <c r="AA47" s="638"/>
      <c r="AC47" s="638"/>
      <c r="AE47" s="638"/>
      <c r="AG47" s="638"/>
      <c r="AI47" s="638"/>
    </row>
    <row r="48" spans="2:35" x14ac:dyDescent="0.25">
      <c r="C48" s="192" t="s">
        <v>835</v>
      </c>
      <c r="D48" s="193"/>
      <c r="E48" s="667">
        <v>20000</v>
      </c>
      <c r="G48" s="638"/>
      <c r="I48" s="638"/>
      <c r="K48" s="638"/>
      <c r="M48" s="638"/>
      <c r="O48" s="638"/>
      <c r="Q48" s="638"/>
      <c r="S48" s="638"/>
      <c r="U48" s="638"/>
      <c r="W48" s="638"/>
      <c r="Y48" s="638"/>
      <c r="AA48" s="638"/>
      <c r="AC48" s="638"/>
      <c r="AE48" s="638"/>
      <c r="AG48" s="638"/>
      <c r="AI48" s="638"/>
    </row>
    <row r="49" spans="3:35" x14ac:dyDescent="0.25">
      <c r="C49" s="192" t="s">
        <v>836</v>
      </c>
      <c r="D49" s="193"/>
      <c r="E49" s="667">
        <v>20000</v>
      </c>
      <c r="G49" s="638"/>
      <c r="I49" s="638"/>
      <c r="K49" s="638"/>
      <c r="M49" s="638"/>
      <c r="O49" s="638"/>
      <c r="Q49" s="638"/>
      <c r="S49" s="638"/>
      <c r="U49" s="638"/>
      <c r="W49" s="638"/>
      <c r="Y49" s="638"/>
      <c r="AA49" s="638"/>
      <c r="AC49" s="638"/>
      <c r="AE49" s="638"/>
      <c r="AG49" s="638"/>
      <c r="AI49" s="638"/>
    </row>
    <row r="50" spans="3:35" x14ac:dyDescent="0.25">
      <c r="C50" s="192" t="s">
        <v>837</v>
      </c>
      <c r="D50" s="193"/>
      <c r="E50" s="667">
        <v>20000</v>
      </c>
      <c r="G50" s="638"/>
      <c r="I50" s="638"/>
      <c r="K50" s="638"/>
      <c r="M50" s="638"/>
      <c r="O50" s="638"/>
      <c r="Q50" s="638"/>
      <c r="S50" s="638"/>
      <c r="U50" s="638"/>
      <c r="W50" s="638"/>
      <c r="Y50" s="638"/>
      <c r="AA50" s="638"/>
      <c r="AC50" s="638"/>
      <c r="AE50" s="638"/>
      <c r="AG50" s="638"/>
      <c r="AI50" s="638"/>
    </row>
    <row r="51" spans="3:35" x14ac:dyDescent="0.25">
      <c r="C51" s="192" t="s">
        <v>838</v>
      </c>
      <c r="D51" s="193"/>
      <c r="E51" s="667">
        <v>20000</v>
      </c>
      <c r="G51" s="638"/>
      <c r="I51" s="638"/>
      <c r="K51" s="638"/>
      <c r="M51" s="638"/>
      <c r="O51" s="638"/>
      <c r="Q51" s="638"/>
      <c r="S51" s="638"/>
      <c r="U51" s="638"/>
      <c r="W51" s="638"/>
      <c r="Y51" s="638"/>
      <c r="AA51" s="638"/>
      <c r="AC51" s="638"/>
      <c r="AE51" s="638"/>
      <c r="AG51" s="638"/>
      <c r="AI51" s="638"/>
    </row>
    <row r="52" spans="3:35" x14ac:dyDescent="0.25">
      <c r="C52" s="192" t="s">
        <v>839</v>
      </c>
      <c r="D52" s="193"/>
      <c r="E52" s="667">
        <v>20000</v>
      </c>
      <c r="G52" s="638"/>
      <c r="I52" s="638"/>
      <c r="K52" s="638"/>
      <c r="M52" s="638"/>
      <c r="O52" s="638"/>
      <c r="Q52" s="638"/>
      <c r="S52" s="638"/>
      <c r="U52" s="638"/>
      <c r="W52" s="638"/>
      <c r="Y52" s="638"/>
      <c r="AA52" s="638"/>
      <c r="AC52" s="638"/>
      <c r="AE52" s="638"/>
      <c r="AG52" s="638"/>
      <c r="AI52" s="638"/>
    </row>
    <row r="53" spans="3:35" x14ac:dyDescent="0.25">
      <c r="C53" s="192" t="s">
        <v>840</v>
      </c>
      <c r="D53" s="193"/>
      <c r="E53" s="667">
        <v>20000</v>
      </c>
      <c r="G53" s="638"/>
      <c r="I53" s="638"/>
      <c r="K53" s="638"/>
      <c r="M53" s="638"/>
      <c r="O53" s="638"/>
      <c r="Q53" s="638"/>
      <c r="S53" s="638"/>
      <c r="U53" s="638"/>
      <c r="W53" s="638"/>
      <c r="Y53" s="638"/>
      <c r="AA53" s="638"/>
      <c r="AC53" s="638"/>
      <c r="AE53" s="638"/>
      <c r="AG53" s="638"/>
      <c r="AI53" s="638"/>
    </row>
    <row r="54" spans="3:35" x14ac:dyDescent="0.25">
      <c r="C54" s="192" t="s">
        <v>841</v>
      </c>
      <c r="D54" s="193"/>
      <c r="E54" s="667">
        <v>20000</v>
      </c>
      <c r="G54" s="638"/>
      <c r="I54" s="638"/>
      <c r="K54" s="638"/>
      <c r="M54" s="638"/>
      <c r="O54" s="638"/>
      <c r="Q54" s="638"/>
      <c r="S54" s="638"/>
      <c r="U54" s="638"/>
      <c r="W54" s="638"/>
      <c r="Y54" s="638"/>
      <c r="AA54" s="638"/>
      <c r="AC54" s="638"/>
      <c r="AE54" s="638"/>
      <c r="AG54" s="638"/>
      <c r="AI54" s="638"/>
    </row>
    <row r="55" spans="3:35" x14ac:dyDescent="0.25">
      <c r="C55" s="192" t="s">
        <v>842</v>
      </c>
      <c r="D55" s="193"/>
      <c r="E55" s="667">
        <v>20000</v>
      </c>
      <c r="G55" s="638"/>
      <c r="I55" s="638"/>
      <c r="K55" s="638"/>
      <c r="M55" s="638"/>
      <c r="O55" s="638"/>
      <c r="Q55" s="638"/>
      <c r="S55" s="638"/>
      <c r="U55" s="638"/>
      <c r="W55" s="638"/>
      <c r="Y55" s="638"/>
      <c r="AA55" s="638"/>
      <c r="AC55" s="638"/>
      <c r="AE55" s="638"/>
      <c r="AG55" s="638"/>
      <c r="AI55" s="638"/>
    </row>
    <row r="56" spans="3:35" x14ac:dyDescent="0.25">
      <c r="C56" s="192" t="s">
        <v>843</v>
      </c>
      <c r="D56" s="193"/>
      <c r="E56" s="667">
        <v>20000</v>
      </c>
      <c r="G56" s="638"/>
      <c r="I56" s="638"/>
      <c r="K56" s="638"/>
      <c r="M56" s="638"/>
      <c r="O56" s="638"/>
      <c r="Q56" s="638"/>
      <c r="S56" s="638"/>
      <c r="U56" s="638"/>
      <c r="W56" s="638"/>
      <c r="Y56" s="638"/>
      <c r="AA56" s="638"/>
      <c r="AC56" s="638"/>
      <c r="AE56" s="638"/>
      <c r="AG56" s="638"/>
      <c r="AI56" s="638"/>
    </row>
    <row r="57" spans="3:35" x14ac:dyDescent="0.25">
      <c r="C57" s="192" t="s">
        <v>844</v>
      </c>
      <c r="D57" s="193"/>
      <c r="E57" s="667">
        <v>20000</v>
      </c>
      <c r="G57" s="638"/>
      <c r="I57" s="638"/>
      <c r="K57" s="638"/>
      <c r="M57" s="638"/>
      <c r="O57" s="638"/>
      <c r="Q57" s="638"/>
      <c r="S57" s="638"/>
      <c r="U57" s="638"/>
      <c r="W57" s="638"/>
      <c r="Y57" s="638"/>
      <c r="AA57" s="638"/>
      <c r="AC57" s="638"/>
      <c r="AE57" s="638"/>
      <c r="AG57" s="638"/>
      <c r="AI57" s="638"/>
    </row>
    <row r="58" spans="3:35" x14ac:dyDescent="0.25">
      <c r="C58" s="193"/>
      <c r="D58" s="193"/>
      <c r="E58" s="668" t="s">
        <v>251</v>
      </c>
    </row>
    <row r="59" spans="3:35" x14ac:dyDescent="0.25">
      <c r="C59" s="193"/>
      <c r="D59" s="193"/>
      <c r="E59" s="667">
        <f>SUM(E41:E57)</f>
        <v>370000</v>
      </c>
    </row>
  </sheetData>
  <mergeCells count="21">
    <mergeCell ref="AB2:AC2"/>
    <mergeCell ref="AD2:AE2"/>
    <mergeCell ref="AF2:AG2"/>
    <mergeCell ref="AH2:AI2"/>
    <mergeCell ref="B1:C1"/>
    <mergeCell ref="D1:K1"/>
    <mergeCell ref="L1:S1"/>
    <mergeCell ref="T1:AA1"/>
    <mergeCell ref="AB1:AI1"/>
    <mergeCell ref="P2:Q2"/>
    <mergeCell ref="R2:S2"/>
    <mergeCell ref="T2:U2"/>
    <mergeCell ref="V2:W2"/>
    <mergeCell ref="X2:Y2"/>
    <mergeCell ref="Z2:AA2"/>
    <mergeCell ref="D2:E2"/>
    <mergeCell ref="F2:G2"/>
    <mergeCell ref="H2:I2"/>
    <mergeCell ref="J2:K2"/>
    <mergeCell ref="L2:M2"/>
    <mergeCell ref="N2:O2"/>
  </mergeCells>
  <phoneticPr fontId="60" type="noConversion"/>
  <pageMargins left="0.70866141732283472" right="0.70866141732283472" top="1.4" bottom="0.74803149606299213" header="0.31496062992125984" footer="0.31496062992125984"/>
  <pageSetup paperSize="9" scale="80" orientation="landscape" r:id="rId1"/>
  <colBreaks count="1" manualBreakCount="1">
    <brk id="19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002"/>
  <sheetViews>
    <sheetView topLeftCell="A7" workbookViewId="0">
      <selection activeCell="E10" sqref="E10"/>
    </sheetView>
  </sheetViews>
  <sheetFormatPr baseColWidth="10" defaultColWidth="12.6640625" defaultRowHeight="15" customHeight="1" x14ac:dyDescent="0.25"/>
  <cols>
    <col min="1" max="1" width="11.44140625" customWidth="1"/>
    <col min="2" max="2" width="49.6640625" customWidth="1"/>
    <col min="3" max="3" width="11.44140625" customWidth="1"/>
    <col min="4" max="5" width="10.6640625" customWidth="1"/>
    <col min="6" max="6" width="18.33203125" customWidth="1"/>
    <col min="7" max="26" width="10.6640625" customWidth="1"/>
  </cols>
  <sheetData>
    <row r="1" spans="1:6" ht="12.75" customHeight="1" x14ac:dyDescent="0.25">
      <c r="A1" s="1"/>
      <c r="C1" s="1"/>
    </row>
    <row r="2" spans="1:6" ht="12.75" customHeight="1" x14ac:dyDescent="0.25">
      <c r="A2" s="1"/>
      <c r="C2" s="1"/>
    </row>
    <row r="3" spans="1:6" ht="12.75" customHeight="1" x14ac:dyDescent="0.25">
      <c r="A3" s="1"/>
      <c r="C3" s="1"/>
    </row>
    <row r="4" spans="1:6" ht="12.75" customHeight="1" x14ac:dyDescent="0.25">
      <c r="A4" s="1"/>
      <c r="C4" s="1"/>
    </row>
    <row r="5" spans="1:6" ht="12.75" customHeight="1" x14ac:dyDescent="0.25">
      <c r="A5" s="1"/>
      <c r="C5" s="1"/>
    </row>
    <row r="6" spans="1:6" ht="12.75" customHeight="1" x14ac:dyDescent="0.3">
      <c r="A6" s="87"/>
      <c r="B6" s="88" t="s">
        <v>103</v>
      </c>
      <c r="C6" s="87" t="s">
        <v>2</v>
      </c>
      <c r="D6" s="89" t="s">
        <v>4</v>
      </c>
    </row>
    <row r="7" spans="1:6" ht="12.75" customHeight="1" x14ac:dyDescent="0.25">
      <c r="A7" s="90"/>
      <c r="B7" s="91" t="s">
        <v>108</v>
      </c>
      <c r="C7" s="90" t="s">
        <v>109</v>
      </c>
      <c r="D7" s="92">
        <f>E7/48</f>
        <v>49.166666666666664</v>
      </c>
      <c r="E7" s="93">
        <f>1.18*2000</f>
        <v>2360</v>
      </c>
      <c r="F7" s="2" t="s">
        <v>202</v>
      </c>
    </row>
    <row r="8" spans="1:6" ht="12.75" customHeight="1" x14ac:dyDescent="0.25">
      <c r="A8" s="90"/>
      <c r="B8" s="91" t="s">
        <v>113</v>
      </c>
      <c r="C8" s="90" t="s">
        <v>109</v>
      </c>
      <c r="D8" s="92">
        <f>E8/48</f>
        <v>27.041666666666668</v>
      </c>
      <c r="E8" s="93">
        <f>1.18*1100</f>
        <v>1298</v>
      </c>
      <c r="F8" s="2" t="s">
        <v>202</v>
      </c>
    </row>
    <row r="9" spans="1:6" ht="12.75" customHeight="1" x14ac:dyDescent="0.25">
      <c r="A9" s="90"/>
      <c r="B9" s="91" t="s">
        <v>144</v>
      </c>
      <c r="C9" s="90" t="s">
        <v>109</v>
      </c>
      <c r="D9" s="92">
        <f>E9/48</f>
        <v>19.666666666666668</v>
      </c>
      <c r="E9" s="93">
        <f>1.18*800</f>
        <v>944</v>
      </c>
      <c r="F9" s="2" t="s">
        <v>202</v>
      </c>
    </row>
    <row r="10" spans="1:6" ht="12.75" customHeight="1" x14ac:dyDescent="0.25">
      <c r="A10" s="90"/>
      <c r="B10" s="91" t="s">
        <v>110</v>
      </c>
      <c r="C10" s="90" t="s">
        <v>109</v>
      </c>
      <c r="D10" s="92">
        <f>E10/48</f>
        <v>12.291666666666666</v>
      </c>
      <c r="E10" s="93">
        <f>1.18*500</f>
        <v>590</v>
      </c>
      <c r="F10" s="2" t="s">
        <v>202</v>
      </c>
    </row>
    <row r="11" spans="1:6" ht="12.75" customHeight="1" x14ac:dyDescent="0.3">
      <c r="A11" s="87"/>
      <c r="B11" s="88" t="s">
        <v>116</v>
      </c>
      <c r="C11" s="87" t="s">
        <v>2</v>
      </c>
      <c r="D11" s="89" t="s">
        <v>4</v>
      </c>
    </row>
    <row r="12" spans="1:6" ht="12.75" customHeight="1" x14ac:dyDescent="0.25">
      <c r="A12" s="68"/>
      <c r="B12" s="44" t="s">
        <v>165</v>
      </c>
      <c r="C12" s="68" t="s">
        <v>37</v>
      </c>
      <c r="D12" s="94">
        <f>1.18*85</f>
        <v>100.3</v>
      </c>
      <c r="E12" s="95">
        <f t="shared" ref="E12:E17" si="0">D12*15</f>
        <v>1504.5</v>
      </c>
      <c r="F12" s="2" t="s">
        <v>203</v>
      </c>
    </row>
    <row r="13" spans="1:6" ht="12.75" customHeight="1" x14ac:dyDescent="0.25">
      <c r="A13" s="68"/>
      <c r="B13" s="44" t="s">
        <v>192</v>
      </c>
      <c r="C13" s="68" t="s">
        <v>37</v>
      </c>
      <c r="D13" s="94">
        <f>1.18*85</f>
        <v>100.3</v>
      </c>
      <c r="E13" s="95">
        <f t="shared" si="0"/>
        <v>1504.5</v>
      </c>
      <c r="F13" s="2" t="s">
        <v>203</v>
      </c>
    </row>
    <row r="14" spans="1:6" ht="12.75" customHeight="1" x14ac:dyDescent="0.25">
      <c r="A14" s="68"/>
      <c r="B14" s="44" t="s">
        <v>166</v>
      </c>
      <c r="C14" s="68" t="s">
        <v>37</v>
      </c>
      <c r="D14" s="94">
        <f>1.18*85</f>
        <v>100.3</v>
      </c>
      <c r="E14" s="95">
        <f t="shared" si="0"/>
        <v>1504.5</v>
      </c>
      <c r="F14" s="2" t="s">
        <v>203</v>
      </c>
    </row>
    <row r="15" spans="1:6" ht="12.75" customHeight="1" x14ac:dyDescent="0.25">
      <c r="A15" s="68"/>
      <c r="B15" s="44" t="s">
        <v>152</v>
      </c>
      <c r="C15" s="68" t="s">
        <v>37</v>
      </c>
      <c r="D15" s="94">
        <f>1.18*65</f>
        <v>76.7</v>
      </c>
      <c r="E15" s="95">
        <f t="shared" si="0"/>
        <v>1150.5</v>
      </c>
      <c r="F15" s="2" t="s">
        <v>203</v>
      </c>
    </row>
    <row r="16" spans="1:6" ht="12.75" customHeight="1" x14ac:dyDescent="0.25">
      <c r="A16" s="68"/>
      <c r="B16" s="44" t="s">
        <v>146</v>
      </c>
      <c r="C16" s="68" t="s">
        <v>37</v>
      </c>
      <c r="D16" s="94">
        <f>1.18*75</f>
        <v>88.5</v>
      </c>
      <c r="E16" s="95">
        <f t="shared" si="0"/>
        <v>1327.5</v>
      </c>
      <c r="F16" s="2" t="s">
        <v>203</v>
      </c>
    </row>
    <row r="17" spans="1:6" ht="12.75" customHeight="1" x14ac:dyDescent="0.25">
      <c r="A17" s="68"/>
      <c r="B17" s="44" t="s">
        <v>138</v>
      </c>
      <c r="C17" s="68" t="s">
        <v>37</v>
      </c>
      <c r="D17" s="94">
        <f>1.18*60</f>
        <v>70.8</v>
      </c>
      <c r="E17" s="95">
        <f t="shared" si="0"/>
        <v>1062</v>
      </c>
      <c r="F17" s="2" t="s">
        <v>203</v>
      </c>
    </row>
    <row r="18" spans="1:6" ht="12.75" customHeight="1" x14ac:dyDescent="0.25">
      <c r="A18" s="68"/>
      <c r="B18" s="44" t="s">
        <v>169</v>
      </c>
      <c r="C18" s="68" t="s">
        <v>147</v>
      </c>
      <c r="D18" s="94">
        <v>29</v>
      </c>
      <c r="E18" s="95">
        <f>D18*100</f>
        <v>2900</v>
      </c>
      <c r="F18" s="2" t="s">
        <v>204</v>
      </c>
    </row>
    <row r="19" spans="1:6" ht="12.75" customHeight="1" x14ac:dyDescent="0.25">
      <c r="A19" s="68"/>
      <c r="B19" s="44" t="s">
        <v>145</v>
      </c>
      <c r="C19" s="68" t="s">
        <v>147</v>
      </c>
      <c r="D19" s="94">
        <v>31</v>
      </c>
      <c r="E19" s="95">
        <f>D19*100</f>
        <v>3100</v>
      </c>
      <c r="F19" s="2" t="s">
        <v>204</v>
      </c>
    </row>
    <row r="20" spans="1:6" ht="12.75" customHeight="1" x14ac:dyDescent="0.25">
      <c r="A20" s="68"/>
      <c r="B20" s="44" t="s">
        <v>187</v>
      </c>
      <c r="C20" s="68" t="s">
        <v>126</v>
      </c>
      <c r="D20" s="94">
        <v>1.2</v>
      </c>
      <c r="E20" s="95">
        <f>1000*D20</f>
        <v>1200</v>
      </c>
      <c r="F20" s="2" t="s">
        <v>205</v>
      </c>
    </row>
    <row r="21" spans="1:6" ht="12.75" customHeight="1" x14ac:dyDescent="0.25">
      <c r="A21" s="68"/>
      <c r="B21" s="44" t="s">
        <v>190</v>
      </c>
      <c r="C21" s="68" t="s">
        <v>126</v>
      </c>
      <c r="D21" s="94">
        <v>1</v>
      </c>
      <c r="E21" s="95">
        <f>1000*D21</f>
        <v>1000</v>
      </c>
      <c r="F21" s="2" t="s">
        <v>205</v>
      </c>
    </row>
    <row r="22" spans="1:6" ht="12.75" customHeight="1" x14ac:dyDescent="0.25">
      <c r="A22" s="68"/>
      <c r="B22" s="44" t="s">
        <v>182</v>
      </c>
      <c r="C22" s="68" t="s">
        <v>126</v>
      </c>
      <c r="D22" s="94">
        <v>3.5</v>
      </c>
      <c r="E22" s="95">
        <f>1000*D22</f>
        <v>3500</v>
      </c>
      <c r="F22" s="2" t="s">
        <v>205</v>
      </c>
    </row>
    <row r="23" spans="1:6" ht="12.75" customHeight="1" x14ac:dyDescent="0.25">
      <c r="A23" s="68"/>
      <c r="B23" s="44" t="s">
        <v>150</v>
      </c>
      <c r="C23" s="68" t="s">
        <v>118</v>
      </c>
      <c r="D23" s="94">
        <v>5</v>
      </c>
      <c r="E23" s="95">
        <f>100*D23</f>
        <v>500</v>
      </c>
      <c r="F23" s="2" t="s">
        <v>206</v>
      </c>
    </row>
    <row r="24" spans="1:6" ht="12.75" customHeight="1" x14ac:dyDescent="0.25">
      <c r="A24" s="68"/>
      <c r="B24" s="44" t="s">
        <v>124</v>
      </c>
      <c r="C24" s="68" t="s">
        <v>118</v>
      </c>
      <c r="D24" s="94">
        <v>5</v>
      </c>
      <c r="E24" s="95">
        <f>100*D24</f>
        <v>500</v>
      </c>
      <c r="F24" s="2" t="s">
        <v>206</v>
      </c>
    </row>
    <row r="25" spans="1:6" ht="12.75" customHeight="1" x14ac:dyDescent="0.25">
      <c r="A25" s="68"/>
      <c r="B25" s="44" t="s">
        <v>117</v>
      </c>
      <c r="C25" s="68" t="s">
        <v>118</v>
      </c>
      <c r="D25" s="94">
        <v>5</v>
      </c>
      <c r="E25" s="95">
        <f>D25*10</f>
        <v>50</v>
      </c>
      <c r="F25" s="2" t="s">
        <v>207</v>
      </c>
    </row>
    <row r="26" spans="1:6" ht="12.75" customHeight="1" x14ac:dyDescent="0.25">
      <c r="A26" s="90"/>
      <c r="B26" s="91" t="s">
        <v>114</v>
      </c>
      <c r="C26" s="90" t="s">
        <v>115</v>
      </c>
      <c r="D26" s="92">
        <v>5</v>
      </c>
    </row>
    <row r="27" spans="1:6" ht="12.75" customHeight="1" x14ac:dyDescent="0.25">
      <c r="A27" s="83"/>
      <c r="B27" s="44" t="s">
        <v>168</v>
      </c>
      <c r="C27" s="83" t="s">
        <v>118</v>
      </c>
      <c r="D27" s="94">
        <v>5</v>
      </c>
    </row>
    <row r="28" spans="1:6" ht="12.75" customHeight="1" x14ac:dyDescent="0.25">
      <c r="A28" s="96"/>
      <c r="B28" s="91" t="s">
        <v>148</v>
      </c>
      <c r="C28" s="96" t="s">
        <v>131</v>
      </c>
      <c r="D28" s="92">
        <v>6</v>
      </c>
    </row>
    <row r="29" spans="1:6" ht="12.75" customHeight="1" x14ac:dyDescent="0.25">
      <c r="A29" s="96"/>
      <c r="B29" s="91" t="s">
        <v>156</v>
      </c>
      <c r="C29" s="96" t="s">
        <v>131</v>
      </c>
      <c r="D29" s="92">
        <v>22</v>
      </c>
    </row>
    <row r="30" spans="1:6" ht="12.75" customHeight="1" x14ac:dyDescent="0.25">
      <c r="A30" s="96"/>
      <c r="B30" s="91" t="s">
        <v>188</v>
      </c>
      <c r="C30" s="96" t="s">
        <v>208</v>
      </c>
      <c r="D30" s="92">
        <v>5</v>
      </c>
    </row>
    <row r="31" spans="1:6" ht="12.75" customHeight="1" x14ac:dyDescent="0.25">
      <c r="A31" s="96"/>
      <c r="B31" s="91" t="s">
        <v>135</v>
      </c>
      <c r="C31" s="96" t="s">
        <v>208</v>
      </c>
      <c r="D31" s="92">
        <v>15</v>
      </c>
    </row>
    <row r="32" spans="1:6" ht="12.75" customHeight="1" x14ac:dyDescent="0.25">
      <c r="A32" s="83"/>
      <c r="B32" s="44" t="s">
        <v>141</v>
      </c>
      <c r="C32" s="83" t="s">
        <v>131</v>
      </c>
      <c r="D32" s="94">
        <v>130</v>
      </c>
    </row>
    <row r="33" spans="1:4" ht="12.75" customHeight="1" x14ac:dyDescent="0.25">
      <c r="A33" s="83"/>
      <c r="B33" s="44" t="s">
        <v>155</v>
      </c>
      <c r="C33" s="83" t="s">
        <v>37</v>
      </c>
      <c r="D33" s="94">
        <v>260</v>
      </c>
    </row>
    <row r="34" spans="1:4" ht="12.75" customHeight="1" x14ac:dyDescent="0.25">
      <c r="A34" s="83"/>
      <c r="B34" s="44" t="s">
        <v>167</v>
      </c>
      <c r="C34" s="83" t="s">
        <v>37</v>
      </c>
      <c r="D34" s="94">
        <v>275</v>
      </c>
    </row>
    <row r="35" spans="1:4" ht="12.75" customHeight="1" x14ac:dyDescent="0.25">
      <c r="A35" s="83"/>
      <c r="B35" s="44" t="s">
        <v>320</v>
      </c>
      <c r="C35" s="83" t="s">
        <v>37</v>
      </c>
      <c r="D35" s="94">
        <v>350</v>
      </c>
    </row>
    <row r="36" spans="1:4" ht="12.75" customHeight="1" x14ac:dyDescent="0.25">
      <c r="A36" s="83"/>
      <c r="B36" s="44" t="s">
        <v>175</v>
      </c>
      <c r="C36" s="83" t="s">
        <v>37</v>
      </c>
      <c r="D36" s="94">
        <v>40</v>
      </c>
    </row>
    <row r="37" spans="1:4" ht="12.75" customHeight="1" x14ac:dyDescent="0.25">
      <c r="A37" s="83"/>
      <c r="B37" s="44" t="s">
        <v>130</v>
      </c>
      <c r="C37" s="83" t="s">
        <v>131</v>
      </c>
      <c r="D37" s="94">
        <v>250</v>
      </c>
    </row>
    <row r="38" spans="1:4" ht="12.75" customHeight="1" x14ac:dyDescent="0.25">
      <c r="A38" s="83"/>
      <c r="B38" s="44" t="s">
        <v>125</v>
      </c>
      <c r="C38" s="83" t="s">
        <v>126</v>
      </c>
      <c r="D38" s="94">
        <v>25</v>
      </c>
    </row>
    <row r="39" spans="1:4" ht="12.75" customHeight="1" x14ac:dyDescent="0.25">
      <c r="A39" s="83"/>
      <c r="B39" s="44" t="s">
        <v>127</v>
      </c>
      <c r="C39" s="83" t="s">
        <v>126</v>
      </c>
      <c r="D39" s="94">
        <v>35</v>
      </c>
    </row>
    <row r="40" spans="1:4" ht="12.75" customHeight="1" x14ac:dyDescent="0.25">
      <c r="A40" s="83"/>
      <c r="B40" s="44" t="s">
        <v>484</v>
      </c>
      <c r="C40" s="83" t="s">
        <v>483</v>
      </c>
      <c r="D40" s="94">
        <v>750</v>
      </c>
    </row>
    <row r="41" spans="1:4" ht="12.75" customHeight="1" x14ac:dyDescent="0.25">
      <c r="A41" s="83"/>
      <c r="B41" s="44" t="s">
        <v>482</v>
      </c>
      <c r="C41" s="83" t="s">
        <v>126</v>
      </c>
      <c r="D41" s="94">
        <v>114.9</v>
      </c>
    </row>
    <row r="42" spans="1:4" ht="12.75" customHeight="1" x14ac:dyDescent="0.25">
      <c r="A42" s="96"/>
      <c r="B42" s="44" t="s">
        <v>129</v>
      </c>
      <c r="C42" s="96" t="s">
        <v>208</v>
      </c>
      <c r="D42" s="94">
        <v>12</v>
      </c>
    </row>
    <row r="43" spans="1:4" ht="12.75" customHeight="1" x14ac:dyDescent="0.25">
      <c r="A43" s="1"/>
      <c r="C43" s="1"/>
    </row>
    <row r="44" spans="1:4" ht="12.75" customHeight="1" x14ac:dyDescent="0.25">
      <c r="A44" s="1"/>
      <c r="C44" s="1"/>
    </row>
    <row r="45" spans="1:4" ht="12.75" customHeight="1" x14ac:dyDescent="0.25">
      <c r="A45" s="1"/>
      <c r="C45" s="1"/>
    </row>
    <row r="46" spans="1:4" ht="12.75" customHeight="1" x14ac:dyDescent="0.25">
      <c r="A46" s="1"/>
      <c r="C46" s="1"/>
    </row>
    <row r="47" spans="1:4" ht="12.75" customHeight="1" x14ac:dyDescent="0.25">
      <c r="A47" s="1"/>
      <c r="C47" s="1"/>
    </row>
    <row r="48" spans="1:4" ht="12.75" customHeight="1" x14ac:dyDescent="0.25">
      <c r="A48" s="1"/>
      <c r="C48" s="1"/>
    </row>
    <row r="49" spans="1:3" ht="12.75" customHeight="1" x14ac:dyDescent="0.25">
      <c r="A49" s="1"/>
      <c r="C49" s="1"/>
    </row>
    <row r="50" spans="1:3" ht="12.75" customHeight="1" x14ac:dyDescent="0.25">
      <c r="A50" s="1"/>
      <c r="C50" s="1"/>
    </row>
    <row r="51" spans="1:3" ht="12.75" customHeight="1" x14ac:dyDescent="0.25">
      <c r="A51" s="1"/>
      <c r="C51" s="1"/>
    </row>
    <row r="52" spans="1:3" ht="12.75" customHeight="1" x14ac:dyDescent="0.25">
      <c r="A52" s="1"/>
      <c r="C52" s="1"/>
    </row>
    <row r="53" spans="1:3" ht="12.75" customHeight="1" x14ac:dyDescent="0.25">
      <c r="A53" s="1"/>
      <c r="C53" s="1"/>
    </row>
    <row r="54" spans="1:3" ht="12.75" customHeight="1" x14ac:dyDescent="0.25">
      <c r="A54" s="1"/>
      <c r="C54" s="1"/>
    </row>
    <row r="55" spans="1:3" ht="12.75" customHeight="1" x14ac:dyDescent="0.25">
      <c r="A55" s="1"/>
      <c r="C55" s="1"/>
    </row>
    <row r="56" spans="1:3" ht="12.75" customHeight="1" x14ac:dyDescent="0.25">
      <c r="A56" s="1"/>
      <c r="C56" s="1"/>
    </row>
    <row r="57" spans="1:3" ht="12.75" customHeight="1" x14ac:dyDescent="0.25">
      <c r="A57" s="1"/>
      <c r="C57" s="1"/>
    </row>
    <row r="58" spans="1:3" ht="12.75" customHeight="1" x14ac:dyDescent="0.25">
      <c r="A58" s="1"/>
      <c r="C58" s="1"/>
    </row>
    <row r="59" spans="1:3" ht="12.75" customHeight="1" x14ac:dyDescent="0.25">
      <c r="A59" s="1"/>
      <c r="C59" s="1"/>
    </row>
    <row r="60" spans="1:3" ht="12.75" customHeight="1" x14ac:dyDescent="0.25">
      <c r="A60" s="1"/>
      <c r="C60" s="1"/>
    </row>
    <row r="61" spans="1:3" ht="12.75" customHeight="1" x14ac:dyDescent="0.25">
      <c r="A61" s="1"/>
      <c r="C61" s="1"/>
    </row>
    <row r="62" spans="1:3" ht="12.75" customHeight="1" x14ac:dyDescent="0.25">
      <c r="A62" s="1"/>
      <c r="C62" s="1"/>
    </row>
    <row r="63" spans="1:3" ht="12.75" customHeight="1" x14ac:dyDescent="0.25">
      <c r="A63" s="1"/>
      <c r="C63" s="1"/>
    </row>
    <row r="64" spans="1:3" ht="12.75" customHeight="1" x14ac:dyDescent="0.25">
      <c r="A64" s="1"/>
      <c r="C64" s="1"/>
    </row>
    <row r="65" spans="1:3" ht="12.75" customHeight="1" x14ac:dyDescent="0.25">
      <c r="A65" s="1"/>
      <c r="C65" s="1"/>
    </row>
    <row r="66" spans="1:3" ht="12.75" customHeight="1" x14ac:dyDescent="0.25">
      <c r="A66" s="1"/>
      <c r="C66" s="1"/>
    </row>
    <row r="67" spans="1:3" ht="12.75" customHeight="1" x14ac:dyDescent="0.25">
      <c r="A67" s="1"/>
      <c r="C67" s="1"/>
    </row>
    <row r="68" spans="1:3" ht="12.75" customHeight="1" x14ac:dyDescent="0.25">
      <c r="A68" s="1"/>
      <c r="C68" s="1"/>
    </row>
    <row r="69" spans="1:3" ht="12.75" customHeight="1" x14ac:dyDescent="0.25">
      <c r="A69" s="1"/>
      <c r="C69" s="1"/>
    </row>
    <row r="70" spans="1:3" ht="12.75" customHeight="1" x14ac:dyDescent="0.25">
      <c r="A70" s="1"/>
      <c r="C70" s="1"/>
    </row>
    <row r="71" spans="1:3" ht="12.75" customHeight="1" x14ac:dyDescent="0.25">
      <c r="A71" s="1"/>
      <c r="C71" s="1"/>
    </row>
    <row r="72" spans="1:3" ht="12.75" customHeight="1" x14ac:dyDescent="0.25">
      <c r="A72" s="1"/>
      <c r="C72" s="1"/>
    </row>
    <row r="73" spans="1:3" ht="12.75" customHeight="1" x14ac:dyDescent="0.25">
      <c r="A73" s="1"/>
      <c r="C73" s="1"/>
    </row>
    <row r="74" spans="1:3" ht="12.75" customHeight="1" x14ac:dyDescent="0.25">
      <c r="A74" s="1"/>
      <c r="C74" s="1"/>
    </row>
    <row r="75" spans="1:3" ht="12.75" customHeight="1" x14ac:dyDescent="0.25">
      <c r="A75" s="1"/>
      <c r="C75" s="1"/>
    </row>
    <row r="76" spans="1:3" ht="12.75" customHeight="1" x14ac:dyDescent="0.25">
      <c r="A76" s="1"/>
      <c r="C76" s="1"/>
    </row>
    <row r="77" spans="1:3" ht="12.75" customHeight="1" x14ac:dyDescent="0.25">
      <c r="A77" s="1"/>
      <c r="C77" s="1"/>
    </row>
    <row r="78" spans="1:3" ht="12.75" customHeight="1" x14ac:dyDescent="0.25">
      <c r="A78" s="1"/>
      <c r="C78" s="1"/>
    </row>
    <row r="79" spans="1:3" ht="12.75" customHeight="1" x14ac:dyDescent="0.25">
      <c r="A79" s="1"/>
      <c r="C79" s="1"/>
    </row>
    <row r="80" spans="1:3" ht="12.75" customHeight="1" x14ac:dyDescent="0.25">
      <c r="A80" s="1"/>
      <c r="C80" s="1"/>
    </row>
    <row r="81" spans="1:3" ht="12.75" customHeight="1" x14ac:dyDescent="0.25">
      <c r="A81" s="1"/>
      <c r="C81" s="1"/>
    </row>
    <row r="82" spans="1:3" ht="12.75" customHeight="1" x14ac:dyDescent="0.25">
      <c r="A82" s="1"/>
      <c r="C82" s="1"/>
    </row>
    <row r="83" spans="1:3" ht="12.75" customHeight="1" x14ac:dyDescent="0.25">
      <c r="A83" s="1"/>
      <c r="C83" s="1"/>
    </row>
    <row r="84" spans="1:3" ht="12.75" customHeight="1" x14ac:dyDescent="0.25">
      <c r="A84" s="1"/>
      <c r="C84" s="1"/>
    </row>
    <row r="85" spans="1:3" ht="12.75" customHeight="1" x14ac:dyDescent="0.25">
      <c r="A85" s="1"/>
      <c r="C85" s="1"/>
    </row>
    <row r="86" spans="1:3" ht="12.75" customHeight="1" x14ac:dyDescent="0.25">
      <c r="A86" s="1"/>
      <c r="C86" s="1"/>
    </row>
    <row r="87" spans="1:3" ht="12.75" customHeight="1" x14ac:dyDescent="0.25">
      <c r="A87" s="1"/>
      <c r="C87" s="1"/>
    </row>
    <row r="88" spans="1:3" ht="12.75" customHeight="1" x14ac:dyDescent="0.25">
      <c r="A88" s="1"/>
      <c r="C88" s="1"/>
    </row>
    <row r="89" spans="1:3" ht="12.75" customHeight="1" x14ac:dyDescent="0.25">
      <c r="A89" s="1"/>
      <c r="C89" s="1"/>
    </row>
    <row r="90" spans="1:3" ht="12.75" customHeight="1" x14ac:dyDescent="0.25">
      <c r="A90" s="1"/>
      <c r="C90" s="1"/>
    </row>
    <row r="91" spans="1:3" ht="12.75" customHeight="1" x14ac:dyDescent="0.25">
      <c r="A91" s="1"/>
      <c r="C91" s="1"/>
    </row>
    <row r="92" spans="1:3" ht="12.75" customHeight="1" x14ac:dyDescent="0.25">
      <c r="A92" s="1"/>
      <c r="C92" s="1"/>
    </row>
    <row r="93" spans="1:3" ht="12.75" customHeight="1" x14ac:dyDescent="0.25">
      <c r="A93" s="1"/>
      <c r="C93" s="1"/>
    </row>
    <row r="94" spans="1:3" ht="12.75" customHeight="1" x14ac:dyDescent="0.25">
      <c r="A94" s="1"/>
      <c r="C94" s="1"/>
    </row>
    <row r="95" spans="1:3" ht="12.75" customHeight="1" x14ac:dyDescent="0.25">
      <c r="A95" s="1"/>
      <c r="C95" s="1"/>
    </row>
    <row r="96" spans="1:3" ht="12.75" customHeight="1" x14ac:dyDescent="0.25">
      <c r="A96" s="1"/>
      <c r="C96" s="1"/>
    </row>
    <row r="97" spans="1:3" ht="12.75" customHeight="1" x14ac:dyDescent="0.25">
      <c r="A97" s="1"/>
      <c r="C97" s="1"/>
    </row>
    <row r="98" spans="1:3" ht="12.75" customHeight="1" x14ac:dyDescent="0.25">
      <c r="A98" s="1"/>
      <c r="C98" s="1"/>
    </row>
    <row r="99" spans="1:3" ht="12.75" customHeight="1" x14ac:dyDescent="0.25">
      <c r="A99" s="1"/>
      <c r="C99" s="1"/>
    </row>
    <row r="100" spans="1:3" ht="12.75" customHeight="1" x14ac:dyDescent="0.25">
      <c r="A100" s="1"/>
      <c r="C100" s="1"/>
    </row>
    <row r="101" spans="1:3" ht="12.75" customHeight="1" x14ac:dyDescent="0.25">
      <c r="A101" s="1"/>
      <c r="C101" s="1"/>
    </row>
    <row r="102" spans="1:3" ht="12.75" customHeight="1" x14ac:dyDescent="0.25">
      <c r="A102" s="1"/>
      <c r="C102" s="1"/>
    </row>
    <row r="103" spans="1:3" ht="12.75" customHeight="1" x14ac:dyDescent="0.25">
      <c r="A103" s="1"/>
      <c r="C103" s="1"/>
    </row>
    <row r="104" spans="1:3" ht="12.75" customHeight="1" x14ac:dyDescent="0.25">
      <c r="A104" s="1"/>
      <c r="C104" s="1"/>
    </row>
    <row r="105" spans="1:3" ht="12.75" customHeight="1" x14ac:dyDescent="0.25">
      <c r="A105" s="1"/>
      <c r="C105" s="1"/>
    </row>
    <row r="106" spans="1:3" ht="12.75" customHeight="1" x14ac:dyDescent="0.25">
      <c r="A106" s="1"/>
      <c r="C106" s="1"/>
    </row>
    <row r="107" spans="1:3" ht="12.75" customHeight="1" x14ac:dyDescent="0.25">
      <c r="A107" s="1"/>
      <c r="C107" s="1"/>
    </row>
    <row r="108" spans="1:3" ht="12.75" customHeight="1" x14ac:dyDescent="0.25">
      <c r="A108" s="1"/>
      <c r="C108" s="1"/>
    </row>
    <row r="109" spans="1:3" ht="12.75" customHeight="1" x14ac:dyDescent="0.25">
      <c r="A109" s="1"/>
      <c r="C109" s="1"/>
    </row>
    <row r="110" spans="1:3" ht="12.75" customHeight="1" x14ac:dyDescent="0.25">
      <c r="A110" s="1"/>
      <c r="C110" s="1"/>
    </row>
    <row r="111" spans="1:3" ht="12.75" customHeight="1" x14ac:dyDescent="0.25">
      <c r="A111" s="1"/>
      <c r="C111" s="1"/>
    </row>
    <row r="112" spans="1:3" ht="12.75" customHeight="1" x14ac:dyDescent="0.25">
      <c r="A112" s="1"/>
      <c r="C112" s="1"/>
    </row>
    <row r="113" spans="1:3" ht="12.75" customHeight="1" x14ac:dyDescent="0.25">
      <c r="A113" s="1"/>
      <c r="C113" s="1"/>
    </row>
    <row r="114" spans="1:3" ht="12.75" customHeight="1" x14ac:dyDescent="0.25">
      <c r="A114" s="1"/>
      <c r="C114" s="1"/>
    </row>
    <row r="115" spans="1:3" ht="12.75" customHeight="1" x14ac:dyDescent="0.25">
      <c r="A115" s="1"/>
      <c r="C115" s="1"/>
    </row>
    <row r="116" spans="1:3" ht="12.75" customHeight="1" x14ac:dyDescent="0.25">
      <c r="A116" s="1"/>
      <c r="C116" s="1"/>
    </row>
    <row r="117" spans="1:3" ht="12.75" customHeight="1" x14ac:dyDescent="0.25">
      <c r="A117" s="1"/>
      <c r="C117" s="1"/>
    </row>
    <row r="118" spans="1:3" ht="12.75" customHeight="1" x14ac:dyDescent="0.25">
      <c r="A118" s="1"/>
      <c r="C118" s="1"/>
    </row>
    <row r="119" spans="1:3" ht="12.75" customHeight="1" x14ac:dyDescent="0.25">
      <c r="A119" s="1"/>
      <c r="C119" s="1"/>
    </row>
    <row r="120" spans="1:3" ht="12.75" customHeight="1" x14ac:dyDescent="0.25">
      <c r="A120" s="1"/>
      <c r="C120" s="1"/>
    </row>
    <row r="121" spans="1:3" ht="12.75" customHeight="1" x14ac:dyDescent="0.25">
      <c r="A121" s="1"/>
      <c r="C121" s="1"/>
    </row>
    <row r="122" spans="1:3" ht="12.75" customHeight="1" x14ac:dyDescent="0.25">
      <c r="A122" s="1"/>
      <c r="C122" s="1"/>
    </row>
    <row r="123" spans="1:3" ht="12.75" customHeight="1" x14ac:dyDescent="0.25">
      <c r="A123" s="1"/>
      <c r="C123" s="1"/>
    </row>
    <row r="124" spans="1:3" ht="12.75" customHeight="1" x14ac:dyDescent="0.25">
      <c r="A124" s="1"/>
      <c r="C124" s="1"/>
    </row>
    <row r="125" spans="1:3" ht="12.75" customHeight="1" x14ac:dyDescent="0.25">
      <c r="A125" s="1"/>
      <c r="C125" s="1"/>
    </row>
    <row r="126" spans="1:3" ht="12.75" customHeight="1" x14ac:dyDescent="0.25">
      <c r="A126" s="1"/>
      <c r="C126" s="1"/>
    </row>
    <row r="127" spans="1:3" ht="12.75" customHeight="1" x14ac:dyDescent="0.25">
      <c r="A127" s="1"/>
      <c r="C127" s="1"/>
    </row>
    <row r="128" spans="1:3" ht="12.75" customHeight="1" x14ac:dyDescent="0.25">
      <c r="A128" s="1"/>
      <c r="C128" s="1"/>
    </row>
    <row r="129" spans="1:3" ht="12.75" customHeight="1" x14ac:dyDescent="0.25">
      <c r="A129" s="1"/>
      <c r="C129" s="1"/>
    </row>
    <row r="130" spans="1:3" ht="12.75" customHeight="1" x14ac:dyDescent="0.25">
      <c r="A130" s="1"/>
      <c r="C130" s="1"/>
    </row>
    <row r="131" spans="1:3" ht="12.75" customHeight="1" x14ac:dyDescent="0.25">
      <c r="A131" s="1"/>
      <c r="C131" s="1"/>
    </row>
    <row r="132" spans="1:3" ht="12.75" customHeight="1" x14ac:dyDescent="0.25">
      <c r="A132" s="1"/>
      <c r="C132" s="1"/>
    </row>
    <row r="133" spans="1:3" ht="12.75" customHeight="1" x14ac:dyDescent="0.25">
      <c r="A133" s="1"/>
      <c r="C133" s="1"/>
    </row>
    <row r="134" spans="1:3" ht="12.75" customHeight="1" x14ac:dyDescent="0.25">
      <c r="A134" s="1"/>
      <c r="C134" s="1"/>
    </row>
    <row r="135" spans="1:3" ht="12.75" customHeight="1" x14ac:dyDescent="0.25">
      <c r="A135" s="1"/>
      <c r="C135" s="1"/>
    </row>
    <row r="136" spans="1:3" ht="12.75" customHeight="1" x14ac:dyDescent="0.25">
      <c r="A136" s="1"/>
      <c r="C136" s="1"/>
    </row>
    <row r="137" spans="1:3" ht="12.75" customHeight="1" x14ac:dyDescent="0.25">
      <c r="A137" s="1"/>
      <c r="C137" s="1"/>
    </row>
    <row r="138" spans="1:3" ht="12.75" customHeight="1" x14ac:dyDescent="0.25">
      <c r="A138" s="1"/>
      <c r="C138" s="1"/>
    </row>
    <row r="139" spans="1:3" ht="12.75" customHeight="1" x14ac:dyDescent="0.25">
      <c r="A139" s="1"/>
      <c r="C139" s="1"/>
    </row>
    <row r="140" spans="1:3" ht="12.75" customHeight="1" x14ac:dyDescent="0.25">
      <c r="A140" s="1"/>
      <c r="C140" s="1"/>
    </row>
    <row r="141" spans="1:3" ht="12.75" customHeight="1" x14ac:dyDescent="0.25">
      <c r="A141" s="1"/>
      <c r="C141" s="1"/>
    </row>
    <row r="142" spans="1:3" ht="12.75" customHeight="1" x14ac:dyDescent="0.25">
      <c r="A142" s="1"/>
      <c r="C142" s="1"/>
    </row>
    <row r="143" spans="1:3" ht="12.75" customHeight="1" x14ac:dyDescent="0.25">
      <c r="A143" s="1"/>
      <c r="C143" s="1"/>
    </row>
    <row r="144" spans="1:3" ht="12.75" customHeight="1" x14ac:dyDescent="0.25">
      <c r="A144" s="1"/>
      <c r="C144" s="1"/>
    </row>
    <row r="145" spans="1:3" ht="12.75" customHeight="1" x14ac:dyDescent="0.25">
      <c r="A145" s="1"/>
      <c r="C145" s="1"/>
    </row>
    <row r="146" spans="1:3" ht="12.75" customHeight="1" x14ac:dyDescent="0.25">
      <c r="A146" s="1"/>
      <c r="C146" s="1"/>
    </row>
    <row r="147" spans="1:3" ht="12.75" customHeight="1" x14ac:dyDescent="0.25">
      <c r="A147" s="1"/>
      <c r="C147" s="1"/>
    </row>
    <row r="148" spans="1:3" ht="12.75" customHeight="1" x14ac:dyDescent="0.25">
      <c r="A148" s="1"/>
      <c r="C148" s="1"/>
    </row>
    <row r="149" spans="1:3" ht="12.75" customHeight="1" x14ac:dyDescent="0.25">
      <c r="A149" s="1"/>
      <c r="C149" s="1"/>
    </row>
    <row r="150" spans="1:3" ht="12.75" customHeight="1" x14ac:dyDescent="0.25">
      <c r="A150" s="1"/>
      <c r="C150" s="1"/>
    </row>
    <row r="151" spans="1:3" ht="12.75" customHeight="1" x14ac:dyDescent="0.25">
      <c r="A151" s="1"/>
      <c r="C151" s="1"/>
    </row>
    <row r="152" spans="1:3" ht="12.75" customHeight="1" x14ac:dyDescent="0.25">
      <c r="A152" s="1"/>
      <c r="C152" s="1"/>
    </row>
    <row r="153" spans="1:3" ht="12.75" customHeight="1" x14ac:dyDescent="0.25">
      <c r="A153" s="1"/>
      <c r="C153" s="1"/>
    </row>
    <row r="154" spans="1:3" ht="12.75" customHeight="1" x14ac:dyDescent="0.25">
      <c r="A154" s="1"/>
      <c r="C154" s="1"/>
    </row>
    <row r="155" spans="1:3" ht="12.75" customHeight="1" x14ac:dyDescent="0.25">
      <c r="A155" s="1"/>
      <c r="C155" s="1"/>
    </row>
    <row r="156" spans="1:3" ht="12.75" customHeight="1" x14ac:dyDescent="0.25">
      <c r="A156" s="1"/>
      <c r="C156" s="1"/>
    </row>
    <row r="157" spans="1:3" ht="12.75" customHeight="1" x14ac:dyDescent="0.25">
      <c r="A157" s="1"/>
      <c r="C157" s="1"/>
    </row>
    <row r="158" spans="1:3" ht="12.75" customHeight="1" x14ac:dyDescent="0.25">
      <c r="A158" s="1"/>
      <c r="C158" s="1"/>
    </row>
    <row r="159" spans="1:3" ht="12.75" customHeight="1" x14ac:dyDescent="0.25">
      <c r="A159" s="1"/>
      <c r="C159" s="1"/>
    </row>
    <row r="160" spans="1:3" ht="12.75" customHeight="1" x14ac:dyDescent="0.25">
      <c r="A160" s="1"/>
      <c r="C160" s="1"/>
    </row>
    <row r="161" spans="1:3" ht="12.75" customHeight="1" x14ac:dyDescent="0.25">
      <c r="A161" s="1"/>
      <c r="C161" s="1"/>
    </row>
    <row r="162" spans="1:3" ht="12.75" customHeight="1" x14ac:dyDescent="0.25">
      <c r="A162" s="1"/>
      <c r="C162" s="1"/>
    </row>
    <row r="163" spans="1:3" ht="12.75" customHeight="1" x14ac:dyDescent="0.25">
      <c r="A163" s="1"/>
      <c r="C163" s="1"/>
    </row>
    <row r="164" spans="1:3" ht="12.75" customHeight="1" x14ac:dyDescent="0.25">
      <c r="A164" s="1"/>
      <c r="C164" s="1"/>
    </row>
    <row r="165" spans="1:3" ht="12.75" customHeight="1" x14ac:dyDescent="0.25">
      <c r="A165" s="1"/>
      <c r="C165" s="1"/>
    </row>
    <row r="166" spans="1:3" ht="12.75" customHeight="1" x14ac:dyDescent="0.25">
      <c r="A166" s="1"/>
      <c r="C166" s="1"/>
    </row>
    <row r="167" spans="1:3" ht="12.75" customHeight="1" x14ac:dyDescent="0.25">
      <c r="A167" s="1"/>
      <c r="C167" s="1"/>
    </row>
    <row r="168" spans="1:3" ht="12.75" customHeight="1" x14ac:dyDescent="0.25">
      <c r="A168" s="1"/>
      <c r="C168" s="1"/>
    </row>
    <row r="169" spans="1:3" ht="12.75" customHeight="1" x14ac:dyDescent="0.25">
      <c r="A169" s="1"/>
      <c r="C169" s="1"/>
    </row>
    <row r="170" spans="1:3" ht="12.75" customHeight="1" x14ac:dyDescent="0.25">
      <c r="A170" s="1"/>
      <c r="C170" s="1"/>
    </row>
    <row r="171" spans="1:3" ht="12.75" customHeight="1" x14ac:dyDescent="0.25">
      <c r="A171" s="1"/>
      <c r="C171" s="1"/>
    </row>
    <row r="172" spans="1:3" ht="12.75" customHeight="1" x14ac:dyDescent="0.25">
      <c r="A172" s="1"/>
      <c r="C172" s="1"/>
    </row>
    <row r="173" spans="1:3" ht="12.75" customHeight="1" x14ac:dyDescent="0.25">
      <c r="A173" s="1"/>
      <c r="C173" s="1"/>
    </row>
    <row r="174" spans="1:3" ht="12.75" customHeight="1" x14ac:dyDescent="0.25">
      <c r="A174" s="1"/>
      <c r="C174" s="1"/>
    </row>
    <row r="175" spans="1:3" ht="12.75" customHeight="1" x14ac:dyDescent="0.25">
      <c r="A175" s="1"/>
      <c r="C175" s="1"/>
    </row>
    <row r="176" spans="1:3" ht="12.75" customHeight="1" x14ac:dyDescent="0.25">
      <c r="A176" s="1"/>
      <c r="C176" s="1"/>
    </row>
    <row r="177" spans="1:3" ht="12.75" customHeight="1" x14ac:dyDescent="0.25">
      <c r="A177" s="1"/>
      <c r="C177" s="1"/>
    </row>
    <row r="178" spans="1:3" ht="12.75" customHeight="1" x14ac:dyDescent="0.25">
      <c r="A178" s="1"/>
      <c r="C178" s="1"/>
    </row>
    <row r="179" spans="1:3" ht="12.75" customHeight="1" x14ac:dyDescent="0.25">
      <c r="A179" s="1"/>
      <c r="C179" s="1"/>
    </row>
    <row r="180" spans="1:3" ht="12.75" customHeight="1" x14ac:dyDescent="0.25">
      <c r="A180" s="1"/>
      <c r="C180" s="1"/>
    </row>
    <row r="181" spans="1:3" ht="12.75" customHeight="1" x14ac:dyDescent="0.25">
      <c r="A181" s="1"/>
      <c r="C181" s="1"/>
    </row>
    <row r="182" spans="1:3" ht="12.75" customHeight="1" x14ac:dyDescent="0.25">
      <c r="A182" s="1"/>
      <c r="C182" s="1"/>
    </row>
    <row r="183" spans="1:3" ht="12.75" customHeight="1" x14ac:dyDescent="0.25">
      <c r="A183" s="1"/>
      <c r="C183" s="1"/>
    </row>
    <row r="184" spans="1:3" ht="12.75" customHeight="1" x14ac:dyDescent="0.25">
      <c r="A184" s="1"/>
      <c r="C184" s="1"/>
    </row>
    <row r="185" spans="1:3" ht="12.75" customHeight="1" x14ac:dyDescent="0.25">
      <c r="A185" s="1"/>
      <c r="C185" s="1"/>
    </row>
    <row r="186" spans="1:3" ht="12.75" customHeight="1" x14ac:dyDescent="0.25">
      <c r="A186" s="1"/>
      <c r="C186" s="1"/>
    </row>
    <row r="187" spans="1:3" ht="12.75" customHeight="1" x14ac:dyDescent="0.25">
      <c r="A187" s="1"/>
      <c r="C187" s="1"/>
    </row>
    <row r="188" spans="1:3" ht="12.75" customHeight="1" x14ac:dyDescent="0.25">
      <c r="A188" s="1"/>
      <c r="C188" s="1"/>
    </row>
    <row r="189" spans="1:3" ht="12.75" customHeight="1" x14ac:dyDescent="0.25">
      <c r="A189" s="1"/>
      <c r="C189" s="1"/>
    </row>
    <row r="190" spans="1:3" ht="12.75" customHeight="1" x14ac:dyDescent="0.25">
      <c r="A190" s="1"/>
      <c r="C190" s="1"/>
    </row>
    <row r="191" spans="1:3" ht="12.75" customHeight="1" x14ac:dyDescent="0.25">
      <c r="A191" s="1"/>
      <c r="C191" s="1"/>
    </row>
    <row r="192" spans="1:3" ht="12.75" customHeight="1" x14ac:dyDescent="0.25">
      <c r="A192" s="1"/>
      <c r="C192" s="1"/>
    </row>
    <row r="193" spans="1:3" ht="12.75" customHeight="1" x14ac:dyDescent="0.25">
      <c r="A193" s="1"/>
      <c r="C193" s="1"/>
    </row>
    <row r="194" spans="1:3" ht="12.75" customHeight="1" x14ac:dyDescent="0.25">
      <c r="A194" s="1"/>
      <c r="C194" s="1"/>
    </row>
    <row r="195" spans="1:3" ht="12.75" customHeight="1" x14ac:dyDescent="0.25">
      <c r="A195" s="1"/>
      <c r="C195" s="1"/>
    </row>
    <row r="196" spans="1:3" ht="12.75" customHeight="1" x14ac:dyDescent="0.25">
      <c r="A196" s="1"/>
      <c r="C196" s="1"/>
    </row>
    <row r="197" spans="1:3" ht="12.75" customHeight="1" x14ac:dyDescent="0.25">
      <c r="A197" s="1"/>
      <c r="C197" s="1"/>
    </row>
    <row r="198" spans="1:3" ht="12.75" customHeight="1" x14ac:dyDescent="0.25">
      <c r="A198" s="1"/>
      <c r="C198" s="1"/>
    </row>
    <row r="199" spans="1:3" ht="12.75" customHeight="1" x14ac:dyDescent="0.25">
      <c r="A199" s="1"/>
      <c r="C199" s="1"/>
    </row>
    <row r="200" spans="1:3" ht="12.75" customHeight="1" x14ac:dyDescent="0.25">
      <c r="A200" s="1"/>
      <c r="C200" s="1"/>
    </row>
    <row r="201" spans="1:3" ht="12.75" customHeight="1" x14ac:dyDescent="0.25">
      <c r="A201" s="1"/>
      <c r="C201" s="1"/>
    </row>
    <row r="202" spans="1:3" ht="12.75" customHeight="1" x14ac:dyDescent="0.25">
      <c r="A202" s="1"/>
      <c r="C202" s="1"/>
    </row>
    <row r="203" spans="1:3" ht="12.75" customHeight="1" x14ac:dyDescent="0.25">
      <c r="A203" s="1"/>
      <c r="C203" s="1"/>
    </row>
    <row r="204" spans="1:3" ht="12.75" customHeight="1" x14ac:dyDescent="0.25">
      <c r="A204" s="1"/>
      <c r="C204" s="1"/>
    </row>
    <row r="205" spans="1:3" ht="12.75" customHeight="1" x14ac:dyDescent="0.25">
      <c r="A205" s="1"/>
      <c r="C205" s="1"/>
    </row>
    <row r="206" spans="1:3" ht="12.75" customHeight="1" x14ac:dyDescent="0.25">
      <c r="A206" s="1"/>
      <c r="C206" s="1"/>
    </row>
    <row r="207" spans="1:3" ht="12.75" customHeight="1" x14ac:dyDescent="0.25">
      <c r="A207" s="1"/>
      <c r="C207" s="1"/>
    </row>
    <row r="208" spans="1:3" ht="12.75" customHeight="1" x14ac:dyDescent="0.25">
      <c r="A208" s="1"/>
      <c r="C208" s="1"/>
    </row>
    <row r="209" spans="1:3" ht="12.75" customHeight="1" x14ac:dyDescent="0.25">
      <c r="A209" s="1"/>
      <c r="C209" s="1"/>
    </row>
    <row r="210" spans="1:3" ht="12.75" customHeight="1" x14ac:dyDescent="0.25">
      <c r="A210" s="1"/>
      <c r="C210" s="1"/>
    </row>
    <row r="211" spans="1:3" ht="12.75" customHeight="1" x14ac:dyDescent="0.25">
      <c r="A211" s="1"/>
      <c r="C211" s="1"/>
    </row>
    <row r="212" spans="1:3" ht="12.75" customHeight="1" x14ac:dyDescent="0.25">
      <c r="A212" s="1"/>
      <c r="C212" s="1"/>
    </row>
    <row r="213" spans="1:3" ht="12.75" customHeight="1" x14ac:dyDescent="0.25">
      <c r="A213" s="1"/>
      <c r="C213" s="1"/>
    </row>
    <row r="214" spans="1:3" ht="12.75" customHeight="1" x14ac:dyDescent="0.25">
      <c r="A214" s="1"/>
      <c r="C214" s="1"/>
    </row>
    <row r="215" spans="1:3" ht="12.75" customHeight="1" x14ac:dyDescent="0.25">
      <c r="A215" s="1"/>
      <c r="C215" s="1"/>
    </row>
    <row r="216" spans="1:3" ht="12.75" customHeight="1" x14ac:dyDescent="0.25">
      <c r="A216" s="1"/>
      <c r="C216" s="1"/>
    </row>
    <row r="217" spans="1:3" ht="12.75" customHeight="1" x14ac:dyDescent="0.25">
      <c r="A217" s="1"/>
      <c r="C217" s="1"/>
    </row>
    <row r="218" spans="1:3" ht="12.75" customHeight="1" x14ac:dyDescent="0.25">
      <c r="A218" s="1"/>
      <c r="C218" s="1"/>
    </row>
    <row r="219" spans="1:3" ht="12.75" customHeight="1" x14ac:dyDescent="0.25">
      <c r="A219" s="1"/>
      <c r="C219" s="1"/>
    </row>
    <row r="220" spans="1:3" ht="12.75" customHeight="1" x14ac:dyDescent="0.25">
      <c r="A220" s="1"/>
      <c r="C220" s="1"/>
    </row>
    <row r="221" spans="1:3" ht="12.75" customHeight="1" x14ac:dyDescent="0.25">
      <c r="A221" s="1"/>
      <c r="C221" s="1"/>
    </row>
    <row r="222" spans="1:3" ht="12.75" customHeight="1" x14ac:dyDescent="0.25">
      <c r="A222" s="1"/>
      <c r="C222" s="1"/>
    </row>
    <row r="223" spans="1:3" ht="12.75" customHeight="1" x14ac:dyDescent="0.25">
      <c r="A223" s="1"/>
      <c r="C223" s="1"/>
    </row>
    <row r="224" spans="1:3" ht="12.75" customHeight="1" x14ac:dyDescent="0.25">
      <c r="A224" s="1"/>
      <c r="C224" s="1"/>
    </row>
    <row r="225" spans="1:3" ht="12.75" customHeight="1" x14ac:dyDescent="0.25">
      <c r="A225" s="1"/>
      <c r="C225" s="1"/>
    </row>
    <row r="226" spans="1:3" ht="12.75" customHeight="1" x14ac:dyDescent="0.25">
      <c r="A226" s="1"/>
      <c r="C226" s="1"/>
    </row>
    <row r="227" spans="1:3" ht="12.75" customHeight="1" x14ac:dyDescent="0.25">
      <c r="A227" s="1"/>
      <c r="C227" s="1"/>
    </row>
    <row r="228" spans="1:3" ht="12.75" customHeight="1" x14ac:dyDescent="0.25">
      <c r="A228" s="1"/>
      <c r="C228" s="1"/>
    </row>
    <row r="229" spans="1:3" ht="12.75" customHeight="1" x14ac:dyDescent="0.25">
      <c r="A229" s="1"/>
      <c r="C229" s="1"/>
    </row>
    <row r="230" spans="1:3" ht="12.75" customHeight="1" x14ac:dyDescent="0.25">
      <c r="A230" s="1"/>
      <c r="C230" s="1"/>
    </row>
    <row r="231" spans="1:3" ht="12.75" customHeight="1" x14ac:dyDescent="0.25">
      <c r="A231" s="1"/>
      <c r="C231" s="1"/>
    </row>
    <row r="232" spans="1:3" ht="12.75" customHeight="1" x14ac:dyDescent="0.25">
      <c r="A232" s="1"/>
      <c r="C232" s="1"/>
    </row>
    <row r="233" spans="1:3" ht="12.75" customHeight="1" x14ac:dyDescent="0.25">
      <c r="A233" s="1"/>
      <c r="C233" s="1"/>
    </row>
    <row r="234" spans="1:3" ht="12.75" customHeight="1" x14ac:dyDescent="0.25">
      <c r="A234" s="1"/>
      <c r="C234" s="1"/>
    </row>
    <row r="235" spans="1:3" ht="12.75" customHeight="1" x14ac:dyDescent="0.25">
      <c r="A235" s="1"/>
      <c r="C235" s="1"/>
    </row>
    <row r="236" spans="1:3" ht="12.75" customHeight="1" x14ac:dyDescent="0.25">
      <c r="A236" s="1"/>
      <c r="C236" s="1"/>
    </row>
    <row r="237" spans="1:3" ht="12.75" customHeight="1" x14ac:dyDescent="0.25">
      <c r="A237" s="1"/>
      <c r="C237" s="1"/>
    </row>
    <row r="238" spans="1:3" ht="12.75" customHeight="1" x14ac:dyDescent="0.25">
      <c r="A238" s="1"/>
      <c r="C238" s="1"/>
    </row>
    <row r="239" spans="1:3" ht="12.75" customHeight="1" x14ac:dyDescent="0.25">
      <c r="A239" s="1"/>
      <c r="C239" s="1"/>
    </row>
    <row r="240" spans="1:3" ht="12.75" customHeight="1" x14ac:dyDescent="0.25">
      <c r="A240" s="1"/>
      <c r="C240" s="1"/>
    </row>
    <row r="241" spans="1:3" ht="12.75" customHeight="1" x14ac:dyDescent="0.25">
      <c r="A241" s="1"/>
      <c r="C241" s="1"/>
    </row>
    <row r="242" spans="1:3" ht="12.75" customHeight="1" x14ac:dyDescent="0.25">
      <c r="A242" s="1"/>
      <c r="C242" s="1"/>
    </row>
    <row r="243" spans="1:3" ht="12.75" customHeight="1" x14ac:dyDescent="0.25">
      <c r="A243" s="1"/>
      <c r="C243" s="1"/>
    </row>
    <row r="244" spans="1:3" ht="12.75" customHeight="1" x14ac:dyDescent="0.25">
      <c r="A244" s="1"/>
      <c r="C244" s="1"/>
    </row>
    <row r="245" spans="1:3" ht="12.75" customHeight="1" x14ac:dyDescent="0.25">
      <c r="A245" s="1"/>
      <c r="C245" s="1"/>
    </row>
    <row r="246" spans="1:3" ht="12.75" customHeight="1" x14ac:dyDescent="0.25">
      <c r="A246" s="1"/>
      <c r="C246" s="1"/>
    </row>
    <row r="247" spans="1:3" ht="12.75" customHeight="1" x14ac:dyDescent="0.25">
      <c r="A247" s="1"/>
      <c r="C247" s="1"/>
    </row>
    <row r="248" spans="1:3" ht="12.75" customHeight="1" x14ac:dyDescent="0.25">
      <c r="A248" s="1"/>
      <c r="C248" s="1"/>
    </row>
    <row r="249" spans="1:3" ht="12.75" customHeight="1" x14ac:dyDescent="0.25">
      <c r="A249" s="1"/>
      <c r="C249" s="1"/>
    </row>
    <row r="250" spans="1:3" ht="12.75" customHeight="1" x14ac:dyDescent="0.25">
      <c r="A250" s="1"/>
      <c r="C250" s="1"/>
    </row>
    <row r="251" spans="1:3" ht="12.75" customHeight="1" x14ac:dyDescent="0.25">
      <c r="A251" s="1"/>
      <c r="C251" s="1"/>
    </row>
    <row r="252" spans="1:3" ht="12.75" customHeight="1" x14ac:dyDescent="0.25">
      <c r="A252" s="1"/>
      <c r="C252" s="1"/>
    </row>
    <row r="253" spans="1:3" ht="12.75" customHeight="1" x14ac:dyDescent="0.25">
      <c r="A253" s="1"/>
      <c r="C253" s="1"/>
    </row>
    <row r="254" spans="1:3" ht="12.75" customHeight="1" x14ac:dyDescent="0.25">
      <c r="A254" s="1"/>
      <c r="C254" s="1"/>
    </row>
    <row r="255" spans="1:3" ht="12.75" customHeight="1" x14ac:dyDescent="0.25">
      <c r="A255" s="1"/>
      <c r="C255" s="1"/>
    </row>
    <row r="256" spans="1:3" ht="12.75" customHeight="1" x14ac:dyDescent="0.25">
      <c r="A256" s="1"/>
      <c r="C256" s="1"/>
    </row>
    <row r="257" spans="1:3" ht="12.75" customHeight="1" x14ac:dyDescent="0.25">
      <c r="A257" s="1"/>
      <c r="C257" s="1"/>
    </row>
    <row r="258" spans="1:3" ht="12.75" customHeight="1" x14ac:dyDescent="0.25">
      <c r="A258" s="1"/>
      <c r="C258" s="1"/>
    </row>
    <row r="259" spans="1:3" ht="12.75" customHeight="1" x14ac:dyDescent="0.25">
      <c r="A259" s="1"/>
      <c r="C259" s="1"/>
    </row>
    <row r="260" spans="1:3" ht="12.75" customHeight="1" x14ac:dyDescent="0.25">
      <c r="A260" s="1"/>
      <c r="C260" s="1"/>
    </row>
    <row r="261" spans="1:3" ht="12.75" customHeight="1" x14ac:dyDescent="0.25">
      <c r="A261" s="1"/>
      <c r="C261" s="1"/>
    </row>
    <row r="262" spans="1:3" ht="12.75" customHeight="1" x14ac:dyDescent="0.25">
      <c r="A262" s="1"/>
      <c r="C262" s="1"/>
    </row>
    <row r="263" spans="1:3" ht="12.75" customHeight="1" x14ac:dyDescent="0.25">
      <c r="A263" s="1"/>
      <c r="C263" s="1"/>
    </row>
    <row r="264" spans="1:3" ht="12.75" customHeight="1" x14ac:dyDescent="0.25">
      <c r="A264" s="1"/>
      <c r="C264" s="1"/>
    </row>
    <row r="265" spans="1:3" ht="12.75" customHeight="1" x14ac:dyDescent="0.25">
      <c r="A265" s="1"/>
      <c r="C265" s="1"/>
    </row>
    <row r="266" spans="1:3" ht="12.75" customHeight="1" x14ac:dyDescent="0.25">
      <c r="A266" s="1"/>
      <c r="C266" s="1"/>
    </row>
    <row r="267" spans="1:3" ht="12.75" customHeight="1" x14ac:dyDescent="0.25">
      <c r="A267" s="1"/>
      <c r="C267" s="1"/>
    </row>
    <row r="268" spans="1:3" ht="12.75" customHeight="1" x14ac:dyDescent="0.25">
      <c r="A268" s="1"/>
      <c r="C268" s="1"/>
    </row>
    <row r="269" spans="1:3" ht="12.75" customHeight="1" x14ac:dyDescent="0.25">
      <c r="A269" s="1"/>
      <c r="C269" s="1"/>
    </row>
    <row r="270" spans="1:3" ht="12.75" customHeight="1" x14ac:dyDescent="0.25">
      <c r="A270" s="1"/>
      <c r="C270" s="1"/>
    </row>
    <row r="271" spans="1:3" ht="12.75" customHeight="1" x14ac:dyDescent="0.25">
      <c r="A271" s="1"/>
      <c r="C271" s="1"/>
    </row>
    <row r="272" spans="1:3" ht="12.75" customHeight="1" x14ac:dyDescent="0.25">
      <c r="A272" s="1"/>
      <c r="C272" s="1"/>
    </row>
    <row r="273" spans="1:3" ht="12.75" customHeight="1" x14ac:dyDescent="0.25">
      <c r="A273" s="1"/>
      <c r="C273" s="1"/>
    </row>
    <row r="274" spans="1:3" ht="12.75" customHeight="1" x14ac:dyDescent="0.25">
      <c r="A274" s="1"/>
      <c r="C274" s="1"/>
    </row>
    <row r="275" spans="1:3" ht="12.75" customHeight="1" x14ac:dyDescent="0.25">
      <c r="A275" s="1"/>
      <c r="C275" s="1"/>
    </row>
    <row r="276" spans="1:3" ht="12.75" customHeight="1" x14ac:dyDescent="0.25">
      <c r="A276" s="1"/>
      <c r="C276" s="1"/>
    </row>
    <row r="277" spans="1:3" ht="12.75" customHeight="1" x14ac:dyDescent="0.25">
      <c r="A277" s="1"/>
      <c r="C277" s="1"/>
    </row>
    <row r="278" spans="1:3" ht="12.75" customHeight="1" x14ac:dyDescent="0.25">
      <c r="A278" s="1"/>
      <c r="C278" s="1"/>
    </row>
    <row r="279" spans="1:3" ht="12.75" customHeight="1" x14ac:dyDescent="0.25">
      <c r="A279" s="1"/>
      <c r="C279" s="1"/>
    </row>
    <row r="280" spans="1:3" ht="12.75" customHeight="1" x14ac:dyDescent="0.25">
      <c r="A280" s="1"/>
      <c r="C280" s="1"/>
    </row>
    <row r="281" spans="1:3" ht="12.75" customHeight="1" x14ac:dyDescent="0.25">
      <c r="A281" s="1"/>
      <c r="C281" s="1"/>
    </row>
    <row r="282" spans="1:3" ht="12.75" customHeight="1" x14ac:dyDescent="0.25">
      <c r="A282" s="1"/>
      <c r="C282" s="1"/>
    </row>
    <row r="283" spans="1:3" ht="12.75" customHeight="1" x14ac:dyDescent="0.25">
      <c r="A283" s="1"/>
      <c r="C283" s="1"/>
    </row>
    <row r="284" spans="1:3" ht="12.75" customHeight="1" x14ac:dyDescent="0.25">
      <c r="A284" s="1"/>
      <c r="C284" s="1"/>
    </row>
    <row r="285" spans="1:3" ht="12.75" customHeight="1" x14ac:dyDescent="0.25">
      <c r="A285" s="1"/>
      <c r="C285" s="1"/>
    </row>
    <row r="286" spans="1:3" ht="12.75" customHeight="1" x14ac:dyDescent="0.25">
      <c r="A286" s="1"/>
      <c r="C286" s="1"/>
    </row>
    <row r="287" spans="1:3" ht="12.75" customHeight="1" x14ac:dyDescent="0.25">
      <c r="A287" s="1"/>
      <c r="C287" s="1"/>
    </row>
    <row r="288" spans="1:3" ht="12.75" customHeight="1" x14ac:dyDescent="0.25">
      <c r="A288" s="1"/>
      <c r="C288" s="1"/>
    </row>
    <row r="289" spans="1:3" ht="12.75" customHeight="1" x14ac:dyDescent="0.25">
      <c r="A289" s="1"/>
      <c r="C289" s="1"/>
    </row>
    <row r="290" spans="1:3" ht="12.75" customHeight="1" x14ac:dyDescent="0.25">
      <c r="A290" s="1"/>
      <c r="C290" s="1"/>
    </row>
    <row r="291" spans="1:3" ht="12.75" customHeight="1" x14ac:dyDescent="0.25">
      <c r="A291" s="1"/>
      <c r="C291" s="1"/>
    </row>
    <row r="292" spans="1:3" ht="12.75" customHeight="1" x14ac:dyDescent="0.25">
      <c r="A292" s="1"/>
      <c r="C292" s="1"/>
    </row>
    <row r="293" spans="1:3" ht="12.75" customHeight="1" x14ac:dyDescent="0.25">
      <c r="A293" s="1"/>
      <c r="C293" s="1"/>
    </row>
    <row r="294" spans="1:3" ht="12.75" customHeight="1" x14ac:dyDescent="0.25">
      <c r="A294" s="1"/>
      <c r="C294" s="1"/>
    </row>
    <row r="295" spans="1:3" ht="12.75" customHeight="1" x14ac:dyDescent="0.25">
      <c r="A295" s="1"/>
      <c r="C295" s="1"/>
    </row>
    <row r="296" spans="1:3" ht="12.75" customHeight="1" x14ac:dyDescent="0.25">
      <c r="A296" s="1"/>
      <c r="C296" s="1"/>
    </row>
    <row r="297" spans="1:3" ht="12.75" customHeight="1" x14ac:dyDescent="0.25">
      <c r="A297" s="1"/>
      <c r="C297" s="1"/>
    </row>
    <row r="298" spans="1:3" ht="12.75" customHeight="1" x14ac:dyDescent="0.25">
      <c r="A298" s="1"/>
      <c r="C298" s="1"/>
    </row>
    <row r="299" spans="1:3" ht="12.75" customHeight="1" x14ac:dyDescent="0.25">
      <c r="A299" s="1"/>
      <c r="C299" s="1"/>
    </row>
    <row r="300" spans="1:3" ht="12.75" customHeight="1" x14ac:dyDescent="0.25">
      <c r="A300" s="1"/>
      <c r="C300" s="1"/>
    </row>
    <row r="301" spans="1:3" ht="12.75" customHeight="1" x14ac:dyDescent="0.25">
      <c r="A301" s="1"/>
      <c r="C301" s="1"/>
    </row>
    <row r="302" spans="1:3" ht="12.75" customHeight="1" x14ac:dyDescent="0.25">
      <c r="A302" s="1"/>
      <c r="C302" s="1"/>
    </row>
    <row r="303" spans="1:3" ht="12.75" customHeight="1" x14ac:dyDescent="0.25">
      <c r="A303" s="1"/>
      <c r="C303" s="1"/>
    </row>
    <row r="304" spans="1:3" ht="12.75" customHeight="1" x14ac:dyDescent="0.25">
      <c r="A304" s="1"/>
      <c r="C304" s="1"/>
    </row>
    <row r="305" spans="1:3" ht="12.75" customHeight="1" x14ac:dyDescent="0.25">
      <c r="A305" s="1"/>
      <c r="C305" s="1"/>
    </row>
    <row r="306" spans="1:3" ht="12.75" customHeight="1" x14ac:dyDescent="0.25">
      <c r="A306" s="1"/>
      <c r="C306" s="1"/>
    </row>
    <row r="307" spans="1:3" ht="12.75" customHeight="1" x14ac:dyDescent="0.25">
      <c r="A307" s="1"/>
      <c r="C307" s="1"/>
    </row>
    <row r="308" spans="1:3" ht="12.75" customHeight="1" x14ac:dyDescent="0.25">
      <c r="A308" s="1"/>
      <c r="C308" s="1"/>
    </row>
    <row r="309" spans="1:3" ht="12.75" customHeight="1" x14ac:dyDescent="0.25">
      <c r="A309" s="1"/>
      <c r="C309" s="1"/>
    </row>
    <row r="310" spans="1:3" ht="12.75" customHeight="1" x14ac:dyDescent="0.25">
      <c r="A310" s="1"/>
      <c r="C310" s="1"/>
    </row>
    <row r="311" spans="1:3" ht="12.75" customHeight="1" x14ac:dyDescent="0.25">
      <c r="A311" s="1"/>
      <c r="C311" s="1"/>
    </row>
    <row r="312" spans="1:3" ht="12.75" customHeight="1" x14ac:dyDescent="0.25">
      <c r="A312" s="1"/>
      <c r="C312" s="1"/>
    </row>
    <row r="313" spans="1:3" ht="12.75" customHeight="1" x14ac:dyDescent="0.25">
      <c r="A313" s="1"/>
      <c r="C313" s="1"/>
    </row>
    <row r="314" spans="1:3" ht="12.75" customHeight="1" x14ac:dyDescent="0.25">
      <c r="A314" s="1"/>
      <c r="C314" s="1"/>
    </row>
    <row r="315" spans="1:3" ht="12.75" customHeight="1" x14ac:dyDescent="0.25">
      <c r="A315" s="1"/>
      <c r="C315" s="1"/>
    </row>
    <row r="316" spans="1:3" ht="12.75" customHeight="1" x14ac:dyDescent="0.25">
      <c r="A316" s="1"/>
      <c r="C316" s="1"/>
    </row>
    <row r="317" spans="1:3" ht="12.75" customHeight="1" x14ac:dyDescent="0.25">
      <c r="A317" s="1"/>
      <c r="C317" s="1"/>
    </row>
    <row r="318" spans="1:3" ht="12.75" customHeight="1" x14ac:dyDescent="0.25">
      <c r="A318" s="1"/>
      <c r="C318" s="1"/>
    </row>
    <row r="319" spans="1:3" ht="12.75" customHeight="1" x14ac:dyDescent="0.25">
      <c r="A319" s="1"/>
      <c r="C319" s="1"/>
    </row>
    <row r="320" spans="1:3" ht="12.75" customHeight="1" x14ac:dyDescent="0.25">
      <c r="A320" s="1"/>
      <c r="C320" s="1"/>
    </row>
    <row r="321" spans="1:3" ht="12.75" customHeight="1" x14ac:dyDescent="0.25">
      <c r="A321" s="1"/>
      <c r="C321" s="1"/>
    </row>
    <row r="322" spans="1:3" ht="12.75" customHeight="1" x14ac:dyDescent="0.25">
      <c r="A322" s="1"/>
      <c r="C322" s="1"/>
    </row>
    <row r="323" spans="1:3" ht="12.75" customHeight="1" x14ac:dyDescent="0.25">
      <c r="A323" s="1"/>
      <c r="C323" s="1"/>
    </row>
    <row r="324" spans="1:3" ht="12.75" customHeight="1" x14ac:dyDescent="0.25">
      <c r="A324" s="1"/>
      <c r="C324" s="1"/>
    </row>
    <row r="325" spans="1:3" ht="12.75" customHeight="1" x14ac:dyDescent="0.25">
      <c r="A325" s="1"/>
      <c r="C325" s="1"/>
    </row>
    <row r="326" spans="1:3" ht="12.75" customHeight="1" x14ac:dyDescent="0.25">
      <c r="A326" s="1"/>
      <c r="C326" s="1"/>
    </row>
    <row r="327" spans="1:3" ht="12.75" customHeight="1" x14ac:dyDescent="0.25">
      <c r="A327" s="1"/>
      <c r="C327" s="1"/>
    </row>
    <row r="328" spans="1:3" ht="12.75" customHeight="1" x14ac:dyDescent="0.25">
      <c r="A328" s="1"/>
      <c r="C328" s="1"/>
    </row>
    <row r="329" spans="1:3" ht="12.75" customHeight="1" x14ac:dyDescent="0.25">
      <c r="A329" s="1"/>
      <c r="C329" s="1"/>
    </row>
    <row r="330" spans="1:3" ht="12.75" customHeight="1" x14ac:dyDescent="0.25">
      <c r="A330" s="1"/>
      <c r="C330" s="1"/>
    </row>
    <row r="331" spans="1:3" ht="12.75" customHeight="1" x14ac:dyDescent="0.25">
      <c r="A331" s="1"/>
      <c r="C331" s="1"/>
    </row>
    <row r="332" spans="1:3" ht="12.75" customHeight="1" x14ac:dyDescent="0.25">
      <c r="A332" s="1"/>
      <c r="C332" s="1"/>
    </row>
    <row r="333" spans="1:3" ht="12.75" customHeight="1" x14ac:dyDescent="0.25">
      <c r="A333" s="1"/>
      <c r="C333" s="1"/>
    </row>
    <row r="334" spans="1:3" ht="12.75" customHeight="1" x14ac:dyDescent="0.25">
      <c r="A334" s="1"/>
      <c r="C334" s="1"/>
    </row>
    <row r="335" spans="1:3" ht="12.75" customHeight="1" x14ac:dyDescent="0.25">
      <c r="A335" s="1"/>
      <c r="C335" s="1"/>
    </row>
    <row r="336" spans="1:3" ht="12.75" customHeight="1" x14ac:dyDescent="0.25">
      <c r="A336" s="1"/>
      <c r="C336" s="1"/>
    </row>
    <row r="337" spans="1:3" ht="12.75" customHeight="1" x14ac:dyDescent="0.25">
      <c r="A337" s="1"/>
      <c r="C337" s="1"/>
    </row>
    <row r="338" spans="1:3" ht="12.75" customHeight="1" x14ac:dyDescent="0.25">
      <c r="A338" s="1"/>
      <c r="C338" s="1"/>
    </row>
    <row r="339" spans="1:3" ht="12.75" customHeight="1" x14ac:dyDescent="0.25">
      <c r="A339" s="1"/>
      <c r="C339" s="1"/>
    </row>
    <row r="340" spans="1:3" ht="12.75" customHeight="1" x14ac:dyDescent="0.25">
      <c r="A340" s="1"/>
      <c r="C340" s="1"/>
    </row>
    <row r="341" spans="1:3" ht="12.75" customHeight="1" x14ac:dyDescent="0.25">
      <c r="A341" s="1"/>
      <c r="C341" s="1"/>
    </row>
    <row r="342" spans="1:3" ht="12.75" customHeight="1" x14ac:dyDescent="0.25">
      <c r="A342" s="1"/>
      <c r="C342" s="1"/>
    </row>
    <row r="343" spans="1:3" ht="12.75" customHeight="1" x14ac:dyDescent="0.25">
      <c r="A343" s="1"/>
      <c r="C343" s="1"/>
    </row>
    <row r="344" spans="1:3" ht="12.75" customHeight="1" x14ac:dyDescent="0.25">
      <c r="A344" s="1"/>
      <c r="C344" s="1"/>
    </row>
    <row r="345" spans="1:3" ht="12.75" customHeight="1" x14ac:dyDescent="0.25">
      <c r="A345" s="1"/>
      <c r="C345" s="1"/>
    </row>
    <row r="346" spans="1:3" ht="12.75" customHeight="1" x14ac:dyDescent="0.25">
      <c r="A346" s="1"/>
      <c r="C346" s="1"/>
    </row>
    <row r="347" spans="1:3" ht="12.75" customHeight="1" x14ac:dyDescent="0.25">
      <c r="A347" s="1"/>
      <c r="C347" s="1"/>
    </row>
    <row r="348" spans="1:3" ht="12.75" customHeight="1" x14ac:dyDescent="0.25">
      <c r="A348" s="1"/>
      <c r="C348" s="1"/>
    </row>
    <row r="349" spans="1:3" ht="12.75" customHeight="1" x14ac:dyDescent="0.25">
      <c r="A349" s="1"/>
      <c r="C349" s="1"/>
    </row>
    <row r="350" spans="1:3" ht="12.75" customHeight="1" x14ac:dyDescent="0.25">
      <c r="A350" s="1"/>
      <c r="C350" s="1"/>
    </row>
    <row r="351" spans="1:3" ht="12.75" customHeight="1" x14ac:dyDescent="0.25">
      <c r="A351" s="1"/>
      <c r="C351" s="1"/>
    </row>
    <row r="352" spans="1:3" ht="12.75" customHeight="1" x14ac:dyDescent="0.25">
      <c r="A352" s="1"/>
      <c r="C352" s="1"/>
    </row>
    <row r="353" spans="1:3" ht="12.75" customHeight="1" x14ac:dyDescent="0.25">
      <c r="A353" s="1"/>
      <c r="C353" s="1"/>
    </row>
    <row r="354" spans="1:3" ht="12.75" customHeight="1" x14ac:dyDescent="0.25">
      <c r="A354" s="1"/>
      <c r="C354" s="1"/>
    </row>
    <row r="355" spans="1:3" ht="12.75" customHeight="1" x14ac:dyDescent="0.25">
      <c r="A355" s="1"/>
      <c r="C355" s="1"/>
    </row>
    <row r="356" spans="1:3" ht="12.75" customHeight="1" x14ac:dyDescent="0.25">
      <c r="A356" s="1"/>
      <c r="C356" s="1"/>
    </row>
    <row r="357" spans="1:3" ht="12.75" customHeight="1" x14ac:dyDescent="0.25">
      <c r="A357" s="1"/>
      <c r="C357" s="1"/>
    </row>
    <row r="358" spans="1:3" ht="12.75" customHeight="1" x14ac:dyDescent="0.25">
      <c r="A358" s="1"/>
      <c r="C358" s="1"/>
    </row>
    <row r="359" spans="1:3" ht="12.75" customHeight="1" x14ac:dyDescent="0.25">
      <c r="A359" s="1"/>
      <c r="C359" s="1"/>
    </row>
    <row r="360" spans="1:3" ht="12.75" customHeight="1" x14ac:dyDescent="0.25">
      <c r="A360" s="1"/>
      <c r="C360" s="1"/>
    </row>
    <row r="361" spans="1:3" ht="12.75" customHeight="1" x14ac:dyDescent="0.25">
      <c r="A361" s="1"/>
      <c r="C361" s="1"/>
    </row>
    <row r="362" spans="1:3" ht="12.75" customHeight="1" x14ac:dyDescent="0.25">
      <c r="A362" s="1"/>
      <c r="C362" s="1"/>
    </row>
    <row r="363" spans="1:3" ht="12.75" customHeight="1" x14ac:dyDescent="0.25">
      <c r="A363" s="1"/>
      <c r="C363" s="1"/>
    </row>
    <row r="364" spans="1:3" ht="12.75" customHeight="1" x14ac:dyDescent="0.25">
      <c r="A364" s="1"/>
      <c r="C364" s="1"/>
    </row>
    <row r="365" spans="1:3" ht="12.75" customHeight="1" x14ac:dyDescent="0.25">
      <c r="A365" s="1"/>
      <c r="C365" s="1"/>
    </row>
    <row r="366" spans="1:3" ht="12.75" customHeight="1" x14ac:dyDescent="0.25">
      <c r="A366" s="1"/>
      <c r="C366" s="1"/>
    </row>
    <row r="367" spans="1:3" ht="12.75" customHeight="1" x14ac:dyDescent="0.25">
      <c r="A367" s="1"/>
      <c r="C367" s="1"/>
    </row>
    <row r="368" spans="1:3" ht="12.75" customHeight="1" x14ac:dyDescent="0.25">
      <c r="A368" s="1"/>
      <c r="C368" s="1"/>
    </row>
    <row r="369" spans="1:3" ht="12.75" customHeight="1" x14ac:dyDescent="0.25">
      <c r="A369" s="1"/>
      <c r="C369" s="1"/>
    </row>
    <row r="370" spans="1:3" ht="12.75" customHeight="1" x14ac:dyDescent="0.25">
      <c r="A370" s="1"/>
      <c r="C370" s="1"/>
    </row>
    <row r="371" spans="1:3" ht="12.75" customHeight="1" x14ac:dyDescent="0.25">
      <c r="A371" s="1"/>
      <c r="C371" s="1"/>
    </row>
    <row r="372" spans="1:3" ht="12.75" customHeight="1" x14ac:dyDescent="0.25">
      <c r="A372" s="1"/>
      <c r="C372" s="1"/>
    </row>
    <row r="373" spans="1:3" ht="12.75" customHeight="1" x14ac:dyDescent="0.25">
      <c r="A373" s="1"/>
      <c r="C373" s="1"/>
    </row>
    <row r="374" spans="1:3" ht="12.75" customHeight="1" x14ac:dyDescent="0.25">
      <c r="A374" s="1"/>
      <c r="C374" s="1"/>
    </row>
    <row r="375" spans="1:3" ht="12.75" customHeight="1" x14ac:dyDescent="0.25">
      <c r="A375" s="1"/>
      <c r="C375" s="1"/>
    </row>
    <row r="376" spans="1:3" ht="12.75" customHeight="1" x14ac:dyDescent="0.25">
      <c r="A376" s="1"/>
      <c r="C376" s="1"/>
    </row>
    <row r="377" spans="1:3" ht="12.75" customHeight="1" x14ac:dyDescent="0.25">
      <c r="A377" s="1"/>
      <c r="C377" s="1"/>
    </row>
    <row r="378" spans="1:3" ht="12.75" customHeight="1" x14ac:dyDescent="0.25">
      <c r="A378" s="1"/>
      <c r="C378" s="1"/>
    </row>
    <row r="379" spans="1:3" ht="12.75" customHeight="1" x14ac:dyDescent="0.25">
      <c r="A379" s="1"/>
      <c r="C379" s="1"/>
    </row>
    <row r="380" spans="1:3" ht="12.75" customHeight="1" x14ac:dyDescent="0.25">
      <c r="A380" s="1"/>
      <c r="C380" s="1"/>
    </row>
    <row r="381" spans="1:3" ht="12.75" customHeight="1" x14ac:dyDescent="0.25">
      <c r="A381" s="1"/>
      <c r="C381" s="1"/>
    </row>
    <row r="382" spans="1:3" ht="12.75" customHeight="1" x14ac:dyDescent="0.25">
      <c r="A382" s="1"/>
      <c r="C382" s="1"/>
    </row>
    <row r="383" spans="1:3" ht="12.75" customHeight="1" x14ac:dyDescent="0.25">
      <c r="A383" s="1"/>
      <c r="C383" s="1"/>
    </row>
    <row r="384" spans="1:3" ht="12.75" customHeight="1" x14ac:dyDescent="0.25">
      <c r="A384" s="1"/>
      <c r="C384" s="1"/>
    </row>
    <row r="385" spans="1:3" ht="12.75" customHeight="1" x14ac:dyDescent="0.25">
      <c r="A385" s="1"/>
      <c r="C385" s="1"/>
    </row>
    <row r="386" spans="1:3" ht="12.75" customHeight="1" x14ac:dyDescent="0.25">
      <c r="A386" s="1"/>
      <c r="C386" s="1"/>
    </row>
    <row r="387" spans="1:3" ht="12.75" customHeight="1" x14ac:dyDescent="0.25">
      <c r="A387" s="1"/>
      <c r="C387" s="1"/>
    </row>
    <row r="388" spans="1:3" ht="12.75" customHeight="1" x14ac:dyDescent="0.25">
      <c r="A388" s="1"/>
      <c r="C388" s="1"/>
    </row>
    <row r="389" spans="1:3" ht="12.75" customHeight="1" x14ac:dyDescent="0.25">
      <c r="A389" s="1"/>
      <c r="C389" s="1"/>
    </row>
    <row r="390" spans="1:3" ht="12.75" customHeight="1" x14ac:dyDescent="0.25">
      <c r="A390" s="1"/>
      <c r="C390" s="1"/>
    </row>
    <row r="391" spans="1:3" ht="12.75" customHeight="1" x14ac:dyDescent="0.25">
      <c r="A391" s="1"/>
      <c r="C391" s="1"/>
    </row>
    <row r="392" spans="1:3" ht="12.75" customHeight="1" x14ac:dyDescent="0.25">
      <c r="A392" s="1"/>
      <c r="C392" s="1"/>
    </row>
    <row r="393" spans="1:3" ht="12.75" customHeight="1" x14ac:dyDescent="0.25">
      <c r="A393" s="1"/>
      <c r="C393" s="1"/>
    </row>
    <row r="394" spans="1:3" ht="12.75" customHeight="1" x14ac:dyDescent="0.25">
      <c r="A394" s="1"/>
      <c r="C394" s="1"/>
    </row>
    <row r="395" spans="1:3" ht="12.75" customHeight="1" x14ac:dyDescent="0.25">
      <c r="A395" s="1"/>
      <c r="C395" s="1"/>
    </row>
    <row r="396" spans="1:3" ht="12.75" customHeight="1" x14ac:dyDescent="0.25">
      <c r="A396" s="1"/>
      <c r="C396" s="1"/>
    </row>
    <row r="397" spans="1:3" ht="12.75" customHeight="1" x14ac:dyDescent="0.25">
      <c r="A397" s="1"/>
      <c r="C397" s="1"/>
    </row>
    <row r="398" spans="1:3" ht="12.75" customHeight="1" x14ac:dyDescent="0.25">
      <c r="A398" s="1"/>
      <c r="C398" s="1"/>
    </row>
    <row r="399" spans="1:3" ht="12.75" customHeight="1" x14ac:dyDescent="0.25">
      <c r="A399" s="1"/>
      <c r="C399" s="1"/>
    </row>
    <row r="400" spans="1:3" ht="12.75" customHeight="1" x14ac:dyDescent="0.25">
      <c r="A400" s="1"/>
      <c r="C400" s="1"/>
    </row>
    <row r="401" spans="1:3" ht="12.75" customHeight="1" x14ac:dyDescent="0.25">
      <c r="A401" s="1"/>
      <c r="C401" s="1"/>
    </row>
    <row r="402" spans="1:3" ht="12.75" customHeight="1" x14ac:dyDescent="0.25">
      <c r="A402" s="1"/>
      <c r="C402" s="1"/>
    </row>
    <row r="403" spans="1:3" ht="12.75" customHeight="1" x14ac:dyDescent="0.25">
      <c r="A403" s="1"/>
      <c r="C403" s="1"/>
    </row>
    <row r="404" spans="1:3" ht="12.75" customHeight="1" x14ac:dyDescent="0.25">
      <c r="A404" s="1"/>
      <c r="C404" s="1"/>
    </row>
    <row r="405" spans="1:3" ht="12.75" customHeight="1" x14ac:dyDescent="0.25">
      <c r="A405" s="1"/>
      <c r="C405" s="1"/>
    </row>
    <row r="406" spans="1:3" ht="12.75" customHeight="1" x14ac:dyDescent="0.25">
      <c r="A406" s="1"/>
      <c r="C406" s="1"/>
    </row>
    <row r="407" spans="1:3" ht="12.75" customHeight="1" x14ac:dyDescent="0.25">
      <c r="A407" s="1"/>
      <c r="C407" s="1"/>
    </row>
    <row r="408" spans="1:3" ht="12.75" customHeight="1" x14ac:dyDescent="0.25">
      <c r="A408" s="1"/>
      <c r="C408" s="1"/>
    </row>
    <row r="409" spans="1:3" ht="12.75" customHeight="1" x14ac:dyDescent="0.25">
      <c r="A409" s="1"/>
      <c r="C409" s="1"/>
    </row>
    <row r="410" spans="1:3" ht="12.75" customHeight="1" x14ac:dyDescent="0.25">
      <c r="A410" s="1"/>
      <c r="C410" s="1"/>
    </row>
    <row r="411" spans="1:3" ht="12.75" customHeight="1" x14ac:dyDescent="0.25">
      <c r="A411" s="1"/>
      <c r="C411" s="1"/>
    </row>
    <row r="412" spans="1:3" ht="12.75" customHeight="1" x14ac:dyDescent="0.25">
      <c r="A412" s="1"/>
      <c r="C412" s="1"/>
    </row>
    <row r="413" spans="1:3" ht="12.75" customHeight="1" x14ac:dyDescent="0.25">
      <c r="A413" s="1"/>
      <c r="C413" s="1"/>
    </row>
    <row r="414" spans="1:3" ht="12.75" customHeight="1" x14ac:dyDescent="0.25">
      <c r="A414" s="1"/>
      <c r="C414" s="1"/>
    </row>
    <row r="415" spans="1:3" ht="12.75" customHeight="1" x14ac:dyDescent="0.25">
      <c r="A415" s="1"/>
      <c r="C415" s="1"/>
    </row>
    <row r="416" spans="1:3" ht="12.75" customHeight="1" x14ac:dyDescent="0.25">
      <c r="A416" s="1"/>
      <c r="C416" s="1"/>
    </row>
    <row r="417" spans="1:3" ht="12.75" customHeight="1" x14ac:dyDescent="0.25">
      <c r="A417" s="1"/>
      <c r="C417" s="1"/>
    </row>
    <row r="418" spans="1:3" ht="12.75" customHeight="1" x14ac:dyDescent="0.25">
      <c r="A418" s="1"/>
      <c r="C418" s="1"/>
    </row>
    <row r="419" spans="1:3" ht="12.75" customHeight="1" x14ac:dyDescent="0.25">
      <c r="A419" s="1"/>
      <c r="C419" s="1"/>
    </row>
    <row r="420" spans="1:3" ht="12.75" customHeight="1" x14ac:dyDescent="0.25">
      <c r="A420" s="1"/>
      <c r="C420" s="1"/>
    </row>
    <row r="421" spans="1:3" ht="12.75" customHeight="1" x14ac:dyDescent="0.25">
      <c r="A421" s="1"/>
      <c r="C421" s="1"/>
    </row>
    <row r="422" spans="1:3" ht="12.75" customHeight="1" x14ac:dyDescent="0.25">
      <c r="A422" s="1"/>
      <c r="C422" s="1"/>
    </row>
    <row r="423" spans="1:3" ht="12.75" customHeight="1" x14ac:dyDescent="0.25">
      <c r="A423" s="1"/>
      <c r="C423" s="1"/>
    </row>
    <row r="424" spans="1:3" ht="12.75" customHeight="1" x14ac:dyDescent="0.25">
      <c r="A424" s="1"/>
      <c r="C424" s="1"/>
    </row>
    <row r="425" spans="1:3" ht="12.75" customHeight="1" x14ac:dyDescent="0.25">
      <c r="A425" s="1"/>
      <c r="C425" s="1"/>
    </row>
    <row r="426" spans="1:3" ht="12.75" customHeight="1" x14ac:dyDescent="0.25">
      <c r="A426" s="1"/>
      <c r="C426" s="1"/>
    </row>
    <row r="427" spans="1:3" ht="12.75" customHeight="1" x14ac:dyDescent="0.25">
      <c r="A427" s="1"/>
      <c r="C427" s="1"/>
    </row>
    <row r="428" spans="1:3" ht="12.75" customHeight="1" x14ac:dyDescent="0.25">
      <c r="A428" s="1"/>
      <c r="C428" s="1"/>
    </row>
    <row r="429" spans="1:3" ht="12.75" customHeight="1" x14ac:dyDescent="0.25">
      <c r="A429" s="1"/>
      <c r="C429" s="1"/>
    </row>
    <row r="430" spans="1:3" ht="12.75" customHeight="1" x14ac:dyDescent="0.25">
      <c r="A430" s="1"/>
      <c r="C430" s="1"/>
    </row>
    <row r="431" spans="1:3" ht="12.75" customHeight="1" x14ac:dyDescent="0.25">
      <c r="A431" s="1"/>
      <c r="C431" s="1"/>
    </row>
    <row r="432" spans="1:3" ht="12.75" customHeight="1" x14ac:dyDescent="0.25">
      <c r="A432" s="1"/>
      <c r="C432" s="1"/>
    </row>
    <row r="433" spans="1:3" ht="12.75" customHeight="1" x14ac:dyDescent="0.25">
      <c r="A433" s="1"/>
      <c r="C433" s="1"/>
    </row>
    <row r="434" spans="1:3" ht="12.75" customHeight="1" x14ac:dyDescent="0.25">
      <c r="A434" s="1"/>
      <c r="C434" s="1"/>
    </row>
    <row r="435" spans="1:3" ht="12.75" customHeight="1" x14ac:dyDescent="0.25">
      <c r="A435" s="1"/>
      <c r="C435" s="1"/>
    </row>
    <row r="436" spans="1:3" ht="12.75" customHeight="1" x14ac:dyDescent="0.25">
      <c r="A436" s="1"/>
      <c r="C436" s="1"/>
    </row>
    <row r="437" spans="1:3" ht="12.75" customHeight="1" x14ac:dyDescent="0.25">
      <c r="A437" s="1"/>
      <c r="C437" s="1"/>
    </row>
    <row r="438" spans="1:3" ht="12.75" customHeight="1" x14ac:dyDescent="0.25">
      <c r="A438" s="1"/>
      <c r="C438" s="1"/>
    </row>
    <row r="439" spans="1:3" ht="12.75" customHeight="1" x14ac:dyDescent="0.25">
      <c r="A439" s="1"/>
      <c r="C439" s="1"/>
    </row>
    <row r="440" spans="1:3" ht="12.75" customHeight="1" x14ac:dyDescent="0.25">
      <c r="A440" s="1"/>
      <c r="C440" s="1"/>
    </row>
    <row r="441" spans="1:3" ht="12.75" customHeight="1" x14ac:dyDescent="0.25">
      <c r="A441" s="1"/>
      <c r="C441" s="1"/>
    </row>
    <row r="442" spans="1:3" ht="12.75" customHeight="1" x14ac:dyDescent="0.25">
      <c r="A442" s="1"/>
      <c r="C442" s="1"/>
    </row>
    <row r="443" spans="1:3" ht="12.75" customHeight="1" x14ac:dyDescent="0.25">
      <c r="A443" s="1"/>
      <c r="C443" s="1"/>
    </row>
    <row r="444" spans="1:3" ht="12.75" customHeight="1" x14ac:dyDescent="0.25">
      <c r="A444" s="1"/>
      <c r="C444" s="1"/>
    </row>
    <row r="445" spans="1:3" ht="12.75" customHeight="1" x14ac:dyDescent="0.25">
      <c r="A445" s="1"/>
      <c r="C445" s="1"/>
    </row>
    <row r="446" spans="1:3" ht="12.75" customHeight="1" x14ac:dyDescent="0.25">
      <c r="A446" s="1"/>
      <c r="C446" s="1"/>
    </row>
    <row r="447" spans="1:3" ht="12.75" customHeight="1" x14ac:dyDescent="0.25">
      <c r="A447" s="1"/>
      <c r="C447" s="1"/>
    </row>
    <row r="448" spans="1:3" ht="12.75" customHeight="1" x14ac:dyDescent="0.25">
      <c r="A448" s="1"/>
      <c r="C448" s="1"/>
    </row>
    <row r="449" spans="1:3" ht="12.75" customHeight="1" x14ac:dyDescent="0.25">
      <c r="A449" s="1"/>
      <c r="C449" s="1"/>
    </row>
    <row r="450" spans="1:3" ht="12.75" customHeight="1" x14ac:dyDescent="0.25">
      <c r="A450" s="1"/>
      <c r="C450" s="1"/>
    </row>
    <row r="451" spans="1:3" ht="12.75" customHeight="1" x14ac:dyDescent="0.25">
      <c r="A451" s="1"/>
      <c r="C451" s="1"/>
    </row>
    <row r="452" spans="1:3" ht="12.75" customHeight="1" x14ac:dyDescent="0.25">
      <c r="A452" s="1"/>
      <c r="C452" s="1"/>
    </row>
    <row r="453" spans="1:3" ht="12.75" customHeight="1" x14ac:dyDescent="0.25">
      <c r="A453" s="1"/>
      <c r="C453" s="1"/>
    </row>
    <row r="454" spans="1:3" ht="12.75" customHeight="1" x14ac:dyDescent="0.25">
      <c r="A454" s="1"/>
      <c r="C454" s="1"/>
    </row>
    <row r="455" spans="1:3" ht="12.75" customHeight="1" x14ac:dyDescent="0.25">
      <c r="A455" s="1"/>
      <c r="C455" s="1"/>
    </row>
    <row r="456" spans="1:3" ht="12.75" customHeight="1" x14ac:dyDescent="0.25">
      <c r="A456" s="1"/>
      <c r="C456" s="1"/>
    </row>
    <row r="457" spans="1:3" ht="12.75" customHeight="1" x14ac:dyDescent="0.25">
      <c r="A457" s="1"/>
      <c r="C457" s="1"/>
    </row>
    <row r="458" spans="1:3" ht="12.75" customHeight="1" x14ac:dyDescent="0.25">
      <c r="A458" s="1"/>
      <c r="C458" s="1"/>
    </row>
    <row r="459" spans="1:3" ht="12.75" customHeight="1" x14ac:dyDescent="0.25">
      <c r="A459" s="1"/>
      <c r="C459" s="1"/>
    </row>
    <row r="460" spans="1:3" ht="12.75" customHeight="1" x14ac:dyDescent="0.25">
      <c r="A460" s="1"/>
      <c r="C460" s="1"/>
    </row>
    <row r="461" spans="1:3" ht="12.75" customHeight="1" x14ac:dyDescent="0.25">
      <c r="A461" s="1"/>
      <c r="C461" s="1"/>
    </row>
    <row r="462" spans="1:3" ht="12.75" customHeight="1" x14ac:dyDescent="0.25">
      <c r="A462" s="1"/>
      <c r="C462" s="1"/>
    </row>
    <row r="463" spans="1:3" ht="12.75" customHeight="1" x14ac:dyDescent="0.25">
      <c r="A463" s="1"/>
      <c r="C463" s="1"/>
    </row>
    <row r="464" spans="1:3" ht="12.75" customHeight="1" x14ac:dyDescent="0.25">
      <c r="A464" s="1"/>
      <c r="C464" s="1"/>
    </row>
    <row r="465" spans="1:3" ht="12.75" customHeight="1" x14ac:dyDescent="0.25">
      <c r="A465" s="1"/>
      <c r="C465" s="1"/>
    </row>
    <row r="466" spans="1:3" ht="12.75" customHeight="1" x14ac:dyDescent="0.25">
      <c r="A466" s="1"/>
      <c r="C466" s="1"/>
    </row>
    <row r="467" spans="1:3" ht="12.75" customHeight="1" x14ac:dyDescent="0.25">
      <c r="A467" s="1"/>
      <c r="C467" s="1"/>
    </row>
    <row r="468" spans="1:3" ht="12.75" customHeight="1" x14ac:dyDescent="0.25">
      <c r="A468" s="1"/>
      <c r="C468" s="1"/>
    </row>
    <row r="469" spans="1:3" ht="12.75" customHeight="1" x14ac:dyDescent="0.25">
      <c r="A469" s="1"/>
      <c r="C469" s="1"/>
    </row>
    <row r="470" spans="1:3" ht="12.75" customHeight="1" x14ac:dyDescent="0.25">
      <c r="A470" s="1"/>
      <c r="C470" s="1"/>
    </row>
    <row r="471" spans="1:3" ht="12.75" customHeight="1" x14ac:dyDescent="0.25">
      <c r="A471" s="1"/>
      <c r="C471" s="1"/>
    </row>
    <row r="472" spans="1:3" ht="12.75" customHeight="1" x14ac:dyDescent="0.25">
      <c r="A472" s="1"/>
      <c r="C472" s="1"/>
    </row>
    <row r="473" spans="1:3" ht="12.75" customHeight="1" x14ac:dyDescent="0.25">
      <c r="A473" s="1"/>
      <c r="C473" s="1"/>
    </row>
    <row r="474" spans="1:3" ht="12.75" customHeight="1" x14ac:dyDescent="0.25">
      <c r="A474" s="1"/>
      <c r="C474" s="1"/>
    </row>
    <row r="475" spans="1:3" ht="12.75" customHeight="1" x14ac:dyDescent="0.25">
      <c r="A475" s="1"/>
      <c r="C475" s="1"/>
    </row>
    <row r="476" spans="1:3" ht="12.75" customHeight="1" x14ac:dyDescent="0.25">
      <c r="A476" s="1"/>
      <c r="C476" s="1"/>
    </row>
    <row r="477" spans="1:3" ht="12.75" customHeight="1" x14ac:dyDescent="0.25">
      <c r="A477" s="1"/>
      <c r="C477" s="1"/>
    </row>
    <row r="478" spans="1:3" ht="12.75" customHeight="1" x14ac:dyDescent="0.25">
      <c r="A478" s="1"/>
      <c r="C478" s="1"/>
    </row>
    <row r="479" spans="1:3" ht="12.75" customHeight="1" x14ac:dyDescent="0.25">
      <c r="A479" s="1"/>
      <c r="C479" s="1"/>
    </row>
    <row r="480" spans="1:3" ht="12.75" customHeight="1" x14ac:dyDescent="0.25">
      <c r="A480" s="1"/>
      <c r="C480" s="1"/>
    </row>
    <row r="481" spans="1:3" ht="12.75" customHeight="1" x14ac:dyDescent="0.25">
      <c r="A481" s="1"/>
      <c r="C481" s="1"/>
    </row>
    <row r="482" spans="1:3" ht="12.75" customHeight="1" x14ac:dyDescent="0.25">
      <c r="A482" s="1"/>
      <c r="C482" s="1"/>
    </row>
    <row r="483" spans="1:3" ht="12.75" customHeight="1" x14ac:dyDescent="0.25">
      <c r="A483" s="1"/>
      <c r="C483" s="1"/>
    </row>
    <row r="484" spans="1:3" ht="12.75" customHeight="1" x14ac:dyDescent="0.25">
      <c r="A484" s="1"/>
      <c r="C484" s="1"/>
    </row>
    <row r="485" spans="1:3" ht="12.75" customHeight="1" x14ac:dyDescent="0.25">
      <c r="A485" s="1"/>
      <c r="C485" s="1"/>
    </row>
    <row r="486" spans="1:3" ht="12.75" customHeight="1" x14ac:dyDescent="0.25">
      <c r="A486" s="1"/>
      <c r="C486" s="1"/>
    </row>
    <row r="487" spans="1:3" ht="12.75" customHeight="1" x14ac:dyDescent="0.25">
      <c r="A487" s="1"/>
      <c r="C487" s="1"/>
    </row>
    <row r="488" spans="1:3" ht="12.75" customHeight="1" x14ac:dyDescent="0.25">
      <c r="A488" s="1"/>
      <c r="C488" s="1"/>
    </row>
    <row r="489" spans="1:3" ht="12.75" customHeight="1" x14ac:dyDescent="0.25">
      <c r="A489" s="1"/>
      <c r="C489" s="1"/>
    </row>
    <row r="490" spans="1:3" ht="12.75" customHeight="1" x14ac:dyDescent="0.25">
      <c r="A490" s="1"/>
      <c r="C490" s="1"/>
    </row>
    <row r="491" spans="1:3" ht="12.75" customHeight="1" x14ac:dyDescent="0.25">
      <c r="A491" s="1"/>
      <c r="C491" s="1"/>
    </row>
    <row r="492" spans="1:3" ht="12.75" customHeight="1" x14ac:dyDescent="0.25">
      <c r="A492" s="1"/>
      <c r="C492" s="1"/>
    </row>
    <row r="493" spans="1:3" ht="12.75" customHeight="1" x14ac:dyDescent="0.25">
      <c r="A493" s="1"/>
      <c r="C493" s="1"/>
    </row>
    <row r="494" spans="1:3" ht="12.75" customHeight="1" x14ac:dyDescent="0.25">
      <c r="A494" s="1"/>
      <c r="C494" s="1"/>
    </row>
    <row r="495" spans="1:3" ht="12.75" customHeight="1" x14ac:dyDescent="0.25">
      <c r="A495" s="1"/>
      <c r="C495" s="1"/>
    </row>
    <row r="496" spans="1:3" ht="12.75" customHeight="1" x14ac:dyDescent="0.25">
      <c r="A496" s="1"/>
      <c r="C496" s="1"/>
    </row>
    <row r="497" spans="1:3" ht="12.75" customHeight="1" x14ac:dyDescent="0.25">
      <c r="A497" s="1"/>
      <c r="C497" s="1"/>
    </row>
    <row r="498" spans="1:3" ht="12.75" customHeight="1" x14ac:dyDescent="0.25">
      <c r="A498" s="1"/>
      <c r="C498" s="1"/>
    </row>
    <row r="499" spans="1:3" ht="12.75" customHeight="1" x14ac:dyDescent="0.25">
      <c r="A499" s="1"/>
      <c r="C499" s="1"/>
    </row>
    <row r="500" spans="1:3" ht="12.75" customHeight="1" x14ac:dyDescent="0.25">
      <c r="A500" s="1"/>
      <c r="C500" s="1"/>
    </row>
    <row r="501" spans="1:3" ht="12.75" customHeight="1" x14ac:dyDescent="0.25">
      <c r="A501" s="1"/>
      <c r="C501" s="1"/>
    </row>
    <row r="502" spans="1:3" ht="12.75" customHeight="1" x14ac:dyDescent="0.25">
      <c r="A502" s="1"/>
      <c r="C502" s="1"/>
    </row>
    <row r="503" spans="1:3" ht="12.75" customHeight="1" x14ac:dyDescent="0.25">
      <c r="A503" s="1"/>
      <c r="C503" s="1"/>
    </row>
    <row r="504" spans="1:3" ht="12.75" customHeight="1" x14ac:dyDescent="0.25">
      <c r="A504" s="1"/>
      <c r="C504" s="1"/>
    </row>
    <row r="505" spans="1:3" ht="12.75" customHeight="1" x14ac:dyDescent="0.25">
      <c r="A505" s="1"/>
      <c r="C505" s="1"/>
    </row>
    <row r="506" spans="1:3" ht="12.75" customHeight="1" x14ac:dyDescent="0.25">
      <c r="A506" s="1"/>
      <c r="C506" s="1"/>
    </row>
    <row r="507" spans="1:3" ht="12.75" customHeight="1" x14ac:dyDescent="0.25">
      <c r="A507" s="1"/>
      <c r="C507" s="1"/>
    </row>
    <row r="508" spans="1:3" ht="12.75" customHeight="1" x14ac:dyDescent="0.25">
      <c r="A508" s="1"/>
      <c r="C508" s="1"/>
    </row>
    <row r="509" spans="1:3" ht="12.75" customHeight="1" x14ac:dyDescent="0.25">
      <c r="A509" s="1"/>
      <c r="C509" s="1"/>
    </row>
    <row r="510" spans="1:3" ht="12.75" customHeight="1" x14ac:dyDescent="0.25">
      <c r="A510" s="1"/>
      <c r="C510" s="1"/>
    </row>
    <row r="511" spans="1:3" ht="12.75" customHeight="1" x14ac:dyDescent="0.25">
      <c r="A511" s="1"/>
      <c r="C511" s="1"/>
    </row>
    <row r="512" spans="1:3" ht="12.75" customHeight="1" x14ac:dyDescent="0.25">
      <c r="A512" s="1"/>
      <c r="C512" s="1"/>
    </row>
    <row r="513" spans="1:3" ht="12.75" customHeight="1" x14ac:dyDescent="0.25">
      <c r="A513" s="1"/>
      <c r="C513" s="1"/>
    </row>
    <row r="514" spans="1:3" ht="12.75" customHeight="1" x14ac:dyDescent="0.25">
      <c r="A514" s="1"/>
      <c r="C514" s="1"/>
    </row>
    <row r="515" spans="1:3" ht="12.75" customHeight="1" x14ac:dyDescent="0.25">
      <c r="A515" s="1"/>
      <c r="C515" s="1"/>
    </row>
    <row r="516" spans="1:3" ht="12.75" customHeight="1" x14ac:dyDescent="0.25">
      <c r="A516" s="1"/>
      <c r="C516" s="1"/>
    </row>
    <row r="517" spans="1:3" ht="12.75" customHeight="1" x14ac:dyDescent="0.25">
      <c r="A517" s="1"/>
      <c r="C517" s="1"/>
    </row>
    <row r="518" spans="1:3" ht="12.75" customHeight="1" x14ac:dyDescent="0.25">
      <c r="A518" s="1"/>
      <c r="C518" s="1"/>
    </row>
    <row r="519" spans="1:3" ht="12.75" customHeight="1" x14ac:dyDescent="0.25">
      <c r="A519" s="1"/>
      <c r="C519" s="1"/>
    </row>
    <row r="520" spans="1:3" ht="12.75" customHeight="1" x14ac:dyDescent="0.25">
      <c r="A520" s="1"/>
      <c r="C520" s="1"/>
    </row>
    <row r="521" spans="1:3" ht="12.75" customHeight="1" x14ac:dyDescent="0.25">
      <c r="A521" s="1"/>
      <c r="C521" s="1"/>
    </row>
    <row r="522" spans="1:3" ht="12.75" customHeight="1" x14ac:dyDescent="0.25">
      <c r="A522" s="1"/>
      <c r="C522" s="1"/>
    </row>
    <row r="523" spans="1:3" ht="12.75" customHeight="1" x14ac:dyDescent="0.25">
      <c r="A523" s="1"/>
      <c r="C523" s="1"/>
    </row>
    <row r="524" spans="1:3" ht="12.75" customHeight="1" x14ac:dyDescent="0.25">
      <c r="A524" s="1"/>
      <c r="C524" s="1"/>
    </row>
    <row r="525" spans="1:3" ht="12.75" customHeight="1" x14ac:dyDescent="0.25">
      <c r="A525" s="1"/>
      <c r="C525" s="1"/>
    </row>
    <row r="526" spans="1:3" ht="12.75" customHeight="1" x14ac:dyDescent="0.25">
      <c r="A526" s="1"/>
      <c r="C526" s="1"/>
    </row>
    <row r="527" spans="1:3" ht="12.75" customHeight="1" x14ac:dyDescent="0.25">
      <c r="A527" s="1"/>
      <c r="C527" s="1"/>
    </row>
    <row r="528" spans="1:3" ht="12.75" customHeight="1" x14ac:dyDescent="0.25">
      <c r="A528" s="1"/>
      <c r="C528" s="1"/>
    </row>
    <row r="529" spans="1:3" ht="12.75" customHeight="1" x14ac:dyDescent="0.25">
      <c r="A529" s="1"/>
      <c r="C529" s="1"/>
    </row>
    <row r="530" spans="1:3" ht="12.75" customHeight="1" x14ac:dyDescent="0.25">
      <c r="A530" s="1"/>
      <c r="C530" s="1"/>
    </row>
    <row r="531" spans="1:3" ht="12.75" customHeight="1" x14ac:dyDescent="0.25">
      <c r="A531" s="1"/>
      <c r="C531" s="1"/>
    </row>
    <row r="532" spans="1:3" ht="12.75" customHeight="1" x14ac:dyDescent="0.25">
      <c r="A532" s="1"/>
      <c r="C532" s="1"/>
    </row>
    <row r="533" spans="1:3" ht="12.75" customHeight="1" x14ac:dyDescent="0.25">
      <c r="A533" s="1"/>
      <c r="C533" s="1"/>
    </row>
    <row r="534" spans="1:3" ht="12.75" customHeight="1" x14ac:dyDescent="0.25">
      <c r="A534" s="1"/>
      <c r="C534" s="1"/>
    </row>
    <row r="535" spans="1:3" ht="12.75" customHeight="1" x14ac:dyDescent="0.25">
      <c r="A535" s="1"/>
      <c r="C535" s="1"/>
    </row>
    <row r="536" spans="1:3" ht="12.75" customHeight="1" x14ac:dyDescent="0.25">
      <c r="A536" s="1"/>
      <c r="C536" s="1"/>
    </row>
    <row r="537" spans="1:3" ht="12.75" customHeight="1" x14ac:dyDescent="0.25">
      <c r="A537" s="1"/>
      <c r="C537" s="1"/>
    </row>
    <row r="538" spans="1:3" ht="12.75" customHeight="1" x14ac:dyDescent="0.25">
      <c r="A538" s="1"/>
      <c r="C538" s="1"/>
    </row>
    <row r="539" spans="1:3" ht="12.75" customHeight="1" x14ac:dyDescent="0.25">
      <c r="A539" s="1"/>
      <c r="C539" s="1"/>
    </row>
    <row r="540" spans="1:3" ht="12.75" customHeight="1" x14ac:dyDescent="0.25">
      <c r="A540" s="1"/>
      <c r="C540" s="1"/>
    </row>
    <row r="541" spans="1:3" ht="12.75" customHeight="1" x14ac:dyDescent="0.25">
      <c r="A541" s="1"/>
      <c r="C541" s="1"/>
    </row>
    <row r="542" spans="1:3" ht="12.75" customHeight="1" x14ac:dyDescent="0.25">
      <c r="A542" s="1"/>
      <c r="C542" s="1"/>
    </row>
    <row r="543" spans="1:3" ht="12.75" customHeight="1" x14ac:dyDescent="0.25">
      <c r="A543" s="1"/>
      <c r="C543" s="1"/>
    </row>
    <row r="544" spans="1:3" ht="12.75" customHeight="1" x14ac:dyDescent="0.25">
      <c r="A544" s="1"/>
      <c r="C544" s="1"/>
    </row>
    <row r="545" spans="1:3" ht="12.75" customHeight="1" x14ac:dyDescent="0.25">
      <c r="A545" s="1"/>
      <c r="C545" s="1"/>
    </row>
    <row r="546" spans="1:3" ht="12.75" customHeight="1" x14ac:dyDescent="0.25">
      <c r="A546" s="1"/>
      <c r="C546" s="1"/>
    </row>
    <row r="547" spans="1:3" ht="12.75" customHeight="1" x14ac:dyDescent="0.25">
      <c r="A547" s="1"/>
      <c r="C547" s="1"/>
    </row>
    <row r="548" spans="1:3" ht="12.75" customHeight="1" x14ac:dyDescent="0.25">
      <c r="A548" s="1"/>
      <c r="C548" s="1"/>
    </row>
    <row r="549" spans="1:3" ht="12.75" customHeight="1" x14ac:dyDescent="0.25">
      <c r="A549" s="1"/>
      <c r="C549" s="1"/>
    </row>
    <row r="550" spans="1:3" ht="12.75" customHeight="1" x14ac:dyDescent="0.25">
      <c r="A550" s="1"/>
      <c r="C550" s="1"/>
    </row>
    <row r="551" spans="1:3" ht="12.75" customHeight="1" x14ac:dyDescent="0.25">
      <c r="A551" s="1"/>
      <c r="C551" s="1"/>
    </row>
    <row r="552" spans="1:3" ht="12.75" customHeight="1" x14ac:dyDescent="0.25">
      <c r="A552" s="1"/>
      <c r="C552" s="1"/>
    </row>
    <row r="553" spans="1:3" ht="12.75" customHeight="1" x14ac:dyDescent="0.25">
      <c r="A553" s="1"/>
      <c r="C553" s="1"/>
    </row>
    <row r="554" spans="1:3" ht="12.75" customHeight="1" x14ac:dyDescent="0.25">
      <c r="A554" s="1"/>
      <c r="C554" s="1"/>
    </row>
    <row r="555" spans="1:3" ht="12.75" customHeight="1" x14ac:dyDescent="0.25">
      <c r="A555" s="1"/>
      <c r="C555" s="1"/>
    </row>
    <row r="556" spans="1:3" ht="12.75" customHeight="1" x14ac:dyDescent="0.25">
      <c r="A556" s="1"/>
      <c r="C556" s="1"/>
    </row>
    <row r="557" spans="1:3" ht="12.75" customHeight="1" x14ac:dyDescent="0.25">
      <c r="A557" s="1"/>
      <c r="C557" s="1"/>
    </row>
    <row r="558" spans="1:3" ht="12.75" customHeight="1" x14ac:dyDescent="0.25">
      <c r="A558" s="1"/>
      <c r="C558" s="1"/>
    </row>
    <row r="559" spans="1:3" ht="12.75" customHeight="1" x14ac:dyDescent="0.25">
      <c r="A559" s="1"/>
      <c r="C559" s="1"/>
    </row>
    <row r="560" spans="1:3" ht="12.75" customHeight="1" x14ac:dyDescent="0.25">
      <c r="A560" s="1"/>
      <c r="C560" s="1"/>
    </row>
    <row r="561" spans="1:3" ht="12.75" customHeight="1" x14ac:dyDescent="0.25">
      <c r="A561" s="1"/>
      <c r="C561" s="1"/>
    </row>
    <row r="562" spans="1:3" ht="12.75" customHeight="1" x14ac:dyDescent="0.25">
      <c r="A562" s="1"/>
      <c r="C562" s="1"/>
    </row>
    <row r="563" spans="1:3" ht="12.75" customHeight="1" x14ac:dyDescent="0.25">
      <c r="A563" s="1"/>
      <c r="C563" s="1"/>
    </row>
    <row r="564" spans="1:3" ht="12.75" customHeight="1" x14ac:dyDescent="0.25">
      <c r="A564" s="1"/>
      <c r="C564" s="1"/>
    </row>
    <row r="565" spans="1:3" ht="12.75" customHeight="1" x14ac:dyDescent="0.25">
      <c r="A565" s="1"/>
      <c r="C565" s="1"/>
    </row>
    <row r="566" spans="1:3" ht="12.75" customHeight="1" x14ac:dyDescent="0.25">
      <c r="A566" s="1"/>
      <c r="C566" s="1"/>
    </row>
    <row r="567" spans="1:3" ht="12.75" customHeight="1" x14ac:dyDescent="0.25">
      <c r="A567" s="1"/>
      <c r="C567" s="1"/>
    </row>
    <row r="568" spans="1:3" ht="12.75" customHeight="1" x14ac:dyDescent="0.25">
      <c r="A568" s="1"/>
      <c r="C568" s="1"/>
    </row>
    <row r="569" spans="1:3" ht="12.75" customHeight="1" x14ac:dyDescent="0.25">
      <c r="A569" s="1"/>
      <c r="C569" s="1"/>
    </row>
    <row r="570" spans="1:3" ht="12.75" customHeight="1" x14ac:dyDescent="0.25">
      <c r="A570" s="1"/>
      <c r="C570" s="1"/>
    </row>
    <row r="571" spans="1:3" ht="12.75" customHeight="1" x14ac:dyDescent="0.25">
      <c r="A571" s="1"/>
      <c r="C571" s="1"/>
    </row>
    <row r="572" spans="1:3" ht="12.75" customHeight="1" x14ac:dyDescent="0.25">
      <c r="A572" s="1"/>
      <c r="C572" s="1"/>
    </row>
    <row r="573" spans="1:3" ht="12.75" customHeight="1" x14ac:dyDescent="0.25">
      <c r="A573" s="1"/>
      <c r="C573" s="1"/>
    </row>
    <row r="574" spans="1:3" ht="12.75" customHeight="1" x14ac:dyDescent="0.25">
      <c r="A574" s="1"/>
      <c r="C574" s="1"/>
    </row>
    <row r="575" spans="1:3" ht="12.75" customHeight="1" x14ac:dyDescent="0.25">
      <c r="A575" s="1"/>
      <c r="C575" s="1"/>
    </row>
    <row r="576" spans="1:3" ht="12.75" customHeight="1" x14ac:dyDescent="0.25">
      <c r="A576" s="1"/>
      <c r="C576" s="1"/>
    </row>
    <row r="577" spans="1:3" ht="12.75" customHeight="1" x14ac:dyDescent="0.25">
      <c r="A577" s="1"/>
      <c r="C577" s="1"/>
    </row>
    <row r="578" spans="1:3" ht="12.75" customHeight="1" x14ac:dyDescent="0.25">
      <c r="A578" s="1"/>
      <c r="C578" s="1"/>
    </row>
    <row r="579" spans="1:3" ht="12.75" customHeight="1" x14ac:dyDescent="0.25">
      <c r="A579" s="1"/>
      <c r="C579" s="1"/>
    </row>
    <row r="580" spans="1:3" ht="12.75" customHeight="1" x14ac:dyDescent="0.25">
      <c r="A580" s="1"/>
      <c r="C580" s="1"/>
    </row>
    <row r="581" spans="1:3" ht="12.75" customHeight="1" x14ac:dyDescent="0.25">
      <c r="A581" s="1"/>
      <c r="C581" s="1"/>
    </row>
    <row r="582" spans="1:3" ht="12.75" customHeight="1" x14ac:dyDescent="0.25">
      <c r="A582" s="1"/>
      <c r="C582" s="1"/>
    </row>
    <row r="583" spans="1:3" ht="12.75" customHeight="1" x14ac:dyDescent="0.25">
      <c r="A583" s="1"/>
      <c r="C583" s="1"/>
    </row>
    <row r="584" spans="1:3" ht="12.75" customHeight="1" x14ac:dyDescent="0.25">
      <c r="A584" s="1"/>
      <c r="C584" s="1"/>
    </row>
    <row r="585" spans="1:3" ht="12.75" customHeight="1" x14ac:dyDescent="0.25">
      <c r="A585" s="1"/>
      <c r="C585" s="1"/>
    </row>
    <row r="586" spans="1:3" ht="12.75" customHeight="1" x14ac:dyDescent="0.25">
      <c r="A586" s="1"/>
      <c r="C586" s="1"/>
    </row>
    <row r="587" spans="1:3" ht="12.75" customHeight="1" x14ac:dyDescent="0.25">
      <c r="A587" s="1"/>
      <c r="C587" s="1"/>
    </row>
    <row r="588" spans="1:3" ht="12.75" customHeight="1" x14ac:dyDescent="0.25">
      <c r="A588" s="1"/>
      <c r="C588" s="1"/>
    </row>
    <row r="589" spans="1:3" ht="12.75" customHeight="1" x14ac:dyDescent="0.25">
      <c r="A589" s="1"/>
      <c r="C589" s="1"/>
    </row>
    <row r="590" spans="1:3" ht="12.75" customHeight="1" x14ac:dyDescent="0.25">
      <c r="A590" s="1"/>
      <c r="C590" s="1"/>
    </row>
    <row r="591" spans="1:3" ht="12.75" customHeight="1" x14ac:dyDescent="0.25">
      <c r="A591" s="1"/>
      <c r="C591" s="1"/>
    </row>
    <row r="592" spans="1:3" ht="12.75" customHeight="1" x14ac:dyDescent="0.25">
      <c r="A592" s="1"/>
      <c r="C592" s="1"/>
    </row>
    <row r="593" spans="1:3" ht="12.75" customHeight="1" x14ac:dyDescent="0.25">
      <c r="A593" s="1"/>
      <c r="C593" s="1"/>
    </row>
    <row r="594" spans="1:3" ht="12.75" customHeight="1" x14ac:dyDescent="0.25">
      <c r="A594" s="1"/>
      <c r="C594" s="1"/>
    </row>
    <row r="595" spans="1:3" ht="12.75" customHeight="1" x14ac:dyDescent="0.25">
      <c r="A595" s="1"/>
      <c r="C595" s="1"/>
    </row>
    <row r="596" spans="1:3" ht="12.75" customHeight="1" x14ac:dyDescent="0.25">
      <c r="A596" s="1"/>
      <c r="C596" s="1"/>
    </row>
    <row r="597" spans="1:3" ht="12.75" customHeight="1" x14ac:dyDescent="0.25">
      <c r="A597" s="1"/>
      <c r="C597" s="1"/>
    </row>
    <row r="598" spans="1:3" ht="12.75" customHeight="1" x14ac:dyDescent="0.25">
      <c r="A598" s="1"/>
      <c r="C598" s="1"/>
    </row>
    <row r="599" spans="1:3" ht="12.75" customHeight="1" x14ac:dyDescent="0.25">
      <c r="A599" s="1"/>
      <c r="C599" s="1"/>
    </row>
    <row r="600" spans="1:3" ht="12.75" customHeight="1" x14ac:dyDescent="0.25">
      <c r="A600" s="1"/>
      <c r="C600" s="1"/>
    </row>
    <row r="601" spans="1:3" ht="12.75" customHeight="1" x14ac:dyDescent="0.25">
      <c r="A601" s="1"/>
      <c r="C601" s="1"/>
    </row>
    <row r="602" spans="1:3" ht="12.75" customHeight="1" x14ac:dyDescent="0.25">
      <c r="A602" s="1"/>
      <c r="C602" s="1"/>
    </row>
    <row r="603" spans="1:3" ht="12.75" customHeight="1" x14ac:dyDescent="0.25">
      <c r="A603" s="1"/>
      <c r="C603" s="1"/>
    </row>
    <row r="604" spans="1:3" ht="12.75" customHeight="1" x14ac:dyDescent="0.25">
      <c r="A604" s="1"/>
      <c r="C604" s="1"/>
    </row>
    <row r="605" spans="1:3" ht="12.75" customHeight="1" x14ac:dyDescent="0.25">
      <c r="A605" s="1"/>
      <c r="C605" s="1"/>
    </row>
    <row r="606" spans="1:3" ht="12.75" customHeight="1" x14ac:dyDescent="0.25">
      <c r="A606" s="1"/>
      <c r="C606" s="1"/>
    </row>
    <row r="607" spans="1:3" ht="12.75" customHeight="1" x14ac:dyDescent="0.25">
      <c r="A607" s="1"/>
      <c r="C607" s="1"/>
    </row>
    <row r="608" spans="1:3" ht="12.75" customHeight="1" x14ac:dyDescent="0.25">
      <c r="A608" s="1"/>
      <c r="C608" s="1"/>
    </row>
    <row r="609" spans="1:3" ht="12.75" customHeight="1" x14ac:dyDescent="0.25">
      <c r="A609" s="1"/>
      <c r="C609" s="1"/>
    </row>
    <row r="610" spans="1:3" ht="12.75" customHeight="1" x14ac:dyDescent="0.25">
      <c r="A610" s="1"/>
      <c r="C610" s="1"/>
    </row>
    <row r="611" spans="1:3" ht="12.75" customHeight="1" x14ac:dyDescent="0.25">
      <c r="A611" s="1"/>
      <c r="C611" s="1"/>
    </row>
    <row r="612" spans="1:3" ht="12.75" customHeight="1" x14ac:dyDescent="0.25">
      <c r="A612" s="1"/>
      <c r="C612" s="1"/>
    </row>
    <row r="613" spans="1:3" ht="12.75" customHeight="1" x14ac:dyDescent="0.25">
      <c r="A613" s="1"/>
      <c r="C613" s="1"/>
    </row>
    <row r="614" spans="1:3" ht="12.75" customHeight="1" x14ac:dyDescent="0.25">
      <c r="A614" s="1"/>
      <c r="C614" s="1"/>
    </row>
    <row r="615" spans="1:3" ht="12.75" customHeight="1" x14ac:dyDescent="0.25">
      <c r="A615" s="1"/>
      <c r="C615" s="1"/>
    </row>
    <row r="616" spans="1:3" ht="12.75" customHeight="1" x14ac:dyDescent="0.25">
      <c r="A616" s="1"/>
      <c r="C616" s="1"/>
    </row>
    <row r="617" spans="1:3" ht="12.75" customHeight="1" x14ac:dyDescent="0.25">
      <c r="A617" s="1"/>
      <c r="C617" s="1"/>
    </row>
    <row r="618" spans="1:3" ht="12.75" customHeight="1" x14ac:dyDescent="0.25">
      <c r="A618" s="1"/>
      <c r="C618" s="1"/>
    </row>
    <row r="619" spans="1:3" ht="12.75" customHeight="1" x14ac:dyDescent="0.25">
      <c r="A619" s="1"/>
      <c r="C619" s="1"/>
    </row>
    <row r="620" spans="1:3" ht="12.75" customHeight="1" x14ac:dyDescent="0.25">
      <c r="A620" s="1"/>
      <c r="C620" s="1"/>
    </row>
    <row r="621" spans="1:3" ht="12.75" customHeight="1" x14ac:dyDescent="0.25">
      <c r="A621" s="1"/>
      <c r="C621" s="1"/>
    </row>
    <row r="622" spans="1:3" ht="12.75" customHeight="1" x14ac:dyDescent="0.25">
      <c r="A622" s="1"/>
      <c r="C622" s="1"/>
    </row>
    <row r="623" spans="1:3" ht="12.75" customHeight="1" x14ac:dyDescent="0.25">
      <c r="A623" s="1"/>
      <c r="C623" s="1"/>
    </row>
    <row r="624" spans="1:3" ht="12.75" customHeight="1" x14ac:dyDescent="0.25">
      <c r="A624" s="1"/>
      <c r="C624" s="1"/>
    </row>
    <row r="625" spans="1:3" ht="12.75" customHeight="1" x14ac:dyDescent="0.25">
      <c r="A625" s="1"/>
      <c r="C625" s="1"/>
    </row>
    <row r="626" spans="1:3" ht="12.75" customHeight="1" x14ac:dyDescent="0.25">
      <c r="A626" s="1"/>
      <c r="C626" s="1"/>
    </row>
    <row r="627" spans="1:3" ht="12.75" customHeight="1" x14ac:dyDescent="0.25">
      <c r="A627" s="1"/>
      <c r="C627" s="1"/>
    </row>
    <row r="628" spans="1:3" ht="12.75" customHeight="1" x14ac:dyDescent="0.25">
      <c r="A628" s="1"/>
      <c r="C628" s="1"/>
    </row>
    <row r="629" spans="1:3" ht="12.75" customHeight="1" x14ac:dyDescent="0.25">
      <c r="A629" s="1"/>
      <c r="C629" s="1"/>
    </row>
    <row r="630" spans="1:3" ht="12.75" customHeight="1" x14ac:dyDescent="0.25">
      <c r="A630" s="1"/>
      <c r="C630" s="1"/>
    </row>
    <row r="631" spans="1:3" ht="12.75" customHeight="1" x14ac:dyDescent="0.25">
      <c r="A631" s="1"/>
      <c r="C631" s="1"/>
    </row>
    <row r="632" spans="1:3" ht="12.75" customHeight="1" x14ac:dyDescent="0.25">
      <c r="A632" s="1"/>
      <c r="C632" s="1"/>
    </row>
    <row r="633" spans="1:3" ht="12.75" customHeight="1" x14ac:dyDescent="0.25">
      <c r="A633" s="1"/>
      <c r="C633" s="1"/>
    </row>
    <row r="634" spans="1:3" ht="12.75" customHeight="1" x14ac:dyDescent="0.25">
      <c r="A634" s="1"/>
      <c r="C634" s="1"/>
    </row>
    <row r="635" spans="1:3" ht="12.75" customHeight="1" x14ac:dyDescent="0.25">
      <c r="A635" s="1"/>
      <c r="C635" s="1"/>
    </row>
    <row r="636" spans="1:3" ht="12.75" customHeight="1" x14ac:dyDescent="0.25">
      <c r="A636" s="1"/>
      <c r="C636" s="1"/>
    </row>
    <row r="637" spans="1:3" ht="12.75" customHeight="1" x14ac:dyDescent="0.25">
      <c r="A637" s="1"/>
      <c r="C637" s="1"/>
    </row>
    <row r="638" spans="1:3" ht="12.75" customHeight="1" x14ac:dyDescent="0.25">
      <c r="A638" s="1"/>
      <c r="C638" s="1"/>
    </row>
    <row r="639" spans="1:3" ht="12.75" customHeight="1" x14ac:dyDescent="0.25">
      <c r="A639" s="1"/>
      <c r="C639" s="1"/>
    </row>
    <row r="640" spans="1:3" ht="12.75" customHeight="1" x14ac:dyDescent="0.25">
      <c r="A640" s="1"/>
      <c r="C640" s="1"/>
    </row>
    <row r="641" spans="1:3" ht="12.75" customHeight="1" x14ac:dyDescent="0.25">
      <c r="A641" s="1"/>
      <c r="C641" s="1"/>
    </row>
    <row r="642" spans="1:3" ht="12.75" customHeight="1" x14ac:dyDescent="0.25">
      <c r="A642" s="1"/>
      <c r="C642" s="1"/>
    </row>
    <row r="643" spans="1:3" ht="12.75" customHeight="1" x14ac:dyDescent="0.25">
      <c r="A643" s="1"/>
      <c r="C643" s="1"/>
    </row>
    <row r="644" spans="1:3" ht="12.75" customHeight="1" x14ac:dyDescent="0.25">
      <c r="A644" s="1"/>
      <c r="C644" s="1"/>
    </row>
    <row r="645" spans="1:3" ht="12.75" customHeight="1" x14ac:dyDescent="0.25">
      <c r="A645" s="1"/>
      <c r="C645" s="1"/>
    </row>
    <row r="646" spans="1:3" ht="12.75" customHeight="1" x14ac:dyDescent="0.25">
      <c r="A646" s="1"/>
      <c r="C646" s="1"/>
    </row>
    <row r="647" spans="1:3" ht="12.75" customHeight="1" x14ac:dyDescent="0.25">
      <c r="A647" s="1"/>
      <c r="C647" s="1"/>
    </row>
    <row r="648" spans="1:3" ht="12.75" customHeight="1" x14ac:dyDescent="0.25">
      <c r="A648" s="1"/>
      <c r="C648" s="1"/>
    </row>
    <row r="649" spans="1:3" ht="12.75" customHeight="1" x14ac:dyDescent="0.25">
      <c r="A649" s="1"/>
      <c r="C649" s="1"/>
    </row>
    <row r="650" spans="1:3" ht="12.75" customHeight="1" x14ac:dyDescent="0.25">
      <c r="A650" s="1"/>
      <c r="C650" s="1"/>
    </row>
    <row r="651" spans="1:3" ht="12.75" customHeight="1" x14ac:dyDescent="0.25">
      <c r="A651" s="1"/>
      <c r="C651" s="1"/>
    </row>
    <row r="652" spans="1:3" ht="12.75" customHeight="1" x14ac:dyDescent="0.25">
      <c r="A652" s="1"/>
      <c r="C652" s="1"/>
    </row>
    <row r="653" spans="1:3" ht="12.75" customHeight="1" x14ac:dyDescent="0.25">
      <c r="A653" s="1"/>
      <c r="C653" s="1"/>
    </row>
    <row r="654" spans="1:3" ht="12.75" customHeight="1" x14ac:dyDescent="0.25">
      <c r="A654" s="1"/>
      <c r="C654" s="1"/>
    </row>
    <row r="655" spans="1:3" ht="12.75" customHeight="1" x14ac:dyDescent="0.25">
      <c r="A655" s="1"/>
      <c r="C655" s="1"/>
    </row>
    <row r="656" spans="1:3" ht="12.75" customHeight="1" x14ac:dyDescent="0.25">
      <c r="A656" s="1"/>
      <c r="C656" s="1"/>
    </row>
    <row r="657" spans="1:3" ht="12.75" customHeight="1" x14ac:dyDescent="0.25">
      <c r="A657" s="1"/>
      <c r="C657" s="1"/>
    </row>
    <row r="658" spans="1:3" ht="12.75" customHeight="1" x14ac:dyDescent="0.25">
      <c r="A658" s="1"/>
      <c r="C658" s="1"/>
    </row>
    <row r="659" spans="1:3" ht="12.75" customHeight="1" x14ac:dyDescent="0.25">
      <c r="A659" s="1"/>
      <c r="C659" s="1"/>
    </row>
    <row r="660" spans="1:3" ht="12.75" customHeight="1" x14ac:dyDescent="0.25">
      <c r="A660" s="1"/>
      <c r="C660" s="1"/>
    </row>
    <row r="661" spans="1:3" ht="12.75" customHeight="1" x14ac:dyDescent="0.25">
      <c r="A661" s="1"/>
      <c r="C661" s="1"/>
    </row>
    <row r="662" spans="1:3" ht="12.75" customHeight="1" x14ac:dyDescent="0.25">
      <c r="A662" s="1"/>
      <c r="C662" s="1"/>
    </row>
    <row r="663" spans="1:3" ht="12.75" customHeight="1" x14ac:dyDescent="0.25">
      <c r="A663" s="1"/>
      <c r="C663" s="1"/>
    </row>
    <row r="664" spans="1:3" ht="12.75" customHeight="1" x14ac:dyDescent="0.25">
      <c r="A664" s="1"/>
      <c r="C664" s="1"/>
    </row>
    <row r="665" spans="1:3" ht="12.75" customHeight="1" x14ac:dyDescent="0.25">
      <c r="A665" s="1"/>
      <c r="C665" s="1"/>
    </row>
    <row r="666" spans="1:3" ht="12.75" customHeight="1" x14ac:dyDescent="0.25">
      <c r="A666" s="1"/>
      <c r="C666" s="1"/>
    </row>
    <row r="667" spans="1:3" ht="12.75" customHeight="1" x14ac:dyDescent="0.25">
      <c r="A667" s="1"/>
      <c r="C667" s="1"/>
    </row>
    <row r="668" spans="1:3" ht="12.75" customHeight="1" x14ac:dyDescent="0.25">
      <c r="A668" s="1"/>
      <c r="C668" s="1"/>
    </row>
    <row r="669" spans="1:3" ht="12.75" customHeight="1" x14ac:dyDescent="0.25">
      <c r="A669" s="1"/>
      <c r="C669" s="1"/>
    </row>
    <row r="670" spans="1:3" ht="12.75" customHeight="1" x14ac:dyDescent="0.25">
      <c r="A670" s="1"/>
      <c r="C670" s="1"/>
    </row>
    <row r="671" spans="1:3" ht="12.75" customHeight="1" x14ac:dyDescent="0.25">
      <c r="A671" s="1"/>
      <c r="C671" s="1"/>
    </row>
    <row r="672" spans="1:3" ht="12.75" customHeight="1" x14ac:dyDescent="0.25">
      <c r="A672" s="1"/>
      <c r="C672" s="1"/>
    </row>
    <row r="673" spans="1:3" ht="12.75" customHeight="1" x14ac:dyDescent="0.25">
      <c r="A673" s="1"/>
      <c r="C673" s="1"/>
    </row>
    <row r="674" spans="1:3" ht="12.75" customHeight="1" x14ac:dyDescent="0.25">
      <c r="A674" s="1"/>
      <c r="C674" s="1"/>
    </row>
    <row r="675" spans="1:3" ht="12.75" customHeight="1" x14ac:dyDescent="0.25">
      <c r="A675" s="1"/>
      <c r="C675" s="1"/>
    </row>
    <row r="676" spans="1:3" ht="12.75" customHeight="1" x14ac:dyDescent="0.25">
      <c r="A676" s="1"/>
      <c r="C676" s="1"/>
    </row>
    <row r="677" spans="1:3" ht="12.75" customHeight="1" x14ac:dyDescent="0.25">
      <c r="A677" s="1"/>
      <c r="C677" s="1"/>
    </row>
    <row r="678" spans="1:3" ht="12.75" customHeight="1" x14ac:dyDescent="0.25">
      <c r="A678" s="1"/>
      <c r="C678" s="1"/>
    </row>
    <row r="679" spans="1:3" ht="12.75" customHeight="1" x14ac:dyDescent="0.25">
      <c r="A679" s="1"/>
      <c r="C679" s="1"/>
    </row>
    <row r="680" spans="1:3" ht="12.75" customHeight="1" x14ac:dyDescent="0.25">
      <c r="A680" s="1"/>
      <c r="C680" s="1"/>
    </row>
    <row r="681" spans="1:3" ht="12.75" customHeight="1" x14ac:dyDescent="0.25">
      <c r="A681" s="1"/>
      <c r="C681" s="1"/>
    </row>
    <row r="682" spans="1:3" ht="12.75" customHeight="1" x14ac:dyDescent="0.25">
      <c r="A682" s="1"/>
      <c r="C682" s="1"/>
    </row>
    <row r="683" spans="1:3" ht="12.75" customHeight="1" x14ac:dyDescent="0.25">
      <c r="A683" s="1"/>
      <c r="C683" s="1"/>
    </row>
    <row r="684" spans="1:3" ht="12.75" customHeight="1" x14ac:dyDescent="0.25">
      <c r="A684" s="1"/>
      <c r="C684" s="1"/>
    </row>
    <row r="685" spans="1:3" ht="12.75" customHeight="1" x14ac:dyDescent="0.25">
      <c r="A685" s="1"/>
      <c r="C685" s="1"/>
    </row>
    <row r="686" spans="1:3" ht="12.75" customHeight="1" x14ac:dyDescent="0.25">
      <c r="A686" s="1"/>
      <c r="C686" s="1"/>
    </row>
    <row r="687" spans="1:3" ht="12.75" customHeight="1" x14ac:dyDescent="0.25">
      <c r="A687" s="1"/>
      <c r="C687" s="1"/>
    </row>
    <row r="688" spans="1:3" ht="12.75" customHeight="1" x14ac:dyDescent="0.25">
      <c r="A688" s="1"/>
      <c r="C688" s="1"/>
    </row>
    <row r="689" spans="1:3" ht="12.75" customHeight="1" x14ac:dyDescent="0.25">
      <c r="A689" s="1"/>
      <c r="C689" s="1"/>
    </row>
    <row r="690" spans="1:3" ht="12.75" customHeight="1" x14ac:dyDescent="0.25">
      <c r="A690" s="1"/>
      <c r="C690" s="1"/>
    </row>
    <row r="691" spans="1:3" ht="12.75" customHeight="1" x14ac:dyDescent="0.25">
      <c r="A691" s="1"/>
      <c r="C691" s="1"/>
    </row>
    <row r="692" spans="1:3" ht="12.75" customHeight="1" x14ac:dyDescent="0.25">
      <c r="A692" s="1"/>
      <c r="C692" s="1"/>
    </row>
    <row r="693" spans="1:3" ht="12.75" customHeight="1" x14ac:dyDescent="0.25">
      <c r="A693" s="1"/>
      <c r="C693" s="1"/>
    </row>
    <row r="694" spans="1:3" ht="12.75" customHeight="1" x14ac:dyDescent="0.25">
      <c r="A694" s="1"/>
      <c r="C694" s="1"/>
    </row>
    <row r="695" spans="1:3" ht="12.75" customHeight="1" x14ac:dyDescent="0.25">
      <c r="A695" s="1"/>
      <c r="C695" s="1"/>
    </row>
    <row r="696" spans="1:3" ht="12.75" customHeight="1" x14ac:dyDescent="0.25">
      <c r="A696" s="1"/>
      <c r="C696" s="1"/>
    </row>
    <row r="697" spans="1:3" ht="12.75" customHeight="1" x14ac:dyDescent="0.25">
      <c r="A697" s="1"/>
      <c r="C697" s="1"/>
    </row>
    <row r="698" spans="1:3" ht="12.75" customHeight="1" x14ac:dyDescent="0.25">
      <c r="A698" s="1"/>
      <c r="C698" s="1"/>
    </row>
    <row r="699" spans="1:3" ht="12.75" customHeight="1" x14ac:dyDescent="0.25">
      <c r="A699" s="1"/>
      <c r="C699" s="1"/>
    </row>
    <row r="700" spans="1:3" ht="12.75" customHeight="1" x14ac:dyDescent="0.25">
      <c r="A700" s="1"/>
      <c r="C700" s="1"/>
    </row>
    <row r="701" spans="1:3" ht="12.75" customHeight="1" x14ac:dyDescent="0.25">
      <c r="A701" s="1"/>
      <c r="C701" s="1"/>
    </row>
    <row r="702" spans="1:3" ht="12.75" customHeight="1" x14ac:dyDescent="0.25">
      <c r="A702" s="1"/>
      <c r="C702" s="1"/>
    </row>
    <row r="703" spans="1:3" ht="12.75" customHeight="1" x14ac:dyDescent="0.25">
      <c r="A703" s="1"/>
      <c r="C703" s="1"/>
    </row>
    <row r="704" spans="1:3" ht="12.75" customHeight="1" x14ac:dyDescent="0.25">
      <c r="A704" s="1"/>
      <c r="C704" s="1"/>
    </row>
    <row r="705" spans="1:3" ht="12.75" customHeight="1" x14ac:dyDescent="0.25">
      <c r="A705" s="1"/>
      <c r="C705" s="1"/>
    </row>
    <row r="706" spans="1:3" ht="12.75" customHeight="1" x14ac:dyDescent="0.25">
      <c r="A706" s="1"/>
      <c r="C706" s="1"/>
    </row>
    <row r="707" spans="1:3" ht="12.75" customHeight="1" x14ac:dyDescent="0.25">
      <c r="A707" s="1"/>
      <c r="C707" s="1"/>
    </row>
    <row r="708" spans="1:3" ht="12.75" customHeight="1" x14ac:dyDescent="0.25">
      <c r="A708" s="1"/>
      <c r="C708" s="1"/>
    </row>
    <row r="709" spans="1:3" ht="12.75" customHeight="1" x14ac:dyDescent="0.25">
      <c r="A709" s="1"/>
      <c r="C709" s="1"/>
    </row>
    <row r="710" spans="1:3" ht="12.75" customHeight="1" x14ac:dyDescent="0.25">
      <c r="A710" s="1"/>
      <c r="C710" s="1"/>
    </row>
    <row r="711" spans="1:3" ht="12.75" customHeight="1" x14ac:dyDescent="0.25">
      <c r="A711" s="1"/>
      <c r="C711" s="1"/>
    </row>
    <row r="712" spans="1:3" ht="12.75" customHeight="1" x14ac:dyDescent="0.25">
      <c r="A712" s="1"/>
      <c r="C712" s="1"/>
    </row>
    <row r="713" spans="1:3" ht="12.75" customHeight="1" x14ac:dyDescent="0.25">
      <c r="A713" s="1"/>
      <c r="C713" s="1"/>
    </row>
    <row r="714" spans="1:3" ht="12.75" customHeight="1" x14ac:dyDescent="0.25">
      <c r="A714" s="1"/>
      <c r="C714" s="1"/>
    </row>
    <row r="715" spans="1:3" ht="12.75" customHeight="1" x14ac:dyDescent="0.25">
      <c r="A715" s="1"/>
      <c r="C715" s="1"/>
    </row>
    <row r="716" spans="1:3" ht="12.75" customHeight="1" x14ac:dyDescent="0.25">
      <c r="A716" s="1"/>
      <c r="C716" s="1"/>
    </row>
    <row r="717" spans="1:3" ht="12.75" customHeight="1" x14ac:dyDescent="0.25">
      <c r="A717" s="1"/>
      <c r="C717" s="1"/>
    </row>
    <row r="718" spans="1:3" ht="12.75" customHeight="1" x14ac:dyDescent="0.25">
      <c r="A718" s="1"/>
      <c r="C718" s="1"/>
    </row>
    <row r="719" spans="1:3" ht="12.75" customHeight="1" x14ac:dyDescent="0.25">
      <c r="A719" s="1"/>
      <c r="C719" s="1"/>
    </row>
    <row r="720" spans="1:3" ht="12.75" customHeight="1" x14ac:dyDescent="0.25">
      <c r="A720" s="1"/>
      <c r="C720" s="1"/>
    </row>
    <row r="721" spans="1:3" ht="12.75" customHeight="1" x14ac:dyDescent="0.25">
      <c r="A721" s="1"/>
      <c r="C721" s="1"/>
    </row>
    <row r="722" spans="1:3" ht="12.75" customHeight="1" x14ac:dyDescent="0.25">
      <c r="A722" s="1"/>
      <c r="C722" s="1"/>
    </row>
    <row r="723" spans="1:3" ht="12.75" customHeight="1" x14ac:dyDescent="0.25">
      <c r="A723" s="1"/>
      <c r="C723" s="1"/>
    </row>
    <row r="724" spans="1:3" ht="12.75" customHeight="1" x14ac:dyDescent="0.25">
      <c r="A724" s="1"/>
      <c r="C724" s="1"/>
    </row>
    <row r="725" spans="1:3" ht="12.75" customHeight="1" x14ac:dyDescent="0.25">
      <c r="A725" s="1"/>
      <c r="C725" s="1"/>
    </row>
    <row r="726" spans="1:3" ht="12.75" customHeight="1" x14ac:dyDescent="0.25">
      <c r="A726" s="1"/>
      <c r="C726" s="1"/>
    </row>
    <row r="727" spans="1:3" ht="12.75" customHeight="1" x14ac:dyDescent="0.25">
      <c r="A727" s="1"/>
      <c r="C727" s="1"/>
    </row>
    <row r="728" spans="1:3" ht="12.75" customHeight="1" x14ac:dyDescent="0.25">
      <c r="A728" s="1"/>
      <c r="C728" s="1"/>
    </row>
    <row r="729" spans="1:3" ht="12.75" customHeight="1" x14ac:dyDescent="0.25">
      <c r="A729" s="1"/>
      <c r="C729" s="1"/>
    </row>
    <row r="730" spans="1:3" ht="12.75" customHeight="1" x14ac:dyDescent="0.25">
      <c r="A730" s="1"/>
      <c r="C730" s="1"/>
    </row>
    <row r="731" spans="1:3" ht="12.75" customHeight="1" x14ac:dyDescent="0.25">
      <c r="A731" s="1"/>
      <c r="C731" s="1"/>
    </row>
    <row r="732" spans="1:3" ht="12.75" customHeight="1" x14ac:dyDescent="0.25">
      <c r="A732" s="1"/>
      <c r="C732" s="1"/>
    </row>
    <row r="733" spans="1:3" ht="12.75" customHeight="1" x14ac:dyDescent="0.25">
      <c r="A733" s="1"/>
      <c r="C733" s="1"/>
    </row>
    <row r="734" spans="1:3" ht="12.75" customHeight="1" x14ac:dyDescent="0.25">
      <c r="A734" s="1"/>
      <c r="C734" s="1"/>
    </row>
    <row r="735" spans="1:3" ht="12.75" customHeight="1" x14ac:dyDescent="0.25">
      <c r="A735" s="1"/>
      <c r="C735" s="1"/>
    </row>
    <row r="736" spans="1:3" ht="12.75" customHeight="1" x14ac:dyDescent="0.25">
      <c r="A736" s="1"/>
      <c r="C736" s="1"/>
    </row>
    <row r="737" spans="1:3" ht="12.75" customHeight="1" x14ac:dyDescent="0.25">
      <c r="A737" s="1"/>
      <c r="C737" s="1"/>
    </row>
    <row r="738" spans="1:3" ht="12.75" customHeight="1" x14ac:dyDescent="0.25">
      <c r="A738" s="1"/>
      <c r="C738" s="1"/>
    </row>
    <row r="739" spans="1:3" ht="12.75" customHeight="1" x14ac:dyDescent="0.25">
      <c r="A739" s="1"/>
      <c r="C739" s="1"/>
    </row>
    <row r="740" spans="1:3" ht="12.75" customHeight="1" x14ac:dyDescent="0.25">
      <c r="A740" s="1"/>
      <c r="C740" s="1"/>
    </row>
    <row r="741" spans="1:3" ht="12.75" customHeight="1" x14ac:dyDescent="0.25">
      <c r="A741" s="1"/>
      <c r="C741" s="1"/>
    </row>
    <row r="742" spans="1:3" ht="12.75" customHeight="1" x14ac:dyDescent="0.25">
      <c r="A742" s="1"/>
      <c r="C742" s="1"/>
    </row>
    <row r="743" spans="1:3" ht="12.75" customHeight="1" x14ac:dyDescent="0.25">
      <c r="A743" s="1"/>
      <c r="C743" s="1"/>
    </row>
    <row r="744" spans="1:3" ht="12.75" customHeight="1" x14ac:dyDescent="0.25">
      <c r="A744" s="1"/>
      <c r="C744" s="1"/>
    </row>
    <row r="745" spans="1:3" ht="12.75" customHeight="1" x14ac:dyDescent="0.25">
      <c r="A745" s="1"/>
      <c r="C745" s="1"/>
    </row>
    <row r="746" spans="1:3" ht="12.75" customHeight="1" x14ac:dyDescent="0.25">
      <c r="A746" s="1"/>
      <c r="C746" s="1"/>
    </row>
    <row r="747" spans="1:3" ht="12.75" customHeight="1" x14ac:dyDescent="0.25">
      <c r="A747" s="1"/>
      <c r="C747" s="1"/>
    </row>
    <row r="748" spans="1:3" ht="12.75" customHeight="1" x14ac:dyDescent="0.25">
      <c r="A748" s="1"/>
      <c r="C748" s="1"/>
    </row>
    <row r="749" spans="1:3" ht="12.75" customHeight="1" x14ac:dyDescent="0.25">
      <c r="A749" s="1"/>
      <c r="C749" s="1"/>
    </row>
    <row r="750" spans="1:3" ht="12.75" customHeight="1" x14ac:dyDescent="0.25">
      <c r="A750" s="1"/>
      <c r="C750" s="1"/>
    </row>
    <row r="751" spans="1:3" ht="12.75" customHeight="1" x14ac:dyDescent="0.25">
      <c r="A751" s="1"/>
      <c r="C751" s="1"/>
    </row>
    <row r="752" spans="1:3" ht="12.75" customHeight="1" x14ac:dyDescent="0.25">
      <c r="A752" s="1"/>
      <c r="C752" s="1"/>
    </row>
    <row r="753" spans="1:3" ht="12.75" customHeight="1" x14ac:dyDescent="0.25">
      <c r="A753" s="1"/>
      <c r="C753" s="1"/>
    </row>
    <row r="754" spans="1:3" ht="12.75" customHeight="1" x14ac:dyDescent="0.25">
      <c r="A754" s="1"/>
      <c r="C754" s="1"/>
    </row>
    <row r="755" spans="1:3" ht="12.75" customHeight="1" x14ac:dyDescent="0.25">
      <c r="A755" s="1"/>
      <c r="C755" s="1"/>
    </row>
    <row r="756" spans="1:3" ht="12.75" customHeight="1" x14ac:dyDescent="0.25">
      <c r="A756" s="1"/>
      <c r="C756" s="1"/>
    </row>
    <row r="757" spans="1:3" ht="12.75" customHeight="1" x14ac:dyDescent="0.25">
      <c r="A757" s="1"/>
      <c r="C757" s="1"/>
    </row>
    <row r="758" spans="1:3" ht="12.75" customHeight="1" x14ac:dyDescent="0.25">
      <c r="A758" s="1"/>
      <c r="C758" s="1"/>
    </row>
    <row r="759" spans="1:3" ht="12.75" customHeight="1" x14ac:dyDescent="0.25">
      <c r="A759" s="1"/>
      <c r="C759" s="1"/>
    </row>
    <row r="760" spans="1:3" ht="12.75" customHeight="1" x14ac:dyDescent="0.25">
      <c r="A760" s="1"/>
      <c r="C760" s="1"/>
    </row>
    <row r="761" spans="1:3" ht="12.75" customHeight="1" x14ac:dyDescent="0.25">
      <c r="A761" s="1"/>
      <c r="C761" s="1"/>
    </row>
    <row r="762" spans="1:3" ht="12.75" customHeight="1" x14ac:dyDescent="0.25">
      <c r="A762" s="1"/>
      <c r="C762" s="1"/>
    </row>
    <row r="763" spans="1:3" ht="12.75" customHeight="1" x14ac:dyDescent="0.25">
      <c r="A763" s="1"/>
      <c r="C763" s="1"/>
    </row>
    <row r="764" spans="1:3" ht="12.75" customHeight="1" x14ac:dyDescent="0.25">
      <c r="A764" s="1"/>
      <c r="C764" s="1"/>
    </row>
    <row r="765" spans="1:3" ht="12.75" customHeight="1" x14ac:dyDescent="0.25">
      <c r="A765" s="1"/>
      <c r="C765" s="1"/>
    </row>
    <row r="766" spans="1:3" ht="12.75" customHeight="1" x14ac:dyDescent="0.25">
      <c r="A766" s="1"/>
      <c r="C766" s="1"/>
    </row>
    <row r="767" spans="1:3" ht="12.75" customHeight="1" x14ac:dyDescent="0.25">
      <c r="A767" s="1"/>
      <c r="C767" s="1"/>
    </row>
    <row r="768" spans="1:3" ht="12.75" customHeight="1" x14ac:dyDescent="0.25">
      <c r="A768" s="1"/>
      <c r="C768" s="1"/>
    </row>
    <row r="769" spans="1:3" ht="12.75" customHeight="1" x14ac:dyDescent="0.25">
      <c r="A769" s="1"/>
      <c r="C769" s="1"/>
    </row>
    <row r="770" spans="1:3" ht="12.75" customHeight="1" x14ac:dyDescent="0.25">
      <c r="A770" s="1"/>
      <c r="C770" s="1"/>
    </row>
    <row r="771" spans="1:3" ht="12.75" customHeight="1" x14ac:dyDescent="0.25">
      <c r="A771" s="1"/>
      <c r="C771" s="1"/>
    </row>
    <row r="772" spans="1:3" ht="12.75" customHeight="1" x14ac:dyDescent="0.25">
      <c r="A772" s="1"/>
      <c r="C772" s="1"/>
    </row>
    <row r="773" spans="1:3" ht="12.75" customHeight="1" x14ac:dyDescent="0.25">
      <c r="A773" s="1"/>
      <c r="C773" s="1"/>
    </row>
    <row r="774" spans="1:3" ht="12.75" customHeight="1" x14ac:dyDescent="0.25">
      <c r="A774" s="1"/>
      <c r="C774" s="1"/>
    </row>
    <row r="775" spans="1:3" ht="12.75" customHeight="1" x14ac:dyDescent="0.25">
      <c r="A775" s="1"/>
      <c r="C775" s="1"/>
    </row>
    <row r="776" spans="1:3" ht="12.75" customHeight="1" x14ac:dyDescent="0.25">
      <c r="A776" s="1"/>
      <c r="C776" s="1"/>
    </row>
    <row r="777" spans="1:3" ht="12.75" customHeight="1" x14ac:dyDescent="0.25">
      <c r="A777" s="1"/>
      <c r="C777" s="1"/>
    </row>
    <row r="778" spans="1:3" ht="12.75" customHeight="1" x14ac:dyDescent="0.25">
      <c r="A778" s="1"/>
      <c r="C778" s="1"/>
    </row>
    <row r="779" spans="1:3" ht="12.75" customHeight="1" x14ac:dyDescent="0.25">
      <c r="A779" s="1"/>
      <c r="C779" s="1"/>
    </row>
    <row r="780" spans="1:3" ht="12.75" customHeight="1" x14ac:dyDescent="0.25">
      <c r="A780" s="1"/>
      <c r="C780" s="1"/>
    </row>
    <row r="781" spans="1:3" ht="12.75" customHeight="1" x14ac:dyDescent="0.25">
      <c r="A781" s="1"/>
      <c r="C781" s="1"/>
    </row>
    <row r="782" spans="1:3" ht="12.75" customHeight="1" x14ac:dyDescent="0.25">
      <c r="A782" s="1"/>
      <c r="C782" s="1"/>
    </row>
    <row r="783" spans="1:3" ht="12.75" customHeight="1" x14ac:dyDescent="0.25">
      <c r="A783" s="1"/>
      <c r="C783" s="1"/>
    </row>
    <row r="784" spans="1:3" ht="12.75" customHeight="1" x14ac:dyDescent="0.25">
      <c r="A784" s="1"/>
      <c r="C784" s="1"/>
    </row>
    <row r="785" spans="1:3" ht="12.75" customHeight="1" x14ac:dyDescent="0.25">
      <c r="A785" s="1"/>
      <c r="C785" s="1"/>
    </row>
    <row r="786" spans="1:3" ht="12.75" customHeight="1" x14ac:dyDescent="0.25">
      <c r="A786" s="1"/>
      <c r="C786" s="1"/>
    </row>
    <row r="787" spans="1:3" ht="12.75" customHeight="1" x14ac:dyDescent="0.25">
      <c r="A787" s="1"/>
      <c r="C787" s="1"/>
    </row>
    <row r="788" spans="1:3" ht="12.75" customHeight="1" x14ac:dyDescent="0.25">
      <c r="A788" s="1"/>
      <c r="C788" s="1"/>
    </row>
    <row r="789" spans="1:3" ht="12.75" customHeight="1" x14ac:dyDescent="0.25">
      <c r="A789" s="1"/>
      <c r="C789" s="1"/>
    </row>
    <row r="790" spans="1:3" ht="12.75" customHeight="1" x14ac:dyDescent="0.25">
      <c r="A790" s="1"/>
      <c r="C790" s="1"/>
    </row>
    <row r="791" spans="1:3" ht="12.75" customHeight="1" x14ac:dyDescent="0.25">
      <c r="A791" s="1"/>
      <c r="C791" s="1"/>
    </row>
    <row r="792" spans="1:3" ht="12.75" customHeight="1" x14ac:dyDescent="0.25">
      <c r="A792" s="1"/>
      <c r="C792" s="1"/>
    </row>
    <row r="793" spans="1:3" ht="12.75" customHeight="1" x14ac:dyDescent="0.25">
      <c r="A793" s="1"/>
      <c r="C793" s="1"/>
    </row>
    <row r="794" spans="1:3" ht="12.75" customHeight="1" x14ac:dyDescent="0.25">
      <c r="A794" s="1"/>
      <c r="C794" s="1"/>
    </row>
    <row r="795" spans="1:3" ht="12.75" customHeight="1" x14ac:dyDescent="0.25">
      <c r="A795" s="1"/>
      <c r="C795" s="1"/>
    </row>
    <row r="796" spans="1:3" ht="12.75" customHeight="1" x14ac:dyDescent="0.25">
      <c r="A796" s="1"/>
      <c r="C796" s="1"/>
    </row>
    <row r="797" spans="1:3" ht="12.75" customHeight="1" x14ac:dyDescent="0.25">
      <c r="A797" s="1"/>
      <c r="C797" s="1"/>
    </row>
    <row r="798" spans="1:3" ht="12.75" customHeight="1" x14ac:dyDescent="0.25">
      <c r="A798" s="1"/>
      <c r="C798" s="1"/>
    </row>
    <row r="799" spans="1:3" ht="12.75" customHeight="1" x14ac:dyDescent="0.25">
      <c r="A799" s="1"/>
      <c r="C799" s="1"/>
    </row>
    <row r="800" spans="1:3" ht="12.75" customHeight="1" x14ac:dyDescent="0.25">
      <c r="A800" s="1"/>
      <c r="C800" s="1"/>
    </row>
    <row r="801" spans="1:3" ht="12.75" customHeight="1" x14ac:dyDescent="0.25">
      <c r="A801" s="1"/>
      <c r="C801" s="1"/>
    </row>
    <row r="802" spans="1:3" ht="12.75" customHeight="1" x14ac:dyDescent="0.25">
      <c r="A802" s="1"/>
      <c r="C802" s="1"/>
    </row>
    <row r="803" spans="1:3" ht="12.75" customHeight="1" x14ac:dyDescent="0.25">
      <c r="A803" s="1"/>
      <c r="C803" s="1"/>
    </row>
    <row r="804" spans="1:3" ht="12.75" customHeight="1" x14ac:dyDescent="0.25">
      <c r="A804" s="1"/>
      <c r="C804" s="1"/>
    </row>
    <row r="805" spans="1:3" ht="12.75" customHeight="1" x14ac:dyDescent="0.25">
      <c r="A805" s="1"/>
      <c r="C805" s="1"/>
    </row>
    <row r="806" spans="1:3" ht="12.75" customHeight="1" x14ac:dyDescent="0.25">
      <c r="A806" s="1"/>
      <c r="C806" s="1"/>
    </row>
    <row r="807" spans="1:3" ht="12.75" customHeight="1" x14ac:dyDescent="0.25">
      <c r="A807" s="1"/>
      <c r="C807" s="1"/>
    </row>
    <row r="808" spans="1:3" ht="12.75" customHeight="1" x14ac:dyDescent="0.25">
      <c r="A808" s="1"/>
      <c r="C808" s="1"/>
    </row>
    <row r="809" spans="1:3" ht="12.75" customHeight="1" x14ac:dyDescent="0.25">
      <c r="A809" s="1"/>
      <c r="C809" s="1"/>
    </row>
    <row r="810" spans="1:3" ht="12.75" customHeight="1" x14ac:dyDescent="0.25">
      <c r="A810" s="1"/>
      <c r="C810" s="1"/>
    </row>
    <row r="811" spans="1:3" ht="12.75" customHeight="1" x14ac:dyDescent="0.25">
      <c r="A811" s="1"/>
      <c r="C811" s="1"/>
    </row>
    <row r="812" spans="1:3" ht="12.75" customHeight="1" x14ac:dyDescent="0.25">
      <c r="A812" s="1"/>
      <c r="C812" s="1"/>
    </row>
    <row r="813" spans="1:3" ht="12.75" customHeight="1" x14ac:dyDescent="0.25">
      <c r="A813" s="1"/>
      <c r="C813" s="1"/>
    </row>
    <row r="814" spans="1:3" ht="12.75" customHeight="1" x14ac:dyDescent="0.25">
      <c r="A814" s="1"/>
      <c r="C814" s="1"/>
    </row>
    <row r="815" spans="1:3" ht="12.75" customHeight="1" x14ac:dyDescent="0.25">
      <c r="A815" s="1"/>
      <c r="C815" s="1"/>
    </row>
    <row r="816" spans="1:3" ht="12.75" customHeight="1" x14ac:dyDescent="0.25">
      <c r="A816" s="1"/>
      <c r="C816" s="1"/>
    </row>
    <row r="817" spans="1:3" ht="12.75" customHeight="1" x14ac:dyDescent="0.25">
      <c r="A817" s="1"/>
      <c r="C817" s="1"/>
    </row>
    <row r="818" spans="1:3" ht="12.75" customHeight="1" x14ac:dyDescent="0.25">
      <c r="A818" s="1"/>
      <c r="C818" s="1"/>
    </row>
    <row r="819" spans="1:3" ht="12.75" customHeight="1" x14ac:dyDescent="0.25">
      <c r="A819" s="1"/>
      <c r="C819" s="1"/>
    </row>
    <row r="820" spans="1:3" ht="12.75" customHeight="1" x14ac:dyDescent="0.25">
      <c r="A820" s="1"/>
      <c r="C820" s="1"/>
    </row>
    <row r="821" spans="1:3" ht="12.75" customHeight="1" x14ac:dyDescent="0.25">
      <c r="A821" s="1"/>
      <c r="C821" s="1"/>
    </row>
    <row r="822" spans="1:3" ht="12.75" customHeight="1" x14ac:dyDescent="0.25">
      <c r="A822" s="1"/>
      <c r="C822" s="1"/>
    </row>
    <row r="823" spans="1:3" ht="12.75" customHeight="1" x14ac:dyDescent="0.25">
      <c r="A823" s="1"/>
      <c r="C823" s="1"/>
    </row>
    <row r="824" spans="1:3" ht="12.75" customHeight="1" x14ac:dyDescent="0.25">
      <c r="A824" s="1"/>
      <c r="C824" s="1"/>
    </row>
    <row r="825" spans="1:3" ht="12.75" customHeight="1" x14ac:dyDescent="0.25">
      <c r="A825" s="1"/>
      <c r="C825" s="1"/>
    </row>
    <row r="826" spans="1:3" ht="12.75" customHeight="1" x14ac:dyDescent="0.25">
      <c r="A826" s="1"/>
      <c r="C826" s="1"/>
    </row>
    <row r="827" spans="1:3" ht="12.75" customHeight="1" x14ac:dyDescent="0.25">
      <c r="A827" s="1"/>
      <c r="C827" s="1"/>
    </row>
    <row r="828" spans="1:3" ht="12.75" customHeight="1" x14ac:dyDescent="0.25">
      <c r="A828" s="1"/>
      <c r="C828" s="1"/>
    </row>
    <row r="829" spans="1:3" ht="12.75" customHeight="1" x14ac:dyDescent="0.25">
      <c r="A829" s="1"/>
      <c r="C829" s="1"/>
    </row>
    <row r="830" spans="1:3" ht="12.75" customHeight="1" x14ac:dyDescent="0.25">
      <c r="A830" s="1"/>
      <c r="C830" s="1"/>
    </row>
    <row r="831" spans="1:3" ht="12.75" customHeight="1" x14ac:dyDescent="0.25">
      <c r="A831" s="1"/>
      <c r="C831" s="1"/>
    </row>
    <row r="832" spans="1:3" ht="12.75" customHeight="1" x14ac:dyDescent="0.25">
      <c r="A832" s="1"/>
      <c r="C832" s="1"/>
    </row>
    <row r="833" spans="1:3" ht="12.75" customHeight="1" x14ac:dyDescent="0.25">
      <c r="A833" s="1"/>
      <c r="C833" s="1"/>
    </row>
    <row r="834" spans="1:3" ht="12.75" customHeight="1" x14ac:dyDescent="0.25">
      <c r="A834" s="1"/>
      <c r="C834" s="1"/>
    </row>
    <row r="835" spans="1:3" ht="12.75" customHeight="1" x14ac:dyDescent="0.25">
      <c r="A835" s="1"/>
      <c r="C835" s="1"/>
    </row>
    <row r="836" spans="1:3" ht="12.75" customHeight="1" x14ac:dyDescent="0.25">
      <c r="A836" s="1"/>
      <c r="C836" s="1"/>
    </row>
    <row r="837" spans="1:3" ht="12.75" customHeight="1" x14ac:dyDescent="0.25">
      <c r="A837" s="1"/>
      <c r="C837" s="1"/>
    </row>
    <row r="838" spans="1:3" ht="12.75" customHeight="1" x14ac:dyDescent="0.25">
      <c r="A838" s="1"/>
      <c r="C838" s="1"/>
    </row>
    <row r="839" spans="1:3" ht="12.75" customHeight="1" x14ac:dyDescent="0.25">
      <c r="A839" s="1"/>
      <c r="C839" s="1"/>
    </row>
    <row r="840" spans="1:3" ht="12.75" customHeight="1" x14ac:dyDescent="0.25">
      <c r="A840" s="1"/>
      <c r="C840" s="1"/>
    </row>
    <row r="841" spans="1:3" ht="12.75" customHeight="1" x14ac:dyDescent="0.25">
      <c r="A841" s="1"/>
      <c r="C841" s="1"/>
    </row>
    <row r="842" spans="1:3" ht="12.75" customHeight="1" x14ac:dyDescent="0.25">
      <c r="A842" s="1"/>
      <c r="C842" s="1"/>
    </row>
    <row r="843" spans="1:3" ht="12.75" customHeight="1" x14ac:dyDescent="0.25">
      <c r="A843" s="1"/>
      <c r="C843" s="1"/>
    </row>
    <row r="844" spans="1:3" ht="12.75" customHeight="1" x14ac:dyDescent="0.25">
      <c r="A844" s="1"/>
      <c r="C844" s="1"/>
    </row>
    <row r="845" spans="1:3" ht="12.75" customHeight="1" x14ac:dyDescent="0.25">
      <c r="A845" s="1"/>
      <c r="C845" s="1"/>
    </row>
    <row r="846" spans="1:3" ht="12.75" customHeight="1" x14ac:dyDescent="0.25">
      <c r="A846" s="1"/>
      <c r="C846" s="1"/>
    </row>
    <row r="847" spans="1:3" ht="12.75" customHeight="1" x14ac:dyDescent="0.25">
      <c r="A847" s="1"/>
      <c r="C847" s="1"/>
    </row>
    <row r="848" spans="1:3" ht="12.75" customHeight="1" x14ac:dyDescent="0.25">
      <c r="A848" s="1"/>
      <c r="C848" s="1"/>
    </row>
    <row r="849" spans="1:3" ht="12.75" customHeight="1" x14ac:dyDescent="0.25">
      <c r="A849" s="1"/>
      <c r="C849" s="1"/>
    </row>
    <row r="850" spans="1:3" ht="12.75" customHeight="1" x14ac:dyDescent="0.25">
      <c r="A850" s="1"/>
      <c r="C850" s="1"/>
    </row>
    <row r="851" spans="1:3" ht="12.75" customHeight="1" x14ac:dyDescent="0.25">
      <c r="A851" s="1"/>
      <c r="C851" s="1"/>
    </row>
    <row r="852" spans="1:3" ht="12.75" customHeight="1" x14ac:dyDescent="0.25">
      <c r="A852" s="1"/>
      <c r="C852" s="1"/>
    </row>
    <row r="853" spans="1:3" ht="12.75" customHeight="1" x14ac:dyDescent="0.25">
      <c r="A853" s="1"/>
      <c r="C853" s="1"/>
    </row>
    <row r="854" spans="1:3" ht="12.75" customHeight="1" x14ac:dyDescent="0.25">
      <c r="A854" s="1"/>
      <c r="C854" s="1"/>
    </row>
    <row r="855" spans="1:3" ht="12.75" customHeight="1" x14ac:dyDescent="0.25">
      <c r="A855" s="1"/>
      <c r="C855" s="1"/>
    </row>
    <row r="856" spans="1:3" ht="12.75" customHeight="1" x14ac:dyDescent="0.25">
      <c r="A856" s="1"/>
      <c r="C856" s="1"/>
    </row>
    <row r="857" spans="1:3" ht="12.75" customHeight="1" x14ac:dyDescent="0.25">
      <c r="A857" s="1"/>
      <c r="C857" s="1"/>
    </row>
    <row r="858" spans="1:3" ht="12.75" customHeight="1" x14ac:dyDescent="0.25">
      <c r="A858" s="1"/>
      <c r="C858" s="1"/>
    </row>
    <row r="859" spans="1:3" ht="12.75" customHeight="1" x14ac:dyDescent="0.25">
      <c r="A859" s="1"/>
      <c r="C859" s="1"/>
    </row>
    <row r="860" spans="1:3" ht="12.75" customHeight="1" x14ac:dyDescent="0.25">
      <c r="A860" s="1"/>
      <c r="C860" s="1"/>
    </row>
    <row r="861" spans="1:3" ht="12.75" customHeight="1" x14ac:dyDescent="0.25">
      <c r="A861" s="1"/>
      <c r="C861" s="1"/>
    </row>
    <row r="862" spans="1:3" ht="12.75" customHeight="1" x14ac:dyDescent="0.25">
      <c r="A862" s="1"/>
      <c r="C862" s="1"/>
    </row>
    <row r="863" spans="1:3" ht="12.75" customHeight="1" x14ac:dyDescent="0.25">
      <c r="A863" s="1"/>
      <c r="C863" s="1"/>
    </row>
    <row r="864" spans="1:3" ht="12.75" customHeight="1" x14ac:dyDescent="0.25">
      <c r="A864" s="1"/>
      <c r="C864" s="1"/>
    </row>
    <row r="865" spans="1:3" ht="12.75" customHeight="1" x14ac:dyDescent="0.25">
      <c r="A865" s="1"/>
      <c r="C865" s="1"/>
    </row>
    <row r="866" spans="1:3" ht="12.75" customHeight="1" x14ac:dyDescent="0.25">
      <c r="A866" s="1"/>
      <c r="C866" s="1"/>
    </row>
    <row r="867" spans="1:3" ht="12.75" customHeight="1" x14ac:dyDescent="0.25">
      <c r="A867" s="1"/>
      <c r="C867" s="1"/>
    </row>
    <row r="868" spans="1:3" ht="12.75" customHeight="1" x14ac:dyDescent="0.25">
      <c r="A868" s="1"/>
      <c r="C868" s="1"/>
    </row>
    <row r="869" spans="1:3" ht="12.75" customHeight="1" x14ac:dyDescent="0.25">
      <c r="A869" s="1"/>
      <c r="C869" s="1"/>
    </row>
    <row r="870" spans="1:3" ht="12.75" customHeight="1" x14ac:dyDescent="0.25">
      <c r="A870" s="1"/>
      <c r="C870" s="1"/>
    </row>
    <row r="871" spans="1:3" ht="12.75" customHeight="1" x14ac:dyDescent="0.25">
      <c r="A871" s="1"/>
      <c r="C871" s="1"/>
    </row>
    <row r="872" spans="1:3" ht="12.75" customHeight="1" x14ac:dyDescent="0.25">
      <c r="A872" s="1"/>
      <c r="C872" s="1"/>
    </row>
    <row r="873" spans="1:3" ht="12.75" customHeight="1" x14ac:dyDescent="0.25">
      <c r="A873" s="1"/>
      <c r="C873" s="1"/>
    </row>
    <row r="874" spans="1:3" ht="12.75" customHeight="1" x14ac:dyDescent="0.25">
      <c r="A874" s="1"/>
      <c r="C874" s="1"/>
    </row>
    <row r="875" spans="1:3" ht="12.75" customHeight="1" x14ac:dyDescent="0.25">
      <c r="A875" s="1"/>
      <c r="C875" s="1"/>
    </row>
    <row r="876" spans="1:3" ht="12.75" customHeight="1" x14ac:dyDescent="0.25">
      <c r="A876" s="1"/>
      <c r="C876" s="1"/>
    </row>
    <row r="877" spans="1:3" ht="12.75" customHeight="1" x14ac:dyDescent="0.25">
      <c r="A877" s="1"/>
      <c r="C877" s="1"/>
    </row>
    <row r="878" spans="1:3" ht="12.75" customHeight="1" x14ac:dyDescent="0.25">
      <c r="A878" s="1"/>
      <c r="C878" s="1"/>
    </row>
    <row r="879" spans="1:3" ht="12.75" customHeight="1" x14ac:dyDescent="0.25">
      <c r="A879" s="1"/>
      <c r="C879" s="1"/>
    </row>
    <row r="880" spans="1:3" ht="12.75" customHeight="1" x14ac:dyDescent="0.25">
      <c r="A880" s="1"/>
      <c r="C880" s="1"/>
    </row>
    <row r="881" spans="1:3" ht="12.75" customHeight="1" x14ac:dyDescent="0.25">
      <c r="A881" s="1"/>
      <c r="C881" s="1"/>
    </row>
    <row r="882" spans="1:3" ht="12.75" customHeight="1" x14ac:dyDescent="0.25">
      <c r="A882" s="1"/>
      <c r="C882" s="1"/>
    </row>
    <row r="883" spans="1:3" ht="12.75" customHeight="1" x14ac:dyDescent="0.25">
      <c r="A883" s="1"/>
      <c r="C883" s="1"/>
    </row>
    <row r="884" spans="1:3" ht="12.75" customHeight="1" x14ac:dyDescent="0.25">
      <c r="A884" s="1"/>
      <c r="C884" s="1"/>
    </row>
    <row r="885" spans="1:3" ht="12.75" customHeight="1" x14ac:dyDescent="0.25">
      <c r="A885" s="1"/>
      <c r="C885" s="1"/>
    </row>
    <row r="886" spans="1:3" ht="12.75" customHeight="1" x14ac:dyDescent="0.25">
      <c r="A886" s="1"/>
      <c r="C886" s="1"/>
    </row>
    <row r="887" spans="1:3" ht="12.75" customHeight="1" x14ac:dyDescent="0.25">
      <c r="A887" s="1"/>
      <c r="C887" s="1"/>
    </row>
    <row r="888" spans="1:3" ht="12.75" customHeight="1" x14ac:dyDescent="0.25">
      <c r="A888" s="1"/>
      <c r="C888" s="1"/>
    </row>
    <row r="889" spans="1:3" ht="12.75" customHeight="1" x14ac:dyDescent="0.25">
      <c r="A889" s="1"/>
      <c r="C889" s="1"/>
    </row>
    <row r="890" spans="1:3" ht="12.75" customHeight="1" x14ac:dyDescent="0.25">
      <c r="A890" s="1"/>
      <c r="C890" s="1"/>
    </row>
    <row r="891" spans="1:3" ht="12.75" customHeight="1" x14ac:dyDescent="0.25">
      <c r="A891" s="1"/>
      <c r="C891" s="1"/>
    </row>
    <row r="892" spans="1:3" ht="12.75" customHeight="1" x14ac:dyDescent="0.25">
      <c r="A892" s="1"/>
      <c r="C892" s="1"/>
    </row>
    <row r="893" spans="1:3" ht="12.75" customHeight="1" x14ac:dyDescent="0.25">
      <c r="A893" s="1"/>
      <c r="C893" s="1"/>
    </row>
    <row r="894" spans="1:3" ht="12.75" customHeight="1" x14ac:dyDescent="0.25">
      <c r="A894" s="1"/>
      <c r="C894" s="1"/>
    </row>
    <row r="895" spans="1:3" ht="12.75" customHeight="1" x14ac:dyDescent="0.25">
      <c r="A895" s="1"/>
      <c r="C895" s="1"/>
    </row>
    <row r="896" spans="1:3" ht="12.75" customHeight="1" x14ac:dyDescent="0.25">
      <c r="A896" s="1"/>
      <c r="C896" s="1"/>
    </row>
    <row r="897" spans="1:3" ht="12.75" customHeight="1" x14ac:dyDescent="0.25">
      <c r="A897" s="1"/>
      <c r="C897" s="1"/>
    </row>
    <row r="898" spans="1:3" ht="12.75" customHeight="1" x14ac:dyDescent="0.25">
      <c r="A898" s="1"/>
      <c r="C898" s="1"/>
    </row>
    <row r="899" spans="1:3" ht="12.75" customHeight="1" x14ac:dyDescent="0.25">
      <c r="A899" s="1"/>
      <c r="C899" s="1"/>
    </row>
    <row r="900" spans="1:3" ht="12.75" customHeight="1" x14ac:dyDescent="0.25">
      <c r="A900" s="1"/>
      <c r="C900" s="1"/>
    </row>
    <row r="901" spans="1:3" ht="12.75" customHeight="1" x14ac:dyDescent="0.25">
      <c r="A901" s="1"/>
      <c r="C901" s="1"/>
    </row>
    <row r="902" spans="1:3" ht="12.75" customHeight="1" x14ac:dyDescent="0.25">
      <c r="A902" s="1"/>
      <c r="C902" s="1"/>
    </row>
    <row r="903" spans="1:3" ht="12.75" customHeight="1" x14ac:dyDescent="0.25">
      <c r="A903" s="1"/>
      <c r="C903" s="1"/>
    </row>
    <row r="904" spans="1:3" ht="12.75" customHeight="1" x14ac:dyDescent="0.25">
      <c r="A904" s="1"/>
      <c r="C904" s="1"/>
    </row>
    <row r="905" spans="1:3" ht="12.75" customHeight="1" x14ac:dyDescent="0.25">
      <c r="A905" s="1"/>
      <c r="C905" s="1"/>
    </row>
    <row r="906" spans="1:3" ht="12.75" customHeight="1" x14ac:dyDescent="0.25">
      <c r="A906" s="1"/>
      <c r="C906" s="1"/>
    </row>
    <row r="907" spans="1:3" ht="12.75" customHeight="1" x14ac:dyDescent="0.25">
      <c r="A907" s="1"/>
      <c r="C907" s="1"/>
    </row>
    <row r="908" spans="1:3" ht="12.75" customHeight="1" x14ac:dyDescent="0.25">
      <c r="A908" s="1"/>
      <c r="C908" s="1"/>
    </row>
    <row r="909" spans="1:3" ht="12.75" customHeight="1" x14ac:dyDescent="0.25">
      <c r="A909" s="1"/>
      <c r="C909" s="1"/>
    </row>
    <row r="910" spans="1:3" ht="12.75" customHeight="1" x14ac:dyDescent="0.25">
      <c r="A910" s="1"/>
      <c r="C910" s="1"/>
    </row>
    <row r="911" spans="1:3" ht="12.75" customHeight="1" x14ac:dyDescent="0.25">
      <c r="A911" s="1"/>
      <c r="C911" s="1"/>
    </row>
    <row r="912" spans="1:3" ht="12.75" customHeight="1" x14ac:dyDescent="0.25">
      <c r="A912" s="1"/>
      <c r="C912" s="1"/>
    </row>
    <row r="913" spans="1:3" ht="12.75" customHeight="1" x14ac:dyDescent="0.25">
      <c r="A913" s="1"/>
      <c r="C913" s="1"/>
    </row>
    <row r="914" spans="1:3" ht="12.75" customHeight="1" x14ac:dyDescent="0.25">
      <c r="A914" s="1"/>
      <c r="C914" s="1"/>
    </row>
    <row r="915" spans="1:3" ht="12.75" customHeight="1" x14ac:dyDescent="0.25">
      <c r="A915" s="1"/>
      <c r="C915" s="1"/>
    </row>
    <row r="916" spans="1:3" ht="12.75" customHeight="1" x14ac:dyDescent="0.25">
      <c r="A916" s="1"/>
      <c r="C916" s="1"/>
    </row>
    <row r="917" spans="1:3" ht="12.75" customHeight="1" x14ac:dyDescent="0.25">
      <c r="A917" s="1"/>
      <c r="C917" s="1"/>
    </row>
    <row r="918" spans="1:3" ht="12.75" customHeight="1" x14ac:dyDescent="0.25">
      <c r="A918" s="1"/>
      <c r="C918" s="1"/>
    </row>
    <row r="919" spans="1:3" ht="12.75" customHeight="1" x14ac:dyDescent="0.25">
      <c r="A919" s="1"/>
      <c r="C919" s="1"/>
    </row>
    <row r="920" spans="1:3" ht="12.75" customHeight="1" x14ac:dyDescent="0.25">
      <c r="A920" s="1"/>
      <c r="C920" s="1"/>
    </row>
    <row r="921" spans="1:3" ht="12.75" customHeight="1" x14ac:dyDescent="0.25">
      <c r="A921" s="1"/>
      <c r="C921" s="1"/>
    </row>
    <row r="922" spans="1:3" ht="12.75" customHeight="1" x14ac:dyDescent="0.25">
      <c r="A922" s="1"/>
      <c r="C922" s="1"/>
    </row>
    <row r="923" spans="1:3" ht="12.75" customHeight="1" x14ac:dyDescent="0.25">
      <c r="A923" s="1"/>
      <c r="C923" s="1"/>
    </row>
    <row r="924" spans="1:3" ht="12.75" customHeight="1" x14ac:dyDescent="0.25">
      <c r="A924" s="1"/>
      <c r="C924" s="1"/>
    </row>
    <row r="925" spans="1:3" ht="12.75" customHeight="1" x14ac:dyDescent="0.25">
      <c r="A925" s="1"/>
      <c r="C925" s="1"/>
    </row>
    <row r="926" spans="1:3" ht="12.75" customHeight="1" x14ac:dyDescent="0.25">
      <c r="A926" s="1"/>
      <c r="C926" s="1"/>
    </row>
    <row r="927" spans="1:3" ht="12.75" customHeight="1" x14ac:dyDescent="0.25">
      <c r="A927" s="1"/>
      <c r="C927" s="1"/>
    </row>
    <row r="928" spans="1:3" ht="12.75" customHeight="1" x14ac:dyDescent="0.25">
      <c r="A928" s="1"/>
      <c r="C928" s="1"/>
    </row>
    <row r="929" spans="1:3" ht="12.75" customHeight="1" x14ac:dyDescent="0.25">
      <c r="A929" s="1"/>
      <c r="C929" s="1"/>
    </row>
    <row r="930" spans="1:3" ht="12.75" customHeight="1" x14ac:dyDescent="0.25">
      <c r="A930" s="1"/>
      <c r="C930" s="1"/>
    </row>
    <row r="931" spans="1:3" ht="12.75" customHeight="1" x14ac:dyDescent="0.25">
      <c r="A931" s="1"/>
      <c r="C931" s="1"/>
    </row>
    <row r="932" spans="1:3" ht="12.75" customHeight="1" x14ac:dyDescent="0.25">
      <c r="A932" s="1"/>
      <c r="C932" s="1"/>
    </row>
    <row r="933" spans="1:3" ht="12.75" customHeight="1" x14ac:dyDescent="0.25">
      <c r="A933" s="1"/>
      <c r="C933" s="1"/>
    </row>
    <row r="934" spans="1:3" ht="12.75" customHeight="1" x14ac:dyDescent="0.25">
      <c r="A934" s="1"/>
      <c r="C934" s="1"/>
    </row>
    <row r="935" spans="1:3" ht="12.75" customHeight="1" x14ac:dyDescent="0.25">
      <c r="A935" s="1"/>
      <c r="C935" s="1"/>
    </row>
    <row r="936" spans="1:3" ht="12.75" customHeight="1" x14ac:dyDescent="0.25">
      <c r="A936" s="1"/>
      <c r="C936" s="1"/>
    </row>
    <row r="937" spans="1:3" ht="12.75" customHeight="1" x14ac:dyDescent="0.25">
      <c r="A937" s="1"/>
      <c r="C937" s="1"/>
    </row>
    <row r="938" spans="1:3" ht="12.75" customHeight="1" x14ac:dyDescent="0.25">
      <c r="A938" s="1"/>
      <c r="C938" s="1"/>
    </row>
    <row r="939" spans="1:3" ht="12.75" customHeight="1" x14ac:dyDescent="0.25">
      <c r="A939" s="1"/>
      <c r="C939" s="1"/>
    </row>
    <row r="940" spans="1:3" ht="12.75" customHeight="1" x14ac:dyDescent="0.25">
      <c r="A940" s="1"/>
      <c r="C940" s="1"/>
    </row>
    <row r="941" spans="1:3" ht="12.75" customHeight="1" x14ac:dyDescent="0.25">
      <c r="A941" s="1"/>
      <c r="C941" s="1"/>
    </row>
    <row r="942" spans="1:3" ht="12.75" customHeight="1" x14ac:dyDescent="0.25">
      <c r="A942" s="1"/>
      <c r="C942" s="1"/>
    </row>
    <row r="943" spans="1:3" ht="12.75" customHeight="1" x14ac:dyDescent="0.25">
      <c r="A943" s="1"/>
      <c r="C943" s="1"/>
    </row>
    <row r="944" spans="1:3" ht="12.75" customHeight="1" x14ac:dyDescent="0.25">
      <c r="A944" s="1"/>
      <c r="C944" s="1"/>
    </row>
    <row r="945" spans="1:3" ht="12.75" customHeight="1" x14ac:dyDescent="0.25">
      <c r="A945" s="1"/>
      <c r="C945" s="1"/>
    </row>
    <row r="946" spans="1:3" ht="12.75" customHeight="1" x14ac:dyDescent="0.25">
      <c r="A946" s="1"/>
      <c r="C946" s="1"/>
    </row>
    <row r="947" spans="1:3" ht="12.75" customHeight="1" x14ac:dyDescent="0.25">
      <c r="A947" s="1"/>
      <c r="C947" s="1"/>
    </row>
    <row r="948" spans="1:3" ht="12.75" customHeight="1" x14ac:dyDescent="0.25">
      <c r="A948" s="1"/>
      <c r="C948" s="1"/>
    </row>
    <row r="949" spans="1:3" ht="12.75" customHeight="1" x14ac:dyDescent="0.25">
      <c r="A949" s="1"/>
      <c r="C949" s="1"/>
    </row>
    <row r="950" spans="1:3" ht="12.75" customHeight="1" x14ac:dyDescent="0.25">
      <c r="A950" s="1"/>
      <c r="C950" s="1"/>
    </row>
    <row r="951" spans="1:3" ht="12.75" customHeight="1" x14ac:dyDescent="0.25">
      <c r="A951" s="1"/>
      <c r="C951" s="1"/>
    </row>
    <row r="952" spans="1:3" ht="12.75" customHeight="1" x14ac:dyDescent="0.25">
      <c r="A952" s="1"/>
      <c r="C952" s="1"/>
    </row>
    <row r="953" spans="1:3" ht="12.75" customHeight="1" x14ac:dyDescent="0.25">
      <c r="A953" s="1"/>
      <c r="C953" s="1"/>
    </row>
    <row r="954" spans="1:3" ht="12.75" customHeight="1" x14ac:dyDescent="0.25">
      <c r="A954" s="1"/>
      <c r="C954" s="1"/>
    </row>
    <row r="955" spans="1:3" ht="12.75" customHeight="1" x14ac:dyDescent="0.25">
      <c r="A955" s="1"/>
      <c r="C955" s="1"/>
    </row>
    <row r="956" spans="1:3" ht="12.75" customHeight="1" x14ac:dyDescent="0.25">
      <c r="A956" s="1"/>
      <c r="C956" s="1"/>
    </row>
    <row r="957" spans="1:3" ht="12.75" customHeight="1" x14ac:dyDescent="0.25">
      <c r="A957" s="1"/>
      <c r="C957" s="1"/>
    </row>
    <row r="958" spans="1:3" ht="12.75" customHeight="1" x14ac:dyDescent="0.25">
      <c r="A958" s="1"/>
      <c r="C958" s="1"/>
    </row>
    <row r="959" spans="1:3" ht="12.75" customHeight="1" x14ac:dyDescent="0.25">
      <c r="A959" s="1"/>
      <c r="C959" s="1"/>
    </row>
    <row r="960" spans="1:3" ht="12.75" customHeight="1" x14ac:dyDescent="0.25">
      <c r="A960" s="1"/>
      <c r="C960" s="1"/>
    </row>
    <row r="961" spans="1:3" ht="12.75" customHeight="1" x14ac:dyDescent="0.25">
      <c r="A961" s="1"/>
      <c r="C961" s="1"/>
    </row>
    <row r="962" spans="1:3" ht="12.75" customHeight="1" x14ac:dyDescent="0.25">
      <c r="A962" s="1"/>
      <c r="C962" s="1"/>
    </row>
    <row r="963" spans="1:3" ht="12.75" customHeight="1" x14ac:dyDescent="0.25">
      <c r="A963" s="1"/>
      <c r="C963" s="1"/>
    </row>
    <row r="964" spans="1:3" ht="12.75" customHeight="1" x14ac:dyDescent="0.25">
      <c r="A964" s="1"/>
      <c r="C964" s="1"/>
    </row>
    <row r="965" spans="1:3" ht="12.75" customHeight="1" x14ac:dyDescent="0.25">
      <c r="A965" s="1"/>
      <c r="C965" s="1"/>
    </row>
    <row r="966" spans="1:3" ht="12.75" customHeight="1" x14ac:dyDescent="0.25">
      <c r="A966" s="1"/>
      <c r="C966" s="1"/>
    </row>
    <row r="967" spans="1:3" ht="12.75" customHeight="1" x14ac:dyDescent="0.25">
      <c r="A967" s="1"/>
      <c r="C967" s="1"/>
    </row>
    <row r="968" spans="1:3" ht="12.75" customHeight="1" x14ac:dyDescent="0.25">
      <c r="A968" s="1"/>
      <c r="C968" s="1"/>
    </row>
    <row r="969" spans="1:3" ht="12.75" customHeight="1" x14ac:dyDescent="0.25">
      <c r="A969" s="1"/>
      <c r="C969" s="1"/>
    </row>
    <row r="970" spans="1:3" ht="12.75" customHeight="1" x14ac:dyDescent="0.25">
      <c r="A970" s="1"/>
      <c r="C970" s="1"/>
    </row>
    <row r="971" spans="1:3" ht="12.75" customHeight="1" x14ac:dyDescent="0.25">
      <c r="A971" s="1"/>
      <c r="C971" s="1"/>
    </row>
    <row r="972" spans="1:3" ht="12.75" customHeight="1" x14ac:dyDescent="0.25">
      <c r="A972" s="1"/>
      <c r="C972" s="1"/>
    </row>
    <row r="973" spans="1:3" ht="12.75" customHeight="1" x14ac:dyDescent="0.25">
      <c r="A973" s="1"/>
      <c r="C973" s="1"/>
    </row>
    <row r="974" spans="1:3" ht="12.75" customHeight="1" x14ac:dyDescent="0.25">
      <c r="A974" s="1"/>
      <c r="C974" s="1"/>
    </row>
    <row r="975" spans="1:3" ht="12.75" customHeight="1" x14ac:dyDescent="0.25">
      <c r="A975" s="1"/>
      <c r="C975" s="1"/>
    </row>
    <row r="976" spans="1:3" ht="12.75" customHeight="1" x14ac:dyDescent="0.25">
      <c r="A976" s="1"/>
      <c r="C976" s="1"/>
    </row>
    <row r="977" spans="1:3" ht="12.75" customHeight="1" x14ac:dyDescent="0.25">
      <c r="A977" s="1"/>
      <c r="C977" s="1"/>
    </row>
    <row r="978" spans="1:3" ht="12.75" customHeight="1" x14ac:dyDescent="0.25">
      <c r="A978" s="1"/>
      <c r="C978" s="1"/>
    </row>
    <row r="979" spans="1:3" ht="12.75" customHeight="1" x14ac:dyDescent="0.25">
      <c r="A979" s="1"/>
      <c r="C979" s="1"/>
    </row>
    <row r="980" spans="1:3" ht="12.75" customHeight="1" x14ac:dyDescent="0.25">
      <c r="A980" s="1"/>
      <c r="C980" s="1"/>
    </row>
    <row r="981" spans="1:3" ht="12.75" customHeight="1" x14ac:dyDescent="0.25">
      <c r="A981" s="1"/>
      <c r="C981" s="1"/>
    </row>
    <row r="982" spans="1:3" ht="12.75" customHeight="1" x14ac:dyDescent="0.25">
      <c r="A982" s="1"/>
      <c r="C982" s="1"/>
    </row>
    <row r="983" spans="1:3" ht="12.75" customHeight="1" x14ac:dyDescent="0.25">
      <c r="A983" s="1"/>
      <c r="C983" s="1"/>
    </row>
    <row r="984" spans="1:3" ht="12.75" customHeight="1" x14ac:dyDescent="0.25">
      <c r="A984" s="1"/>
      <c r="C984" s="1"/>
    </row>
    <row r="985" spans="1:3" ht="12.75" customHeight="1" x14ac:dyDescent="0.25">
      <c r="A985" s="1"/>
      <c r="C985" s="1"/>
    </row>
    <row r="986" spans="1:3" ht="12.75" customHeight="1" x14ac:dyDescent="0.25">
      <c r="A986" s="1"/>
      <c r="C986" s="1"/>
    </row>
    <row r="987" spans="1:3" ht="12.75" customHeight="1" x14ac:dyDescent="0.25">
      <c r="A987" s="1"/>
      <c r="C987" s="1"/>
    </row>
    <row r="988" spans="1:3" ht="12.75" customHeight="1" x14ac:dyDescent="0.25">
      <c r="A988" s="1"/>
      <c r="C988" s="1"/>
    </row>
    <row r="989" spans="1:3" ht="12.75" customHeight="1" x14ac:dyDescent="0.25">
      <c r="A989" s="1"/>
      <c r="C989" s="1"/>
    </row>
    <row r="990" spans="1:3" ht="12.75" customHeight="1" x14ac:dyDescent="0.25">
      <c r="A990" s="1"/>
      <c r="C990" s="1"/>
    </row>
    <row r="991" spans="1:3" ht="12.75" customHeight="1" x14ac:dyDescent="0.25">
      <c r="A991" s="1"/>
      <c r="C991" s="1"/>
    </row>
    <row r="992" spans="1:3" ht="12.75" customHeight="1" x14ac:dyDescent="0.25">
      <c r="A992" s="1"/>
      <c r="C992" s="1"/>
    </row>
    <row r="993" spans="1:3" ht="12.75" customHeight="1" x14ac:dyDescent="0.25">
      <c r="A993" s="1"/>
      <c r="C993" s="1"/>
    </row>
    <row r="994" spans="1:3" ht="12.75" customHeight="1" x14ac:dyDescent="0.25">
      <c r="A994" s="1"/>
      <c r="C994" s="1"/>
    </row>
    <row r="995" spans="1:3" ht="12.75" customHeight="1" x14ac:dyDescent="0.25">
      <c r="A995" s="1"/>
      <c r="C995" s="1"/>
    </row>
    <row r="996" spans="1:3" ht="12.75" customHeight="1" x14ac:dyDescent="0.25">
      <c r="A996" s="1"/>
      <c r="C996" s="1"/>
    </row>
    <row r="997" spans="1:3" ht="12.75" customHeight="1" x14ac:dyDescent="0.25">
      <c r="A997" s="1"/>
      <c r="C997" s="1"/>
    </row>
    <row r="998" spans="1:3" ht="12.75" customHeight="1" x14ac:dyDescent="0.25">
      <c r="A998" s="1"/>
      <c r="C998" s="1"/>
    </row>
    <row r="999" spans="1:3" ht="12.75" customHeight="1" x14ac:dyDescent="0.25">
      <c r="A999" s="1"/>
      <c r="C999" s="1"/>
    </row>
    <row r="1000" spans="1:3" ht="12.75" customHeight="1" x14ac:dyDescent="0.25">
      <c r="A1000" s="1"/>
      <c r="C1000" s="1"/>
    </row>
    <row r="1001" spans="1:3" ht="12.75" customHeight="1" x14ac:dyDescent="0.25">
      <c r="A1001" s="1"/>
      <c r="C1001" s="1"/>
    </row>
    <row r="1002" spans="1:3" ht="12.75" customHeight="1" x14ac:dyDescent="0.25">
      <c r="A1002" s="1"/>
      <c r="C1002" s="1"/>
    </row>
  </sheetData>
  <pageMargins left="0.7" right="0.7" top="0.75" bottom="0.75" header="0" footer="0"/>
  <pageSetup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I15"/>
  <sheetViews>
    <sheetView workbookViewId="0">
      <selection activeCell="C10" sqref="C10"/>
    </sheetView>
  </sheetViews>
  <sheetFormatPr baseColWidth="10" defaultRowHeight="13.2" x14ac:dyDescent="0.25"/>
  <cols>
    <col min="2" max="2" width="26" customWidth="1"/>
    <col min="4" max="4" width="11.77734375" bestFit="1" customWidth="1"/>
    <col min="7" max="8" width="11.6640625" customWidth="1"/>
    <col min="9" max="9" width="12.44140625" customWidth="1"/>
  </cols>
  <sheetData>
    <row r="2" spans="2:9" x14ac:dyDescent="0.25">
      <c r="B2" s="428" t="s">
        <v>448</v>
      </c>
      <c r="C2" s="429">
        <v>1010</v>
      </c>
      <c r="D2" t="str">
        <f>"+IGV"</f>
        <v>+IGV</v>
      </c>
      <c r="E2" s="431">
        <f>C3*C2*1.18/1000</f>
        <v>3.9925299999999999</v>
      </c>
    </row>
    <row r="3" spans="2:9" x14ac:dyDescent="0.25">
      <c r="B3" s="428" t="s">
        <v>449</v>
      </c>
      <c r="C3" s="432">
        <v>3.35</v>
      </c>
    </row>
    <row r="5" spans="2:9" ht="26.4" x14ac:dyDescent="0.25">
      <c r="B5" s="433" t="s">
        <v>447</v>
      </c>
      <c r="C5" s="433" t="s">
        <v>454</v>
      </c>
      <c r="D5" s="433" t="s">
        <v>457</v>
      </c>
      <c r="E5" s="433" t="s">
        <v>458</v>
      </c>
      <c r="F5" s="433" t="s">
        <v>459</v>
      </c>
      <c r="G5" s="433" t="s">
        <v>451</v>
      </c>
      <c r="H5" s="433" t="s">
        <v>452</v>
      </c>
      <c r="I5" s="433" t="s">
        <v>455</v>
      </c>
    </row>
    <row r="6" spans="2:9" x14ac:dyDescent="0.25">
      <c r="B6" s="192" t="s">
        <v>453</v>
      </c>
      <c r="C6" s="434"/>
      <c r="D6" s="193">
        <v>7.4329999999999998</v>
      </c>
      <c r="E6" s="435">
        <f>D6*9.05</f>
        <v>67.268650000000008</v>
      </c>
      <c r="F6" s="436">
        <f>C6*E6</f>
        <v>0</v>
      </c>
      <c r="G6" s="430">
        <f>E6*($C$2*1.18)/1000</f>
        <v>80.170777070000014</v>
      </c>
      <c r="H6" s="431">
        <f>G6*$C$3</f>
        <v>268.57210318450007</v>
      </c>
      <c r="I6" s="437">
        <f>C6*H6</f>
        <v>0</v>
      </c>
    </row>
    <row r="7" spans="2:9" x14ac:dyDescent="0.25">
      <c r="B7" s="192" t="s">
        <v>450</v>
      </c>
      <c r="C7" s="434"/>
      <c r="D7" s="193">
        <v>3.7349999999999999</v>
      </c>
      <c r="E7" s="435">
        <f t="shared" ref="E7:E14" si="0">D7*9.05</f>
        <v>33.801749999999998</v>
      </c>
      <c r="F7" s="436">
        <f t="shared" ref="F7:F14" si="1">C7*E7</f>
        <v>0</v>
      </c>
      <c r="G7" s="430">
        <f t="shared" ref="G7:G14" si="2">E7*($C$2*1.18)/1000</f>
        <v>40.284925649999998</v>
      </c>
      <c r="H7" s="431">
        <f t="shared" ref="H7:H14" si="3">G7*$C$3</f>
        <v>134.95450092749999</v>
      </c>
      <c r="I7" s="437">
        <f t="shared" ref="I7:I14" si="4">C7*H7</f>
        <v>0</v>
      </c>
    </row>
    <row r="8" spans="2:9" x14ac:dyDescent="0.25">
      <c r="B8" s="192" t="s">
        <v>324</v>
      </c>
      <c r="C8" s="434"/>
      <c r="D8" s="193">
        <v>2.101</v>
      </c>
      <c r="E8" s="435">
        <f t="shared" si="0"/>
        <v>19.014050000000001</v>
      </c>
      <c r="F8" s="436">
        <f t="shared" si="1"/>
        <v>0</v>
      </c>
      <c r="G8" s="430">
        <f t="shared" si="2"/>
        <v>22.660944790000002</v>
      </c>
      <c r="H8" s="431">
        <f t="shared" si="3"/>
        <v>75.914165046500003</v>
      </c>
      <c r="I8" s="437">
        <f t="shared" si="4"/>
        <v>0</v>
      </c>
    </row>
    <row r="9" spans="2:9" x14ac:dyDescent="0.25">
      <c r="B9" s="192" t="s">
        <v>321</v>
      </c>
      <c r="C9" s="434">
        <v>200</v>
      </c>
      <c r="D9" s="193">
        <v>1.4590000000000001</v>
      </c>
      <c r="E9" s="435">
        <f t="shared" si="0"/>
        <v>13.203950000000003</v>
      </c>
      <c r="F9" s="436">
        <f t="shared" si="1"/>
        <v>2640.7900000000004</v>
      </c>
      <c r="G9" s="430">
        <f t="shared" si="2"/>
        <v>15.736467610000002</v>
      </c>
      <c r="H9" s="431">
        <f t="shared" si="3"/>
        <v>52.717166493500009</v>
      </c>
      <c r="I9" s="437">
        <f t="shared" si="4"/>
        <v>10543.433298700002</v>
      </c>
    </row>
    <row r="10" spans="2:9" x14ac:dyDescent="0.25">
      <c r="B10" s="192" t="s">
        <v>322</v>
      </c>
      <c r="C10" s="434">
        <v>50</v>
      </c>
      <c r="D10" s="193">
        <v>0.93400000000000005</v>
      </c>
      <c r="E10" s="435">
        <f t="shared" si="0"/>
        <v>8.4527000000000019</v>
      </c>
      <c r="F10" s="436">
        <f t="shared" si="1"/>
        <v>422.6350000000001</v>
      </c>
      <c r="G10" s="430">
        <f t="shared" si="2"/>
        <v>10.073927860000001</v>
      </c>
      <c r="H10" s="431">
        <f t="shared" si="3"/>
        <v>33.747658331000004</v>
      </c>
      <c r="I10" s="437">
        <f t="shared" si="4"/>
        <v>1687.3829165500001</v>
      </c>
    </row>
    <row r="11" spans="2:9" x14ac:dyDescent="0.25">
      <c r="B11" s="192" t="s">
        <v>327</v>
      </c>
      <c r="C11" s="434"/>
      <c r="D11" s="193">
        <v>0.83499999999999996</v>
      </c>
      <c r="E11" s="435">
        <f t="shared" si="0"/>
        <v>7.5567500000000001</v>
      </c>
      <c r="F11" s="436">
        <f t="shared" si="1"/>
        <v>0</v>
      </c>
      <c r="G11" s="430">
        <f t="shared" si="2"/>
        <v>9.0061346499999999</v>
      </c>
      <c r="H11" s="431">
        <f t="shared" si="3"/>
        <v>30.170551077500001</v>
      </c>
      <c r="I11" s="437">
        <f t="shared" si="4"/>
        <v>0</v>
      </c>
    </row>
    <row r="12" spans="2:9" x14ac:dyDescent="0.25">
      <c r="B12" s="192" t="s">
        <v>323</v>
      </c>
      <c r="C12" s="434">
        <v>20</v>
      </c>
      <c r="D12" s="193">
        <v>0.52600000000000002</v>
      </c>
      <c r="E12" s="435">
        <f t="shared" si="0"/>
        <v>4.7603000000000009</v>
      </c>
      <c r="F12" s="436">
        <f t="shared" si="1"/>
        <v>95.206000000000017</v>
      </c>
      <c r="G12" s="430">
        <f t="shared" si="2"/>
        <v>5.6733255400000004</v>
      </c>
      <c r="H12" s="431">
        <f t="shared" si="3"/>
        <v>19.005640559000003</v>
      </c>
      <c r="I12" s="437">
        <f t="shared" si="4"/>
        <v>380.11281118000005</v>
      </c>
    </row>
    <row r="13" spans="2:9" x14ac:dyDescent="0.25">
      <c r="B13" s="192" t="s">
        <v>325</v>
      </c>
      <c r="C13" s="434"/>
      <c r="D13" s="193">
        <v>0.371</v>
      </c>
      <c r="E13" s="435">
        <f t="shared" si="0"/>
        <v>3.3575500000000003</v>
      </c>
      <c r="F13" s="436">
        <f t="shared" si="1"/>
        <v>0</v>
      </c>
      <c r="G13" s="430">
        <f t="shared" si="2"/>
        <v>4.0015280899999999</v>
      </c>
      <c r="H13" s="431">
        <f t="shared" si="3"/>
        <v>13.4051191015</v>
      </c>
      <c r="I13" s="437">
        <f t="shared" si="4"/>
        <v>0</v>
      </c>
    </row>
    <row r="14" spans="2:9" x14ac:dyDescent="0.25">
      <c r="B14" s="192" t="s">
        <v>326</v>
      </c>
      <c r="C14" s="434"/>
      <c r="D14" s="193">
        <v>0.20699999999999999</v>
      </c>
      <c r="E14" s="435">
        <f t="shared" si="0"/>
        <v>1.8733500000000001</v>
      </c>
      <c r="F14" s="436">
        <f t="shared" si="1"/>
        <v>0</v>
      </c>
      <c r="G14" s="430">
        <f t="shared" si="2"/>
        <v>2.2326585300000001</v>
      </c>
      <c r="H14" s="431">
        <f t="shared" si="3"/>
        <v>7.4794060755000009</v>
      </c>
      <c r="I14" s="437">
        <f t="shared" si="4"/>
        <v>0</v>
      </c>
    </row>
    <row r="15" spans="2:9" ht="26.4" x14ac:dyDescent="0.25">
      <c r="B15" s="438"/>
      <c r="C15" s="438"/>
      <c r="D15" s="438"/>
      <c r="E15" s="439" t="s">
        <v>460</v>
      </c>
      <c r="F15" s="440">
        <f>SUM(F6:F14)</f>
        <v>3158.6310000000008</v>
      </c>
      <c r="G15" s="441"/>
      <c r="H15" s="439" t="s">
        <v>456</v>
      </c>
      <c r="I15" s="442">
        <f>SUM(I6:I14)</f>
        <v>12610.929026430002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005"/>
  <sheetViews>
    <sheetView view="pageBreakPreview" topLeftCell="A10" zoomScaleNormal="100" zoomScaleSheetLayoutView="100" workbookViewId="0">
      <selection activeCell="B22" sqref="B22"/>
    </sheetView>
  </sheetViews>
  <sheetFormatPr baseColWidth="10" defaultColWidth="12.6640625" defaultRowHeight="15" customHeight="1" x14ac:dyDescent="0.25"/>
  <cols>
    <col min="1" max="1" width="48.88671875" customWidth="1"/>
    <col min="2" max="2" width="18" customWidth="1"/>
    <col min="3" max="3" width="21.109375" customWidth="1"/>
    <col min="4" max="4" width="13.6640625" customWidth="1"/>
    <col min="5" max="5" width="11.21875" customWidth="1"/>
    <col min="6" max="6" width="9.77734375" customWidth="1"/>
    <col min="7" max="25" width="10.6640625" customWidth="1"/>
  </cols>
  <sheetData>
    <row r="1" spans="1:13" ht="12.75" customHeight="1" x14ac:dyDescent="0.25"/>
    <row r="2" spans="1:13" ht="25.2" customHeight="1" x14ac:dyDescent="0.35">
      <c r="A2" s="853" t="s">
        <v>366</v>
      </c>
      <c r="B2" s="854"/>
      <c r="C2" s="854"/>
      <c r="D2" s="854"/>
      <c r="E2" s="854"/>
      <c r="F2" s="855"/>
    </row>
    <row r="3" spans="1:13" ht="22.5" customHeight="1" x14ac:dyDescent="0.25">
      <c r="A3" s="764">
        <f>+Valorización!B2</f>
        <v>0</v>
      </c>
      <c r="B3" s="765"/>
      <c r="C3" s="765"/>
      <c r="D3" s="766"/>
      <c r="E3" s="767"/>
      <c r="F3" s="767"/>
    </row>
    <row r="4" spans="1:13" ht="22.5" customHeight="1" x14ac:dyDescent="0.25">
      <c r="A4" s="764">
        <f>+Valorización!B3</f>
        <v>0</v>
      </c>
      <c r="B4" s="765"/>
      <c r="C4" s="765"/>
      <c r="D4" s="766"/>
      <c r="E4" s="767"/>
      <c r="F4" s="767"/>
    </row>
    <row r="5" spans="1:13" ht="30" customHeight="1" x14ac:dyDescent="0.25">
      <c r="A5" s="768">
        <f>+Valorización!B4</f>
        <v>0</v>
      </c>
      <c r="B5" s="765"/>
      <c r="C5" s="765"/>
      <c r="D5" s="766"/>
      <c r="E5" s="767"/>
      <c r="F5" s="767"/>
    </row>
    <row r="6" spans="1:13" ht="12.75" customHeight="1" x14ac:dyDescent="0.25"/>
    <row r="7" spans="1:13" ht="12.75" customHeight="1" x14ac:dyDescent="0.25">
      <c r="A7" s="36" t="s">
        <v>84</v>
      </c>
      <c r="B7" s="37">
        <v>3.86</v>
      </c>
    </row>
    <row r="8" spans="1:13" ht="12.75" customHeight="1" x14ac:dyDescent="0.25"/>
    <row r="9" spans="1:13" ht="30" customHeight="1" x14ac:dyDescent="0.25">
      <c r="A9" s="38" t="s">
        <v>85</v>
      </c>
      <c r="B9" s="38" t="s">
        <v>86</v>
      </c>
      <c r="C9" s="38" t="s">
        <v>378</v>
      </c>
      <c r="D9" s="39" t="s">
        <v>87</v>
      </c>
      <c r="E9" s="39" t="s">
        <v>88</v>
      </c>
      <c r="F9" s="39" t="s">
        <v>89</v>
      </c>
    </row>
    <row r="10" spans="1:13" ht="12.9" customHeight="1" x14ac:dyDescent="0.25">
      <c r="A10" s="346" t="s">
        <v>90</v>
      </c>
      <c r="B10" s="40">
        <f>+B32</f>
        <v>266494.83691177977</v>
      </c>
      <c r="C10" s="37"/>
      <c r="D10" s="41"/>
      <c r="E10" s="37"/>
      <c r="F10" s="42"/>
    </row>
    <row r="11" spans="1:13" ht="12.9" customHeight="1" x14ac:dyDescent="0.25">
      <c r="A11" s="347"/>
      <c r="B11" s="37"/>
      <c r="C11" s="37"/>
      <c r="D11" s="41"/>
      <c r="E11" s="44"/>
      <c r="F11" s="42"/>
    </row>
    <row r="12" spans="1:13" ht="12.9" customHeight="1" x14ac:dyDescent="0.25">
      <c r="A12" s="348" t="str">
        <f>+Valorización!B8</f>
        <v>OBRAS PROVISIONALES, TRABAJOS PRELIMINARES, SEGURIDAD Y SALUD</v>
      </c>
      <c r="B12" s="45">
        <f>SUM(B13:B15)</f>
        <v>46869.445155343179</v>
      </c>
      <c r="C12" s="46">
        <f>B12/$B$10</f>
        <v>0.17587374561728863</v>
      </c>
      <c r="D12" s="47">
        <v>150</v>
      </c>
      <c r="E12" s="45">
        <f>B12/D12</f>
        <v>312.46296770228787</v>
      </c>
      <c r="F12" s="48">
        <f t="shared" ref="F12:F21" si="0">E12/$B$7</f>
        <v>80.948955363287013</v>
      </c>
    </row>
    <row r="13" spans="1:13" ht="12.9" customHeight="1" x14ac:dyDescent="0.25">
      <c r="A13" s="346" t="str">
        <f>+Valorización!B9</f>
        <v>OBRAS PROVISIONALES</v>
      </c>
      <c r="B13" s="37">
        <f>+Valorización!J9</f>
        <v>10876.106681283431</v>
      </c>
      <c r="C13" s="43">
        <f>+B13/$B$12</f>
        <v>0.23205110803500817</v>
      </c>
      <c r="D13" s="41"/>
      <c r="E13" s="37">
        <f>+B13/$D$12</f>
        <v>72.507377875222872</v>
      </c>
      <c r="F13" s="42">
        <f t="shared" si="0"/>
        <v>18.78429478632717</v>
      </c>
      <c r="K13" s="309"/>
      <c r="L13" s="856"/>
      <c r="M13" s="856"/>
    </row>
    <row r="14" spans="1:13" ht="12.9" customHeight="1" x14ac:dyDescent="0.25">
      <c r="A14" s="346" t="str">
        <f>+Valorización!B14</f>
        <v>DEMOLICIÓN Y TRABAJOS PRELIMINARES</v>
      </c>
      <c r="B14" s="37">
        <f>+Valorización!J14</f>
        <v>28571.359991145262</v>
      </c>
      <c r="C14" s="43">
        <f>+B14/$B$12</f>
        <v>0.60959458547991985</v>
      </c>
      <c r="D14" s="41"/>
      <c r="E14" s="37">
        <f>+B14/$D$12</f>
        <v>190.47573327430175</v>
      </c>
      <c r="F14" s="42">
        <f>E14/$B$7</f>
        <v>49.346044889715479</v>
      </c>
      <c r="K14" s="309"/>
      <c r="L14" s="856"/>
      <c r="M14" s="856"/>
    </row>
    <row r="15" spans="1:13" ht="12.9" customHeight="1" x14ac:dyDescent="0.25">
      <c r="A15" s="346" t="str">
        <f>+Valorización!B20</f>
        <v>SEGURIDAD Y SALUD</v>
      </c>
      <c r="B15" s="37">
        <f>+Valorización!J20</f>
        <v>7421.9784829144828</v>
      </c>
      <c r="C15" s="43">
        <f>+B15/$B$12</f>
        <v>0.15835430648507193</v>
      </c>
      <c r="D15" s="41"/>
      <c r="E15" s="37">
        <f>+B15/$D$12</f>
        <v>49.479856552763216</v>
      </c>
      <c r="F15" s="42">
        <f t="shared" si="0"/>
        <v>12.818615687244357</v>
      </c>
      <c r="K15" s="309"/>
      <c r="L15" s="856"/>
      <c r="M15" s="856"/>
    </row>
    <row r="16" spans="1:13" ht="12.9" customHeight="1" x14ac:dyDescent="0.25">
      <c r="A16" s="348" t="str">
        <f>+Valorización!B25</f>
        <v>MOVIMIENTO DE TIERRAS</v>
      </c>
      <c r="B16" s="45">
        <f>+Valorización!J25</f>
        <v>7667.9578804386392</v>
      </c>
      <c r="C16" s="46"/>
      <c r="D16" s="47">
        <v>150</v>
      </c>
      <c r="E16" s="45">
        <f>B16/D16</f>
        <v>51.119719202924259</v>
      </c>
      <c r="F16" s="48">
        <f>E16/$B$7</f>
        <v>13.243450570705766</v>
      </c>
      <c r="L16" s="856"/>
      <c r="M16" s="856"/>
    </row>
    <row r="17" spans="1:6" ht="12.9" customHeight="1" x14ac:dyDescent="0.25">
      <c r="A17" s="348" t="s">
        <v>317</v>
      </c>
      <c r="B17" s="45">
        <f>SUM(B18:B23)</f>
        <v>116030.05724926808</v>
      </c>
      <c r="C17" s="46"/>
      <c r="D17" s="47">
        <v>150</v>
      </c>
      <c r="E17" s="45">
        <f>B17/D17</f>
        <v>773.53371499512059</v>
      </c>
      <c r="F17" s="48">
        <f t="shared" si="0"/>
        <v>200.39733549096388</v>
      </c>
    </row>
    <row r="18" spans="1:6" ht="12.9" customHeight="1" x14ac:dyDescent="0.25">
      <c r="A18" s="346" t="str">
        <f>+Valorización!B32</f>
        <v>CONCRETO SIMPLE</v>
      </c>
      <c r="B18" s="37">
        <f>+Valorización!J32</f>
        <v>17227.113629074312</v>
      </c>
      <c r="C18" s="43"/>
      <c r="D18" s="41"/>
      <c r="E18" s="37">
        <f>+B18/$D$17</f>
        <v>114.84742419382874</v>
      </c>
      <c r="F18" s="42">
        <f t="shared" si="0"/>
        <v>29.753218703064441</v>
      </c>
    </row>
    <row r="19" spans="1:6" ht="12.9" customHeight="1" x14ac:dyDescent="0.25">
      <c r="A19" s="346" t="str">
        <f>+Valorización!B42</f>
        <v>CONCRETO ARMADO + MUROS PORTANTES</v>
      </c>
      <c r="B19" s="37">
        <f>+Valorización!J42</f>
        <v>54821.241322016976</v>
      </c>
      <c r="C19" s="43"/>
      <c r="D19" s="41"/>
      <c r="E19" s="37">
        <f>+B19/$D$17</f>
        <v>365.47494214677982</v>
      </c>
      <c r="F19" s="42">
        <f t="shared" si="0"/>
        <v>94.682627499165761</v>
      </c>
    </row>
    <row r="20" spans="1:6" ht="12.9" customHeight="1" x14ac:dyDescent="0.25">
      <c r="A20" s="346" t="str">
        <f>+Valorización!B70</f>
        <v>TABIQUERÍA</v>
      </c>
      <c r="B20" s="37">
        <f>+Valorización!J70</f>
        <v>11249.032606216164</v>
      </c>
      <c r="C20" s="43"/>
      <c r="D20" s="41"/>
      <c r="E20" s="37">
        <f>+B20/$D$17</f>
        <v>74.993550708107762</v>
      </c>
      <c r="F20" s="42">
        <f t="shared" si="0"/>
        <v>19.428381012463152</v>
      </c>
    </row>
    <row r="21" spans="1:6" ht="12.9" customHeight="1" x14ac:dyDescent="0.25">
      <c r="A21" s="346" t="str">
        <f>+Valorización!B73</f>
        <v>OBRAS HÚMEDAS</v>
      </c>
      <c r="B21" s="37">
        <f>+Valorización!J73</f>
        <v>22732.669691960629</v>
      </c>
      <c r="C21" s="43"/>
      <c r="D21" s="41"/>
      <c r="E21" s="37">
        <f>+B21/$D$17</f>
        <v>151.55113127973752</v>
      </c>
      <c r="F21" s="42">
        <f t="shared" si="0"/>
        <v>39.261951108740291</v>
      </c>
    </row>
    <row r="22" spans="1:6" ht="12.9" customHeight="1" x14ac:dyDescent="0.25">
      <c r="A22" s="346" t="s">
        <v>779</v>
      </c>
      <c r="B22" s="37">
        <v>5000</v>
      </c>
      <c r="C22" s="43"/>
      <c r="D22" s="41"/>
      <c r="E22" s="37"/>
      <c r="F22" s="42"/>
    </row>
    <row r="23" spans="1:6" ht="12.9" customHeight="1" x14ac:dyDescent="0.25">
      <c r="A23" s="346" t="s">
        <v>780</v>
      </c>
      <c r="B23" s="37">
        <v>5000</v>
      </c>
      <c r="C23" s="43"/>
      <c r="D23" s="41"/>
      <c r="E23" s="37"/>
      <c r="F23" s="42"/>
    </row>
    <row r="24" spans="1:6" ht="12.9" customHeight="1" x14ac:dyDescent="0.25">
      <c r="A24" s="348" t="s">
        <v>317</v>
      </c>
      <c r="B24" s="45">
        <f>SUM(B25:B29)</f>
        <v>65927.376626729878</v>
      </c>
      <c r="C24" s="46"/>
      <c r="D24" s="47">
        <v>150</v>
      </c>
      <c r="E24" s="45">
        <f>B24/D24</f>
        <v>439.51584417819919</v>
      </c>
      <c r="F24" s="48">
        <f>E24/$B$7</f>
        <v>113.86420833632104</v>
      </c>
    </row>
    <row r="25" spans="1:6" ht="12.9" customHeight="1" x14ac:dyDescent="0.25">
      <c r="A25" s="346" t="str">
        <f>+Valorización!B97</f>
        <v>CONCRETO ARMADO</v>
      </c>
      <c r="B25" s="37">
        <f>+Valorización!J97</f>
        <v>32191.293381854059</v>
      </c>
      <c r="C25" s="43"/>
      <c r="D25" s="41"/>
      <c r="E25" s="37">
        <f>+B25/$D$17</f>
        <v>214.60862254569372</v>
      </c>
      <c r="F25" s="42">
        <f>E25/$B$7</f>
        <v>55.598088742407704</v>
      </c>
    </row>
    <row r="26" spans="1:6" ht="12.9" customHeight="1" x14ac:dyDescent="0.25">
      <c r="A26" s="346" t="str">
        <f>+Valorización!B115</f>
        <v>TABIQUE DE LADRILLO</v>
      </c>
      <c r="B26" s="37">
        <f>+Valorización!J115</f>
        <v>10686.580975905354</v>
      </c>
      <c r="C26" s="43"/>
      <c r="D26" s="41"/>
      <c r="E26" s="37">
        <f>+B26/$D$17</f>
        <v>71.243873172702351</v>
      </c>
      <c r="F26" s="42">
        <f>E26/$B$7</f>
        <v>18.456961961839987</v>
      </c>
    </row>
    <row r="27" spans="1:6" ht="12.9" customHeight="1" x14ac:dyDescent="0.25">
      <c r="A27" s="346" t="str">
        <f>+Valorización!B118</f>
        <v>OBRAS HÚMEDAS</v>
      </c>
      <c r="B27" s="37">
        <f>+Valorización!J118</f>
        <v>17049.502268970471</v>
      </c>
      <c r="C27" s="43"/>
      <c r="D27" s="41"/>
      <c r="E27" s="37">
        <f>+B27/$D$17</f>
        <v>113.66334845980315</v>
      </c>
      <c r="F27" s="42">
        <f>E27/$B$7</f>
        <v>29.446463331555218</v>
      </c>
    </row>
    <row r="28" spans="1:6" ht="12.9" customHeight="1" x14ac:dyDescent="0.25">
      <c r="A28" s="346" t="s">
        <v>779</v>
      </c>
      <c r="B28" s="37">
        <v>3000</v>
      </c>
      <c r="C28" s="43"/>
      <c r="D28" s="41"/>
      <c r="E28" s="37"/>
      <c r="F28" s="42"/>
    </row>
    <row r="29" spans="1:6" ht="12.9" customHeight="1" x14ac:dyDescent="0.25">
      <c r="A29" s="346" t="s">
        <v>780</v>
      </c>
      <c r="B29" s="37">
        <v>3000</v>
      </c>
      <c r="C29" s="43"/>
      <c r="D29" s="41"/>
      <c r="E29" s="37"/>
      <c r="F29" s="42"/>
    </row>
    <row r="30" spans="1:6" ht="12.9" customHeight="1" x14ac:dyDescent="0.25">
      <c r="A30" s="348" t="s">
        <v>316</v>
      </c>
      <c r="B30" s="45">
        <f>+B24+B17+B16+B12</f>
        <v>236494.83691177977</v>
      </c>
    </row>
    <row r="31" spans="1:6" ht="12.9" customHeight="1" x14ac:dyDescent="0.25">
      <c r="A31" s="348" t="s">
        <v>26</v>
      </c>
      <c r="B31" s="45">
        <f>+Valorización!J184</f>
        <v>30000</v>
      </c>
    </row>
    <row r="32" spans="1:6" ht="12.9" customHeight="1" x14ac:dyDescent="0.25">
      <c r="A32" s="348" t="s">
        <v>25</v>
      </c>
      <c r="B32" s="45">
        <f>SUM(B30:B31)</f>
        <v>266494.83691177977</v>
      </c>
    </row>
    <row r="33" spans="1:7" ht="12.9" customHeight="1" x14ac:dyDescent="0.25"/>
    <row r="34" spans="1:7" ht="12.75" customHeight="1" x14ac:dyDescent="0.25">
      <c r="C34" s="226"/>
    </row>
    <row r="35" spans="1:7" ht="12.75" customHeight="1" x14ac:dyDescent="0.25">
      <c r="B35" s="305" t="s">
        <v>359</v>
      </c>
      <c r="C35" s="305" t="s">
        <v>360</v>
      </c>
      <c r="D35" s="305" t="s">
        <v>363</v>
      </c>
    </row>
    <row r="36" spans="1:7" ht="12.75" customHeight="1" x14ac:dyDescent="0.25">
      <c r="A36" t="s">
        <v>237</v>
      </c>
      <c r="B36" s="306">
        <v>320</v>
      </c>
      <c r="C36" s="306">
        <v>350</v>
      </c>
      <c r="D36" s="306">
        <v>380</v>
      </c>
      <c r="G36" s="307"/>
    </row>
    <row r="37" spans="1:7" ht="12.75" customHeight="1" x14ac:dyDescent="0.25">
      <c r="A37" t="s">
        <v>317</v>
      </c>
      <c r="B37" s="306">
        <v>250</v>
      </c>
      <c r="C37" s="306">
        <v>280</v>
      </c>
      <c r="D37" s="306">
        <v>300</v>
      </c>
    </row>
    <row r="38" spans="1:7" ht="12.75" customHeight="1" x14ac:dyDescent="0.25">
      <c r="A38" t="s">
        <v>361</v>
      </c>
      <c r="B38" s="306">
        <v>200</v>
      </c>
      <c r="C38" s="306">
        <v>215</v>
      </c>
      <c r="D38" s="306">
        <v>230</v>
      </c>
    </row>
    <row r="39" spans="1:7" ht="12.75" customHeight="1" x14ac:dyDescent="0.25">
      <c r="A39" t="s">
        <v>362</v>
      </c>
      <c r="B39" s="306">
        <f>B38*1.3</f>
        <v>260</v>
      </c>
      <c r="C39" s="306">
        <f>C38*1.3</f>
        <v>279.5</v>
      </c>
      <c r="D39" s="306">
        <f>D38*1.3</f>
        <v>299</v>
      </c>
    </row>
    <row r="40" spans="1:7" ht="12.75" customHeight="1" x14ac:dyDescent="0.25"/>
    <row r="41" spans="1:7" ht="12.75" customHeight="1" x14ac:dyDescent="0.25"/>
    <row r="42" spans="1:7" ht="12.75" customHeight="1" x14ac:dyDescent="0.25"/>
    <row r="43" spans="1:7" ht="12.75" customHeight="1" x14ac:dyDescent="0.25"/>
    <row r="44" spans="1:7" ht="12.75" customHeight="1" x14ac:dyDescent="0.25">
      <c r="A44">
        <v>130</v>
      </c>
      <c r="B44">
        <v>380</v>
      </c>
      <c r="C44">
        <f>+A44*B44</f>
        <v>49400</v>
      </c>
      <c r="D44" s="37">
        <f>C44*3.7</f>
        <v>182780</v>
      </c>
    </row>
    <row r="45" spans="1:7" ht="12.75" customHeight="1" x14ac:dyDescent="0.25">
      <c r="A45">
        <v>140</v>
      </c>
      <c r="B45">
        <v>230</v>
      </c>
      <c r="C45">
        <f>+A45*B45</f>
        <v>32200</v>
      </c>
      <c r="D45" s="37">
        <f>C45*3.7</f>
        <v>119140</v>
      </c>
    </row>
    <row r="46" spans="1:7" ht="12.75" customHeight="1" x14ac:dyDescent="0.25">
      <c r="A46">
        <v>140</v>
      </c>
      <c r="B46">
        <v>230</v>
      </c>
      <c r="C46">
        <f>+A46*B46</f>
        <v>32200</v>
      </c>
      <c r="D46" s="37">
        <f>C46*3.7</f>
        <v>119140</v>
      </c>
    </row>
    <row r="47" spans="1:7" ht="12.75" customHeight="1" x14ac:dyDescent="0.25">
      <c r="A47">
        <v>140</v>
      </c>
      <c r="B47">
        <v>230</v>
      </c>
      <c r="C47">
        <f>+A47*B47</f>
        <v>32200</v>
      </c>
      <c r="D47" s="37">
        <f>C47*3.7</f>
        <v>119140</v>
      </c>
    </row>
    <row r="48" spans="1:7" ht="12.75" customHeight="1" x14ac:dyDescent="0.25">
      <c r="C48">
        <f>SUM(C44:C47)</f>
        <v>146000</v>
      </c>
      <c r="D48" s="37">
        <f>C48*3.7</f>
        <v>540200</v>
      </c>
    </row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  <row r="1001" ht="12.75" customHeight="1" x14ac:dyDescent="0.25"/>
    <row r="1002" ht="12.75" customHeight="1" x14ac:dyDescent="0.25"/>
    <row r="1003" ht="12.75" customHeight="1" x14ac:dyDescent="0.25"/>
    <row r="1004" ht="12.75" customHeight="1" x14ac:dyDescent="0.25"/>
    <row r="1005" ht="12.75" customHeight="1" x14ac:dyDescent="0.25"/>
  </sheetData>
  <mergeCells count="6">
    <mergeCell ref="A2:F2"/>
    <mergeCell ref="L13:M16"/>
    <mergeCell ref="A3:D3"/>
    <mergeCell ref="A4:D4"/>
    <mergeCell ref="A5:D5"/>
    <mergeCell ref="E3:F5"/>
  </mergeCells>
  <pageMargins left="0.70866141732283472" right="0.70866141732283472" top="0.74803149606299213" bottom="0.74803149606299213" header="0" footer="0"/>
  <pageSetup scale="6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49"/>
  <sheetViews>
    <sheetView workbookViewId="0">
      <selection activeCell="L12" sqref="L12"/>
    </sheetView>
  </sheetViews>
  <sheetFormatPr baseColWidth="10" defaultColWidth="11.5546875" defaultRowHeight="13.2" x14ac:dyDescent="0.25"/>
  <cols>
    <col min="1" max="1" width="5.33203125" customWidth="1"/>
    <col min="2" max="2" width="8.109375" customWidth="1"/>
    <col min="3" max="3" width="43.33203125" customWidth="1"/>
    <col min="4" max="4" width="8.6640625" customWidth="1"/>
    <col min="5" max="7" width="11.6640625" customWidth="1"/>
    <col min="8" max="8" width="10" style="151" customWidth="1"/>
  </cols>
  <sheetData>
    <row r="1" spans="1:13" ht="30" customHeight="1" x14ac:dyDescent="0.25">
      <c r="A1" s="857" t="s">
        <v>252</v>
      </c>
      <c r="B1" s="857"/>
      <c r="C1" s="857"/>
      <c r="D1" s="857"/>
      <c r="E1" s="857"/>
      <c r="F1" s="857"/>
      <c r="G1" s="857"/>
      <c r="H1" s="857"/>
      <c r="I1" s="857"/>
    </row>
    <row r="2" spans="1:13" ht="23.4" customHeight="1" x14ac:dyDescent="0.25">
      <c r="A2" s="266" t="s">
        <v>367</v>
      </c>
      <c r="B2" s="266"/>
      <c r="C2" s="861">
        <f>+Valorización!B2</f>
        <v>0</v>
      </c>
      <c r="D2" s="862"/>
      <c r="E2" s="862"/>
      <c r="F2" s="862"/>
      <c r="G2" s="863"/>
      <c r="H2" s="858"/>
      <c r="I2" s="858"/>
    </row>
    <row r="3" spans="1:13" ht="18.600000000000001" customHeight="1" x14ac:dyDescent="0.25">
      <c r="A3" s="266" t="s">
        <v>51</v>
      </c>
      <c r="B3" s="266"/>
      <c r="C3" s="858">
        <f>+Valorización!B3</f>
        <v>0</v>
      </c>
      <c r="D3" s="858"/>
      <c r="E3" s="858"/>
      <c r="F3" s="858"/>
      <c r="G3" s="858"/>
      <c r="H3" s="858"/>
      <c r="I3" s="858"/>
    </row>
    <row r="4" spans="1:13" ht="34.950000000000003" customHeight="1" x14ac:dyDescent="0.25">
      <c r="A4" s="266" t="s">
        <v>52</v>
      </c>
      <c r="B4" s="311"/>
      <c r="C4" s="864">
        <f>+Valorización!B4</f>
        <v>0</v>
      </c>
      <c r="D4" s="864"/>
      <c r="E4" s="864"/>
      <c r="F4" s="864"/>
      <c r="G4" s="864"/>
      <c r="H4" s="858"/>
      <c r="I4" s="858"/>
    </row>
    <row r="5" spans="1:13" ht="13.8" x14ac:dyDescent="0.25">
      <c r="A5" s="859" t="s">
        <v>210</v>
      </c>
      <c r="B5" s="859"/>
      <c r="C5" s="860" t="s">
        <v>1</v>
      </c>
      <c r="D5" s="859" t="s">
        <v>57</v>
      </c>
      <c r="E5" s="174"/>
      <c r="F5" s="174"/>
      <c r="G5" s="174"/>
      <c r="H5" s="174"/>
      <c r="I5" s="859" t="s">
        <v>31</v>
      </c>
    </row>
    <row r="6" spans="1:13" x14ac:dyDescent="0.25">
      <c r="A6" s="859"/>
      <c r="B6" s="859"/>
      <c r="C6" s="860"/>
      <c r="D6" s="859"/>
      <c r="E6" s="175" t="s">
        <v>237</v>
      </c>
      <c r="F6" s="175" t="s">
        <v>253</v>
      </c>
      <c r="G6" s="175" t="s">
        <v>254</v>
      </c>
      <c r="H6" s="175" t="s">
        <v>255</v>
      </c>
      <c r="I6" s="859"/>
    </row>
    <row r="7" spans="1:13" ht="22.95" customHeight="1" x14ac:dyDescent="0.25">
      <c r="A7" s="197" t="s">
        <v>283</v>
      </c>
      <c r="B7" s="198">
        <v>0.1</v>
      </c>
      <c r="C7" s="199" t="s">
        <v>284</v>
      </c>
      <c r="D7" s="195"/>
      <c r="E7" s="196"/>
      <c r="F7" s="196"/>
      <c r="G7" s="196"/>
      <c r="H7" s="196"/>
      <c r="I7" s="195"/>
      <c r="M7" s="161"/>
    </row>
    <row r="8" spans="1:13" ht="13.8" x14ac:dyDescent="0.25">
      <c r="A8" s="176" t="s">
        <v>283</v>
      </c>
      <c r="B8" s="177" t="s">
        <v>285</v>
      </c>
      <c r="C8" s="178" t="s">
        <v>256</v>
      </c>
      <c r="D8" s="179"/>
      <c r="E8" s="179"/>
      <c r="F8" s="179"/>
      <c r="G8" s="179"/>
      <c r="H8" s="179"/>
      <c r="I8" s="179"/>
      <c r="M8" s="309"/>
    </row>
    <row r="9" spans="1:13" ht="13.8" x14ac:dyDescent="0.25">
      <c r="A9" s="180" t="s">
        <v>283</v>
      </c>
      <c r="B9" s="181" t="s">
        <v>286</v>
      </c>
      <c r="C9" s="182" t="s">
        <v>257</v>
      </c>
      <c r="D9" s="183" t="s">
        <v>258</v>
      </c>
      <c r="E9" s="201"/>
      <c r="F9" s="201"/>
      <c r="G9" s="201"/>
      <c r="H9" s="201"/>
      <c r="I9" s="200">
        <f>SUM(E9:H9)</f>
        <v>0</v>
      </c>
      <c r="M9" s="309"/>
    </row>
    <row r="10" spans="1:13" ht="13.8" x14ac:dyDescent="0.25">
      <c r="A10" s="180" t="s">
        <v>283</v>
      </c>
      <c r="B10" s="181" t="s">
        <v>287</v>
      </c>
      <c r="C10" s="182" t="s">
        <v>259</v>
      </c>
      <c r="D10" s="183" t="s">
        <v>258</v>
      </c>
      <c r="E10" s="201"/>
      <c r="F10" s="201"/>
      <c r="G10" s="201"/>
      <c r="H10" s="201"/>
      <c r="I10" s="200">
        <f t="shared" ref="I10:I49" si="0">SUM(E10:H10)</f>
        <v>0</v>
      </c>
      <c r="M10" s="309"/>
    </row>
    <row r="11" spans="1:13" x14ac:dyDescent="0.25">
      <c r="A11" s="180" t="s">
        <v>283</v>
      </c>
      <c r="B11" s="181" t="s">
        <v>288</v>
      </c>
      <c r="C11" s="182" t="s">
        <v>260</v>
      </c>
      <c r="D11" s="183" t="s">
        <v>258</v>
      </c>
      <c r="E11" s="202"/>
      <c r="F11" s="202"/>
      <c r="G11" s="202"/>
      <c r="H11" s="201"/>
      <c r="I11" s="200">
        <f t="shared" si="0"/>
        <v>0</v>
      </c>
    </row>
    <row r="12" spans="1:13" ht="20.399999999999999" x14ac:dyDescent="0.25">
      <c r="A12" s="180" t="s">
        <v>283</v>
      </c>
      <c r="B12" s="181" t="s">
        <v>289</v>
      </c>
      <c r="C12" s="186" t="s">
        <v>261</v>
      </c>
      <c r="D12" s="183" t="s">
        <v>258</v>
      </c>
      <c r="E12" s="201"/>
      <c r="F12" s="201"/>
      <c r="G12" s="201"/>
      <c r="H12" s="201"/>
      <c r="I12" s="200">
        <f t="shared" si="0"/>
        <v>0</v>
      </c>
    </row>
    <row r="13" spans="1:13" ht="20.399999999999999" x14ac:dyDescent="0.25">
      <c r="A13" s="180" t="s">
        <v>283</v>
      </c>
      <c r="B13" s="181" t="s">
        <v>290</v>
      </c>
      <c r="C13" s="186" t="s">
        <v>262</v>
      </c>
      <c r="D13" s="183" t="s">
        <v>258</v>
      </c>
      <c r="E13" s="201"/>
      <c r="F13" s="201"/>
      <c r="G13" s="201"/>
      <c r="H13" s="201"/>
      <c r="I13" s="200">
        <f t="shared" si="0"/>
        <v>0</v>
      </c>
    </row>
    <row r="14" spans="1:13" x14ac:dyDescent="0.25">
      <c r="A14" s="180" t="s">
        <v>283</v>
      </c>
      <c r="B14" s="181" t="s">
        <v>291</v>
      </c>
      <c r="C14" s="182" t="s">
        <v>263</v>
      </c>
      <c r="D14" s="183" t="s">
        <v>258</v>
      </c>
      <c r="E14" s="201"/>
      <c r="F14" s="201"/>
      <c r="G14" s="201"/>
      <c r="H14" s="201"/>
      <c r="I14" s="200">
        <f t="shared" si="0"/>
        <v>0</v>
      </c>
    </row>
    <row r="15" spans="1:13" ht="13.8" x14ac:dyDescent="0.25">
      <c r="A15" s="176" t="s">
        <v>264</v>
      </c>
      <c r="B15" s="177">
        <v>0</v>
      </c>
      <c r="C15" s="178" t="s">
        <v>265</v>
      </c>
      <c r="D15" s="179"/>
      <c r="E15" s="184"/>
      <c r="F15" s="184"/>
      <c r="G15" s="184"/>
      <c r="H15" s="188"/>
      <c r="I15" s="200"/>
    </row>
    <row r="16" spans="1:13" x14ac:dyDescent="0.25">
      <c r="A16" s="180" t="s">
        <v>264</v>
      </c>
      <c r="B16" s="181">
        <v>1</v>
      </c>
      <c r="C16" s="182" t="s">
        <v>266</v>
      </c>
      <c r="D16" s="183" t="s">
        <v>258</v>
      </c>
      <c r="E16" s="185"/>
      <c r="F16" s="185"/>
      <c r="G16" s="185"/>
      <c r="H16" s="185"/>
      <c r="I16" s="200">
        <f t="shared" si="0"/>
        <v>0</v>
      </c>
    </row>
    <row r="17" spans="1:10" x14ac:dyDescent="0.25">
      <c r="A17" s="180" t="s">
        <v>264</v>
      </c>
      <c r="B17" s="181">
        <v>1</v>
      </c>
      <c r="C17" s="182" t="s">
        <v>267</v>
      </c>
      <c r="D17" s="183" t="s">
        <v>258</v>
      </c>
      <c r="E17" s="185"/>
      <c r="F17" s="185"/>
      <c r="G17" s="185"/>
      <c r="H17" s="185"/>
      <c r="I17" s="200">
        <f t="shared" si="0"/>
        <v>0</v>
      </c>
    </row>
    <row r="18" spans="1:10" x14ac:dyDescent="0.25">
      <c r="A18" s="180" t="s">
        <v>264</v>
      </c>
      <c r="B18" s="181">
        <v>2</v>
      </c>
      <c r="C18" s="182" t="s">
        <v>268</v>
      </c>
      <c r="D18" s="183" t="s">
        <v>258</v>
      </c>
      <c r="E18" s="185"/>
      <c r="F18" s="185"/>
      <c r="G18" s="185"/>
      <c r="H18" s="185"/>
      <c r="I18" s="200">
        <f t="shared" si="0"/>
        <v>0</v>
      </c>
      <c r="J18" s="143"/>
    </row>
    <row r="19" spans="1:10" x14ac:dyDescent="0.25">
      <c r="A19" s="180" t="s">
        <v>264</v>
      </c>
      <c r="B19" s="181">
        <v>1</v>
      </c>
      <c r="C19" s="186" t="s">
        <v>315</v>
      </c>
      <c r="D19" s="183" t="s">
        <v>258</v>
      </c>
      <c r="E19" s="185"/>
      <c r="F19" s="185"/>
      <c r="G19" s="185"/>
      <c r="H19" s="185"/>
      <c r="I19" s="200">
        <f t="shared" si="0"/>
        <v>0</v>
      </c>
      <c r="J19" s="143"/>
    </row>
    <row r="20" spans="1:10" ht="13.8" x14ac:dyDescent="0.25">
      <c r="A20" s="176" t="s">
        <v>269</v>
      </c>
      <c r="B20" s="177">
        <v>0</v>
      </c>
      <c r="C20" s="178" t="s">
        <v>270</v>
      </c>
      <c r="D20" s="179"/>
      <c r="E20" s="185"/>
      <c r="F20" s="185"/>
      <c r="G20" s="185"/>
      <c r="H20" s="189"/>
      <c r="I20" s="200"/>
    </row>
    <row r="21" spans="1:10" ht="20.399999999999999" x14ac:dyDescent="0.25">
      <c r="A21" s="180" t="s">
        <v>269</v>
      </c>
      <c r="B21" s="181">
        <v>1</v>
      </c>
      <c r="C21" s="203" t="s">
        <v>292</v>
      </c>
      <c r="D21" s="183" t="s">
        <v>258</v>
      </c>
      <c r="E21" s="187"/>
      <c r="F21" s="187"/>
      <c r="G21" s="187"/>
      <c r="H21" s="187"/>
      <c r="I21" s="200">
        <f t="shared" si="0"/>
        <v>0</v>
      </c>
    </row>
    <row r="22" spans="1:10" ht="20.399999999999999" x14ac:dyDescent="0.25">
      <c r="A22" s="180" t="s">
        <v>269</v>
      </c>
      <c r="B22" s="181">
        <v>1</v>
      </c>
      <c r="C22" s="203" t="s">
        <v>293</v>
      </c>
      <c r="D22" s="183" t="s">
        <v>258</v>
      </c>
      <c r="E22" s="187"/>
      <c r="F22" s="187"/>
      <c r="G22" s="187"/>
      <c r="H22" s="187"/>
      <c r="I22" s="200">
        <f t="shared" si="0"/>
        <v>0</v>
      </c>
    </row>
    <row r="23" spans="1:10" x14ac:dyDescent="0.25">
      <c r="A23" s="176" t="s">
        <v>269</v>
      </c>
      <c r="B23" s="177">
        <v>0</v>
      </c>
      <c r="C23" s="178" t="s">
        <v>301</v>
      </c>
      <c r="D23" s="194"/>
      <c r="E23" s="187"/>
      <c r="F23" s="187"/>
      <c r="G23" s="187"/>
      <c r="H23" s="187"/>
      <c r="I23" s="200"/>
    </row>
    <row r="24" spans="1:10" x14ac:dyDescent="0.25">
      <c r="A24" s="180">
        <v>3</v>
      </c>
      <c r="B24" s="181">
        <v>1</v>
      </c>
      <c r="C24" s="203" t="s">
        <v>302</v>
      </c>
      <c r="D24" s="183" t="s">
        <v>258</v>
      </c>
      <c r="E24" s="187"/>
      <c r="F24" s="187"/>
      <c r="G24" s="187"/>
      <c r="H24" s="187"/>
      <c r="I24" s="200">
        <f t="shared" si="0"/>
        <v>0</v>
      </c>
    </row>
    <row r="25" spans="1:10" x14ac:dyDescent="0.25">
      <c r="A25" s="176" t="s">
        <v>269</v>
      </c>
      <c r="B25" s="177">
        <v>0</v>
      </c>
      <c r="C25" s="178" t="s">
        <v>307</v>
      </c>
      <c r="D25" s="194"/>
      <c r="E25" s="187"/>
      <c r="F25" s="187"/>
      <c r="G25" s="187"/>
      <c r="H25" s="187"/>
      <c r="I25" s="200"/>
    </row>
    <row r="26" spans="1:10" x14ac:dyDescent="0.25">
      <c r="A26" s="204"/>
      <c r="B26" s="205"/>
      <c r="C26" s="203" t="s">
        <v>306</v>
      </c>
      <c r="D26" s="183" t="s">
        <v>258</v>
      </c>
      <c r="E26" s="187"/>
      <c r="F26" s="187"/>
      <c r="G26" s="187"/>
      <c r="H26" s="187"/>
      <c r="I26" s="200">
        <f t="shared" si="0"/>
        <v>0</v>
      </c>
    </row>
    <row r="27" spans="1:10" x14ac:dyDescent="0.25">
      <c r="A27" s="176" t="s">
        <v>269</v>
      </c>
      <c r="B27" s="177">
        <v>0</v>
      </c>
      <c r="C27" s="178" t="s">
        <v>303</v>
      </c>
      <c r="D27" s="194"/>
      <c r="E27" s="187"/>
      <c r="F27" s="187"/>
      <c r="G27" s="187"/>
      <c r="H27" s="187"/>
      <c r="I27" s="200"/>
    </row>
    <row r="28" spans="1:10" x14ac:dyDescent="0.25">
      <c r="A28" s="204"/>
      <c r="B28" s="205"/>
      <c r="C28" s="203" t="s">
        <v>304</v>
      </c>
      <c r="D28" s="183" t="s">
        <v>258</v>
      </c>
      <c r="E28" s="187"/>
      <c r="F28" s="187"/>
      <c r="G28" s="187"/>
      <c r="H28" s="187"/>
      <c r="I28" s="200">
        <f t="shared" si="0"/>
        <v>0</v>
      </c>
    </row>
    <row r="29" spans="1:10" x14ac:dyDescent="0.25">
      <c r="A29" s="204"/>
      <c r="B29" s="205"/>
      <c r="C29" s="203" t="s">
        <v>305</v>
      </c>
      <c r="D29" s="183" t="s">
        <v>258</v>
      </c>
      <c r="E29" s="187"/>
      <c r="F29" s="187"/>
      <c r="G29" s="187"/>
      <c r="H29" s="187"/>
      <c r="I29" s="200">
        <f t="shared" si="0"/>
        <v>0</v>
      </c>
    </row>
    <row r="30" spans="1:10" ht="13.8" x14ac:dyDescent="0.25">
      <c r="A30" s="176" t="s">
        <v>279</v>
      </c>
      <c r="B30" s="177">
        <v>0</v>
      </c>
      <c r="C30" s="178" t="s">
        <v>280</v>
      </c>
      <c r="D30" s="194"/>
      <c r="E30" s="185"/>
      <c r="F30" s="185"/>
      <c r="G30" s="185"/>
      <c r="H30" s="189"/>
      <c r="I30" s="200"/>
    </row>
    <row r="31" spans="1:10" x14ac:dyDescent="0.25">
      <c r="A31" s="180">
        <v>4</v>
      </c>
      <c r="B31" s="208">
        <v>1</v>
      </c>
      <c r="C31" s="207" t="s">
        <v>308</v>
      </c>
      <c r="D31" s="194" t="s">
        <v>282</v>
      </c>
      <c r="E31" s="185"/>
      <c r="F31" s="185"/>
      <c r="G31" s="185"/>
      <c r="H31" s="185"/>
      <c r="I31" s="200">
        <f t="shared" si="0"/>
        <v>0</v>
      </c>
    </row>
    <row r="32" spans="1:10" x14ac:dyDescent="0.25">
      <c r="A32" s="180">
        <v>4</v>
      </c>
      <c r="B32" s="208">
        <v>1</v>
      </c>
      <c r="C32" s="203" t="s">
        <v>281</v>
      </c>
      <c r="D32" s="194" t="s">
        <v>282</v>
      </c>
      <c r="E32" s="202"/>
      <c r="F32" s="202"/>
      <c r="G32" s="202"/>
      <c r="H32" s="201"/>
      <c r="I32" s="200">
        <f t="shared" si="0"/>
        <v>0</v>
      </c>
    </row>
    <row r="33" spans="1:9" ht="20.399999999999999" x14ac:dyDescent="0.25">
      <c r="A33" s="180">
        <v>4</v>
      </c>
      <c r="B33" s="208">
        <v>1</v>
      </c>
      <c r="C33" s="203" t="s">
        <v>309</v>
      </c>
      <c r="D33" s="194" t="s">
        <v>282</v>
      </c>
      <c r="E33" s="202"/>
      <c r="F33" s="202"/>
      <c r="G33" s="202"/>
      <c r="H33" s="201"/>
      <c r="I33" s="200">
        <f>SUM(E33:H33)</f>
        <v>0</v>
      </c>
    </row>
    <row r="34" spans="1:9" ht="20.399999999999999" x14ac:dyDescent="0.25">
      <c r="A34" s="180">
        <v>4</v>
      </c>
      <c r="B34" s="208">
        <v>1</v>
      </c>
      <c r="C34" s="203" t="s">
        <v>310</v>
      </c>
      <c r="D34" s="194" t="s">
        <v>282</v>
      </c>
      <c r="E34" s="202"/>
      <c r="F34" s="202"/>
      <c r="G34" s="202"/>
      <c r="H34" s="201"/>
      <c r="I34" s="200">
        <f t="shared" si="0"/>
        <v>0</v>
      </c>
    </row>
    <row r="35" spans="1:9" ht="20.399999999999999" x14ac:dyDescent="0.25">
      <c r="A35" s="180">
        <v>4</v>
      </c>
      <c r="B35" s="208">
        <v>1</v>
      </c>
      <c r="C35" s="203" t="s">
        <v>311</v>
      </c>
      <c r="D35" s="194" t="s">
        <v>282</v>
      </c>
      <c r="E35" s="202"/>
      <c r="F35" s="202"/>
      <c r="G35" s="202"/>
      <c r="H35" s="201"/>
      <c r="I35" s="200">
        <f t="shared" si="0"/>
        <v>0</v>
      </c>
    </row>
    <row r="36" spans="1:9" x14ac:dyDescent="0.25">
      <c r="A36" s="176">
        <v>5</v>
      </c>
      <c r="B36" s="177">
        <v>0</v>
      </c>
      <c r="C36" s="178" t="s">
        <v>295</v>
      </c>
      <c r="D36" s="194"/>
      <c r="E36" s="202"/>
      <c r="F36" s="202"/>
      <c r="G36" s="202"/>
      <c r="H36" s="201"/>
      <c r="I36" s="200"/>
    </row>
    <row r="37" spans="1:9" x14ac:dyDescent="0.25">
      <c r="A37" s="180">
        <v>0.5</v>
      </c>
      <c r="B37" s="181">
        <v>1</v>
      </c>
      <c r="C37" s="186" t="s">
        <v>294</v>
      </c>
      <c r="D37" s="194" t="s">
        <v>81</v>
      </c>
      <c r="E37" s="202"/>
      <c r="F37" s="202"/>
      <c r="G37" s="202"/>
      <c r="H37" s="201"/>
      <c r="I37" s="200">
        <f t="shared" si="0"/>
        <v>0</v>
      </c>
    </row>
    <row r="38" spans="1:9" x14ac:dyDescent="0.25">
      <c r="A38" s="180">
        <v>0.5</v>
      </c>
      <c r="B38" s="181">
        <v>1</v>
      </c>
      <c r="C38" s="186" t="s">
        <v>296</v>
      </c>
      <c r="D38" s="194" t="s">
        <v>81</v>
      </c>
      <c r="E38" s="202"/>
      <c r="F38" s="202"/>
      <c r="G38" s="202"/>
      <c r="H38" s="201"/>
      <c r="I38" s="200">
        <f t="shared" si="0"/>
        <v>0</v>
      </c>
    </row>
    <row r="39" spans="1:9" x14ac:dyDescent="0.25">
      <c r="A39" s="180">
        <v>0.5</v>
      </c>
      <c r="B39" s="181">
        <v>1</v>
      </c>
      <c r="C39" s="186" t="s">
        <v>297</v>
      </c>
      <c r="D39" s="187" t="s">
        <v>81</v>
      </c>
      <c r="E39" s="202"/>
      <c r="F39" s="202"/>
      <c r="G39" s="202"/>
      <c r="H39" s="201"/>
      <c r="I39" s="200">
        <f t="shared" si="0"/>
        <v>0</v>
      </c>
    </row>
    <row r="40" spans="1:9" x14ac:dyDescent="0.25">
      <c r="A40" s="180">
        <v>0.5</v>
      </c>
      <c r="B40" s="181">
        <v>1</v>
      </c>
      <c r="C40" s="186" t="s">
        <v>298</v>
      </c>
      <c r="D40" s="187" t="s">
        <v>81</v>
      </c>
      <c r="E40" s="202"/>
      <c r="F40" s="202"/>
      <c r="G40" s="202"/>
      <c r="H40" s="201"/>
      <c r="I40" s="200">
        <f t="shared" si="0"/>
        <v>0</v>
      </c>
    </row>
    <row r="41" spans="1:9" x14ac:dyDescent="0.25">
      <c r="A41" s="180">
        <v>0.5</v>
      </c>
      <c r="B41" s="181">
        <v>1</v>
      </c>
      <c r="C41" s="186" t="s">
        <v>299</v>
      </c>
      <c r="D41" s="187" t="s">
        <v>81</v>
      </c>
      <c r="E41" s="202"/>
      <c r="F41" s="202"/>
      <c r="G41" s="202"/>
      <c r="H41" s="201"/>
      <c r="I41" s="200">
        <f t="shared" si="0"/>
        <v>0</v>
      </c>
    </row>
    <row r="42" spans="1:9" ht="13.8" x14ac:dyDescent="0.3">
      <c r="A42" s="176" t="s">
        <v>271</v>
      </c>
      <c r="B42" s="177">
        <v>0</v>
      </c>
      <c r="C42" s="178" t="s">
        <v>272</v>
      </c>
      <c r="D42" s="200"/>
      <c r="E42" s="200"/>
      <c r="F42" s="200"/>
      <c r="G42" s="200"/>
      <c r="H42" s="206"/>
      <c r="I42" s="200"/>
    </row>
    <row r="43" spans="1:9" x14ac:dyDescent="0.25">
      <c r="A43" s="180" t="s">
        <v>271</v>
      </c>
      <c r="B43" s="181">
        <v>1</v>
      </c>
      <c r="C43" s="190" t="s">
        <v>273</v>
      </c>
      <c r="D43" s="185" t="s">
        <v>274</v>
      </c>
      <c r="E43" s="200"/>
      <c r="F43" s="200"/>
      <c r="G43" s="200"/>
      <c r="H43" s="200"/>
      <c r="I43" s="200">
        <f t="shared" si="0"/>
        <v>0</v>
      </c>
    </row>
    <row r="44" spans="1:9" x14ac:dyDescent="0.25">
      <c r="A44" s="180" t="s">
        <v>271</v>
      </c>
      <c r="B44" s="181">
        <v>2</v>
      </c>
      <c r="C44" s="190" t="s">
        <v>275</v>
      </c>
      <c r="D44" s="185" t="s">
        <v>274</v>
      </c>
      <c r="E44" s="185"/>
      <c r="F44" s="185"/>
      <c r="G44" s="185"/>
      <c r="H44" s="185"/>
      <c r="I44" s="200">
        <f t="shared" si="0"/>
        <v>0</v>
      </c>
    </row>
    <row r="45" spans="1:9" ht="13.8" x14ac:dyDescent="0.3">
      <c r="A45" s="176" t="s">
        <v>276</v>
      </c>
      <c r="B45" s="177">
        <v>0</v>
      </c>
      <c r="C45" s="178" t="s">
        <v>277</v>
      </c>
      <c r="D45" s="200"/>
      <c r="E45" s="200"/>
      <c r="F45" s="200"/>
      <c r="G45" s="200"/>
      <c r="H45" s="206"/>
      <c r="I45" s="200"/>
    </row>
    <row r="46" spans="1:9" x14ac:dyDescent="0.25">
      <c r="A46" s="191" t="s">
        <v>276</v>
      </c>
      <c r="B46" s="181">
        <v>1</v>
      </c>
      <c r="C46" s="190" t="s">
        <v>278</v>
      </c>
      <c r="D46" s="185" t="s">
        <v>274</v>
      </c>
      <c r="E46" s="185"/>
      <c r="F46" s="185"/>
      <c r="G46" s="185"/>
      <c r="H46" s="185"/>
      <c r="I46" s="200">
        <f t="shared" si="0"/>
        <v>0</v>
      </c>
    </row>
    <row r="47" spans="1:9" x14ac:dyDescent="0.25">
      <c r="A47" s="176" t="s">
        <v>276</v>
      </c>
      <c r="B47" s="177">
        <v>0</v>
      </c>
      <c r="C47" s="178" t="s">
        <v>312</v>
      </c>
      <c r="D47" s="192" t="s">
        <v>235</v>
      </c>
      <c r="E47" s="193"/>
      <c r="F47" s="193"/>
      <c r="G47" s="193"/>
      <c r="H47" s="209"/>
      <c r="I47" s="200"/>
    </row>
    <row r="48" spans="1:9" x14ac:dyDescent="0.25">
      <c r="A48" s="191" t="s">
        <v>276</v>
      </c>
      <c r="B48" s="181">
        <v>1</v>
      </c>
      <c r="C48" s="190" t="s">
        <v>313</v>
      </c>
      <c r="D48" s="183" t="s">
        <v>282</v>
      </c>
      <c r="E48" s="185"/>
      <c r="F48" s="185"/>
      <c r="G48" s="185"/>
      <c r="H48" s="185"/>
      <c r="I48" s="200">
        <f t="shared" si="0"/>
        <v>0</v>
      </c>
    </row>
    <row r="49" spans="1:9" x14ac:dyDescent="0.25">
      <c r="A49" s="191" t="s">
        <v>276</v>
      </c>
      <c r="B49" s="181">
        <v>1</v>
      </c>
      <c r="C49" s="190" t="s">
        <v>314</v>
      </c>
      <c r="D49" s="183" t="s">
        <v>282</v>
      </c>
      <c r="E49" s="185"/>
      <c r="F49" s="185"/>
      <c r="G49" s="185"/>
      <c r="H49" s="185"/>
      <c r="I49" s="200">
        <f t="shared" si="0"/>
        <v>0</v>
      </c>
    </row>
  </sheetData>
  <mergeCells count="9">
    <mergeCell ref="A1:I1"/>
    <mergeCell ref="H2:I4"/>
    <mergeCell ref="I5:I6"/>
    <mergeCell ref="A5:B6"/>
    <mergeCell ref="C5:C6"/>
    <mergeCell ref="D5:D6"/>
    <mergeCell ref="C2:G2"/>
    <mergeCell ref="C3:G3"/>
    <mergeCell ref="C4:G4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001"/>
  <sheetViews>
    <sheetView workbookViewId="0">
      <selection activeCell="D15" sqref="D15"/>
    </sheetView>
  </sheetViews>
  <sheetFormatPr baseColWidth="10" defaultColWidth="12.6640625" defaultRowHeight="15" customHeight="1" x14ac:dyDescent="0.25"/>
  <cols>
    <col min="1" max="1" width="9" customWidth="1"/>
    <col min="2" max="2" width="50.6640625" customWidth="1"/>
    <col min="3" max="4" width="10.6640625" customWidth="1"/>
    <col min="5" max="5" width="12.44140625" customWidth="1"/>
    <col min="6" max="6" width="10.6640625" customWidth="1"/>
    <col min="7" max="7" width="12.6640625" customWidth="1"/>
    <col min="8" max="8" width="10.6640625" customWidth="1"/>
    <col min="9" max="9" width="15" customWidth="1"/>
    <col min="10" max="26" width="10.6640625" customWidth="1"/>
  </cols>
  <sheetData>
    <row r="1" spans="1:9" ht="12.75" customHeight="1" x14ac:dyDescent="0.25"/>
    <row r="2" spans="1:9" ht="12.75" customHeight="1" x14ac:dyDescent="0.25">
      <c r="B2" s="2" t="s">
        <v>209</v>
      </c>
      <c r="G2" s="97">
        <f>+RATIO!B10</f>
        <v>266494.83691177977</v>
      </c>
      <c r="H2" s="98">
        <v>0.1</v>
      </c>
      <c r="I2" s="95">
        <f>G2*H2</f>
        <v>26649.483691177978</v>
      </c>
    </row>
    <row r="3" spans="1:9" ht="12.75" customHeight="1" x14ac:dyDescent="0.25"/>
    <row r="4" spans="1:9" ht="12.75" customHeight="1" x14ac:dyDescent="0.25">
      <c r="I4" s="95">
        <f>+I2-G25</f>
        <v>-35900.516308822022</v>
      </c>
    </row>
    <row r="5" spans="1:9" ht="12.75" customHeight="1" x14ac:dyDescent="0.25">
      <c r="A5" s="865" t="s">
        <v>210</v>
      </c>
      <c r="B5" s="865" t="s">
        <v>1</v>
      </c>
      <c r="C5" s="865" t="s">
        <v>2</v>
      </c>
      <c r="D5" s="865" t="s">
        <v>211</v>
      </c>
      <c r="E5" s="865" t="s">
        <v>212</v>
      </c>
      <c r="F5" s="865" t="s">
        <v>213</v>
      </c>
      <c r="G5" s="865" t="s">
        <v>214</v>
      </c>
    </row>
    <row r="6" spans="1:9" ht="12.75" customHeight="1" x14ac:dyDescent="0.25">
      <c r="A6" s="800"/>
      <c r="B6" s="800"/>
      <c r="C6" s="800"/>
      <c r="D6" s="800"/>
      <c r="E6" s="800"/>
      <c r="F6" s="800"/>
      <c r="G6" s="800"/>
    </row>
    <row r="7" spans="1:9" ht="12.75" customHeight="1" x14ac:dyDescent="0.25">
      <c r="A7" s="99">
        <v>1</v>
      </c>
      <c r="B7" s="100" t="s">
        <v>215</v>
      </c>
      <c r="C7" s="101"/>
      <c r="D7" s="102"/>
      <c r="E7" s="102"/>
      <c r="F7" s="102"/>
      <c r="G7" s="103">
        <f>SUM(G8:G14)</f>
        <v>58800</v>
      </c>
    </row>
    <row r="8" spans="1:9" ht="12.75" customHeight="1" x14ac:dyDescent="0.25">
      <c r="A8" s="104">
        <v>1.01</v>
      </c>
      <c r="B8" s="105" t="s">
        <v>216</v>
      </c>
      <c r="C8" s="106"/>
      <c r="D8" s="107"/>
      <c r="E8" s="107"/>
      <c r="F8" s="107"/>
      <c r="G8" s="108"/>
    </row>
    <row r="9" spans="1:9" ht="12.75" customHeight="1" x14ac:dyDescent="0.25">
      <c r="A9" s="109" t="s">
        <v>217</v>
      </c>
      <c r="B9" s="110" t="s">
        <v>218</v>
      </c>
      <c r="C9" s="111" t="s">
        <v>219</v>
      </c>
      <c r="D9" s="112">
        <v>21</v>
      </c>
      <c r="E9" s="113">
        <v>1500</v>
      </c>
      <c r="F9" s="114">
        <v>1</v>
      </c>
      <c r="G9" s="113">
        <f>PRODUCT(D9:F9)</f>
        <v>31500</v>
      </c>
    </row>
    <row r="10" spans="1:9" ht="12.75" customHeight="1" x14ac:dyDescent="0.25">
      <c r="A10" s="109" t="s">
        <v>217</v>
      </c>
      <c r="B10" s="110" t="s">
        <v>220</v>
      </c>
      <c r="C10" s="111" t="s">
        <v>219</v>
      </c>
      <c r="D10" s="112">
        <v>21</v>
      </c>
      <c r="E10" s="113">
        <v>1000</v>
      </c>
      <c r="F10" s="114">
        <v>1</v>
      </c>
      <c r="G10" s="113">
        <f>PRODUCT(D10:F10)</f>
        <v>21000</v>
      </c>
    </row>
    <row r="11" spans="1:9" ht="12.75" customHeight="1" x14ac:dyDescent="0.25">
      <c r="A11" s="109" t="s">
        <v>217</v>
      </c>
      <c r="B11" s="110" t="s">
        <v>485</v>
      </c>
      <c r="C11" s="111" t="s">
        <v>219</v>
      </c>
      <c r="D11" s="112">
        <v>0</v>
      </c>
      <c r="E11" s="113">
        <v>250</v>
      </c>
      <c r="F11" s="114">
        <v>1</v>
      </c>
      <c r="G11" s="113">
        <f>PRODUCT(D11:F11)</f>
        <v>0</v>
      </c>
    </row>
    <row r="12" spans="1:9" ht="12.75" customHeight="1" x14ac:dyDescent="0.25">
      <c r="A12" s="109" t="s">
        <v>217</v>
      </c>
      <c r="B12" s="110" t="s">
        <v>486</v>
      </c>
      <c r="C12" s="111" t="s">
        <v>219</v>
      </c>
      <c r="D12" s="112">
        <v>0</v>
      </c>
      <c r="E12" s="113">
        <v>750</v>
      </c>
      <c r="F12" s="114">
        <v>1</v>
      </c>
      <c r="G12" s="113">
        <f>PRODUCT(D12:F12)</f>
        <v>0</v>
      </c>
    </row>
    <row r="13" spans="1:9" ht="12.75" customHeight="1" x14ac:dyDescent="0.25">
      <c r="A13" s="104">
        <v>1.03</v>
      </c>
      <c r="B13" s="105" t="s">
        <v>221</v>
      </c>
      <c r="C13" s="106"/>
      <c r="D13" s="107"/>
      <c r="E13" s="107"/>
      <c r="F13" s="107"/>
      <c r="G13" s="108"/>
    </row>
    <row r="14" spans="1:9" ht="12.75" customHeight="1" x14ac:dyDescent="0.25">
      <c r="A14" s="109" t="s">
        <v>222</v>
      </c>
      <c r="B14" s="110" t="s">
        <v>223</v>
      </c>
      <c r="C14" s="111" t="s">
        <v>219</v>
      </c>
      <c r="D14" s="112">
        <v>21</v>
      </c>
      <c r="E14" s="113">
        <v>300</v>
      </c>
      <c r="F14" s="114">
        <v>1</v>
      </c>
      <c r="G14" s="113">
        <f>PRODUCT(D14:F14)</f>
        <v>6300</v>
      </c>
    </row>
    <row r="15" spans="1:9" ht="12.75" customHeight="1" x14ac:dyDescent="0.25">
      <c r="A15" s="99">
        <v>2</v>
      </c>
      <c r="B15" s="100" t="s">
        <v>224</v>
      </c>
      <c r="C15" s="101"/>
      <c r="D15" s="102"/>
      <c r="E15" s="102"/>
      <c r="F15" s="115"/>
      <c r="G15" s="103">
        <f>SUM(G16:G18)</f>
        <v>3750</v>
      </c>
    </row>
    <row r="16" spans="1:9" ht="12.75" customHeight="1" x14ac:dyDescent="0.25">
      <c r="A16" s="104">
        <v>2.0099999999999998</v>
      </c>
      <c r="B16" s="105" t="s">
        <v>225</v>
      </c>
      <c r="C16" s="106"/>
      <c r="D16" s="107"/>
      <c r="E16" s="107"/>
      <c r="F16" s="107"/>
      <c r="G16" s="108"/>
    </row>
    <row r="17" spans="1:8" ht="12.75" customHeight="1" x14ac:dyDescent="0.25">
      <c r="A17" s="109"/>
      <c r="B17" s="110" t="s">
        <v>227</v>
      </c>
      <c r="C17" s="111" t="s">
        <v>219</v>
      </c>
      <c r="D17" s="112">
        <v>1</v>
      </c>
      <c r="E17" s="113">
        <v>750</v>
      </c>
      <c r="F17" s="114"/>
      <c r="G17" s="113">
        <f>PRODUCT(D17:F17)</f>
        <v>750</v>
      </c>
    </row>
    <row r="18" spans="1:8" ht="12.75" customHeight="1" x14ac:dyDescent="0.25">
      <c r="A18" s="109"/>
      <c r="B18" s="110" t="s">
        <v>228</v>
      </c>
      <c r="C18" s="111" t="s">
        <v>226</v>
      </c>
      <c r="D18" s="112">
        <v>1</v>
      </c>
      <c r="E18" s="113">
        <v>3000</v>
      </c>
      <c r="F18" s="114"/>
      <c r="G18" s="113">
        <f>PRODUCT(D18:F18)</f>
        <v>3000</v>
      </c>
    </row>
    <row r="19" spans="1:8" ht="12.75" customHeight="1" x14ac:dyDescent="0.25">
      <c r="A19" s="109"/>
      <c r="B19" s="116"/>
      <c r="C19" s="111"/>
      <c r="D19" s="112"/>
      <c r="E19" s="113"/>
      <c r="F19" s="114"/>
      <c r="G19" s="113"/>
    </row>
    <row r="20" spans="1:8" ht="12.75" customHeight="1" x14ac:dyDescent="0.25">
      <c r="A20" s="109"/>
      <c r="B20" s="117" t="s">
        <v>229</v>
      </c>
      <c r="C20" s="118"/>
      <c r="D20" s="119"/>
      <c r="E20" s="97"/>
      <c r="F20" s="120"/>
      <c r="G20" s="97">
        <f>+G7</f>
        <v>58800</v>
      </c>
      <c r="H20" s="121">
        <f>G20/$G$2</f>
        <v>0.22064217333960998</v>
      </c>
    </row>
    <row r="21" spans="1:8" ht="12.75" customHeight="1" x14ac:dyDescent="0.25">
      <c r="A21" s="109"/>
      <c r="B21" s="117" t="s">
        <v>230</v>
      </c>
      <c r="C21" s="118"/>
      <c r="D21" s="119"/>
      <c r="E21" s="97"/>
      <c r="F21" s="120"/>
      <c r="G21" s="97">
        <f>+G15</f>
        <v>3750</v>
      </c>
      <c r="H21" s="121">
        <f>G21/$G$2</f>
        <v>1.4071567177271043E-2</v>
      </c>
    </row>
    <row r="22" spans="1:8" ht="12.75" customHeight="1" x14ac:dyDescent="0.25">
      <c r="A22" s="109"/>
      <c r="B22" s="117" t="s">
        <v>26</v>
      </c>
      <c r="C22" s="118"/>
      <c r="D22" s="119"/>
      <c r="E22" s="97"/>
      <c r="F22" s="120"/>
      <c r="G22" s="97">
        <f>SUM(G20:G21)</f>
        <v>62550</v>
      </c>
      <c r="H22" s="121">
        <f>G22/$G$2</f>
        <v>0.23471374051688101</v>
      </c>
    </row>
    <row r="23" spans="1:8" ht="12.75" customHeight="1" x14ac:dyDescent="0.25">
      <c r="A23" s="109"/>
      <c r="B23" s="117" t="s">
        <v>27</v>
      </c>
      <c r="C23" s="118"/>
      <c r="D23" s="119"/>
      <c r="E23" s="97"/>
      <c r="F23" s="120"/>
      <c r="G23" s="97">
        <f>+G2*H23</f>
        <v>0</v>
      </c>
      <c r="H23" s="121">
        <v>0</v>
      </c>
    </row>
    <row r="24" spans="1:8" ht="12.75" customHeight="1" x14ac:dyDescent="0.25">
      <c r="H24" s="122"/>
    </row>
    <row r="25" spans="1:8" ht="12.75" customHeight="1" x14ac:dyDescent="0.25">
      <c r="A25" s="109"/>
      <c r="B25" s="117" t="s">
        <v>91</v>
      </c>
      <c r="C25" s="118"/>
      <c r="D25" s="119"/>
      <c r="E25" s="97"/>
      <c r="F25" s="120"/>
      <c r="G25" s="97">
        <f>G23+G22</f>
        <v>62550</v>
      </c>
      <c r="H25" s="121">
        <f>G25/$G$2</f>
        <v>0.23471374051688101</v>
      </c>
    </row>
    <row r="26" spans="1:8" ht="12.75" customHeight="1" x14ac:dyDescent="0.25"/>
    <row r="27" spans="1:8" ht="12.75" customHeight="1" x14ac:dyDescent="0.25"/>
    <row r="28" spans="1:8" ht="12.75" customHeight="1" x14ac:dyDescent="0.25"/>
    <row r="29" spans="1:8" ht="12.75" customHeight="1" x14ac:dyDescent="0.25">
      <c r="B29" s="123" t="s">
        <v>231</v>
      </c>
      <c r="C29" s="124">
        <f>SUM(C30:C39)</f>
        <v>30000</v>
      </c>
    </row>
    <row r="30" spans="1:8" ht="12.75" customHeight="1" x14ac:dyDescent="0.25">
      <c r="B30" s="125">
        <v>44751</v>
      </c>
      <c r="C30" s="113">
        <v>3000</v>
      </c>
    </row>
    <row r="31" spans="1:8" ht="12.75" customHeight="1" x14ac:dyDescent="0.25">
      <c r="B31" s="125">
        <v>44756</v>
      </c>
      <c r="C31" s="113">
        <v>17000</v>
      </c>
    </row>
    <row r="32" spans="1:8" ht="12.75" customHeight="1" x14ac:dyDescent="0.25">
      <c r="B32" s="125">
        <v>44762</v>
      </c>
      <c r="C32" s="113">
        <v>10000</v>
      </c>
    </row>
    <row r="33" spans="2:3" ht="12.75" customHeight="1" x14ac:dyDescent="0.25">
      <c r="B33" s="125"/>
      <c r="C33" s="113"/>
    </row>
    <row r="34" spans="2:3" ht="12.75" customHeight="1" x14ac:dyDescent="0.25">
      <c r="B34" s="125"/>
      <c r="C34" s="113"/>
    </row>
    <row r="35" spans="2:3" ht="12.75" customHeight="1" x14ac:dyDescent="0.25">
      <c r="B35" s="125"/>
      <c r="C35" s="113"/>
    </row>
    <row r="36" spans="2:3" ht="12.75" customHeight="1" x14ac:dyDescent="0.25">
      <c r="B36" s="125"/>
      <c r="C36" s="113"/>
    </row>
    <row r="37" spans="2:3" ht="12.75" customHeight="1" x14ac:dyDescent="0.25">
      <c r="B37" s="125"/>
      <c r="C37" s="113"/>
    </row>
    <row r="38" spans="2:3" ht="12.75" customHeight="1" x14ac:dyDescent="0.25">
      <c r="B38" s="125"/>
      <c r="C38" s="113"/>
    </row>
    <row r="39" spans="2:3" ht="12.75" customHeight="1" x14ac:dyDescent="0.25"/>
    <row r="40" spans="2:3" ht="12.75" customHeight="1" x14ac:dyDescent="0.25"/>
    <row r="41" spans="2:3" ht="12.75" customHeight="1" x14ac:dyDescent="0.25"/>
    <row r="42" spans="2:3" ht="12.75" customHeight="1" x14ac:dyDescent="0.25"/>
    <row r="43" spans="2:3" ht="12.75" customHeight="1" x14ac:dyDescent="0.25"/>
    <row r="44" spans="2:3" ht="12.75" customHeight="1" x14ac:dyDescent="0.25"/>
    <row r="45" spans="2:3" ht="12.75" customHeight="1" x14ac:dyDescent="0.25"/>
    <row r="46" spans="2:3" ht="12.75" customHeight="1" x14ac:dyDescent="0.25"/>
    <row r="47" spans="2:3" ht="12.75" customHeight="1" x14ac:dyDescent="0.25"/>
    <row r="48" spans="2:3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  <row r="1001" ht="12.75" customHeight="1" x14ac:dyDescent="0.25"/>
  </sheetData>
  <mergeCells count="7">
    <mergeCell ref="F5:F6"/>
    <mergeCell ref="G5:G6"/>
    <mergeCell ref="A5:A6"/>
    <mergeCell ref="B5:B6"/>
    <mergeCell ref="C5:C6"/>
    <mergeCell ref="D5:D6"/>
    <mergeCell ref="E5:E6"/>
  </mergeCells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19</vt:i4>
      </vt:variant>
      <vt:variant>
        <vt:lpstr>Rangos con nombre</vt:lpstr>
      </vt:variant>
      <vt:variant>
        <vt:i4>13</vt:i4>
      </vt:variant>
    </vt:vector>
  </HeadingPairs>
  <TitlesOfParts>
    <vt:vector size="32" baseType="lpstr">
      <vt:lpstr>Plan Maestro</vt:lpstr>
      <vt:lpstr>Look A Head</vt:lpstr>
      <vt:lpstr>Restricciones</vt:lpstr>
      <vt:lpstr>PPC S1</vt:lpstr>
      <vt:lpstr>H PPC</vt:lpstr>
      <vt:lpstr>Flujo de caja</vt:lpstr>
      <vt:lpstr>Depositos</vt:lpstr>
      <vt:lpstr>Presupuesto Real Comparativo</vt:lpstr>
      <vt:lpstr>Valorización</vt:lpstr>
      <vt:lpstr>O. GRUESA</vt:lpstr>
      <vt:lpstr>ACERO</vt:lpstr>
      <vt:lpstr>O. HUMEDAD</vt:lpstr>
      <vt:lpstr>APUs Casco</vt:lpstr>
      <vt:lpstr>RESUMEN</vt:lpstr>
      <vt:lpstr>INSUMOS</vt:lpstr>
      <vt:lpstr>COSTO DE ACERO</vt:lpstr>
      <vt:lpstr>RATIO</vt:lpstr>
      <vt:lpstr>II.EE</vt:lpstr>
      <vt:lpstr>GG</vt:lpstr>
      <vt:lpstr>ACERO!Área_de_impresión</vt:lpstr>
      <vt:lpstr>'O. GRUESA'!Área_de_impresión</vt:lpstr>
      <vt:lpstr>'O. HUMEDAD'!Área_de_impresión</vt:lpstr>
      <vt:lpstr>'Presupuesto Real Comparativo'!Área_de_impresión</vt:lpstr>
      <vt:lpstr>RATIO!Área_de_impresión</vt:lpstr>
      <vt:lpstr>RESUMEN!Área_de_impresión</vt:lpstr>
      <vt:lpstr>Valorización!Área_de_impresión</vt:lpstr>
      <vt:lpstr>ACERO!Títulos_a_imprimir</vt:lpstr>
      <vt:lpstr>'O. GRUESA'!Títulos_a_imprimir</vt:lpstr>
      <vt:lpstr>'O. HUMEDAD'!Títulos_a_imprimir</vt:lpstr>
      <vt:lpstr>'Presupuesto Real Comparativo'!Títulos_a_imprimir</vt:lpstr>
      <vt:lpstr>RESUMEN!Títulos_a_imprimir</vt:lpstr>
      <vt:lpstr>Valorización!Títulos_a_imprimir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Astete Canal</dc:creator>
  <cp:lastModifiedBy>ROMINA CASALLO</cp:lastModifiedBy>
  <cp:lastPrinted>2026-05-21T20:46:58Z</cp:lastPrinted>
  <dcterms:created xsi:type="dcterms:W3CDTF">1998-09-12T15:16:53Z</dcterms:created>
  <dcterms:modified xsi:type="dcterms:W3CDTF">2026-06-04T20:28:59Z</dcterms:modified>
</cp:coreProperties>
</file>