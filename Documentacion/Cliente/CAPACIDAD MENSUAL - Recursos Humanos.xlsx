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16.xml" ContentType="application/vnd.openxmlformats-officedocument.spreadsheetml.queryTable+xml"/>
  <Override PartName="/xl/tables/table20.xml" ContentType="application/vnd.openxmlformats-officedocument.spreadsheetml.table+xml"/>
  <Override PartName="/xl/queryTables/queryTable17.xml" ContentType="application/vnd.openxmlformats-officedocument.spreadsheetml.queryTable+xml"/>
  <Override PartName="/xl/tables/table21.xml" ContentType="application/vnd.openxmlformats-officedocument.spreadsheetml.table+xml"/>
  <Override PartName="/xl/queryTables/queryTable18.xml" ContentType="application/vnd.openxmlformats-officedocument.spreadsheetml.queryTable+xml"/>
  <Override PartName="/xl/tables/table22.xml" ContentType="application/vnd.openxmlformats-officedocument.spreadsheetml.table+xml"/>
  <Override PartName="/xl/queryTables/queryTable19.xml" ContentType="application/vnd.openxmlformats-officedocument.spreadsheetml.queryTable+xml"/>
  <Override PartName="/xl/tables/table23.xml" ContentType="application/vnd.openxmlformats-officedocument.spreadsheetml.table+xml"/>
  <Override PartName="/xl/queryTables/queryTable20.xml" ContentType="application/vnd.openxmlformats-officedocument.spreadsheetml.queryTable+xml"/>
  <Override PartName="/xl/tables/table24.xml" ContentType="application/vnd.openxmlformats-officedocument.spreadsheetml.table+xml"/>
  <Override PartName="/xl/queryTables/queryTable21.xml" ContentType="application/vnd.openxmlformats-officedocument.spreadsheetml.queryTable+xml"/>
  <Override PartName="/xl/tables/table25.xml" ContentType="application/vnd.openxmlformats-officedocument.spreadsheetml.table+xml"/>
  <Override PartName="/xl/queryTables/queryTable22.xml" ContentType="application/vnd.openxmlformats-officedocument.spreadsheetml.queryTable+xml"/>
  <Override PartName="/xl/tables/table26.xml" ContentType="application/vnd.openxmlformats-officedocument.spreadsheetml.table+xml"/>
  <Override PartName="/xl/queryTables/queryTable23.xml" ContentType="application/vnd.openxmlformats-officedocument.spreadsheetml.queryTable+xml"/>
  <Override PartName="/xl/tables/table27.xml" ContentType="application/vnd.openxmlformats-officedocument.spreadsheetml.table+xml"/>
  <Override PartName="/xl/queryTables/queryTable24.xml" ContentType="application/vnd.openxmlformats-officedocument.spreadsheetml.queryTable+xml"/>
  <Override PartName="/xl/tables/table28.xml" ContentType="application/vnd.openxmlformats-officedocument.spreadsheetml.table+xml"/>
  <Override PartName="/xl/queryTables/queryTable25.xml" ContentType="application/vnd.openxmlformats-officedocument.spreadsheetml.queryTable+xml"/>
  <Override PartName="/xl/tables/table29.xml" ContentType="application/vnd.openxmlformats-officedocument.spreadsheetml.table+xml"/>
  <Override PartName="/xl/queryTables/queryTable26.xml" ContentType="application/vnd.openxmlformats-officedocument.spreadsheetml.query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queryTables/queryTable27.xml" ContentType="application/vnd.openxmlformats-officedocument.spreadsheetml.queryTable+xml"/>
  <Override PartName="/xl/tables/table32.xml" ContentType="application/vnd.openxmlformats-officedocument.spreadsheetml.table+xml"/>
  <Override PartName="/xl/queryTables/queryTable28.xml" ContentType="application/vnd.openxmlformats-officedocument.spreadsheetml.queryTable+xml"/>
  <Override PartName="/xl/tables/table33.xml" ContentType="application/vnd.openxmlformats-officedocument.spreadsheetml.table+xml"/>
  <Override PartName="/xl/queryTables/queryTable29.xml" ContentType="application/vnd.openxmlformats-officedocument.spreadsheetml.queryTable+xml"/>
  <Override PartName="/xl/tables/table34.xml" ContentType="application/vnd.openxmlformats-officedocument.spreadsheetml.table+xml"/>
  <Override PartName="/xl/queryTables/queryTable30.xml" ContentType="application/vnd.openxmlformats-officedocument.spreadsheetml.queryTable+xml"/>
  <Override PartName="/xl/tables/table35.xml" ContentType="application/vnd.openxmlformats-officedocument.spreadsheetml.table+xml"/>
  <Override PartName="/xl/queryTables/queryTable31.xml" ContentType="application/vnd.openxmlformats-officedocument.spreadsheetml.queryTable+xml"/>
  <Override PartName="/xl/tables/table36.xml" ContentType="application/vnd.openxmlformats-officedocument.spreadsheetml.table+xml"/>
  <Override PartName="/xl/queryTables/queryTable32.xml" ContentType="application/vnd.openxmlformats-officedocument.spreadsheetml.queryTable+xml"/>
  <Override PartName="/xl/tables/table37.xml" ContentType="application/vnd.openxmlformats-officedocument.spreadsheetml.table+xml"/>
  <Override PartName="/xl/queryTables/queryTable3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2015\Downloads\"/>
    </mc:Choice>
  </mc:AlternateContent>
  <xr:revisionPtr revIDLastSave="0" documentId="8_{181354D5-797C-41A7-871D-A9427CD40A43}" xr6:coauthVersionLast="47" xr6:coauthVersionMax="47" xr10:uidLastSave="{00000000-0000-0000-0000-000000000000}"/>
  <bookViews>
    <workbookView xWindow="-108" yWindow="-108" windowWidth="23256" windowHeight="12456" activeTab="39" xr2:uid="{E9CEA32F-A955-431E-BFA3-BE4854E8BC59}"/>
  </bookViews>
  <sheets>
    <sheet name="EDIT" sheetId="6" r:id="rId1"/>
    <sheet name="CAPACIDAD" sheetId="1" r:id="rId2"/>
    <sheet name="MH-DFM4-0226-Pueblo Libre-Silvi" sheetId="49" state="hidden" r:id="rId3"/>
    <sheet name="MP-0525 - Surco - Arq  Edin" sheetId="9" state="hidden" r:id="rId4"/>
    <sheet name="MH-ONX8 - 0825 - Breña - Dario" sheetId="13" state="hidden" r:id="rId5"/>
    <sheet name="MH-ONM3-1125-Jicamarca-Giovann" sheetId="14" state="hidden" r:id="rId6"/>
    <sheet name="MH-LNC2-Cieneguilla-Sanny &amp; Bry" sheetId="35" state="hidden" r:id="rId7"/>
    <sheet name="MH-LNM5_0425-SAN MIGUEL-CAR" sheetId="34" state="hidden" r:id="rId8"/>
    <sheet name="MH-LNX1 - 0325 - Breña - Juan C" sheetId="16" state="hidden" r:id="rId9"/>
    <sheet name="MH-LNM7 - 0925 - Cedros - Ninah" sheetId="17" state="hidden" r:id="rId10"/>
    <sheet name="MH-ONC2_0725-SAN ANTONIO-PEDRO" sheetId="18" state="hidden" r:id="rId11"/>
    <sheet name="MH-LNM5 - San Miguel - Ing  Mar" sheetId="20" state="hidden" r:id="rId12"/>
    <sheet name="MH-ORX5-1125-Surquillo-LuzSuare" sheetId="21" state="hidden" r:id="rId13"/>
    <sheet name="MH-LNM5-1025-Callao-CarlosCelis" sheetId="22" state="hidden" r:id="rId14"/>
    <sheet name="MH-LNM5_0925-CHORRILLOS-TAFUR" sheetId="23" state="hidden" r:id="rId15"/>
    <sheet name="MH-Punto Marisco-Surquillo-TAFU" sheetId="24" state="hidden" r:id="rId16"/>
    <sheet name="MH-LNM11_0925-PUEBLO LIBRE-TAF" sheetId="25" state="hidden" r:id="rId17"/>
    <sheet name="MH-METRADO_0525 - SAN ISIDROCEL" sheetId="27" state="hidden" r:id="rId18"/>
    <sheet name="MH-METRADO - 1225_ RIOJA- MAYUL" sheetId="28" state="hidden" r:id="rId19"/>
    <sheet name="MH-ONM6-0126-ChorrillosMatellin" sheetId="29" state="hidden" r:id="rId20"/>
    <sheet name="MH-LNM5-0126-ChorrilosMatellini" sheetId="30" state="hidden" r:id="rId21"/>
    <sheet name="MH-LAM4 -1225-San Miguel-Antoni" sheetId="31" state="hidden" r:id="rId22"/>
    <sheet name="MH-LNM10-0425-San Bartolo-Tafur" sheetId="32" state="hidden" r:id="rId23"/>
    <sheet name="MH-ESTRU-ONM7 - SMP - Remo Mele" sheetId="33" state="hidden" r:id="rId24"/>
    <sheet name="MP-OAM4 -0226- ATE -Maria" sheetId="36" state="hidden" r:id="rId25"/>
    <sheet name="MP-LAM4 -0226- ATE -Maria" sheetId="37" state="hidden" r:id="rId26"/>
    <sheet name="MP-ONM5-0226- Breña-Ysidro" sheetId="38" state="hidden" r:id="rId27"/>
    <sheet name="MH-ESTRU-LAM5-0226-Surqu-Mirtha" sheetId="39" state="hidden" r:id="rId28"/>
    <sheet name="MH-DF - 0226 - Surquillo-Mirtha" sheetId="40" state="hidden" r:id="rId29"/>
    <sheet name="MH-LNM5 - 0226 - SJL - MONTERO" sheetId="41" state="hidden" r:id="rId30"/>
    <sheet name="MH-LNM5 - 0226 - SJL - MONTERO " sheetId="42" state="hidden" r:id="rId31"/>
    <sheet name="MH-DF - 0226 - Surquillo-Mi (2)" sheetId="43" state="hidden" r:id="rId32"/>
    <sheet name="LNX2 - 0226 -San Borja-ENCISO" sheetId="45" state="hidden" r:id="rId33"/>
    <sheet name="MH-ONM5 - El Agustino - Cristia" sheetId="46" state="hidden" r:id="rId34"/>
    <sheet name="MH-LMM5-La Victoria-Carmen Baq" sheetId="50" state="hidden" r:id="rId35"/>
    <sheet name="LNM3-0226-Punta Hermosa-Farah" sheetId="51" state="hidden" r:id="rId36"/>
    <sheet name="MH-LNM7 - San Miguel-Wendy Mart" sheetId="54" state="hidden" r:id="rId37"/>
    <sheet name="MH-ONM7 - 0925-Cedros-Ninahuanc" sheetId="53" state="hidden" r:id="rId38"/>
    <sheet name="MH-ONX7 - BREÑA - Eduardo Vara" sheetId="52" state="hidden" r:id="rId39"/>
    <sheet name="HOJAS DE HORA PROY." sheetId="2" r:id="rId40"/>
    <sheet name="PLAN MAESTRO FINAL" sheetId="5" r:id="rId41"/>
  </sheets>
  <definedNames>
    <definedName name="_xlnm._FilterDatabase" localSheetId="39" hidden="1">'HOJAS DE HORA PROY.'!$A$1:$O$112</definedName>
    <definedName name="_xlnm.Print_Area" localSheetId="39">'HOJAS DE HORA PROY.'!$A$1:$O$112</definedName>
    <definedName name="DatosExternos_1" localSheetId="35" hidden="1">'LNM3-0226-Punta Hermosa-Farah'!$A$1:$K$93</definedName>
    <definedName name="DatosExternos_1" localSheetId="32" hidden="1">'LNX2 - 0226 -San Borja-ENCISO'!$A$1:$K$67</definedName>
    <definedName name="DatosExternos_1" localSheetId="31" hidden="1">'MH-DF - 0226 - Surquillo-Mi (2)'!$A$1:$K$21</definedName>
    <definedName name="DatosExternos_1" localSheetId="28" hidden="1">'MH-DF - 0226 - Surquillo-Mirtha'!$A$1:$K$20</definedName>
    <definedName name="DatosExternos_1" localSheetId="27" hidden="1">'MH-ESTRU-LAM5-0226-Surqu-Mirtha'!$A$1:$K$88</definedName>
    <definedName name="DatosExternos_1" localSheetId="23" hidden="1">'MH-ESTRU-ONM7 - SMP - Remo Mele'!$A$1:$K$48</definedName>
    <definedName name="DatosExternos_1" localSheetId="21" hidden="1">'MH-LAM4 -1225-San Miguel-Antoni'!$A$1:$K$23</definedName>
    <definedName name="DatosExternos_1" localSheetId="34" hidden="1">'MH-LMM5-La Victoria-Carmen Baq'!$A$1:$K$6</definedName>
    <definedName name="DatosExternos_1" localSheetId="22" hidden="1">'MH-LNM10-0425-San Bartolo-Tafur'!$A$1:$K$12</definedName>
    <definedName name="DatosExternos_1" localSheetId="16" hidden="1">'MH-LNM11_0925-PUEBLO LIBRE-TAF'!$A$1:$K$8</definedName>
    <definedName name="DatosExternos_1" localSheetId="29" hidden="1">'MH-LNM5 - 0226 - SJL - MONTERO'!$A$1:$K$73</definedName>
    <definedName name="DatosExternos_1" localSheetId="30" hidden="1">'MH-LNM5 - 0226 - SJL - MONTERO '!$A$1:$K$34</definedName>
    <definedName name="DatosExternos_1" localSheetId="11" hidden="1">'MH-LNM5 - San Miguel - Ing  Mar'!$A$1:$K$3</definedName>
    <definedName name="DatosExternos_1" localSheetId="14" hidden="1">'MH-LNM5_0925-CHORRILLOS-TAFUR'!$A$1:$K$14</definedName>
    <definedName name="DatosExternos_1" localSheetId="20" hidden="1">'MH-LNM5-0126-ChorrilosMatellini'!$A$1:$K$85</definedName>
    <definedName name="DatosExternos_1" localSheetId="13" hidden="1">'MH-LNM5-1025-Callao-CarlosCelis'!$A$1:$K$24</definedName>
    <definedName name="DatosExternos_1" localSheetId="9" hidden="1">'MH-LNM7 - 0925 - Cedros - Ninah'!$A$1:$K$25</definedName>
    <definedName name="DatosExternos_1" localSheetId="8" hidden="1">'MH-LNX1 - 0325 - Breña - Juan C'!$A$1:$BG$6</definedName>
    <definedName name="DatosExternos_1" localSheetId="18" hidden="1">'MH-METRADO - 1225_ RIOJA- MAYUL'!$A$1:$H$3</definedName>
    <definedName name="DatosExternos_1" localSheetId="17" hidden="1">'MH-METRADO_0525 - SAN ISIDROCEL'!$A$1:$K$3</definedName>
    <definedName name="DatosExternos_1" localSheetId="10" hidden="1">'MH-ONC2_0725-SAN ANTONIO-PEDRO'!$A$1:$K$17</definedName>
    <definedName name="DatosExternos_1" localSheetId="5" hidden="1">'MH-ONM3-1125-Jicamarca-Giovann'!$A$1:$K$20</definedName>
    <definedName name="DatosExternos_1" localSheetId="33" hidden="1">'MH-ONM5 - El Agustino - Cristia'!$A$1:$K$48</definedName>
    <definedName name="DatosExternos_1" localSheetId="19" hidden="1">'MH-ONM6-0126-ChorrillosMatellin'!$A$1:$H$43</definedName>
    <definedName name="DatosExternos_1" localSheetId="38" hidden="1">'MH-ONX7 - BREÑA - Eduardo Vara'!$A$1:$K$46</definedName>
    <definedName name="DatosExternos_1" localSheetId="4" hidden="1">'MH-ONX8 - 0825 - Breña - Dario'!$A$1:$K$19</definedName>
    <definedName name="DatosExternos_1" localSheetId="12" hidden="1">'MH-ORX5-1125-Surquillo-LuzSuare'!$A$1:$K$39</definedName>
    <definedName name="DatosExternos_1" localSheetId="15" hidden="1">'MH-Punto Marisco-Surquillo-TAFU'!$A$1:$H$5</definedName>
    <definedName name="DatosExternos_1" localSheetId="3" hidden="1">'MP-0525 - Surco - Arq  Edin'!$A$1:$K$58</definedName>
    <definedName name="DatosExternos_1" localSheetId="25" hidden="1">'MP-LAM4 -0226- ATE -Maria'!$A$1:$K$76</definedName>
    <definedName name="DatosExternos_1" localSheetId="24" hidden="1">'MP-OAM4 -0226- ATE -Maria'!$A$1:$K$43</definedName>
    <definedName name="DatosExternos_1" localSheetId="26" hidden="1">'MP-ONM5-0226- Breña-Ysidro'!$A$1:$K$57</definedName>
    <definedName name="DatosExternos_2" localSheetId="2" hidden="1">'MH-DFM4-0226-Pueblo Libre-Silvi'!$A$1:$K$21</definedName>
    <definedName name="DatosExternos_2" localSheetId="7" hidden="1">'MH-LNM5_0425-SAN MIGUEL-CAR'!$A$1:$K$24</definedName>
    <definedName name="DatosExternos_2" localSheetId="37" hidden="1">'MH-ONM7 - 0925-Cedros-Ninahuanc'!$A$1:$K$42</definedName>
    <definedName name="DatosExternos_3" localSheetId="6" hidden="1">'MH-LNC2-Cieneguilla-Sanny &amp; Bry'!$A$1:$K$24</definedName>
    <definedName name="DatosExternos_3" localSheetId="36" hidden="1">'MH-LNM7 - San Miguel-Wendy Mart'!$A$1:$K$84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/>
  <c r="I112" i="2"/>
  <c r="H112" i="2"/>
  <c r="G112" i="2"/>
  <c r="F112" i="2"/>
  <c r="E112" i="2"/>
  <c r="D112" i="2"/>
  <c r="C112" i="2"/>
  <c r="I111" i="2"/>
  <c r="H111" i="2"/>
  <c r="G111" i="2"/>
  <c r="F111" i="2"/>
  <c r="E111" i="2"/>
  <c r="D111" i="2"/>
  <c r="C111" i="2"/>
  <c r="I110" i="2"/>
  <c r="H110" i="2"/>
  <c r="G110" i="2"/>
  <c r="F110" i="2"/>
  <c r="E110" i="2"/>
  <c r="D110" i="2"/>
  <c r="C110" i="2"/>
  <c r="I109" i="2"/>
  <c r="H109" i="2"/>
  <c r="G109" i="2"/>
  <c r="F109" i="2"/>
  <c r="E109" i="2"/>
  <c r="D109" i="2"/>
  <c r="C109" i="2"/>
  <c r="I108" i="2"/>
  <c r="H108" i="2"/>
  <c r="G108" i="2"/>
  <c r="F108" i="2"/>
  <c r="E108" i="2"/>
  <c r="D108" i="2"/>
  <c r="C108" i="2"/>
  <c r="I107" i="2"/>
  <c r="H107" i="2"/>
  <c r="G107" i="2"/>
  <c r="F107" i="2"/>
  <c r="E107" i="2"/>
  <c r="D107" i="2"/>
  <c r="C107" i="2"/>
  <c r="I106" i="2"/>
  <c r="H106" i="2"/>
  <c r="G106" i="2"/>
  <c r="F106" i="2"/>
  <c r="E106" i="2"/>
  <c r="D106" i="2"/>
  <c r="C106" i="2"/>
  <c r="I105" i="2"/>
  <c r="H105" i="2"/>
  <c r="G105" i="2"/>
  <c r="F105" i="2"/>
  <c r="E105" i="2"/>
  <c r="D105" i="2"/>
  <c r="C105" i="2"/>
  <c r="I104" i="2"/>
  <c r="H104" i="2"/>
  <c r="G104" i="2"/>
  <c r="F104" i="2"/>
  <c r="E104" i="2"/>
  <c r="D104" i="2"/>
  <c r="C104" i="2"/>
  <c r="I103" i="2"/>
  <c r="H103" i="2"/>
  <c r="G103" i="2"/>
  <c r="F103" i="2"/>
  <c r="E103" i="2"/>
  <c r="D103" i="2"/>
  <c r="C103" i="2"/>
  <c r="I102" i="2"/>
  <c r="H102" i="2"/>
  <c r="G102" i="2"/>
  <c r="F102" i="2"/>
  <c r="E102" i="2"/>
  <c r="D102" i="2"/>
  <c r="C102" i="2"/>
  <c r="I101" i="2"/>
  <c r="H101" i="2"/>
  <c r="G101" i="2"/>
  <c r="F101" i="2"/>
  <c r="E101" i="2"/>
  <c r="D101" i="2"/>
  <c r="C101" i="2"/>
  <c r="I100" i="2"/>
  <c r="H100" i="2"/>
  <c r="G100" i="2"/>
  <c r="F100" i="2"/>
  <c r="E100" i="2"/>
  <c r="D100" i="2"/>
  <c r="C100" i="2"/>
  <c r="I99" i="2"/>
  <c r="H99" i="2"/>
  <c r="G99" i="2"/>
  <c r="F99" i="2"/>
  <c r="E99" i="2"/>
  <c r="D99" i="2"/>
  <c r="C99" i="2"/>
  <c r="I98" i="2"/>
  <c r="H98" i="2"/>
  <c r="G98" i="2"/>
  <c r="F98" i="2"/>
  <c r="E98" i="2"/>
  <c r="D98" i="2"/>
  <c r="C98" i="2"/>
  <c r="A105" i="2"/>
  <c r="A104" i="2"/>
  <c r="A103" i="2"/>
  <c r="A102" i="2"/>
  <c r="A110" i="2"/>
  <c r="A109" i="2"/>
  <c r="A108" i="2"/>
  <c r="A111" i="2"/>
  <c r="A112" i="2"/>
  <c r="A107" i="2"/>
  <c r="A106" i="2"/>
  <c r="A100" i="2"/>
  <c r="A101" i="2"/>
  <c r="A99" i="2"/>
  <c r="A98" i="2"/>
  <c r="K110" i="2" l="1"/>
  <c r="K108" i="2"/>
  <c r="K102" i="2"/>
  <c r="K111" i="2"/>
  <c r="K103" i="2"/>
  <c r="K105" i="2"/>
  <c r="K104" i="2"/>
  <c r="K109" i="2"/>
  <c r="K112" i="2"/>
  <c r="K106" i="2"/>
  <c r="K107" i="2"/>
  <c r="I64" i="2"/>
  <c r="H64" i="2"/>
  <c r="G64" i="2"/>
  <c r="F64" i="2"/>
  <c r="E64" i="2"/>
  <c r="D64" i="2"/>
  <c r="C64" i="2"/>
  <c r="I63" i="2"/>
  <c r="H63" i="2"/>
  <c r="G63" i="2"/>
  <c r="F63" i="2"/>
  <c r="E63" i="2"/>
  <c r="D63" i="2"/>
  <c r="C63" i="2"/>
  <c r="I62" i="2"/>
  <c r="H62" i="2"/>
  <c r="G62" i="2"/>
  <c r="F62" i="2"/>
  <c r="E62" i="2"/>
  <c r="D62" i="2"/>
  <c r="C62" i="2"/>
  <c r="I61" i="2"/>
  <c r="H61" i="2"/>
  <c r="G61" i="2"/>
  <c r="F61" i="2"/>
  <c r="E61" i="2"/>
  <c r="D61" i="2"/>
  <c r="C61" i="2"/>
  <c r="I60" i="2"/>
  <c r="H60" i="2"/>
  <c r="G60" i="2"/>
  <c r="F60" i="2"/>
  <c r="E60" i="2"/>
  <c r="D60" i="2"/>
  <c r="C60" i="2"/>
  <c r="I59" i="2"/>
  <c r="H59" i="2"/>
  <c r="G59" i="2"/>
  <c r="F59" i="2"/>
  <c r="E59" i="2"/>
  <c r="D59" i="2"/>
  <c r="C59" i="2"/>
  <c r="I58" i="2"/>
  <c r="H58" i="2"/>
  <c r="G58" i="2"/>
  <c r="F58" i="2"/>
  <c r="E58" i="2"/>
  <c r="D58" i="2"/>
  <c r="C58" i="2"/>
  <c r="K63" i="2" l="1"/>
  <c r="K64" i="2"/>
  <c r="K62" i="2"/>
  <c r="K61" i="2"/>
  <c r="K60" i="2"/>
  <c r="K59" i="2"/>
  <c r="K58" i="2"/>
  <c r="H59" i="9"/>
  <c r="I9" i="2" l="1"/>
  <c r="D3" i="2" l="1"/>
  <c r="E3" i="2"/>
  <c r="F3" i="2"/>
  <c r="G3" i="2"/>
  <c r="H3" i="2"/>
  <c r="I3" i="2"/>
  <c r="C3" i="2"/>
  <c r="E2" i="2"/>
  <c r="F2" i="2"/>
  <c r="G2" i="2"/>
  <c r="H2" i="2"/>
  <c r="I2" i="2"/>
  <c r="D2" i="2"/>
  <c r="C2" i="2"/>
  <c r="A3" i="2"/>
  <c r="A2" i="2"/>
  <c r="I57" i="2" l="1"/>
  <c r="H57" i="2"/>
  <c r="G57" i="2"/>
  <c r="F57" i="2"/>
  <c r="E57" i="2"/>
  <c r="D57" i="2"/>
  <c r="C57" i="2"/>
  <c r="I56" i="2"/>
  <c r="H56" i="2"/>
  <c r="G56" i="2"/>
  <c r="F56" i="2"/>
  <c r="E56" i="2"/>
  <c r="D56" i="2"/>
  <c r="C56" i="2"/>
  <c r="I55" i="2"/>
  <c r="H55" i="2"/>
  <c r="G55" i="2"/>
  <c r="F55" i="2"/>
  <c r="E55" i="2"/>
  <c r="D55" i="2"/>
  <c r="C55" i="2"/>
  <c r="I54" i="2"/>
  <c r="H54" i="2"/>
  <c r="G54" i="2"/>
  <c r="F54" i="2"/>
  <c r="E54" i="2"/>
  <c r="D54" i="2"/>
  <c r="C54" i="2"/>
  <c r="I53" i="2"/>
  <c r="H53" i="2"/>
  <c r="G53" i="2"/>
  <c r="F53" i="2"/>
  <c r="E53" i="2"/>
  <c r="D53" i="2"/>
  <c r="C53" i="2"/>
  <c r="I52" i="2"/>
  <c r="H52" i="2"/>
  <c r="G52" i="2"/>
  <c r="F52" i="2"/>
  <c r="E52" i="2"/>
  <c r="D52" i="2"/>
  <c r="C52" i="2"/>
  <c r="I51" i="2"/>
  <c r="H51" i="2"/>
  <c r="G51" i="2"/>
  <c r="F51" i="2"/>
  <c r="E51" i="2"/>
  <c r="D51" i="2"/>
  <c r="C51" i="2"/>
  <c r="I50" i="2"/>
  <c r="H50" i="2"/>
  <c r="G50" i="2"/>
  <c r="F50" i="2"/>
  <c r="E50" i="2"/>
  <c r="D50" i="2"/>
  <c r="C50" i="2"/>
  <c r="I49" i="2"/>
  <c r="H49" i="2"/>
  <c r="G49" i="2"/>
  <c r="F49" i="2"/>
  <c r="E49" i="2"/>
  <c r="D49" i="2"/>
  <c r="C49" i="2"/>
  <c r="I48" i="2"/>
  <c r="H48" i="2"/>
  <c r="G48" i="2"/>
  <c r="F48" i="2"/>
  <c r="E48" i="2"/>
  <c r="D48" i="2"/>
  <c r="C48" i="2"/>
  <c r="I47" i="2"/>
  <c r="H47" i="2"/>
  <c r="G47" i="2"/>
  <c r="F47" i="2"/>
  <c r="E47" i="2"/>
  <c r="D47" i="2"/>
  <c r="C47" i="2"/>
  <c r="I46" i="2"/>
  <c r="H46" i="2"/>
  <c r="G46" i="2"/>
  <c r="F46" i="2"/>
  <c r="E46" i="2"/>
  <c r="D46" i="2"/>
  <c r="C46" i="2"/>
  <c r="I45" i="2"/>
  <c r="H45" i="2"/>
  <c r="G45" i="2"/>
  <c r="F45" i="2"/>
  <c r="E45" i="2"/>
  <c r="D45" i="2"/>
  <c r="C45" i="2"/>
  <c r="I44" i="2"/>
  <c r="H44" i="2"/>
  <c r="G44" i="2"/>
  <c r="F44" i="2"/>
  <c r="E44" i="2"/>
  <c r="D44" i="2"/>
  <c r="C44" i="2"/>
  <c r="I43" i="2"/>
  <c r="H43" i="2"/>
  <c r="G43" i="2"/>
  <c r="F43" i="2"/>
  <c r="E43" i="2"/>
  <c r="D43" i="2"/>
  <c r="C43" i="2"/>
  <c r="I42" i="2"/>
  <c r="H42" i="2"/>
  <c r="G42" i="2"/>
  <c r="F42" i="2"/>
  <c r="E42" i="2"/>
  <c r="D42" i="2"/>
  <c r="C42" i="2"/>
  <c r="I41" i="2"/>
  <c r="H41" i="2"/>
  <c r="G41" i="2"/>
  <c r="F41" i="2"/>
  <c r="E41" i="2"/>
  <c r="D41" i="2"/>
  <c r="C41" i="2"/>
  <c r="I40" i="2"/>
  <c r="H40" i="2"/>
  <c r="G40" i="2"/>
  <c r="F40" i="2"/>
  <c r="E40" i="2"/>
  <c r="D40" i="2"/>
  <c r="C40" i="2"/>
  <c r="I39" i="2"/>
  <c r="H39" i="2"/>
  <c r="G39" i="2"/>
  <c r="F39" i="2"/>
  <c r="E39" i="2"/>
  <c r="D39" i="2"/>
  <c r="C39" i="2"/>
  <c r="I38" i="2"/>
  <c r="H38" i="2"/>
  <c r="G38" i="2"/>
  <c r="F38" i="2"/>
  <c r="E38" i="2"/>
  <c r="D38" i="2"/>
  <c r="C38" i="2"/>
  <c r="I37" i="2"/>
  <c r="H37" i="2"/>
  <c r="G37" i="2"/>
  <c r="F37" i="2"/>
  <c r="E37" i="2"/>
  <c r="D37" i="2"/>
  <c r="C37" i="2"/>
  <c r="I36" i="2"/>
  <c r="H36" i="2"/>
  <c r="G36" i="2"/>
  <c r="F36" i="2"/>
  <c r="E36" i="2"/>
  <c r="D36" i="2"/>
  <c r="C36" i="2"/>
  <c r="I35" i="2"/>
  <c r="H35" i="2"/>
  <c r="G35" i="2"/>
  <c r="F35" i="2"/>
  <c r="E35" i="2"/>
  <c r="D35" i="2"/>
  <c r="C35" i="2"/>
  <c r="I34" i="2"/>
  <c r="H34" i="2"/>
  <c r="G34" i="2"/>
  <c r="F34" i="2"/>
  <c r="E34" i="2"/>
  <c r="D34" i="2"/>
  <c r="C34" i="2"/>
  <c r="I33" i="2"/>
  <c r="H33" i="2"/>
  <c r="G33" i="2"/>
  <c r="F33" i="2"/>
  <c r="E33" i="2"/>
  <c r="D33" i="2"/>
  <c r="C33" i="2"/>
  <c r="I32" i="2"/>
  <c r="H32" i="2"/>
  <c r="G32" i="2"/>
  <c r="F32" i="2"/>
  <c r="E32" i="2"/>
  <c r="D32" i="2"/>
  <c r="C32" i="2"/>
  <c r="I31" i="2"/>
  <c r="H31" i="2"/>
  <c r="G31" i="2"/>
  <c r="F31" i="2"/>
  <c r="E31" i="2"/>
  <c r="D31" i="2"/>
  <c r="C31" i="2"/>
  <c r="I30" i="2"/>
  <c r="H30" i="2"/>
  <c r="G30" i="2"/>
  <c r="F30" i="2"/>
  <c r="E30" i="2"/>
  <c r="D30" i="2"/>
  <c r="C30" i="2"/>
  <c r="I29" i="2"/>
  <c r="H29" i="2"/>
  <c r="G29" i="2"/>
  <c r="F29" i="2"/>
  <c r="E29" i="2"/>
  <c r="D29" i="2"/>
  <c r="C29" i="2"/>
  <c r="I28" i="2"/>
  <c r="H28" i="2"/>
  <c r="G28" i="2"/>
  <c r="F28" i="2"/>
  <c r="E28" i="2"/>
  <c r="D28" i="2"/>
  <c r="C28" i="2"/>
  <c r="I27" i="2"/>
  <c r="H27" i="2"/>
  <c r="G27" i="2"/>
  <c r="F27" i="2"/>
  <c r="E27" i="2"/>
  <c r="D27" i="2"/>
  <c r="C27" i="2"/>
  <c r="I26" i="2"/>
  <c r="H26" i="2"/>
  <c r="G26" i="2"/>
  <c r="F26" i="2"/>
  <c r="E26" i="2"/>
  <c r="D26" i="2"/>
  <c r="C26" i="2"/>
  <c r="I25" i="2"/>
  <c r="H25" i="2"/>
  <c r="G25" i="2"/>
  <c r="F25" i="2"/>
  <c r="E25" i="2"/>
  <c r="D25" i="2"/>
  <c r="C25" i="2"/>
  <c r="I24" i="2"/>
  <c r="H24" i="2"/>
  <c r="G24" i="2"/>
  <c r="F24" i="2"/>
  <c r="E24" i="2"/>
  <c r="D24" i="2"/>
  <c r="C24" i="2"/>
  <c r="I23" i="2"/>
  <c r="H23" i="2"/>
  <c r="G23" i="2"/>
  <c r="F23" i="2"/>
  <c r="E23" i="2"/>
  <c r="D23" i="2"/>
  <c r="C23" i="2"/>
  <c r="I22" i="2"/>
  <c r="H22" i="2"/>
  <c r="G22" i="2"/>
  <c r="F22" i="2"/>
  <c r="E22" i="2"/>
  <c r="D22" i="2"/>
  <c r="C22" i="2"/>
  <c r="I21" i="2"/>
  <c r="H21" i="2"/>
  <c r="G21" i="2"/>
  <c r="F21" i="2"/>
  <c r="E21" i="2"/>
  <c r="D21" i="2"/>
  <c r="C21" i="2"/>
  <c r="I20" i="2"/>
  <c r="H20" i="2"/>
  <c r="G20" i="2"/>
  <c r="F20" i="2"/>
  <c r="E20" i="2"/>
  <c r="D20" i="2"/>
  <c r="C20" i="2"/>
  <c r="I19" i="2"/>
  <c r="H19" i="2"/>
  <c r="G19" i="2"/>
  <c r="F19" i="2"/>
  <c r="E19" i="2"/>
  <c r="D19" i="2"/>
  <c r="C19" i="2"/>
  <c r="I18" i="2"/>
  <c r="H18" i="2"/>
  <c r="G18" i="2"/>
  <c r="F18" i="2"/>
  <c r="E18" i="2"/>
  <c r="D18" i="2"/>
  <c r="C18" i="2"/>
  <c r="I17" i="2"/>
  <c r="H17" i="2"/>
  <c r="G17" i="2"/>
  <c r="F17" i="2"/>
  <c r="E17" i="2"/>
  <c r="D17" i="2"/>
  <c r="C17" i="2"/>
  <c r="I16" i="2"/>
  <c r="H16" i="2"/>
  <c r="G16" i="2"/>
  <c r="F16" i="2"/>
  <c r="E16" i="2"/>
  <c r="D16" i="2"/>
  <c r="C16" i="2"/>
  <c r="I15" i="2"/>
  <c r="H15" i="2"/>
  <c r="G15" i="2"/>
  <c r="F15" i="2"/>
  <c r="E15" i="2"/>
  <c r="D15" i="2"/>
  <c r="C15" i="2"/>
  <c r="I14" i="2"/>
  <c r="H14" i="2"/>
  <c r="G14" i="2"/>
  <c r="F14" i="2"/>
  <c r="E14" i="2"/>
  <c r="D14" i="2"/>
  <c r="C14" i="2"/>
  <c r="I13" i="2"/>
  <c r="H13" i="2"/>
  <c r="G13" i="2"/>
  <c r="F13" i="2"/>
  <c r="E13" i="2"/>
  <c r="D13" i="2"/>
  <c r="C13" i="2"/>
  <c r="I12" i="2"/>
  <c r="H12" i="2"/>
  <c r="G12" i="2"/>
  <c r="F12" i="2"/>
  <c r="E12" i="2"/>
  <c r="D12" i="2"/>
  <c r="C12" i="2"/>
  <c r="I11" i="2"/>
  <c r="H11" i="2"/>
  <c r="G11" i="2"/>
  <c r="F11" i="2"/>
  <c r="E11" i="2"/>
  <c r="D11" i="2"/>
  <c r="C11" i="2"/>
  <c r="I10" i="2"/>
  <c r="H10" i="2"/>
  <c r="G10" i="2"/>
  <c r="F10" i="2"/>
  <c r="E10" i="2"/>
  <c r="D10" i="2"/>
  <c r="C10" i="2"/>
  <c r="H9" i="2"/>
  <c r="G9" i="2"/>
  <c r="F9" i="2"/>
  <c r="E9" i="2"/>
  <c r="D9" i="2"/>
  <c r="C9" i="2"/>
  <c r="I8" i="2"/>
  <c r="H8" i="2"/>
  <c r="G8" i="2"/>
  <c r="F8" i="2"/>
  <c r="E8" i="2"/>
  <c r="D8" i="2"/>
  <c r="C8" i="2"/>
  <c r="I7" i="2"/>
  <c r="H7" i="2"/>
  <c r="G7" i="2"/>
  <c r="F7" i="2"/>
  <c r="E7" i="2"/>
  <c r="D7" i="2"/>
  <c r="C7" i="2"/>
  <c r="I6" i="2"/>
  <c r="H6" i="2"/>
  <c r="G6" i="2"/>
  <c r="F6" i="2"/>
  <c r="E6" i="2"/>
  <c r="D6" i="2"/>
  <c r="C6" i="2"/>
  <c r="I5" i="2"/>
  <c r="H5" i="2"/>
  <c r="G5" i="2"/>
  <c r="F5" i="2"/>
  <c r="E5" i="2"/>
  <c r="D5" i="2"/>
  <c r="C5" i="2"/>
  <c r="I4" i="2"/>
  <c r="H4" i="2"/>
  <c r="G4" i="2"/>
  <c r="F4" i="2"/>
  <c r="E4" i="2"/>
  <c r="D4" i="2"/>
  <c r="C4" i="2"/>
  <c r="A25" i="2"/>
  <c r="I68" i="2"/>
  <c r="H68" i="2"/>
  <c r="G68" i="2"/>
  <c r="F68" i="2"/>
  <c r="E68" i="2"/>
  <c r="D68" i="2"/>
  <c r="C68" i="2"/>
  <c r="A68" i="2"/>
  <c r="E92" i="2"/>
  <c r="I97" i="2"/>
  <c r="H97" i="2"/>
  <c r="G97" i="2"/>
  <c r="F97" i="2"/>
  <c r="E97" i="2"/>
  <c r="D97" i="2"/>
  <c r="C97" i="2"/>
  <c r="I96" i="2"/>
  <c r="H96" i="2"/>
  <c r="G96" i="2"/>
  <c r="F96" i="2"/>
  <c r="E96" i="2"/>
  <c r="D96" i="2"/>
  <c r="C96" i="2"/>
  <c r="I95" i="2"/>
  <c r="H95" i="2"/>
  <c r="G95" i="2"/>
  <c r="F95" i="2"/>
  <c r="E95" i="2"/>
  <c r="D95" i="2"/>
  <c r="C95" i="2"/>
  <c r="I72" i="2"/>
  <c r="H72" i="2"/>
  <c r="G72" i="2"/>
  <c r="F72" i="2"/>
  <c r="E72" i="2"/>
  <c r="D72" i="2"/>
  <c r="C72" i="2"/>
  <c r="I71" i="2"/>
  <c r="H71" i="2"/>
  <c r="G71" i="2"/>
  <c r="F71" i="2"/>
  <c r="E71" i="2"/>
  <c r="D71" i="2"/>
  <c r="C71" i="2"/>
  <c r="I70" i="2"/>
  <c r="H70" i="2"/>
  <c r="G70" i="2"/>
  <c r="F70" i="2"/>
  <c r="E70" i="2"/>
  <c r="D70" i="2"/>
  <c r="C70" i="2"/>
  <c r="I69" i="2"/>
  <c r="H69" i="2"/>
  <c r="G69" i="2"/>
  <c r="F69" i="2"/>
  <c r="E69" i="2"/>
  <c r="D69" i="2"/>
  <c r="C69" i="2"/>
  <c r="I67" i="2"/>
  <c r="H67" i="2"/>
  <c r="G67" i="2"/>
  <c r="F67" i="2"/>
  <c r="E67" i="2"/>
  <c r="D67" i="2"/>
  <c r="C67" i="2"/>
  <c r="I66" i="2"/>
  <c r="H66" i="2"/>
  <c r="G66" i="2"/>
  <c r="F66" i="2"/>
  <c r="E66" i="2"/>
  <c r="D66" i="2"/>
  <c r="C66" i="2"/>
  <c r="I65" i="2"/>
  <c r="H65" i="2"/>
  <c r="G65" i="2"/>
  <c r="F65" i="2"/>
  <c r="E65" i="2"/>
  <c r="D65" i="2"/>
  <c r="C65" i="2"/>
  <c r="I75" i="2"/>
  <c r="H75" i="2"/>
  <c r="G75" i="2"/>
  <c r="F75" i="2"/>
  <c r="E75" i="2"/>
  <c r="D75" i="2"/>
  <c r="C75" i="2"/>
  <c r="I74" i="2"/>
  <c r="H74" i="2"/>
  <c r="G74" i="2"/>
  <c r="F74" i="2"/>
  <c r="E74" i="2"/>
  <c r="D74" i="2"/>
  <c r="C74" i="2"/>
  <c r="I73" i="2"/>
  <c r="H73" i="2"/>
  <c r="G73" i="2"/>
  <c r="F73" i="2"/>
  <c r="E73" i="2"/>
  <c r="D73" i="2"/>
  <c r="C73" i="2"/>
  <c r="I81" i="2"/>
  <c r="H81" i="2"/>
  <c r="G81" i="2"/>
  <c r="F81" i="2"/>
  <c r="E81" i="2"/>
  <c r="D81" i="2"/>
  <c r="C81" i="2"/>
  <c r="I80" i="2"/>
  <c r="H80" i="2"/>
  <c r="G80" i="2"/>
  <c r="F80" i="2"/>
  <c r="E80" i="2"/>
  <c r="D80" i="2"/>
  <c r="C80" i="2"/>
  <c r="I79" i="2"/>
  <c r="H79" i="2"/>
  <c r="G79" i="2"/>
  <c r="F79" i="2"/>
  <c r="E79" i="2"/>
  <c r="D79" i="2"/>
  <c r="C79" i="2"/>
  <c r="I78" i="2"/>
  <c r="H78" i="2"/>
  <c r="G78" i="2"/>
  <c r="F78" i="2"/>
  <c r="E78" i="2"/>
  <c r="D78" i="2"/>
  <c r="C78" i="2"/>
  <c r="I77" i="2"/>
  <c r="H77" i="2"/>
  <c r="G77" i="2"/>
  <c r="F77" i="2"/>
  <c r="E77" i="2"/>
  <c r="D77" i="2"/>
  <c r="C77" i="2"/>
  <c r="I76" i="2"/>
  <c r="H76" i="2"/>
  <c r="G76" i="2"/>
  <c r="F76" i="2"/>
  <c r="E76" i="2"/>
  <c r="D76" i="2"/>
  <c r="C76" i="2"/>
  <c r="I84" i="2"/>
  <c r="H84" i="2"/>
  <c r="G84" i="2"/>
  <c r="F84" i="2"/>
  <c r="E84" i="2"/>
  <c r="D84" i="2"/>
  <c r="C84" i="2"/>
  <c r="I83" i="2"/>
  <c r="H83" i="2"/>
  <c r="G83" i="2"/>
  <c r="F83" i="2"/>
  <c r="E83" i="2"/>
  <c r="D83" i="2"/>
  <c r="C83" i="2"/>
  <c r="I82" i="2"/>
  <c r="H82" i="2"/>
  <c r="G82" i="2"/>
  <c r="F82" i="2"/>
  <c r="E82" i="2"/>
  <c r="D82" i="2"/>
  <c r="C82" i="2"/>
  <c r="I87" i="2"/>
  <c r="H87" i="2"/>
  <c r="G87" i="2"/>
  <c r="F87" i="2"/>
  <c r="E87" i="2"/>
  <c r="D87" i="2"/>
  <c r="C87" i="2"/>
  <c r="I86" i="2"/>
  <c r="H86" i="2"/>
  <c r="G86" i="2"/>
  <c r="F86" i="2"/>
  <c r="E86" i="2"/>
  <c r="D86" i="2"/>
  <c r="C86" i="2"/>
  <c r="I85" i="2"/>
  <c r="H85" i="2"/>
  <c r="G85" i="2"/>
  <c r="F85" i="2"/>
  <c r="E85" i="2"/>
  <c r="D85" i="2"/>
  <c r="C85" i="2"/>
  <c r="C91" i="2"/>
  <c r="D91" i="2"/>
  <c r="E91" i="2"/>
  <c r="F91" i="2"/>
  <c r="G91" i="2"/>
  <c r="H91" i="2"/>
  <c r="I91" i="2"/>
  <c r="C92" i="2"/>
  <c r="D92" i="2"/>
  <c r="F92" i="2"/>
  <c r="G92" i="2"/>
  <c r="H92" i="2"/>
  <c r="I92" i="2"/>
  <c r="C93" i="2"/>
  <c r="D93" i="2"/>
  <c r="E93" i="2"/>
  <c r="F93" i="2"/>
  <c r="G93" i="2"/>
  <c r="H93" i="2"/>
  <c r="I93" i="2"/>
  <c r="D94" i="2"/>
  <c r="E94" i="2"/>
  <c r="F94" i="2"/>
  <c r="G94" i="2"/>
  <c r="H94" i="2"/>
  <c r="I94" i="2"/>
  <c r="C89" i="2"/>
  <c r="C90" i="2"/>
  <c r="C94" i="2"/>
  <c r="C88" i="2"/>
  <c r="E88" i="2"/>
  <c r="F88" i="2"/>
  <c r="G88" i="2"/>
  <c r="H88" i="2"/>
  <c r="I88" i="2"/>
  <c r="D88" i="2"/>
  <c r="D89" i="2"/>
  <c r="E89" i="2"/>
  <c r="F89" i="2"/>
  <c r="G89" i="2"/>
  <c r="H89" i="2"/>
  <c r="I89" i="2"/>
  <c r="D90" i="2"/>
  <c r="E90" i="2"/>
  <c r="F90" i="2"/>
  <c r="G90" i="2"/>
  <c r="H90" i="2"/>
  <c r="I90" i="2"/>
  <c r="H28" i="1"/>
  <c r="C220" i="5" s="1"/>
  <c r="I28" i="1"/>
  <c r="D220" i="5" s="1"/>
  <c r="G28" i="1"/>
  <c r="B220" i="5" s="1"/>
  <c r="W837" i="5"/>
  <c r="V837" i="5"/>
  <c r="U837" i="5"/>
  <c r="T837" i="5"/>
  <c r="S837" i="5"/>
  <c r="R837" i="5"/>
  <c r="Q837" i="5"/>
  <c r="P837" i="5"/>
  <c r="O837" i="5"/>
  <c r="N837" i="5"/>
  <c r="M837" i="5"/>
  <c r="L837" i="5"/>
  <c r="K837" i="5"/>
  <c r="J837" i="5"/>
  <c r="I837" i="5"/>
  <c r="H837" i="5"/>
  <c r="G837" i="5"/>
  <c r="F837" i="5"/>
  <c r="E837" i="5"/>
  <c r="D837" i="5"/>
  <c r="W836" i="5"/>
  <c r="V836" i="5"/>
  <c r="U836" i="5"/>
  <c r="T836" i="5"/>
  <c r="S836" i="5"/>
  <c r="R836" i="5"/>
  <c r="Q836" i="5"/>
  <c r="P836" i="5"/>
  <c r="O836" i="5"/>
  <c r="N836" i="5"/>
  <c r="M836" i="5"/>
  <c r="L836" i="5"/>
  <c r="K836" i="5"/>
  <c r="J836" i="5"/>
  <c r="I836" i="5"/>
  <c r="H836" i="5"/>
  <c r="G836" i="5"/>
  <c r="F836" i="5"/>
  <c r="E836" i="5"/>
  <c r="D836" i="5"/>
  <c r="C836" i="5"/>
  <c r="B836" i="5"/>
  <c r="A84" i="2"/>
  <c r="A83" i="2"/>
  <c r="A82" i="2"/>
  <c r="A81" i="2"/>
  <c r="A80" i="2"/>
  <c r="A79" i="2"/>
  <c r="A78" i="2"/>
  <c r="A77" i="2"/>
  <c r="A76" i="2"/>
  <c r="A75" i="2"/>
  <c r="A74" i="2"/>
  <c r="A73" i="2"/>
  <c r="A69" i="2"/>
  <c r="A66" i="2"/>
  <c r="A67" i="2"/>
  <c r="A70" i="2"/>
  <c r="A71" i="2"/>
  <c r="A72" i="2"/>
  <c r="A65" i="2"/>
  <c r="A57" i="2"/>
  <c r="A56" i="2"/>
  <c r="A55" i="2"/>
  <c r="A54" i="2"/>
  <c r="A53" i="2"/>
  <c r="A52" i="2"/>
  <c r="A51" i="2"/>
  <c r="A50" i="2"/>
  <c r="A49" i="2"/>
  <c r="A48" i="2"/>
  <c r="A26" i="2"/>
  <c r="A27" i="2"/>
  <c r="A24" i="2"/>
  <c r="A12" i="2"/>
  <c r="A13" i="2"/>
  <c r="A14" i="2"/>
  <c r="A11" i="2"/>
  <c r="K100" i="2" l="1"/>
  <c r="K99" i="2"/>
  <c r="K101" i="2"/>
  <c r="K98" i="2"/>
  <c r="K25" i="2"/>
  <c r="K80" i="2"/>
  <c r="K97" i="2"/>
  <c r="K87" i="2"/>
  <c r="K74" i="2"/>
  <c r="K51" i="2"/>
  <c r="K75" i="2"/>
  <c r="K68" i="2"/>
  <c r="J28" i="1"/>
  <c r="E220" i="5" s="1"/>
  <c r="K67" i="2"/>
  <c r="K54" i="2"/>
  <c r="K84" i="2"/>
  <c r="K82" i="2"/>
  <c r="K95" i="2"/>
  <c r="K83" i="2"/>
  <c r="K91" i="2"/>
  <c r="K94" i="2"/>
  <c r="K55" i="2"/>
  <c r="K96" i="2"/>
  <c r="K92" i="2"/>
  <c r="K89" i="2"/>
  <c r="K81" i="2"/>
  <c r="K78" i="2"/>
  <c r="K88" i="2"/>
  <c r="K93" i="2"/>
  <c r="K86" i="2"/>
  <c r="K85" i="2"/>
  <c r="K79" i="2"/>
  <c r="K77" i="2"/>
  <c r="K76" i="2"/>
  <c r="K70" i="2"/>
  <c r="K69" i="2"/>
  <c r="K49" i="2"/>
  <c r="K73" i="2"/>
  <c r="K66" i="2"/>
  <c r="K65" i="2"/>
  <c r="K57" i="2"/>
  <c r="K50" i="2"/>
  <c r="K71" i="2"/>
  <c r="K72" i="2"/>
  <c r="K56" i="2"/>
  <c r="K53" i="2"/>
  <c r="K52" i="2"/>
  <c r="K48" i="2"/>
  <c r="K28" i="1" l="1"/>
  <c r="F220" i="5" s="1"/>
  <c r="E20" i="1"/>
  <c r="E9" i="1"/>
  <c r="E6" i="1"/>
  <c r="E28" i="1" s="1"/>
  <c r="E8" i="1"/>
  <c r="L28" i="1" l="1"/>
  <c r="G220" i="5" s="1"/>
  <c r="A16" i="2"/>
  <c r="E5" i="1"/>
  <c r="H24" i="1"/>
  <c r="C109" i="5" s="1"/>
  <c r="I24" i="1"/>
  <c r="D109" i="5" s="1"/>
  <c r="J24" i="1"/>
  <c r="E109" i="5" s="1"/>
  <c r="K24" i="1"/>
  <c r="F109" i="5" s="1"/>
  <c r="L24" i="1"/>
  <c r="G109" i="5" s="1"/>
  <c r="M24" i="1"/>
  <c r="H109" i="5" s="1"/>
  <c r="N24" i="1"/>
  <c r="I109" i="5" s="1"/>
  <c r="O24" i="1"/>
  <c r="J109" i="5" s="1"/>
  <c r="P24" i="1"/>
  <c r="K109" i="5" s="1"/>
  <c r="Q24" i="1"/>
  <c r="L109" i="5" s="1"/>
  <c r="R24" i="1"/>
  <c r="M109" i="5" s="1"/>
  <c r="S24" i="1"/>
  <c r="N109" i="5" s="1"/>
  <c r="T24" i="1"/>
  <c r="O109" i="5" s="1"/>
  <c r="U24" i="1"/>
  <c r="P109" i="5" s="1"/>
  <c r="V24" i="1"/>
  <c r="Q109" i="5" s="1"/>
  <c r="W24" i="1"/>
  <c r="R109" i="5" s="1"/>
  <c r="X24" i="1"/>
  <c r="S109" i="5" s="1"/>
  <c r="Y24" i="1"/>
  <c r="T109" i="5" s="1"/>
  <c r="Z24" i="1"/>
  <c r="U109" i="5" s="1"/>
  <c r="AA24" i="1"/>
  <c r="V109" i="5" s="1"/>
  <c r="AB24" i="1"/>
  <c r="W109" i="5" s="1"/>
  <c r="H25" i="1"/>
  <c r="C259" i="5" s="1"/>
  <c r="I25" i="1"/>
  <c r="D259" i="5" s="1"/>
  <c r="J25" i="1"/>
  <c r="E259" i="5" s="1"/>
  <c r="K25" i="1"/>
  <c r="F259" i="5" s="1"/>
  <c r="L25" i="1"/>
  <c r="G259" i="5" s="1"/>
  <c r="M25" i="1"/>
  <c r="H259" i="5" s="1"/>
  <c r="N25" i="1"/>
  <c r="I259" i="5" s="1"/>
  <c r="O25" i="1"/>
  <c r="J259" i="5" s="1"/>
  <c r="P25" i="1"/>
  <c r="K259" i="5" s="1"/>
  <c r="Q25" i="1"/>
  <c r="L259" i="5" s="1"/>
  <c r="R25" i="1"/>
  <c r="M259" i="5" s="1"/>
  <c r="S25" i="1"/>
  <c r="N259" i="5" s="1"/>
  <c r="T25" i="1"/>
  <c r="O259" i="5" s="1"/>
  <c r="U25" i="1"/>
  <c r="P259" i="5" s="1"/>
  <c r="V25" i="1"/>
  <c r="Q259" i="5" s="1"/>
  <c r="W25" i="1"/>
  <c r="R259" i="5" s="1"/>
  <c r="X25" i="1"/>
  <c r="S259" i="5" s="1"/>
  <c r="Y25" i="1"/>
  <c r="T259" i="5" s="1"/>
  <c r="Z25" i="1"/>
  <c r="U259" i="5" s="1"/>
  <c r="AA25" i="1"/>
  <c r="V259" i="5" s="1"/>
  <c r="H26" i="1"/>
  <c r="C146" i="5" s="1"/>
  <c r="I26" i="1"/>
  <c r="D146" i="5" s="1"/>
  <c r="J26" i="1"/>
  <c r="E146" i="5" s="1"/>
  <c r="K26" i="1"/>
  <c r="F146" i="5" s="1"/>
  <c r="L26" i="1"/>
  <c r="G146" i="5" s="1"/>
  <c r="M26" i="1"/>
  <c r="H146" i="5" s="1"/>
  <c r="N26" i="1"/>
  <c r="I146" i="5" s="1"/>
  <c r="O26" i="1"/>
  <c r="J146" i="5" s="1"/>
  <c r="P26" i="1"/>
  <c r="K146" i="5" s="1"/>
  <c r="Q26" i="1"/>
  <c r="L146" i="5" s="1"/>
  <c r="R26" i="1"/>
  <c r="M146" i="5" s="1"/>
  <c r="S26" i="1"/>
  <c r="N146" i="5" s="1"/>
  <c r="T26" i="1"/>
  <c r="O146" i="5" s="1"/>
  <c r="U26" i="1"/>
  <c r="P146" i="5" s="1"/>
  <c r="V26" i="1"/>
  <c r="Q146" i="5" s="1"/>
  <c r="W26" i="1"/>
  <c r="R146" i="5" s="1"/>
  <c r="X26" i="1"/>
  <c r="S146" i="5" s="1"/>
  <c r="Y26" i="1"/>
  <c r="T146" i="5" s="1"/>
  <c r="Z26" i="1"/>
  <c r="U146" i="5" s="1"/>
  <c r="AA26" i="1"/>
  <c r="V146" i="5" s="1"/>
  <c r="AB26" i="1"/>
  <c r="W146" i="5" s="1"/>
  <c r="H27" i="1"/>
  <c r="C183" i="5" s="1"/>
  <c r="I27" i="1"/>
  <c r="D183" i="5" s="1"/>
  <c r="J27" i="1"/>
  <c r="E183" i="5" s="1"/>
  <c r="K27" i="1"/>
  <c r="F183" i="5" s="1"/>
  <c r="L27" i="1"/>
  <c r="G183" i="5" s="1"/>
  <c r="M27" i="1"/>
  <c r="H183" i="5" s="1"/>
  <c r="N27" i="1"/>
  <c r="I183" i="5" s="1"/>
  <c r="O27" i="1"/>
  <c r="J183" i="5" s="1"/>
  <c r="P27" i="1"/>
  <c r="K183" i="5" s="1"/>
  <c r="Q27" i="1"/>
  <c r="L183" i="5" s="1"/>
  <c r="R27" i="1"/>
  <c r="M183" i="5" s="1"/>
  <c r="S27" i="1"/>
  <c r="N183" i="5" s="1"/>
  <c r="T27" i="1"/>
  <c r="O183" i="5" s="1"/>
  <c r="U27" i="1"/>
  <c r="P183" i="5" s="1"/>
  <c r="V27" i="1"/>
  <c r="Q183" i="5" s="1"/>
  <c r="W27" i="1"/>
  <c r="R183" i="5" s="1"/>
  <c r="X27" i="1"/>
  <c r="S183" i="5" s="1"/>
  <c r="Y27" i="1"/>
  <c r="T183" i="5" s="1"/>
  <c r="Z27" i="1"/>
  <c r="U183" i="5" s="1"/>
  <c r="AA27" i="1"/>
  <c r="V183" i="5" s="1"/>
  <c r="AB27" i="1"/>
  <c r="W183" i="5" s="1"/>
  <c r="H29" i="1"/>
  <c r="C877" i="5" s="1"/>
  <c r="I29" i="1"/>
  <c r="D877" i="5" s="1"/>
  <c r="J29" i="1"/>
  <c r="E877" i="5" s="1"/>
  <c r="K29" i="1"/>
  <c r="F877" i="5" s="1"/>
  <c r="L29" i="1"/>
  <c r="G877" i="5" s="1"/>
  <c r="M29" i="1"/>
  <c r="H877" i="5" s="1"/>
  <c r="N29" i="1"/>
  <c r="I877" i="5" s="1"/>
  <c r="O29" i="1"/>
  <c r="J877" i="5" s="1"/>
  <c r="P29" i="1"/>
  <c r="K877" i="5" s="1"/>
  <c r="Q29" i="1"/>
  <c r="L877" i="5" s="1"/>
  <c r="R29" i="1"/>
  <c r="M877" i="5" s="1"/>
  <c r="S29" i="1"/>
  <c r="N877" i="5" s="1"/>
  <c r="T29" i="1"/>
  <c r="O877" i="5" s="1"/>
  <c r="U29" i="1"/>
  <c r="P877" i="5" s="1"/>
  <c r="V29" i="1"/>
  <c r="Q877" i="5" s="1"/>
  <c r="W29" i="1"/>
  <c r="R877" i="5" s="1"/>
  <c r="X29" i="1"/>
  <c r="S877" i="5" s="1"/>
  <c r="Y29" i="1"/>
  <c r="T877" i="5" s="1"/>
  <c r="Z29" i="1"/>
  <c r="U877" i="5" s="1"/>
  <c r="AA29" i="1"/>
  <c r="V877" i="5" s="1"/>
  <c r="AB29" i="1"/>
  <c r="W877" i="5" s="1"/>
  <c r="G29" i="1"/>
  <c r="B877" i="5" s="1"/>
  <c r="G27" i="1"/>
  <c r="B183" i="5" s="1"/>
  <c r="G26" i="1"/>
  <c r="B146" i="5" s="1"/>
  <c r="G25" i="1"/>
  <c r="B259" i="5" s="1"/>
  <c r="G24" i="1"/>
  <c r="B109" i="5" s="1"/>
  <c r="AB25" i="1"/>
  <c r="W259" i="5" s="1"/>
  <c r="H22" i="1"/>
  <c r="C35" i="5" s="1"/>
  <c r="I22" i="1"/>
  <c r="D35" i="5" s="1"/>
  <c r="J22" i="1"/>
  <c r="E35" i="5" s="1"/>
  <c r="K22" i="1"/>
  <c r="F35" i="5" s="1"/>
  <c r="L22" i="1"/>
  <c r="G35" i="5" s="1"/>
  <c r="M22" i="1"/>
  <c r="H35" i="5" s="1"/>
  <c r="T22" i="1"/>
  <c r="O35" i="5" s="1"/>
  <c r="U22" i="1"/>
  <c r="P35" i="5" s="1"/>
  <c r="V22" i="1"/>
  <c r="Q35" i="5" s="1"/>
  <c r="W22" i="1"/>
  <c r="R35" i="5" s="1"/>
  <c r="X22" i="1"/>
  <c r="S35" i="5" s="1"/>
  <c r="Y22" i="1"/>
  <c r="T35" i="5" s="1"/>
  <c r="Z22" i="1"/>
  <c r="U35" i="5" s="1"/>
  <c r="AA22" i="1"/>
  <c r="V35" i="5" s="1"/>
  <c r="AB22" i="1"/>
  <c r="W35" i="5" s="1"/>
  <c r="AB23" i="1"/>
  <c r="W72" i="5" s="1"/>
  <c r="AA23" i="1"/>
  <c r="V72" i="5" s="1"/>
  <c r="Z23" i="1"/>
  <c r="U72" i="5" s="1"/>
  <c r="Y23" i="1"/>
  <c r="T72" i="5" s="1"/>
  <c r="X23" i="1"/>
  <c r="S72" i="5" s="1"/>
  <c r="W23" i="1"/>
  <c r="R72" i="5" s="1"/>
  <c r="V23" i="1"/>
  <c r="Q72" i="5" s="1"/>
  <c r="U23" i="1"/>
  <c r="P72" i="5" s="1"/>
  <c r="T23" i="1"/>
  <c r="O72" i="5" s="1"/>
  <c r="S23" i="1"/>
  <c r="N72" i="5" s="1"/>
  <c r="R23" i="1"/>
  <c r="M72" i="5" s="1"/>
  <c r="Q23" i="1"/>
  <c r="L72" i="5" s="1"/>
  <c r="P23" i="1"/>
  <c r="K72" i="5" s="1"/>
  <c r="O23" i="1"/>
  <c r="J72" i="5" s="1"/>
  <c r="N23" i="1"/>
  <c r="I72" i="5" s="1"/>
  <c r="M23" i="1"/>
  <c r="H72" i="5" s="1"/>
  <c r="L23" i="1"/>
  <c r="G72" i="5" s="1"/>
  <c r="K23" i="1"/>
  <c r="F72" i="5" s="1"/>
  <c r="J23" i="1"/>
  <c r="E72" i="5" s="1"/>
  <c r="I23" i="1"/>
  <c r="D72" i="5" s="1"/>
  <c r="H23" i="1"/>
  <c r="C72" i="5" s="1"/>
  <c r="G23" i="1"/>
  <c r="B72" i="5" s="1"/>
  <c r="G22" i="1"/>
  <c r="B35" i="5" s="1"/>
  <c r="E3" i="1"/>
  <c r="M28" i="1" l="1"/>
  <c r="H220" i="5" s="1"/>
  <c r="K16" i="2"/>
  <c r="N22" i="1" l="1"/>
  <c r="I35" i="5" s="1"/>
  <c r="N28" i="1"/>
  <c r="I220" i="5" s="1"/>
  <c r="O22" i="1" l="1"/>
  <c r="J35" i="5" s="1"/>
  <c r="O28" i="1"/>
  <c r="J220" i="5" s="1"/>
  <c r="A47" i="2"/>
  <c r="A46" i="2"/>
  <c r="A45" i="2"/>
  <c r="A44" i="2"/>
  <c r="K45" i="2"/>
  <c r="A43" i="2"/>
  <c r="A42" i="2"/>
  <c r="P22" i="1" l="1"/>
  <c r="K35" i="5" s="1"/>
  <c r="P28" i="1"/>
  <c r="K220" i="5" s="1"/>
  <c r="K43" i="2"/>
  <c r="K46" i="2"/>
  <c r="K47" i="2"/>
  <c r="K44" i="2"/>
  <c r="K42" i="2"/>
  <c r="A41" i="2"/>
  <c r="A40" i="2"/>
  <c r="A39" i="2"/>
  <c r="A38" i="2"/>
  <c r="Q22" i="1" l="1"/>
  <c r="L35" i="5" s="1"/>
  <c r="Q28" i="1"/>
  <c r="L220" i="5" s="1"/>
  <c r="K38" i="2"/>
  <c r="K41" i="2"/>
  <c r="K39" i="2"/>
  <c r="K40" i="2"/>
  <c r="R22" i="1" l="1"/>
  <c r="M35" i="5" s="1"/>
  <c r="R28" i="1"/>
  <c r="M220" i="5" s="1"/>
  <c r="A37" i="2"/>
  <c r="S22" i="1" l="1"/>
  <c r="N35" i="5" s="1"/>
  <c r="S28" i="1"/>
  <c r="N220" i="5" s="1"/>
  <c r="K37" i="2"/>
  <c r="T28" i="1" l="1"/>
  <c r="O220" i="5" s="1"/>
  <c r="A36" i="2"/>
  <c r="U28" i="1" l="1"/>
  <c r="P220" i="5" s="1"/>
  <c r="K36" i="2"/>
  <c r="V28" i="1" l="1"/>
  <c r="Q220" i="5" s="1"/>
  <c r="W28" i="1" l="1"/>
  <c r="R220" i="5" s="1"/>
  <c r="A35" i="2"/>
  <c r="A34" i="2"/>
  <c r="X28" i="1" l="1"/>
  <c r="S220" i="5" s="1"/>
  <c r="K34" i="2"/>
  <c r="K35" i="2"/>
  <c r="A32" i="2"/>
  <c r="A31" i="2"/>
  <c r="A33" i="2"/>
  <c r="A30" i="2"/>
  <c r="Y28" i="1" l="1"/>
  <c r="T220" i="5" s="1"/>
  <c r="K32" i="2"/>
  <c r="K30" i="2"/>
  <c r="K33" i="2"/>
  <c r="K31" i="2"/>
  <c r="A29" i="2"/>
  <c r="Z28" i="1" l="1"/>
  <c r="U220" i="5" s="1"/>
  <c r="K29" i="2"/>
  <c r="K28" i="2"/>
  <c r="A28" i="2"/>
  <c r="AA28" i="1" l="1"/>
  <c r="V220" i="5" s="1"/>
  <c r="AB28" i="1"/>
  <c r="W220" i="5" s="1"/>
  <c r="K24" i="2"/>
  <c r="K26" i="2"/>
  <c r="K27" i="2"/>
  <c r="K23" i="2" l="1"/>
  <c r="K22" i="2"/>
  <c r="K21" i="2"/>
  <c r="K20" i="2"/>
  <c r="K17" i="2" l="1"/>
  <c r="K18" i="2"/>
  <c r="K19" i="2"/>
  <c r="A19" i="2"/>
  <c r="A18" i="2"/>
  <c r="A17" i="2"/>
  <c r="A15" i="2" l="1"/>
  <c r="K15" i="2" l="1"/>
  <c r="K11" i="2" l="1"/>
  <c r="K14" i="2"/>
  <c r="K13" i="2"/>
  <c r="K12" i="2"/>
  <c r="A8" i="2" l="1"/>
  <c r="A9" i="2"/>
  <c r="A10" i="2"/>
  <c r="K9" i="2" l="1"/>
  <c r="K8" i="2"/>
  <c r="K10" i="2"/>
  <c r="K4" i="2" l="1"/>
  <c r="K6" i="2"/>
  <c r="K7" i="2"/>
  <c r="K5" i="2"/>
  <c r="A7" i="2"/>
  <c r="A6" i="2"/>
  <c r="A5" i="2"/>
  <c r="A4" i="2"/>
  <c r="W248" i="5" l="1"/>
  <c r="N62" i="5"/>
  <c r="L24" i="5"/>
  <c r="K24" i="5"/>
  <c r="O209" i="5"/>
  <c r="Q98" i="5"/>
  <c r="M62" i="5"/>
  <c r="H24" i="5"/>
  <c r="C24" i="5"/>
  <c r="K209" i="5"/>
  <c r="P98" i="5"/>
  <c r="O98" i="5"/>
  <c r="U24" i="5"/>
  <c r="V24" i="5"/>
  <c r="S135" i="5"/>
  <c r="V62" i="5"/>
  <c r="U62" i="5"/>
  <c r="U98" i="5"/>
  <c r="T248" i="5"/>
  <c r="S248" i="5"/>
  <c r="R62" i="5"/>
  <c r="Q248" i="5"/>
  <c r="O24" i="5"/>
  <c r="D98" i="5"/>
  <c r="C98" i="5"/>
  <c r="C209" i="5"/>
  <c r="E209" i="5"/>
  <c r="V248" i="5"/>
  <c r="J62" i="5"/>
  <c r="I62" i="5"/>
  <c r="J135" i="5"/>
  <c r="T62" i="5"/>
  <c r="R248" i="5"/>
  <c r="F62" i="5"/>
  <c r="P248" i="5"/>
  <c r="O248" i="5"/>
  <c r="N24" i="5"/>
  <c r="M24" i="5"/>
  <c r="I98" i="5"/>
  <c r="C172" i="5"/>
  <c r="J248" i="5"/>
  <c r="I248" i="5"/>
  <c r="H248" i="5"/>
  <c r="P62" i="5"/>
  <c r="I24" i="5"/>
  <c r="F248" i="5"/>
  <c r="E248" i="5"/>
  <c r="D248" i="5"/>
  <c r="N248" i="5"/>
  <c r="B24" i="5"/>
  <c r="W62" i="5"/>
  <c r="V135" i="5"/>
  <c r="K98" i="5"/>
  <c r="T209" i="5"/>
  <c r="S209" i="5"/>
  <c r="F209" i="5"/>
  <c r="I135" i="5"/>
  <c r="M172" i="5"/>
  <c r="P209" i="5"/>
  <c r="W135" i="5"/>
  <c r="N209" i="5"/>
  <c r="M248" i="5"/>
  <c r="L62" i="5"/>
  <c r="K62" i="5"/>
  <c r="D62" i="5"/>
  <c r="G62" i="5"/>
  <c r="H209" i="5"/>
  <c r="G209" i="5"/>
  <c r="D172" i="5"/>
  <c r="O62" i="5"/>
  <c r="S24" i="5"/>
  <c r="D209" i="5"/>
  <c r="E62" i="5"/>
  <c r="B209" i="5"/>
  <c r="L248" i="5"/>
  <c r="K248" i="5"/>
  <c r="R209" i="5"/>
  <c r="U135" i="5"/>
  <c r="K135" i="5"/>
  <c r="R172" i="5"/>
  <c r="Q172" i="5"/>
  <c r="B135" i="5"/>
  <c r="R98" i="5"/>
  <c r="H98" i="5"/>
  <c r="N172" i="5"/>
  <c r="R24" i="5"/>
  <c r="L172" i="5"/>
  <c r="V209" i="5"/>
  <c r="U209" i="5"/>
  <c r="P172" i="5"/>
  <c r="C62" i="5"/>
  <c r="Q62" i="5"/>
  <c r="F172" i="5"/>
  <c r="E172" i="5"/>
  <c r="J24" i="5"/>
  <c r="W209" i="5"/>
  <c r="M209" i="5"/>
  <c r="B172" i="5"/>
  <c r="K172" i="5"/>
  <c r="T98" i="5"/>
  <c r="J209" i="5"/>
  <c r="I209" i="5"/>
  <c r="N135" i="5"/>
  <c r="H135" i="5"/>
  <c r="F24" i="5"/>
  <c r="P135" i="5"/>
  <c r="O135" i="5"/>
  <c r="G248" i="5"/>
  <c r="E98" i="5"/>
  <c r="G98" i="5"/>
  <c r="L135" i="5"/>
  <c r="Q24" i="5"/>
  <c r="C248" i="5"/>
  <c r="T172" i="5"/>
  <c r="S172" i="5"/>
  <c r="L98" i="5"/>
  <c r="B62" i="5"/>
  <c r="W172" i="5"/>
  <c r="D135" i="5"/>
  <c r="C135" i="5"/>
  <c r="O172" i="5"/>
  <c r="U248" i="5"/>
  <c r="L209" i="5"/>
  <c r="V98" i="5"/>
  <c r="J172" i="5"/>
  <c r="S98" i="5"/>
  <c r="H172" i="5"/>
  <c r="G172" i="5"/>
  <c r="H62" i="5"/>
  <c r="G135" i="5"/>
  <c r="E24" i="5"/>
  <c r="N98" i="5"/>
  <c r="M98" i="5"/>
  <c r="W98" i="5"/>
  <c r="G24" i="5"/>
  <c r="P24" i="5"/>
  <c r="J98" i="5"/>
  <c r="D24" i="5"/>
  <c r="B248" i="5"/>
  <c r="R135" i="5"/>
  <c r="Q135" i="5"/>
  <c r="Q209" i="5"/>
  <c r="V172" i="5"/>
  <c r="B98" i="5"/>
  <c r="W24" i="5"/>
  <c r="S62" i="5"/>
  <c r="T135" i="5"/>
  <c r="U172" i="5"/>
  <c r="T24" i="5"/>
  <c r="I172" i="5"/>
  <c r="F98" i="5"/>
  <c r="F135" i="5"/>
  <c r="E135" i="5"/>
  <c r="M135" i="5"/>
  <c r="C3" i="5"/>
  <c r="F200" i="5" l="1"/>
  <c r="F218" i="5"/>
  <c r="D218" i="5"/>
  <c r="B218" i="5"/>
  <c r="F217" i="5"/>
  <c r="D217" i="5"/>
  <c r="B217" i="5"/>
  <c r="F216" i="5"/>
  <c r="D216" i="5"/>
  <c r="B216" i="5"/>
  <c r="F215" i="5"/>
  <c r="D215" i="5"/>
  <c r="B215" i="5"/>
  <c r="F214" i="5"/>
  <c r="D214" i="5"/>
  <c r="B214" i="5"/>
  <c r="F213" i="5"/>
  <c r="D213" i="5"/>
  <c r="C213" i="5"/>
  <c r="F212" i="5"/>
  <c r="E212" i="5"/>
  <c r="C212" i="5"/>
  <c r="G211" i="5"/>
  <c r="E211" i="5"/>
  <c r="C211" i="5"/>
  <c r="G210" i="5"/>
  <c r="E210" i="5"/>
  <c r="C210" i="5"/>
  <c r="G208" i="5"/>
  <c r="E208" i="5"/>
  <c r="C208" i="5"/>
  <c r="G207" i="5"/>
  <c r="E207" i="5"/>
  <c r="C207" i="5"/>
  <c r="G206" i="5"/>
  <c r="E206" i="5"/>
  <c r="C206" i="5"/>
  <c r="G205" i="5"/>
  <c r="E205" i="5"/>
  <c r="C205" i="5"/>
  <c r="G204" i="5"/>
  <c r="E204" i="5"/>
  <c r="C204" i="5"/>
  <c r="F203" i="5"/>
  <c r="D203" i="5"/>
  <c r="B203" i="5"/>
  <c r="F202" i="5"/>
  <c r="C202" i="5"/>
  <c r="G201" i="5"/>
  <c r="E201" i="5"/>
  <c r="C201" i="5"/>
  <c r="G200" i="5"/>
  <c r="D200" i="5"/>
  <c r="B200" i="5"/>
  <c r="F199" i="5"/>
  <c r="D199" i="5"/>
  <c r="B199" i="5"/>
  <c r="F198" i="5"/>
  <c r="D198" i="5"/>
  <c r="B198" i="5"/>
  <c r="F197" i="5"/>
  <c r="D197" i="5"/>
  <c r="B197" i="5"/>
  <c r="F196" i="5"/>
  <c r="D196" i="5"/>
  <c r="B196" i="5"/>
  <c r="F195" i="5"/>
  <c r="D195" i="5"/>
  <c r="B195" i="5"/>
  <c r="F194" i="5"/>
  <c r="D194" i="5"/>
  <c r="B194" i="5"/>
  <c r="F193" i="5"/>
  <c r="D193" i="5"/>
  <c r="B193" i="5"/>
  <c r="F192" i="5"/>
  <c r="D192" i="5"/>
  <c r="B192" i="5"/>
  <c r="F191" i="5"/>
  <c r="D191" i="5"/>
  <c r="B191" i="5"/>
  <c r="F190" i="5"/>
  <c r="D190" i="5"/>
  <c r="B190" i="5"/>
  <c r="F189" i="5"/>
  <c r="G203" i="5"/>
  <c r="D189" i="5"/>
  <c r="C189" i="5"/>
  <c r="B189" i="5"/>
  <c r="G188" i="5"/>
  <c r="F188" i="5"/>
  <c r="E188" i="5"/>
  <c r="D188" i="5"/>
  <c r="C188" i="5"/>
  <c r="B188" i="5"/>
  <c r="G218" i="5"/>
  <c r="E218" i="5"/>
  <c r="C218" i="5"/>
  <c r="G217" i="5"/>
  <c r="E217" i="5"/>
  <c r="C217" i="5"/>
  <c r="G216" i="5"/>
  <c r="E216" i="5"/>
  <c r="C216" i="5"/>
  <c r="G215" i="5"/>
  <c r="E215" i="5"/>
  <c r="C215" i="5"/>
  <c r="G214" i="5"/>
  <c r="E214" i="5"/>
  <c r="C214" i="5"/>
  <c r="G213" i="5"/>
  <c r="E213" i="5"/>
  <c r="B213" i="5"/>
  <c r="G212" i="5"/>
  <c r="D212" i="5"/>
  <c r="B212" i="5"/>
  <c r="F211" i="5"/>
  <c r="D211" i="5"/>
  <c r="B211" i="5"/>
  <c r="F210" i="5"/>
  <c r="D210" i="5"/>
  <c r="B210" i="5"/>
  <c r="F208" i="5"/>
  <c r="D208" i="5"/>
  <c r="B208" i="5"/>
  <c r="F207" i="5"/>
  <c r="D207" i="5"/>
  <c r="B207" i="5"/>
  <c r="F206" i="5"/>
  <c r="D206" i="5"/>
  <c r="B206" i="5"/>
  <c r="F205" i="5"/>
  <c r="D205" i="5"/>
  <c r="B205" i="5"/>
  <c r="F204" i="5"/>
  <c r="D204" i="5"/>
  <c r="B204" i="5"/>
  <c r="E203" i="5"/>
  <c r="C203" i="5"/>
  <c r="G202" i="5"/>
  <c r="E202" i="5"/>
  <c r="D202" i="5"/>
  <c r="B202" i="5"/>
  <c r="F201" i="5"/>
  <c r="D201" i="5"/>
  <c r="B201" i="5"/>
  <c r="E200" i="5"/>
  <c r="C200" i="5"/>
  <c r="G199" i="5"/>
  <c r="E199" i="5"/>
  <c r="C199" i="5"/>
  <c r="G198" i="5"/>
  <c r="E198" i="5"/>
  <c r="C198" i="5"/>
  <c r="G197" i="5"/>
  <c r="E197" i="5"/>
  <c r="C197" i="5"/>
  <c r="G196" i="5"/>
  <c r="E196" i="5"/>
  <c r="C196" i="5"/>
  <c r="G195" i="5"/>
  <c r="E195" i="5"/>
  <c r="C195" i="5"/>
  <c r="G194" i="5"/>
  <c r="E194" i="5"/>
  <c r="C194" i="5"/>
  <c r="G193" i="5"/>
  <c r="E193" i="5"/>
  <c r="C193" i="5"/>
  <c r="G192" i="5"/>
  <c r="E192" i="5"/>
  <c r="C192" i="5"/>
  <c r="G191" i="5"/>
  <c r="E191" i="5"/>
  <c r="C191" i="5"/>
  <c r="G190" i="5"/>
  <c r="E190" i="5"/>
  <c r="C190" i="5"/>
  <c r="G189" i="5"/>
  <c r="E189" i="5"/>
  <c r="B244" i="5"/>
  <c r="D244" i="5"/>
  <c r="C245" i="5"/>
  <c r="B246" i="5"/>
  <c r="D246" i="5"/>
  <c r="C247" i="5"/>
  <c r="B249" i="5"/>
  <c r="D249" i="5"/>
  <c r="C250" i="5"/>
  <c r="B251" i="5"/>
  <c r="D251" i="5"/>
  <c r="C252" i="5"/>
  <c r="B253" i="5"/>
  <c r="D253" i="5"/>
  <c r="C254" i="5"/>
  <c r="B255" i="5"/>
  <c r="C256" i="5"/>
  <c r="B257" i="5"/>
  <c r="E227" i="5"/>
  <c r="G227" i="5"/>
  <c r="I227" i="5"/>
  <c r="K227" i="5"/>
  <c r="M227" i="5"/>
  <c r="O227" i="5"/>
  <c r="Q227" i="5"/>
  <c r="T227" i="5"/>
  <c r="V227" i="5"/>
  <c r="E228" i="5"/>
  <c r="F228" i="5"/>
  <c r="H228" i="5"/>
  <c r="J228" i="5"/>
  <c r="L228" i="5"/>
  <c r="N228" i="5"/>
  <c r="P228" i="5"/>
  <c r="R228" i="5"/>
  <c r="T228" i="5"/>
  <c r="V228" i="5"/>
  <c r="E229" i="5"/>
  <c r="G229" i="5"/>
  <c r="I229" i="5"/>
  <c r="K229" i="5"/>
  <c r="M229" i="5"/>
  <c r="O229" i="5"/>
  <c r="Q229" i="5"/>
  <c r="S229" i="5"/>
  <c r="U229" i="5"/>
  <c r="V229" i="5"/>
  <c r="W229" i="5"/>
  <c r="E230" i="5"/>
  <c r="F230" i="5"/>
  <c r="G230" i="5"/>
  <c r="H230" i="5"/>
  <c r="I230" i="5"/>
  <c r="J230" i="5"/>
  <c r="K230" i="5"/>
  <c r="L230" i="5"/>
  <c r="M230" i="5"/>
  <c r="O230" i="5"/>
  <c r="P230" i="5"/>
  <c r="Q230" i="5"/>
  <c r="S230" i="5"/>
  <c r="T230" i="5"/>
  <c r="W230" i="5"/>
  <c r="F231" i="5"/>
  <c r="H231" i="5"/>
  <c r="J231" i="5"/>
  <c r="M231" i="5"/>
  <c r="O231" i="5"/>
  <c r="Q231" i="5"/>
  <c r="S231" i="5"/>
  <c r="V231" i="5"/>
  <c r="E232" i="5"/>
  <c r="G232" i="5"/>
  <c r="I232" i="5"/>
  <c r="K232" i="5"/>
  <c r="N232" i="5"/>
  <c r="P232" i="5"/>
  <c r="R232" i="5"/>
  <c r="S232" i="5"/>
  <c r="T232" i="5"/>
  <c r="U232" i="5"/>
  <c r="V232" i="5"/>
  <c r="W232" i="5"/>
  <c r="E233" i="5"/>
  <c r="G233" i="5"/>
  <c r="J233" i="5"/>
  <c r="L233" i="5"/>
  <c r="O233" i="5"/>
  <c r="Q233" i="5"/>
  <c r="S233" i="5"/>
  <c r="V233" i="5"/>
  <c r="E234" i="5"/>
  <c r="G234" i="5"/>
  <c r="J234" i="5"/>
  <c r="L234" i="5"/>
  <c r="O234" i="5"/>
  <c r="Q234" i="5"/>
  <c r="T234" i="5"/>
  <c r="V234" i="5"/>
  <c r="F235" i="5"/>
  <c r="H235" i="5"/>
  <c r="J235" i="5"/>
  <c r="M235" i="5"/>
  <c r="O235" i="5"/>
  <c r="R235" i="5"/>
  <c r="U235" i="5"/>
  <c r="W235" i="5"/>
  <c r="G236" i="5"/>
  <c r="I236" i="5"/>
  <c r="K236" i="5"/>
  <c r="M236" i="5"/>
  <c r="P236" i="5"/>
  <c r="R236" i="5"/>
  <c r="T236" i="5"/>
  <c r="W236" i="5"/>
  <c r="F237" i="5"/>
  <c r="H237" i="5"/>
  <c r="K237" i="5"/>
  <c r="M237" i="5"/>
  <c r="O237" i="5"/>
  <c r="Q237" i="5"/>
  <c r="S237" i="5"/>
  <c r="V237" i="5"/>
  <c r="E238" i="5"/>
  <c r="G238" i="5"/>
  <c r="J238" i="5"/>
  <c r="L238" i="5"/>
  <c r="O238" i="5"/>
  <c r="Q238" i="5"/>
  <c r="S238" i="5"/>
  <c r="V238" i="5"/>
  <c r="E239" i="5"/>
  <c r="G239" i="5"/>
  <c r="J239" i="5"/>
  <c r="L239" i="5"/>
  <c r="O239" i="5"/>
  <c r="Q239" i="5"/>
  <c r="S239" i="5"/>
  <c r="V239" i="5"/>
  <c r="R250" i="5"/>
  <c r="V250" i="5"/>
  <c r="G251" i="5"/>
  <c r="J251" i="5"/>
  <c r="M251" i="5"/>
  <c r="Q251" i="5"/>
  <c r="T251" i="5"/>
  <c r="E252" i="5"/>
  <c r="H252" i="5"/>
  <c r="L252" i="5"/>
  <c r="P252" i="5"/>
  <c r="S252" i="5"/>
  <c r="H254" i="5"/>
  <c r="M254" i="5"/>
  <c r="P254" i="5"/>
  <c r="S254" i="5"/>
  <c r="W254" i="5"/>
  <c r="G255" i="5"/>
  <c r="K255" i="5"/>
  <c r="N255" i="5"/>
  <c r="Q255" i="5"/>
  <c r="U255" i="5"/>
  <c r="E256" i="5"/>
  <c r="I256" i="5"/>
  <c r="L256" i="5"/>
  <c r="P256" i="5"/>
  <c r="S256" i="5"/>
  <c r="V256" i="5"/>
  <c r="G257" i="5"/>
  <c r="J257" i="5"/>
  <c r="P257" i="5"/>
  <c r="S257" i="5"/>
  <c r="W257" i="5"/>
  <c r="G226" i="5"/>
  <c r="J226" i="5"/>
  <c r="N226" i="5"/>
  <c r="Q226" i="5"/>
  <c r="U226" i="5"/>
  <c r="W834" i="5"/>
  <c r="U834" i="5"/>
  <c r="R834" i="5"/>
  <c r="N834" i="5"/>
  <c r="K834" i="5"/>
  <c r="G834" i="5"/>
  <c r="D834" i="5"/>
  <c r="W833" i="5"/>
  <c r="S833" i="5"/>
  <c r="O822" i="5"/>
  <c r="J822" i="5"/>
  <c r="F822" i="5"/>
  <c r="B822" i="5"/>
  <c r="S821" i="5"/>
  <c r="O821" i="5"/>
  <c r="K821" i="5"/>
  <c r="G821" i="5"/>
  <c r="D821" i="5"/>
  <c r="V820" i="5"/>
  <c r="S820" i="5"/>
  <c r="P820" i="5"/>
  <c r="L820" i="5"/>
  <c r="H820" i="5"/>
  <c r="C820" i="5"/>
  <c r="U819" i="5"/>
  <c r="P819" i="5"/>
  <c r="L819" i="5"/>
  <c r="H819" i="5"/>
  <c r="C819" i="5"/>
  <c r="U818" i="5"/>
  <c r="Q818" i="5"/>
  <c r="M818" i="5"/>
  <c r="H818" i="5"/>
  <c r="D818" i="5"/>
  <c r="V817" i="5"/>
  <c r="Q817" i="5"/>
  <c r="M817" i="5"/>
  <c r="H817" i="5"/>
  <c r="D817" i="5"/>
  <c r="V816" i="5"/>
  <c r="Q816" i="5"/>
  <c r="M816" i="5"/>
  <c r="I816" i="5"/>
  <c r="E816" i="5"/>
  <c r="W815" i="5"/>
  <c r="S815" i="5"/>
  <c r="O815" i="5"/>
  <c r="K815" i="5"/>
  <c r="G815" i="5"/>
  <c r="C815" i="5"/>
  <c r="U814" i="5"/>
  <c r="I814" i="5"/>
  <c r="D814" i="5"/>
  <c r="U813" i="5"/>
  <c r="P813" i="5"/>
  <c r="K813" i="5"/>
  <c r="F813" i="5"/>
  <c r="W812" i="5"/>
  <c r="R812" i="5"/>
  <c r="N812" i="5"/>
  <c r="J812" i="5"/>
  <c r="F812" i="5"/>
  <c r="B812" i="5"/>
  <c r="S811" i="5"/>
  <c r="N811" i="5"/>
  <c r="I811" i="5"/>
  <c r="D811" i="5"/>
  <c r="U810" i="5"/>
  <c r="P810" i="5"/>
  <c r="K810" i="5"/>
  <c r="F810" i="5"/>
  <c r="W809" i="5"/>
  <c r="S809" i="5"/>
  <c r="O809" i="5"/>
  <c r="M808" i="5"/>
  <c r="H808" i="5"/>
  <c r="E808" i="5"/>
  <c r="D808" i="5"/>
  <c r="W807" i="5"/>
  <c r="T807" i="5"/>
  <c r="Q807" i="5"/>
  <c r="M807" i="5"/>
  <c r="I807" i="5"/>
  <c r="E807" i="5"/>
  <c r="W806" i="5"/>
  <c r="S806" i="5"/>
  <c r="O806" i="5"/>
  <c r="V805" i="5"/>
  <c r="Q805" i="5"/>
  <c r="M805" i="5"/>
  <c r="I805" i="5"/>
  <c r="C805" i="5"/>
  <c r="U804" i="5"/>
  <c r="O804" i="5"/>
  <c r="K804" i="5"/>
  <c r="G804" i="5"/>
  <c r="C804" i="5"/>
  <c r="D845" i="5"/>
  <c r="H845" i="5"/>
  <c r="L845" i="5"/>
  <c r="P845" i="5"/>
  <c r="S845" i="5"/>
  <c r="B846" i="5"/>
  <c r="D846" i="5"/>
  <c r="I846" i="5"/>
  <c r="N846" i="5"/>
  <c r="S846" i="5"/>
  <c r="B847" i="5"/>
  <c r="G847" i="5"/>
  <c r="L847" i="5"/>
  <c r="Q847" i="5"/>
  <c r="V847" i="5"/>
  <c r="E848" i="5"/>
  <c r="J848" i="5"/>
  <c r="O848" i="5"/>
  <c r="T848" i="5"/>
  <c r="C849" i="5"/>
  <c r="H849" i="5"/>
  <c r="M849" i="5"/>
  <c r="R849" i="5"/>
  <c r="V849" i="5"/>
  <c r="E850" i="5"/>
  <c r="J850" i="5"/>
  <c r="O850" i="5"/>
  <c r="T850" i="5"/>
  <c r="C851" i="5"/>
  <c r="H851" i="5"/>
  <c r="M851" i="5"/>
  <c r="R851" i="5"/>
  <c r="W851" i="5"/>
  <c r="G852" i="5"/>
  <c r="L852" i="5"/>
  <c r="P852" i="5"/>
  <c r="U852" i="5"/>
  <c r="G871" i="5"/>
  <c r="M871" i="5"/>
  <c r="S871" i="5"/>
  <c r="L180" i="5"/>
  <c r="B180" i="5"/>
  <c r="P179" i="5"/>
  <c r="H179" i="5"/>
  <c r="U178" i="5"/>
  <c r="M178" i="5"/>
  <c r="E178" i="5"/>
  <c r="S177" i="5"/>
  <c r="K177" i="5"/>
  <c r="G177" i="5"/>
  <c r="U176" i="5"/>
  <c r="M176" i="5"/>
  <c r="E176" i="5"/>
  <c r="S175" i="5"/>
  <c r="J175" i="5"/>
  <c r="U174" i="5"/>
  <c r="H143" i="5"/>
  <c r="S142" i="5"/>
  <c r="L142" i="5"/>
  <c r="S141" i="5"/>
  <c r="N141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C244" i="5"/>
  <c r="B245" i="5"/>
  <c r="D245" i="5"/>
  <c r="C246" i="5"/>
  <c r="B247" i="5"/>
  <c r="D247" i="5"/>
  <c r="C249" i="5"/>
  <c r="B250" i="5"/>
  <c r="D250" i="5"/>
  <c r="C251" i="5"/>
  <c r="B252" i="5"/>
  <c r="D252" i="5"/>
  <c r="C253" i="5"/>
  <c r="B254" i="5"/>
  <c r="D254" i="5"/>
  <c r="C255" i="5"/>
  <c r="B256" i="5"/>
  <c r="D256" i="5"/>
  <c r="C257" i="5"/>
  <c r="F227" i="5"/>
  <c r="H227" i="5"/>
  <c r="J227" i="5"/>
  <c r="L227" i="5"/>
  <c r="N227" i="5"/>
  <c r="P227" i="5"/>
  <c r="R227" i="5"/>
  <c r="S227" i="5"/>
  <c r="U227" i="5"/>
  <c r="W227" i="5"/>
  <c r="G228" i="5"/>
  <c r="I228" i="5"/>
  <c r="K228" i="5"/>
  <c r="M228" i="5"/>
  <c r="O228" i="5"/>
  <c r="Q228" i="5"/>
  <c r="S228" i="5"/>
  <c r="U228" i="5"/>
  <c r="W228" i="5"/>
  <c r="F229" i="5"/>
  <c r="H229" i="5"/>
  <c r="J229" i="5"/>
  <c r="L229" i="5"/>
  <c r="N229" i="5"/>
  <c r="P229" i="5"/>
  <c r="R229" i="5"/>
  <c r="T229" i="5"/>
  <c r="N230" i="5"/>
  <c r="R230" i="5"/>
  <c r="U230" i="5"/>
  <c r="V230" i="5"/>
  <c r="E231" i="5"/>
  <c r="G231" i="5"/>
  <c r="I231" i="5"/>
  <c r="K231" i="5"/>
  <c r="L231" i="5"/>
  <c r="N231" i="5"/>
  <c r="P231" i="5"/>
  <c r="R231" i="5"/>
  <c r="T231" i="5"/>
  <c r="U231" i="5"/>
  <c r="W231" i="5"/>
  <c r="F232" i="5"/>
  <c r="H232" i="5"/>
  <c r="J232" i="5"/>
  <c r="L232" i="5"/>
  <c r="M232" i="5"/>
  <c r="O232" i="5"/>
  <c r="Q232" i="5"/>
  <c r="F233" i="5"/>
  <c r="H233" i="5"/>
  <c r="I233" i="5"/>
  <c r="K233" i="5"/>
  <c r="M233" i="5"/>
  <c r="N233" i="5"/>
  <c r="P233" i="5"/>
  <c r="R233" i="5"/>
  <c r="T233" i="5"/>
  <c r="U233" i="5"/>
  <c r="W233" i="5"/>
  <c r="F234" i="5"/>
  <c r="H234" i="5"/>
  <c r="I234" i="5"/>
  <c r="K234" i="5"/>
  <c r="M234" i="5"/>
  <c r="N234" i="5"/>
  <c r="P234" i="5"/>
  <c r="R234" i="5"/>
  <c r="S234" i="5"/>
  <c r="U234" i="5"/>
  <c r="W234" i="5"/>
  <c r="E235" i="5"/>
  <c r="G235" i="5"/>
  <c r="I235" i="5"/>
  <c r="K235" i="5"/>
  <c r="L235" i="5"/>
  <c r="N235" i="5"/>
  <c r="P235" i="5"/>
  <c r="Q235" i="5"/>
  <c r="S235" i="5"/>
  <c r="T235" i="5"/>
  <c r="V235" i="5"/>
  <c r="E236" i="5"/>
  <c r="F236" i="5"/>
  <c r="H236" i="5"/>
  <c r="J236" i="5"/>
  <c r="L236" i="5"/>
  <c r="N236" i="5"/>
  <c r="O236" i="5"/>
  <c r="Q236" i="5"/>
  <c r="S236" i="5"/>
  <c r="U236" i="5"/>
  <c r="V236" i="5"/>
  <c r="E237" i="5"/>
  <c r="G237" i="5"/>
  <c r="I237" i="5"/>
  <c r="J237" i="5"/>
  <c r="L237" i="5"/>
  <c r="N237" i="5"/>
  <c r="P237" i="5"/>
  <c r="R237" i="5"/>
  <c r="T237" i="5"/>
  <c r="U237" i="5"/>
  <c r="W237" i="5"/>
  <c r="F238" i="5"/>
  <c r="H238" i="5"/>
  <c r="I238" i="5"/>
  <c r="K238" i="5"/>
  <c r="M238" i="5"/>
  <c r="N238" i="5"/>
  <c r="P238" i="5"/>
  <c r="R238" i="5"/>
  <c r="T238" i="5"/>
  <c r="U238" i="5"/>
  <c r="W238" i="5"/>
  <c r="F239" i="5"/>
  <c r="H239" i="5"/>
  <c r="I239" i="5"/>
  <c r="K239" i="5"/>
  <c r="M239" i="5"/>
  <c r="N239" i="5"/>
  <c r="P239" i="5"/>
  <c r="R239" i="5"/>
  <c r="T239" i="5"/>
  <c r="U239" i="5"/>
  <c r="P250" i="5"/>
  <c r="S250" i="5"/>
  <c r="U250" i="5"/>
  <c r="E251" i="5"/>
  <c r="F251" i="5"/>
  <c r="I251" i="5"/>
  <c r="K251" i="5"/>
  <c r="N251" i="5"/>
  <c r="P251" i="5"/>
  <c r="S251" i="5"/>
  <c r="U251" i="5"/>
  <c r="W251" i="5"/>
  <c r="G252" i="5"/>
  <c r="J252" i="5"/>
  <c r="M252" i="5"/>
  <c r="N252" i="5"/>
  <c r="Q252" i="5"/>
  <c r="T252" i="5"/>
  <c r="V252" i="5"/>
  <c r="E253" i="5"/>
  <c r="G253" i="5"/>
  <c r="H253" i="5"/>
  <c r="J253" i="5"/>
  <c r="L253" i="5"/>
  <c r="N253" i="5"/>
  <c r="P253" i="5"/>
  <c r="R253" i="5"/>
  <c r="S253" i="5"/>
  <c r="U253" i="5"/>
  <c r="W253" i="5"/>
  <c r="F254" i="5"/>
  <c r="I254" i="5"/>
  <c r="J254" i="5"/>
  <c r="L254" i="5"/>
  <c r="O254" i="5"/>
  <c r="R254" i="5"/>
  <c r="T254" i="5"/>
  <c r="V254" i="5"/>
  <c r="F255" i="5"/>
  <c r="H255" i="5"/>
  <c r="J255" i="5"/>
  <c r="M255" i="5"/>
  <c r="O255" i="5"/>
  <c r="R255" i="5"/>
  <c r="T255" i="5"/>
  <c r="W255" i="5"/>
  <c r="F256" i="5"/>
  <c r="H256" i="5"/>
  <c r="K256" i="5"/>
  <c r="M256" i="5"/>
  <c r="O256" i="5"/>
  <c r="R256" i="5"/>
  <c r="U256" i="5"/>
  <c r="W256" i="5"/>
  <c r="F257" i="5"/>
  <c r="I257" i="5"/>
  <c r="K257" i="5"/>
  <c r="M257" i="5"/>
  <c r="O257" i="5"/>
  <c r="Q257" i="5"/>
  <c r="T257" i="5"/>
  <c r="V257" i="5"/>
  <c r="F226" i="5"/>
  <c r="H226" i="5"/>
  <c r="K226" i="5"/>
  <c r="M226" i="5"/>
  <c r="O226" i="5"/>
  <c r="R226" i="5"/>
  <c r="T226" i="5"/>
  <c r="W226" i="5"/>
  <c r="V834" i="5"/>
  <c r="S834" i="5"/>
  <c r="Q834" i="5"/>
  <c r="O834" i="5"/>
  <c r="L834" i="5"/>
  <c r="I834" i="5"/>
  <c r="H834" i="5"/>
  <c r="E834" i="5"/>
  <c r="B834" i="5"/>
  <c r="U833" i="5"/>
  <c r="T833" i="5"/>
  <c r="Q833" i="5"/>
  <c r="L822" i="5"/>
  <c r="K822" i="5"/>
  <c r="G822" i="5"/>
  <c r="C822" i="5"/>
  <c r="W821" i="5"/>
  <c r="T821" i="5"/>
  <c r="P821" i="5"/>
  <c r="N821" i="5"/>
  <c r="J821" i="5"/>
  <c r="H821" i="5"/>
  <c r="F821" i="5"/>
  <c r="C821" i="5"/>
  <c r="W820" i="5"/>
  <c r="T820" i="5"/>
  <c r="R820" i="5"/>
  <c r="O820" i="5"/>
  <c r="M820" i="5"/>
  <c r="K820" i="5"/>
  <c r="G820" i="5"/>
  <c r="D820" i="5"/>
  <c r="W819" i="5"/>
  <c r="T819" i="5"/>
  <c r="Q819" i="5"/>
  <c r="N819" i="5"/>
  <c r="K819" i="5"/>
  <c r="G819" i="5"/>
  <c r="E819" i="5"/>
  <c r="B819" i="5"/>
  <c r="T818" i="5"/>
  <c r="R818" i="5"/>
  <c r="O818" i="5"/>
  <c r="K818" i="5"/>
  <c r="I818" i="5"/>
  <c r="F818" i="5"/>
  <c r="B818" i="5"/>
  <c r="U817" i="5"/>
  <c r="S817" i="5"/>
  <c r="O817" i="5"/>
  <c r="K817" i="5"/>
  <c r="I817" i="5"/>
  <c r="F817" i="5"/>
  <c r="B817" i="5"/>
  <c r="U816" i="5"/>
  <c r="S816" i="5"/>
  <c r="O816" i="5"/>
  <c r="K816" i="5"/>
  <c r="G816" i="5"/>
  <c r="C816" i="5"/>
  <c r="U815" i="5"/>
  <c r="Q815" i="5"/>
  <c r="N815" i="5"/>
  <c r="J815" i="5"/>
  <c r="E815" i="5"/>
  <c r="W814" i="5"/>
  <c r="S814" i="5"/>
  <c r="F814" i="5"/>
  <c r="W813" i="5"/>
  <c r="R813" i="5"/>
  <c r="M813" i="5"/>
  <c r="I813" i="5"/>
  <c r="D813" i="5"/>
  <c r="U812" i="5"/>
  <c r="W811" i="5"/>
  <c r="Q811" i="5"/>
  <c r="L811" i="5"/>
  <c r="G811" i="5"/>
  <c r="B811" i="5"/>
  <c r="S810" i="5"/>
  <c r="O810" i="5"/>
  <c r="J810" i="5"/>
  <c r="C810" i="5"/>
  <c r="T809" i="5"/>
  <c r="R809" i="5"/>
  <c r="M809" i="5"/>
  <c r="J809" i="5"/>
  <c r="G809" i="5"/>
  <c r="C809" i="5"/>
  <c r="W808" i="5"/>
  <c r="S808" i="5"/>
  <c r="R808" i="5"/>
  <c r="N808" i="5"/>
  <c r="L808" i="5"/>
  <c r="I808" i="5"/>
  <c r="F808" i="5"/>
  <c r="C808" i="5"/>
  <c r="U807" i="5"/>
  <c r="R807" i="5"/>
  <c r="O807" i="5"/>
  <c r="K807" i="5"/>
  <c r="H807" i="5"/>
  <c r="C807" i="5"/>
  <c r="U806" i="5"/>
  <c r="Q806" i="5"/>
  <c r="N806" i="5"/>
  <c r="J806" i="5"/>
  <c r="H806" i="5"/>
  <c r="D806" i="5"/>
  <c r="W805" i="5"/>
  <c r="S805" i="5"/>
  <c r="O805" i="5"/>
  <c r="K805" i="5"/>
  <c r="G805" i="5"/>
  <c r="E805" i="5"/>
  <c r="V804" i="5"/>
  <c r="T804" i="5"/>
  <c r="P804" i="5"/>
  <c r="N804" i="5"/>
  <c r="J804" i="5"/>
  <c r="E804" i="5"/>
  <c r="B804" i="5"/>
  <c r="F845" i="5"/>
  <c r="J845" i="5"/>
  <c r="M845" i="5"/>
  <c r="R845" i="5"/>
  <c r="W845" i="5"/>
  <c r="E846" i="5"/>
  <c r="K846" i="5"/>
  <c r="O846" i="5"/>
  <c r="U846" i="5"/>
  <c r="C847" i="5"/>
  <c r="J847" i="5"/>
  <c r="O847" i="5"/>
  <c r="T847" i="5"/>
  <c r="C848" i="5"/>
  <c r="H848" i="5"/>
  <c r="M848" i="5"/>
  <c r="R848" i="5"/>
  <c r="W848" i="5"/>
  <c r="F849" i="5"/>
  <c r="K849" i="5"/>
  <c r="P849" i="5"/>
  <c r="T849" i="5"/>
  <c r="B850" i="5"/>
  <c r="G850" i="5"/>
  <c r="L850" i="5"/>
  <c r="Q850" i="5"/>
  <c r="V850" i="5"/>
  <c r="E851" i="5"/>
  <c r="J851" i="5"/>
  <c r="O851" i="5"/>
  <c r="T851" i="5"/>
  <c r="D852" i="5"/>
  <c r="I852" i="5"/>
  <c r="M852" i="5"/>
  <c r="Q852" i="5"/>
  <c r="V852" i="5"/>
  <c r="H871" i="5"/>
  <c r="N871" i="5"/>
  <c r="T871" i="5"/>
  <c r="K180" i="5"/>
  <c r="C180" i="5"/>
  <c r="Q179" i="5"/>
  <c r="J179" i="5"/>
  <c r="W178" i="5"/>
  <c r="N178" i="5"/>
  <c r="F178" i="5"/>
  <c r="T177" i="5"/>
  <c r="M177" i="5"/>
  <c r="C177" i="5"/>
  <c r="R176" i="5"/>
  <c r="K176" i="5"/>
  <c r="D176" i="5"/>
  <c r="N175" i="5"/>
  <c r="F175" i="5"/>
  <c r="T174" i="5"/>
  <c r="G143" i="5"/>
  <c r="V142" i="5"/>
  <c r="G142" i="5"/>
  <c r="T141" i="5"/>
  <c r="J141" i="5"/>
  <c r="W239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E250" i="5"/>
  <c r="F250" i="5"/>
  <c r="G250" i="5"/>
  <c r="H250" i="5"/>
  <c r="I250" i="5"/>
  <c r="J250" i="5"/>
  <c r="K250" i="5"/>
  <c r="L250" i="5"/>
  <c r="M250" i="5"/>
  <c r="N250" i="5"/>
  <c r="O250" i="5"/>
  <c r="Q250" i="5"/>
  <c r="T250" i="5"/>
  <c r="W250" i="5"/>
  <c r="H251" i="5"/>
  <c r="L251" i="5"/>
  <c r="O251" i="5"/>
  <c r="R251" i="5"/>
  <c r="V251" i="5"/>
  <c r="F252" i="5"/>
  <c r="I252" i="5"/>
  <c r="K252" i="5"/>
  <c r="O252" i="5"/>
  <c r="R252" i="5"/>
  <c r="U252" i="5"/>
  <c r="W252" i="5"/>
  <c r="F253" i="5"/>
  <c r="I253" i="5"/>
  <c r="K253" i="5"/>
  <c r="M253" i="5"/>
  <c r="O253" i="5"/>
  <c r="Q253" i="5"/>
  <c r="T253" i="5"/>
  <c r="V253" i="5"/>
  <c r="E254" i="5"/>
  <c r="G254" i="5"/>
  <c r="K254" i="5"/>
  <c r="N254" i="5"/>
  <c r="Q254" i="5"/>
  <c r="U254" i="5"/>
  <c r="E255" i="5"/>
  <c r="I255" i="5"/>
  <c r="L255" i="5"/>
  <c r="P255" i="5"/>
  <c r="S255" i="5"/>
  <c r="V255" i="5"/>
  <c r="G256" i="5"/>
  <c r="J256" i="5"/>
  <c r="N256" i="5"/>
  <c r="Q256" i="5"/>
  <c r="T256" i="5"/>
  <c r="D257" i="5"/>
  <c r="E257" i="5"/>
  <c r="H257" i="5"/>
  <c r="L257" i="5"/>
  <c r="N257" i="5"/>
  <c r="R257" i="5"/>
  <c r="U257" i="5"/>
  <c r="E226" i="5"/>
  <c r="I226" i="5"/>
  <c r="L226" i="5"/>
  <c r="P226" i="5"/>
  <c r="S226" i="5"/>
  <c r="V226" i="5"/>
  <c r="T834" i="5"/>
  <c r="P834" i="5"/>
  <c r="M834" i="5"/>
  <c r="J834" i="5"/>
  <c r="F834" i="5"/>
  <c r="C834" i="5"/>
  <c r="V833" i="5"/>
  <c r="R833" i="5"/>
  <c r="N822" i="5"/>
  <c r="I822" i="5"/>
  <c r="E822" i="5"/>
  <c r="V821" i="5"/>
  <c r="R821" i="5"/>
  <c r="M821" i="5"/>
  <c r="Q820" i="5"/>
  <c r="N820" i="5"/>
  <c r="J820" i="5"/>
  <c r="F820" i="5"/>
  <c r="B820" i="5"/>
  <c r="S819" i="5"/>
  <c r="O819" i="5"/>
  <c r="J819" i="5"/>
  <c r="F819" i="5"/>
  <c r="W818" i="5"/>
  <c r="S818" i="5"/>
  <c r="N818" i="5"/>
  <c r="J818" i="5"/>
  <c r="E818" i="5"/>
  <c r="W817" i="5"/>
  <c r="R817" i="5"/>
  <c r="N817" i="5"/>
  <c r="J817" i="5"/>
  <c r="E817" i="5"/>
  <c r="W816" i="5"/>
  <c r="R816" i="5"/>
  <c r="N816" i="5"/>
  <c r="J816" i="5"/>
  <c r="F816" i="5"/>
  <c r="B816" i="5"/>
  <c r="T815" i="5"/>
  <c r="P815" i="5"/>
  <c r="L815" i="5"/>
  <c r="H815" i="5"/>
  <c r="D815" i="5"/>
  <c r="V814" i="5"/>
  <c r="J814" i="5"/>
  <c r="E814" i="5"/>
  <c r="V813" i="5"/>
  <c r="Q813" i="5"/>
  <c r="L813" i="5"/>
  <c r="G813" i="5"/>
  <c r="B813" i="5"/>
  <c r="S812" i="5"/>
  <c r="O812" i="5"/>
  <c r="K812" i="5"/>
  <c r="G812" i="5"/>
  <c r="C812" i="5"/>
  <c r="T811" i="5"/>
  <c r="O811" i="5"/>
  <c r="J811" i="5"/>
  <c r="E811" i="5"/>
  <c r="V810" i="5"/>
  <c r="Q810" i="5"/>
  <c r="L810" i="5"/>
  <c r="G810" i="5"/>
  <c r="B810" i="5"/>
  <c r="P808" i="5"/>
  <c r="B805" i="5"/>
  <c r="R804" i="5"/>
  <c r="L804" i="5"/>
  <c r="H804" i="5"/>
  <c r="D804" i="5"/>
  <c r="C845" i="5"/>
  <c r="G845" i="5"/>
  <c r="K845" i="5"/>
  <c r="O845" i="5"/>
  <c r="T845" i="5"/>
  <c r="C846" i="5"/>
  <c r="F846" i="5"/>
  <c r="L846" i="5"/>
  <c r="Q846" i="5"/>
  <c r="V846" i="5"/>
  <c r="E847" i="5"/>
  <c r="H847" i="5"/>
  <c r="M847" i="5"/>
  <c r="R847" i="5"/>
  <c r="W847" i="5"/>
  <c r="F848" i="5"/>
  <c r="K848" i="5"/>
  <c r="P848" i="5"/>
  <c r="U848" i="5"/>
  <c r="D849" i="5"/>
  <c r="I849" i="5"/>
  <c r="N849" i="5"/>
  <c r="S849" i="5"/>
  <c r="W849" i="5"/>
  <c r="F850" i="5"/>
  <c r="K850" i="5"/>
  <c r="P850" i="5"/>
  <c r="U850" i="5"/>
  <c r="D851" i="5"/>
  <c r="I851" i="5"/>
  <c r="N851" i="5"/>
  <c r="S851" i="5"/>
  <c r="B852" i="5"/>
  <c r="F852" i="5"/>
  <c r="R852" i="5"/>
  <c r="W852" i="5"/>
  <c r="I871" i="5"/>
  <c r="O871" i="5"/>
  <c r="U871" i="5"/>
  <c r="J180" i="5"/>
  <c r="W179" i="5"/>
  <c r="O179" i="5"/>
  <c r="G179" i="5"/>
  <c r="T178" i="5"/>
  <c r="I178" i="5"/>
  <c r="W177" i="5"/>
  <c r="O177" i="5"/>
  <c r="E177" i="5"/>
  <c r="S176" i="5"/>
  <c r="J176" i="5"/>
  <c r="V175" i="5"/>
  <c r="R175" i="5"/>
  <c r="H175" i="5"/>
  <c r="W174" i="5"/>
  <c r="N174" i="5"/>
  <c r="Q142" i="5"/>
  <c r="K142" i="5"/>
  <c r="U141" i="5"/>
  <c r="H141" i="5"/>
  <c r="P833" i="5"/>
  <c r="O833" i="5"/>
  <c r="N833" i="5"/>
  <c r="M833" i="5"/>
  <c r="L833" i="5"/>
  <c r="K833" i="5"/>
  <c r="J833" i="5"/>
  <c r="I833" i="5"/>
  <c r="H833" i="5"/>
  <c r="G833" i="5"/>
  <c r="F833" i="5"/>
  <c r="E833" i="5"/>
  <c r="D833" i="5"/>
  <c r="C833" i="5"/>
  <c r="B833" i="5"/>
  <c r="W832" i="5"/>
  <c r="V832" i="5"/>
  <c r="U832" i="5"/>
  <c r="T832" i="5"/>
  <c r="S832" i="5"/>
  <c r="R832" i="5"/>
  <c r="Q832" i="5"/>
  <c r="P832" i="5"/>
  <c r="O832" i="5"/>
  <c r="N832" i="5"/>
  <c r="M832" i="5"/>
  <c r="L832" i="5"/>
  <c r="K832" i="5"/>
  <c r="J832" i="5"/>
  <c r="I832" i="5"/>
  <c r="H832" i="5"/>
  <c r="G832" i="5"/>
  <c r="F832" i="5"/>
  <c r="E832" i="5"/>
  <c r="D832" i="5"/>
  <c r="C832" i="5"/>
  <c r="B832" i="5"/>
  <c r="W831" i="5"/>
  <c r="V831" i="5"/>
  <c r="U831" i="5"/>
  <c r="T831" i="5"/>
  <c r="S831" i="5"/>
  <c r="R831" i="5"/>
  <c r="Q831" i="5"/>
  <c r="P831" i="5"/>
  <c r="O831" i="5"/>
  <c r="N831" i="5"/>
  <c r="M831" i="5"/>
  <c r="L831" i="5"/>
  <c r="K831" i="5"/>
  <c r="J831" i="5"/>
  <c r="I831" i="5"/>
  <c r="H831" i="5"/>
  <c r="G831" i="5"/>
  <c r="F831" i="5"/>
  <c r="E831" i="5"/>
  <c r="D831" i="5"/>
  <c r="C831" i="5"/>
  <c r="B831" i="5"/>
  <c r="W830" i="5"/>
  <c r="V830" i="5"/>
  <c r="U830" i="5"/>
  <c r="T830" i="5"/>
  <c r="S830" i="5"/>
  <c r="R830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E830" i="5"/>
  <c r="D830" i="5"/>
  <c r="C830" i="5"/>
  <c r="B830" i="5"/>
  <c r="W829" i="5"/>
  <c r="V829" i="5"/>
  <c r="U829" i="5"/>
  <c r="T829" i="5"/>
  <c r="S829" i="5"/>
  <c r="R829" i="5"/>
  <c r="Q829" i="5"/>
  <c r="P829" i="5"/>
  <c r="O829" i="5"/>
  <c r="N829" i="5"/>
  <c r="M829" i="5"/>
  <c r="L829" i="5"/>
  <c r="K829" i="5"/>
  <c r="J829" i="5"/>
  <c r="I829" i="5"/>
  <c r="H829" i="5"/>
  <c r="G829" i="5"/>
  <c r="F829" i="5"/>
  <c r="E829" i="5"/>
  <c r="D829" i="5"/>
  <c r="C829" i="5"/>
  <c r="B829" i="5"/>
  <c r="W828" i="5"/>
  <c r="V828" i="5"/>
  <c r="U828" i="5"/>
  <c r="T828" i="5"/>
  <c r="S828" i="5"/>
  <c r="R828" i="5"/>
  <c r="Q828" i="5"/>
  <c r="P828" i="5"/>
  <c r="O828" i="5"/>
  <c r="N828" i="5"/>
  <c r="M828" i="5"/>
  <c r="L828" i="5"/>
  <c r="K828" i="5"/>
  <c r="J828" i="5"/>
  <c r="I828" i="5"/>
  <c r="H828" i="5"/>
  <c r="G828" i="5"/>
  <c r="F828" i="5"/>
  <c r="E828" i="5"/>
  <c r="D828" i="5"/>
  <c r="C828" i="5"/>
  <c r="B828" i="5"/>
  <c r="W827" i="5"/>
  <c r="V827" i="5"/>
  <c r="U827" i="5"/>
  <c r="T827" i="5"/>
  <c r="S827" i="5"/>
  <c r="R827" i="5"/>
  <c r="Q827" i="5"/>
  <c r="P827" i="5"/>
  <c r="O827" i="5"/>
  <c r="N827" i="5"/>
  <c r="M827" i="5"/>
  <c r="L827" i="5"/>
  <c r="K827" i="5"/>
  <c r="J827" i="5"/>
  <c r="I827" i="5"/>
  <c r="H827" i="5"/>
  <c r="G827" i="5"/>
  <c r="F827" i="5"/>
  <c r="E827" i="5"/>
  <c r="D827" i="5"/>
  <c r="C827" i="5"/>
  <c r="B827" i="5"/>
  <c r="W826" i="5"/>
  <c r="V826" i="5"/>
  <c r="U826" i="5"/>
  <c r="T826" i="5"/>
  <c r="S826" i="5"/>
  <c r="R826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C826" i="5"/>
  <c r="B826" i="5"/>
  <c r="W825" i="5"/>
  <c r="V825" i="5"/>
  <c r="U825" i="5"/>
  <c r="T825" i="5"/>
  <c r="S825" i="5"/>
  <c r="R825" i="5"/>
  <c r="Q825" i="5"/>
  <c r="P825" i="5"/>
  <c r="O825" i="5"/>
  <c r="N825" i="5"/>
  <c r="M825" i="5"/>
  <c r="L825" i="5"/>
  <c r="K825" i="5"/>
  <c r="J825" i="5"/>
  <c r="I825" i="5"/>
  <c r="H825" i="5"/>
  <c r="G825" i="5"/>
  <c r="F825" i="5"/>
  <c r="E825" i="5"/>
  <c r="D825" i="5"/>
  <c r="C825" i="5"/>
  <c r="B825" i="5"/>
  <c r="W824" i="5"/>
  <c r="V824" i="5"/>
  <c r="U824" i="5"/>
  <c r="T824" i="5"/>
  <c r="S824" i="5"/>
  <c r="R824" i="5"/>
  <c r="Q824" i="5"/>
  <c r="P824" i="5"/>
  <c r="O824" i="5"/>
  <c r="N824" i="5"/>
  <c r="M824" i="5"/>
  <c r="L824" i="5"/>
  <c r="K824" i="5"/>
  <c r="J824" i="5"/>
  <c r="I824" i="5"/>
  <c r="H824" i="5"/>
  <c r="G824" i="5"/>
  <c r="F824" i="5"/>
  <c r="E824" i="5"/>
  <c r="D824" i="5"/>
  <c r="C824" i="5"/>
  <c r="B824" i="5"/>
  <c r="W823" i="5"/>
  <c r="V823" i="5"/>
  <c r="U823" i="5"/>
  <c r="T823" i="5"/>
  <c r="S823" i="5"/>
  <c r="R823" i="5"/>
  <c r="Q823" i="5"/>
  <c r="P823" i="5"/>
  <c r="O823" i="5"/>
  <c r="N823" i="5"/>
  <c r="M823" i="5"/>
  <c r="L823" i="5"/>
  <c r="K823" i="5"/>
  <c r="J823" i="5"/>
  <c r="I823" i="5"/>
  <c r="H823" i="5"/>
  <c r="G823" i="5"/>
  <c r="F823" i="5"/>
  <c r="E823" i="5"/>
  <c r="D823" i="5"/>
  <c r="C823" i="5"/>
  <c r="B823" i="5"/>
  <c r="W822" i="5"/>
  <c r="V822" i="5"/>
  <c r="U822" i="5"/>
  <c r="T822" i="5"/>
  <c r="S822" i="5"/>
  <c r="R822" i="5"/>
  <c r="Q822" i="5"/>
  <c r="P822" i="5"/>
  <c r="M822" i="5"/>
  <c r="H822" i="5"/>
  <c r="D822" i="5"/>
  <c r="U821" i="5"/>
  <c r="Q821" i="5"/>
  <c r="L821" i="5"/>
  <c r="I821" i="5"/>
  <c r="E821" i="5"/>
  <c r="B821" i="5"/>
  <c r="U820" i="5"/>
  <c r="I820" i="5"/>
  <c r="E820" i="5"/>
  <c r="V819" i="5"/>
  <c r="R819" i="5"/>
  <c r="M819" i="5"/>
  <c r="I819" i="5"/>
  <c r="D819" i="5"/>
  <c r="V818" i="5"/>
  <c r="P818" i="5"/>
  <c r="L818" i="5"/>
  <c r="G818" i="5"/>
  <c r="C818" i="5"/>
  <c r="T817" i="5"/>
  <c r="P817" i="5"/>
  <c r="L817" i="5"/>
  <c r="G817" i="5"/>
  <c r="C817" i="5"/>
  <c r="T816" i="5"/>
  <c r="P816" i="5"/>
  <c r="L816" i="5"/>
  <c r="H816" i="5"/>
  <c r="D816" i="5"/>
  <c r="V815" i="5"/>
  <c r="R815" i="5"/>
  <c r="M815" i="5"/>
  <c r="I815" i="5"/>
  <c r="F815" i="5"/>
  <c r="B815" i="5"/>
  <c r="T814" i="5"/>
  <c r="H814" i="5"/>
  <c r="C814" i="5"/>
  <c r="T813" i="5"/>
  <c r="O813" i="5"/>
  <c r="J813" i="5"/>
  <c r="E813" i="5"/>
  <c r="V812" i="5"/>
  <c r="Q812" i="5"/>
  <c r="M812" i="5"/>
  <c r="I812" i="5"/>
  <c r="E812" i="5"/>
  <c r="V811" i="5"/>
  <c r="R811" i="5"/>
  <c r="K811" i="5"/>
  <c r="F811" i="5"/>
  <c r="C811" i="5"/>
  <c r="T810" i="5"/>
  <c r="N810" i="5"/>
  <c r="I810" i="5"/>
  <c r="E810" i="5"/>
  <c r="V809" i="5"/>
  <c r="P809" i="5"/>
  <c r="L809" i="5"/>
  <c r="K809" i="5"/>
  <c r="H809" i="5"/>
  <c r="E809" i="5"/>
  <c r="B809" i="5"/>
  <c r="U808" i="5"/>
  <c r="N807" i="5"/>
  <c r="J807" i="5"/>
  <c r="F807" i="5"/>
  <c r="B807" i="5"/>
  <c r="T806" i="5"/>
  <c r="P806" i="5"/>
  <c r="L806" i="5"/>
  <c r="I806" i="5"/>
  <c r="F806" i="5"/>
  <c r="C806" i="5"/>
  <c r="U805" i="5"/>
  <c r="R805" i="5"/>
  <c r="N805" i="5"/>
  <c r="J805" i="5"/>
  <c r="H805" i="5"/>
  <c r="U845" i="5"/>
  <c r="H846" i="5"/>
  <c r="M846" i="5"/>
  <c r="R846" i="5"/>
  <c r="W846" i="5"/>
  <c r="F847" i="5"/>
  <c r="K847" i="5"/>
  <c r="P847" i="5"/>
  <c r="U847" i="5"/>
  <c r="D848" i="5"/>
  <c r="I848" i="5"/>
  <c r="N848" i="5"/>
  <c r="S848" i="5"/>
  <c r="B849" i="5"/>
  <c r="E849" i="5"/>
  <c r="J849" i="5"/>
  <c r="O849" i="5"/>
  <c r="C850" i="5"/>
  <c r="H850" i="5"/>
  <c r="M850" i="5"/>
  <c r="R850" i="5"/>
  <c r="W850" i="5"/>
  <c r="F851" i="5"/>
  <c r="K851" i="5"/>
  <c r="P851" i="5"/>
  <c r="U851" i="5"/>
  <c r="C852" i="5"/>
  <c r="H852" i="5"/>
  <c r="K852" i="5"/>
  <c r="O852" i="5"/>
  <c r="T852" i="5"/>
  <c r="C853" i="5"/>
  <c r="L871" i="5"/>
  <c r="R871" i="5"/>
  <c r="R198" i="5"/>
  <c r="G180" i="5"/>
  <c r="T179" i="5"/>
  <c r="K179" i="5"/>
  <c r="C179" i="5"/>
  <c r="S178" i="5"/>
  <c r="J178" i="5"/>
  <c r="D178" i="5"/>
  <c r="R177" i="5"/>
  <c r="I177" i="5"/>
  <c r="B177" i="5"/>
  <c r="P176" i="5"/>
  <c r="H176" i="5"/>
  <c r="B176" i="5"/>
  <c r="P175" i="5"/>
  <c r="I175" i="5"/>
  <c r="C175" i="5"/>
  <c r="Q174" i="5"/>
  <c r="D143" i="5"/>
  <c r="P142" i="5"/>
  <c r="F142" i="5"/>
  <c r="Q141" i="5"/>
  <c r="K141" i="5"/>
  <c r="D141" i="5"/>
  <c r="R814" i="5"/>
  <c r="Q814" i="5"/>
  <c r="P814" i="5"/>
  <c r="O814" i="5"/>
  <c r="N814" i="5"/>
  <c r="M814" i="5"/>
  <c r="L814" i="5"/>
  <c r="K814" i="5"/>
  <c r="G814" i="5"/>
  <c r="B814" i="5"/>
  <c r="S813" i="5"/>
  <c r="N813" i="5"/>
  <c r="H813" i="5"/>
  <c r="C813" i="5"/>
  <c r="T812" i="5"/>
  <c r="P812" i="5"/>
  <c r="L812" i="5"/>
  <c r="H812" i="5"/>
  <c r="D812" i="5"/>
  <c r="U811" i="5"/>
  <c r="P811" i="5"/>
  <c r="M811" i="5"/>
  <c r="H811" i="5"/>
  <c r="W810" i="5"/>
  <c r="R810" i="5"/>
  <c r="M810" i="5"/>
  <c r="H810" i="5"/>
  <c r="D810" i="5"/>
  <c r="U809" i="5"/>
  <c r="Q809" i="5"/>
  <c r="N809" i="5"/>
  <c r="I809" i="5"/>
  <c r="F809" i="5"/>
  <c r="D809" i="5"/>
  <c r="V808" i="5"/>
  <c r="T808" i="5"/>
  <c r="Q808" i="5"/>
  <c r="O808" i="5"/>
  <c r="K808" i="5"/>
  <c r="J808" i="5"/>
  <c r="G808" i="5"/>
  <c r="B808" i="5"/>
  <c r="V807" i="5"/>
  <c r="S807" i="5"/>
  <c r="P807" i="5"/>
  <c r="L807" i="5"/>
  <c r="G807" i="5"/>
  <c r="D807" i="5"/>
  <c r="V806" i="5"/>
  <c r="R806" i="5"/>
  <c r="M806" i="5"/>
  <c r="K806" i="5"/>
  <c r="G806" i="5"/>
  <c r="E806" i="5"/>
  <c r="B806" i="5"/>
  <c r="T805" i="5"/>
  <c r="P805" i="5"/>
  <c r="L805" i="5"/>
  <c r="F805" i="5"/>
  <c r="D805" i="5"/>
  <c r="W804" i="5"/>
  <c r="S804" i="5"/>
  <c r="Q804" i="5"/>
  <c r="M804" i="5"/>
  <c r="I804" i="5"/>
  <c r="F804" i="5"/>
  <c r="B845" i="5"/>
  <c r="E845" i="5"/>
  <c r="I845" i="5"/>
  <c r="N845" i="5"/>
  <c r="Q845" i="5"/>
  <c r="V845" i="5"/>
  <c r="G846" i="5"/>
  <c r="J846" i="5"/>
  <c r="P846" i="5"/>
  <c r="T846" i="5"/>
  <c r="D847" i="5"/>
  <c r="I847" i="5"/>
  <c r="N847" i="5"/>
  <c r="S847" i="5"/>
  <c r="B848" i="5"/>
  <c r="G848" i="5"/>
  <c r="L848" i="5"/>
  <c r="Q848" i="5"/>
  <c r="V848" i="5"/>
  <c r="G849" i="5"/>
  <c r="L849" i="5"/>
  <c r="Q849" i="5"/>
  <c r="U849" i="5"/>
  <c r="D850" i="5"/>
  <c r="I850" i="5"/>
  <c r="N850" i="5"/>
  <c r="S850" i="5"/>
  <c r="B851" i="5"/>
  <c r="G851" i="5"/>
  <c r="L851" i="5"/>
  <c r="Q851" i="5"/>
  <c r="V851" i="5"/>
  <c r="E852" i="5"/>
  <c r="J852" i="5"/>
  <c r="N852" i="5"/>
  <c r="S852" i="5"/>
  <c r="B853" i="5"/>
  <c r="J871" i="5"/>
  <c r="P871" i="5"/>
  <c r="V871" i="5"/>
  <c r="I180" i="5"/>
  <c r="V179" i="5"/>
  <c r="N179" i="5"/>
  <c r="F179" i="5"/>
  <c r="R178" i="5"/>
  <c r="H178" i="5"/>
  <c r="V177" i="5"/>
  <c r="L177" i="5"/>
  <c r="D177" i="5"/>
  <c r="Q176" i="5"/>
  <c r="L176" i="5"/>
  <c r="C176" i="5"/>
  <c r="O175" i="5"/>
  <c r="G175" i="5"/>
  <c r="S174" i="5"/>
  <c r="M174" i="5"/>
  <c r="U142" i="5"/>
  <c r="J142" i="5"/>
  <c r="R141" i="5"/>
  <c r="M141" i="5"/>
  <c r="D853" i="5"/>
  <c r="E853" i="5"/>
  <c r="F853" i="5"/>
  <c r="G853" i="5"/>
  <c r="H853" i="5"/>
  <c r="I853" i="5"/>
  <c r="J853" i="5"/>
  <c r="K853" i="5"/>
  <c r="L853" i="5"/>
  <c r="M853" i="5"/>
  <c r="N853" i="5"/>
  <c r="O853" i="5"/>
  <c r="P853" i="5"/>
  <c r="Q853" i="5"/>
  <c r="R853" i="5"/>
  <c r="S853" i="5"/>
  <c r="T853" i="5"/>
  <c r="U853" i="5"/>
  <c r="V853" i="5"/>
  <c r="W853" i="5"/>
  <c r="B854" i="5"/>
  <c r="C854" i="5"/>
  <c r="D854" i="5"/>
  <c r="E854" i="5"/>
  <c r="F854" i="5"/>
  <c r="G854" i="5"/>
  <c r="H854" i="5"/>
  <c r="I854" i="5"/>
  <c r="J854" i="5"/>
  <c r="K854" i="5"/>
  <c r="L854" i="5"/>
  <c r="M854" i="5"/>
  <c r="N854" i="5"/>
  <c r="O854" i="5"/>
  <c r="P854" i="5"/>
  <c r="Q854" i="5"/>
  <c r="R854" i="5"/>
  <c r="S854" i="5"/>
  <c r="T854" i="5"/>
  <c r="U854" i="5"/>
  <c r="V854" i="5"/>
  <c r="W854" i="5"/>
  <c r="B855" i="5"/>
  <c r="C855" i="5"/>
  <c r="D855" i="5"/>
  <c r="E855" i="5"/>
  <c r="F855" i="5"/>
  <c r="G855" i="5"/>
  <c r="H855" i="5"/>
  <c r="I855" i="5"/>
  <c r="J855" i="5"/>
  <c r="K855" i="5"/>
  <c r="L855" i="5"/>
  <c r="M855" i="5"/>
  <c r="N855" i="5"/>
  <c r="O855" i="5"/>
  <c r="P855" i="5"/>
  <c r="Q855" i="5"/>
  <c r="R855" i="5"/>
  <c r="S855" i="5"/>
  <c r="T855" i="5"/>
  <c r="U855" i="5"/>
  <c r="V855" i="5"/>
  <c r="W855" i="5"/>
  <c r="B856" i="5"/>
  <c r="C856" i="5"/>
  <c r="D856" i="5"/>
  <c r="E856" i="5"/>
  <c r="F856" i="5"/>
  <c r="G856" i="5"/>
  <c r="H856" i="5"/>
  <c r="I856" i="5"/>
  <c r="J856" i="5"/>
  <c r="K856" i="5"/>
  <c r="L856" i="5"/>
  <c r="M856" i="5"/>
  <c r="N856" i="5"/>
  <c r="O856" i="5"/>
  <c r="P856" i="5"/>
  <c r="Q856" i="5"/>
  <c r="R856" i="5"/>
  <c r="S856" i="5"/>
  <c r="T856" i="5"/>
  <c r="U856" i="5"/>
  <c r="V856" i="5"/>
  <c r="W856" i="5"/>
  <c r="B857" i="5"/>
  <c r="C857" i="5"/>
  <c r="D857" i="5"/>
  <c r="E857" i="5"/>
  <c r="F857" i="5"/>
  <c r="G857" i="5"/>
  <c r="H857" i="5"/>
  <c r="I857" i="5"/>
  <c r="J857" i="5"/>
  <c r="K857" i="5"/>
  <c r="L857" i="5"/>
  <c r="M857" i="5"/>
  <c r="N857" i="5"/>
  <c r="O857" i="5"/>
  <c r="P857" i="5"/>
  <c r="Q857" i="5"/>
  <c r="R857" i="5"/>
  <c r="S857" i="5"/>
  <c r="T857" i="5"/>
  <c r="U857" i="5"/>
  <c r="V857" i="5"/>
  <c r="W857" i="5"/>
  <c r="B858" i="5"/>
  <c r="C858" i="5"/>
  <c r="D858" i="5"/>
  <c r="E858" i="5"/>
  <c r="F858" i="5"/>
  <c r="G858" i="5"/>
  <c r="H858" i="5"/>
  <c r="I858" i="5"/>
  <c r="J858" i="5"/>
  <c r="K858" i="5"/>
  <c r="L858" i="5"/>
  <c r="M858" i="5"/>
  <c r="N858" i="5"/>
  <c r="O858" i="5"/>
  <c r="P858" i="5"/>
  <c r="Q858" i="5"/>
  <c r="R858" i="5"/>
  <c r="S858" i="5"/>
  <c r="T858" i="5"/>
  <c r="U858" i="5"/>
  <c r="V858" i="5"/>
  <c r="W858" i="5"/>
  <c r="B859" i="5"/>
  <c r="C859" i="5"/>
  <c r="D859" i="5"/>
  <c r="E859" i="5"/>
  <c r="F859" i="5"/>
  <c r="G859" i="5"/>
  <c r="H859" i="5"/>
  <c r="I859" i="5"/>
  <c r="J859" i="5"/>
  <c r="K859" i="5"/>
  <c r="L859" i="5"/>
  <c r="M859" i="5"/>
  <c r="N859" i="5"/>
  <c r="O859" i="5"/>
  <c r="P859" i="5"/>
  <c r="Q859" i="5"/>
  <c r="R859" i="5"/>
  <c r="S859" i="5"/>
  <c r="T859" i="5"/>
  <c r="U859" i="5"/>
  <c r="V859" i="5"/>
  <c r="W859" i="5"/>
  <c r="B860" i="5"/>
  <c r="C860" i="5"/>
  <c r="D860" i="5"/>
  <c r="E860" i="5"/>
  <c r="F860" i="5"/>
  <c r="G860" i="5"/>
  <c r="H860" i="5"/>
  <c r="I860" i="5"/>
  <c r="J860" i="5"/>
  <c r="K860" i="5"/>
  <c r="L860" i="5"/>
  <c r="M860" i="5"/>
  <c r="N860" i="5"/>
  <c r="O860" i="5"/>
  <c r="P860" i="5"/>
  <c r="Q860" i="5"/>
  <c r="R860" i="5"/>
  <c r="S860" i="5"/>
  <c r="T860" i="5"/>
  <c r="U860" i="5"/>
  <c r="V860" i="5"/>
  <c r="W860" i="5"/>
  <c r="B861" i="5"/>
  <c r="C861" i="5"/>
  <c r="D861" i="5"/>
  <c r="E861" i="5"/>
  <c r="F861" i="5"/>
  <c r="G861" i="5"/>
  <c r="H861" i="5"/>
  <c r="I861" i="5"/>
  <c r="J861" i="5"/>
  <c r="K861" i="5"/>
  <c r="L861" i="5"/>
  <c r="M861" i="5"/>
  <c r="N861" i="5"/>
  <c r="O861" i="5"/>
  <c r="P861" i="5"/>
  <c r="Q861" i="5"/>
  <c r="R861" i="5"/>
  <c r="S861" i="5"/>
  <c r="T861" i="5"/>
  <c r="U861" i="5"/>
  <c r="V861" i="5"/>
  <c r="W861" i="5"/>
  <c r="B862" i="5"/>
  <c r="C862" i="5"/>
  <c r="D862" i="5"/>
  <c r="E862" i="5"/>
  <c r="F862" i="5"/>
  <c r="G862" i="5"/>
  <c r="H862" i="5"/>
  <c r="I862" i="5"/>
  <c r="J862" i="5"/>
  <c r="K862" i="5"/>
  <c r="L862" i="5"/>
  <c r="M862" i="5"/>
  <c r="N862" i="5"/>
  <c r="O862" i="5"/>
  <c r="P862" i="5"/>
  <c r="Q862" i="5"/>
  <c r="R862" i="5"/>
  <c r="S862" i="5"/>
  <c r="T862" i="5"/>
  <c r="U862" i="5"/>
  <c r="V862" i="5"/>
  <c r="W862" i="5"/>
  <c r="B863" i="5"/>
  <c r="C863" i="5"/>
  <c r="D863" i="5"/>
  <c r="E863" i="5"/>
  <c r="F863" i="5"/>
  <c r="G863" i="5"/>
  <c r="H863" i="5"/>
  <c r="I863" i="5"/>
  <c r="J863" i="5"/>
  <c r="K863" i="5"/>
  <c r="L863" i="5"/>
  <c r="M863" i="5"/>
  <c r="N863" i="5"/>
  <c r="O863" i="5"/>
  <c r="P863" i="5"/>
  <c r="Q863" i="5"/>
  <c r="R863" i="5"/>
  <c r="S863" i="5"/>
  <c r="T863" i="5"/>
  <c r="U863" i="5"/>
  <c r="V863" i="5"/>
  <c r="W863" i="5"/>
  <c r="B864" i="5"/>
  <c r="C864" i="5"/>
  <c r="D864" i="5"/>
  <c r="E864" i="5"/>
  <c r="F864" i="5"/>
  <c r="G864" i="5"/>
  <c r="H864" i="5"/>
  <c r="I864" i="5"/>
  <c r="J864" i="5"/>
  <c r="K864" i="5"/>
  <c r="L864" i="5"/>
  <c r="M864" i="5"/>
  <c r="N864" i="5"/>
  <c r="O864" i="5"/>
  <c r="P864" i="5"/>
  <c r="Q864" i="5"/>
  <c r="R864" i="5"/>
  <c r="S864" i="5"/>
  <c r="T864" i="5"/>
  <c r="U864" i="5"/>
  <c r="V864" i="5"/>
  <c r="W864" i="5"/>
  <c r="B865" i="5"/>
  <c r="C865" i="5"/>
  <c r="D865" i="5"/>
  <c r="E865" i="5"/>
  <c r="F865" i="5"/>
  <c r="G865" i="5"/>
  <c r="H865" i="5"/>
  <c r="I865" i="5"/>
  <c r="J865" i="5"/>
  <c r="K865" i="5"/>
  <c r="L865" i="5"/>
  <c r="M865" i="5"/>
  <c r="N865" i="5"/>
  <c r="O865" i="5"/>
  <c r="P865" i="5"/>
  <c r="Q865" i="5"/>
  <c r="R865" i="5"/>
  <c r="S865" i="5"/>
  <c r="T865" i="5"/>
  <c r="U865" i="5"/>
  <c r="V865" i="5"/>
  <c r="W865" i="5"/>
  <c r="B866" i="5"/>
  <c r="C866" i="5"/>
  <c r="D866" i="5"/>
  <c r="E866" i="5"/>
  <c r="F866" i="5"/>
  <c r="G866" i="5"/>
  <c r="H866" i="5"/>
  <c r="I866" i="5"/>
  <c r="J866" i="5"/>
  <c r="K866" i="5"/>
  <c r="L866" i="5"/>
  <c r="M866" i="5"/>
  <c r="N866" i="5"/>
  <c r="O866" i="5"/>
  <c r="P866" i="5"/>
  <c r="Q866" i="5"/>
  <c r="R866" i="5"/>
  <c r="S866" i="5"/>
  <c r="T866" i="5"/>
  <c r="U866" i="5"/>
  <c r="V866" i="5"/>
  <c r="W866" i="5"/>
  <c r="B867" i="5"/>
  <c r="C867" i="5"/>
  <c r="D867" i="5"/>
  <c r="E867" i="5"/>
  <c r="F867" i="5"/>
  <c r="G867" i="5"/>
  <c r="H867" i="5"/>
  <c r="I867" i="5"/>
  <c r="J867" i="5"/>
  <c r="K867" i="5"/>
  <c r="L867" i="5"/>
  <c r="M867" i="5"/>
  <c r="N867" i="5"/>
  <c r="O867" i="5"/>
  <c r="P867" i="5"/>
  <c r="Q867" i="5"/>
  <c r="R867" i="5"/>
  <c r="S867" i="5"/>
  <c r="T867" i="5"/>
  <c r="U867" i="5"/>
  <c r="V867" i="5"/>
  <c r="W867" i="5"/>
  <c r="B868" i="5"/>
  <c r="C868" i="5"/>
  <c r="D868" i="5"/>
  <c r="E868" i="5"/>
  <c r="F868" i="5"/>
  <c r="G868" i="5"/>
  <c r="H868" i="5"/>
  <c r="I868" i="5"/>
  <c r="J868" i="5"/>
  <c r="K868" i="5"/>
  <c r="L868" i="5"/>
  <c r="M868" i="5"/>
  <c r="N868" i="5"/>
  <c r="O868" i="5"/>
  <c r="P868" i="5"/>
  <c r="Q868" i="5"/>
  <c r="R868" i="5"/>
  <c r="S868" i="5"/>
  <c r="T868" i="5"/>
  <c r="U868" i="5"/>
  <c r="V868" i="5"/>
  <c r="W868" i="5"/>
  <c r="B869" i="5"/>
  <c r="C869" i="5"/>
  <c r="D869" i="5"/>
  <c r="E869" i="5"/>
  <c r="F869" i="5"/>
  <c r="G869" i="5"/>
  <c r="H869" i="5"/>
  <c r="I869" i="5"/>
  <c r="J869" i="5"/>
  <c r="K869" i="5"/>
  <c r="L869" i="5"/>
  <c r="M869" i="5"/>
  <c r="N869" i="5"/>
  <c r="O869" i="5"/>
  <c r="P869" i="5"/>
  <c r="Q869" i="5"/>
  <c r="R869" i="5"/>
  <c r="S869" i="5"/>
  <c r="T869" i="5"/>
  <c r="U869" i="5"/>
  <c r="V869" i="5"/>
  <c r="W869" i="5"/>
  <c r="B870" i="5"/>
  <c r="C870" i="5"/>
  <c r="D870" i="5"/>
  <c r="E870" i="5"/>
  <c r="F870" i="5"/>
  <c r="G870" i="5"/>
  <c r="H870" i="5"/>
  <c r="I870" i="5"/>
  <c r="J870" i="5"/>
  <c r="K870" i="5"/>
  <c r="L870" i="5"/>
  <c r="M870" i="5"/>
  <c r="N870" i="5"/>
  <c r="O870" i="5"/>
  <c r="P870" i="5"/>
  <c r="Q870" i="5"/>
  <c r="R870" i="5"/>
  <c r="S870" i="5"/>
  <c r="T870" i="5"/>
  <c r="U870" i="5"/>
  <c r="V870" i="5"/>
  <c r="W870" i="5"/>
  <c r="B871" i="5"/>
  <c r="C871" i="5"/>
  <c r="D871" i="5"/>
  <c r="E871" i="5"/>
  <c r="F871" i="5"/>
  <c r="K871" i="5"/>
  <c r="Q871" i="5"/>
  <c r="W871" i="5"/>
  <c r="H180" i="5"/>
  <c r="U179" i="5"/>
  <c r="M179" i="5"/>
  <c r="E179" i="5"/>
  <c r="Q178" i="5"/>
  <c r="K178" i="5"/>
  <c r="B178" i="5"/>
  <c r="P177" i="5"/>
  <c r="H177" i="5"/>
  <c r="V176" i="5"/>
  <c r="N176" i="5"/>
  <c r="F176" i="5"/>
  <c r="T175" i="5"/>
  <c r="L175" i="5"/>
  <c r="D175" i="5"/>
  <c r="R174" i="5"/>
  <c r="F143" i="5"/>
  <c r="T142" i="5"/>
  <c r="H142" i="5"/>
  <c r="W141" i="5"/>
  <c r="L141" i="5"/>
  <c r="F119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W198" i="5"/>
  <c r="V198" i="5"/>
  <c r="U198" i="5"/>
  <c r="T198" i="5"/>
  <c r="S198" i="5"/>
  <c r="Q198" i="5"/>
  <c r="F180" i="5"/>
  <c r="S179" i="5"/>
  <c r="L179" i="5"/>
  <c r="B179" i="5"/>
  <c r="P178" i="5"/>
  <c r="L178" i="5"/>
  <c r="C178" i="5"/>
  <c r="Q177" i="5"/>
  <c r="J177" i="5"/>
  <c r="W176" i="5"/>
  <c r="O176" i="5"/>
  <c r="G176" i="5"/>
  <c r="U175" i="5"/>
  <c r="M175" i="5"/>
  <c r="E175" i="5"/>
  <c r="B175" i="5"/>
  <c r="P174" i="5"/>
  <c r="C143" i="5"/>
  <c r="O142" i="5"/>
  <c r="E142" i="5"/>
  <c r="P141" i="5"/>
  <c r="I141" i="5"/>
  <c r="C141" i="5"/>
  <c r="P198" i="5"/>
  <c r="O198" i="5"/>
  <c r="N198" i="5"/>
  <c r="M198" i="5"/>
  <c r="L198" i="5"/>
  <c r="K198" i="5"/>
  <c r="J198" i="5"/>
  <c r="I198" i="5"/>
  <c r="H198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W180" i="5"/>
  <c r="V180" i="5"/>
  <c r="U180" i="5"/>
  <c r="T180" i="5"/>
  <c r="S180" i="5"/>
  <c r="R180" i="5"/>
  <c r="Q180" i="5"/>
  <c r="P180" i="5"/>
  <c r="O180" i="5"/>
  <c r="N180" i="5"/>
  <c r="M180" i="5"/>
  <c r="D180" i="5"/>
  <c r="R179" i="5"/>
  <c r="I179" i="5"/>
  <c r="V178" i="5"/>
  <c r="O178" i="5"/>
  <c r="G178" i="5"/>
  <c r="U177" i="5"/>
  <c r="N177" i="5"/>
  <c r="F177" i="5"/>
  <c r="T176" i="5"/>
  <c r="I176" i="5"/>
  <c r="W175" i="5"/>
  <c r="Q175" i="5"/>
  <c r="K175" i="5"/>
  <c r="V174" i="5"/>
  <c r="O174" i="5"/>
  <c r="R142" i="5"/>
  <c r="I142" i="5"/>
  <c r="V141" i="5"/>
  <c r="G141" i="5"/>
  <c r="L174" i="5"/>
  <c r="K174" i="5"/>
  <c r="J174" i="5"/>
  <c r="I174" i="5"/>
  <c r="H174" i="5"/>
  <c r="G174" i="5"/>
  <c r="F174" i="5"/>
  <c r="E174" i="5"/>
  <c r="D174" i="5"/>
  <c r="C174" i="5"/>
  <c r="B174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D169" i="5"/>
  <c r="C169" i="5"/>
  <c r="B169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C168" i="5"/>
  <c r="B168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D167" i="5"/>
  <c r="C167" i="5"/>
  <c r="B167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C157" i="5"/>
  <c r="B157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B119" i="5"/>
  <c r="V144" i="5"/>
  <c r="T144" i="5"/>
  <c r="Q144" i="5"/>
  <c r="P144" i="5"/>
  <c r="M144" i="5"/>
  <c r="L144" i="5"/>
  <c r="I144" i="5"/>
  <c r="H144" i="5"/>
  <c r="E144" i="5"/>
  <c r="D144" i="5"/>
  <c r="W143" i="5"/>
  <c r="U143" i="5"/>
  <c r="T143" i="5"/>
  <c r="R143" i="5"/>
  <c r="P143" i="5"/>
  <c r="N143" i="5"/>
  <c r="L143" i="5"/>
  <c r="J143" i="5"/>
  <c r="B143" i="5"/>
  <c r="N142" i="5"/>
  <c r="C142" i="5"/>
  <c r="O141" i="5"/>
  <c r="E141" i="5"/>
  <c r="C154" i="5"/>
  <c r="B154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D152" i="5"/>
  <c r="C152" i="5"/>
  <c r="B152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E119" i="5"/>
  <c r="D119" i="5"/>
  <c r="C119" i="5"/>
  <c r="W144" i="5"/>
  <c r="U144" i="5"/>
  <c r="S144" i="5"/>
  <c r="R144" i="5"/>
  <c r="O144" i="5"/>
  <c r="N144" i="5"/>
  <c r="K144" i="5"/>
  <c r="J144" i="5"/>
  <c r="G144" i="5"/>
  <c r="F144" i="5"/>
  <c r="C144" i="5"/>
  <c r="B144" i="5"/>
  <c r="V143" i="5"/>
  <c r="S143" i="5"/>
  <c r="Q143" i="5"/>
  <c r="O143" i="5"/>
  <c r="M143" i="5"/>
  <c r="K143" i="5"/>
  <c r="I143" i="5"/>
  <c r="W142" i="5"/>
  <c r="M142" i="5"/>
  <c r="B142" i="5"/>
  <c r="F141" i="5"/>
  <c r="B141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E157" i="5"/>
  <c r="E167" i="5"/>
  <c r="G167" i="5"/>
  <c r="E143" i="5"/>
  <c r="D157" i="5"/>
  <c r="G157" i="5"/>
  <c r="E180" i="5"/>
  <c r="D179" i="5"/>
  <c r="D168" i="5"/>
  <c r="G169" i="5"/>
  <c r="E169" i="5"/>
  <c r="D142" i="5"/>
  <c r="F167" i="5"/>
  <c r="F157" i="5"/>
  <c r="F169" i="5"/>
  <c r="E15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W82" i="5"/>
  <c r="U82" i="5"/>
  <c r="S82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V82" i="5"/>
  <c r="T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C31" i="5"/>
  <c r="B31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E3" i="5"/>
  <c r="D3" i="5"/>
  <c r="L875" i="5"/>
  <c r="L874" i="5"/>
  <c r="L873" i="5"/>
  <c r="L872" i="5"/>
  <c r="W875" i="5"/>
  <c r="K875" i="5"/>
  <c r="W874" i="5"/>
  <c r="K874" i="5"/>
  <c r="W873" i="5"/>
  <c r="K873" i="5"/>
  <c r="W872" i="5"/>
  <c r="K872" i="5"/>
  <c r="V875" i="5"/>
  <c r="J875" i="5"/>
  <c r="V874" i="5"/>
  <c r="J874" i="5"/>
  <c r="V873" i="5"/>
  <c r="J873" i="5"/>
  <c r="V872" i="5"/>
  <c r="J872" i="5"/>
  <c r="U875" i="5"/>
  <c r="I875" i="5"/>
  <c r="U874" i="5"/>
  <c r="I874" i="5"/>
  <c r="U873" i="5"/>
  <c r="I873" i="5"/>
  <c r="U872" i="5"/>
  <c r="I872" i="5"/>
  <c r="T875" i="5"/>
  <c r="H875" i="5"/>
  <c r="T874" i="5"/>
  <c r="H874" i="5"/>
  <c r="T873" i="5"/>
  <c r="H873" i="5"/>
  <c r="T872" i="5"/>
  <c r="H872" i="5"/>
  <c r="S875" i="5"/>
  <c r="R875" i="5"/>
  <c r="F875" i="5"/>
  <c r="R874" i="5"/>
  <c r="F874" i="5"/>
  <c r="R873" i="5"/>
  <c r="F873" i="5"/>
  <c r="R872" i="5"/>
  <c r="F872" i="5"/>
  <c r="Q875" i="5"/>
  <c r="E875" i="5"/>
  <c r="Q874" i="5"/>
  <c r="E874" i="5"/>
  <c r="P875" i="5"/>
  <c r="O875" i="5"/>
  <c r="C875" i="5"/>
  <c r="O874" i="5"/>
  <c r="C874" i="5"/>
  <c r="O873" i="5"/>
  <c r="C873" i="5"/>
  <c r="O872" i="5"/>
  <c r="C872" i="5"/>
  <c r="N875" i="5"/>
  <c r="B875" i="5"/>
  <c r="N874" i="5"/>
  <c r="B874" i="5"/>
  <c r="N873" i="5"/>
  <c r="B873" i="5"/>
  <c r="N872" i="5"/>
  <c r="B872" i="5"/>
  <c r="M875" i="5"/>
  <c r="M874" i="5"/>
  <c r="M873" i="5"/>
  <c r="M872" i="5"/>
  <c r="D873" i="5"/>
  <c r="G875" i="5"/>
  <c r="S872" i="5"/>
  <c r="D875" i="5"/>
  <c r="Q872" i="5"/>
  <c r="S874" i="5"/>
  <c r="P872" i="5"/>
  <c r="W137" i="5"/>
  <c r="K137" i="5"/>
  <c r="W136" i="5"/>
  <c r="K136" i="5"/>
  <c r="W134" i="5"/>
  <c r="K134" i="5"/>
  <c r="W133" i="5"/>
  <c r="K133" i="5"/>
  <c r="W132" i="5"/>
  <c r="P874" i="5"/>
  <c r="G872" i="5"/>
  <c r="G874" i="5"/>
  <c r="E872" i="5"/>
  <c r="D874" i="5"/>
  <c r="D872" i="5"/>
  <c r="S873" i="5"/>
  <c r="Q873" i="5"/>
  <c r="R137" i="5"/>
  <c r="F137" i="5"/>
  <c r="R136" i="5"/>
  <c r="F136" i="5"/>
  <c r="R134" i="5"/>
  <c r="F134" i="5"/>
  <c r="R133" i="5"/>
  <c r="F133" i="5"/>
  <c r="R132" i="5"/>
  <c r="F132" i="5"/>
  <c r="Q137" i="5"/>
  <c r="C137" i="5"/>
  <c r="M136" i="5"/>
  <c r="V134" i="5"/>
  <c r="H134" i="5"/>
  <c r="Q133" i="5"/>
  <c r="C133" i="5"/>
  <c r="M132" i="5"/>
  <c r="L131" i="5"/>
  <c r="L130" i="5"/>
  <c r="L118" i="5"/>
  <c r="L117" i="5"/>
  <c r="L116" i="5"/>
  <c r="L115" i="5"/>
  <c r="L107" i="5"/>
  <c r="L106" i="5"/>
  <c r="L105" i="5"/>
  <c r="L104" i="5"/>
  <c r="L103" i="5"/>
  <c r="L102" i="5"/>
  <c r="L101" i="5"/>
  <c r="L100" i="5"/>
  <c r="L99" i="5"/>
  <c r="L97" i="5"/>
  <c r="L96" i="5"/>
  <c r="L95" i="5"/>
  <c r="L94" i="5"/>
  <c r="L93" i="5"/>
  <c r="L81" i="5"/>
  <c r="L80" i="5"/>
  <c r="P873" i="5"/>
  <c r="P137" i="5"/>
  <c r="B137" i="5"/>
  <c r="L136" i="5"/>
  <c r="U134" i="5"/>
  <c r="G134" i="5"/>
  <c r="P133" i="5"/>
  <c r="B133" i="5"/>
  <c r="L132" i="5"/>
  <c r="W131" i="5"/>
  <c r="K131" i="5"/>
  <c r="W130" i="5"/>
  <c r="K130" i="5"/>
  <c r="W118" i="5"/>
  <c r="K118" i="5"/>
  <c r="W117" i="5"/>
  <c r="K117" i="5"/>
  <c r="W116" i="5"/>
  <c r="K116" i="5"/>
  <c r="W115" i="5"/>
  <c r="K115" i="5"/>
  <c r="W107" i="5"/>
  <c r="K107" i="5"/>
  <c r="W106" i="5"/>
  <c r="K106" i="5"/>
  <c r="W105" i="5"/>
  <c r="K105" i="5"/>
  <c r="W104" i="5"/>
  <c r="K104" i="5"/>
  <c r="W103" i="5"/>
  <c r="K103" i="5"/>
  <c r="W102" i="5"/>
  <c r="K102" i="5"/>
  <c r="W101" i="5"/>
  <c r="K101" i="5"/>
  <c r="W100" i="5"/>
  <c r="K100" i="5"/>
  <c r="W99" i="5"/>
  <c r="K99" i="5"/>
  <c r="W97" i="5"/>
  <c r="K97" i="5"/>
  <c r="W96" i="5"/>
  <c r="K96" i="5"/>
  <c r="W95" i="5"/>
  <c r="K95" i="5"/>
  <c r="W94" i="5"/>
  <c r="K94" i="5"/>
  <c r="W93" i="5"/>
  <c r="K93" i="5"/>
  <c r="G873" i="5"/>
  <c r="O137" i="5"/>
  <c r="J136" i="5"/>
  <c r="T134" i="5"/>
  <c r="E134" i="5"/>
  <c r="O133" i="5"/>
  <c r="K132" i="5"/>
  <c r="V131" i="5"/>
  <c r="J131" i="5"/>
  <c r="V130" i="5"/>
  <c r="J130" i="5"/>
  <c r="V118" i="5"/>
  <c r="J118" i="5"/>
  <c r="V117" i="5"/>
  <c r="J117" i="5"/>
  <c r="V116" i="5"/>
  <c r="J116" i="5"/>
  <c r="V115" i="5"/>
  <c r="J115" i="5"/>
  <c r="V107" i="5"/>
  <c r="J107" i="5"/>
  <c r="V106" i="5"/>
  <c r="J106" i="5"/>
  <c r="V105" i="5"/>
  <c r="J105" i="5"/>
  <c r="V104" i="5"/>
  <c r="J104" i="5"/>
  <c r="V103" i="5"/>
  <c r="J103" i="5"/>
  <c r="V102" i="5"/>
  <c r="J102" i="5"/>
  <c r="V101" i="5"/>
  <c r="J101" i="5"/>
  <c r="V100" i="5"/>
  <c r="J100" i="5"/>
  <c r="V99" i="5"/>
  <c r="J99" i="5"/>
  <c r="V97" i="5"/>
  <c r="J97" i="5"/>
  <c r="V96" i="5"/>
  <c r="J96" i="5"/>
  <c r="V95" i="5"/>
  <c r="J95" i="5"/>
  <c r="V94" i="5"/>
  <c r="J94" i="5"/>
  <c r="V93" i="5"/>
  <c r="J93" i="5"/>
  <c r="E873" i="5"/>
  <c r="N137" i="5"/>
  <c r="I136" i="5"/>
  <c r="S134" i="5"/>
  <c r="D134" i="5"/>
  <c r="N133" i="5"/>
  <c r="J132" i="5"/>
  <c r="U131" i="5"/>
  <c r="I131" i="5"/>
  <c r="U130" i="5"/>
  <c r="I130" i="5"/>
  <c r="U118" i="5"/>
  <c r="I118" i="5"/>
  <c r="U117" i="5"/>
  <c r="I117" i="5"/>
  <c r="U116" i="5"/>
  <c r="I116" i="5"/>
  <c r="U115" i="5"/>
  <c r="I115" i="5"/>
  <c r="U107" i="5"/>
  <c r="I107" i="5"/>
  <c r="U106" i="5"/>
  <c r="I106" i="5"/>
  <c r="U105" i="5"/>
  <c r="I105" i="5"/>
  <c r="U104" i="5"/>
  <c r="I104" i="5"/>
  <c r="U103" i="5"/>
  <c r="I103" i="5"/>
  <c r="U102" i="5"/>
  <c r="I102" i="5"/>
  <c r="U101" i="5"/>
  <c r="I101" i="5"/>
  <c r="U100" i="5"/>
  <c r="I100" i="5"/>
  <c r="U99" i="5"/>
  <c r="I99" i="5"/>
  <c r="U97" i="5"/>
  <c r="I97" i="5"/>
  <c r="M137" i="5"/>
  <c r="V136" i="5"/>
  <c r="H136" i="5"/>
  <c r="Q134" i="5"/>
  <c r="C134" i="5"/>
  <c r="M133" i="5"/>
  <c r="V132" i="5"/>
  <c r="I132" i="5"/>
  <c r="T131" i="5"/>
  <c r="H131" i="5"/>
  <c r="T130" i="5"/>
  <c r="H130" i="5"/>
  <c r="T118" i="5"/>
  <c r="H118" i="5"/>
  <c r="T117" i="5"/>
  <c r="H117" i="5"/>
  <c r="T116" i="5"/>
  <c r="H116" i="5"/>
  <c r="T115" i="5"/>
  <c r="H115" i="5"/>
  <c r="T107" i="5"/>
  <c r="H107" i="5"/>
  <c r="T106" i="5"/>
  <c r="H106" i="5"/>
  <c r="T105" i="5"/>
  <c r="H105" i="5"/>
  <c r="T104" i="5"/>
  <c r="H104" i="5"/>
  <c r="T103" i="5"/>
  <c r="H103" i="5"/>
  <c r="T102" i="5"/>
  <c r="H102" i="5"/>
  <c r="T101" i="5"/>
  <c r="H101" i="5"/>
  <c r="T100" i="5"/>
  <c r="H100" i="5"/>
  <c r="T99" i="5"/>
  <c r="H99" i="5"/>
  <c r="T97" i="5"/>
  <c r="H97" i="5"/>
  <c r="T96" i="5"/>
  <c r="H96" i="5"/>
  <c r="T95" i="5"/>
  <c r="H95" i="5"/>
  <c r="T94" i="5"/>
  <c r="H94" i="5"/>
  <c r="T93" i="5"/>
  <c r="L137" i="5"/>
  <c r="U136" i="5"/>
  <c r="G136" i="5"/>
  <c r="P134" i="5"/>
  <c r="B134" i="5"/>
  <c r="L133" i="5"/>
  <c r="U132" i="5"/>
  <c r="H132" i="5"/>
  <c r="S131" i="5"/>
  <c r="G131" i="5"/>
  <c r="S130" i="5"/>
  <c r="G130" i="5"/>
  <c r="S118" i="5"/>
  <c r="G118" i="5"/>
  <c r="S117" i="5"/>
  <c r="G117" i="5"/>
  <c r="S116" i="5"/>
  <c r="G116" i="5"/>
  <c r="S115" i="5"/>
  <c r="G115" i="5"/>
  <c r="S107" i="5"/>
  <c r="G107" i="5"/>
  <c r="S106" i="5"/>
  <c r="G106" i="5"/>
  <c r="S105" i="5"/>
  <c r="G105" i="5"/>
  <c r="S104" i="5"/>
  <c r="G104" i="5"/>
  <c r="S103" i="5"/>
  <c r="G103" i="5"/>
  <c r="S102" i="5"/>
  <c r="G102" i="5"/>
  <c r="S101" i="5"/>
  <c r="G101" i="5"/>
  <c r="S100" i="5"/>
  <c r="G100" i="5"/>
  <c r="S99" i="5"/>
  <c r="G99" i="5"/>
  <c r="S97" i="5"/>
  <c r="G97" i="5"/>
  <c r="S96" i="5"/>
  <c r="G96" i="5"/>
  <c r="S95" i="5"/>
  <c r="G95" i="5"/>
  <c r="S94" i="5"/>
  <c r="G94" i="5"/>
  <c r="S93" i="5"/>
  <c r="G93" i="5"/>
  <c r="J137" i="5"/>
  <c r="T136" i="5"/>
  <c r="E136" i="5"/>
  <c r="O134" i="5"/>
  <c r="J133" i="5"/>
  <c r="T132" i="5"/>
  <c r="G132" i="5"/>
  <c r="R131" i="5"/>
  <c r="F131" i="5"/>
  <c r="R130" i="5"/>
  <c r="F130" i="5"/>
  <c r="R118" i="5"/>
  <c r="F118" i="5"/>
  <c r="R117" i="5"/>
  <c r="F117" i="5"/>
  <c r="R116" i="5"/>
  <c r="F116" i="5"/>
  <c r="R115" i="5"/>
  <c r="F115" i="5"/>
  <c r="R107" i="5"/>
  <c r="F107" i="5"/>
  <c r="V137" i="5"/>
  <c r="H137" i="5"/>
  <c r="Q136" i="5"/>
  <c r="C136" i="5"/>
  <c r="M134" i="5"/>
  <c r="V133" i="5"/>
  <c r="H133" i="5"/>
  <c r="Q132" i="5"/>
  <c r="U137" i="5"/>
  <c r="G137" i="5"/>
  <c r="P136" i="5"/>
  <c r="B136" i="5"/>
  <c r="L134" i="5"/>
  <c r="U133" i="5"/>
  <c r="G133" i="5"/>
  <c r="P132" i="5"/>
  <c r="C132" i="5"/>
  <c r="O131" i="5"/>
  <c r="C131" i="5"/>
  <c r="O130" i="5"/>
  <c r="C130" i="5"/>
  <c r="O118" i="5"/>
  <c r="C118" i="5"/>
  <c r="O117" i="5"/>
  <c r="C117" i="5"/>
  <c r="O116" i="5"/>
  <c r="C116" i="5"/>
  <c r="O115" i="5"/>
  <c r="C115" i="5"/>
  <c r="O107" i="5"/>
  <c r="C107" i="5"/>
  <c r="O106" i="5"/>
  <c r="C106" i="5"/>
  <c r="O105" i="5"/>
  <c r="C105" i="5"/>
  <c r="O104" i="5"/>
  <c r="C104" i="5"/>
  <c r="O103" i="5"/>
  <c r="C103" i="5"/>
  <c r="O102" i="5"/>
  <c r="C102" i="5"/>
  <c r="O101" i="5"/>
  <c r="C101" i="5"/>
  <c r="O100" i="5"/>
  <c r="C100" i="5"/>
  <c r="O99" i="5"/>
  <c r="C99" i="5"/>
  <c r="T137" i="5"/>
  <c r="E137" i="5"/>
  <c r="O136" i="5"/>
  <c r="J134" i="5"/>
  <c r="T133" i="5"/>
  <c r="E133" i="5"/>
  <c r="O132" i="5"/>
  <c r="B132" i="5"/>
  <c r="N131" i="5"/>
  <c r="B131" i="5"/>
  <c r="N130" i="5"/>
  <c r="S137" i="5"/>
  <c r="D133" i="5"/>
  <c r="Q130" i="5"/>
  <c r="P117" i="5"/>
  <c r="D116" i="5"/>
  <c r="P115" i="5"/>
  <c r="Q106" i="5"/>
  <c r="N105" i="5"/>
  <c r="F104" i="5"/>
  <c r="D103" i="5"/>
  <c r="Q100" i="5"/>
  <c r="N99" i="5"/>
  <c r="M97" i="5"/>
  <c r="N96" i="5"/>
  <c r="P95" i="5"/>
  <c r="R94" i="5"/>
  <c r="D93" i="5"/>
  <c r="V81" i="5"/>
  <c r="I81" i="5"/>
  <c r="T80" i="5"/>
  <c r="G80" i="5"/>
  <c r="S79" i="5"/>
  <c r="G79" i="5"/>
  <c r="S78" i="5"/>
  <c r="G78" i="5"/>
  <c r="S70" i="5"/>
  <c r="G70" i="5"/>
  <c r="S69" i="5"/>
  <c r="G69" i="5"/>
  <c r="S68" i="5"/>
  <c r="G68" i="5"/>
  <c r="S67" i="5"/>
  <c r="G67" i="5"/>
  <c r="S66" i="5"/>
  <c r="G66" i="5"/>
  <c r="S65" i="5"/>
  <c r="G65" i="5"/>
  <c r="S50" i="5"/>
  <c r="G50" i="5"/>
  <c r="S49" i="5"/>
  <c r="G49" i="5"/>
  <c r="S48" i="5"/>
  <c r="G48" i="5"/>
  <c r="S47" i="5"/>
  <c r="G47" i="5"/>
  <c r="S46" i="5"/>
  <c r="G46" i="5"/>
  <c r="S45" i="5"/>
  <c r="G45" i="5"/>
  <c r="P44" i="5"/>
  <c r="D44" i="5"/>
  <c r="P43" i="5"/>
  <c r="D43" i="5"/>
  <c r="P42" i="5"/>
  <c r="D42" i="5"/>
  <c r="P41" i="5"/>
  <c r="D41" i="5"/>
  <c r="Q33" i="5"/>
  <c r="D33" i="5"/>
  <c r="P22" i="5"/>
  <c r="D22" i="5"/>
  <c r="O21" i="5"/>
  <c r="C21" i="5"/>
  <c r="O18" i="5"/>
  <c r="C18" i="5"/>
  <c r="O17" i="5"/>
  <c r="C17" i="5"/>
  <c r="N16" i="5"/>
  <c r="I137" i="5"/>
  <c r="S132" i="5"/>
  <c r="P130" i="5"/>
  <c r="N117" i="5"/>
  <c r="B116" i="5"/>
  <c r="N115" i="5"/>
  <c r="P106" i="5"/>
  <c r="M105" i="5"/>
  <c r="E104" i="5"/>
  <c r="B103" i="5"/>
  <c r="R101" i="5"/>
  <c r="P100" i="5"/>
  <c r="M99" i="5"/>
  <c r="F97" i="5"/>
  <c r="M96" i="5"/>
  <c r="O95" i="5"/>
  <c r="Q94" i="5"/>
  <c r="U93" i="5"/>
  <c r="C93" i="5"/>
  <c r="U81" i="5"/>
  <c r="H81" i="5"/>
  <c r="S80" i="5"/>
  <c r="F80" i="5"/>
  <c r="R79" i="5"/>
  <c r="F79" i="5"/>
  <c r="R78" i="5"/>
  <c r="F78" i="5"/>
  <c r="R70" i="5"/>
  <c r="F70" i="5"/>
  <c r="R69" i="5"/>
  <c r="F69" i="5"/>
  <c r="R68" i="5"/>
  <c r="F68" i="5"/>
  <c r="R67" i="5"/>
  <c r="F67" i="5"/>
  <c r="R66" i="5"/>
  <c r="F66" i="5"/>
  <c r="R65" i="5"/>
  <c r="F65" i="5"/>
  <c r="R50" i="5"/>
  <c r="F50" i="5"/>
  <c r="R49" i="5"/>
  <c r="F49" i="5"/>
  <c r="R48" i="5"/>
  <c r="F48" i="5"/>
  <c r="R47" i="5"/>
  <c r="F47" i="5"/>
  <c r="R46" i="5"/>
  <c r="F46" i="5"/>
  <c r="R45" i="5"/>
  <c r="F45" i="5"/>
  <c r="O44" i="5"/>
  <c r="C44" i="5"/>
  <c r="O43" i="5"/>
  <c r="C43" i="5"/>
  <c r="O42" i="5"/>
  <c r="D137" i="5"/>
  <c r="N132" i="5"/>
  <c r="M130" i="5"/>
  <c r="M117" i="5"/>
  <c r="M115" i="5"/>
  <c r="N106" i="5"/>
  <c r="F105" i="5"/>
  <c r="D104" i="5"/>
  <c r="Q101" i="5"/>
  <c r="N100" i="5"/>
  <c r="F99" i="5"/>
  <c r="E97" i="5"/>
  <c r="I96" i="5"/>
  <c r="N95" i="5"/>
  <c r="P94" i="5"/>
  <c r="R93" i="5"/>
  <c r="B93" i="5"/>
  <c r="T81" i="5"/>
  <c r="G81" i="5"/>
  <c r="R80" i="5"/>
  <c r="E80" i="5"/>
  <c r="Q79" i="5"/>
  <c r="E79" i="5"/>
  <c r="Q78" i="5"/>
  <c r="E78" i="5"/>
  <c r="Q70" i="5"/>
  <c r="E70" i="5"/>
  <c r="Q69" i="5"/>
  <c r="E69" i="5"/>
  <c r="Q68" i="5"/>
  <c r="E68" i="5"/>
  <c r="Q67" i="5"/>
  <c r="E67" i="5"/>
  <c r="Q66" i="5"/>
  <c r="E66" i="5"/>
  <c r="Q65" i="5"/>
  <c r="E65" i="5"/>
  <c r="Q50" i="5"/>
  <c r="E50" i="5"/>
  <c r="Q49" i="5"/>
  <c r="E49" i="5"/>
  <c r="Q48" i="5"/>
  <c r="E48" i="5"/>
  <c r="Q47" i="5"/>
  <c r="E47" i="5"/>
  <c r="Q46" i="5"/>
  <c r="E46" i="5"/>
  <c r="Q45" i="5"/>
  <c r="E45" i="5"/>
  <c r="N44" i="5"/>
  <c r="B44" i="5"/>
  <c r="N43" i="5"/>
  <c r="B43" i="5"/>
  <c r="N42" i="5"/>
  <c r="B42" i="5"/>
  <c r="N41" i="5"/>
  <c r="S136" i="5"/>
  <c r="E132" i="5"/>
  <c r="E130" i="5"/>
  <c r="Q118" i="5"/>
  <c r="E117" i="5"/>
  <c r="E115" i="5"/>
  <c r="Q107" i="5"/>
  <c r="M106" i="5"/>
  <c r="E105" i="5"/>
  <c r="B104" i="5"/>
  <c r="R102" i="5"/>
  <c r="P101" i="5"/>
  <c r="M100" i="5"/>
  <c r="E99" i="5"/>
  <c r="D97" i="5"/>
  <c r="F96" i="5"/>
  <c r="M95" i="5"/>
  <c r="O94" i="5"/>
  <c r="Q93" i="5"/>
  <c r="S81" i="5"/>
  <c r="F81" i="5"/>
  <c r="Q80" i="5"/>
  <c r="D80" i="5"/>
  <c r="P79" i="5"/>
  <c r="D79" i="5"/>
  <c r="P78" i="5"/>
  <c r="D78" i="5"/>
  <c r="P70" i="5"/>
  <c r="D70" i="5"/>
  <c r="P69" i="5"/>
  <c r="D69" i="5"/>
  <c r="P68" i="5"/>
  <c r="D68" i="5"/>
  <c r="P67" i="5"/>
  <c r="D67" i="5"/>
  <c r="P66" i="5"/>
  <c r="D66" i="5"/>
  <c r="P65" i="5"/>
  <c r="D65" i="5"/>
  <c r="P50" i="5"/>
  <c r="D50" i="5"/>
  <c r="P49" i="5"/>
  <c r="D49" i="5"/>
  <c r="P48" i="5"/>
  <c r="D48" i="5"/>
  <c r="P47" i="5"/>
  <c r="D47" i="5"/>
  <c r="P46" i="5"/>
  <c r="D46" i="5"/>
  <c r="P45" i="5"/>
  <c r="D45" i="5"/>
  <c r="M44" i="5"/>
  <c r="M43" i="5"/>
  <c r="N136" i="5"/>
  <c r="D132" i="5"/>
  <c r="D130" i="5"/>
  <c r="P118" i="5"/>
  <c r="D117" i="5"/>
  <c r="D115" i="5"/>
  <c r="P107" i="5"/>
  <c r="F106" i="5"/>
  <c r="D105" i="5"/>
  <c r="Q102" i="5"/>
  <c r="N101" i="5"/>
  <c r="F100" i="5"/>
  <c r="D99" i="5"/>
  <c r="C97" i="5"/>
  <c r="E96" i="5"/>
  <c r="I95" i="5"/>
  <c r="N94" i="5"/>
  <c r="P93" i="5"/>
  <c r="R81" i="5"/>
  <c r="E81" i="5"/>
  <c r="P80" i="5"/>
  <c r="C80" i="5"/>
  <c r="O79" i="5"/>
  <c r="C79" i="5"/>
  <c r="O78" i="5"/>
  <c r="C78" i="5"/>
  <c r="O70" i="5"/>
  <c r="C70" i="5"/>
  <c r="O69" i="5"/>
  <c r="C69" i="5"/>
  <c r="O68" i="5"/>
  <c r="C68" i="5"/>
  <c r="O67" i="5"/>
  <c r="C67" i="5"/>
  <c r="O66" i="5"/>
  <c r="C66" i="5"/>
  <c r="O65" i="5"/>
  <c r="C65" i="5"/>
  <c r="O50" i="5"/>
  <c r="C50" i="5"/>
  <c r="O49" i="5"/>
  <c r="C49" i="5"/>
  <c r="O48" i="5"/>
  <c r="C48" i="5"/>
  <c r="O47" i="5"/>
  <c r="C47" i="5"/>
  <c r="O46" i="5"/>
  <c r="C46" i="5"/>
  <c r="O45" i="5"/>
  <c r="C45" i="5"/>
  <c r="L44" i="5"/>
  <c r="L43" i="5"/>
  <c r="L42" i="5"/>
  <c r="L41" i="5"/>
  <c r="M33" i="5"/>
  <c r="L22" i="5"/>
  <c r="W21" i="5"/>
  <c r="K21" i="5"/>
  <c r="W18" i="5"/>
  <c r="D136" i="5"/>
  <c r="B130" i="5"/>
  <c r="N118" i="5"/>
  <c r="B117" i="5"/>
  <c r="B115" i="5"/>
  <c r="N107" i="5"/>
  <c r="E106" i="5"/>
  <c r="B105" i="5"/>
  <c r="R103" i="5"/>
  <c r="P102" i="5"/>
  <c r="M101" i="5"/>
  <c r="E100" i="5"/>
  <c r="B99" i="5"/>
  <c r="B97" i="5"/>
  <c r="D96" i="5"/>
  <c r="F95" i="5"/>
  <c r="M94" i="5"/>
  <c r="O93" i="5"/>
  <c r="Q81" i="5"/>
  <c r="D81" i="5"/>
  <c r="O80" i="5"/>
  <c r="B80" i="5"/>
  <c r="Q131" i="5"/>
  <c r="M118" i="5"/>
  <c r="M107" i="5"/>
  <c r="D106" i="5"/>
  <c r="Q103" i="5"/>
  <c r="N102" i="5"/>
  <c r="F101" i="5"/>
  <c r="D100" i="5"/>
  <c r="C96" i="5"/>
  <c r="E95" i="5"/>
  <c r="I94" i="5"/>
  <c r="N93" i="5"/>
  <c r="P81" i="5"/>
  <c r="C81" i="5"/>
  <c r="N80" i="5"/>
  <c r="M79" i="5"/>
  <c r="M78" i="5"/>
  <c r="M70" i="5"/>
  <c r="M69" i="5"/>
  <c r="M68" i="5"/>
  <c r="M67" i="5"/>
  <c r="M66" i="5"/>
  <c r="M65" i="5"/>
  <c r="M50" i="5"/>
  <c r="M49" i="5"/>
  <c r="M48" i="5"/>
  <c r="M47" i="5"/>
  <c r="M46" i="5"/>
  <c r="M45" i="5"/>
  <c r="V44" i="5"/>
  <c r="J44" i="5"/>
  <c r="V43" i="5"/>
  <c r="J43" i="5"/>
  <c r="V42" i="5"/>
  <c r="I134" i="5"/>
  <c r="M131" i="5"/>
  <c r="D118" i="5"/>
  <c r="P116" i="5"/>
  <c r="D107" i="5"/>
  <c r="Q104" i="5"/>
  <c r="N103" i="5"/>
  <c r="F102" i="5"/>
  <c r="D101" i="5"/>
  <c r="Q97" i="5"/>
  <c r="R96" i="5"/>
  <c r="C95" i="5"/>
  <c r="E94" i="5"/>
  <c r="I93" i="5"/>
  <c r="N81" i="5"/>
  <c r="K80" i="5"/>
  <c r="W79" i="5"/>
  <c r="K79" i="5"/>
  <c r="W78" i="5"/>
  <c r="K78" i="5"/>
  <c r="W70" i="5"/>
  <c r="K70" i="5"/>
  <c r="W69" i="5"/>
  <c r="K69" i="5"/>
  <c r="W68" i="5"/>
  <c r="K68" i="5"/>
  <c r="W67" i="5"/>
  <c r="K67" i="5"/>
  <c r="W66" i="5"/>
  <c r="K66" i="5"/>
  <c r="W65" i="5"/>
  <c r="K65" i="5"/>
  <c r="W50" i="5"/>
  <c r="K50" i="5"/>
  <c r="W49" i="5"/>
  <c r="K49" i="5"/>
  <c r="W48" i="5"/>
  <c r="K48" i="5"/>
  <c r="W47" i="5"/>
  <c r="K47" i="5"/>
  <c r="W46" i="5"/>
  <c r="K46" i="5"/>
  <c r="W45" i="5"/>
  <c r="K45" i="5"/>
  <c r="S133" i="5"/>
  <c r="D131" i="5"/>
  <c r="M116" i="5"/>
  <c r="Q105" i="5"/>
  <c r="N104" i="5"/>
  <c r="F103" i="5"/>
  <c r="D102" i="5"/>
  <c r="Q99" i="5"/>
  <c r="O97" i="5"/>
  <c r="P96" i="5"/>
  <c r="R95" i="5"/>
  <c r="C94" i="5"/>
  <c r="F93" i="5"/>
  <c r="K81" i="5"/>
  <c r="V80" i="5"/>
  <c r="I80" i="5"/>
  <c r="U79" i="5"/>
  <c r="I79" i="5"/>
  <c r="U78" i="5"/>
  <c r="I78" i="5"/>
  <c r="U70" i="5"/>
  <c r="I70" i="5"/>
  <c r="U69" i="5"/>
  <c r="I69" i="5"/>
  <c r="U68" i="5"/>
  <c r="I68" i="5"/>
  <c r="U67" i="5"/>
  <c r="I67" i="5"/>
  <c r="U66" i="5"/>
  <c r="I66" i="5"/>
  <c r="U65" i="5"/>
  <c r="I65" i="5"/>
  <c r="U50" i="5"/>
  <c r="I50" i="5"/>
  <c r="U49" i="5"/>
  <c r="I49" i="5"/>
  <c r="U48" i="5"/>
  <c r="I48" i="5"/>
  <c r="U47" i="5"/>
  <c r="I47" i="5"/>
  <c r="U46" i="5"/>
  <c r="I46" i="5"/>
  <c r="U45" i="5"/>
  <c r="I45" i="5"/>
  <c r="R44" i="5"/>
  <c r="F44" i="5"/>
  <c r="R43" i="5"/>
  <c r="F43" i="5"/>
  <c r="R42" i="5"/>
  <c r="F42" i="5"/>
  <c r="R41" i="5"/>
  <c r="F41" i="5"/>
  <c r="S33" i="5"/>
  <c r="G33" i="5"/>
  <c r="R22" i="5"/>
  <c r="F22" i="5"/>
  <c r="Q21" i="5"/>
  <c r="E21" i="5"/>
  <c r="Q18" i="5"/>
  <c r="E103" i="5"/>
  <c r="N97" i="5"/>
  <c r="B94" i="5"/>
  <c r="J81" i="5"/>
  <c r="J79" i="5"/>
  <c r="V78" i="5"/>
  <c r="J70" i="5"/>
  <c r="V68" i="5"/>
  <c r="J67" i="5"/>
  <c r="V65" i="5"/>
  <c r="J50" i="5"/>
  <c r="V48" i="5"/>
  <c r="J47" i="5"/>
  <c r="V45" i="5"/>
  <c r="I44" i="5"/>
  <c r="G43" i="5"/>
  <c r="G42" i="5"/>
  <c r="S41" i="5"/>
  <c r="J33" i="5"/>
  <c r="Q22" i="5"/>
  <c r="H21" i="5"/>
  <c r="P18" i="5"/>
  <c r="B18" i="5"/>
  <c r="M17" i="5"/>
  <c r="W16" i="5"/>
  <c r="J16" i="5"/>
  <c r="U15" i="5"/>
  <c r="I15" i="5"/>
  <c r="Q14" i="5"/>
  <c r="E14" i="5"/>
  <c r="Q13" i="5"/>
  <c r="E13" i="5"/>
  <c r="P12" i="5"/>
  <c r="D12" i="5"/>
  <c r="P11" i="5"/>
  <c r="D11" i="5"/>
  <c r="P10" i="5"/>
  <c r="D10" i="5"/>
  <c r="P9" i="5"/>
  <c r="D9" i="5"/>
  <c r="P8" i="5"/>
  <c r="D8" i="5"/>
  <c r="P7" i="5"/>
  <c r="M19" i="5"/>
  <c r="M20" i="5"/>
  <c r="L6" i="5"/>
  <c r="L5" i="5"/>
  <c r="V4" i="5"/>
  <c r="J4" i="5"/>
  <c r="U3" i="5"/>
  <c r="I3" i="5"/>
  <c r="C11" i="5"/>
  <c r="C10" i="5"/>
  <c r="O9" i="5"/>
  <c r="O8" i="5"/>
  <c r="O7" i="5"/>
  <c r="L19" i="5"/>
  <c r="W6" i="5"/>
  <c r="W5" i="5"/>
  <c r="U4" i="5"/>
  <c r="I4" i="5"/>
  <c r="H3" i="5"/>
  <c r="S5" i="5"/>
  <c r="N47" i="5"/>
  <c r="C41" i="5"/>
  <c r="P17" i="5"/>
  <c r="R12" i="5"/>
  <c r="F8" i="5"/>
  <c r="B6" i="5"/>
  <c r="E118" i="5"/>
  <c r="E107" i="5"/>
  <c r="M102" i="5"/>
  <c r="U96" i="5"/>
  <c r="M93" i="5"/>
  <c r="B81" i="5"/>
  <c r="H79" i="5"/>
  <c r="T78" i="5"/>
  <c r="H70" i="5"/>
  <c r="T68" i="5"/>
  <c r="H67" i="5"/>
  <c r="T65" i="5"/>
  <c r="H50" i="5"/>
  <c r="T48" i="5"/>
  <c r="H47" i="5"/>
  <c r="T45" i="5"/>
  <c r="H44" i="5"/>
  <c r="E43" i="5"/>
  <c r="E42" i="5"/>
  <c r="Q41" i="5"/>
  <c r="I33" i="5"/>
  <c r="O22" i="5"/>
  <c r="V21" i="5"/>
  <c r="G21" i="5"/>
  <c r="N18" i="5"/>
  <c r="L17" i="5"/>
  <c r="V16" i="5"/>
  <c r="I16" i="5"/>
  <c r="T15" i="5"/>
  <c r="H15" i="5"/>
  <c r="P14" i="5"/>
  <c r="D14" i="5"/>
  <c r="P13" i="5"/>
  <c r="D13" i="5"/>
  <c r="O12" i="5"/>
  <c r="C12" i="5"/>
  <c r="O11" i="5"/>
  <c r="O10" i="5"/>
  <c r="C9" i="5"/>
  <c r="C8" i="5"/>
  <c r="L20" i="5"/>
  <c r="K6" i="5"/>
  <c r="K5" i="5"/>
  <c r="T3" i="5"/>
  <c r="G5" i="5"/>
  <c r="B46" i="5"/>
  <c r="E18" i="5"/>
  <c r="R10" i="5"/>
  <c r="M81" i="5"/>
  <c r="B118" i="5"/>
  <c r="B107" i="5"/>
  <c r="E102" i="5"/>
  <c r="Q96" i="5"/>
  <c r="H93" i="5"/>
  <c r="W80" i="5"/>
  <c r="B79" i="5"/>
  <c r="N78" i="5"/>
  <c r="B70" i="5"/>
  <c r="N68" i="5"/>
  <c r="B67" i="5"/>
  <c r="N65" i="5"/>
  <c r="B50" i="5"/>
  <c r="N48" i="5"/>
  <c r="B47" i="5"/>
  <c r="N45" i="5"/>
  <c r="G44" i="5"/>
  <c r="W42" i="5"/>
  <c r="C42" i="5"/>
  <c r="O41" i="5"/>
  <c r="W33" i="5"/>
  <c r="H33" i="5"/>
  <c r="N22" i="5"/>
  <c r="U21" i="5"/>
  <c r="F21" i="5"/>
  <c r="M18" i="5"/>
  <c r="K17" i="5"/>
  <c r="U16" i="5"/>
  <c r="H16" i="5"/>
  <c r="S15" i="5"/>
  <c r="G15" i="5"/>
  <c r="O14" i="5"/>
  <c r="C14" i="5"/>
  <c r="O13" i="5"/>
  <c r="C13" i="5"/>
  <c r="N12" i="5"/>
  <c r="B12" i="5"/>
  <c r="N11" i="5"/>
  <c r="B11" i="5"/>
  <c r="N10" i="5"/>
  <c r="B10" i="5"/>
  <c r="N9" i="5"/>
  <c r="B9" i="5"/>
  <c r="N8" i="5"/>
  <c r="B8" i="5"/>
  <c r="N7" i="5"/>
  <c r="W19" i="5"/>
  <c r="K19" i="5"/>
  <c r="W20" i="5"/>
  <c r="K20" i="5"/>
  <c r="V6" i="5"/>
  <c r="J6" i="5"/>
  <c r="V5" i="5"/>
  <c r="J5" i="5"/>
  <c r="T4" i="5"/>
  <c r="H4" i="5"/>
  <c r="S3" i="5"/>
  <c r="G3" i="5"/>
  <c r="B3" i="5"/>
  <c r="L9" i="5"/>
  <c r="L8" i="5"/>
  <c r="U19" i="5"/>
  <c r="I20" i="5"/>
  <c r="H6" i="5"/>
  <c r="R4" i="5"/>
  <c r="Q3" i="5"/>
  <c r="W8" i="5"/>
  <c r="T19" i="5"/>
  <c r="S6" i="5"/>
  <c r="E4" i="5"/>
  <c r="I43" i="5"/>
  <c r="T22" i="5"/>
  <c r="S14" i="5"/>
  <c r="F10" i="5"/>
  <c r="C19" i="5"/>
  <c r="W3" i="5"/>
  <c r="L79" i="5"/>
  <c r="Q117" i="5"/>
  <c r="R106" i="5"/>
  <c r="B102" i="5"/>
  <c r="O96" i="5"/>
  <c r="E93" i="5"/>
  <c r="U80" i="5"/>
  <c r="L78" i="5"/>
  <c r="L68" i="5"/>
  <c r="L65" i="5"/>
  <c r="L48" i="5"/>
  <c r="L45" i="5"/>
  <c r="E44" i="5"/>
  <c r="U42" i="5"/>
  <c r="M41" i="5"/>
  <c r="V33" i="5"/>
  <c r="E33" i="5"/>
  <c r="M22" i="5"/>
  <c r="T21" i="5"/>
  <c r="D21" i="5"/>
  <c r="L18" i="5"/>
  <c r="W17" i="5"/>
  <c r="J17" i="5"/>
  <c r="T16" i="5"/>
  <c r="G16" i="5"/>
  <c r="R15" i="5"/>
  <c r="F15" i="5"/>
  <c r="N14" i="5"/>
  <c r="B14" i="5"/>
  <c r="N13" i="5"/>
  <c r="M12" i="5"/>
  <c r="M11" i="5"/>
  <c r="M10" i="5"/>
  <c r="M9" i="5"/>
  <c r="M8" i="5"/>
  <c r="M7" i="5"/>
  <c r="V19" i="5"/>
  <c r="J19" i="5"/>
  <c r="V20" i="5"/>
  <c r="J20" i="5"/>
  <c r="U6" i="5"/>
  <c r="I6" i="5"/>
  <c r="U5" i="5"/>
  <c r="I5" i="5"/>
  <c r="S4" i="5"/>
  <c r="G4" i="5"/>
  <c r="R3" i="5"/>
  <c r="L11" i="5"/>
  <c r="L7" i="5"/>
  <c r="I19" i="5"/>
  <c r="T6" i="5"/>
  <c r="H5" i="5"/>
  <c r="F4" i="5"/>
  <c r="K9" i="5"/>
  <c r="K7" i="5"/>
  <c r="H19" i="5"/>
  <c r="G6" i="5"/>
  <c r="Q4" i="5"/>
  <c r="J21" i="5"/>
  <c r="G14" i="5"/>
  <c r="R9" i="5"/>
  <c r="O20" i="5"/>
  <c r="N134" i="5"/>
  <c r="Q116" i="5"/>
  <c r="B106" i="5"/>
  <c r="E101" i="5"/>
  <c r="B96" i="5"/>
  <c r="M80" i="5"/>
  <c r="J78" i="5"/>
  <c r="V69" i="5"/>
  <c r="J68" i="5"/>
  <c r="V66" i="5"/>
  <c r="J65" i="5"/>
  <c r="V49" i="5"/>
  <c r="J48" i="5"/>
  <c r="V46" i="5"/>
  <c r="J45" i="5"/>
  <c r="W43" i="5"/>
  <c r="T42" i="5"/>
  <c r="K41" i="5"/>
  <c r="U33" i="5"/>
  <c r="C33" i="5"/>
  <c r="K22" i="5"/>
  <c r="S21" i="5"/>
  <c r="B21" i="5"/>
  <c r="K18" i="5"/>
  <c r="V17" i="5"/>
  <c r="I17" i="5"/>
  <c r="S16" i="5"/>
  <c r="F16" i="5"/>
  <c r="Q15" i="5"/>
  <c r="M14" i="5"/>
  <c r="M13" i="5"/>
  <c r="L12" i="5"/>
  <c r="L10" i="5"/>
  <c r="U20" i="5"/>
  <c r="T5" i="5"/>
  <c r="K8" i="5"/>
  <c r="T20" i="5"/>
  <c r="W15" i="5"/>
  <c r="R7" i="5"/>
  <c r="N116" i="5"/>
  <c r="R105" i="5"/>
  <c r="B101" i="5"/>
  <c r="U95" i="5"/>
  <c r="J80" i="5"/>
  <c r="H78" i="5"/>
  <c r="T69" i="5"/>
  <c r="H68" i="5"/>
  <c r="T66" i="5"/>
  <c r="H65" i="5"/>
  <c r="T49" i="5"/>
  <c r="H48" i="5"/>
  <c r="T46" i="5"/>
  <c r="H45" i="5"/>
  <c r="U43" i="5"/>
  <c r="S42" i="5"/>
  <c r="J41" i="5"/>
  <c r="T33" i="5"/>
  <c r="B33" i="5"/>
  <c r="J22" i="5"/>
  <c r="R21" i="5"/>
  <c r="J18" i="5"/>
  <c r="U17" i="5"/>
  <c r="H17" i="5"/>
  <c r="R16" i="5"/>
  <c r="E16" i="5"/>
  <c r="P15" i="5"/>
  <c r="L14" i="5"/>
  <c r="L13" i="5"/>
  <c r="W12" i="5"/>
  <c r="K12" i="5"/>
  <c r="W11" i="5"/>
  <c r="K11" i="5"/>
  <c r="W10" i="5"/>
  <c r="K10" i="5"/>
  <c r="W9" i="5"/>
  <c r="W7" i="5"/>
  <c r="H20" i="5"/>
  <c r="P3" i="5"/>
  <c r="U41" i="5"/>
  <c r="S13" i="5"/>
  <c r="O19" i="5"/>
  <c r="M103" i="5"/>
  <c r="I133" i="5"/>
  <c r="E116" i="5"/>
  <c r="P105" i="5"/>
  <c r="R100" i="5"/>
  <c r="Q95" i="5"/>
  <c r="H80" i="5"/>
  <c r="B78" i="5"/>
  <c r="N69" i="5"/>
  <c r="B68" i="5"/>
  <c r="N66" i="5"/>
  <c r="B65" i="5"/>
  <c r="N49" i="5"/>
  <c r="B48" i="5"/>
  <c r="N46" i="5"/>
  <c r="B45" i="5"/>
  <c r="W44" i="5"/>
  <c r="T43" i="5"/>
  <c r="Q42" i="5"/>
  <c r="I41" i="5"/>
  <c r="R33" i="5"/>
  <c r="I22" i="5"/>
  <c r="P21" i="5"/>
  <c r="I18" i="5"/>
  <c r="T17" i="5"/>
  <c r="G17" i="5"/>
  <c r="Q16" i="5"/>
  <c r="D16" i="5"/>
  <c r="O15" i="5"/>
  <c r="W14" i="5"/>
  <c r="K14" i="5"/>
  <c r="W13" i="5"/>
  <c r="K13" i="5"/>
  <c r="V12" i="5"/>
  <c r="J12" i="5"/>
  <c r="V11" i="5"/>
  <c r="J11" i="5"/>
  <c r="V10" i="5"/>
  <c r="J10" i="5"/>
  <c r="V9" i="5"/>
  <c r="J9" i="5"/>
  <c r="V8" i="5"/>
  <c r="J8" i="5"/>
  <c r="V7" i="5"/>
  <c r="J7" i="5"/>
  <c r="S19" i="5"/>
  <c r="G19" i="5"/>
  <c r="S20" i="5"/>
  <c r="G20" i="5"/>
  <c r="R6" i="5"/>
  <c r="F6" i="5"/>
  <c r="R5" i="5"/>
  <c r="F5" i="5"/>
  <c r="P4" i="5"/>
  <c r="D4" i="5"/>
  <c r="O3" i="5"/>
  <c r="E5" i="5"/>
  <c r="C4" i="5"/>
  <c r="T10" i="5"/>
  <c r="H9" i="5"/>
  <c r="T7" i="5"/>
  <c r="H7" i="5"/>
  <c r="Q20" i="5"/>
  <c r="P6" i="5"/>
  <c r="D5" i="5"/>
  <c r="N70" i="5"/>
  <c r="B49" i="5"/>
  <c r="B22" i="5"/>
  <c r="K15" i="5"/>
  <c r="F11" i="5"/>
  <c r="F7" i="5"/>
  <c r="L4" i="5"/>
  <c r="D94" i="5"/>
  <c r="P131" i="5"/>
  <c r="R104" i="5"/>
  <c r="B100" i="5"/>
  <c r="D95" i="5"/>
  <c r="L69" i="5"/>
  <c r="L66" i="5"/>
  <c r="L49" i="5"/>
  <c r="L46" i="5"/>
  <c r="U44" i="5"/>
  <c r="S43" i="5"/>
  <c r="M42" i="5"/>
  <c r="H41" i="5"/>
  <c r="P33" i="5"/>
  <c r="W22" i="5"/>
  <c r="H22" i="5"/>
  <c r="N21" i="5"/>
  <c r="V18" i="5"/>
  <c r="H18" i="5"/>
  <c r="S17" i="5"/>
  <c r="F17" i="5"/>
  <c r="P16" i="5"/>
  <c r="B16" i="5"/>
  <c r="N15" i="5"/>
  <c r="V14" i="5"/>
  <c r="J14" i="5"/>
  <c r="V13" i="5"/>
  <c r="J13" i="5"/>
  <c r="U12" i="5"/>
  <c r="I12" i="5"/>
  <c r="U11" i="5"/>
  <c r="I11" i="5"/>
  <c r="U10" i="5"/>
  <c r="I10" i="5"/>
  <c r="U9" i="5"/>
  <c r="I9" i="5"/>
  <c r="U8" i="5"/>
  <c r="I8" i="5"/>
  <c r="U7" i="5"/>
  <c r="I7" i="5"/>
  <c r="R19" i="5"/>
  <c r="F19" i="5"/>
  <c r="R20" i="5"/>
  <c r="F20" i="5"/>
  <c r="Q6" i="5"/>
  <c r="E6" i="5"/>
  <c r="Q5" i="5"/>
  <c r="O4" i="5"/>
  <c r="N3" i="5"/>
  <c r="T9" i="5"/>
  <c r="H8" i="5"/>
  <c r="Q19" i="5"/>
  <c r="E20" i="5"/>
  <c r="D6" i="5"/>
  <c r="N4" i="5"/>
  <c r="N50" i="5"/>
  <c r="Q44" i="5"/>
  <c r="S18" i="5"/>
  <c r="G13" i="5"/>
  <c r="F9" i="5"/>
  <c r="C20" i="5"/>
  <c r="K3" i="5"/>
  <c r="L70" i="5"/>
  <c r="E131" i="5"/>
  <c r="P104" i="5"/>
  <c r="R99" i="5"/>
  <c r="B95" i="5"/>
  <c r="V79" i="5"/>
  <c r="V70" i="5"/>
  <c r="J69" i="5"/>
  <c r="V67" i="5"/>
  <c r="J66" i="5"/>
  <c r="V50" i="5"/>
  <c r="J49" i="5"/>
  <c r="V47" i="5"/>
  <c r="J46" i="5"/>
  <c r="T44" i="5"/>
  <c r="Q43" i="5"/>
  <c r="K42" i="5"/>
  <c r="W41" i="5"/>
  <c r="G41" i="5"/>
  <c r="O33" i="5"/>
  <c r="V22" i="5"/>
  <c r="G22" i="5"/>
  <c r="M21" i="5"/>
  <c r="U18" i="5"/>
  <c r="G18" i="5"/>
  <c r="R17" i="5"/>
  <c r="E17" i="5"/>
  <c r="O16" i="5"/>
  <c r="M15" i="5"/>
  <c r="U14" i="5"/>
  <c r="I14" i="5"/>
  <c r="U13" i="5"/>
  <c r="I13" i="5"/>
  <c r="T12" i="5"/>
  <c r="H12" i="5"/>
  <c r="T11" i="5"/>
  <c r="H11" i="5"/>
  <c r="H10" i="5"/>
  <c r="T8" i="5"/>
  <c r="E19" i="5"/>
  <c r="P5" i="5"/>
  <c r="M3" i="5"/>
  <c r="N67" i="5"/>
  <c r="I42" i="5"/>
  <c r="R11" i="5"/>
  <c r="N6" i="5"/>
  <c r="Q115" i="5"/>
  <c r="M104" i="5"/>
  <c r="P99" i="5"/>
  <c r="U94" i="5"/>
  <c r="W81" i="5"/>
  <c r="T79" i="5"/>
  <c r="T70" i="5"/>
  <c r="H69" i="5"/>
  <c r="T67" i="5"/>
  <c r="H66" i="5"/>
  <c r="T50" i="5"/>
  <c r="H49" i="5"/>
  <c r="T47" i="5"/>
  <c r="H46" i="5"/>
  <c r="S44" i="5"/>
  <c r="K43" i="5"/>
  <c r="J42" i="5"/>
  <c r="V41" i="5"/>
  <c r="E41" i="5"/>
  <c r="N33" i="5"/>
  <c r="U22" i="5"/>
  <c r="E22" i="5"/>
  <c r="L21" i="5"/>
  <c r="T18" i="5"/>
  <c r="F18" i="5"/>
  <c r="Q17" i="5"/>
  <c r="D17" i="5"/>
  <c r="M16" i="5"/>
  <c r="L15" i="5"/>
  <c r="T14" i="5"/>
  <c r="H14" i="5"/>
  <c r="T13" i="5"/>
  <c r="H13" i="5"/>
  <c r="S12" i="5"/>
  <c r="G12" i="5"/>
  <c r="S11" i="5"/>
  <c r="G11" i="5"/>
  <c r="S10" i="5"/>
  <c r="G10" i="5"/>
  <c r="S9" i="5"/>
  <c r="G9" i="5"/>
  <c r="S8" i="5"/>
  <c r="G8" i="5"/>
  <c r="S7" i="5"/>
  <c r="G7" i="5"/>
  <c r="P19" i="5"/>
  <c r="D19" i="5"/>
  <c r="P20" i="5"/>
  <c r="D20" i="5"/>
  <c r="O6" i="5"/>
  <c r="C6" i="5"/>
  <c r="O5" i="5"/>
  <c r="M4" i="5"/>
  <c r="L3" i="5"/>
  <c r="P103" i="5"/>
  <c r="R97" i="5"/>
  <c r="F94" i="5"/>
  <c r="O81" i="5"/>
  <c r="N79" i="5"/>
  <c r="B69" i="5"/>
  <c r="B66" i="5"/>
  <c r="L33" i="5"/>
  <c r="L16" i="5"/>
  <c r="F12" i="5"/>
  <c r="R8" i="5"/>
  <c r="N5" i="5"/>
  <c r="P97" i="5"/>
  <c r="L67" i="5"/>
  <c r="K33" i="5"/>
  <c r="F14" i="5"/>
  <c r="E8" i="5"/>
  <c r="V3" i="5"/>
  <c r="J3" i="5"/>
  <c r="V15" i="5"/>
  <c r="L50" i="5"/>
  <c r="S22" i="5"/>
  <c r="R13" i="5"/>
  <c r="Q7" i="5"/>
  <c r="M6" i="5"/>
  <c r="F13" i="5"/>
  <c r="C7" i="5"/>
  <c r="N19" i="5"/>
  <c r="K4" i="5"/>
  <c r="L47" i="5"/>
  <c r="I21" i="5"/>
  <c r="Q12" i="5"/>
  <c r="E12" i="5"/>
  <c r="R18" i="5"/>
  <c r="B19" i="5"/>
  <c r="Q9" i="5"/>
  <c r="K44" i="5"/>
  <c r="D18" i="5"/>
  <c r="Q11" i="5"/>
  <c r="N20" i="5"/>
  <c r="E10" i="5"/>
  <c r="H43" i="5"/>
  <c r="N17" i="5"/>
  <c r="E11" i="5"/>
  <c r="K16" i="5"/>
  <c r="M5" i="5"/>
  <c r="H42" i="5"/>
  <c r="Q10" i="5"/>
  <c r="T41" i="5"/>
  <c r="B41" i="5"/>
  <c r="J15" i="5"/>
  <c r="E9" i="5"/>
  <c r="W4" i="5"/>
  <c r="R14" i="5"/>
  <c r="Q8" i="5"/>
  <c r="F33" i="5"/>
  <c r="C22" i="5"/>
  <c r="B20" i="5"/>
  <c r="C16" i="5"/>
  <c r="B17" i="5"/>
  <c r="C15" i="5"/>
  <c r="E15" i="5"/>
  <c r="B15" i="5"/>
  <c r="D15" i="5"/>
  <c r="B13" i="5"/>
  <c r="D7" i="5"/>
  <c r="E7" i="5"/>
  <c r="B7" i="5"/>
  <c r="C5" i="5"/>
  <c r="B5" i="5"/>
  <c r="B4" i="5"/>
  <c r="F3" i="5"/>
  <c r="G258" i="5" l="1"/>
  <c r="G260" i="5" s="1"/>
  <c r="J258" i="5"/>
  <c r="J260" i="5" s="1"/>
  <c r="N258" i="5"/>
  <c r="N260" i="5" s="1"/>
  <c r="Q258" i="5"/>
  <c r="Q260" i="5" s="1"/>
  <c r="U258" i="5"/>
  <c r="U260" i="5" s="1"/>
  <c r="U835" i="5"/>
  <c r="O835" i="5"/>
  <c r="K835" i="5"/>
  <c r="G835" i="5"/>
  <c r="C835" i="5"/>
  <c r="C837" i="5" s="1"/>
  <c r="B258" i="5"/>
  <c r="B260" i="5" s="1"/>
  <c r="C258" i="5"/>
  <c r="C260" i="5" s="1"/>
  <c r="F258" i="5"/>
  <c r="F260" i="5" s="1"/>
  <c r="H258" i="5"/>
  <c r="H260" i="5" s="1"/>
  <c r="K258" i="5"/>
  <c r="K260" i="5" s="1"/>
  <c r="M258" i="5"/>
  <c r="M260" i="5" s="1"/>
  <c r="O258" i="5"/>
  <c r="O260" i="5" s="1"/>
  <c r="R258" i="5"/>
  <c r="R260" i="5" s="1"/>
  <c r="T258" i="5"/>
  <c r="T260" i="5" s="1"/>
  <c r="W258" i="5"/>
  <c r="W260" i="5" s="1"/>
  <c r="V835" i="5"/>
  <c r="T835" i="5"/>
  <c r="P835" i="5"/>
  <c r="N835" i="5"/>
  <c r="J835" i="5"/>
  <c r="E835" i="5"/>
  <c r="B835" i="5"/>
  <c r="B837" i="5" s="1"/>
  <c r="E258" i="5"/>
  <c r="E260" i="5" s="1"/>
  <c r="I258" i="5"/>
  <c r="I260" i="5" s="1"/>
  <c r="L258" i="5"/>
  <c r="L260" i="5" s="1"/>
  <c r="P258" i="5"/>
  <c r="P260" i="5" s="1"/>
  <c r="S258" i="5"/>
  <c r="S260" i="5" s="1"/>
  <c r="V258" i="5"/>
  <c r="V260" i="5" s="1"/>
  <c r="R835" i="5"/>
  <c r="L835" i="5"/>
  <c r="H835" i="5"/>
  <c r="D835" i="5"/>
  <c r="W835" i="5"/>
  <c r="S835" i="5"/>
  <c r="Q835" i="5"/>
  <c r="M835" i="5"/>
  <c r="I835" i="5"/>
  <c r="F835" i="5"/>
  <c r="D219" i="5"/>
  <c r="D221" i="5" s="1"/>
  <c r="K219" i="5"/>
  <c r="K221" i="5" s="1"/>
  <c r="Q219" i="5"/>
  <c r="Q221" i="5" s="1"/>
  <c r="S219" i="5"/>
  <c r="S221" i="5" s="1"/>
  <c r="I219" i="5"/>
  <c r="I221" i="5" s="1"/>
  <c r="P219" i="5"/>
  <c r="P221" i="5" s="1"/>
  <c r="E219" i="5"/>
  <c r="E221" i="5" s="1"/>
  <c r="L219" i="5"/>
  <c r="L221" i="5" s="1"/>
  <c r="O219" i="5"/>
  <c r="O221" i="5" s="1"/>
  <c r="J219" i="5"/>
  <c r="J221" i="5" s="1"/>
  <c r="R219" i="5"/>
  <c r="R221" i="5" s="1"/>
  <c r="F219" i="5"/>
  <c r="F221" i="5" s="1"/>
  <c r="C219" i="5"/>
  <c r="C221" i="5" s="1"/>
  <c r="T219" i="5"/>
  <c r="T221" i="5" s="1"/>
  <c r="H219" i="5"/>
  <c r="H221" i="5" s="1"/>
  <c r="U219" i="5"/>
  <c r="U221" i="5" s="1"/>
  <c r="G219" i="5"/>
  <c r="G221" i="5" s="1"/>
  <c r="B219" i="5"/>
  <c r="B221" i="5" s="1"/>
  <c r="M219" i="5"/>
  <c r="M221" i="5" s="1"/>
  <c r="W219" i="5"/>
  <c r="W221" i="5" s="1"/>
  <c r="N219" i="5"/>
  <c r="N221" i="5" s="1"/>
  <c r="V219" i="5"/>
  <c r="V221" i="5" s="1"/>
  <c r="K2" i="2"/>
  <c r="K3" i="2"/>
  <c r="E25" i="1"/>
  <c r="E13" i="1"/>
  <c r="B114" i="5" l="1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B40" i="5"/>
  <c r="B71" i="5" s="1"/>
  <c r="B73" i="5" s="1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B2" i="5"/>
  <c r="B34" i="5" s="1"/>
  <c r="B36" i="5" s="1"/>
  <c r="E2" i="5"/>
  <c r="F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R876" i="5" l="1"/>
  <c r="G182" i="5"/>
  <c r="G184" i="5" s="1"/>
  <c r="R182" i="5"/>
  <c r="R184" i="5" s="1"/>
  <c r="F876" i="5"/>
  <c r="J182" i="5"/>
  <c r="J184" i="5" s="1"/>
  <c r="F182" i="5"/>
  <c r="F184" i="5" s="1"/>
  <c r="P876" i="5"/>
  <c r="O145" i="5"/>
  <c r="O147" i="5" s="1"/>
  <c r="Q71" i="5"/>
  <c r="Q73" i="5" s="1"/>
  <c r="E71" i="5"/>
  <c r="E73" i="5" s="1"/>
  <c r="T145" i="5"/>
  <c r="T147" i="5" s="1"/>
  <c r="H145" i="5"/>
  <c r="H147" i="5" s="1"/>
  <c r="W182" i="5"/>
  <c r="W184" i="5" s="1"/>
  <c r="D876" i="5"/>
  <c r="C71" i="5"/>
  <c r="C73" i="5" s="1"/>
  <c r="S145" i="5"/>
  <c r="S147" i="5" s="1"/>
  <c r="G145" i="5"/>
  <c r="G147" i="5" s="1"/>
  <c r="K182" i="5"/>
  <c r="K184" i="5" s="1"/>
  <c r="V182" i="5"/>
  <c r="V184" i="5" s="1"/>
  <c r="M108" i="5"/>
  <c r="M110" i="5" s="1"/>
  <c r="L108" i="5"/>
  <c r="L110" i="5" s="1"/>
  <c r="Q145" i="5"/>
  <c r="Q147" i="5" s="1"/>
  <c r="U182" i="5"/>
  <c r="U184" i="5" s="1"/>
  <c r="H182" i="5"/>
  <c r="H184" i="5" s="1"/>
  <c r="E145" i="5"/>
  <c r="E147" i="5" s="1"/>
  <c r="S182" i="5"/>
  <c r="S184" i="5" s="1"/>
  <c r="J71" i="5"/>
  <c r="J73" i="5" s="1"/>
  <c r="C145" i="5"/>
  <c r="C147" i="5" s="1"/>
  <c r="V71" i="5"/>
  <c r="V73" i="5" s="1"/>
  <c r="U108" i="5"/>
  <c r="U110" i="5" s="1"/>
  <c r="I108" i="5"/>
  <c r="I110" i="5" s="1"/>
  <c r="T108" i="5"/>
  <c r="T110" i="5" s="1"/>
  <c r="H108" i="5"/>
  <c r="H110" i="5" s="1"/>
  <c r="O182" i="5"/>
  <c r="O184" i="5" s="1"/>
  <c r="C182" i="5"/>
  <c r="C184" i="5" s="1"/>
  <c r="Q108" i="5"/>
  <c r="Q110" i="5" s="1"/>
  <c r="E108" i="5"/>
  <c r="E110" i="5" s="1"/>
  <c r="L145" i="5"/>
  <c r="L147" i="5" s="1"/>
  <c r="P108" i="5"/>
  <c r="P110" i="5" s="1"/>
  <c r="D108" i="5"/>
  <c r="D110" i="5" s="1"/>
  <c r="O876" i="5"/>
  <c r="N108" i="5"/>
  <c r="N110" i="5" s="1"/>
  <c r="B108" i="5"/>
  <c r="B110" i="5" s="1"/>
  <c r="W145" i="5"/>
  <c r="W147" i="5" s="1"/>
  <c r="K145" i="5"/>
  <c r="K147" i="5" s="1"/>
  <c r="V145" i="5"/>
  <c r="V147" i="5" s="1"/>
  <c r="J145" i="5"/>
  <c r="J147" i="5" s="1"/>
  <c r="U145" i="5"/>
  <c r="U147" i="5" s="1"/>
  <c r="I145" i="5"/>
  <c r="I147" i="5" s="1"/>
  <c r="O108" i="5"/>
  <c r="O110" i="5" s="1"/>
  <c r="C108" i="5"/>
  <c r="C110" i="5" s="1"/>
  <c r="I182" i="5"/>
  <c r="I184" i="5" s="1"/>
  <c r="T182" i="5"/>
  <c r="T184" i="5" s="1"/>
  <c r="L876" i="5"/>
  <c r="V876" i="5"/>
  <c r="W108" i="5"/>
  <c r="W110" i="5" s="1"/>
  <c r="K108" i="5"/>
  <c r="K110" i="5" s="1"/>
  <c r="R145" i="5"/>
  <c r="R147" i="5" s="1"/>
  <c r="F145" i="5"/>
  <c r="F147" i="5" s="1"/>
  <c r="V108" i="5"/>
  <c r="V110" i="5" s="1"/>
  <c r="J108" i="5"/>
  <c r="J110" i="5" s="1"/>
  <c r="Q182" i="5"/>
  <c r="Q184" i="5" s="1"/>
  <c r="E182" i="5"/>
  <c r="E184" i="5" s="1"/>
  <c r="P182" i="5"/>
  <c r="P184" i="5" s="1"/>
  <c r="D182" i="5"/>
  <c r="D184" i="5" s="1"/>
  <c r="S108" i="5"/>
  <c r="S110" i="5" s="1"/>
  <c r="G108" i="5"/>
  <c r="G110" i="5" s="1"/>
  <c r="P145" i="5"/>
  <c r="P147" i="5" s="1"/>
  <c r="D145" i="5"/>
  <c r="D147" i="5" s="1"/>
  <c r="N145" i="5"/>
  <c r="N147" i="5" s="1"/>
  <c r="B145" i="5"/>
  <c r="B147" i="5" s="1"/>
  <c r="R108" i="5"/>
  <c r="R110" i="5" s="1"/>
  <c r="F108" i="5"/>
  <c r="F110" i="5" s="1"/>
  <c r="M145" i="5"/>
  <c r="M147" i="5" s="1"/>
  <c r="M71" i="5"/>
  <c r="M73" i="5" s="1"/>
  <c r="N71" i="5"/>
  <c r="N73" i="5" s="1"/>
  <c r="C876" i="5"/>
  <c r="S71" i="5"/>
  <c r="S73" i="5" s="1"/>
  <c r="G71" i="5"/>
  <c r="G73" i="5" s="1"/>
  <c r="N876" i="5"/>
  <c r="B876" i="5"/>
  <c r="M876" i="5"/>
  <c r="U71" i="5"/>
  <c r="U73" i="5" s="1"/>
  <c r="I71" i="5"/>
  <c r="I73" i="5" s="1"/>
  <c r="W876" i="5"/>
  <c r="K876" i="5"/>
  <c r="J876" i="5"/>
  <c r="U876" i="5"/>
  <c r="I876" i="5"/>
  <c r="R71" i="5"/>
  <c r="R73" i="5" s="1"/>
  <c r="F71" i="5"/>
  <c r="F73" i="5" s="1"/>
  <c r="N182" i="5"/>
  <c r="N184" i="5" s="1"/>
  <c r="B182" i="5"/>
  <c r="B184" i="5" s="1"/>
  <c r="M182" i="5"/>
  <c r="M184" i="5" s="1"/>
  <c r="L182" i="5"/>
  <c r="L184" i="5" s="1"/>
  <c r="T876" i="5"/>
  <c r="H876" i="5"/>
  <c r="S876" i="5"/>
  <c r="G876" i="5"/>
  <c r="Q876" i="5"/>
  <c r="E876" i="5"/>
  <c r="O71" i="5"/>
  <c r="O73" i="5" s="1"/>
  <c r="O34" i="5"/>
  <c r="O36" i="5" s="1"/>
  <c r="S34" i="5"/>
  <c r="S36" i="5" s="1"/>
  <c r="F34" i="5"/>
  <c r="F36" i="5" s="1"/>
  <c r="M34" i="5"/>
  <c r="M36" i="5" s="1"/>
  <c r="W71" i="5"/>
  <c r="W73" i="5" s="1"/>
  <c r="K71" i="5"/>
  <c r="K73" i="5" s="1"/>
  <c r="K34" i="5"/>
  <c r="K36" i="5" s="1"/>
  <c r="V34" i="5"/>
  <c r="V36" i="5" s="1"/>
  <c r="J34" i="5"/>
  <c r="J36" i="5" s="1"/>
  <c r="L34" i="5"/>
  <c r="L36" i="5" s="1"/>
  <c r="W34" i="5"/>
  <c r="W36" i="5" s="1"/>
  <c r="U34" i="5"/>
  <c r="U36" i="5" s="1"/>
  <c r="N34" i="5"/>
  <c r="N36" i="5" s="1"/>
  <c r="L71" i="5"/>
  <c r="L73" i="5" s="1"/>
  <c r="T71" i="5"/>
  <c r="T73" i="5" s="1"/>
  <c r="H71" i="5"/>
  <c r="H73" i="5" s="1"/>
  <c r="T34" i="5"/>
  <c r="T36" i="5" s="1"/>
  <c r="H34" i="5"/>
  <c r="H36" i="5" s="1"/>
  <c r="E34" i="5"/>
  <c r="E36" i="5" s="1"/>
  <c r="P71" i="5"/>
  <c r="P73" i="5" s="1"/>
  <c r="D71" i="5"/>
  <c r="D73" i="5" s="1"/>
  <c r="I34" i="5"/>
  <c r="I36" i="5" s="1"/>
  <c r="R34" i="5"/>
  <c r="R36" i="5" s="1"/>
  <c r="Q34" i="5"/>
  <c r="Q36" i="5" s="1"/>
  <c r="P34" i="5"/>
  <c r="P36" i="5" s="1"/>
  <c r="C2" i="5" l="1"/>
  <c r="G2" i="5"/>
  <c r="G34" i="5" s="1"/>
  <c r="G36" i="5" s="1"/>
  <c r="D2" i="5"/>
  <c r="E12" i="1"/>
  <c r="E14" i="1"/>
  <c r="E15" i="1"/>
  <c r="E16" i="1"/>
  <c r="E17" i="1"/>
  <c r="E18" i="1"/>
  <c r="E19" i="1"/>
  <c r="E4" i="1"/>
  <c r="E7" i="1"/>
  <c r="E10" i="1"/>
  <c r="E21" i="1"/>
  <c r="E2" i="1"/>
  <c r="C34" i="5" l="1"/>
  <c r="C36" i="5" s="1"/>
  <c r="E26" i="1"/>
  <c r="E23" i="1"/>
  <c r="E29" i="1"/>
  <c r="E27" i="1"/>
  <c r="E24" i="1"/>
  <c r="D878" i="5"/>
  <c r="P878" i="5"/>
  <c r="E878" i="5"/>
  <c r="Q878" i="5"/>
  <c r="F878" i="5"/>
  <c r="R878" i="5"/>
  <c r="G878" i="5"/>
  <c r="S878" i="5"/>
  <c r="N878" i="5"/>
  <c r="O878" i="5"/>
  <c r="H878" i="5"/>
  <c r="T878" i="5"/>
  <c r="C878" i="5"/>
  <c r="I878" i="5"/>
  <c r="U878" i="5"/>
  <c r="L878" i="5"/>
  <c r="M878" i="5"/>
  <c r="B878" i="5"/>
  <c r="J878" i="5"/>
  <c r="V878" i="5"/>
  <c r="W878" i="5"/>
  <c r="K878" i="5"/>
  <c r="E22" i="1"/>
  <c r="K90" i="2"/>
  <c r="D31" i="5"/>
  <c r="D34" i="5" s="1"/>
  <c r="D36" i="5" s="1"/>
  <c r="D255" i="5"/>
  <c r="D258" i="5" s="1"/>
  <c r="D260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BAADDA-65DB-4A57-9835-2839E9D6BFBC}" keepAlive="1" name="Consulta - LNM3-0226-Punta Hermosa-Farah" description="Conexión a la consulta 'LNM3-0226-Punta Hermosa-Farah' en el libro." type="5" refreshedVersion="8" background="1" saveData="1">
    <dbPr connection="Provider=Microsoft.Mashup.OleDb.1;Data Source=$Workbook$;Location=&quot;LNM3-0226-Punta Hermosa-Farah&quot;;Extended Properties=&quot;&quot;" command="SELECT * FROM [LNM3-0226-Punta Hermosa-Farah]"/>
  </connection>
  <connection id="2" xr16:uid="{DDEC330A-F29C-4BA4-A4B6-E3F7C936A811}" keepAlive="1" name="Consulta - LNX2 - 0226 -San Borja-ENCISO" description="Conexión a la consulta 'LNX2 - 0226 -San Borja-ENCISO' en el libro." type="5" refreshedVersion="8" background="1" saveData="1">
    <dbPr connection="Provider=Microsoft.Mashup.OleDb.1;Data Source=$Workbook$;Location=&quot;LNX2 - 0226 -San Borja-ENCISO&quot;;Extended Properties=&quot;&quot;" command="SELECT * FROM [LNX2 - 0226 -San Borja-ENCISO]"/>
  </connection>
  <connection id="3" xr16:uid="{01E761BC-5238-47A7-95B4-FFD3FE17DA1E}" keepAlive="1" name="Consulta - MH-DF - 0226 - Surquillo-Mirtha" description="Conexión a la consulta 'MH-DF - 0226 - Surquillo-Mirtha' en el libro." type="5" refreshedVersion="8" background="1" saveData="1">
    <dbPr connection="Provider=Microsoft.Mashup.OleDb.1;Data Source=$Workbook$;Location=&quot;MH-DF - 0226 - Surquillo-Mirtha&quot;;Extended Properties=&quot;&quot;" command="SELECT * FROM [MH-DF - 0226 - Surquillo-Mirtha]"/>
  </connection>
  <connection id="4" xr16:uid="{E85FF91A-84FA-4DF2-9B02-C7A73542C0D1}" keepAlive="1" name="Consulta - MH-DFM4-0226-Pueblo Libre-Silvi" description="Conexión a la consulta 'MH-DFM4-0226-Pueblo Libre-Silvi' en el libro." type="5" refreshedVersion="8" background="1" saveData="1">
    <dbPr connection="Provider=Microsoft.Mashup.OleDb.1;Data Source=$Workbook$;Location=&quot;MH-DFM4-0226-Pueblo Libre-Silvi&quot;;Extended Properties=&quot;&quot;" command="SELECT * FROM [MH-DFM4-0226-Pueblo Libre-Silvi]"/>
  </connection>
  <connection id="5" xr16:uid="{96DADD6B-8CEE-45F2-80C1-DF7ECF597897}" keepAlive="1" name="Consulta - MH-ESTRU-LAM5-0226-Surqu-Mirtha" description="Conexión a la consulta 'MH-ESTRU-LAM5-0226-Surqu-Mirtha' en el libro." type="5" refreshedVersion="8" background="1" saveData="1">
    <dbPr connection="Provider=Microsoft.Mashup.OleDb.1;Data Source=$Workbook$;Location=MH-ESTRU-LAM5-0226-Surqu-Mirtha;Extended Properties=&quot;&quot;" command="SELECT * FROM [MH-ESTRU-LAM5-0226-Surqu-Mirtha]"/>
  </connection>
  <connection id="6" xr16:uid="{38579672-E229-4D9E-806E-4689677F6DE3}" keepAlive="1" name="Consulta - MH-ESTRU-ONM7 - SMP - Remo Mele" description="Conexión a la consulta 'MH-ESTRU-ONM7 - SMP - Remo Mele' en el libro." type="5" refreshedVersion="8" background="1" saveData="1">
    <dbPr connection="Provider=Microsoft.Mashup.OleDb.1;Data Source=$Workbook$;Location=&quot;MH-ESTRU-ONM7 - SMP - Remo Mele&quot;;Extended Properties=&quot;&quot;" command="SELECT * FROM [MH-ESTRU-ONM7 - SMP - Remo Mele]"/>
  </connection>
  <connection id="7" xr16:uid="{A044ED95-061A-4EE6-919D-9165D6F5B3A2}" keepAlive="1" name="Consulta - MH-LAM4 -1225-San Miguel-Antoni" description="Conexión a la consulta 'MH-LAM4 -1225-San Miguel-Antoni' en el libro." type="5" refreshedVersion="8" background="1" saveData="1">
    <dbPr connection="Provider=Microsoft.Mashup.OleDb.1;Data Source=$Workbook$;Location=&quot;MH-LAM4 -1225-San Miguel-Antoni&quot;;Extended Properties=&quot;&quot;" command="SELECT * FROM [MH-LAM4 -1225-San Miguel-Antoni]"/>
  </connection>
  <connection id="8" xr16:uid="{2D0ADEAA-2DD8-4821-AD97-8A2B8B818065}" keepAlive="1" name="Consulta - MH-LMM5-La Victoria-Carmen Baq(1)" description="Conexión a la consulta 'MH-LMM5-La Victoria-Carmen Baq' en el libro." type="5" refreshedVersion="8" background="1" saveData="1">
    <dbPr connection="Provider=Microsoft.Mashup.OleDb.1;Data Source=$Workbook$;Location=&quot;MH-LMM5-La Victoria-Carmen Baq&quot;;Extended Properties=&quot;&quot;" command="SELECT * FROM [MH-LMM5-La Victoria-Carmen Baq]"/>
  </connection>
  <connection id="9" xr16:uid="{77DE836F-3921-4ADB-9605-1C66148A1749}" keepAlive="1" name="Consulta - MH-LNC2-Cieneguilla-Sanny &amp; Bry" description="Conexión a la consulta 'MH-LNC2-Cieneguilla-Sanny &amp; Bry' en el libro." type="5" refreshedVersion="8" background="1" saveData="1">
    <dbPr connection="Provider=Microsoft.Mashup.OleDb.1;Data Source=$Workbook$;Location=&quot;MH-LNC2-Cieneguilla-Sanny &amp; Bry&quot;;Extended Properties=&quot;&quot;" command="SELECT * FROM [MH-LNC2-Cieneguilla-Sanny &amp; Bry]"/>
  </connection>
  <connection id="10" xr16:uid="{047324BE-0430-462F-8325-DE6577B68F3F}" keepAlive="1" name="Consulta - MH-LNM10-0425-San Bartolo-Tafur" description="Conexión a la consulta 'MH-LNM10-0425-San Bartolo-Tafur' en el libro." type="5" refreshedVersion="8" background="1" saveData="1">
    <dbPr connection="Provider=Microsoft.Mashup.OleDb.1;Data Source=$Workbook$;Location=&quot;MH-LNM10-0425-San Bartolo-Tafur&quot;;Extended Properties=&quot;&quot;" command="SELECT * FROM [MH-LNM10-0425-San Bartolo-Tafur]"/>
  </connection>
  <connection id="11" xr16:uid="{FA910AA3-16A8-416E-91C1-8330031BB3D8}" keepAlive="1" name="Consulta - MH-LNM11_0925-PUEBLO LIBRE-TAF" description="Conexión a la consulta 'MH-LNM11_0925-PUEBLO LIBRE-TAF' en el libro." type="5" refreshedVersion="8" background="1" saveData="1">
    <dbPr connection="Provider=Microsoft.Mashup.OleDb.1;Data Source=$Workbook$;Location=&quot;MH-LNM11_0925-PUEBLO LIBRE-TAF&quot;;Extended Properties=&quot;&quot;" command="SELECT * FROM [MH-LNM11_0925-PUEBLO LIBRE-TAF]"/>
  </connection>
  <connection id="12" xr16:uid="{F7E9104B-B7E2-40E3-8495-DBFEE1E4BF2D}" keepAlive="1" name="Consulta - MH-LNM5 - 0226 - SJL - MONTERO" description="Conexión a la consulta 'MH-LNM5 - 0226 - SJL - MONTERO' en el libro." type="5" refreshedVersion="8" background="1" saveData="1">
    <dbPr connection="Provider=Microsoft.Mashup.OleDb.1;Data Source=$Workbook$;Location=&quot;MH-LNM5 - 0226 - SJL - MONTERO&quot;;Extended Properties=&quot;&quot;" command="SELECT * FROM [MH-LNM5 - 0226 - SJL - MONTERO]"/>
  </connection>
  <connection id="13" xr16:uid="{AC1AAD9B-098B-429D-A285-B876D8E9AE79}" keepAlive="1" name="Consulta - MH-LNM5 - 0226 - SJL - MONTERO (2)" description="Conexión a la consulta 'MH-LNM5 - 0226 - SJL - MONTERO (2)' en el libro." type="5" refreshedVersion="8" background="1" saveData="1">
    <dbPr connection="Provider=Microsoft.Mashup.OleDb.1;Data Source=$Workbook$;Location=&quot;MH-LNM5 - 0226 - SJL - MONTERO (2)&quot;;Extended Properties=&quot;&quot;" command="SELECT * FROM [MH-LNM5 - 0226 - SJL - MONTERO (2)]"/>
  </connection>
  <connection id="14" xr16:uid="{AB7B8089-5DE3-4404-B713-031295E90070}" keepAlive="1" name="Consulta - MH-LNM5 - San Miguel - Ing  Mar" description="Conexión a la consulta 'MH-LNM5 - San Miguel - Ing  Mar' en el libro." type="5" refreshedVersion="8" background="1" saveData="1">
    <dbPr connection="Provider=Microsoft.Mashup.OleDb.1;Data Source=$Workbook$;Location=&quot;MH-LNM5 - San Miguel - Ing  Mar&quot;;Extended Properties=&quot;&quot;" command="SELECT * FROM [MH-LNM5 - San Miguel - Ing  Mar]"/>
  </connection>
  <connection id="15" xr16:uid="{82492800-45FA-4D3D-9E41-F268DE7381D3}" keepAlive="1" name="Consulta - MH-LNM5_0425-SAN MIGUEL-CAR" description="Conexión a la consulta 'MH-LNM5_0425-SAN MIGUEL-CAR' en el libro." type="5" refreshedVersion="8" background="1" saveData="1">
    <dbPr connection="Provider=Microsoft.Mashup.OleDb.1;Data Source=$Workbook$;Location=&quot;MH-LNM5_0425-SAN MIGUEL-CAR&quot;;Extended Properties=&quot;&quot;" command="SELECT * FROM [MH-LNM5_0425-SAN MIGUEL-CAR]"/>
  </connection>
  <connection id="16" xr16:uid="{39EADC5C-A3D4-465C-8504-107EA924E7CF}" keepAlive="1" name="Consulta - MH-LNM5_0925-CHORRILLOS-TAFUR" description="Conexión a la consulta 'MH-LNM5_0925-CHORRILLOS-TAFUR' en el libro." type="5" refreshedVersion="8" background="1" saveData="1">
    <dbPr connection="Provider=Microsoft.Mashup.OleDb.1;Data Source=$Workbook$;Location=MH-LNM5_0925-CHORRILLOS-TAFUR;Extended Properties=&quot;&quot;" command="SELECT * FROM [MH-LNM5_0925-CHORRILLOS-TAFUR]"/>
  </connection>
  <connection id="17" xr16:uid="{0BD75BF1-5C3C-400D-8F22-D8DEFD310974}" keepAlive="1" name="Consulta - MH-LNM5-0126-ChorrilosMatellini" description="Conexión a la consulta 'MH-LNM5-0126-ChorrilosMatellini' en el libro." type="5" refreshedVersion="8" background="1" saveData="1">
    <dbPr connection="Provider=Microsoft.Mashup.OleDb.1;Data Source=$Workbook$;Location=MH-LNM5-0126-ChorrilosMatellini;Extended Properties=&quot;&quot;" command="SELECT * FROM [MH-LNM5-0126-ChorrilosMatellini]"/>
  </connection>
  <connection id="18" xr16:uid="{8BA855FE-60B9-4AA4-A989-30D97A90B7E8}" keepAlive="1" name="Consulta - MH-LNM5-1025-Callao-CarlosCelis" description="Conexión a la consulta 'MH-LNM5-1025-Callao-CarlosCelis' en el libro." type="5" refreshedVersion="8" background="1" saveData="1">
    <dbPr connection="Provider=Microsoft.Mashup.OleDb.1;Data Source=$Workbook$;Location=MH-LNM5-1025-Callao-CarlosCelis;Extended Properties=&quot;&quot;" command="SELECT * FROM [MH-LNM5-1025-Callao-CarlosCelis]"/>
  </connection>
  <connection id="19" xr16:uid="{1C27D56F-627C-4934-8E53-150B9A4190C0}" keepAlive="1" name="Consulta - MH-LNM7 - 0925 - Cedros - Ninah" description="Conexión a la consulta 'MH-LNM7 - 0925 - Cedros - Ninah' en el libro." type="5" refreshedVersion="8" background="1" saveData="1">
    <dbPr connection="Provider=Microsoft.Mashup.OleDb.1;Data Source=$Workbook$;Location=&quot;MH-LNM7 - 0925 - Cedros - Ninah&quot;;Extended Properties=&quot;&quot;" command="SELECT * FROM [MH-LNM7 - 0925 - Cedros - Ninah]"/>
  </connection>
  <connection id="20" xr16:uid="{D7DBE2B7-BDE6-4311-AA38-E4C11EFF650B}" keepAlive="1" name="Consulta - MH-LNM7 - San Miguel-Wendy Mart" description="Conexión a la consulta 'MH-LNM7 - San Miguel-Wendy Mart' en el libro." type="5" refreshedVersion="8" background="1" saveData="1">
    <dbPr connection="Provider=Microsoft.Mashup.OleDb.1;Data Source=$Workbook$;Location=&quot;MH-LNM7 - San Miguel-Wendy Mart&quot;;Extended Properties=&quot;&quot;" command="SELECT * FROM [MH-LNM7 - San Miguel-Wendy Mart]"/>
  </connection>
  <connection id="21" xr16:uid="{65A30F80-877B-4461-81D8-7EC218A76CB9}" keepAlive="1" name="Consulta - MH-LNX1 - 0325 - Breña - Juan C" description="Conexión a la consulta 'MH-LNX1 - 0325 - Breña - Juan C' en el libro." type="5" refreshedVersion="8" background="1" saveData="1">
    <dbPr connection="Provider=Microsoft.Mashup.OleDb.1;Data Source=$Workbook$;Location=&quot;MH-LNX1 - 0325 - Breña - Juan C&quot;;Extended Properties=&quot;&quot;" command="SELECT * FROM [MH-LNX1 - 0325 - Breña - Juan C]"/>
  </connection>
  <connection id="22" xr16:uid="{924C0A28-4EE6-47FB-AD5B-EDA16BD723E5}" keepAlive="1" name="Consulta - MH-METRADO_0525 - SAN ISIDROCEL" description="Conexión a la consulta 'MH-METRADO_0525 - SAN ISIDROCEL' en el libro." type="5" refreshedVersion="8" background="1" saveData="1">
    <dbPr connection="Provider=Microsoft.Mashup.OleDb.1;Data Source=$Workbook$;Location=&quot;MH-METRADO_0525 - SAN ISIDROCEL&quot;;Extended Properties=&quot;&quot;" command="SELECT * FROM [MH-METRADO_0525 - SAN ISIDROCEL]"/>
  </connection>
  <connection id="23" xr16:uid="{B9DE86B5-491B-458B-9C8D-6D6260D1DAB2}" keepAlive="1" name="Consulta - MH-ONC2_0725-SAN ANTONIO-PEDRO" description="Conexión a la consulta 'MH-ONC2_0725-SAN ANTONIO-PEDRO' en el libro." type="5" refreshedVersion="8" background="1" saveData="1">
    <dbPr connection="Provider=Microsoft.Mashup.OleDb.1;Data Source=$Workbook$;Location=&quot;MH-ONC2_0725-SAN ANTONIO-PEDRO&quot;;Extended Properties=&quot;&quot;" command="SELECT * FROM [MH-ONC2_0725-SAN ANTONIO-PEDRO]"/>
  </connection>
  <connection id="24" xr16:uid="{AC4D4A36-E851-44C8-8674-8469393E2E91}" keepAlive="1" name="Consulta - MH-ONM3-1125-Jicamarca-Giovann" description="Conexión a la consulta 'MH-ONM3-1125-Jicamarca-Giovann' en el libro." type="5" refreshedVersion="8" background="1" saveData="1">
    <dbPr connection="Provider=Microsoft.Mashup.OleDb.1;Data Source=$Workbook$;Location=MH-ONM3-1125-Jicamarca-Giovann;Extended Properties=&quot;&quot;" command="SELECT * FROM [MH-ONM3-1125-Jicamarca-Giovann]"/>
  </connection>
  <connection id="25" xr16:uid="{3A18BF68-4C66-4262-9A45-07681AFA30C3}" keepAlive="1" name="Consulta - MH-ONM5 - El Agustino - Cristia" description="Conexión a la consulta 'MH-ONM5 - El Agustino - Cristia' en el libro." type="5" refreshedVersion="8" background="1" saveData="1">
    <dbPr connection="Provider=Microsoft.Mashup.OleDb.1;Data Source=$Workbook$;Location=&quot;MH-ONM5 - El Agustino - Cristia&quot;;Extended Properties=&quot;&quot;" command="SELECT * FROM [MH-ONM5 - El Agustino - Cristia]"/>
  </connection>
  <connection id="26" xr16:uid="{CD9101E0-7A05-470E-B042-3641C9409F73}" keepAlive="1" name="Consulta - MH-ONM7 - 0925-Cedros-Ninahuanc" description="Conexión a la consulta 'MH-ONM7 - 0925-Cedros-Ninahuanc' en el libro." type="5" refreshedVersion="8" background="1" saveData="1">
    <dbPr connection="Provider=Microsoft.Mashup.OleDb.1;Data Source=$Workbook$;Location=&quot;MH-ONM7 - 0925-Cedros-Ninahuanc&quot;;Extended Properties=&quot;&quot;" command="SELECT * FROM [MH-ONM7 - 0925-Cedros-Ninahuanc]"/>
  </connection>
  <connection id="27" xr16:uid="{9144346D-7591-44EC-B835-7AA0A3E95BDC}" keepAlive="1" name="Consulta - MH-ONX7 - BREÑA - Eduardo Vara" description="Conexión a la consulta 'MH-ONX7 - BREÑA - Eduardo Vara' en el libro." type="5" refreshedVersion="8" background="1" saveData="1">
    <dbPr connection="Provider=Microsoft.Mashup.OleDb.1;Data Source=$Workbook$;Location=&quot;MH-ONX7 - BREÑA - Eduardo Vara&quot;;Extended Properties=&quot;&quot;" command="SELECT * FROM [MH-ONX7 - BREÑA - Eduardo Vara]"/>
  </connection>
  <connection id="28" xr16:uid="{D00D2948-913B-44EA-9143-DD4C83DE37F6}" keepAlive="1" name="Consulta - MH-ONX8 - 0825 - Breña - Dario" description="Conexión a la consulta 'MH-ONX8 - 0825 - Breña - Dario' en el libro." type="5" refreshedVersion="8" background="1" saveData="1">
    <dbPr connection="Provider=Microsoft.Mashup.OleDb.1;Data Source=$Workbook$;Location=&quot;MH-ONX8 - 0825 - Breña - Dario&quot;;Extended Properties=&quot;&quot;" command="SELECT * FROM [MH-ONX8 - 0825 - Breña - Dario]"/>
  </connection>
  <connection id="29" xr16:uid="{BFF6721A-CAC0-441F-B0D5-12B56DFAAFD0}" keepAlive="1" name="Consulta - MH-ORX5-1125-Surquillo-LuzSuare" description="Conexión a la consulta 'MH-ORX5-1125-Surquillo-LuzSuare' en el libro." type="5" refreshedVersion="8" background="1" saveData="1">
    <dbPr connection="Provider=Microsoft.Mashup.OleDb.1;Data Source=$Workbook$;Location=MH-ORX5-1125-Surquillo-LuzSuare;Extended Properties=&quot;&quot;" command="SELECT * FROM [MH-ORX5-1125-Surquillo-LuzSuare]"/>
  </connection>
  <connection id="30" xr16:uid="{07921E33-CDB6-42BC-A00B-F2F6120AA35A}" keepAlive="1" name="Consulta - MP-0525 - Surco - Arq  Edin" description="Conexión a la consulta 'MP-0525 - Surco - Arq  Edin' en el libro." type="5" refreshedVersion="8" background="1" saveData="1">
    <dbPr connection="Provider=Microsoft.Mashup.OleDb.1;Data Source=$Workbook$;Location=&quot;MP-0525 - Surco - Arq  Edin&quot;;Extended Properties=&quot;&quot;" command="SELECT * FROM [MP-0525 - Surco - Arq  Edin]"/>
  </connection>
  <connection id="31" xr16:uid="{9190B128-D459-415C-AE1D-297C27F1C14B}" keepAlive="1" name="Consulta - MP-LAM4 -0226- ATE -Maria" description="Conexión a la consulta 'MP-LAM4 -0226- ATE -Maria' en el libro." type="5" refreshedVersion="8" background="1" saveData="1">
    <dbPr connection="Provider=Microsoft.Mashup.OleDb.1;Data Source=$Workbook$;Location=&quot;MP-LAM4 -0226- ATE -Maria&quot;;Extended Properties=&quot;&quot;" command="SELECT * FROM [MP-LAM4 -0226- ATE -Maria]"/>
  </connection>
  <connection id="32" xr16:uid="{4A1BDAB8-0196-40A4-82EE-672D77E1DC7A}" keepAlive="1" name="Consulta - MP-OAM4 -0226- ATE -Maria" description="Conexión a la consulta 'MP-OAM4 -0226- ATE -Maria' en el libro." type="5" refreshedVersion="8" background="1" saveData="1">
    <dbPr connection="Provider=Microsoft.Mashup.OleDb.1;Data Source=$Workbook$;Location=&quot;MP-OAM4 -0226- ATE -Maria&quot;;Extended Properties=&quot;&quot;" command="SELECT * FROM [MP-OAM4 -0226- ATE -Maria]"/>
  </connection>
  <connection id="33" xr16:uid="{87F20E16-F389-4A18-84C4-8769788B03E1}" keepAlive="1" name="Consulta - MP-ONM5-0226- Breña-Ysidro" description="Conexión a la consulta 'MP-ONM5-0226- Breña-Ysidro' en el libro." type="5" refreshedVersion="8" background="1" saveData="1">
    <dbPr connection="Provider=Microsoft.Mashup.OleDb.1;Data Source=$Workbook$;Location=&quot;MP-ONM5-0226- Breña-Ysidro&quot;;Extended Properties=&quot;&quot;" command="SELECT * FROM [MP-ONM5-0226- Breña-Ysidro]"/>
  </connection>
</connections>
</file>

<file path=xl/sharedStrings.xml><?xml version="1.0" encoding="utf-8"?>
<sst xmlns="http://schemas.openxmlformats.org/spreadsheetml/2006/main" count="8977" uniqueCount="578">
  <si>
    <t>Rol</t>
  </si>
  <si>
    <t>h reales / persona</t>
  </si>
  <si>
    <t>TOTAL</t>
  </si>
  <si>
    <t>Unidad</t>
  </si>
  <si>
    <t>NOMBRE</t>
  </si>
  <si>
    <t>%</t>
  </si>
  <si>
    <t>ARQ. KARLA MERINO</t>
  </si>
  <si>
    <t>ARQ. ANGELO MONTERO</t>
  </si>
  <si>
    <t>ARQ. PIERINA CASALLO</t>
  </si>
  <si>
    <t>ARQ. ALAN TORRES</t>
  </si>
  <si>
    <t>ARQUITECTO</t>
  </si>
  <si>
    <t>ELECTRICO</t>
  </si>
  <si>
    <t>ING. OSCAR MEDALLO</t>
  </si>
  <si>
    <t>ESTRUCTURAL</t>
  </si>
  <si>
    <t>ING. CRISTIAN HUAMAMANI</t>
  </si>
  <si>
    <t>SANITARIO</t>
  </si>
  <si>
    <t>ING. KEVIN DIAZ</t>
  </si>
  <si>
    <t>ING. ROMINA CASALLO</t>
  </si>
  <si>
    <t>GESTIÓN</t>
  </si>
  <si>
    <t>ING. WILLY MELCHOR</t>
  </si>
  <si>
    <t>Fase</t>
  </si>
  <si>
    <t>ARQUITECTURA</t>
  </si>
  <si>
    <t>TOTAL (HORAS)</t>
  </si>
  <si>
    <t>DURACIÓN CALENDARIO TIPICA</t>
  </si>
  <si>
    <t>1 SEMANA</t>
  </si>
  <si>
    <t>3-4 SEMANAS</t>
  </si>
  <si>
    <t>2-3 SEMANAS</t>
  </si>
  <si>
    <t>PROYECTO</t>
  </si>
  <si>
    <t>ESTADO</t>
  </si>
  <si>
    <t>CAPACIDAD INSTALADA (HORAS)</t>
  </si>
  <si>
    <t>Capacidad quincenal</t>
  </si>
  <si>
    <t>horas/quincenal</t>
  </si>
  <si>
    <t>ENERO 1</t>
  </si>
  <si>
    <t>ENERO 2</t>
  </si>
  <si>
    <t>FEBRERO 1</t>
  </si>
  <si>
    <t>FEBRERO 2</t>
  </si>
  <si>
    <t>MARZO 1</t>
  </si>
  <si>
    <t>MARZO 2</t>
  </si>
  <si>
    <t>ABRIL 1</t>
  </si>
  <si>
    <t>MAYO 1</t>
  </si>
  <si>
    <t>ABRIL 2</t>
  </si>
  <si>
    <t>MAYO 2</t>
  </si>
  <si>
    <t>JUNIO 1</t>
  </si>
  <si>
    <t>JUNIO 2</t>
  </si>
  <si>
    <t>JULIO 1</t>
  </si>
  <si>
    <t>JULIO 2</t>
  </si>
  <si>
    <t>AGOSTO 1</t>
  </si>
  <si>
    <t>AGOSTO 2</t>
  </si>
  <si>
    <t>SEPTIEMBRE 1</t>
  </si>
  <si>
    <t>SEPTIEMBRE 2</t>
  </si>
  <si>
    <t>OCTUBRE 1</t>
  </si>
  <si>
    <t>OCTUBRE 2</t>
  </si>
  <si>
    <t>NOVIEMBRE 1</t>
  </si>
  <si>
    <t>NOVIEMBRE 2</t>
  </si>
  <si>
    <t>DICIEMBRE 1</t>
  </si>
  <si>
    <t>DICIEMBRE 2</t>
  </si>
  <si>
    <t>PERIODO PLANIFICADO</t>
  </si>
  <si>
    <t>PERIODO</t>
  </si>
  <si>
    <t>ESTRUCTURAS</t>
  </si>
  <si>
    <t>TOTAL ARQUITECTOS</t>
  </si>
  <si>
    <t>TOTAL ESTRUCTURALES</t>
  </si>
  <si>
    <t>TOTAL SANITARIOS</t>
  </si>
  <si>
    <t>TOTAL ELECTRICOS</t>
  </si>
  <si>
    <t>GESTORA</t>
  </si>
  <si>
    <t>GESTIÓN Y ADMINISTRACIÓN</t>
  </si>
  <si>
    <t>V 1.0 - PRELIMINAR A LA APROBACIÓN ARQUITECTÓNICA</t>
  </si>
  <si>
    <t>V 2.0 - PRELIMINAR A ENTREGA DEL EXPEDIENTE</t>
  </si>
  <si>
    <t>V 2.1 - ENTREGA TÉCNICA FINAL DE EXPEDIENTE</t>
  </si>
  <si>
    <t>ONX7 - 1125 - Breña - Dario 02</t>
  </si>
  <si>
    <t>INST. SANITARIAS</t>
  </si>
  <si>
    <t>INST. ELECTRICAS</t>
  </si>
  <si>
    <t>SUELOS</t>
  </si>
  <si>
    <t>NOMBRE DE PROYECTO</t>
  </si>
  <si>
    <t>TIPO DE EXPEDIENTE</t>
  </si>
  <si>
    <t>ESPECIALIDAD</t>
  </si>
  <si>
    <t>PARTIDA</t>
  </si>
  <si>
    <t>VERSIÓN</t>
  </si>
  <si>
    <t>HORAS CALENDARIO TECNICOS LABORADOS PARA PERSONA CON RENDIMIENTO AL 100%</t>
  </si>
  <si>
    <t>HORAS CALENDARIO EN REUNIONES CON CLIENTES PARA PERSONA CON RENDIMIENTO AL 100%</t>
  </si>
  <si>
    <t>LMM5 - La Victoria - Carmen Baquerizo</t>
  </si>
  <si>
    <t>Exp. Licencia mod. B</t>
  </si>
  <si>
    <t>V 2.0 - PRELIMINAR A ENTREGA A REVISORES</t>
  </si>
  <si>
    <t>TRAMITES ADMINISTRATIVOS - INGRESAR EXPEDIENTE A MUNI</t>
  </si>
  <si>
    <t>V 3.1 - ENTREGA TÉCNICA FINAL DE EXPEDIENTE A MUNI</t>
  </si>
  <si>
    <t>TRAMITES ADMINISTRATIVOS - REVISIÓN DE EXPEDIENTE A MUNICIPALIDAD</t>
  </si>
  <si>
    <t>LNM7 - 0525 - Surco - Arq. Edinson Rufasto</t>
  </si>
  <si>
    <t>VERSION</t>
  </si>
  <si>
    <t>ARQUITECTURA - Planos de distribución</t>
  </si>
  <si>
    <t>ARQUITECTURA - Propuesta de render 3D</t>
  </si>
  <si>
    <t>TAREAS ADMINISTRATIVAS - MANDAR A IMPRENTA PLANOS A PLOTEAR</t>
  </si>
  <si>
    <t>ESTRUCTURAS - Propuesta estructural de columnas, placas y vigas</t>
  </si>
  <si>
    <t>ESTRUCTURAS - Planos de encofrados de techos</t>
  </si>
  <si>
    <t>ESTRUCTURAS - Detalle de placas</t>
  </si>
  <si>
    <t>ESTRUCTURAS - Cuadro de columnas</t>
  </si>
  <si>
    <t>ESTRUCTURAS - Desarrollo de vigas</t>
  </si>
  <si>
    <t>ESTRUCTURAS - Planos de cimentación</t>
  </si>
  <si>
    <t>ESTRUCTURAS - Detalle y corte de cisterna</t>
  </si>
  <si>
    <t>ESTRUCTURAS - Cortes de cimentación</t>
  </si>
  <si>
    <t>ESTRUCTURAS - Especificaciones generales</t>
  </si>
  <si>
    <t>ESTRUCTURAS - Memoria de cálculo estructural</t>
  </si>
  <si>
    <t>IIEE - Propuesta de puntos</t>
  </si>
  <si>
    <t>IIEE - Plano de luminarias</t>
  </si>
  <si>
    <t>IIEE - Plano de tomacorrientes</t>
  </si>
  <si>
    <t>IIEE - Excel de cálculos eléctricos</t>
  </si>
  <si>
    <t>IIEE - Cuadro de cargas y unifilares</t>
  </si>
  <si>
    <t>IIEE - Memoria eléctrica</t>
  </si>
  <si>
    <t>IISS - Propuesta de Cisterna y/o T.E.</t>
  </si>
  <si>
    <t>IISS - Excel de cálculos sanitarios</t>
  </si>
  <si>
    <t>IISS - PLANOS DE AGUA</t>
  </si>
  <si>
    <t>IISS - PLANOS DE DESAGUE</t>
  </si>
  <si>
    <t>IISS - Plano de detalle + Plantas actualizada</t>
  </si>
  <si>
    <t>IISS - Isométrico de agua</t>
  </si>
  <si>
    <t>IISS - Documentos para factibilidad</t>
  </si>
  <si>
    <t>IISS - Memoria sanitaria</t>
  </si>
  <si>
    <t>EMS - Excel de ensayos</t>
  </si>
  <si>
    <t>EMS - Plano topográfico</t>
  </si>
  <si>
    <t>EMS - Informe de EMS</t>
  </si>
  <si>
    <t>Exp. Obra + EMS</t>
  </si>
  <si>
    <t>ARQUITECTURA - Memoria de seguridad</t>
  </si>
  <si>
    <t>TAREAS ADMINISTRATIVAS - Corroborar bloque actualizado en todas las especialidades</t>
  </si>
  <si>
    <t>TAREAS ADMINISTRATIVAS - Corroborar membrete de todas las especialidades</t>
  </si>
  <si>
    <t>INST. GAS</t>
  </si>
  <si>
    <t>IISS - Compatibilización con especialidades</t>
  </si>
  <si>
    <t>EMS - Plano perimétrico</t>
  </si>
  <si>
    <t>TAREAS ADMINISTRATIVAS - COORDINAR ENTREGA DE EXPEDIENTE CON CLIENTE</t>
  </si>
  <si>
    <t>TAREAS ADMINISTRATIVAS - Entrega de expediente impreso a cliente</t>
  </si>
  <si>
    <t>ONX8 - 0825 - Breña - Dario</t>
  </si>
  <si>
    <t>ARQUITECTURA - Bloque para especialidades</t>
  </si>
  <si>
    <t>ARQUITECTURA - Memoria arquitectura</t>
  </si>
  <si>
    <t>TAREAS ADMINISTRATIVAS - Reunión para arquitectura de interiores</t>
  </si>
  <si>
    <t>TAREAS ADMINISTRATIVAS - Reunión para aprobación de fachadas en 3D</t>
  </si>
  <si>
    <t>IIEE - Plano de comunicaciones</t>
  </si>
  <si>
    <t>ONM3 - 1125 - Jicamarca - Giovanna Maldonado</t>
  </si>
  <si>
    <t>ARQUITECTURA - Planos de corte y elevación</t>
  </si>
  <si>
    <t>ESTRUCTURAS - Compatibilización con especialidades</t>
  </si>
  <si>
    <t>ESTRUCTURAS - Planos de diseño de aceros de encofrados</t>
  </si>
  <si>
    <t>ESTRUCTURAS - Cuadro de vigas en encofrados</t>
  </si>
  <si>
    <t>IIEE - REUNIÓN CON CLIENTE</t>
  </si>
  <si>
    <t>IISS - Plano de detalle</t>
  </si>
  <si>
    <t>TAREAS ADMINISTRATIVAS - Subir DNI al DRIVE</t>
  </si>
  <si>
    <t>V 0.0 - INICIO DEL PROYECTO</t>
  </si>
  <si>
    <t>LNM5_0425 - SAN MIGUEL - CARLOS Y ANA</t>
  </si>
  <si>
    <t>V 2.1 - ENTREGA TÉCNICA FINAL A REVISORES</t>
  </si>
  <si>
    <t>ARQUITECTURA - Lev. de observaciones de Muni</t>
  </si>
  <si>
    <t>V 3.0 - PRELIMINAR A ENTREGA A MUNI</t>
  </si>
  <si>
    <t>ARQUITECTURAS - Rev. de Municipalidad</t>
  </si>
  <si>
    <t>V 3.1 - ENTREGA TÉCNICA FINAL A MUNI</t>
  </si>
  <si>
    <t>ARQUITECTURA - Render 3D</t>
  </si>
  <si>
    <t>ESTRUCTURAS - Rev. de Revisores urbanos</t>
  </si>
  <si>
    <t>ESTRUCTURAS - Lev. de revisores urbanos</t>
  </si>
  <si>
    <t>ESTRUCTURAS - Rev. de Municipalidad</t>
  </si>
  <si>
    <t>IIEE - Rev. de Revisores urbanos</t>
  </si>
  <si>
    <t>IIEE - Lev. de revisores urbanos</t>
  </si>
  <si>
    <t>IIEE - Lev. de observaciones de Muni</t>
  </si>
  <si>
    <t>IIEE - Rev. de Municipalidad</t>
  </si>
  <si>
    <t>IISS - Rev. de Revisores urbanos</t>
  </si>
  <si>
    <t>SANITARIAS - Lev. de revisores urbanos</t>
  </si>
  <si>
    <t>SANITARIAS - Lev. de observaciones de Muni</t>
  </si>
  <si>
    <t>IISS - Rev. de Municipalidad</t>
  </si>
  <si>
    <t>IIGG - Rev. de Municipalidad</t>
  </si>
  <si>
    <t>IIGG - Rev. de Revisores urbanos</t>
  </si>
  <si>
    <t>LNX1 - 0325 - Breña - Juan Cano</t>
  </si>
  <si>
    <t>V 2.0 - PRELIMINAR A ENTREGA A LA MUNI</t>
  </si>
  <si>
    <t>ESTRUCTURAS - Revisión de municipalidad</t>
  </si>
  <si>
    <t>ESTRUCTURAS - Lev. de observaciones de Muni</t>
  </si>
  <si>
    <t>LNM7 - 0925 - Cedros de Villa Chorrillos - Arq. Martin Ninahuanca</t>
  </si>
  <si>
    <t>TAREAS ADMINISTRATIVAS - MANDAR A IMPRENTA 3 JUEGOS DE EXPEDIENTE A PLOTEAR</t>
  </si>
  <si>
    <t>ARQUITECTURA - Lev. de observaciones de municipalidad</t>
  </si>
  <si>
    <t>ARQUITECTURA - Revisión de municipalidad</t>
  </si>
  <si>
    <t>ARQUITECTURA - Lev. de Observaciones de revisores</t>
  </si>
  <si>
    <t>V 2.1 - ENTREGA TÉCNICA FINAL DE EXPEDIENTE A REVISORES</t>
  </si>
  <si>
    <t>ARQUITECTURA - Revision de Revisores</t>
  </si>
  <si>
    <t>ESTRUCTURAS - Compatibilizacion con especialidades</t>
  </si>
  <si>
    <t>ESTRUCTURAS - Modelado de estructuras</t>
  </si>
  <si>
    <t>TAREAS ADMINISTRATIVAS - Junta de ingenierías</t>
  </si>
  <si>
    <t>ESTRUCTURAS - Lev. de Observaciones de Muni</t>
  </si>
  <si>
    <t>ESTRUCTURAS - Revision de Municipalidad</t>
  </si>
  <si>
    <t>ESTRUCTURAS - Revision de Revisores</t>
  </si>
  <si>
    <t>ESTRUCTURAS - Lev. de Observaciones de revisores</t>
  </si>
  <si>
    <t>ESTRUCTURAS - Corte de muros de sótanos</t>
  </si>
  <si>
    <t>ESTRUCTURAS - Memoria de sostenimiento</t>
  </si>
  <si>
    <t>TAREAS ADMINISTRATIVAS - Solicitar FACTBILIDAD a LUZ DEL SUR/ENEL</t>
  </si>
  <si>
    <t>IIEE - Plano de tomacorrientes y comunicaciones</t>
  </si>
  <si>
    <t>IIEE - Lev. de Observaciones de Muni</t>
  </si>
  <si>
    <t>IIEE - Revision de Municipalidad</t>
  </si>
  <si>
    <t>IIEE - Revision de Revisores</t>
  </si>
  <si>
    <t>IIEE - Lev. de Observaciones de revisores</t>
  </si>
  <si>
    <t>TAREAS ADMINISTRATIVAS - Solicitar FACTIBILIDAD a SEDAPAL</t>
  </si>
  <si>
    <t>IISS - Lev. de Observaciones de Muni</t>
  </si>
  <si>
    <t>IISS - Revision de Revisores</t>
  </si>
  <si>
    <t>IISS - Revision de Municipalidad</t>
  </si>
  <si>
    <t>IISS - Lev. de Observaciones de revisores</t>
  </si>
  <si>
    <t>IIGG - Memoria de gas</t>
  </si>
  <si>
    <t>IIGG - Plano de gas</t>
  </si>
  <si>
    <t>TAREAS ADMINISTRATIVAS - Solicitar FACTIBILIDAD a CALIDA</t>
  </si>
  <si>
    <t>GAS - Lev. de observaciones de municipalidad</t>
  </si>
  <si>
    <t>GAS - Revisión de municipalidad</t>
  </si>
  <si>
    <t>GAS - Lev. de Observaciones de revisores</t>
  </si>
  <si>
    <t>GAS - Revision de Revisores</t>
  </si>
  <si>
    <t>TAREAS ADMINISTRATIVAS - COORDINAR ENTREGA DE EXPEDIENTE APROBADO A REVISORES PARA QUE FIRME</t>
  </si>
  <si>
    <t>TAREAS ADMINISTRATIVAS - ESCANEA DE EXPEDIENTE A REVISORES</t>
  </si>
  <si>
    <t>TAREAS ADMINISTRATIVAS - EMISIÓN DE LICENCIA DE EDIFICACIÓN</t>
  </si>
  <si>
    <t>TAREAS ADMINISTRATIVAS - ENTREGA DE EXPEDIENTE FINAL FIRMADO A MUNICIPALIDAD</t>
  </si>
  <si>
    <t>ONC2_0725 - SAN ANTONIO - PEDRO</t>
  </si>
  <si>
    <t>ARQUITECTURA - Llenar FUE (Formulario Único de Edificaciones)</t>
  </si>
  <si>
    <t>V 3.0 - PRELIMINAR A ENTREGA DEL EXPEDIENTE A MUNICIPALIDAD</t>
  </si>
  <si>
    <t>V 2.0 - PRELIMINAR A ENTREGA DEL EXPEDIENTE A CONDOMINIO</t>
  </si>
  <si>
    <t>V 3.1 - ENTREGA TÉCNICA FINAL DE EXPEDIENTE A MUNICIPALIDAD</t>
  </si>
  <si>
    <t>ARQUITECTURA - Levantamiento de observaciones municipalidad</t>
  </si>
  <si>
    <t>IIEE - Revisión de municipalidad</t>
  </si>
  <si>
    <t>IISS - Levantamiento de observaciones municipalidad</t>
  </si>
  <si>
    <t>IISS - Revisión de municipalidad</t>
  </si>
  <si>
    <t>LNC2 - Cieneguilla - Sanny &amp; Bryan</t>
  </si>
  <si>
    <t>V 3.0 - PRELIMINAR A ENTREGA DEL EXPEDIENTE A MUNI</t>
  </si>
  <si>
    <t>TRAMITES ADMINISTRATIVOS - REVISIÓN DE EXP. POR MUNICIPALIDAD</t>
  </si>
  <si>
    <t>INGRESAR EXPEDIENTE A MUNICIPALIDAD</t>
  </si>
  <si>
    <t>LNM5 - San Miguel - Ing. Mario Martín</t>
  </si>
  <si>
    <t>ORX5 - 1125 - Surquillo - Luz suarez</t>
  </si>
  <si>
    <t>Exp. Obra (COMERCIO)</t>
  </si>
  <si>
    <t>ARQUITECTURA - Planos de señalización</t>
  </si>
  <si>
    <t>ARQUITECTURA - Planos de evacuación</t>
  </si>
  <si>
    <t>ARQUITECTURA - Memoria de Arquitectura</t>
  </si>
  <si>
    <t>ARQUITECTURA - Compatibilización de especialidades</t>
  </si>
  <si>
    <t>ESTRUCTURAS - Modelado estructural</t>
  </si>
  <si>
    <t>ESTRUCTURAS - Exposición de proyecto</t>
  </si>
  <si>
    <t>ESTRUCTURAS - Detalle de reforzamiento en cuadro de columna</t>
  </si>
  <si>
    <t>ESTRUCTURAS - Detalle de reforzamiento en cimentación</t>
  </si>
  <si>
    <t>ESTRUCTURAS - Detalle de reforzamiento en encofrado</t>
  </si>
  <si>
    <t>TAREAS ADMINISTRATIVAS - Reunión para exponer electricas</t>
  </si>
  <si>
    <t>TAREAS ADMINISTRATIVAS - Reunión para exponer mecánicas</t>
  </si>
  <si>
    <t>TAREAS ADMINISTRATIVAS - Junta de arquitectos</t>
  </si>
  <si>
    <t>LNM5 - 1025 - Callao - Carlos Celis</t>
  </si>
  <si>
    <t>V 2.0 - PRELIMINAR A ENTREGA A MUNI</t>
  </si>
  <si>
    <t>ARQUITECTURA - Lev. de observaciones</t>
  </si>
  <si>
    <t>ARQUITECTURA - Revisión de expediente por muni</t>
  </si>
  <si>
    <t>V 2.1 - ENTREGA TÉCNICA FINAL A MUNI</t>
  </si>
  <si>
    <t>ESTRUCTURAS - Revisión por municipalidad</t>
  </si>
  <si>
    <t>ESTRUCTURAS - Lev. de observaciones</t>
  </si>
  <si>
    <t>IIEE - Revisión por municipalidad</t>
  </si>
  <si>
    <t>IIEE - Lev. de observaciones</t>
  </si>
  <si>
    <t>IISS - Revisión por municipalidad</t>
  </si>
  <si>
    <t>IISS - Lev. de observaciones</t>
  </si>
  <si>
    <t>IIGG - Memorias de gas</t>
  </si>
  <si>
    <t>IIGG - Revisión por municipalidad</t>
  </si>
  <si>
    <t>IIGG - Lev. de observaciones</t>
  </si>
  <si>
    <t>LNM5_0925 - CHORRILLOS - TAFUR</t>
  </si>
  <si>
    <t>TAREAS ADMINISTRATIVAS - COORDINAR ENTREGA DE EXPEDIENTE A REVISORES</t>
  </si>
  <si>
    <t>TAREAS ADMINISTRATIVAS - COORDINAR ENTREGA DE EXPEDIENTE A MUNICIPALIDAD</t>
  </si>
  <si>
    <t>ESTRUCTURAS - REVISIÓN MUNICIPALIDAD</t>
  </si>
  <si>
    <t>ESTRUCTURAS - LEV. DE OBS. MUNICIPALIDAD</t>
  </si>
  <si>
    <t>IIEE - REVISIÓN MUNICIPALIDAD</t>
  </si>
  <si>
    <t>IIEE - LEV. DE OBS. MUNICIPALIDAD</t>
  </si>
  <si>
    <t>IISS - REVISIÓN DE EXP. POR MUNI</t>
  </si>
  <si>
    <t>IISS - LEV. DE OBSERVACIONES DE MUNI</t>
  </si>
  <si>
    <t>IISS - REVISION POR MUNI</t>
  </si>
  <si>
    <t>IISS - LEVANTAMIENTO DE OBSERVACIONES DE MUNI</t>
  </si>
  <si>
    <t>IISS - REVISION POR REVISORES</t>
  </si>
  <si>
    <t>IISS - LEVANTAMIENTO DE OBSERVACIONES DE REVISORES</t>
  </si>
  <si>
    <t>Cevicheria Punto Marisco - Surquillo - Arq. Tafur</t>
  </si>
  <si>
    <t>LNM11_0925 - PUEBLO LIBRE - HUGO TAFUR</t>
  </si>
  <si>
    <t>IIEE - ARMAR FACT. DE ELECTRICAS</t>
  </si>
  <si>
    <t>%A AVANZAR</t>
  </si>
  <si>
    <t>METRADO_0525 - SAN ISIDRO - CARLOS CELIS EXPONERLE A CLIENTE 2</t>
  </si>
  <si>
    <t>ENTREGARLE PRESUPUESTO FINAL</t>
  </si>
  <si>
    <t>EXPONERLE A CLIENTE</t>
  </si>
  <si>
    <t>METRADO - 1225_ RIOJA- MAYULI</t>
  </si>
  <si>
    <t>V 2.0 - PRELIMINAR A ENTREGA A CLIENTE</t>
  </si>
  <si>
    <t>ONM6 - 0126 - Chorrillos (Matellini) - Arq. Martin</t>
  </si>
  <si>
    <t>Exp. Obra (MULTIFAMILIAR)</t>
  </si>
  <si>
    <t>V 1.1 - APROBACIÓN ARQUITECTÓNICA</t>
  </si>
  <si>
    <t>TAREAS ADMINISTRATIVAS - Compatibilización con otras especialidades</t>
  </si>
  <si>
    <t>ESTRUCTURAS - Cortes de escalera de concreto</t>
  </si>
  <si>
    <t>ESTRUCTURAS - Modelado de estructuras de techos</t>
  </si>
  <si>
    <t>ESTRUCTURAS - Modelado de estructuras de cimentación</t>
  </si>
  <si>
    <t>IISS - Reunión con cliente</t>
  </si>
  <si>
    <t>TAREAS ADMINISTRATIVAS - PROJECT CHARTER</t>
  </si>
  <si>
    <t>TAREAS ADMINISTRATIVAS - Visita al predio y toma de muestras con calicatas</t>
  </si>
  <si>
    <t>LNM5 - 0126 - Chorrillos (Matellini) - Arq. Martin</t>
  </si>
  <si>
    <t>TAREAS ADMINISTRATIVAS - Compatibilización con las demás especialidades</t>
  </si>
  <si>
    <t>TAREAS ADMINISTRATIVAS - Subir PARTIDA ELECTRONICA ACTUALIZADA</t>
  </si>
  <si>
    <t>ARQUITECTURA - Plano de Ubicación y Localización</t>
  </si>
  <si>
    <t>TAREAS ADMINISTRATIVAS - Reunión para aprobación de propuesta arquitectónica</t>
  </si>
  <si>
    <t>ARQUITECTURA - Planos de seguridad, Evacuación y señalización</t>
  </si>
  <si>
    <t>ARQUITECTURA - Presupuesto</t>
  </si>
  <si>
    <t>V 3.1 - ENTREGA TÉCNICA FINAL DE EXPEDIENTE A REVISORES</t>
  </si>
  <si>
    <t>ARQUITECTURA - Memoria de arquitectura</t>
  </si>
  <si>
    <t>Tramites administrativos - Ingresar expediente a Calidad</t>
  </si>
  <si>
    <t>IIGG - Documentos para factibilidad</t>
  </si>
  <si>
    <t>TAREAS ADMINISTRATIVAS - Crear grupo de WPS con cliente y equipo</t>
  </si>
  <si>
    <t>TAREAS ADMINISTRATIVAS - Crear DRIVE del proyecto</t>
  </si>
  <si>
    <t>TAREAS ADMINISTRATIVAS - Coordinar dia y hora para realizar calicatas y tomar medidas de terreno</t>
  </si>
  <si>
    <t>TAREAS ADMINISTRATIVAS - Coordinar 1era reunión con cliente</t>
  </si>
  <si>
    <t>TAREAS ADMINISTRATIVAS - Realizar 1era reunión con cliente</t>
  </si>
  <si>
    <t>TAREAS ADMINISTRATIVAS - Subir fotos de calicatas al drive</t>
  </si>
  <si>
    <t>ARQUITECTURA - Revisión Muni</t>
  </si>
  <si>
    <t>ARQUITECTURA - Lev. de observaciones Municipalidad</t>
  </si>
  <si>
    <t>ARQUITECTURA - Reunión con cliente para ver interiores</t>
  </si>
  <si>
    <t>ARQUITECTURA - Render 3D de interiores</t>
  </si>
  <si>
    <t>ESTRUCTURAS - Rev. de Muni</t>
  </si>
  <si>
    <t>IIEE - Lev. de observaciones de Revisores</t>
  </si>
  <si>
    <t>IIEE - Revisión de Revisores</t>
  </si>
  <si>
    <t>IIEE - Revisión de Municipalidad</t>
  </si>
  <si>
    <t>IISS - Revisión de Municipalidad</t>
  </si>
  <si>
    <t>IISS - Lev. de observaciones Muni</t>
  </si>
  <si>
    <t>IIGG - Revisión de Municipalidad</t>
  </si>
  <si>
    <t>IIGG - Lev. de Observaciones de Muni</t>
  </si>
  <si>
    <t>LAM4 -1225- San Miguel - Antonio Burneo</t>
  </si>
  <si>
    <t>LNM10 - 0425 - San Bartolo 02 (SAN MARTIN) - Arq. Tafur</t>
  </si>
  <si>
    <t>V 2.0 - PRELIMINAR A ENTREGA DE REVISOR</t>
  </si>
  <si>
    <t>IIEE - Revisión por Revisores</t>
  </si>
  <si>
    <t>V 2.1 - ENTREGA TÉCNICA FINAL DE REVISOR</t>
  </si>
  <si>
    <t>IIEE - Revisión por Muni</t>
  </si>
  <si>
    <t>V 3.1 - ENTREGA TÉCNICA FINAL DE MUNI</t>
  </si>
  <si>
    <t>IIEE - Lev. de observaciones por Muni</t>
  </si>
  <si>
    <t>V 3.0 - PRELIMINAR A ENTREGA DE MUNI</t>
  </si>
  <si>
    <t>IIEE - Lev. de observaciones por revisor</t>
  </si>
  <si>
    <t>IIEE - MEMORIA DESCRIPTIVA Y DE CALCULO</t>
  </si>
  <si>
    <t>IIEE - MODIFICAR LUMINARIAS</t>
  </si>
  <si>
    <t>IIEE - MODIFICAR DIAGRAMAS</t>
  </si>
  <si>
    <t>IIEE - MODIFICAR TOMACORRIENTES, COMUNCIACIONES Y ALARMA CONTRAINCENDIO</t>
  </si>
  <si>
    <t>TAREAS ADMINISTRATIVAS - Firmar expediente</t>
  </si>
  <si>
    <t>ONM7 - SMP - Remo Melendez</t>
  </si>
  <si>
    <t>ESTRUCTURA - Reunión final del proyecto</t>
  </si>
  <si>
    <t>ARQUITECTURA - Reunión final del proyecto</t>
  </si>
  <si>
    <t>ARQUITECTURA - Prop. de diseño preliminar de distribución</t>
  </si>
  <si>
    <t>ARQUITECTURA - Planos de distribución (PLANTAS)</t>
  </si>
  <si>
    <t>IIGG - Exponer gas a cliente</t>
  </si>
  <si>
    <t>IIGG - Plano de distribución de gas</t>
  </si>
  <si>
    <t>IIEE - Reunión para exponer planos finales</t>
  </si>
  <si>
    <t>IIEE - Reunión para ver prop. de puntos</t>
  </si>
  <si>
    <t>IISS - Reunión para exponer proy. final</t>
  </si>
  <si>
    <t>ALTA</t>
  </si>
  <si>
    <t>ARQUITECTURA - Revisión por Muni</t>
  </si>
  <si>
    <t>V 4.1 - ENTREGA DEL EXPEDIENTE A MUNICIPALIDAD</t>
  </si>
  <si>
    <t>V 4.0 - PRELIMINAR A ENTREGA DEL EXPEDIENTE A MUNICIPALIDAD</t>
  </si>
  <si>
    <t>V 3.0 - PRELIMINAR A ENTREGA DEL EXPEDIENTE A REVISORES URBANOS</t>
  </si>
  <si>
    <t>TAREAS ADMINISTRATIVAS - Recoger expediente firmado y sellado de REVISORES URBANOS</t>
  </si>
  <si>
    <t>ARQUITECTURA - Reunión con cliente para ver render 3D</t>
  </si>
  <si>
    <t>ESTRUCTURAS - Reunión con cliente</t>
  </si>
  <si>
    <t>V 3.1 - ENTREGA TÉCNICA FINAL DE EXPEDIENTE A REVISORES URBANOS</t>
  </si>
  <si>
    <t>IIEE - Revisión de revisores</t>
  </si>
  <si>
    <t>IIEE - Lev. de observaciones de Municipalidad</t>
  </si>
  <si>
    <t>IIEE - Lev. de observaciones de revisores</t>
  </si>
  <si>
    <t>IIEE - Mod. planos, según requerimiento de cliente</t>
  </si>
  <si>
    <t>IIEE - Reunión con cliente para exp. prop. de puntos</t>
  </si>
  <si>
    <t>IISS - Lev. de observaciones por Muni</t>
  </si>
  <si>
    <t>IISS - Lev. de observaciones por revisores</t>
  </si>
  <si>
    <t>IISS - Revisión por Muni</t>
  </si>
  <si>
    <t>IISS - Revisión por Revisores</t>
  </si>
  <si>
    <t>IISS- Reunión con cliente</t>
  </si>
  <si>
    <t>IIGG - Revisión por Muni</t>
  </si>
  <si>
    <t>IIGG - Revisión por Revisores</t>
  </si>
  <si>
    <t>IIGG - Tramitar expediente de fact. de GAS</t>
  </si>
  <si>
    <t>INST. MECANICAS</t>
  </si>
  <si>
    <t>MECÁNICAS - Reunión con cliente para exponerle</t>
  </si>
  <si>
    <t>MECÁNICAS - Lev. de observaciones sanitarias por Muni</t>
  </si>
  <si>
    <t>MECÁNICAS - Revisión por Muni</t>
  </si>
  <si>
    <t>MECÁNICAS - Revisión por Revisores</t>
  </si>
  <si>
    <t>MECÁNICAS - Memoria de mecánicas</t>
  </si>
  <si>
    <t>MECÁNICAS  - Planos de Sistema de extracción de monóxido</t>
  </si>
  <si>
    <t>MECÁNICAS  -  Planos de Sistema de ventilación mecánica, presurización de escaleras</t>
  </si>
  <si>
    <t>ARQUITECTURA - Junta de Arq.</t>
  </si>
  <si>
    <t>IIEE - Reunión de exposición</t>
  </si>
  <si>
    <t>MONTO POR COBRAR</t>
  </si>
  <si>
    <t>TAREAS ADMINISTRATIVAS - Reunión para exponer sanitarias</t>
  </si>
  <si>
    <t>MEDIA</t>
  </si>
  <si>
    <t>BAJA</t>
  </si>
  <si>
    <t>TOTAL HORAS RESTANTES</t>
  </si>
  <si>
    <t>MODIFICAR ARQUITECTURA</t>
  </si>
  <si>
    <t>V 3.0 - PRELIMINAR ENTREGA DE PROYECTO A MUNICIPALIDAD</t>
  </si>
  <si>
    <t>OK</t>
  </si>
  <si>
    <t>MANDAR A IMPRIMIR</t>
  </si>
  <si>
    <t>FIRMAR EXPEDIENTE</t>
  </si>
  <si>
    <t>GAS</t>
  </si>
  <si>
    <t>TAREAS ADMINISTRATIVAS - Firmar y sellar expediente por revisores urbanos</t>
  </si>
  <si>
    <t>IIGG - Expediente para factibilidad de gas natural</t>
  </si>
  <si>
    <t>MECÁNICAS - Lev. de observaciones por revisores</t>
  </si>
  <si>
    <t>ARQUITECTURA - Lev. de observaciones del cliente</t>
  </si>
  <si>
    <t>ESTRUCTURAS - Lev. De observaciones</t>
  </si>
  <si>
    <t>IIEE - Levantamiento de observaciones de Muni</t>
  </si>
  <si>
    <t>TAREAS ADMINISTRATIVAS - FIRMAR PLANOS</t>
  </si>
  <si>
    <t>TAREAS ADMINISTRATIVAS - EMISION DE LA LICENCIA DE EDIFICACIÓN</t>
  </si>
  <si>
    <t>TAREAS ADMINISTRATIVAS - FIRMAR EXPEDIENTE</t>
  </si>
  <si>
    <t>TAREAS ADMINISTRATIVAS - Armar expediente de factibilidad</t>
  </si>
  <si>
    <t>ESTRUCTURAS - Reunión de exposición a cliente</t>
  </si>
  <si>
    <t>IIEE - Compatibilizar con especialidades</t>
  </si>
  <si>
    <t>ING. ARON</t>
  </si>
  <si>
    <t>LNC2_0725 - SAN ANTONIO - PEDRO</t>
  </si>
  <si>
    <t>GESTION DIRECTA - MANDAR A PLOTEAR A IMPRENTA 3 JUEGO DE EXPEDIENTE PARA CONDOMINIO</t>
  </si>
  <si>
    <t>GESTION DIRECTA - FIRMA DE EXPEDIENTE DE CONDOMINIO</t>
  </si>
  <si>
    <t>GESTION DIRECTA - MANDAR A PLOTEAR A IMPRENTA 3 JUEGO DE EXPEDIENTE PARA MUNI</t>
  </si>
  <si>
    <t>GESTION DIRECTA - FIRMA DE EXPEDIENTE MUNI</t>
  </si>
  <si>
    <t>HORAS ADICIONALES</t>
  </si>
  <si>
    <t>Column11</t>
  </si>
  <si>
    <t>LNM5_0425 - SAN MIGUEL - CARLOS Y ANA.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</si>
  <si>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</si>
  <si>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</si>
  <si>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</si>
  <si>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</si>
  <si>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</si>
  <si>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</si>
  <si>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</si>
  <si>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</si>
  <si>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</si>
  <si>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</si>
  <si>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</si>
  <si>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</si>
  <si>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</si>
  <si>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</si>
  <si>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</si>
  <si>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</si>
  <si>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</si>
  <si>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</si>
  <si>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</si>
  <si>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</si>
  <si>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</si>
  <si>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</si>
  <si>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</si>
  <si>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</si>
  <si>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</si>
  <si>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</si>
  <si>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</si>
  <si>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</si>
  <si>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</si>
  <si>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</si>
  <si>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</si>
  <si>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</si>
  <si>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</si>
  <si>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</si>
  <si>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</si>
  <si>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</si>
  <si>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</si>
  <si>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</si>
  <si>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</si>
  <si>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</si>
  <si>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</si>
  <si>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</si>
  <si>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</si>
  <si>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</si>
  <si>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</si>
  <si>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</si>
  <si>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</si>
  <si>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</si>
  <si>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LNC2-Cieneguilla-Sanny &amp; Bryan</t>
  </si>
  <si>
    <t>HORAS ADCIONALES</t>
  </si>
  <si>
    <t>PLANOS ELECTRICOS</t>
  </si>
  <si>
    <t>PLANOS DE MECÁNICAS</t>
  </si>
  <si>
    <t>MEMORIA ELECTRICAS</t>
  </si>
  <si>
    <t>MEMORIA MECÁNICA</t>
  </si>
  <si>
    <t>PLANOS SANITARIOS</t>
  </si>
  <si>
    <t>MEMORIA SANITARIA</t>
  </si>
  <si>
    <t>TOTAL GAS</t>
  </si>
  <si>
    <t>NIVEL DE PRIORIDAD DE ENTREGA</t>
  </si>
  <si>
    <t>OAM4 -0226- ATE Salamanca - María Jhong</t>
  </si>
  <si>
    <t>ARQUITECTURA -Planos existentes de obra</t>
  </si>
  <si>
    <t>ARQUITECTURA -Prop. arquitectonica</t>
  </si>
  <si>
    <t>ARQUITECTURA -Reunión para ver prop. arquitectoinca</t>
  </si>
  <si>
    <t>ARQUITECTURA - Propuesta de render 3D (MODELADO Y RENDERIZADO)</t>
  </si>
  <si>
    <t>ARQUITECTURA - Reunión para ver fachada</t>
  </si>
  <si>
    <t>TAREAS ADMINISTRATIVAS - Compatibilización con especialidades</t>
  </si>
  <si>
    <t>TAREAS ADMINISTRATIVAS - MANDAR A IMPRENTA 2 JUEGOS DE EXPEDIENTE A PLOTEAR</t>
  </si>
  <si>
    <t>V 2.1 - ENTREGA TÉCNICA FINAL A CLIENTE</t>
  </si>
  <si>
    <t>ESTRUCTURAS - Desarrollo de escaleras</t>
  </si>
  <si>
    <t>ESTRUCTURAS - Exposición de proyecto al cliente</t>
  </si>
  <si>
    <t>IIEE - Reuniones con cliente</t>
  </si>
  <si>
    <t>IISS - Propuesta de Cisterna y/o T. Elevado</t>
  </si>
  <si>
    <t>IISS - Reuniones con cliente</t>
  </si>
  <si>
    <t>IIGG - Reunion con cliente</t>
  </si>
  <si>
    <t>LAM4 -0226- ATE Salamanca - María Jhong</t>
  </si>
  <si>
    <t>ARQUITECTURA - Digitalización de planos de sunarp</t>
  </si>
  <si>
    <t>TAREAS ADMINISTRATIVAS - FIRMA DE EXPEDIENTE POR CLIENTE</t>
  </si>
  <si>
    <t>TOTAL HORAS A TRABAJAR (HORAS)</t>
  </si>
  <si>
    <t>SANITARIO:</t>
  </si>
  <si>
    <t>ELECTRICO:</t>
  </si>
  <si>
    <t>ESTRUCTURAS:</t>
  </si>
  <si>
    <t>ARQUITECTURA:</t>
  </si>
  <si>
    <t>TOTAL HORAS A TRABAJAR DE TOTAL EL EQUIPO (HORAS)</t>
  </si>
  <si>
    <t>GAS:</t>
  </si>
  <si>
    <t>GESTIÓN:</t>
  </si>
  <si>
    <t>ONM5 - 0226 - Breña - Ysidro &amp; Veronica</t>
  </si>
  <si>
    <t>ARQUITECTURA - Visita a campo para toma de requerimientos</t>
  </si>
  <si>
    <t>ARQUITECTURA - Prop. Arquitectonica</t>
  </si>
  <si>
    <t>ARQUITECTURA - Reunión con cliente para prop.</t>
  </si>
  <si>
    <t>ARQUITECTURA - Reunión final de exposición de especialidades</t>
  </si>
  <si>
    <t>ESTRUCTURAS - Junta de ingenieros</t>
  </si>
  <si>
    <t>ESTRUCTURAS - Reunión de exposición al cliente</t>
  </si>
  <si>
    <t>IISS - Junta de ingenieros</t>
  </si>
  <si>
    <t>IIGG - Reunión para exponer a cliente</t>
  </si>
  <si>
    <t>LAM5 - 0226 - Surquillo - Mirtha Inga &amp; Marco Gordillo</t>
  </si>
  <si>
    <t>ARQUITECTURA - Planos de seguridad, Evacuación y señalización (copia)</t>
  </si>
  <si>
    <t>IIEE - Diagrama de montantes</t>
  </si>
  <si>
    <t>IIEE - Reunión con cliente</t>
  </si>
  <si>
    <t>DF - 0226 - Surquillo - Mirtha &amp; Marco</t>
  </si>
  <si>
    <t>Declaratoria</t>
  </si>
  <si>
    <t>ARQUITECTURA - Revisión de SUNARP</t>
  </si>
  <si>
    <t>ARQUITECTURA - Lev. de Observaciones de SUNARP</t>
  </si>
  <si>
    <t>V 2.0 - PRELIMINAR A ENTREGA A SUNARP</t>
  </si>
  <si>
    <t>TAREAS ADMINISTRATIVAS - SACAR 2 JUEGOS DE COPIA DEL EXPEDIENTE</t>
  </si>
  <si>
    <t>TAREAS ADMINISTRATIVAS - MANDAR A IMPRENTA 1 JUEGO DE EXPEDIENTE A PLOTEAR</t>
  </si>
  <si>
    <t>ARQUITECTURA - Memoria descriptiva de declaratoria de fábrica</t>
  </si>
  <si>
    <t>ARQUITECTURA - Formularios FOR</t>
  </si>
  <si>
    <t>ARQUITECTURA - Informe técnica del verificador (ITF)</t>
  </si>
  <si>
    <t>ARQUITECTURA - Declaración jurada no improcedencia</t>
  </si>
  <si>
    <t>ARQUITECTURA - Reunión para exponer a cliente</t>
  </si>
  <si>
    <t>TAREAS ADMINISTRATIVAS - EMISIÓN DE DECLARATORIA DE FÁBRICA</t>
  </si>
  <si>
    <t>TAREAS ADMINISTRATIVAS - Coordinar dia y hora para realizar levantamiento arquitectónico</t>
  </si>
  <si>
    <t>TAREAS ADMINISTRATIVAS - Realizar levantamiento arquitectónico</t>
  </si>
  <si>
    <t>LNM5 - 0226 - SJL - MONTERO RUIZ</t>
  </si>
  <si>
    <t>ESTRUCTURAS - Reuniones con cliente</t>
  </si>
  <si>
    <t>IIEE - Reunion con cliente</t>
  </si>
  <si>
    <t>IISS - Propuesta de Cisterna y/o T.Hidroneumatico</t>
  </si>
  <si>
    <t>IISS - Reunion con cliente</t>
  </si>
  <si>
    <t>TOPOGRAFÍA</t>
  </si>
  <si>
    <t>Topografia - Campo</t>
  </si>
  <si>
    <t>Topografia - Plano Perimetrico</t>
  </si>
  <si>
    <t>Topografia - Curvas de Nivel</t>
  </si>
  <si>
    <t>Topografia - Plano Topográfico</t>
  </si>
  <si>
    <t>ONM5 - 0226 - SJL - MONTERO RUIZ</t>
  </si>
  <si>
    <t>ESTRUCTURAS - Memoria estructural</t>
  </si>
  <si>
    <t>ARQUITECTURA - Digitalización de planos</t>
  </si>
  <si>
    <t>DF+IM4 - 0226 - Pueblo Libre - Sílvia &amp; Eduardo</t>
  </si>
  <si>
    <t>Declaratoria + Independización</t>
  </si>
  <si>
    <t>ARQUITECTURA - Planos de independización</t>
  </si>
  <si>
    <t>ARQUITECTURA - Cuadro de áreas a declarar</t>
  </si>
  <si>
    <t>ARQUITECTURA - Anexo 1</t>
  </si>
  <si>
    <t>LNX2 - 0226 -San Borja - Ing. Enciso</t>
  </si>
  <si>
    <t>ESTRUCTURAS - Plano de sostenimiento</t>
  </si>
  <si>
    <t>ESTRUCTURAS - Revisión de revisores</t>
  </si>
  <si>
    <t>ESTRUCTURAS - Lev. de obs. revisores</t>
  </si>
  <si>
    <t>ESTRUCTURAS - Revisión de muni</t>
  </si>
  <si>
    <t>IIEE - Memoria electrica</t>
  </si>
  <si>
    <t>IIEE - Compatibilización con especialidades</t>
  </si>
  <si>
    <t>IIEE - Factibilidad de luz</t>
  </si>
  <si>
    <t>IIEE - Revisión de Muni</t>
  </si>
  <si>
    <t>IISS - PLANOS DE ACI</t>
  </si>
  <si>
    <t>IISS - Memoria sanitaria de agua</t>
  </si>
  <si>
    <t>IISS - Memoria sanitaria de ACI</t>
  </si>
  <si>
    <t>IISS - Revisión de revisores</t>
  </si>
  <si>
    <t>IISS - Lev. de obs. de revisores</t>
  </si>
  <si>
    <t>IISS - Lev. de obs. de Muni</t>
  </si>
  <si>
    <t>IISS - Revisión de Muni</t>
  </si>
  <si>
    <t>IIMM - Plano de mecánicas</t>
  </si>
  <si>
    <t>IIMM - Memoria de mecánicas</t>
  </si>
  <si>
    <t>IIMM - Revisión de revisores</t>
  </si>
  <si>
    <t>IIMM - Lev. de observaciones de revisores</t>
  </si>
  <si>
    <t>IIMM - Lev. de observaciones de Muni</t>
  </si>
  <si>
    <t>IIMM - Revisión de Muni</t>
  </si>
  <si>
    <t>ONM5 - El Agustino - Cristian Jorge</t>
  </si>
  <si>
    <t>SUELOS:</t>
  </si>
  <si>
    <t>ARQUITECTURA - Modificar arquitectura</t>
  </si>
  <si>
    <t>IIEE - Modificaciones</t>
  </si>
  <si>
    <t>IISS - Modificaciones</t>
  </si>
  <si>
    <t>HORAS PROYECTADAS</t>
  </si>
  <si>
    <t>LNM3 - 0226 - Punta Hermosa - Arq. Eduardo Farah</t>
  </si>
  <si>
    <t>ARQUITECTURA - Reunion con cliente</t>
  </si>
  <si>
    <t>ONX7 - BREÑA - Eduardo Vara y Brenda</t>
  </si>
  <si>
    <t>ARQUITECTURA - Programa arquitectónico</t>
  </si>
  <si>
    <t>ARQUITECTURA - Prop. Arquitectónica</t>
  </si>
  <si>
    <t>IIGG - Planos de gas</t>
  </si>
  <si>
    <t>TAREAS ADMINISTRATIVAS - Reunión para exponer gas</t>
  </si>
  <si>
    <t>IIEE - Prop. de Puntos</t>
  </si>
  <si>
    <t>IIEE - Memoria de eléctricas</t>
  </si>
  <si>
    <t>IISS - Plano de detalles</t>
  </si>
  <si>
    <t>ONM7 - 0925-Cedros de Villa Chorrillos-Ninahuanca</t>
  </si>
  <si>
    <t>LNM7 - San Miguel - Wendy y Martin</t>
  </si>
  <si>
    <t>ESTRUCTURAS - Exposición de estructuras a cliente</t>
  </si>
  <si>
    <t>ARQUITECTURA - Prop. arquitectónica</t>
  </si>
  <si>
    <t>ARQUITECTURA - Exposición de prop. arquitectónica</t>
  </si>
  <si>
    <t>ARQUITECTURA - Fachada 3D</t>
  </si>
  <si>
    <t>ARQUITECTURA - Reunirse para exp. fachada 3D</t>
  </si>
  <si>
    <t>ARQUITECTURA - Exposición de arquitectura a cliente</t>
  </si>
  <si>
    <t>GAS - Exposición a cliente</t>
  </si>
  <si>
    <t>IIEE - Exp. A cliente</t>
  </si>
  <si>
    <t>IISS - Exposición a cliente</t>
  </si>
  <si>
    <t>SGTE SEMANA</t>
  </si>
  <si>
    <t>ESTA SEMAN</t>
  </si>
  <si>
    <t>hoy!</t>
  </si>
  <si>
    <t>ESTA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</si>
</sst>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DCC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5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5" borderId="1" xfId="0" applyFont="1" applyFill="1" applyBorder="1" applyAlignment="1">
      <alignment horizontal="center" vertical="center" wrapText="1"/>
    </xf>
    <xf numFmtId="9" fontId="2" fillId="5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26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164" fontId="5" fillId="0" borderId="7" xfId="0" applyNumberFormat="1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0" fillId="18" borderId="1" xfId="0" applyFill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19" borderId="6" xfId="0" applyFont="1" applyFill="1" applyBorder="1" applyAlignment="1">
      <alignment horizontal="center" vertical="center" wrapText="1"/>
    </xf>
    <xf numFmtId="0" fontId="9" fillId="19" borderId="12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12" borderId="12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21" borderId="6" xfId="0" applyFont="1" applyFill="1" applyBorder="1" applyAlignment="1">
      <alignment horizontal="center" vertical="center" wrapText="1"/>
    </xf>
    <xf numFmtId="0" fontId="9" fillId="21" borderId="12" xfId="0" applyFont="1" applyFill="1" applyBorder="1" applyAlignment="1">
      <alignment horizontal="center" vertical="center" wrapText="1"/>
    </xf>
    <xf numFmtId="0" fontId="9" fillId="21" borderId="9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23" borderId="14" xfId="0" applyFont="1" applyFill="1" applyBorder="1" applyAlignment="1">
      <alignment horizontal="center" vertical="center" wrapText="1"/>
    </xf>
    <xf numFmtId="0" fontId="9" fillId="24" borderId="6" xfId="0" applyFont="1" applyFill="1" applyBorder="1" applyAlignment="1">
      <alignment horizontal="center" vertical="center" wrapText="1"/>
    </xf>
    <xf numFmtId="0" fontId="9" fillId="24" borderId="12" xfId="0" applyFont="1" applyFill="1" applyBorder="1" applyAlignment="1">
      <alignment horizontal="center" vertical="center" wrapText="1"/>
    </xf>
    <xf numFmtId="0" fontId="9" fillId="24" borderId="9" xfId="0" applyFont="1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30" borderId="6" xfId="0" applyFont="1" applyFill="1" applyBorder="1" applyAlignment="1">
      <alignment horizontal="center" vertical="center" wrapText="1"/>
    </xf>
    <xf numFmtId="0" fontId="9" fillId="30" borderId="12" xfId="0" applyFont="1" applyFill="1" applyBorder="1" applyAlignment="1">
      <alignment horizontal="center" vertical="center" wrapText="1"/>
    </xf>
    <xf numFmtId="0" fontId="9" fillId="30" borderId="9" xfId="0" applyFont="1" applyFill="1" applyBorder="1" applyAlignment="1">
      <alignment horizontal="center" vertical="center" wrapText="1"/>
    </xf>
    <xf numFmtId="0" fontId="9" fillId="24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0" borderId="0" xfId="0" applyFont="1"/>
    <xf numFmtId="9" fontId="8" fillId="2" borderId="7" xfId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5" borderId="7" xfId="0" applyFont="1" applyFill="1" applyBorder="1" applyAlignment="1">
      <alignment horizontal="center" vertical="center" wrapText="1"/>
    </xf>
    <xf numFmtId="9" fontId="8" fillId="2" borderId="10" xfId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5" borderId="10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9" fontId="8" fillId="20" borderId="1" xfId="1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 wrapText="1"/>
    </xf>
    <xf numFmtId="9" fontId="8" fillId="20" borderId="10" xfId="1" applyFont="1" applyFill="1" applyBorder="1" applyAlignment="1">
      <alignment horizontal="center" vertical="center" wrapText="1"/>
    </xf>
    <xf numFmtId="0" fontId="8" fillId="20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9" fontId="7" fillId="19" borderId="7" xfId="1" applyFont="1" applyFill="1" applyBorder="1" applyAlignment="1">
      <alignment horizontal="center" vertical="center" wrapText="1"/>
    </xf>
    <xf numFmtId="0" fontId="7" fillId="19" borderId="7" xfId="0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/>
    </xf>
    <xf numFmtId="9" fontId="7" fillId="19" borderId="1" xfId="1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/>
    </xf>
    <xf numFmtId="9" fontId="8" fillId="12" borderId="7" xfId="1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/>
    </xf>
    <xf numFmtId="9" fontId="8" fillId="12" borderId="1" xfId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9" fontId="8" fillId="12" borderId="10" xfId="1" applyFont="1" applyFill="1" applyBorder="1" applyAlignment="1">
      <alignment horizontal="center" vertical="center" wrapText="1"/>
    </xf>
    <xf numFmtId="0" fontId="8" fillId="12" borderId="10" xfId="0" applyFont="1" applyFill="1" applyBorder="1" applyAlignment="1">
      <alignment horizontal="center" vertical="center" wrapText="1"/>
    </xf>
    <xf numFmtId="0" fontId="8" fillId="12" borderId="10" xfId="0" applyFont="1" applyFill="1" applyBorder="1" applyAlignment="1">
      <alignment horizontal="center" vertical="center"/>
    </xf>
    <xf numFmtId="9" fontId="8" fillId="7" borderId="15" xfId="1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/>
    </xf>
    <xf numFmtId="0" fontId="8" fillId="25" borderId="15" xfId="0" applyFont="1" applyFill="1" applyBorder="1" applyAlignment="1">
      <alignment horizontal="center" vertical="center" wrapText="1"/>
    </xf>
    <xf numFmtId="9" fontId="8" fillId="2" borderId="1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9" fontId="8" fillId="11" borderId="7" xfId="1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/>
    </xf>
    <xf numFmtId="9" fontId="8" fillId="11" borderId="1" xfId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9" fontId="8" fillId="11" borderId="10" xfId="1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/>
    </xf>
    <xf numFmtId="9" fontId="8" fillId="21" borderId="7" xfId="1" applyFont="1" applyFill="1" applyBorder="1" applyAlignment="1">
      <alignment horizontal="center" vertical="center" wrapText="1"/>
    </xf>
    <xf numFmtId="0" fontId="8" fillId="21" borderId="7" xfId="0" applyFont="1" applyFill="1" applyBorder="1" applyAlignment="1">
      <alignment horizontal="center" vertical="center" wrapText="1"/>
    </xf>
    <xf numFmtId="0" fontId="8" fillId="22" borderId="7" xfId="0" applyFont="1" applyFill="1" applyBorder="1" applyAlignment="1">
      <alignment horizontal="center" vertical="center"/>
    </xf>
    <xf numFmtId="9" fontId="8" fillId="21" borderId="1" xfId="1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/>
    </xf>
    <xf numFmtId="9" fontId="8" fillId="21" borderId="10" xfId="1" applyFont="1" applyFill="1" applyBorder="1" applyAlignment="1">
      <alignment horizontal="center" vertical="center" wrapText="1"/>
    </xf>
    <xf numFmtId="0" fontId="8" fillId="21" borderId="10" xfId="0" applyFont="1" applyFill="1" applyBorder="1" applyAlignment="1">
      <alignment horizontal="center" vertical="center" wrapText="1"/>
    </xf>
    <xf numFmtId="0" fontId="8" fillId="22" borderId="10" xfId="0" applyFont="1" applyFill="1" applyBorder="1" applyAlignment="1">
      <alignment horizontal="center" vertical="center"/>
    </xf>
    <xf numFmtId="9" fontId="8" fillId="19" borderId="7" xfId="1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 wrapText="1"/>
    </xf>
    <xf numFmtId="9" fontId="8" fillId="10" borderId="7" xfId="1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27" borderId="7" xfId="0" applyFont="1" applyFill="1" applyBorder="1" applyAlignment="1">
      <alignment horizontal="center" vertical="center"/>
    </xf>
    <xf numFmtId="9" fontId="8" fillId="10" borderId="1" xfId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center" vertical="center"/>
    </xf>
    <xf numFmtId="9" fontId="8" fillId="10" borderId="10" xfId="1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27" borderId="10" xfId="0" applyFont="1" applyFill="1" applyBorder="1" applyAlignment="1">
      <alignment horizontal="center" vertical="center"/>
    </xf>
    <xf numFmtId="9" fontId="8" fillId="8" borderId="7" xfId="1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/>
    </xf>
    <xf numFmtId="9" fontId="8" fillId="8" borderId="10" xfId="1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/>
    </xf>
    <xf numFmtId="9" fontId="8" fillId="6" borderId="15" xfId="1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/>
    </xf>
    <xf numFmtId="9" fontId="8" fillId="23" borderId="15" xfId="1" applyFont="1" applyFill="1" applyBorder="1" applyAlignment="1">
      <alignment horizontal="center" vertical="center" wrapText="1"/>
    </xf>
    <xf numFmtId="0" fontId="8" fillId="23" borderId="15" xfId="0" applyFont="1" applyFill="1" applyBorder="1" applyAlignment="1">
      <alignment horizontal="center" vertical="center" wrapText="1"/>
    </xf>
    <xf numFmtId="0" fontId="8" fillId="28" borderId="15" xfId="0" applyFont="1" applyFill="1" applyBorder="1" applyAlignment="1">
      <alignment horizontal="center" vertical="center"/>
    </xf>
    <xf numFmtId="9" fontId="8" fillId="24" borderId="7" xfId="1" applyFont="1" applyFill="1" applyBorder="1" applyAlignment="1">
      <alignment horizontal="center" vertical="center" wrapText="1"/>
    </xf>
    <xf numFmtId="0" fontId="8" fillId="24" borderId="7" xfId="0" applyFont="1" applyFill="1" applyBorder="1" applyAlignment="1">
      <alignment horizontal="center" vertical="center" wrapText="1"/>
    </xf>
    <xf numFmtId="9" fontId="8" fillId="24" borderId="1" xfId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9" fontId="8" fillId="24" borderId="10" xfId="1" applyFont="1" applyFill="1" applyBorder="1" applyAlignment="1">
      <alignment horizontal="center" vertical="center" wrapText="1"/>
    </xf>
    <xf numFmtId="0" fontId="8" fillId="24" borderId="10" xfId="0" applyFont="1" applyFill="1" applyBorder="1" applyAlignment="1">
      <alignment horizontal="center" vertical="center" wrapText="1"/>
    </xf>
    <xf numFmtId="9" fontId="8" fillId="14" borderId="7" xfId="1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/>
    </xf>
    <xf numFmtId="9" fontId="8" fillId="14" borderId="1" xfId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/>
    </xf>
    <xf numFmtId="9" fontId="8" fillId="14" borderId="10" xfId="1" applyFont="1" applyFill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9" fontId="8" fillId="6" borderId="7" xfId="1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9" fontId="8" fillId="6" borderId="1" xfId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9" fontId="8" fillId="6" borderId="10" xfId="1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9" fontId="8" fillId="30" borderId="7" xfId="1" applyFont="1" applyFill="1" applyBorder="1" applyAlignment="1">
      <alignment horizontal="center" vertical="center" wrapText="1"/>
    </xf>
    <xf numFmtId="0" fontId="8" fillId="30" borderId="7" xfId="0" applyFont="1" applyFill="1" applyBorder="1" applyAlignment="1">
      <alignment horizontal="center" vertical="center" wrapText="1"/>
    </xf>
    <xf numFmtId="0" fontId="8" fillId="30" borderId="7" xfId="0" applyFont="1" applyFill="1" applyBorder="1" applyAlignment="1">
      <alignment horizontal="center" vertical="center"/>
    </xf>
    <xf numFmtId="9" fontId="8" fillId="30" borderId="1" xfId="1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/>
    </xf>
    <xf numFmtId="9" fontId="8" fillId="30" borderId="10" xfId="1" applyFont="1" applyFill="1" applyBorder="1" applyAlignment="1">
      <alignment horizontal="center" vertical="center" wrapText="1"/>
    </xf>
    <xf numFmtId="0" fontId="8" fillId="30" borderId="10" xfId="0" applyFont="1" applyFill="1" applyBorder="1" applyAlignment="1">
      <alignment horizontal="center" vertical="center" wrapText="1"/>
    </xf>
    <xf numFmtId="0" fontId="8" fillId="24" borderId="7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9" fontId="8" fillId="24" borderId="4" xfId="1" applyFont="1" applyFill="1" applyBorder="1" applyAlignment="1">
      <alignment horizontal="center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4" borderId="4" xfId="0" applyFont="1" applyFill="1" applyBorder="1" applyAlignment="1">
      <alignment horizontal="center" vertical="center"/>
    </xf>
    <xf numFmtId="0" fontId="8" fillId="25" borderId="4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/>
    </xf>
    <xf numFmtId="9" fontId="8" fillId="4" borderId="7" xfId="1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9" fontId="8" fillId="4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9" fontId="8" fillId="4" borderId="10" xfId="1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24" borderId="10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9" fontId="7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14" fillId="2" borderId="7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4" borderId="7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10" xfId="0" applyFont="1" applyFill="1" applyBorder="1" applyAlignment="1">
      <alignment horizontal="left" vertical="center" wrapText="1"/>
    </xf>
    <xf numFmtId="0" fontId="14" fillId="19" borderId="7" xfId="0" applyFont="1" applyFill="1" applyBorder="1" applyAlignment="1">
      <alignment horizontal="left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4" fillId="12" borderId="10" xfId="0" applyFont="1" applyFill="1" applyBorder="1" applyAlignment="1">
      <alignment horizontal="left" vertical="center" wrapText="1"/>
    </xf>
    <xf numFmtId="0" fontId="14" fillId="7" borderId="15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11" borderId="7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4" fillId="11" borderId="10" xfId="0" applyFont="1" applyFill="1" applyBorder="1" applyAlignment="1">
      <alignment horizontal="left" vertical="center" wrapText="1"/>
    </xf>
    <xf numFmtId="0" fontId="14" fillId="21" borderId="7" xfId="0" applyFont="1" applyFill="1" applyBorder="1" applyAlignment="1">
      <alignment horizontal="left" vertical="center" wrapText="1"/>
    </xf>
    <xf numFmtId="0" fontId="14" fillId="21" borderId="1" xfId="0" applyFont="1" applyFill="1" applyBorder="1" applyAlignment="1">
      <alignment horizontal="left" vertical="center" wrapText="1"/>
    </xf>
    <xf numFmtId="0" fontId="14" fillId="21" borderId="10" xfId="0" applyFont="1" applyFill="1" applyBorder="1" applyAlignment="1">
      <alignment horizontal="left" vertical="center" wrapText="1"/>
    </xf>
    <xf numFmtId="0" fontId="14" fillId="10" borderId="7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4" fillId="10" borderId="10" xfId="0" applyFont="1" applyFill="1" applyBorder="1" applyAlignment="1">
      <alignment horizontal="left" vertical="center" wrapText="1"/>
    </xf>
    <xf numFmtId="0" fontId="14" fillId="8" borderId="7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 wrapText="1"/>
    </xf>
    <xf numFmtId="0" fontId="14" fillId="6" borderId="15" xfId="0" applyFont="1" applyFill="1" applyBorder="1" applyAlignment="1">
      <alignment horizontal="left" vertical="center" wrapText="1"/>
    </xf>
    <xf numFmtId="0" fontId="14" fillId="23" borderId="15" xfId="0" applyFont="1" applyFill="1" applyBorder="1" applyAlignment="1">
      <alignment horizontal="left" vertical="center" wrapText="1"/>
    </xf>
    <xf numFmtId="0" fontId="14" fillId="24" borderId="7" xfId="0" applyFont="1" applyFill="1" applyBorder="1" applyAlignment="1">
      <alignment horizontal="left" vertical="center" wrapText="1"/>
    </xf>
    <xf numFmtId="0" fontId="14" fillId="24" borderId="1" xfId="0" applyFont="1" applyFill="1" applyBorder="1" applyAlignment="1">
      <alignment horizontal="left" vertical="center" wrapText="1"/>
    </xf>
    <xf numFmtId="0" fontId="14" fillId="24" borderId="10" xfId="0" applyFont="1" applyFill="1" applyBorder="1" applyAlignment="1">
      <alignment horizontal="left" vertical="center" wrapText="1"/>
    </xf>
    <xf numFmtId="0" fontId="14" fillId="14" borderId="7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left" vertical="center" wrapText="1"/>
    </xf>
    <xf numFmtId="0" fontId="14" fillId="6" borderId="7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30" borderId="7" xfId="0" applyFont="1" applyFill="1" applyBorder="1" applyAlignment="1">
      <alignment horizontal="left" vertical="center" wrapText="1"/>
    </xf>
    <xf numFmtId="0" fontId="14" fillId="30" borderId="1" xfId="0" applyFont="1" applyFill="1" applyBorder="1" applyAlignment="1">
      <alignment horizontal="left" vertical="center" wrapText="1"/>
    </xf>
    <xf numFmtId="0" fontId="14" fillId="30" borderId="10" xfId="0" applyFont="1" applyFill="1" applyBorder="1" applyAlignment="1">
      <alignment horizontal="left" vertical="center" wrapText="1"/>
    </xf>
    <xf numFmtId="0" fontId="14" fillId="24" borderId="4" xfId="0" applyFont="1" applyFill="1" applyBorder="1" applyAlignment="1">
      <alignment horizontal="left" vertical="center" wrapText="1"/>
    </xf>
    <xf numFmtId="0" fontId="14" fillId="0" borderId="0" xfId="0" applyFont="1"/>
    <xf numFmtId="44" fontId="12" fillId="0" borderId="8" xfId="2" applyFont="1" applyBorder="1" applyAlignment="1">
      <alignment horizontal="left"/>
    </xf>
    <xf numFmtId="44" fontId="12" fillId="0" borderId="11" xfId="2" applyFont="1" applyBorder="1" applyAlignment="1">
      <alignment horizontal="left"/>
    </xf>
    <xf numFmtId="44" fontId="12" fillId="0" borderId="8" xfId="2" applyFont="1" applyBorder="1"/>
    <xf numFmtId="44" fontId="12" fillId="0" borderId="13" xfId="2" applyFont="1" applyBorder="1"/>
    <xf numFmtId="44" fontId="12" fillId="0" borderId="11" xfId="2" applyFont="1" applyBorder="1"/>
    <xf numFmtId="44" fontId="12" fillId="0" borderId="16" xfId="2" applyFont="1" applyBorder="1"/>
    <xf numFmtId="44" fontId="12" fillId="0" borderId="17" xfId="2" applyFont="1" applyBorder="1"/>
    <xf numFmtId="44" fontId="12" fillId="0" borderId="0" xfId="2" applyFont="1"/>
    <xf numFmtId="0" fontId="8" fillId="10" borderId="10" xfId="0" applyFont="1" applyFill="1" applyBorder="1" applyAlignment="1">
      <alignment horizontal="center" vertical="center"/>
    </xf>
    <xf numFmtId="0" fontId="9" fillId="19" borderId="18" xfId="0" applyFont="1" applyFill="1" applyBorder="1" applyAlignment="1">
      <alignment horizontal="center" vertical="center" wrapText="1"/>
    </xf>
    <xf numFmtId="0" fontId="14" fillId="19" borderId="4" xfId="0" applyFont="1" applyFill="1" applyBorder="1" applyAlignment="1">
      <alignment horizontal="left" vertical="center" wrapText="1"/>
    </xf>
    <xf numFmtId="9" fontId="7" fillId="19" borderId="4" xfId="1" applyFont="1" applyFill="1" applyBorder="1" applyAlignment="1">
      <alignment horizontal="center" vertical="center" wrapText="1"/>
    </xf>
    <xf numFmtId="0" fontId="7" fillId="19" borderId="4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 wrapText="1"/>
    </xf>
    <xf numFmtId="0" fontId="14" fillId="12" borderId="20" xfId="0" applyFont="1" applyFill="1" applyBorder="1" applyAlignment="1">
      <alignment horizontal="left" vertical="center" wrapText="1"/>
    </xf>
    <xf numFmtId="164" fontId="5" fillId="0" borderId="20" xfId="0" applyNumberFormat="1" applyFont="1" applyBorder="1" applyAlignment="1">
      <alignment horizontal="center" vertical="center" wrapText="1"/>
    </xf>
    <xf numFmtId="9" fontId="8" fillId="12" borderId="20" xfId="1" applyFont="1" applyFill="1" applyBorder="1" applyAlignment="1">
      <alignment horizontal="center" vertical="center" wrapText="1"/>
    </xf>
    <xf numFmtId="0" fontId="8" fillId="12" borderId="20" xfId="0" applyFont="1" applyFill="1" applyBorder="1" applyAlignment="1">
      <alignment horizontal="center" vertical="center" wrapText="1"/>
    </xf>
    <xf numFmtId="0" fontId="8" fillId="12" borderId="20" xfId="0" applyFont="1" applyFill="1" applyBorder="1" applyAlignment="1">
      <alignment horizontal="center" vertical="center"/>
    </xf>
    <xf numFmtId="0" fontId="8" fillId="25" borderId="20" xfId="0" applyFont="1" applyFill="1" applyBorder="1" applyAlignment="1">
      <alignment horizontal="center" vertical="center" wrapText="1"/>
    </xf>
    <xf numFmtId="44" fontId="12" fillId="0" borderId="21" xfId="2" applyFont="1" applyBorder="1"/>
    <xf numFmtId="0" fontId="8" fillId="27" borderId="20" xfId="0" applyFont="1" applyFill="1" applyBorder="1" applyAlignment="1">
      <alignment horizontal="center" vertical="center"/>
    </xf>
    <xf numFmtId="9" fontId="8" fillId="19" borderId="4" xfId="1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0" fillId="0" borderId="0" xfId="0" applyNumberFormat="1"/>
    <xf numFmtId="0" fontId="2" fillId="29" borderId="22" xfId="0" applyFont="1" applyFill="1" applyBorder="1" applyAlignment="1">
      <alignment horizontal="center" vertical="center" wrapText="1"/>
    </xf>
    <xf numFmtId="0" fontId="11" fillId="29" borderId="23" xfId="0" applyFont="1" applyFill="1" applyBorder="1" applyAlignment="1">
      <alignment horizontal="center" vertical="center" wrapText="1"/>
    </xf>
    <xf numFmtId="0" fontId="13" fillId="29" borderId="22" xfId="0" applyFont="1" applyFill="1" applyBorder="1" applyAlignment="1">
      <alignment horizontal="center" vertical="center" wrapText="1"/>
    </xf>
    <xf numFmtId="9" fontId="6" fillId="29" borderId="22" xfId="1" applyFont="1" applyFill="1" applyBorder="1" applyAlignment="1">
      <alignment horizontal="center" vertical="center" wrapText="1"/>
    </xf>
    <xf numFmtId="0" fontId="6" fillId="29" borderId="22" xfId="0" applyFont="1" applyFill="1" applyBorder="1" applyAlignment="1">
      <alignment horizontal="center" vertical="center" wrapText="1"/>
    </xf>
    <xf numFmtId="44" fontId="11" fillId="29" borderId="24" xfId="2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left" vertical="center" wrapText="1"/>
    </xf>
    <xf numFmtId="9" fontId="8" fillId="20" borderId="20" xfId="1" applyFont="1" applyFill="1" applyBorder="1" applyAlignment="1">
      <alignment horizontal="center" vertical="center" wrapText="1"/>
    </xf>
    <xf numFmtId="0" fontId="8" fillId="20" borderId="20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wrapText="1"/>
    </xf>
    <xf numFmtId="9" fontId="8" fillId="10" borderId="4" xfId="1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left" vertical="center" wrapText="1"/>
    </xf>
    <xf numFmtId="0" fontId="9" fillId="12" borderId="18" xfId="0" applyFont="1" applyFill="1" applyBorder="1" applyAlignment="1">
      <alignment horizontal="center" vertical="center" wrapText="1"/>
    </xf>
    <xf numFmtId="9" fontId="8" fillId="12" borderId="4" xfId="1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/>
    </xf>
    <xf numFmtId="0" fontId="9" fillId="28" borderId="6" xfId="0" applyFont="1" applyFill="1" applyBorder="1" applyAlignment="1">
      <alignment horizontal="center" vertical="center" wrapText="1"/>
    </xf>
    <xf numFmtId="0" fontId="14" fillId="28" borderId="7" xfId="0" applyFont="1" applyFill="1" applyBorder="1" applyAlignment="1">
      <alignment horizontal="left" vertical="center" wrapText="1"/>
    </xf>
    <xf numFmtId="0" fontId="9" fillId="28" borderId="12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left" vertical="center" wrapText="1"/>
    </xf>
    <xf numFmtId="0" fontId="9" fillId="28" borderId="9" xfId="0" applyFont="1" applyFill="1" applyBorder="1" applyAlignment="1">
      <alignment horizontal="center" vertical="center" wrapText="1"/>
    </xf>
    <xf numFmtId="0" fontId="14" fillId="28" borderId="10" xfId="0" applyFont="1" applyFill="1" applyBorder="1" applyAlignment="1">
      <alignment horizontal="left" vertical="center" wrapText="1"/>
    </xf>
    <xf numFmtId="9" fontId="8" fillId="28" borderId="7" xfId="1" applyFont="1" applyFill="1" applyBorder="1" applyAlignment="1">
      <alignment horizontal="center" vertical="center" wrapText="1"/>
    </xf>
    <xf numFmtId="0" fontId="8" fillId="28" borderId="7" xfId="0" applyFont="1" applyFill="1" applyBorder="1" applyAlignment="1">
      <alignment horizontal="center" vertical="center" wrapText="1"/>
    </xf>
    <xf numFmtId="0" fontId="8" fillId="28" borderId="7" xfId="0" applyFont="1" applyFill="1" applyBorder="1" applyAlignment="1">
      <alignment horizontal="center" vertical="center"/>
    </xf>
    <xf numFmtId="9" fontId="8" fillId="28" borderId="1" xfId="1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/>
    </xf>
    <xf numFmtId="9" fontId="8" fillId="28" borderId="10" xfId="1" applyFont="1" applyFill="1" applyBorder="1" applyAlignment="1">
      <alignment horizontal="center" vertical="center" wrapText="1"/>
    </xf>
    <xf numFmtId="0" fontId="8" fillId="28" borderId="10" xfId="0" applyFont="1" applyFill="1" applyBorder="1" applyAlignment="1">
      <alignment horizontal="center" vertical="center" wrapText="1"/>
    </xf>
    <xf numFmtId="0" fontId="8" fillId="28" borderId="1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center" vertical="center" wrapText="1"/>
    </xf>
    <xf numFmtId="9" fontId="8" fillId="2" borderId="20" xfId="1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 wrapText="1"/>
    </xf>
    <xf numFmtId="0" fontId="14" fillId="11" borderId="20" xfId="0" applyFont="1" applyFill="1" applyBorder="1" applyAlignment="1">
      <alignment horizontal="left" vertical="center" wrapText="1"/>
    </xf>
    <xf numFmtId="9" fontId="8" fillId="11" borderId="20" xfId="1" applyFont="1" applyFill="1" applyBorder="1" applyAlignment="1">
      <alignment horizontal="center" vertical="center" wrapText="1"/>
    </xf>
    <xf numFmtId="0" fontId="8" fillId="11" borderId="20" xfId="0" applyFont="1" applyFill="1" applyBorder="1" applyAlignment="1">
      <alignment horizontal="center" vertical="center" wrapText="1"/>
    </xf>
    <xf numFmtId="0" fontId="8" fillId="11" borderId="20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wrapText="1"/>
    </xf>
    <xf numFmtId="9" fontId="8" fillId="8" borderId="1" xfId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left" vertical="center" wrapText="1"/>
    </xf>
    <xf numFmtId="9" fontId="8" fillId="6" borderId="4" xfId="1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 wrapText="1"/>
    </xf>
    <xf numFmtId="0" fontId="14" fillId="8" borderId="20" xfId="0" applyFont="1" applyFill="1" applyBorder="1" applyAlignment="1">
      <alignment horizontal="left" vertical="center" wrapText="1"/>
    </xf>
    <xf numFmtId="9" fontId="8" fillId="8" borderId="20" xfId="1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/>
    </xf>
    <xf numFmtId="0" fontId="8" fillId="30" borderId="10" xfId="0" applyFont="1" applyFill="1" applyBorder="1" applyAlignment="1">
      <alignment horizontal="center" vertical="center"/>
    </xf>
    <xf numFmtId="0" fontId="8" fillId="30" borderId="2" xfId="0" applyFont="1" applyFill="1" applyBorder="1" applyAlignment="1">
      <alignment horizontal="center" vertical="center" wrapText="1"/>
    </xf>
    <xf numFmtId="0" fontId="8" fillId="25" borderId="3" xfId="0" applyFont="1" applyFill="1" applyBorder="1" applyAlignment="1">
      <alignment horizontal="center" vertical="center" wrapText="1"/>
    </xf>
    <xf numFmtId="0" fontId="0" fillId="9" borderId="0" xfId="0" applyFill="1"/>
    <xf numFmtId="0" fontId="0" fillId="9" borderId="0" xfId="0" applyFill="1" applyAlignment="1">
      <alignment horizontal="left"/>
    </xf>
    <xf numFmtId="0" fontId="3" fillId="10" borderId="2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9" fontId="0" fillId="12" borderId="1" xfId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</cellXfs>
  <cellStyles count="3">
    <cellStyle name="Moneda" xfId="2" builtinId="4"/>
    <cellStyle name="Normal" xfId="0" builtinId="0"/>
    <cellStyle name="Porcentaje" xfId="1" builtinId="5"/>
  </cellStyles>
  <dxfs count="206"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FFFF"/>
      <color rgb="FF99FF66"/>
      <color rgb="FFFFFFCC"/>
      <color rgb="FF6699FF"/>
      <color rgb="FFFF5050"/>
      <color rgb="FF99CCFF"/>
      <color rgb="FF66CCFF"/>
      <color rgb="FFFFDC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E5DAE368-386C-4FEB-B686-B60837D9D778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O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0" xr16:uid="{51CD981A-FABA-4FE5-A691-4CD95A54A8F6}" autoFormatId="16" applyNumberFormats="0" applyBorderFormats="0" applyFontFormats="0" applyPatternFormats="0" applyAlignmentFormats="0" applyWidthHeightFormats="0">
  <queryTableRefresh nextId="15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7" name="VERSION" tableColumnId="7"/>
      <queryTableField id="5" name="HORAS CALENDARIO TECNICOS LABORADOS PARA PERSONA CON RENDIMIENTO AL 100%" tableColumnId="5"/>
      <queryTableField id="6" name="HORAS CALENDARIO EN REUNIONES CON CLIENTES PARA PERSONA CON RENDIMIENTO AL 100%" tableColumnId="6"/>
      <queryTableField id="8" name="TOTAL" tableColumnId="8"/>
      <queryTableField id="12" name="HORAS ADICIONALES" tableColumnId="10"/>
      <queryTableField id="10" name="TOTAL HORAS RESTANTES" tableColumnId="9"/>
      <queryTableField id="13" name="Column11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8" xr16:uid="{A5B6D9A4-571E-4CD4-A4F7-611B8468982F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4" xr16:uid="{A41ECC42-778E-401D-B9AC-31868460FFCF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9" xr16:uid="{EB65CD70-A38F-4E09-974D-7883F8ECD803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5" xr16:uid="{79F5D57D-8948-4927-B99B-4E5650CA887B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1" xr16:uid="{5B31C20D-5924-4611-9D34-6763BC0D2278}" autoFormatId="16" applyNumberFormats="0" applyBorderFormats="0" applyFontFormats="0" applyPatternFormats="0" applyAlignmentFormats="0" applyWidthHeightFormats="0">
  <queryTableRefresh nextId="60">
    <queryTableFields count="59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9" xr16:uid="{B17D618D-EB6D-4174-A1BF-00CCB27EEB8F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3" xr16:uid="{EE30318F-6F16-4662-90C1-7644BC82AD50}" autoFormatId="16" applyNumberFormats="0" applyBorderFormats="0" applyFontFormats="0" applyPatternFormats="0" applyAlignmentFormats="0" applyWidthHeightFormats="0">
  <queryTableRefresh nextId="14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11" name="HORAS ADICIONALES" tableColumnId="10"/>
      <queryTableField id="9" name="TOTAL HORAS RESTANTES" tableColumnId="9"/>
      <queryTableField id="12" name="Column11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4" xr16:uid="{B59DD4E5-0389-4B00-8406-A19CEFE651F6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9" xr16:uid="{66A1759F-1210-487A-8416-80D58CE47BD7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362C07E1-CB71-4242-BE94-A4DF2B479C50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DC3A0849-1386-4F78-B29F-907D4327544C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D13D852A-F907-4607-B102-39A36E2C81D0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2" xr16:uid="{DCE64A6E-8239-47A4-8CDC-2AE02041FF3D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698B3D86-8BD7-4147-B808-D1101A2E4910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8D0141EB-EDA1-4498-82D5-DD87B3CB3D00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9B47A19A-3450-4444-8FB4-3BD18F9B0B19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DEDF8695-682F-4358-9077-3E03E64C63DF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2" xr16:uid="{779DCA44-D8A4-4AE2-863D-29F336FF1649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O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1" xr16:uid="{EF58234E-EC76-4649-84F4-CB906B499E1F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O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3" xr16:uid="{E7066195-78B4-482C-B8C9-E151F8765949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O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FF68955B-56C6-4622-B86B-9EF739B7EC0B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O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70B9303F-63BC-4F1A-8D02-2377958CFFFC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O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8929367C-0CFE-4CAB-BBC8-E2EF73995882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O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6717F996-0046-4576-9526-53D4E15EFFAA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O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88F1686-2984-4CBE-BE61-5EB7701F4D30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O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5" xr16:uid="{7CAD7A33-F38D-4555-BA22-222DE506E280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D2B6B6CB-1F89-40F3-BAF7-8A116FCA7E13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I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D1D6424-DF54-4F7C-9315-3F7D13698D81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O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PROYECTADAS" tableColumnId="9"/>
      <queryTableField id="10" name="TOTAL HORAS RESTANTES" tableColumnId="10"/>
      <queryTableField id="11" name="Column11" tableColumnId="11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0" xr16:uid="{29E741DB-8E88-455C-A1D2-11573EF2745C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6" xr16:uid="{0BFA78FB-C965-49C1-8E48-CD6891A78245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CIONALES" tableColumnId="9"/>
      <queryTableField id="10" name="TOTAL HORAS RESTANTES" tableColumnId="10"/>
      <queryTableField id="11" name="Column11" tableColumnId="11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7" xr16:uid="{7E4F5F1E-9319-4A4D-B1C3-7F4173154F90}" autoFormatId="16" applyNumberFormats="0" applyBorderFormats="0" applyFontFormats="0" applyPatternFormats="0" applyAlignmentFormats="0" applyWidthHeightFormats="0">
  <queryTableRefresh nextId="12">
    <queryTableFields count="11">
      <queryTableField id="1" name="NOMBRE DE PROYECTO" tableColumnId="1"/>
      <queryTableField id="2" name="TIPO DE EXPEDIENTE" tableColumnId="2"/>
      <queryTableField id="3" name="ESPECIALIDAD" tableColumnId="3"/>
      <queryTableField id="4" name="PARTIDA" tableColumnId="4"/>
      <queryTableField id="5" name="VERSIÓN" tableColumnId="5"/>
      <queryTableField id="6" name="HORAS CALENDARIO TECNICOS LABORADOS PARA PERSONA CON RENDIMIENTO AL 100%" tableColumnId="6"/>
      <queryTableField id="7" name="HORAS CALENDARIO EN REUNIONES CON CLIENTES PARA PERSONA CON RENDIMIENTO AL 100%" tableColumnId="7"/>
      <queryTableField id="8" name="TOTAL" tableColumnId="8"/>
      <queryTableField id="9" name="HORAS ADCIONALES" tableColumnId="9"/>
      <queryTableField id="10" name="TOTAL HORAS RESTANTES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C5C86A-BA4B-4893-AAAA-55F9C3CD5340}" name="MH_DFM4_0226_Pueblo_Libre_Silvi" displayName="MH_DFM4_0226_Pueblo_Libre_Silvi" ref="A1:K21" tableType="queryTable" totalsRowShown="0">
  <autoFilter ref="A1:K21" xr:uid="{D6C5C86A-BA4B-4893-AAAA-55F9C3CD5340}"/>
  <tableColumns count="11">
    <tableColumn id="1" xr3:uid="{6C60214C-A977-4C2A-8B28-79602492857B}" uniqueName="1" name="NOMBRE DE PROYECTO" queryTableFieldId="1" dataDxfId="205"/>
    <tableColumn id="2" xr3:uid="{F28D4756-5FDF-45E1-92D0-217186F036DA}" uniqueName="2" name="TIPO DE EXPEDIENTE" queryTableFieldId="2" dataDxfId="204"/>
    <tableColumn id="3" xr3:uid="{C60C0C80-F421-4C0F-B0FC-6008975650D2}" uniqueName="3" name="ESPECIALIDAD" queryTableFieldId="3" dataDxfId="203"/>
    <tableColumn id="4" xr3:uid="{3D861EBE-78A5-4BB8-955A-BA03DFC8C64D}" uniqueName="4" name="PARTIDA" queryTableFieldId="4" dataDxfId="202"/>
    <tableColumn id="5" xr3:uid="{248461A4-339F-4428-B6ED-03AC446215F5}" uniqueName="5" name="VERSION" queryTableFieldId="5" dataDxfId="201"/>
    <tableColumn id="6" xr3:uid="{B06044D5-7EF3-43B1-B25D-1AC97B23CB58}" uniqueName="6" name="HORAS CALENDARIO TECNICOS LABORADOS PARA PERSONA CON RENDIMIENTO AL 100%" queryTableFieldId="6"/>
    <tableColumn id="7" xr3:uid="{11CEB136-0640-43BB-817D-E9A65C7515AB}" uniqueName="7" name="HORAS CALENDARIO EN REUNIONES CON CLIENTES PARA PERSONA CON RENDIMIENTO AL 100%" queryTableFieldId="7"/>
    <tableColumn id="8" xr3:uid="{4873FA9D-0C3E-42CE-8863-495A8FBD71E4}" uniqueName="8" name="TOTAL" queryTableFieldId="8"/>
    <tableColumn id="9" xr3:uid="{5349FB5A-3809-4C9E-AA58-C67A020E0A9E}" uniqueName="9" name="HORAS ADICIONALES" queryTableFieldId="9"/>
    <tableColumn id="10" xr3:uid="{CF4A60A2-EED4-4F54-9630-C17758CD6616}" uniqueName="10" name="TOTAL HORAS RESTANTES" queryTableFieldId="10"/>
    <tableColumn id="11" xr3:uid="{CCD14981-4A64-45FF-80AC-1F95CA44E665}" uniqueName="11" name="Column11" queryTableFieldId="11" dataDxfId="20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A3A7D9-A591-458B-8EB6-AB30EC5B5EDB}" name="MP_0525___Surco___Arq__Edin" displayName="MP_0525___Surco___Arq__Edin" ref="A1:K59" tableType="queryTable" totalsRowCount="1">
  <autoFilter ref="A1:K58" xr:uid="{F3A3A7D9-A591-458B-8EB6-AB30EC5B5EDB}"/>
  <tableColumns count="11">
    <tableColumn id="1" xr3:uid="{AE701EF2-A65C-474C-B6BF-3AA1B4BAF0A6}" uniqueName="1" name="NOMBRE DE PROYECTO" queryTableFieldId="1" dataDxfId="199"/>
    <tableColumn id="2" xr3:uid="{3E732B8E-DA01-4783-B77C-CF6D37018BC6}" uniqueName="2" name="TIPO DE EXPEDIENTE" queryTableFieldId="2" dataDxfId="198"/>
    <tableColumn id="3" xr3:uid="{5351C6F0-8E6F-4867-A119-7236097F89CD}" uniqueName="3" name="ESPECIALIDAD" queryTableFieldId="3" dataDxfId="197"/>
    <tableColumn id="4" xr3:uid="{97794F6F-C411-4EC5-AF5F-68D870C6220D}" uniqueName="4" name="PARTIDA" queryTableFieldId="4" dataDxfId="196"/>
    <tableColumn id="7" xr3:uid="{867E2A00-3E95-4DCE-B29C-217CCADFE3FE}" uniqueName="7" name="VERSION" queryTableFieldId="7"/>
    <tableColumn id="5" xr3:uid="{ECACA996-D93C-46BE-BFF4-20B7ADB78CD5}" uniqueName="5" name="HORAS CALENDARIO TECNICOS LABORADOS PARA PERSONA CON RENDIMIENTO AL 100%" queryTableFieldId="5" dataDxfId="195" totalsRowDxfId="194"/>
    <tableColumn id="6" xr3:uid="{7A355EA3-0D95-44E6-A70C-D8355A497221}" uniqueName="6" name="HORAS CALENDARIO EN REUNIONES CON CLIENTES PARA PERSONA CON RENDIMIENTO AL 100%" queryTableFieldId="6" dataDxfId="193" totalsRowDxfId="192"/>
    <tableColumn id="8" xr3:uid="{D9D4D0A7-8D9F-41FB-9508-418F1E85EABF}" uniqueName="8" name="TOTAL" totalsRowFunction="custom" queryTableFieldId="8">
      <totalsRowFormula>SUM(MP_0525___Surco___Arq__Edin[TOTAL])</totalsRowFormula>
    </tableColumn>
    <tableColumn id="10" xr3:uid="{4F3AE174-4B6D-4216-B87A-C494DB60519F}" uniqueName="10" name="HORAS ADICIONALES" queryTableFieldId="12"/>
    <tableColumn id="9" xr3:uid="{8FB70AA7-EC5C-4821-BA9C-8CD20D41F72B}" uniqueName="9" name="TOTAL HORAS RESTANTES" queryTableFieldId="10"/>
    <tableColumn id="11" xr3:uid="{E0A8CD03-FEC9-4D9A-84BC-C443AECFD511}" uniqueName="11" name="Column11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55CA56-81B4-4421-8A16-66DA2C077F93}" name="MH_ONX8___0825___Breña___Dario" displayName="MH_ONX8___0825___Breña___Dario" ref="A1:K19" tableType="queryTable" totalsRowShown="0">
  <autoFilter ref="A1:K19" xr:uid="{3655CA56-81B4-4421-8A16-66DA2C077F93}"/>
  <tableColumns count="11">
    <tableColumn id="1" xr3:uid="{9CAAF44E-7320-4C33-9968-AB7AEAF785B5}" uniqueName="1" name="NOMBRE DE PROYECTO" queryTableFieldId="1" dataDxfId="191"/>
    <tableColumn id="2" xr3:uid="{8F2D082B-6289-47E6-AC72-2D7A84C172F7}" uniqueName="2" name="TIPO DE EXPEDIENTE" queryTableFieldId="2" dataDxfId="190"/>
    <tableColumn id="3" xr3:uid="{B33EBBCE-9B87-4ABD-AC18-8893DB4C8AAC}" uniqueName="3" name="ESPECIALIDAD" queryTableFieldId="3" dataDxfId="189"/>
    <tableColumn id="4" xr3:uid="{35CE0A1D-42E8-4099-87BC-CF1F29577EF9}" uniqueName="4" name="PARTIDA" queryTableFieldId="4" dataDxfId="188"/>
    <tableColumn id="5" xr3:uid="{27E77FB3-66F8-42A4-8416-8184A259E3D0}" uniqueName="5" name="VERSIÓN" queryTableFieldId="5" dataDxfId="187"/>
    <tableColumn id="6" xr3:uid="{BC5CB739-0C0F-4D76-87F0-58E97D442629}" uniqueName="6" name="HORAS CALENDARIO TECNICOS LABORADOS PARA PERSONA CON RENDIMIENTO AL 100%" queryTableFieldId="6"/>
    <tableColumn id="7" xr3:uid="{53659BF8-D29F-4CB3-B3C0-E6A9ECC31EF3}" uniqueName="7" name="HORAS CALENDARIO EN REUNIONES CON CLIENTES PARA PERSONA CON RENDIMIENTO AL 100%" queryTableFieldId="7"/>
    <tableColumn id="8" xr3:uid="{E469B340-FBC9-4844-AD1D-86D15FD98684}" uniqueName="8" name="TOTAL" queryTableFieldId="8"/>
    <tableColumn id="9" xr3:uid="{77A9C95B-8A36-4893-AFF5-BA5C6DD2D0BC}" uniqueName="9" name="HORAS ADICIONALES" queryTableFieldId="9"/>
    <tableColumn id="10" xr3:uid="{691A6A15-D3B3-45B1-B2BB-687639C8D849}" uniqueName="10" name="TOTAL HORAS RESTANTES" queryTableFieldId="10"/>
    <tableColumn id="11" xr3:uid="{043F4AFC-A383-4E4A-9186-32FF719C51C7}" uniqueName="11" name="Column11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3CDF7F-6A76-442A-BF54-B14A1BDC4A1B}" name="MH_ONM3_1125_Jicamarca_Giovann" displayName="MH_ONM3_1125_Jicamarca_Giovann" ref="A1:K20" tableType="queryTable" totalsRowShown="0">
  <autoFilter ref="A1:K20" xr:uid="{783CDF7F-6A76-442A-BF54-B14A1BDC4A1B}"/>
  <tableColumns count="11">
    <tableColumn id="1" xr3:uid="{1F39A72C-A819-4569-AA7E-DE1EF2A223A4}" uniqueName="1" name="NOMBRE DE PROYECTO" queryTableFieldId="1" dataDxfId="186"/>
    <tableColumn id="2" xr3:uid="{0598DE17-C3C7-48DE-A569-CE55F48C7E92}" uniqueName="2" name="TIPO DE EXPEDIENTE" queryTableFieldId="2" dataDxfId="185"/>
    <tableColumn id="3" xr3:uid="{1147E034-3BA4-4D89-B51E-0FC1E1EA0E2D}" uniqueName="3" name="ESPECIALIDAD" queryTableFieldId="3" dataDxfId="184"/>
    <tableColumn id="4" xr3:uid="{E88EC5D2-E375-4F71-A775-EE7C3599014F}" uniqueName="4" name="PARTIDA" queryTableFieldId="4" dataDxfId="183"/>
    <tableColumn id="5" xr3:uid="{31F3B164-FAED-46A9-B72E-2A5768E757D4}" uniqueName="5" name="VERSIÓN" queryTableFieldId="5" dataDxfId="182"/>
    <tableColumn id="6" xr3:uid="{B334226E-1C7B-42B0-BAD7-990A24432652}" uniqueName="6" name="HORAS CALENDARIO TECNICOS LABORADOS PARA PERSONA CON RENDIMIENTO AL 100%" queryTableFieldId="6"/>
    <tableColumn id="7" xr3:uid="{7249D996-5AC3-4D57-8D58-D50B2FD4B5D0}" uniqueName="7" name="HORAS CALENDARIO EN REUNIONES CON CLIENTES PARA PERSONA CON RENDIMIENTO AL 100%" queryTableFieldId="7"/>
    <tableColumn id="8" xr3:uid="{41A460E3-25E2-4B08-9DDC-A32BF8EFEB55}" uniqueName="8" name="TOTAL" queryTableFieldId="8"/>
    <tableColumn id="9" xr3:uid="{C8D96EFF-CC7C-4F85-9DEA-9934A28B44A1}" uniqueName="9" name="HORAS ADICIONALES" queryTableFieldId="9"/>
    <tableColumn id="10" xr3:uid="{F00BC025-5BC7-4BFA-A457-967D618E53C7}" uniqueName="10" name="TOTAL HORAS RESTANTES" queryTableFieldId="10"/>
    <tableColumn id="11" xr3:uid="{AC15FDFF-B3E7-45E3-96B7-A4F3697D3CA9}" uniqueName="11" name="Column11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92A395E-9985-4121-B1F3-74D07417E278}" name="MH_LNC2_Cieneguilla_Sanny___Bry" displayName="MH_LNC2_Cieneguilla_Sanny___Bry" ref="A1:K24" tableType="queryTable" totalsRowShown="0">
  <autoFilter ref="A1:K24" xr:uid="{C92A395E-9985-4121-B1F3-74D07417E278}"/>
  <tableColumns count="11">
    <tableColumn id="1" xr3:uid="{CD382D0F-8B48-451B-A7A3-AE0EB0292214}" uniqueName="1" name="NOMBRE DE PROYECTO" queryTableFieldId="1" dataDxfId="181"/>
    <tableColumn id="2" xr3:uid="{53C327B5-E2E9-40A8-86D5-27543171150D}" uniqueName="2" name="TIPO DE EXPEDIENTE" queryTableFieldId="2" dataDxfId="180"/>
    <tableColumn id="3" xr3:uid="{332C8D7D-5F9B-466B-88BE-9CA9BA42B2FC}" uniqueName="3" name="ESPECIALIDAD" queryTableFieldId="3" dataDxfId="179"/>
    <tableColumn id="4" xr3:uid="{9DF888AC-3B2E-498D-85A4-509326AB792E}" uniqueName="4" name="PARTIDA" queryTableFieldId="4" dataDxfId="178"/>
    <tableColumn id="5" xr3:uid="{62945647-2C43-4C75-82B9-BAC68F005D2F}" uniqueName="5" name="VERSIÓN" queryTableFieldId="5" dataDxfId="177"/>
    <tableColumn id="6" xr3:uid="{083D621A-C531-4519-8239-E78B637644B3}" uniqueName="6" name="HORAS CALENDARIO TECNICOS LABORADOS PARA PERSONA CON RENDIMIENTO AL 100%" queryTableFieldId="6"/>
    <tableColumn id="7" xr3:uid="{9C41C86C-1383-4F73-97D6-DC865C393983}" uniqueName="7" name="HORAS CALENDARIO EN REUNIONES CON CLIENTES PARA PERSONA CON RENDIMIENTO AL 100%" queryTableFieldId="7"/>
    <tableColumn id="8" xr3:uid="{28FD286D-D293-4B65-B927-9AE1F2BD1E7A}" uniqueName="8" name="TOTAL" queryTableFieldId="8"/>
    <tableColumn id="9" xr3:uid="{75493631-745D-4EF5-B741-EED30C0A6AB4}" uniqueName="9" name="HORAS ADICIONALES" queryTableFieldId="9"/>
    <tableColumn id="10" xr3:uid="{CE750CE2-FB9E-42C3-B28F-A7AA9E5CC469}" uniqueName="10" name="TOTAL HORAS RESTANTES" queryTableFieldId="10"/>
    <tableColumn id="11" xr3:uid="{739AAF3F-FC7D-4475-8991-EC969642625C}" uniqueName="11" name="Column11" queryTableFieldId="11" dataDxfId="17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61336C-90B2-44D9-B403-1502DF0E811E}" name="MH_LNM5_0425_SAN_MIGUEL_CAR" displayName="MH_LNM5_0425_SAN_MIGUEL_CAR" ref="A1:K24" tableType="queryTable" totalsRowShown="0">
  <autoFilter ref="A1:K24" xr:uid="{7961336C-90B2-44D9-B403-1502DF0E811E}"/>
  <tableColumns count="11">
    <tableColumn id="1" xr3:uid="{BE330F9C-578D-46E7-9F0E-1A215565A0E7}" uniqueName="1" name="NOMBRE DE PROYECTO" queryTableFieldId="1" dataDxfId="175"/>
    <tableColumn id="2" xr3:uid="{A63ACF6D-1BA8-46AB-9D43-122C37B02255}" uniqueName="2" name="TIPO DE EXPEDIENTE" queryTableFieldId="2" dataDxfId="174"/>
    <tableColumn id="3" xr3:uid="{6ABA1595-D6B0-4C78-84FF-5D317ECA4D71}" uniqueName="3" name="ESPECIALIDAD" queryTableFieldId="3" dataDxfId="173"/>
    <tableColumn id="4" xr3:uid="{CFC73EB6-8A7F-4883-8644-4A5CE5E57A5E}" uniqueName="4" name="PARTIDA" queryTableFieldId="4" dataDxfId="172"/>
    <tableColumn id="5" xr3:uid="{F4DA5E38-7EF8-46D3-85DC-AF36A9A56969}" uniqueName="5" name="VERSIÓN" queryTableFieldId="5" dataDxfId="171"/>
    <tableColumn id="6" xr3:uid="{4B663BA1-7BD4-4EF8-827B-1FCD7DC11627}" uniqueName="6" name="HORAS CALENDARIO TECNICOS LABORADOS PARA PERSONA CON RENDIMIENTO AL 100%" queryTableFieldId="6"/>
    <tableColumn id="7" xr3:uid="{7B7FFDCF-4E93-4A9F-8103-B86FFB22A090}" uniqueName="7" name="HORAS CALENDARIO EN REUNIONES CON CLIENTES PARA PERSONA CON RENDIMIENTO AL 100%" queryTableFieldId="7"/>
    <tableColumn id="8" xr3:uid="{95BB981A-D18C-4D79-A8CB-E089C0359256}" uniqueName="8" name="TOTAL" queryTableFieldId="8"/>
    <tableColumn id="9" xr3:uid="{6C844FCF-B1B4-4C88-BC09-DCCD633E664C}" uniqueName="9" name="HORAS ADICIONALES" queryTableFieldId="9"/>
    <tableColumn id="10" xr3:uid="{202081AB-844E-446E-B147-3DEAF8B0439A}" uniqueName="10" name="TOTAL HORAS RESTANTES" queryTableFieldId="10"/>
    <tableColumn id="11" xr3:uid="{C2020D2D-D946-4C4E-8F82-EC8199EC39DB}" uniqueName="11" name="Column11" queryTableField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C6ABA2-FC74-4A38-8DD5-5990EBF92FF4}" name="MH_LNX1___0325___Breña___Juan_C" displayName="MH_LNX1___0325___Breña___Juan_C" ref="A1:BG6" tableType="queryTable" totalsRowShown="0">
  <autoFilter ref="A1:BG6" xr:uid="{8EC6ABA2-FC74-4A38-8DD5-5990EBF92FF4}"/>
  <tableColumns count="59">
    <tableColumn id="1" xr3:uid="{3CA662F2-A5AF-4AE6-8576-0B6EDC6F282F}" uniqueName="1" name="NOMBRE DE PROYECTO" queryTableFieldId="1" dataDxfId="170"/>
    <tableColumn id="2" xr3:uid="{CC76DC42-0C5F-40BC-94A9-00A5F13B872D}" uniqueName="2" name="TIPO DE EXPEDIENTE" queryTableFieldId="2" dataDxfId="169"/>
    <tableColumn id="3" xr3:uid="{BA318236-BE35-4825-B6B5-353835409CBC}" uniqueName="3" name="ESPECIALIDAD" queryTableFieldId="3" dataDxfId="168"/>
    <tableColumn id="4" xr3:uid="{2BB55709-3891-48F9-8974-E069EAEE6AA1}" uniqueName="4" name="PARTIDA" queryTableFieldId="4" dataDxfId="167"/>
    <tableColumn id="5" xr3:uid="{CD0FB3EB-659C-44D5-9429-5687C82BFC04}" uniqueName="5" name="VERSIÓN" queryTableFieldId="5" dataDxfId="166"/>
    <tableColumn id="6" xr3:uid="{8B6215CD-4816-4EBD-A545-7FEB32593237}" uniqueName="6" name="HORAS CALENDARIO TECNICOS LABORADOS PARA PERSONA CON RENDIMIENTO AL 100%" queryTableFieldId="6"/>
    <tableColumn id="7" xr3:uid="{A48E46CD-4591-4002-AD3A-EFB9125788B0}" uniqueName="7" name="HORAS CALENDARIO EN REUNIONES CON CLIENTES PARA PERSONA CON RENDIMIENTO AL 100%" queryTableFieldId="7"/>
    <tableColumn id="8" xr3:uid="{78356D68-2B2C-4738-8E01-0FB51D5CFDA6}" uniqueName="8" name="TOTAL" queryTableFieldId="8"/>
    <tableColumn id="9" xr3:uid="{EA5A9BCF-6E5B-4B26-857B-4486FC4CDE19}" uniqueName="9" name="HORAS ADICIONALES" queryTableFieldId="9"/>
    <tableColumn id="10" xr3:uid="{80C4A349-7068-4DF5-AB90-D6419E07F89A}" uniqueName="10" name="TOTAL HORAS RESTANTES" queryTableFieldId="10"/>
    <tableColumn id="11" xr3:uid="{708F5CED-0FFB-40A4-B95C-F2110E6F78B0}" uniqueName="11" name="Column11" queryTableFieldId="11"/>
    <tableColumn id="12" xr3:uid="{FE34471C-AD2E-431A-A867-4A5F6A3ECDB6}" uniqueName="12" name="Column12" queryTableFieldId="12"/>
    <tableColumn id="13" xr3:uid="{DAFBA943-123F-4374-ABFD-1B16ECA95942}" uniqueName="13" name="Column13" queryTableFieldId="13"/>
    <tableColumn id="14" xr3:uid="{22EC3BE5-30BF-4F85-8496-7F43B0655669}" uniqueName="14" name="Column14" queryTableFieldId="14"/>
    <tableColumn id="15" xr3:uid="{46700A8B-B50C-4CCC-9413-E2A78E55D118}" uniqueName="15" name="Column15" queryTableFieldId="15"/>
    <tableColumn id="16" xr3:uid="{90EFBC8A-77EC-4BC4-A1E1-83CD121EE45C}" uniqueName="16" name="Column16" queryTableFieldId="16"/>
    <tableColumn id="17" xr3:uid="{015E0F9F-4D20-4B80-B4A6-D06081AE0146}" uniqueName="17" name="Column17" queryTableFieldId="17"/>
    <tableColumn id="18" xr3:uid="{82224C25-E6F0-4B7E-BE4E-D416823745F1}" uniqueName="18" name="Column18" queryTableFieldId="18"/>
    <tableColumn id="19" xr3:uid="{1A178BB1-66D2-41D4-9AA9-94CD83ECDAE5}" uniqueName="19" name="Column19" queryTableFieldId="19"/>
    <tableColumn id="20" xr3:uid="{ED2CC663-11BD-483C-92D6-C3297AFBC3E5}" uniqueName="20" name="Column20" queryTableFieldId="20"/>
    <tableColumn id="21" xr3:uid="{436F04FE-DF4E-4C7A-BCE1-503DEE97D7CF}" uniqueName="21" name="Column21" queryTableFieldId="21"/>
    <tableColumn id="22" xr3:uid="{3BF3E1A9-6E87-40EC-AFD3-71E42EE322E4}" uniqueName="22" name="Column22" queryTableFieldId="22"/>
    <tableColumn id="23" xr3:uid="{8DB017A8-031C-4110-B9EF-5B94D9069AC9}" uniqueName="23" name="Column23" queryTableFieldId="23"/>
    <tableColumn id="24" xr3:uid="{189620C5-09E9-4845-A1D2-908AD866643A}" uniqueName="24" name="Column24" queryTableFieldId="24"/>
    <tableColumn id="25" xr3:uid="{74B3E335-323A-48D6-8532-384D4BC5BC79}" uniqueName="25" name="Column25" queryTableFieldId="25"/>
    <tableColumn id="26" xr3:uid="{EE1ED534-2D42-4B69-94FC-E9DA2EA437D5}" uniqueName="26" name="Column26" queryTableFieldId="26"/>
    <tableColumn id="27" xr3:uid="{36AA7812-4B69-4CF0-9560-9E873B8122B0}" uniqueName="27" name="Column27" queryTableFieldId="27"/>
    <tableColumn id="28" xr3:uid="{6879FB63-16E5-482A-B009-26EDF2B5CC22}" uniqueName="28" name="Column28" queryTableFieldId="28"/>
    <tableColumn id="29" xr3:uid="{8F0D7800-3906-4124-9890-BB5311C43BC0}" uniqueName="29" name="Column29" queryTableFieldId="29"/>
    <tableColumn id="30" xr3:uid="{E44B1629-2D86-4C00-9770-159047F661C4}" uniqueName="30" name="Column30" queryTableFieldId="30"/>
    <tableColumn id="31" xr3:uid="{5536642B-A111-4E35-9F20-E66D282E88E3}" uniqueName="31" name="Column31" queryTableFieldId="31"/>
    <tableColumn id="32" xr3:uid="{1ADA01E6-6BE3-479B-BE38-3578AAC1E7B1}" uniqueName="32" name="Column32" queryTableFieldId="32"/>
    <tableColumn id="33" xr3:uid="{E7BEED99-1EAB-4E41-B41F-147A1F482821}" uniqueName="33" name="Column33" queryTableFieldId="33"/>
    <tableColumn id="34" xr3:uid="{7C7EE696-4CFB-4C97-8116-CFD847BAED95}" uniqueName="34" name="Column34" queryTableFieldId="34"/>
    <tableColumn id="35" xr3:uid="{24B83680-794D-4EA4-BE41-4E5CDCEC084A}" uniqueName="35" name="Column35" queryTableFieldId="35"/>
    <tableColumn id="36" xr3:uid="{0C6FA8DC-5013-4E22-9CC1-2ED2CFA0B49B}" uniqueName="36" name="Column36" queryTableFieldId="36"/>
    <tableColumn id="37" xr3:uid="{146FC5E2-828E-4E9C-8070-3D9FCFB2457F}" uniqueName="37" name="Column37" queryTableFieldId="37"/>
    <tableColumn id="38" xr3:uid="{F7D3B138-718A-4BD9-8196-18F6CDCA6DBA}" uniqueName="38" name="Column38" queryTableFieldId="38"/>
    <tableColumn id="39" xr3:uid="{674A5466-6295-40A9-93A8-FF372F4CE8E6}" uniqueName="39" name="Column39" queryTableFieldId="39"/>
    <tableColumn id="40" xr3:uid="{A80D046A-E183-4D77-B9F0-BEE11BB225A3}" uniqueName="40" name="Column40" queryTableFieldId="40"/>
    <tableColumn id="41" xr3:uid="{8755817C-7115-4303-A16B-4E8F47C02207}" uniqueName="41" name="Column41" queryTableFieldId="41"/>
    <tableColumn id="42" xr3:uid="{CA4E3BAC-FEF1-4784-BF27-A8950C1BE9EE}" uniqueName="42" name="Column42" queryTableFieldId="42"/>
    <tableColumn id="43" xr3:uid="{AD694558-E8CD-4EF4-997B-33751A8AF755}" uniqueName="43" name="Column43" queryTableFieldId="43"/>
    <tableColumn id="44" xr3:uid="{92A37FF6-B810-4B64-98CF-7930D319242E}" uniqueName="44" name="Column44" queryTableFieldId="44"/>
    <tableColumn id="45" xr3:uid="{064D2696-3DDF-45C1-B2A1-62D358875686}" uniqueName="45" name="Column45" queryTableFieldId="45"/>
    <tableColumn id="46" xr3:uid="{FD367474-3E80-4AA6-9111-62559E0EA213}" uniqueName="46" name="Column46" queryTableFieldId="46"/>
    <tableColumn id="47" xr3:uid="{54993E75-5363-4B70-90E5-3C1F1EF74E81}" uniqueName="47" name="Column47" queryTableFieldId="47"/>
    <tableColumn id="48" xr3:uid="{7B96DF7C-D8DB-4692-AECD-2FAAA36469BC}" uniqueName="48" name="Column48" queryTableFieldId="48"/>
    <tableColumn id="49" xr3:uid="{AE903A0E-654E-4FB0-A40B-F29C80981D37}" uniqueName="49" name="Column49" queryTableFieldId="49"/>
    <tableColumn id="50" xr3:uid="{195076DA-BCEA-413F-8C07-FF76C66CC559}" uniqueName="50" name="Column50" queryTableFieldId="50"/>
    <tableColumn id="51" xr3:uid="{7A23F95C-7690-4F1D-84DD-1F96E511C506}" uniqueName="51" name="Column51" queryTableFieldId="51"/>
    <tableColumn id="52" xr3:uid="{CBE47710-6299-4D76-9DA3-C63F3AF6417F}" uniqueName="52" name="Column52" queryTableFieldId="52"/>
    <tableColumn id="53" xr3:uid="{ECB83337-4C43-4E53-9C4F-EB0EF44EC1C1}" uniqueName="53" name="Column53" queryTableFieldId="53"/>
    <tableColumn id="54" xr3:uid="{DFEF0185-EC49-4918-A872-D4B783DF6398}" uniqueName="54" name="Column54" queryTableFieldId="54"/>
    <tableColumn id="55" xr3:uid="{9B61A08A-29AD-4213-A6B6-5F37D1A7D182}" uniqueName="55" name="Column55" queryTableFieldId="55"/>
    <tableColumn id="56" xr3:uid="{04700D0B-9811-4E79-B8B9-89083DB7D1E7}" uniqueName="56" name="Column56" queryTableFieldId="56"/>
    <tableColumn id="57" xr3:uid="{18B49AF5-9AFA-49ED-AFC7-D5651588D4C8}" uniqueName="57" name="Column57" queryTableFieldId="57"/>
    <tableColumn id="58" xr3:uid="{0101B0F6-3427-41F2-84DF-261F22CB38AD}" uniqueName="58" name="Column58" queryTableFieldId="58"/>
    <tableColumn id="59" xr3:uid="{26344F01-AE13-4C73-8FC9-1BE829F87003}" uniqueName="59" name="Column59" queryTableFieldId="5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2C3790-E2B0-43B6-B158-A4C9F5F6C304}" name="MH_LNM7___0925___Cedros___Ninah" displayName="MH_LNM7___0925___Cedros___Ninah" ref="A1:K25" tableType="queryTable" totalsRowShown="0">
  <autoFilter ref="A1:K25" xr:uid="{6A2C3790-E2B0-43B6-B158-A4C9F5F6C304}"/>
  <tableColumns count="11">
    <tableColumn id="1" xr3:uid="{2C21A38A-8D8A-47F4-BB13-D08F61A88CF7}" uniqueName="1" name="NOMBRE DE PROYECTO" queryTableFieldId="1" dataDxfId="165"/>
    <tableColumn id="2" xr3:uid="{94AD5C19-9752-46FA-89BD-C163E7F31E92}" uniqueName="2" name="TIPO DE EXPEDIENTE" queryTableFieldId="2" dataDxfId="164"/>
    <tableColumn id="3" xr3:uid="{BCD67C11-097A-4DD6-ACFF-F0FF0936D081}" uniqueName="3" name="ESPECIALIDAD" queryTableFieldId="3" dataDxfId="163"/>
    <tableColumn id="4" xr3:uid="{6315AC03-99D2-422F-AC76-B769C4D4898B}" uniqueName="4" name="PARTIDA" queryTableFieldId="4" dataDxfId="162"/>
    <tableColumn id="5" xr3:uid="{A412A43A-A3F4-4543-A8C9-924446F1FCC8}" uniqueName="5" name="VERSIÓN" queryTableFieldId="5" dataDxfId="161"/>
    <tableColumn id="6" xr3:uid="{87D6A465-50EF-4449-8458-71E62D1DE814}" uniqueName="6" name="HORAS CALENDARIO TECNICOS LABORADOS PARA PERSONA CON RENDIMIENTO AL 100%" queryTableFieldId="6"/>
    <tableColumn id="7" xr3:uid="{3D621A8C-29B2-4381-B8C6-0C2CD8F5B8E4}" uniqueName="7" name="HORAS CALENDARIO EN REUNIONES CON CLIENTES PARA PERSONA CON RENDIMIENTO AL 100%" queryTableFieldId="7"/>
    <tableColumn id="8" xr3:uid="{A5A1AE7D-6C90-4B53-920C-3048FF9A20C7}" uniqueName="8" name="TOTAL" queryTableFieldId="8"/>
    <tableColumn id="9" xr3:uid="{E07957F3-73BE-45D6-8375-18329A0554B9}" uniqueName="9" name="HORAS ADICIONALES" queryTableFieldId="9"/>
    <tableColumn id="10" xr3:uid="{601CDAE1-F2F8-451E-BCB6-BE8A83A96A99}" uniqueName="10" name="TOTAL HORAS RESTANTES" queryTableFieldId="10"/>
    <tableColumn id="11" xr3:uid="{0060DEC5-B1FD-4F33-9433-389A46EB5D93}" uniqueName="11" name="Column11" queryTableFieldId="1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72ACC7-04DB-4020-B5AC-D24C593C5C48}" name="MH_ONC2_0725_SAN_ANTONIO_PEDRO" displayName="MH_ONC2_0725_SAN_ANTONIO_PEDRO" ref="A1:K17" tableType="queryTable" totalsRowShown="0">
  <autoFilter ref="A1:K17" xr:uid="{E272ACC7-04DB-4020-B5AC-D24C593C5C48}"/>
  <tableColumns count="11">
    <tableColumn id="1" xr3:uid="{A699BD05-1685-4B3D-825D-866BBD2C6FD3}" uniqueName="1" name="NOMBRE DE PROYECTO" queryTableFieldId="1" dataDxfId="160"/>
    <tableColumn id="2" xr3:uid="{AADC4A4F-D5E5-4E57-8012-8920F15E44E2}" uniqueName="2" name="TIPO DE EXPEDIENTE" queryTableFieldId="2" dataDxfId="159"/>
    <tableColumn id="3" xr3:uid="{3E7EC0D0-ED3B-4456-9710-DB6A4E454DD0}" uniqueName="3" name="ESPECIALIDAD" queryTableFieldId="3" dataDxfId="158"/>
    <tableColumn id="4" xr3:uid="{C82C23C8-EC6B-4522-915F-BEFC1B8AEC1D}" uniqueName="4" name="PARTIDA" queryTableFieldId="4" dataDxfId="157"/>
    <tableColumn id="5" xr3:uid="{E1BC260C-7EE5-4F19-AC87-F9FAEDC5241D}" uniqueName="5" name="VERSIÓN" queryTableFieldId="5" dataDxfId="156"/>
    <tableColumn id="6" xr3:uid="{CA010A52-8F8F-40E7-A308-6AF93A08C0FA}" uniqueName="6" name="HORAS CALENDARIO TECNICOS LABORADOS PARA PERSONA CON RENDIMIENTO AL 100%" queryTableFieldId="6"/>
    <tableColumn id="7" xr3:uid="{C661480C-3565-463D-9D14-D44F53A86385}" uniqueName="7" name="HORAS CALENDARIO EN REUNIONES CON CLIENTES PARA PERSONA CON RENDIMIENTO AL 100%" queryTableFieldId="7"/>
    <tableColumn id="8" xr3:uid="{91DCC101-3541-43F2-86DF-C9B96C5A77F3}" uniqueName="8" name="TOTAL" queryTableFieldId="8"/>
    <tableColumn id="10" xr3:uid="{5B9CFC47-9E20-475E-88F5-0A325E344C9B}" uniqueName="10" name="HORAS ADICIONALES" queryTableFieldId="11"/>
    <tableColumn id="9" xr3:uid="{E850C20C-9575-448E-860D-0F449B611F14}" uniqueName="9" name="TOTAL HORAS RESTANTES" queryTableFieldId="9"/>
    <tableColumn id="11" xr3:uid="{82D0271B-E1E2-4DDC-9B6C-852DD1964963}" uniqueName="11" name="Column11" queryTableFieldId="1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001DF51-ED0E-43C3-B87E-C74DB634C8A7}" name="MH_LNM5___San_Miguel___Ing__Mar" displayName="MH_LNM5___San_Miguel___Ing__Mar" ref="A1:K3" tableType="queryTable" totalsRowShown="0">
  <autoFilter ref="A1:K3" xr:uid="{D001DF51-ED0E-43C3-B87E-C74DB634C8A7}"/>
  <tableColumns count="11">
    <tableColumn id="1" xr3:uid="{1CDACF3C-85EA-4550-B05C-59550A8D9742}" uniqueName="1" name="NOMBRE DE PROYECTO" queryTableFieldId="1" dataDxfId="155"/>
    <tableColumn id="2" xr3:uid="{2399120D-84D4-498E-AD80-303CDC0859A6}" uniqueName="2" name="TIPO DE EXPEDIENTE" queryTableFieldId="2" dataDxfId="154"/>
    <tableColumn id="3" xr3:uid="{DD83FCA0-4173-4034-8447-2361534E833F}" uniqueName="3" name="ESPECIALIDAD" queryTableFieldId="3" dataDxfId="153"/>
    <tableColumn id="4" xr3:uid="{ED34DFE2-AB57-46DC-922B-2B3DC3CCA471}" uniqueName="4" name="PARTIDA" queryTableFieldId="4" dataDxfId="152"/>
    <tableColumn id="5" xr3:uid="{671A16C2-E6DE-44B9-810B-97882C887B11}" uniqueName="5" name="VERSIÓN" queryTableFieldId="5" dataDxfId="151"/>
    <tableColumn id="6" xr3:uid="{CBC277B8-F123-4BF0-8F02-A24F319B98A8}" uniqueName="6" name="HORAS CALENDARIO TECNICOS LABORADOS PARA PERSONA CON RENDIMIENTO AL 100%" queryTableFieldId="6"/>
    <tableColumn id="7" xr3:uid="{EC09535D-A2D6-4741-AAEE-EB917DC9A5CA}" uniqueName="7" name="HORAS CALENDARIO EN REUNIONES CON CLIENTES PARA PERSONA CON RENDIMIENTO AL 100%" queryTableFieldId="7"/>
    <tableColumn id="8" xr3:uid="{58AC595A-6A7C-4359-8D0E-F83A0AE56D8A}" uniqueName="8" name="TOTAL" queryTableFieldId="8"/>
    <tableColumn id="9" xr3:uid="{6FB9DAA6-F4AE-4B1A-BD6E-92D5CEFB43BC}" uniqueName="9" name="HORAS ADICIONALES" queryTableFieldId="9"/>
    <tableColumn id="10" xr3:uid="{2921E44E-3F27-4E54-BF6B-10A86411F1DF}" uniqueName="10" name="TOTAL HORAS RESTANTES" queryTableFieldId="10"/>
    <tableColumn id="11" xr3:uid="{35C9BBE1-8C5A-44E6-B1AB-388DB8A52924}" uniqueName="11" name="Column11" queryTableFieldId="1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05ED7DA-5E3A-459C-A8CB-70A48508AE10}" name="MH_ORX5_1125_Surquillo_LuzSuare" displayName="MH_ORX5_1125_Surquillo_LuzSuare" ref="A1:K39" tableType="queryTable" totalsRowShown="0">
  <autoFilter ref="A1:K39" xr:uid="{905ED7DA-5E3A-459C-A8CB-70A48508AE10}"/>
  <tableColumns count="11">
    <tableColumn id="1" xr3:uid="{6B35AC38-3EE4-4425-8BF9-FC4A6DE639ED}" uniqueName="1" name="NOMBRE DE PROYECTO" queryTableFieldId="1" dataDxfId="150"/>
    <tableColumn id="2" xr3:uid="{81283487-3C3B-4219-B0F1-4C2363609750}" uniqueName="2" name="TIPO DE EXPEDIENTE" queryTableFieldId="2" dataDxfId="149"/>
    <tableColumn id="3" xr3:uid="{7401EDB1-96B7-4E40-9A39-FDF89E4F3275}" uniqueName="3" name="ESPECIALIDAD" queryTableFieldId="3" dataDxfId="148"/>
    <tableColumn id="4" xr3:uid="{73031132-6D6D-43C4-AE72-1986E5A60350}" uniqueName="4" name="PARTIDA" queryTableFieldId="4" dataDxfId="147"/>
    <tableColumn id="5" xr3:uid="{9DAF9810-DA95-4837-BBC3-C78B233863C7}" uniqueName="5" name="VERSIÓN" queryTableFieldId="5" dataDxfId="146"/>
    <tableColumn id="6" xr3:uid="{B0B827BE-0922-4FA8-A90A-BAEAAC218850}" uniqueName="6" name="HORAS CALENDARIO TECNICOS LABORADOS PARA PERSONA CON RENDIMIENTO AL 100%" queryTableFieldId="6"/>
    <tableColumn id="7" xr3:uid="{3426A3F3-2606-4ABC-958D-89C245A97904}" uniqueName="7" name="HORAS CALENDARIO EN REUNIONES CON CLIENTES PARA PERSONA CON RENDIMIENTO AL 100%" queryTableFieldId="7"/>
    <tableColumn id="8" xr3:uid="{C2F05277-B759-420E-AAF8-07A53D67AE45}" uniqueName="8" name="TOTAL" queryTableFieldId="8"/>
    <tableColumn id="9" xr3:uid="{549B86F2-418B-46F6-9941-785DF1779306}" uniqueName="9" name="HORAS ADICIONALES" queryTableFieldId="9"/>
    <tableColumn id="10" xr3:uid="{AE36E66A-B547-41BA-AA0D-228C4B38DB15}" uniqueName="10" name="TOTAL HORAS RESTANTES" queryTableFieldId="10"/>
    <tableColumn id="11" xr3:uid="{00AFAFB0-1535-4453-832D-6C693EA03C5E}" uniqueName="11" name="Column11" queryTableFieldId="1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89C8FD8-BA33-4F28-8FB9-151EA46DDDE0}" name="MH_LNM5_1025_Callao_CarlosCelis" displayName="MH_LNM5_1025_Callao_CarlosCelis" ref="A1:K24" tableType="queryTable" totalsRowShown="0">
  <autoFilter ref="A1:K24" xr:uid="{489C8FD8-BA33-4F28-8FB9-151EA46DDDE0}"/>
  <tableColumns count="11">
    <tableColumn id="1" xr3:uid="{C60FCB4D-0943-49DD-88D6-A6905E211875}" uniqueName="1" name="NOMBRE DE PROYECTO" queryTableFieldId="1" dataDxfId="145"/>
    <tableColumn id="2" xr3:uid="{43653F0A-77E2-417C-9343-840CE0750EB4}" uniqueName="2" name="TIPO DE EXPEDIENTE" queryTableFieldId="2" dataDxfId="144"/>
    <tableColumn id="3" xr3:uid="{9566908A-7046-444C-83A0-7D8DBB826BAA}" uniqueName="3" name="ESPECIALIDAD" queryTableFieldId="3" dataDxfId="143"/>
    <tableColumn id="4" xr3:uid="{153CEC82-3F55-4E53-BC70-035A650356FB}" uniqueName="4" name="PARTIDA" queryTableFieldId="4" dataDxfId="142"/>
    <tableColumn id="5" xr3:uid="{AFAFFC8C-0A80-49C7-A1E1-1E330592A6FE}" uniqueName="5" name="VERSIÓN" queryTableFieldId="5" dataDxfId="141"/>
    <tableColumn id="6" xr3:uid="{CEE66B9F-95AB-4020-9ED6-B69EF351C490}" uniqueName="6" name="HORAS CALENDARIO TECNICOS LABORADOS PARA PERSONA CON RENDIMIENTO AL 100%" queryTableFieldId="6"/>
    <tableColumn id="7" xr3:uid="{71A81DD3-DDF5-4FE1-946C-18F1B7DB8CB9}" uniqueName="7" name="HORAS CALENDARIO EN REUNIONES CON CLIENTES PARA PERSONA CON RENDIMIENTO AL 100%" queryTableFieldId="7"/>
    <tableColumn id="8" xr3:uid="{B9BDA9BB-D976-4FB5-85D2-1137D3F1F569}" uniqueName="8" name="TOTAL" queryTableFieldId="8"/>
    <tableColumn id="9" xr3:uid="{7AB79EA5-6BFC-43DF-9DFC-381194F1A141}" uniqueName="9" name="HORAS ADICIONALES" queryTableFieldId="9"/>
    <tableColumn id="10" xr3:uid="{E984D917-C408-4FE7-87B5-FC1F4B8951EF}" uniqueName="10" name="TOTAL HORAS RESTANTES" queryTableFieldId="10"/>
    <tableColumn id="11" xr3:uid="{5FF51AFA-BDE9-404D-90B2-82679CB87641}" uniqueName="11" name="Column11" queryTableFieldId="1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7A6E24-89B1-4E3A-9659-4F284405D74D}" name="MH_LNM5_0925_CHORRILLOS_TAFUR" displayName="MH_LNM5_0925_CHORRILLOS_TAFUR" ref="A1:K14" tableType="queryTable" totalsRowShown="0">
  <autoFilter ref="A1:K14" xr:uid="{807A6E24-89B1-4E3A-9659-4F284405D74D}"/>
  <tableColumns count="11">
    <tableColumn id="1" xr3:uid="{498EF167-692F-41D8-88A2-40B34E16D1C2}" uniqueName="1" name="NOMBRE DE PROYECTO" queryTableFieldId="1" dataDxfId="140"/>
    <tableColumn id="2" xr3:uid="{8979EAE0-89AC-4B53-8EAB-ACAB1F0D0100}" uniqueName="2" name="TIPO DE EXPEDIENTE" queryTableFieldId="2" dataDxfId="139"/>
    <tableColumn id="3" xr3:uid="{7C0027C4-34D1-4E22-9DB5-06389E608949}" uniqueName="3" name="ESPECIALIDAD" queryTableFieldId="3" dataDxfId="138"/>
    <tableColumn id="4" xr3:uid="{11221D53-EAFD-490E-BDBC-10E669B0BB3B}" uniqueName="4" name="PARTIDA" queryTableFieldId="4" dataDxfId="137"/>
    <tableColumn id="5" xr3:uid="{2F75D661-63B2-45A5-9CA7-8A3C7D85B68A}" uniqueName="5" name="VERSIÓN" queryTableFieldId="5" dataDxfId="136"/>
    <tableColumn id="6" xr3:uid="{61FF9086-61ED-4AD5-94C6-E5C7F5671182}" uniqueName="6" name="HORAS CALENDARIO TECNICOS LABORADOS PARA PERSONA CON RENDIMIENTO AL 100%" queryTableFieldId="6"/>
    <tableColumn id="7" xr3:uid="{C95E4962-F2AE-4BC6-A449-DA940765CB9E}" uniqueName="7" name="HORAS CALENDARIO EN REUNIONES CON CLIENTES PARA PERSONA CON RENDIMIENTO AL 100%" queryTableFieldId="7"/>
    <tableColumn id="8" xr3:uid="{ECC26D8A-1129-40A9-937E-109B30A8771C}" uniqueName="8" name="TOTAL" queryTableFieldId="8"/>
    <tableColumn id="9" xr3:uid="{0423BA31-F1B0-4F1A-B72E-DF33C27A2516}" uniqueName="9" name="HORAS ADCIONALES" queryTableFieldId="9"/>
    <tableColumn id="10" xr3:uid="{E59B1187-9355-43AD-BBB1-F8558E170132}" uniqueName="10" name="TOTAL HORAS RESTANTES" queryTableFieldId="10"/>
    <tableColumn id="11" xr3:uid="{0F2BD396-3E33-4EF2-8411-3FDC3BDE2454}" uniqueName="11" name="Column11" queryTableFieldId="1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C53065E-1643-4CDA-B1EC-CE86A9C4C54A}" name="MH_Punto_Marisco_Surquillo_TAFU" displayName="MH_Punto_Marisco_Surquillo_TAFU" ref="A1:H5" totalsRowShown="0">
  <autoFilter ref="A1:H5" xr:uid="{5C53065E-1643-4CDA-B1EC-CE86A9C4C54A}">
    <filterColumn colId="4">
      <filters>
        <filter val="V 2.1 - ENTREGA TÉCNICA FINAL A REVISORES"/>
      </filters>
    </filterColumn>
  </autoFilter>
  <tableColumns count="8">
    <tableColumn id="1" xr3:uid="{2FD56EBD-DFBE-49DE-9B6A-8C7C087B457C}" name="NOMBRE DE PROYECTO" dataDxfId="135"/>
    <tableColumn id="2" xr3:uid="{18E7F6C4-EAA1-4323-80F8-3B705EF2C9C5}" name="TIPO DE EXPEDIENTE" dataDxfId="134"/>
    <tableColumn id="3" xr3:uid="{AD84B77F-EAA2-422C-A69E-992A6AB99445}" name="ESPECIALIDAD" dataDxfId="133"/>
    <tableColumn id="4" xr3:uid="{062D7FF3-637A-4E99-A08A-92F6C25B59F0}" name="PARTIDA" dataDxfId="132"/>
    <tableColumn id="5" xr3:uid="{241030D7-9C28-40BB-9D36-5198915B2442}" name="VERSIÓN" dataDxfId="131"/>
    <tableColumn id="6" xr3:uid="{6AEF7BC3-7109-4800-AAD4-9F25B613CE64}" name="HORAS CALENDARIO TECNICOS LABORADOS PARA PERSONA CON RENDIMIENTO AL 100%"/>
    <tableColumn id="7" xr3:uid="{CF78FE19-27FE-47EB-BCB1-BAB8774AC5F0}" name="HORAS CALENDARIO EN REUNIONES CON CLIENTES PARA PERSONA CON RENDIMIENTO AL 100%"/>
    <tableColumn id="8" xr3:uid="{75928387-0C25-4CF7-BE19-7F904FBC7243}" name="TOTAL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EA6766A-C120-41E8-960C-B2729FED7104}" name="MH_LNM11_0925_PUEBLO_LIBRE_TAF" displayName="MH_LNM11_0925_PUEBLO_LIBRE_TAF" ref="A1:K8" tableType="queryTable" totalsRowShown="0">
  <autoFilter ref="A1:K8" xr:uid="{BEA6766A-C120-41E8-960C-B2729FED7104}"/>
  <tableColumns count="11">
    <tableColumn id="1" xr3:uid="{C043AA85-05CF-4D63-BD69-ECACD9BD8660}" uniqueName="1" name="NOMBRE DE PROYECTO" queryTableFieldId="1" dataDxfId="130"/>
    <tableColumn id="2" xr3:uid="{09129820-4BFF-4AB0-A851-5D02F23D5240}" uniqueName="2" name="TIPO DE EXPEDIENTE" queryTableFieldId="2" dataDxfId="129"/>
    <tableColumn id="3" xr3:uid="{CD684CCC-51F7-488B-A2A7-BC9566531B00}" uniqueName="3" name="ESPECIALIDAD" queryTableFieldId="3" dataDxfId="128"/>
    <tableColumn id="4" xr3:uid="{60979354-006C-4F3F-ADA3-07C81881CB4F}" uniqueName="4" name="PARTIDA" queryTableFieldId="4" dataDxfId="127"/>
    <tableColumn id="5" xr3:uid="{B5BD3C86-437B-48B5-AA73-DE96762BD707}" uniqueName="5" name="VERSIÓN" queryTableFieldId="5" dataDxfId="126"/>
    <tableColumn id="6" xr3:uid="{A1C2A007-7EE4-4F2D-8550-BD2BD0340879}" uniqueName="6" name="HORAS CALENDARIO TECNICOS LABORADOS PARA PERSONA CON RENDIMIENTO AL 100%" queryTableFieldId="6"/>
    <tableColumn id="7" xr3:uid="{0E7AA03E-1674-4A23-920B-E7056372644E}" uniqueName="7" name="HORAS CALENDARIO EN REUNIONES CON CLIENTES PARA PERSONA CON RENDIMIENTO AL 100%" queryTableFieldId="7"/>
    <tableColumn id="8" xr3:uid="{09E503D2-11D5-4B94-8183-E6F94E6845B2}" uniqueName="8" name="TOTAL" queryTableFieldId="8"/>
    <tableColumn id="9" xr3:uid="{CCD475BD-39B9-4455-A59F-0BA044F48342}" uniqueName="9" name="HORAS ADICIONALES" queryTableFieldId="9"/>
    <tableColumn id="10" xr3:uid="{701F441E-9D60-47E0-A7A8-292B0722E92C}" uniqueName="10" name="TOTAL HORAS RESTANTES" queryTableFieldId="10"/>
    <tableColumn id="11" xr3:uid="{4ABA8006-8FC7-4095-BEB7-2AB38AB37F50}" uniqueName="11" name="Column11" queryTableFieldId="1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2A7E45-7181-4544-8810-AF3C3C1B7146}" name="MH_METRADO_0525___SAN_ISIDROCEL" displayName="MH_METRADO_0525___SAN_ISIDROCEL" ref="A1:K3" tableType="queryTable" totalsRowShown="0">
  <autoFilter ref="A1:K3" xr:uid="{D22A7E45-7181-4544-8810-AF3C3C1B7146}"/>
  <tableColumns count="11">
    <tableColumn id="1" xr3:uid="{7128CE16-D943-47FD-BCBC-E55BCD39D194}" uniqueName="1" name="NOMBRE DE PROYECTO" queryTableFieldId="1" dataDxfId="125"/>
    <tableColumn id="2" xr3:uid="{AB1AB5C4-26AE-41CB-AEBF-24AF9288D82A}" uniqueName="2" name="TIPO DE EXPEDIENTE" queryTableFieldId="2" dataDxfId="124"/>
    <tableColumn id="3" xr3:uid="{31A9FB4E-CC1D-4E34-82E2-354815DCED59}" uniqueName="3" name="ESPECIALIDAD" queryTableFieldId="3" dataDxfId="123"/>
    <tableColumn id="4" xr3:uid="{04FA3775-230B-4104-ADFC-BF3F0795C036}" uniqueName="4" name="PARTIDA" queryTableFieldId="4" dataDxfId="122"/>
    <tableColumn id="5" xr3:uid="{114EF4E6-92C9-461A-9672-069DDEDEC3E4}" uniqueName="5" name="VERSIÓN" queryTableFieldId="5" dataDxfId="121"/>
    <tableColumn id="6" xr3:uid="{1578437F-F185-4EB3-9D0B-4670152EC97C}" uniqueName="6" name="HORAS CALENDARIO TECNICOS LABORADOS PARA PERSONA CON RENDIMIENTO AL 100%" queryTableFieldId="6"/>
    <tableColumn id="7" xr3:uid="{3632BFDE-45AC-4038-9B85-7FAD600E03E6}" uniqueName="7" name="HORAS CALENDARIO EN REUNIONES CON CLIENTES PARA PERSONA CON RENDIMIENTO AL 100%" queryTableFieldId="7"/>
    <tableColumn id="8" xr3:uid="{6A3CE110-33E5-4A53-A44D-40861E31C417}" uniqueName="8" name="TOTAL" queryTableFieldId="8"/>
    <tableColumn id="9" xr3:uid="{03CB5DCC-CD1B-412D-9274-F3BE942ED747}" uniqueName="9" name="HORAS ADICIONALES" queryTableFieldId="9"/>
    <tableColumn id="10" xr3:uid="{BD85DF2D-CA69-40D2-A88B-F5E12FFF5587}" uniqueName="10" name="TOTAL HORAS RESTANTES" queryTableFieldId="10"/>
    <tableColumn id="11" xr3:uid="{558C59DC-7F59-4887-927E-0EEE9BB7EE4E}" uniqueName="11" name="Column11" queryTableFieldId="11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17244D-AC58-41AB-92E8-A4D82581EF44}" name="MH_METRADO___1225__RIOJA__MAYUL" displayName="MH_METRADO___1225__RIOJA__MAYUL" ref="A1:H3" totalsRowShown="0">
  <autoFilter ref="A1:H3" xr:uid="{7F17244D-AC58-41AB-92E8-A4D82581EF44}"/>
  <tableColumns count="8">
    <tableColumn id="1" xr3:uid="{447B7ED6-6952-44EC-9711-432029DB0DD3}" name="NOMBRE DE PROYECTO" dataDxfId="120"/>
    <tableColumn id="2" xr3:uid="{1F56E6AF-3A9E-40DE-B014-3E055A2FC7B3}" name="TIPO DE EXPEDIENTE" dataDxfId="119"/>
    <tableColumn id="3" xr3:uid="{73E3CE5A-C5A5-41AB-91B9-4BECF24DEE03}" name="ESPECIALIDAD" dataDxfId="118"/>
    <tableColumn id="4" xr3:uid="{EBAC33B1-2336-4271-B9F3-F4480C04CB72}" name="PARTIDA" dataDxfId="117"/>
    <tableColumn id="5" xr3:uid="{C2044CFD-7C98-4015-AF86-1D2E05DE367D}" name="VERSIÓN" dataDxfId="116"/>
    <tableColumn id="6" xr3:uid="{7BC34CE3-E3F4-4529-9FEC-D1134E8501F6}" name="HORAS CALENDARIO TECNICOS LABORADOS PARA PERSONA CON RENDIMIENTO AL 100%"/>
    <tableColumn id="7" xr3:uid="{4FF1915C-EE69-4912-94AE-93B8B3D2EE1D}" name="HORAS CALENDARIO EN REUNIONES CON CLIENTES PARA PERSONA CON RENDIMIENTO AL 100%"/>
    <tableColumn id="8" xr3:uid="{E7317F9B-65C3-44F0-989C-0C2AA8184650}" name="TOTAL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F88447B-56D5-43B2-A33E-38F1E4415594}" name="MH_ONM6_0126_ChorrillosMatellin" displayName="MH_ONM6_0126_ChorrillosMatellin" ref="A1:H43" totalsRowShown="0">
  <autoFilter ref="A1:H43" xr:uid="{BF88447B-56D5-43B2-A33E-38F1E4415594}"/>
  <tableColumns count="8">
    <tableColumn id="1" xr3:uid="{7476E47C-380D-4B94-8C8F-14D580B1AA0F}" name="NOMBRE DE PROYECTO" dataDxfId="115"/>
    <tableColumn id="2" xr3:uid="{3F537DCC-ECD3-4365-8DD8-631834E98B3C}" name="TIPO DE EXPEDIENTE" dataDxfId="114"/>
    <tableColumn id="3" xr3:uid="{2257FA66-B722-467F-874A-A02E8C5724E1}" name="ESPECIALIDAD" dataDxfId="113"/>
    <tableColumn id="4" xr3:uid="{5F214128-669F-4105-8153-16D43D9EE6F5}" name="PARTIDA" dataDxfId="112"/>
    <tableColumn id="5" xr3:uid="{4318A392-7E2C-47F4-8ADE-4594606F95B3}" name="VERSIÓN" dataDxfId="111"/>
    <tableColumn id="6" xr3:uid="{352DF869-D125-4BA0-A0EF-79F53A6B2BAA}" name="HORAS CALENDARIO TECNICOS LABORADOS PARA PERSONA CON RENDIMIENTO AL 100%"/>
    <tableColumn id="7" xr3:uid="{09D91327-6BCC-4946-A0B7-B6137CE635BC}" name="HORAS CALENDARIO EN REUNIONES CON CLIENTES PARA PERSONA CON RENDIMIENTO AL 100%"/>
    <tableColumn id="8" xr3:uid="{390F0AE3-686A-4994-B02B-255603E419A0}" name="TOTAL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64DC259-83C4-4C85-83EF-2603FEDDEB34}" name="MH_LNM5_0126_ChorrilosMatellini" displayName="MH_LNM5_0126_ChorrilosMatellini" ref="A1:K85" tableType="queryTable" totalsRowShown="0">
  <autoFilter ref="A1:K85" xr:uid="{464DC259-83C4-4C85-83EF-2603FEDDEB34}"/>
  <tableColumns count="11">
    <tableColumn id="1" xr3:uid="{A10DE948-E656-42CE-8397-093E9C5F581D}" uniqueName="1" name="NOMBRE DE PROYECTO" queryTableFieldId="1" dataDxfId="110"/>
    <tableColumn id="2" xr3:uid="{8BED3713-76BA-4B57-885D-D9A1CA5AEB6F}" uniqueName="2" name="TIPO DE EXPEDIENTE" queryTableFieldId="2" dataDxfId="109"/>
    <tableColumn id="3" xr3:uid="{6E7F827B-81F6-4504-9813-E31E39ED922D}" uniqueName="3" name="ESPECIALIDAD" queryTableFieldId="3" dataDxfId="108"/>
    <tableColumn id="4" xr3:uid="{18652CE5-335C-46D8-9415-87C0CD3C36C5}" uniqueName="4" name="PARTIDA" queryTableFieldId="4" dataDxfId="107"/>
    <tableColumn id="5" xr3:uid="{93DABAF9-BB6B-4FE3-81D1-05A0298198F0}" uniqueName="5" name="VERSIÓN" queryTableFieldId="5" dataDxfId="106"/>
    <tableColumn id="6" xr3:uid="{F3DA48E7-9BBF-4B95-92D7-517B7003F2B0}" uniqueName="6" name="HORAS CALENDARIO TECNICOS LABORADOS PARA PERSONA CON RENDIMIENTO AL 100%" queryTableFieldId="6"/>
    <tableColumn id="7" xr3:uid="{2178B376-4B15-471A-8833-1EDB2661B189}" uniqueName="7" name="HORAS CALENDARIO EN REUNIONES CON CLIENTES PARA PERSONA CON RENDIMIENTO AL 100%" queryTableFieldId="7"/>
    <tableColumn id="8" xr3:uid="{6A19B83A-03F8-49EE-9DB2-EE7E79BD0D3A}" uniqueName="8" name="TOTAL" queryTableFieldId="8"/>
    <tableColumn id="9" xr3:uid="{D4D1992D-0C5F-40CF-8FC7-953FC396DFB8}" uniqueName="9" name="HORAS ADICIONALES" queryTableFieldId="9"/>
    <tableColumn id="10" xr3:uid="{BDCCFE67-E80E-4483-8B3C-53747FB9545D}" uniqueName="10" name="TOTAL HORAS RESTANTES" queryTableFieldId="10"/>
    <tableColumn id="11" xr3:uid="{B5801AF9-5954-45C1-A265-DD73C12F12CD}" uniqueName="11" name="Column11" queryTableFieldId="11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208D9BE-877E-4792-B2D5-4731D8309EE8}" name="MH_LAM4__1225_San_Miguel_Antoni" displayName="MH_LAM4__1225_San_Miguel_Antoni" ref="A1:K23" tableType="queryTable" totalsRowShown="0">
  <autoFilter ref="A1:K23" xr:uid="{3208D9BE-877E-4792-B2D5-4731D8309EE8}"/>
  <tableColumns count="11">
    <tableColumn id="1" xr3:uid="{D04A52B7-F48C-4626-906E-59116EC8F051}" uniqueName="1" name="NOMBRE DE PROYECTO" queryTableFieldId="1" dataDxfId="105"/>
    <tableColumn id="2" xr3:uid="{2743DF77-EE30-41B8-9A71-39ABF178080A}" uniqueName="2" name="TIPO DE EXPEDIENTE" queryTableFieldId="2" dataDxfId="104"/>
    <tableColumn id="3" xr3:uid="{01897891-D31A-47F1-954B-DECD8E0039A8}" uniqueName="3" name="ESPECIALIDAD" queryTableFieldId="3" dataDxfId="103"/>
    <tableColumn id="4" xr3:uid="{E43C1717-0031-466A-AC79-86234446C98C}" uniqueName="4" name="PARTIDA" queryTableFieldId="4" dataDxfId="102"/>
    <tableColumn id="5" xr3:uid="{59DB9564-4B74-4BCF-8747-82F5F5FAB4FC}" uniqueName="5" name="VERSIÓN" queryTableFieldId="5" dataDxfId="101"/>
    <tableColumn id="6" xr3:uid="{108940C1-D35A-4F6F-A825-E9924328A1B7}" uniqueName="6" name="HORAS CALENDARIO TECNICOS LABORADOS PARA PERSONA CON RENDIMIENTO AL 100%" queryTableFieldId="6"/>
    <tableColumn id="7" xr3:uid="{1C25F820-5F7C-44C7-A32C-6A62911B0246}" uniqueName="7" name="HORAS CALENDARIO EN REUNIONES CON CLIENTES PARA PERSONA CON RENDIMIENTO AL 100%" queryTableFieldId="7"/>
    <tableColumn id="8" xr3:uid="{A125A48F-6302-41DA-A810-68B2C09C0C22}" uniqueName="8" name="TOTAL" queryTableFieldId="8"/>
    <tableColumn id="9" xr3:uid="{1BEFD16B-E489-46FA-BC7B-DDFF8EEABABE}" uniqueName="9" name="HORAS ADCIONALES" queryTableFieldId="9"/>
    <tableColumn id="10" xr3:uid="{313656F5-5F80-48BE-B165-2465AEC7C38D}" uniqueName="10" name="TOTAL HORAS RESTANTES" queryTableFieldId="10"/>
    <tableColumn id="11" xr3:uid="{F242E812-7612-4433-802A-F42EA38E314F}" uniqueName="11" name="Column11" queryTableFieldId="11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F23AFC2-B447-4E2C-B359-0D37848165B9}" name="MH_LNM10_0425_San_Bartolo_Tafur" displayName="MH_LNM10_0425_San_Bartolo_Tafur" ref="A1:K12" tableType="queryTable" totalsRowShown="0">
  <autoFilter ref="A1:K12" xr:uid="{6F23AFC2-B447-4E2C-B359-0D37848165B9}"/>
  <tableColumns count="11">
    <tableColumn id="1" xr3:uid="{C3CA4C1D-A337-4457-A505-5391212AD31F}" uniqueName="1" name="NOMBRE DE PROYECTO" queryTableFieldId="1" dataDxfId="100"/>
    <tableColumn id="2" xr3:uid="{885E2D92-15F1-4D94-85E2-7EAA4F1C581F}" uniqueName="2" name="TIPO DE EXPEDIENTE" queryTableFieldId="2" dataDxfId="99"/>
    <tableColumn id="3" xr3:uid="{20D4A254-9384-41C1-8510-D6795A717C4A}" uniqueName="3" name="ESPECIALIDAD" queryTableFieldId="3" dataDxfId="98"/>
    <tableColumn id="4" xr3:uid="{0269C2C7-531E-4BF2-83D6-463EC7CDD29D}" uniqueName="4" name="PARTIDA" queryTableFieldId="4" dataDxfId="97"/>
    <tableColumn id="5" xr3:uid="{62567C0F-7D43-4590-B72B-36579112C236}" uniqueName="5" name="VERSIÓN" queryTableFieldId="5" dataDxfId="96"/>
    <tableColumn id="6" xr3:uid="{BA9E4453-83BC-42E9-A575-FE4E2E855202}" uniqueName="6" name="HORAS CALENDARIO TECNICOS LABORADOS PARA PERSONA CON RENDIMIENTO AL 100%" queryTableFieldId="6"/>
    <tableColumn id="7" xr3:uid="{7EC3E87D-C708-4450-AD9F-C8916CB0A1AB}" uniqueName="7" name="HORAS CALENDARIO EN REUNIONES CON CLIENTES PARA PERSONA CON RENDIMIENTO AL 100%" queryTableFieldId="7"/>
    <tableColumn id="8" xr3:uid="{A194939E-D1F0-4EC7-AE22-65DF586CD5D2}" uniqueName="8" name="TOTAL" queryTableFieldId="8"/>
    <tableColumn id="9" xr3:uid="{0CCD2A36-3E1F-4D83-B8B8-5861B3E6D69C}" uniqueName="9" name="HORAS ADCIONALES" queryTableFieldId="9"/>
    <tableColumn id="10" xr3:uid="{B87804A5-DCEE-4AFA-A33E-0AA85B175D37}" uniqueName="10" name="TOTAL HORAS RESTANTES" queryTableFieldId="10"/>
    <tableColumn id="11" xr3:uid="{66F6F490-FE78-438D-9D21-28182C92E283}" uniqueName="11" name="Column11" queryTableFieldId="11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FB1D462-B9E5-4BCE-8412-AEE2300FF8DF}" name="MH_ESTRU_ONM7___SMP___Remo_Mele" displayName="MH_ESTRU_ONM7___SMP___Remo_Mele" ref="A1:K48" tableType="queryTable" totalsRowShown="0">
  <autoFilter ref="A1:K48" xr:uid="{2FB1D462-B9E5-4BCE-8412-AEE2300FF8DF}"/>
  <tableColumns count="11">
    <tableColumn id="1" xr3:uid="{ABA9C097-A61C-4CB6-BEB8-113AE797F71D}" uniqueName="1" name="NOMBRE DE PROYECTO" queryTableFieldId="1" dataDxfId="95"/>
    <tableColumn id="2" xr3:uid="{54C53354-13F5-49D8-9632-891CC1525DBE}" uniqueName="2" name="TIPO DE EXPEDIENTE" queryTableFieldId="2" dataDxfId="94"/>
    <tableColumn id="3" xr3:uid="{7750A388-9F9D-4743-8710-94ADCAABEB9F}" uniqueName="3" name="ESPECIALIDAD" queryTableFieldId="3" dataDxfId="93"/>
    <tableColumn id="4" xr3:uid="{ECFCFD1E-B99B-4579-B2C7-9A1A3B701ADF}" uniqueName="4" name="PARTIDA" queryTableFieldId="4" dataDxfId="92"/>
    <tableColumn id="5" xr3:uid="{BFEFB89C-368C-483D-B65F-1245B025E4E8}" uniqueName="5" name="VERSIÓN" queryTableFieldId="5" dataDxfId="91"/>
    <tableColumn id="6" xr3:uid="{F91BC136-13A3-46CE-9C5D-2699217E9B3C}" uniqueName="6" name="HORAS CALENDARIO TECNICOS LABORADOS PARA PERSONA CON RENDIMIENTO AL 100%" queryTableFieldId="6"/>
    <tableColumn id="7" xr3:uid="{F1660548-978A-45ED-A7EF-56BD84EA3A72}" uniqueName="7" name="HORAS CALENDARIO EN REUNIONES CON CLIENTES PARA PERSONA CON RENDIMIENTO AL 100%" queryTableFieldId="7"/>
    <tableColumn id="8" xr3:uid="{1E5C19CF-FB54-4AC8-9BBA-2B75B462C195}" uniqueName="8" name="TOTAL" queryTableFieldId="8"/>
    <tableColumn id="9" xr3:uid="{C0269CBF-0D9D-4A2A-9C7D-DF1C9216E309}" uniqueName="9" name="HORAS ADCIONALES" queryTableFieldId="9"/>
    <tableColumn id="10" xr3:uid="{15096EBD-A62B-44EE-BC9C-ECACAD0A414F}" uniqueName="10" name="TOTAL HORAS RESTANTES" queryTableFieldId="10"/>
    <tableColumn id="11" xr3:uid="{9EE1122B-9A89-45A3-9F27-10B7B307A028}" uniqueName="11" name="Column11" queryTableFieldId="11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C9F6743-80E9-4DFC-B951-63FD5E257F1D}" name="MP_OAM4__0226__ATE__Maria" displayName="MP_OAM4__0226__ATE__Maria" ref="A1:K43" tableType="queryTable" totalsRowShown="0">
  <autoFilter ref="A1:K43" xr:uid="{5C9F6743-80E9-4DFC-B951-63FD5E257F1D}"/>
  <tableColumns count="11">
    <tableColumn id="1" xr3:uid="{9CD423DE-F5BE-475A-9E82-7DB49190B3D5}" uniqueName="1" name="NOMBRE DE PROYECTO" queryTableFieldId="1" dataDxfId="90"/>
    <tableColumn id="2" xr3:uid="{2C1787DA-3882-473F-A76A-3575B21AA4A9}" uniqueName="2" name="TIPO DE EXPEDIENTE" queryTableFieldId="2" dataDxfId="89"/>
    <tableColumn id="3" xr3:uid="{DC58C8F4-D7DC-4D95-8173-A54D529402EB}" uniqueName="3" name="ESPECIALIDAD" queryTableFieldId="3" dataDxfId="88"/>
    <tableColumn id="4" xr3:uid="{7646A363-C181-40D9-86EA-B2F9D86C5EAF}" uniqueName="4" name="PARTIDA" queryTableFieldId="4" dataDxfId="87"/>
    <tableColumn id="5" xr3:uid="{7F5D8333-0B50-4C11-8454-A9B6595CA3EC}" uniqueName="5" name="VERSION" queryTableFieldId="5" dataDxfId="86"/>
    <tableColumn id="6" xr3:uid="{1FBCF802-D7C0-4435-851D-003EFE987198}" uniqueName="6" name="HORAS CALENDARIO TECNICOS LABORADOS PARA PERSONA CON RENDIMIENTO AL 100%" queryTableFieldId="6"/>
    <tableColumn id="7" xr3:uid="{7F596422-5565-447A-A94C-2EB770AFA3ED}" uniqueName="7" name="HORAS CALENDARIO EN REUNIONES CON CLIENTES PARA PERSONA CON RENDIMIENTO AL 100%" queryTableFieldId="7"/>
    <tableColumn id="8" xr3:uid="{EA19370F-2279-4CE0-A420-CAA260CC23D3}" uniqueName="8" name="TOTAL" queryTableFieldId="8"/>
    <tableColumn id="9" xr3:uid="{734D5B23-2339-4259-88D8-5AB10BBE6D6C}" uniqueName="9" name="HORAS ADICIONALES" queryTableFieldId="9"/>
    <tableColumn id="10" xr3:uid="{CFED06CD-EFBE-4679-8F03-2A9E2E8B7EC5}" uniqueName="10" name="TOTAL HORAS RESTANTES" queryTableFieldId="10"/>
    <tableColumn id="11" xr3:uid="{371E2BC0-6EEE-420D-BC5E-B12BB3BAC061}" uniqueName="11" name="Column11" queryTableFieldId="11" dataDxfId="85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9AF857B-A3DD-47DC-AC90-A83D825A76E9}" name="MP_LAM4__0226__ATE__Maria" displayName="MP_LAM4__0226__ATE__Maria" ref="A1:K76" tableType="queryTable" totalsRowShown="0">
  <autoFilter ref="A1:K76" xr:uid="{79AF857B-A3DD-47DC-AC90-A83D825A76E9}"/>
  <tableColumns count="11">
    <tableColumn id="1" xr3:uid="{D55E1725-85DC-49D2-B887-B580B844A1A0}" uniqueName="1" name="NOMBRE DE PROYECTO" queryTableFieldId="1" dataDxfId="84"/>
    <tableColumn id="2" xr3:uid="{50D4C830-A852-44E4-86A0-9D34ED03E25C}" uniqueName="2" name="TIPO DE EXPEDIENTE" queryTableFieldId="2" dataDxfId="83"/>
    <tableColumn id="3" xr3:uid="{E52D39C9-6EA4-4DEA-B664-36D041B8E135}" uniqueName="3" name="ESPECIALIDAD" queryTableFieldId="3" dataDxfId="82"/>
    <tableColumn id="4" xr3:uid="{A882D8E0-728D-4B29-84D6-5FBB55EE4B86}" uniqueName="4" name="PARTIDA" queryTableFieldId="4" dataDxfId="81"/>
    <tableColumn id="5" xr3:uid="{69CB3291-26D1-40A7-B390-3BFD5AC12397}" uniqueName="5" name="VERSION" queryTableFieldId="5" dataDxfId="80"/>
    <tableColumn id="6" xr3:uid="{14DD5BB8-B15C-41DA-8B0C-7371853050A5}" uniqueName="6" name="HORAS CALENDARIO TECNICOS LABORADOS PARA PERSONA CON RENDIMIENTO AL 100%" queryTableFieldId="6"/>
    <tableColumn id="7" xr3:uid="{F00F23B8-9199-49CB-B147-06090BF1C634}" uniqueName="7" name="HORAS CALENDARIO EN REUNIONES CON CLIENTES PARA PERSONA CON RENDIMIENTO AL 100%" queryTableFieldId="7"/>
    <tableColumn id="8" xr3:uid="{ACD80C77-CF82-4DAB-9E71-DD66AB2AA3FB}" uniqueName="8" name="TOTAL" queryTableFieldId="8"/>
    <tableColumn id="9" xr3:uid="{78A513C8-C1BB-4A8A-A29B-6DF447D3787F}" uniqueName="9" name="HORAS ADICIONALES" queryTableFieldId="9"/>
    <tableColumn id="10" xr3:uid="{CA2826BA-38A7-4A67-83D7-8CE1D9E7A45F}" uniqueName="10" name="TOTAL HORAS RESTANTES" queryTableFieldId="10"/>
    <tableColumn id="11" xr3:uid="{313256CB-A331-4926-8780-ADCDB01CB659}" uniqueName="11" name="Column11" queryTableFieldId="11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5B1E97F-D826-45FF-A74B-6AA127BECB2A}" name="MP_ONM5_0226__Breña_Ysidro" displayName="MP_ONM5_0226__Breña_Ysidro" ref="A1:K57" tableType="queryTable" totalsRowShown="0">
  <autoFilter ref="A1:K57" xr:uid="{45B1E97F-D826-45FF-A74B-6AA127BECB2A}"/>
  <tableColumns count="11">
    <tableColumn id="1" xr3:uid="{6B6AA19D-8068-4D98-A362-3352AC2BE541}" uniqueName="1" name="NOMBRE DE PROYECTO" queryTableFieldId="1" dataDxfId="79"/>
    <tableColumn id="2" xr3:uid="{F98C344C-7EB0-4F2F-90A0-EAE9559A16FB}" uniqueName="2" name="TIPO DE EXPEDIENTE" queryTableFieldId="2" dataDxfId="78"/>
    <tableColumn id="3" xr3:uid="{47C3AF4D-ED7F-458D-9788-9647C1079FC4}" uniqueName="3" name="ESPECIALIDAD" queryTableFieldId="3" dataDxfId="77"/>
    <tableColumn id="4" xr3:uid="{763A8419-DF3C-44A7-9B46-61E957963F24}" uniqueName="4" name="PARTIDA" queryTableFieldId="4" dataDxfId="76"/>
    <tableColumn id="5" xr3:uid="{F0990150-B67D-4EB2-9FE5-2C176E8902B2}" uniqueName="5" name="VERSION" queryTableFieldId="5" dataDxfId="75"/>
    <tableColumn id="6" xr3:uid="{3DEA8876-4C8D-49AB-AF0E-DD62D990ED70}" uniqueName="6" name="HORAS CALENDARIO TECNICOS LABORADOS PARA PERSONA CON RENDIMIENTO AL 100%" queryTableFieldId="6"/>
    <tableColumn id="7" xr3:uid="{A394448D-03C6-4037-91A4-D47C4C6A00FA}" uniqueName="7" name="HORAS CALENDARIO EN REUNIONES CON CLIENTES PARA PERSONA CON RENDIMIENTO AL 100%" queryTableFieldId="7"/>
    <tableColumn id="8" xr3:uid="{47C0DF69-6476-4314-9D3A-4916C7628C19}" uniqueName="8" name="TOTAL" queryTableFieldId="8"/>
    <tableColumn id="9" xr3:uid="{E4FD7C39-3DD5-483E-B8F8-AA1D934835BB}" uniqueName="9" name="HORAS ADICIONALES" queryTableFieldId="9"/>
    <tableColumn id="10" xr3:uid="{A2430B6F-D67C-423F-8667-8166D4A510B9}" uniqueName="10" name="TOTAL HORAS RESTANTES" queryTableFieldId="10"/>
    <tableColumn id="11" xr3:uid="{67FB5FE0-68D3-455D-9E95-F1678230D490}" uniqueName="11" name="Column11" queryTableFieldId="11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019F181-9201-496E-A428-945600380F5D}" name="MH_ESTRU_LAM5_0226_Surqu_Mirtha" displayName="MH_ESTRU_LAM5_0226_Surqu_Mirtha" ref="A1:K88" tableType="queryTable" totalsRowShown="0">
  <autoFilter ref="A1:K88" xr:uid="{D019F181-9201-496E-A428-945600380F5D}"/>
  <tableColumns count="11">
    <tableColumn id="1" xr3:uid="{2E04CD5C-91C6-4FC2-BDA3-7BBB3D8443C3}" uniqueName="1" name="NOMBRE DE PROYECTO" queryTableFieldId="1" dataDxfId="74"/>
    <tableColumn id="2" xr3:uid="{264B5FFE-245B-4208-9405-51D275406BC3}" uniqueName="2" name="TIPO DE EXPEDIENTE" queryTableFieldId="2" dataDxfId="73"/>
    <tableColumn id="3" xr3:uid="{8B99301A-6CAE-4EB3-8378-63CB2E50C1FF}" uniqueName="3" name="ESPECIALIDAD" queryTableFieldId="3" dataDxfId="72"/>
    <tableColumn id="4" xr3:uid="{386CD60E-3648-4A2A-9D9F-E55A4219A923}" uniqueName="4" name="PARTIDA" queryTableFieldId="4" dataDxfId="71"/>
    <tableColumn id="5" xr3:uid="{04FD1E0D-E2B7-4203-B8D1-0030888DB05D}" uniqueName="5" name="VERSION" queryTableFieldId="5" dataDxfId="70"/>
    <tableColumn id="6" xr3:uid="{3A83D04B-E252-4391-AEE4-596505BFD36C}" uniqueName="6" name="HORAS CALENDARIO TECNICOS LABORADOS PARA PERSONA CON RENDIMIENTO AL 100%" queryTableFieldId="6"/>
    <tableColumn id="7" xr3:uid="{B8928494-85F0-4AF1-A9DF-1541013989E9}" uniqueName="7" name="HORAS CALENDARIO EN REUNIONES CON CLIENTES PARA PERSONA CON RENDIMIENTO AL 100%" queryTableFieldId="7"/>
    <tableColumn id="8" xr3:uid="{1D521C1D-0513-4DD3-BEC2-4BBCABBC5F78}" uniqueName="8" name="TOTAL" queryTableFieldId="8"/>
    <tableColumn id="9" xr3:uid="{6CE79B93-4990-46B0-ACE4-505062E44137}" uniqueName="9" name="HORAS ADICIONALES" queryTableFieldId="9"/>
    <tableColumn id="10" xr3:uid="{F17730A6-8672-4F84-8F5F-9865D5164535}" uniqueName="10" name="TOTAL HORAS RESTANTES" queryTableFieldId="10"/>
    <tableColumn id="11" xr3:uid="{EF36EDE6-C5CC-48F4-B4FE-F1CA7EBE79E3}" uniqueName="11" name="Column11" queryTableFieldId="11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577EC47-14D5-437A-A4F0-5ECFAF9A1136}" name="MH_DF___0226___Surquillo_Mirtha" displayName="MH_DF___0226___Surquillo_Mirtha" ref="A1:K20" tableType="queryTable" totalsRowShown="0">
  <autoFilter ref="A1:K20" xr:uid="{5577EC47-14D5-437A-A4F0-5ECFAF9A1136}"/>
  <tableColumns count="11">
    <tableColumn id="1" xr3:uid="{01D001E5-6055-450C-BFA2-3755846D0793}" uniqueName="1" name="NOMBRE DE PROYECTO" queryTableFieldId="1" dataDxfId="69"/>
    <tableColumn id="2" xr3:uid="{50A55F0D-3866-4DF9-BC1E-DE6F3284981C}" uniqueName="2" name="TIPO DE EXPEDIENTE" queryTableFieldId="2" dataDxfId="68"/>
    <tableColumn id="3" xr3:uid="{C48F688E-B5D4-4D56-991B-8AE7DEA9481F}" uniqueName="3" name="ESPECIALIDAD" queryTableFieldId="3" dataDxfId="67"/>
    <tableColumn id="4" xr3:uid="{37A99A82-D3A2-41FA-AC0F-198D4E614B81}" uniqueName="4" name="PARTIDA" queryTableFieldId="4" dataDxfId="66"/>
    <tableColumn id="5" xr3:uid="{33957BFA-B43B-4A1F-8673-95D8433774FE}" uniqueName="5" name="VERSION" queryTableFieldId="5" dataDxfId="65"/>
    <tableColumn id="6" xr3:uid="{02D9A261-234A-4E37-8B0B-D8F4561F7F30}" uniqueName="6" name="HORAS CALENDARIO TECNICOS LABORADOS PARA PERSONA CON RENDIMIENTO AL 100%" queryTableFieldId="6"/>
    <tableColumn id="7" xr3:uid="{529BE5F2-DCAF-4F03-A6B5-B453EF47D813}" uniqueName="7" name="HORAS CALENDARIO EN REUNIONES CON CLIENTES PARA PERSONA CON RENDIMIENTO AL 100%" queryTableFieldId="7"/>
    <tableColumn id="8" xr3:uid="{1E714728-F6CA-482A-9E8A-F643F9D1DEB5}" uniqueName="8" name="TOTAL" queryTableFieldId="8"/>
    <tableColumn id="9" xr3:uid="{87B4D4C9-004A-4136-847B-720C496F59DB}" uniqueName="9" name="HORAS ADICIONALES" queryTableFieldId="9"/>
    <tableColumn id="10" xr3:uid="{40ECFD00-65A9-4D68-B812-BD249EEF3169}" uniqueName="10" name="TOTAL HORAS RESTANTES" queryTableFieldId="10"/>
    <tableColumn id="11" xr3:uid="{8018FE47-810A-4FE6-9366-B6A3A6FC3166}" uniqueName="11" name="Column11" queryTableFieldId="11" dataDxfId="64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BE7A040-9365-434A-A7E7-402943AB0389}" name="MH_LNM5___0226___SJL___MONTERO" displayName="MH_LNM5___0226___SJL___MONTERO" ref="A1:K73" tableType="queryTable" totalsRowShown="0">
  <autoFilter ref="A1:K73" xr:uid="{BBE7A040-9365-434A-A7E7-402943AB0389}"/>
  <tableColumns count="11">
    <tableColumn id="1" xr3:uid="{61FDC928-0835-40C9-8FCA-349B6F4224F4}" uniqueName="1" name="NOMBRE DE PROYECTO" queryTableFieldId="1" dataDxfId="63"/>
    <tableColumn id="2" xr3:uid="{B58201D6-31D5-4408-82DB-E86BAAA9B36E}" uniqueName="2" name="TIPO DE EXPEDIENTE" queryTableFieldId="2" dataDxfId="62"/>
    <tableColumn id="3" xr3:uid="{2BEAE90D-A108-4941-B841-05241B149A06}" uniqueName="3" name="ESPECIALIDAD" queryTableFieldId="3" dataDxfId="61"/>
    <tableColumn id="4" xr3:uid="{4124F9AE-B09E-48B3-B301-8C936A406EAC}" uniqueName="4" name="PARTIDA" queryTableFieldId="4" dataDxfId="60"/>
    <tableColumn id="5" xr3:uid="{81E19555-F29D-409A-AE32-C7E281DE0392}" uniqueName="5" name="VERSION" queryTableFieldId="5" dataDxfId="59"/>
    <tableColumn id="6" xr3:uid="{C76D011C-19EC-4D9F-94BC-8E28E69F4CB5}" uniqueName="6" name="HORAS CALENDARIO TECNICOS LABORADOS PARA PERSONA CON RENDIMIENTO AL 100%" queryTableFieldId="6"/>
    <tableColumn id="7" xr3:uid="{A3C5EC69-DB93-443D-89CA-3B137B6454B1}" uniqueName="7" name="HORAS CALENDARIO EN REUNIONES CON CLIENTES PARA PERSONA CON RENDIMIENTO AL 100%" queryTableFieldId="7"/>
    <tableColumn id="8" xr3:uid="{F47DFF06-7F51-4A37-B63F-22D87EEF4935}" uniqueName="8" name="TOTAL" queryTableFieldId="8"/>
    <tableColumn id="9" xr3:uid="{B3262366-F810-4CBC-AFEE-388E035EF2EC}" uniqueName="9" name="HORAS ADICIONALES" queryTableFieldId="9"/>
    <tableColumn id="10" xr3:uid="{589D2DFD-D2EF-48F3-85EC-23BFE3BBB02D}" uniqueName="10" name="TOTAL HORAS RESTANTES" queryTableFieldId="10"/>
    <tableColumn id="11" xr3:uid="{829A1236-23B5-403C-A664-76FB7A2C35BC}" uniqueName="11" name="Column11" queryTableFieldId="11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51888F5-FC59-4FD2-871E-B1626874345A}" name="MH_LNM5___0226___SJL___MONTERO__2" displayName="MH_LNM5___0226___SJL___MONTERO__2" ref="A1:K34" tableType="queryTable" totalsRowShown="0">
  <autoFilter ref="A1:K34" xr:uid="{E51888F5-FC59-4FD2-871E-B1626874345A}"/>
  <tableColumns count="11">
    <tableColumn id="1" xr3:uid="{A80A0597-E418-463B-B7DE-395691B98567}" uniqueName="1" name="NOMBRE DE PROYECTO" queryTableFieldId="1" dataDxfId="58"/>
    <tableColumn id="2" xr3:uid="{5131D0DE-ECD7-42B4-AE6A-E01535BA5536}" uniqueName="2" name="TIPO DE EXPEDIENTE" queryTableFieldId="2" dataDxfId="57"/>
    <tableColumn id="3" xr3:uid="{D52BD949-1464-4F7C-870A-95B4B542DEB6}" uniqueName="3" name="ESPECIALIDAD" queryTableFieldId="3" dataDxfId="56"/>
    <tableColumn id="4" xr3:uid="{4765B9E1-F8E6-4077-9790-AD997F23D294}" uniqueName="4" name="PARTIDA" queryTableFieldId="4" dataDxfId="55"/>
    <tableColumn id="5" xr3:uid="{21224009-3CFE-438A-99F3-02DEA1FF907E}" uniqueName="5" name="VERSION" queryTableFieldId="5" dataDxfId="54"/>
    <tableColumn id="6" xr3:uid="{F50F79C5-84D9-4AE3-B2E8-987A9E2E681D}" uniqueName="6" name="HORAS CALENDARIO TECNICOS LABORADOS PARA PERSONA CON RENDIMIENTO AL 100%" queryTableFieldId="6"/>
    <tableColumn id="7" xr3:uid="{04C6BA56-BAE1-43EF-A2EA-11CC208F2822}" uniqueName="7" name="HORAS CALENDARIO EN REUNIONES CON CLIENTES PARA PERSONA CON RENDIMIENTO AL 100%" queryTableFieldId="7"/>
    <tableColumn id="8" xr3:uid="{D97F5234-6BA5-4A77-AF04-5E5EE0C761E1}" uniqueName="8" name="TOTAL" queryTableFieldId="8"/>
    <tableColumn id="9" xr3:uid="{1374CB68-C63C-4E74-95C5-32028A24AD8E}" uniqueName="9" name="HORAS ADICIONALES" queryTableFieldId="9"/>
    <tableColumn id="10" xr3:uid="{683546E5-AEC7-4EC2-A508-416BC46438DB}" uniqueName="10" name="TOTAL HORAS RESTANTES" queryTableFieldId="10"/>
    <tableColumn id="11" xr3:uid="{6DB30D65-38FB-4E78-9F0F-125D8CF1F979}" uniqueName="11" name="Column11" queryTableFieldId="11" dataDxfId="53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42E2649-2545-48E3-B8F6-D5026BA020D0}" name="MH_DF___0226___Surquillo_Mirtha__2" displayName="MH_DF___0226___Surquillo_Mirtha__2" ref="A1:K21" totalsRowShown="0">
  <autoFilter ref="A1:K21" xr:uid="{C42E2649-2545-48E3-B8F6-D5026BA020D0}"/>
  <tableColumns count="11">
    <tableColumn id="1" xr3:uid="{14B2B97E-12C2-4C8C-B199-5C874AF0C211}" name="NOMBRE DE PROYECTO" dataDxfId="52"/>
    <tableColumn id="2" xr3:uid="{D0772D08-D92A-46D8-9D9E-C35B4ACD5FB1}" name="TIPO DE EXPEDIENTE" dataDxfId="51"/>
    <tableColumn id="3" xr3:uid="{7A11F090-6EDA-4D40-8A6B-B32C9AB347A8}" name="ESPECIALIDAD" dataDxfId="50"/>
    <tableColumn id="4" xr3:uid="{105B70DF-F763-4D06-B92E-E20DD994D33F}" name="PARTIDA" dataDxfId="49"/>
    <tableColumn id="5" xr3:uid="{9DC29E70-5C43-4D62-9CDC-7D21A7CA68CA}" name="VERSION" dataDxfId="48"/>
    <tableColumn id="6" xr3:uid="{8407E7FF-3302-46D3-BF19-340CFC3423F2}" name="HORAS CALENDARIO TECNICOS LABORADOS PARA PERSONA CON RENDIMIENTO AL 100%"/>
    <tableColumn id="7" xr3:uid="{D866FC26-C248-43ED-B68A-2821E0A40CFD}" name="HORAS CALENDARIO EN REUNIONES CON CLIENTES PARA PERSONA CON RENDIMIENTO AL 100%"/>
    <tableColumn id="8" xr3:uid="{58E80AD2-B68B-4445-93D4-D54AFFF8363A}" name="TOTAL"/>
    <tableColumn id="9" xr3:uid="{DFB74E55-8153-4C2E-93F5-0F1C6199702C}" name="HORAS ADICIONALES"/>
    <tableColumn id="10" xr3:uid="{2C096837-5F82-403D-B78E-216D414059E7}" name="TOTAL HORAS RESTANTES"/>
    <tableColumn id="11" xr3:uid="{11E30074-DB53-463A-A772-2D24A83656FA}" name="Column11" dataDxfId="47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A80B68C-F990-4202-A722-788F9CF9C7F4}" name="LNX2___0226__San_Borja_ENCISO" displayName="LNX2___0226__San_Borja_ENCISO" ref="A1:K67" tableType="queryTable" totalsRowShown="0">
  <autoFilter ref="A1:K67" xr:uid="{EA80B68C-F990-4202-A722-788F9CF9C7F4}"/>
  <tableColumns count="11">
    <tableColumn id="1" xr3:uid="{F371F313-3359-4CFC-9B9A-0387CC2F7C7A}" uniqueName="1" name="NOMBRE DE PROYECTO" queryTableFieldId="1" dataDxfId="46"/>
    <tableColumn id="2" xr3:uid="{7428B0CB-E7D5-4606-98F4-E9A7E24BCB94}" uniqueName="2" name="TIPO DE EXPEDIENTE" queryTableFieldId="2" dataDxfId="45"/>
    <tableColumn id="3" xr3:uid="{39ADA585-FE5A-4A7C-A602-1A31400291F5}" uniqueName="3" name="ESPECIALIDAD" queryTableFieldId="3" dataDxfId="44"/>
    <tableColumn id="4" xr3:uid="{9D6F822A-63EF-4BC6-9ED6-0B6C9AFD8565}" uniqueName="4" name="PARTIDA" queryTableFieldId="4" dataDxfId="43"/>
    <tableColumn id="5" xr3:uid="{F12B5C03-A2A8-48AA-8933-45040A3C914A}" uniqueName="5" name="VERSION" queryTableFieldId="5" dataDxfId="42"/>
    <tableColumn id="6" xr3:uid="{99BD1A4D-4411-4D24-970B-F96EF0C85965}" uniqueName="6" name="HORAS CALENDARIO TECNICOS LABORADOS PARA PERSONA CON RENDIMIENTO AL 100%" queryTableFieldId="6"/>
    <tableColumn id="7" xr3:uid="{8D1ADF9B-DFA8-4540-BC1B-4A20863BAE06}" uniqueName="7" name="HORAS CALENDARIO EN REUNIONES CON CLIENTES PARA PERSONA CON RENDIMIENTO AL 100%" queryTableFieldId="7"/>
    <tableColumn id="8" xr3:uid="{E650DA6F-F11B-4557-9541-6FD5682EC409}" uniqueName="8" name="TOTAL" queryTableFieldId="8"/>
    <tableColumn id="9" xr3:uid="{6FFF61C9-6101-4A2A-B92D-8534EE8E8757}" uniqueName="9" name="HORAS ADICIONALES" queryTableFieldId="9"/>
    <tableColumn id="10" xr3:uid="{53B5B644-70DA-48CA-9B91-6C451333355F}" uniqueName="10" name="TOTAL HORAS RESTANTES" queryTableFieldId="10"/>
    <tableColumn id="11" xr3:uid="{8234B549-CCB9-44D6-838F-095D09AB79C9}" uniqueName="11" name="Column11" queryTableFieldId="11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7225E51-B65D-4FAE-B9B6-D9981614F28A}" name="MH_ONM5___El_Agustino___Cristia" displayName="MH_ONM5___El_Agustino___Cristia" ref="A1:K48" tableType="queryTable" totalsRowShown="0">
  <autoFilter ref="A1:K48" xr:uid="{57225E51-B65D-4FAE-B9B6-D9981614F28A}"/>
  <tableColumns count="11">
    <tableColumn id="1" xr3:uid="{85A920FD-4C86-4635-A12F-B5F55FDDC4C2}" uniqueName="1" name="NOMBRE DE PROYECTO" queryTableFieldId="1" dataDxfId="41"/>
    <tableColumn id="2" xr3:uid="{DA76D321-0862-44D8-BA85-A3F906CD1856}" uniqueName="2" name="TIPO DE EXPEDIENTE" queryTableFieldId="2" dataDxfId="40"/>
    <tableColumn id="3" xr3:uid="{013CB64F-F1E8-45E7-9505-2752F71841CD}" uniqueName="3" name="ESPECIALIDAD" queryTableFieldId="3" dataDxfId="39"/>
    <tableColumn id="4" xr3:uid="{B90F5EF5-A4FE-4B23-8275-73F097AA421F}" uniqueName="4" name="PARTIDA" queryTableFieldId="4" dataDxfId="38"/>
    <tableColumn id="5" xr3:uid="{AF42DDC1-7EE9-45E1-A3BD-23CEC07EE501}" uniqueName="5" name="VERSIÓN" queryTableFieldId="5" dataDxfId="37"/>
    <tableColumn id="6" xr3:uid="{2B434D19-0559-4A13-8ED1-22174179AFAD}" uniqueName="6" name="HORAS CALENDARIO TECNICOS LABORADOS PARA PERSONA CON RENDIMIENTO AL 100%" queryTableFieldId="6"/>
    <tableColumn id="7" xr3:uid="{9521A636-F2C5-4B8F-8F6B-1826C31C7349}" uniqueName="7" name="HORAS CALENDARIO EN REUNIONES CON CLIENTES PARA PERSONA CON RENDIMIENTO AL 100%" queryTableFieldId="7"/>
    <tableColumn id="8" xr3:uid="{EEE7A369-B13F-470D-AB73-BADE715D4DBB}" uniqueName="8" name="TOTAL" queryTableFieldId="8"/>
    <tableColumn id="9" xr3:uid="{D3674D10-D3C9-4754-9FE1-FE6B27CA9316}" uniqueName="9" name="HORAS ADCIONALES" queryTableFieldId="9"/>
    <tableColumn id="10" xr3:uid="{F1EF9367-C86F-4774-B2F0-CDC19E0170EB}" uniqueName="10" name="TOTAL HORAS RESTANTES" queryTableFieldId="10"/>
    <tableColumn id="11" xr3:uid="{EABA3562-818B-4FC0-8D8D-46836B5817C8}" uniqueName="11" name="Column11" queryTableFieldId="11" dataDxfId="36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F044BD3-DE0A-45EF-A879-84BCC35EC4D6}" name="MH_LMM5_La_Victoria_Carmen_Baq" displayName="MH_LMM5_La_Victoria_Carmen_Baq" ref="A1:K6" tableType="queryTable" totalsRowShown="0">
  <autoFilter ref="A1:K6" xr:uid="{DF044BD3-DE0A-45EF-A879-84BCC35EC4D6}"/>
  <tableColumns count="11">
    <tableColumn id="1" xr3:uid="{080BE5F7-70AF-4208-B7F0-0E2B69A22878}" uniqueName="1" name="NOMBRE DE PROYECTO" queryTableFieldId="1" dataDxfId="35"/>
    <tableColumn id="2" xr3:uid="{3F126F5F-B7BB-43A9-A6DE-02737A91C16F}" uniqueName="2" name="TIPO DE EXPEDIENTE" queryTableFieldId="2" dataDxfId="34"/>
    <tableColumn id="3" xr3:uid="{CDE590AE-DAFB-4EC6-BF56-B7BC2EA39745}" uniqueName="3" name="ESPECIALIDAD" queryTableFieldId="3" dataDxfId="33"/>
    <tableColumn id="4" xr3:uid="{4F2FA381-840D-48BD-A592-A11B7A5DACB2}" uniqueName="4" name="PARTIDA" queryTableFieldId="4" dataDxfId="32"/>
    <tableColumn id="5" xr3:uid="{D7A13A10-9935-4BC9-B4C1-47BF2DEE58EC}" uniqueName="5" name="VERSIÓN" queryTableFieldId="5" dataDxfId="31"/>
    <tableColumn id="6" xr3:uid="{7A3B01DF-064B-4C21-8F0C-E79BC6C0EF7E}" uniqueName="6" name="HORAS CALENDARIO TECNICOS LABORADOS PARA PERSONA CON RENDIMIENTO AL 100%" queryTableFieldId="6"/>
    <tableColumn id="7" xr3:uid="{C1FCDEDF-1B4D-40E1-B64D-B5D152322FF1}" uniqueName="7" name="HORAS CALENDARIO EN REUNIONES CON CLIENTES PARA PERSONA CON RENDIMIENTO AL 100%" queryTableFieldId="7"/>
    <tableColumn id="8" xr3:uid="{6C3084ED-DB00-4CA3-852F-5AC32D174046}" uniqueName="8" name="TOTAL" queryTableFieldId="8"/>
    <tableColumn id="9" xr3:uid="{5F6BC505-F367-420A-AE99-4CE1ACE0F118}" uniqueName="9" name="HORAS ADICIONALES" queryTableFieldId="9"/>
    <tableColumn id="10" xr3:uid="{4DD2D0F1-7FE3-46FB-8F8D-CD1843C256D4}" uniqueName="10" name="TOTAL HORAS RESTANTES" queryTableFieldId="10"/>
    <tableColumn id="11" xr3:uid="{57F43664-EEB3-4219-B598-EA955E2FB00C}" uniqueName="11" name="Column11" queryTableFieldId="11" dataDxfId="30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E1F738-B60E-49FA-A336-D427171E2691}" name="LNM3_0226_Punta_Hermosa_Farah" displayName="LNM3_0226_Punta_Hermosa_Farah" ref="A1:K93" tableType="queryTable" totalsRowShown="0">
  <autoFilter ref="A1:K93" xr:uid="{25E1F738-B60E-49FA-A336-D427171E2691}"/>
  <tableColumns count="11">
    <tableColumn id="1" xr3:uid="{C598D6F0-F5C5-4C4D-96A0-CEDC82FD1B2B}" uniqueName="1" name="NOMBRE DE PROYECTO" queryTableFieldId="1" dataDxfId="29"/>
    <tableColumn id="2" xr3:uid="{8208B3FD-C6F2-4DEE-B6D9-976E945A0B71}" uniqueName="2" name="TIPO DE EXPEDIENTE" queryTableFieldId="2" dataDxfId="28"/>
    <tableColumn id="3" xr3:uid="{A190F90A-F4CA-43D8-A7FE-C70EB2BC72EF}" uniqueName="3" name="ESPECIALIDAD" queryTableFieldId="3" dataDxfId="27"/>
    <tableColumn id="4" xr3:uid="{82ED18C5-5EA0-43D9-9663-B17D8462BA39}" uniqueName="4" name="PARTIDA" queryTableFieldId="4" dataDxfId="26"/>
    <tableColumn id="5" xr3:uid="{708687FD-9936-4881-B572-A58D42C0AAEF}" uniqueName="5" name="VERSION" queryTableFieldId="5" dataDxfId="25"/>
    <tableColumn id="6" xr3:uid="{CA98048E-3491-4BAB-B121-9C80A6AD8C88}" uniqueName="6" name="HORAS CALENDARIO TECNICOS LABORADOS PARA PERSONA CON RENDIMIENTO AL 100%" queryTableFieldId="6"/>
    <tableColumn id="7" xr3:uid="{641EE1B4-DAFA-4366-828F-F51507267A79}" uniqueName="7" name="HORAS CALENDARIO EN REUNIONES CON CLIENTES PARA PERSONA CON RENDIMIENTO AL 100%" queryTableFieldId="7"/>
    <tableColumn id="8" xr3:uid="{0D9331B0-89EF-4100-B457-41B6395346EC}" uniqueName="8" name="TOTAL" queryTableFieldId="8"/>
    <tableColumn id="9" xr3:uid="{B3FB34FA-2851-4084-BA39-5DABB4CC4A7C}" uniqueName="9" name="HORAS PROYECTADAS" queryTableFieldId="9"/>
    <tableColumn id="10" xr3:uid="{E001F1DB-DC1F-4E23-9C94-740A58779D99}" uniqueName="10" name="TOTAL HORAS RESTANTES" queryTableFieldId="10"/>
    <tableColumn id="11" xr3:uid="{9D997E39-3EDC-44E3-9069-32D0476EF7D2}" uniqueName="11" name="Column11" queryTableFieldId="11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ECE00C1-7E73-460C-8B4F-333614456FF5}" name="MH_LNM7___San_Miguel_Wendy_Mart" displayName="MH_LNM7___San_Miguel_Wendy_Mart" ref="A1:K84" tableType="queryTable" totalsRowShown="0">
  <autoFilter ref="A1:K84" xr:uid="{1ECE00C1-7E73-460C-8B4F-333614456FF5}"/>
  <tableColumns count="11">
    <tableColumn id="1" xr3:uid="{DE59D450-E86A-485D-800D-1AADF24F1572}" uniqueName="1" name="NOMBRE DE PROYECTO" queryTableFieldId="1" dataDxfId="24"/>
    <tableColumn id="2" xr3:uid="{570B8054-020A-436C-A9B9-E8C027CC6224}" uniqueName="2" name="TIPO DE EXPEDIENTE" queryTableFieldId="2" dataDxfId="23"/>
    <tableColumn id="3" xr3:uid="{6BC6E285-B62B-4DC2-903D-6DDAC16F73EB}" uniqueName="3" name="ESPECIALIDAD" queryTableFieldId="3" dataDxfId="22"/>
    <tableColumn id="4" xr3:uid="{E7E842A3-C65C-40B3-BAD1-F4801F96E5DA}" uniqueName="4" name="PARTIDA" queryTableFieldId="4" dataDxfId="21"/>
    <tableColumn id="5" xr3:uid="{9C7647C1-0CCB-4C90-A043-F266C5E6E4C7}" uniqueName="5" name="VERSIÓN" queryTableFieldId="5" dataDxfId="20"/>
    <tableColumn id="6" xr3:uid="{3C8BABC1-5D10-4EA1-A29A-8EE567AAD033}" uniqueName="6" name="HORAS CALENDARIO TECNICOS LABORADOS PARA PERSONA CON RENDIMIENTO AL 100%" queryTableFieldId="6"/>
    <tableColumn id="7" xr3:uid="{5F09C82C-2971-4EDA-8ECF-210284FCFE3D}" uniqueName="7" name="HORAS CALENDARIO EN REUNIONES CON CLIENTES PARA PERSONA CON RENDIMIENTO AL 100%" queryTableFieldId="7"/>
    <tableColumn id="8" xr3:uid="{AFE01793-0C7E-414C-B8FE-1C77E517B51D}" uniqueName="8" name="TOTAL" queryTableFieldId="8"/>
    <tableColumn id="9" xr3:uid="{16BE8639-7A35-437D-93DD-E18D3B463D35}" uniqueName="9" name="HORAS ADCIONALES" queryTableFieldId="9"/>
    <tableColumn id="10" xr3:uid="{E5CD2C91-090F-4A26-B215-6B5D0884EDBF}" uniqueName="10" name="TOTAL HORAS RESTANTES" queryTableFieldId="10"/>
    <tableColumn id="11" xr3:uid="{C239C69C-278E-4E0C-9458-861CFC443427}" uniqueName="11" name="Column11" queryTableFieldId="11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F07A34E-ED53-4020-852A-21270195991B}" name="MH_ONM7___0925_Cedros_Ninahuanc" displayName="MH_ONM7___0925_Cedros_Ninahuanc" ref="A1:K42" tableType="queryTable" totalsRowShown="0">
  <autoFilter ref="A1:K42" xr:uid="{9F07A34E-ED53-4020-852A-21270195991B}"/>
  <tableColumns count="11">
    <tableColumn id="1" xr3:uid="{02D57C96-89E0-4712-838D-7F3704E01E45}" uniqueName="1" name="NOMBRE DE PROYECTO" queryTableFieldId="1" dataDxfId="19"/>
    <tableColumn id="2" xr3:uid="{4961FC2B-D2FC-4FC6-A804-E11FEB7F543B}" uniqueName="2" name="TIPO DE EXPEDIENTE" queryTableFieldId="2" dataDxfId="18"/>
    <tableColumn id="3" xr3:uid="{F5000BB9-C984-41BF-BE34-1A80348367C9}" uniqueName="3" name="ESPECIALIDAD" queryTableFieldId="3" dataDxfId="17"/>
    <tableColumn id="4" xr3:uid="{DE477FB0-42B5-41CF-8982-668589237961}" uniqueName="4" name="PARTIDA" queryTableFieldId="4" dataDxfId="16"/>
    <tableColumn id="5" xr3:uid="{B76B0234-4CB8-44AF-A9D3-DDCF95CE8899}" uniqueName="5" name="VERSIÓN" queryTableFieldId="5" dataDxfId="15"/>
    <tableColumn id="6" xr3:uid="{5C10FF29-4C3F-4545-864D-36AC65A70842}" uniqueName="6" name="HORAS CALENDARIO TECNICOS LABORADOS PARA PERSONA CON RENDIMIENTO AL 100%" queryTableFieldId="6"/>
    <tableColumn id="7" xr3:uid="{414D83E4-ED97-456B-BCF6-05C9BA75D76D}" uniqueName="7" name="HORAS CALENDARIO EN REUNIONES CON CLIENTES PARA PERSONA CON RENDIMIENTO AL 100%" queryTableFieldId="7"/>
    <tableColumn id="8" xr3:uid="{6CEC8D37-C00D-4D8A-B6E0-594063A4DB5A}" uniqueName="8" name="TOTAL" queryTableFieldId="8"/>
    <tableColumn id="9" xr3:uid="{41296A58-A34C-4349-9DAB-58989D05BF2F}" uniqueName="9" name="HORAS ADCIONALES" queryTableFieldId="9"/>
    <tableColumn id="10" xr3:uid="{59BF86A5-9FB6-4860-9CF8-81C7E719CA56}" uniqueName="10" name="TOTAL HORAS RESTANTES" queryTableFieldId="10"/>
    <tableColumn id="11" xr3:uid="{1BFE168A-D77B-4A98-B5C7-CAC742ED4488}" uniqueName="11" name="Column11" queryTableFieldId="11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54EAD9-EE50-42D0-A766-22F88600D6D8}" name="MH_ONX7___BREÑA___Eduardo_Vara" displayName="MH_ONX7___BREÑA___Eduardo_Vara" ref="A1:K46" tableType="queryTable" totalsRowShown="0">
  <autoFilter ref="A1:K46" xr:uid="{DE54EAD9-EE50-42D0-A766-22F88600D6D8}"/>
  <tableColumns count="11">
    <tableColumn id="1" xr3:uid="{4135B5E7-9AB0-4545-9BEC-EC80CBB29DB4}" uniqueName="1" name="NOMBRE DE PROYECTO" queryTableFieldId="1" dataDxfId="14"/>
    <tableColumn id="2" xr3:uid="{9C8FC8B4-1EA6-4791-B9F9-3DBC2D94318B}" uniqueName="2" name="TIPO DE EXPEDIENTE" queryTableFieldId="2" dataDxfId="13"/>
    <tableColumn id="3" xr3:uid="{00CC3F2C-B16A-4CAD-B874-388377A4ADD9}" uniqueName="3" name="ESPECIALIDAD" queryTableFieldId="3" dataDxfId="12"/>
    <tableColumn id="4" xr3:uid="{1BD7F2A4-CCCC-4FF5-BCEB-D03B78423D35}" uniqueName="4" name="PARTIDA" queryTableFieldId="4" dataDxfId="11"/>
    <tableColumn id="5" xr3:uid="{56200639-4BE6-4F42-8FCB-60D6AEEC453A}" uniqueName="5" name="VERSIÓN" queryTableFieldId="5" dataDxfId="10"/>
    <tableColumn id="6" xr3:uid="{1576EE3A-F20B-4023-ABC2-16CA1CF6CB91}" uniqueName="6" name="HORAS CALENDARIO TECNICOS LABORADOS PARA PERSONA CON RENDIMIENTO AL 100%" queryTableFieldId="6"/>
    <tableColumn id="7" xr3:uid="{160E68F7-EA01-4409-801E-4F5613E18461}" uniqueName="7" name="HORAS CALENDARIO EN REUNIONES CON CLIENTES PARA PERSONA CON RENDIMIENTO AL 100%" queryTableFieldId="7"/>
    <tableColumn id="8" xr3:uid="{01459237-D674-45E2-81A1-400A2B4DE932}" uniqueName="8" name="TOTAL" queryTableFieldId="8"/>
    <tableColumn id="9" xr3:uid="{FD27776A-892C-4554-9642-0E7887920C2F}" uniqueName="9" name="HORAS ADCIONALES" queryTableFieldId="9"/>
    <tableColumn id="10" xr3:uid="{C090DB38-BBE3-423F-A3F6-CB8F27AF4C03}" uniqueName="10" name="TOTAL HORAS RESTANTES" queryTableFieldId="10"/>
    <tableColumn id="11" xr3:uid="{F789BB4F-0D3D-4FDB-86FE-24FC13B83513}" uniqueName="11" name="Column11" queryTableFieldId="11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92ED-BCB0-4F0E-AC99-265F8CDF927A}">
  <dimension ref="A1:A25"/>
  <sheetViews>
    <sheetView zoomScale="130" zoomScaleNormal="130" workbookViewId="0">
      <selection activeCell="A18" sqref="A18"/>
    </sheetView>
  </sheetViews>
  <sheetFormatPr baseColWidth="10" defaultRowHeight="14.4" x14ac:dyDescent="0.3"/>
  <cols>
    <col min="1" max="1" width="18.44140625" style="17" customWidth="1"/>
  </cols>
  <sheetData>
    <row r="1" spans="1:1" x14ac:dyDescent="0.3">
      <c r="A1" s="19" t="s">
        <v>57</v>
      </c>
    </row>
    <row r="2" spans="1:1" x14ac:dyDescent="0.3">
      <c r="A2" s="18" t="s">
        <v>32</v>
      </c>
    </row>
    <row r="3" spans="1:1" x14ac:dyDescent="0.3">
      <c r="A3" s="18" t="s">
        <v>33</v>
      </c>
    </row>
    <row r="4" spans="1:1" x14ac:dyDescent="0.3">
      <c r="A4" s="18" t="s">
        <v>34</v>
      </c>
    </row>
    <row r="5" spans="1:1" x14ac:dyDescent="0.3">
      <c r="A5" s="18" t="s">
        <v>35</v>
      </c>
    </row>
    <row r="6" spans="1:1" x14ac:dyDescent="0.3">
      <c r="A6" s="18" t="s">
        <v>36</v>
      </c>
    </row>
    <row r="7" spans="1:1" x14ac:dyDescent="0.3">
      <c r="A7" s="18" t="s">
        <v>37</v>
      </c>
    </row>
    <row r="8" spans="1:1" x14ac:dyDescent="0.3">
      <c r="A8" s="18" t="s">
        <v>38</v>
      </c>
    </row>
    <row r="9" spans="1:1" x14ac:dyDescent="0.3">
      <c r="A9" s="18" t="s">
        <v>40</v>
      </c>
    </row>
    <row r="10" spans="1:1" x14ac:dyDescent="0.3">
      <c r="A10" s="18" t="s">
        <v>39</v>
      </c>
    </row>
    <row r="11" spans="1:1" x14ac:dyDescent="0.3">
      <c r="A11" s="18" t="s">
        <v>41</v>
      </c>
    </row>
    <row r="12" spans="1:1" x14ac:dyDescent="0.3">
      <c r="A12" s="18" t="s">
        <v>42</v>
      </c>
    </row>
    <row r="13" spans="1:1" x14ac:dyDescent="0.3">
      <c r="A13" s="18" t="s">
        <v>43</v>
      </c>
    </row>
    <row r="14" spans="1:1" x14ac:dyDescent="0.3">
      <c r="A14" s="18" t="s">
        <v>44</v>
      </c>
    </row>
    <row r="15" spans="1:1" x14ac:dyDescent="0.3">
      <c r="A15" s="18" t="s">
        <v>45</v>
      </c>
    </row>
    <row r="16" spans="1:1" x14ac:dyDescent="0.3">
      <c r="A16" s="18" t="s">
        <v>46</v>
      </c>
    </row>
    <row r="17" spans="1:1" x14ac:dyDescent="0.3">
      <c r="A17" s="18" t="s">
        <v>47</v>
      </c>
    </row>
    <row r="18" spans="1:1" x14ac:dyDescent="0.3">
      <c r="A18" s="18" t="s">
        <v>48</v>
      </c>
    </row>
    <row r="19" spans="1:1" x14ac:dyDescent="0.3">
      <c r="A19" s="18" t="s">
        <v>49</v>
      </c>
    </row>
    <row r="20" spans="1:1" x14ac:dyDescent="0.3">
      <c r="A20" s="18" t="s">
        <v>50</v>
      </c>
    </row>
    <row r="21" spans="1:1" x14ac:dyDescent="0.3">
      <c r="A21" s="18" t="s">
        <v>51</v>
      </c>
    </row>
    <row r="22" spans="1:1" x14ac:dyDescent="0.3">
      <c r="A22" s="18" t="s">
        <v>52</v>
      </c>
    </row>
    <row r="23" spans="1:1" x14ac:dyDescent="0.3">
      <c r="A23" s="18" t="s">
        <v>53</v>
      </c>
    </row>
    <row r="24" spans="1:1" x14ac:dyDescent="0.3">
      <c r="A24" s="18" t="s">
        <v>54</v>
      </c>
    </row>
    <row r="25" spans="1:1" x14ac:dyDescent="0.3">
      <c r="A25" s="1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75A9-1495-44A3-8763-77C9D2939059}">
  <dimension ref="A1:AB38"/>
  <sheetViews>
    <sheetView zoomScale="85" zoomScaleNormal="85" workbookViewId="0">
      <selection activeCell="P2" sqref="P2:P21"/>
    </sheetView>
  </sheetViews>
  <sheetFormatPr baseColWidth="10" defaultRowHeight="14.4" x14ac:dyDescent="0.3"/>
  <cols>
    <col min="1" max="1" width="26.109375" customWidth="1"/>
    <col min="2" max="2" width="19.6640625" customWidth="1"/>
    <col min="3" max="3" width="6.33203125" style="5" customWidth="1"/>
    <col min="4" max="4" width="14.33203125" style="1" customWidth="1"/>
    <col min="5" max="5" width="19.33203125" style="1" customWidth="1"/>
    <col min="6" max="6" width="16.6640625" style="1" bestFit="1" customWidth="1"/>
    <col min="7" max="8" width="11" bestFit="1" customWidth="1"/>
  </cols>
  <sheetData>
    <row r="1" spans="1:28" ht="28.8" x14ac:dyDescent="0.3">
      <c r="A1" s="11" t="s">
        <v>4</v>
      </c>
      <c r="B1" s="11" t="s">
        <v>0</v>
      </c>
      <c r="C1" s="12" t="s">
        <v>5</v>
      </c>
      <c r="D1" s="11" t="s">
        <v>1</v>
      </c>
      <c r="E1" s="11" t="s">
        <v>30</v>
      </c>
      <c r="F1" s="11" t="s">
        <v>3</v>
      </c>
      <c r="G1" s="11" t="s">
        <v>34</v>
      </c>
      <c r="H1" s="11" t="s">
        <v>35</v>
      </c>
      <c r="I1" s="11" t="s">
        <v>36</v>
      </c>
      <c r="J1" s="11" t="s">
        <v>37</v>
      </c>
      <c r="K1" s="11" t="s">
        <v>38</v>
      </c>
      <c r="L1" s="11" t="s">
        <v>40</v>
      </c>
      <c r="M1" s="11" t="s">
        <v>39</v>
      </c>
      <c r="N1" s="11" t="s">
        <v>39</v>
      </c>
      <c r="O1" s="11" t="s">
        <v>42</v>
      </c>
      <c r="P1" s="11" t="s">
        <v>43</v>
      </c>
      <c r="Q1" s="11" t="s">
        <v>44</v>
      </c>
      <c r="R1" s="11" t="s">
        <v>45</v>
      </c>
      <c r="S1" s="11" t="s">
        <v>46</v>
      </c>
      <c r="T1" s="11" t="s">
        <v>47</v>
      </c>
      <c r="U1" s="11" t="s">
        <v>48</v>
      </c>
      <c r="V1" s="11" t="s">
        <v>49</v>
      </c>
      <c r="W1" s="11" t="s">
        <v>50</v>
      </c>
      <c r="X1" s="11" t="s">
        <v>51</v>
      </c>
      <c r="Y1" s="11" t="s">
        <v>52</v>
      </c>
      <c r="Z1" s="11" t="s">
        <v>53</v>
      </c>
      <c r="AA1" s="11" t="s">
        <v>54</v>
      </c>
      <c r="AB1" s="11" t="s">
        <v>54</v>
      </c>
    </row>
    <row r="2" spans="1:28" x14ac:dyDescent="0.3">
      <c r="A2" s="361" t="s">
        <v>6</v>
      </c>
      <c r="B2" s="361" t="s">
        <v>10</v>
      </c>
      <c r="C2" s="362">
        <v>0.7</v>
      </c>
      <c r="D2" s="361">
        <v>80</v>
      </c>
      <c r="E2" s="363">
        <f>D2*C2</f>
        <v>56</v>
      </c>
      <c r="F2" s="364" t="s">
        <v>31</v>
      </c>
      <c r="G2" s="6">
        <v>56</v>
      </c>
      <c r="H2" s="6">
        <v>56</v>
      </c>
      <c r="I2" s="6">
        <v>28</v>
      </c>
      <c r="J2" s="6">
        <v>28</v>
      </c>
      <c r="K2" s="6">
        <v>56</v>
      </c>
      <c r="L2" s="6">
        <v>56</v>
      </c>
      <c r="M2" s="6">
        <v>56</v>
      </c>
      <c r="N2" s="6">
        <v>56</v>
      </c>
      <c r="O2" s="6">
        <v>56</v>
      </c>
      <c r="P2" s="6">
        <v>56</v>
      </c>
      <c r="Q2" s="6">
        <v>56</v>
      </c>
      <c r="R2" s="6">
        <v>56</v>
      </c>
      <c r="S2" s="6">
        <v>56</v>
      </c>
      <c r="T2" s="6">
        <v>56</v>
      </c>
      <c r="U2" s="6">
        <v>56</v>
      </c>
      <c r="V2" s="6">
        <v>56</v>
      </c>
      <c r="W2" s="6">
        <v>56</v>
      </c>
      <c r="X2" s="6">
        <v>56</v>
      </c>
      <c r="Y2" s="6">
        <v>56</v>
      </c>
      <c r="Z2" s="6">
        <v>56</v>
      </c>
      <c r="AA2" s="6">
        <v>56</v>
      </c>
      <c r="AB2" s="6">
        <v>56</v>
      </c>
    </row>
    <row r="3" spans="1:28" x14ac:dyDescent="0.3">
      <c r="A3" s="361" t="s">
        <v>6</v>
      </c>
      <c r="B3" s="361" t="s">
        <v>11</v>
      </c>
      <c r="C3" s="362">
        <v>0.3</v>
      </c>
      <c r="D3" s="361">
        <v>80</v>
      </c>
      <c r="E3" s="363">
        <f>D3*C3</f>
        <v>24</v>
      </c>
      <c r="F3" s="364" t="s">
        <v>31</v>
      </c>
      <c r="G3" s="6">
        <v>24</v>
      </c>
      <c r="H3" s="6">
        <v>24</v>
      </c>
      <c r="I3" s="6">
        <v>12</v>
      </c>
      <c r="J3" s="6">
        <v>24</v>
      </c>
      <c r="K3" s="6">
        <v>24</v>
      </c>
      <c r="L3" s="6">
        <v>24</v>
      </c>
      <c r="M3" s="6">
        <v>24</v>
      </c>
      <c r="N3" s="6">
        <v>24</v>
      </c>
      <c r="O3" s="6">
        <v>24</v>
      </c>
      <c r="P3" s="6">
        <v>24</v>
      </c>
      <c r="Q3" s="6">
        <v>24</v>
      </c>
      <c r="R3" s="6">
        <v>24</v>
      </c>
      <c r="S3" s="6">
        <v>24</v>
      </c>
      <c r="T3" s="6">
        <v>24</v>
      </c>
      <c r="U3" s="6">
        <v>24</v>
      </c>
      <c r="V3" s="6">
        <v>24</v>
      </c>
      <c r="W3" s="6">
        <v>24</v>
      </c>
      <c r="X3" s="6">
        <v>24</v>
      </c>
      <c r="Y3" s="6">
        <v>24</v>
      </c>
      <c r="Z3" s="6">
        <v>24</v>
      </c>
      <c r="AA3" s="6">
        <v>24</v>
      </c>
      <c r="AB3" s="6">
        <v>24</v>
      </c>
    </row>
    <row r="4" spans="1:28" x14ac:dyDescent="0.3">
      <c r="A4" s="3" t="s">
        <v>7</v>
      </c>
      <c r="B4" s="3" t="s">
        <v>10</v>
      </c>
      <c r="C4" s="4">
        <v>0.6</v>
      </c>
      <c r="D4" s="3">
        <v>80</v>
      </c>
      <c r="E4" s="6">
        <f t="shared" ref="E4:E21" si="0">D4*C4</f>
        <v>48</v>
      </c>
      <c r="F4" s="8" t="s">
        <v>31</v>
      </c>
      <c r="G4" s="6">
        <v>56</v>
      </c>
      <c r="H4" s="6">
        <v>56</v>
      </c>
      <c r="I4" s="6">
        <v>28</v>
      </c>
      <c r="J4" s="6">
        <v>48</v>
      </c>
      <c r="K4" s="6">
        <v>48</v>
      </c>
      <c r="L4" s="6">
        <v>48</v>
      </c>
      <c r="M4" s="6">
        <v>48</v>
      </c>
      <c r="N4" s="6">
        <v>48</v>
      </c>
      <c r="O4" s="6">
        <v>48</v>
      </c>
      <c r="P4" s="6">
        <v>48</v>
      </c>
      <c r="Q4" s="6">
        <v>48</v>
      </c>
      <c r="R4" s="6">
        <v>48</v>
      </c>
      <c r="S4" s="6">
        <v>48</v>
      </c>
      <c r="T4" s="6">
        <v>48</v>
      </c>
      <c r="U4" s="6">
        <v>48</v>
      </c>
      <c r="V4" s="6">
        <v>48</v>
      </c>
      <c r="W4" s="6">
        <v>48</v>
      </c>
      <c r="X4" s="6">
        <v>48</v>
      </c>
      <c r="Y4" s="6">
        <v>48</v>
      </c>
      <c r="Z4" s="6">
        <v>48</v>
      </c>
      <c r="AA4" s="6">
        <v>48</v>
      </c>
      <c r="AB4" s="6">
        <v>48</v>
      </c>
    </row>
    <row r="5" spans="1:28" x14ac:dyDescent="0.3">
      <c r="A5" s="3" t="s">
        <v>7</v>
      </c>
      <c r="B5" s="3" t="s">
        <v>11</v>
      </c>
      <c r="C5" s="4">
        <v>0.2</v>
      </c>
      <c r="D5" s="3">
        <v>80</v>
      </c>
      <c r="E5" s="6">
        <f t="shared" ref="E5" si="1">D5*C5</f>
        <v>16</v>
      </c>
      <c r="F5" s="8" t="s">
        <v>31</v>
      </c>
      <c r="G5" s="6">
        <v>24</v>
      </c>
      <c r="H5" s="6">
        <v>24</v>
      </c>
      <c r="I5" s="6">
        <v>8</v>
      </c>
      <c r="J5" s="6">
        <v>16</v>
      </c>
      <c r="K5" s="6">
        <v>16</v>
      </c>
      <c r="L5" s="6">
        <v>16</v>
      </c>
      <c r="M5" s="6">
        <v>16</v>
      </c>
      <c r="N5" s="6">
        <v>16</v>
      </c>
      <c r="O5" s="6">
        <v>16</v>
      </c>
      <c r="P5" s="6">
        <v>16</v>
      </c>
      <c r="Q5" s="6">
        <v>16</v>
      </c>
      <c r="R5" s="6">
        <v>16</v>
      </c>
      <c r="S5" s="6">
        <v>16</v>
      </c>
      <c r="T5" s="6">
        <v>16</v>
      </c>
      <c r="U5" s="6">
        <v>16</v>
      </c>
      <c r="V5" s="6">
        <v>16</v>
      </c>
      <c r="W5" s="6">
        <v>16</v>
      </c>
      <c r="X5" s="6">
        <v>16</v>
      </c>
      <c r="Y5" s="6">
        <v>16</v>
      </c>
      <c r="Z5" s="6">
        <v>16</v>
      </c>
      <c r="AA5" s="6">
        <v>16</v>
      </c>
      <c r="AB5" s="6">
        <v>16</v>
      </c>
    </row>
    <row r="6" spans="1:28" x14ac:dyDescent="0.3">
      <c r="A6" s="3" t="s">
        <v>7</v>
      </c>
      <c r="B6" s="3" t="s">
        <v>373</v>
      </c>
      <c r="C6" s="4">
        <v>0.2</v>
      </c>
      <c r="D6" s="3">
        <v>80</v>
      </c>
      <c r="E6" s="6">
        <f t="shared" ref="E6" si="2">D6*C6</f>
        <v>16</v>
      </c>
      <c r="F6" s="8" t="s">
        <v>31</v>
      </c>
      <c r="G6" s="6">
        <v>24</v>
      </c>
      <c r="H6" s="6">
        <v>24</v>
      </c>
      <c r="I6" s="6">
        <v>4</v>
      </c>
      <c r="J6" s="6">
        <v>16</v>
      </c>
      <c r="K6" s="6">
        <v>16</v>
      </c>
      <c r="L6" s="6">
        <v>16</v>
      </c>
      <c r="M6" s="6">
        <v>16</v>
      </c>
      <c r="N6" s="6">
        <v>16</v>
      </c>
      <c r="O6" s="6">
        <v>16</v>
      </c>
      <c r="P6" s="6">
        <v>16</v>
      </c>
      <c r="Q6" s="6">
        <v>16</v>
      </c>
      <c r="R6" s="6">
        <v>16</v>
      </c>
      <c r="S6" s="6">
        <v>16</v>
      </c>
      <c r="T6" s="6">
        <v>16</v>
      </c>
      <c r="U6" s="6">
        <v>16</v>
      </c>
      <c r="V6" s="6">
        <v>16</v>
      </c>
      <c r="W6" s="6">
        <v>16</v>
      </c>
      <c r="X6" s="6">
        <v>16</v>
      </c>
      <c r="Y6" s="6">
        <v>16</v>
      </c>
      <c r="Z6" s="6">
        <v>16</v>
      </c>
      <c r="AA6" s="6">
        <v>16</v>
      </c>
      <c r="AB6" s="6">
        <v>16</v>
      </c>
    </row>
    <row r="7" spans="1:28" x14ac:dyDescent="0.3">
      <c r="A7" s="3" t="s">
        <v>8</v>
      </c>
      <c r="B7" s="3" t="s">
        <v>10</v>
      </c>
      <c r="C7" s="4">
        <v>0.7</v>
      </c>
      <c r="D7" s="3">
        <v>80</v>
      </c>
      <c r="E7" s="6">
        <f t="shared" si="0"/>
        <v>56</v>
      </c>
      <c r="F7" s="8" t="s">
        <v>31</v>
      </c>
      <c r="G7" s="6">
        <v>56</v>
      </c>
      <c r="H7" s="6">
        <v>56</v>
      </c>
      <c r="I7" s="6">
        <v>28</v>
      </c>
      <c r="J7" s="6">
        <v>56</v>
      </c>
      <c r="K7" s="6">
        <v>56</v>
      </c>
      <c r="L7" s="6">
        <v>56</v>
      </c>
      <c r="M7" s="6">
        <v>56</v>
      </c>
      <c r="N7" s="6">
        <v>56</v>
      </c>
      <c r="O7" s="6">
        <v>56</v>
      </c>
      <c r="P7" s="6">
        <v>56</v>
      </c>
      <c r="Q7" s="6">
        <v>56</v>
      </c>
      <c r="R7" s="6">
        <v>56</v>
      </c>
      <c r="S7" s="6">
        <v>56</v>
      </c>
      <c r="T7" s="6">
        <v>56</v>
      </c>
      <c r="U7" s="6">
        <v>56</v>
      </c>
      <c r="V7" s="6">
        <v>56</v>
      </c>
      <c r="W7" s="6">
        <v>56</v>
      </c>
      <c r="X7" s="6">
        <v>56</v>
      </c>
      <c r="Y7" s="6">
        <v>56</v>
      </c>
      <c r="Z7" s="6">
        <v>56</v>
      </c>
      <c r="AA7" s="6">
        <v>56</v>
      </c>
      <c r="AB7" s="6">
        <v>56</v>
      </c>
    </row>
    <row r="8" spans="1:28" x14ac:dyDescent="0.3">
      <c r="A8" s="3" t="s">
        <v>8</v>
      </c>
      <c r="B8" s="3" t="s">
        <v>11</v>
      </c>
      <c r="C8" s="4">
        <v>0.2</v>
      </c>
      <c r="D8" s="3">
        <v>80</v>
      </c>
      <c r="E8" s="6">
        <f t="shared" ref="E8" si="3">D8*C8</f>
        <v>16</v>
      </c>
      <c r="F8" s="8" t="s">
        <v>31</v>
      </c>
      <c r="G8" s="6">
        <v>56</v>
      </c>
      <c r="H8" s="6">
        <v>56</v>
      </c>
      <c r="I8" s="6">
        <v>28</v>
      </c>
      <c r="J8" s="6">
        <v>56</v>
      </c>
      <c r="K8" s="6">
        <v>56</v>
      </c>
      <c r="L8" s="6">
        <v>56</v>
      </c>
      <c r="M8" s="6">
        <v>56</v>
      </c>
      <c r="N8" s="6">
        <v>56</v>
      </c>
      <c r="O8" s="6">
        <v>56</v>
      </c>
      <c r="P8" s="6">
        <v>56</v>
      </c>
      <c r="Q8" s="6">
        <v>56</v>
      </c>
      <c r="R8" s="6">
        <v>56</v>
      </c>
      <c r="S8" s="6">
        <v>56</v>
      </c>
      <c r="T8" s="6">
        <v>56</v>
      </c>
      <c r="U8" s="6">
        <v>56</v>
      </c>
      <c r="V8" s="6">
        <v>56</v>
      </c>
      <c r="W8" s="6">
        <v>56</v>
      </c>
      <c r="X8" s="6">
        <v>56</v>
      </c>
      <c r="Y8" s="6">
        <v>56</v>
      </c>
      <c r="Z8" s="6">
        <v>56</v>
      </c>
      <c r="AA8" s="6">
        <v>56</v>
      </c>
      <c r="AB8" s="6">
        <v>56</v>
      </c>
    </row>
    <row r="9" spans="1:28" x14ac:dyDescent="0.3">
      <c r="A9" s="3" t="s">
        <v>8</v>
      </c>
      <c r="B9" s="3" t="s">
        <v>373</v>
      </c>
      <c r="C9" s="4">
        <v>0.1</v>
      </c>
      <c r="D9" s="3">
        <v>80</v>
      </c>
      <c r="E9" s="6">
        <f t="shared" ref="E9" si="4">D9*C9</f>
        <v>8</v>
      </c>
      <c r="F9" s="8" t="s">
        <v>31</v>
      </c>
      <c r="G9" s="6">
        <v>56</v>
      </c>
      <c r="H9" s="6">
        <v>56</v>
      </c>
      <c r="I9" s="6">
        <v>28</v>
      </c>
      <c r="J9" s="6">
        <v>56</v>
      </c>
      <c r="K9" s="6">
        <v>56</v>
      </c>
      <c r="L9" s="6">
        <v>56</v>
      </c>
      <c r="M9" s="6">
        <v>56</v>
      </c>
      <c r="N9" s="6">
        <v>56</v>
      </c>
      <c r="O9" s="6">
        <v>56</v>
      </c>
      <c r="P9" s="6">
        <v>56</v>
      </c>
      <c r="Q9" s="6">
        <v>56</v>
      </c>
      <c r="R9" s="6">
        <v>56</v>
      </c>
      <c r="S9" s="6">
        <v>56</v>
      </c>
      <c r="T9" s="6">
        <v>56</v>
      </c>
      <c r="U9" s="6">
        <v>56</v>
      </c>
      <c r="V9" s="6">
        <v>56</v>
      </c>
      <c r="W9" s="6">
        <v>56</v>
      </c>
      <c r="X9" s="6">
        <v>56</v>
      </c>
      <c r="Y9" s="6">
        <v>56</v>
      </c>
      <c r="Z9" s="6">
        <v>56</v>
      </c>
      <c r="AA9" s="6">
        <v>56</v>
      </c>
      <c r="AB9" s="6">
        <v>56</v>
      </c>
    </row>
    <row r="10" spans="1:28" x14ac:dyDescent="0.3">
      <c r="A10" s="3" t="s">
        <v>9</v>
      </c>
      <c r="B10" s="3" t="s">
        <v>10</v>
      </c>
      <c r="C10" s="4">
        <v>0.6</v>
      </c>
      <c r="D10" s="3">
        <v>80</v>
      </c>
      <c r="E10" s="6">
        <f t="shared" si="0"/>
        <v>48</v>
      </c>
      <c r="F10" s="8" t="s">
        <v>31</v>
      </c>
      <c r="G10" s="6">
        <v>28</v>
      </c>
      <c r="H10" s="6">
        <v>28</v>
      </c>
      <c r="I10" s="6">
        <v>14</v>
      </c>
      <c r="J10" s="6">
        <v>28</v>
      </c>
      <c r="K10" s="6">
        <v>48</v>
      </c>
      <c r="L10" s="6">
        <v>48</v>
      </c>
      <c r="M10" s="6">
        <v>28</v>
      </c>
      <c r="N10" s="6">
        <v>28</v>
      </c>
      <c r="O10" s="6">
        <v>28</v>
      </c>
      <c r="P10" s="6">
        <v>28</v>
      </c>
      <c r="Q10" s="6">
        <v>28</v>
      </c>
      <c r="R10" s="6">
        <v>28</v>
      </c>
      <c r="S10" s="6">
        <v>28</v>
      </c>
      <c r="T10" s="6">
        <v>28</v>
      </c>
      <c r="U10" s="6">
        <v>28</v>
      </c>
      <c r="V10" s="6">
        <v>28</v>
      </c>
      <c r="W10" s="6">
        <v>28</v>
      </c>
      <c r="X10" s="6">
        <v>28</v>
      </c>
      <c r="Y10" s="6">
        <v>28</v>
      </c>
      <c r="Z10" s="6">
        <v>28</v>
      </c>
      <c r="AA10" s="6">
        <v>28</v>
      </c>
      <c r="AB10" s="6">
        <v>28</v>
      </c>
    </row>
    <row r="11" spans="1:28" x14ac:dyDescent="0.3">
      <c r="A11" s="3" t="s">
        <v>9</v>
      </c>
      <c r="B11" s="3" t="s">
        <v>15</v>
      </c>
      <c r="C11" s="4">
        <v>0.2</v>
      </c>
      <c r="D11" s="3">
        <v>80</v>
      </c>
      <c r="E11" s="6">
        <f t="shared" ref="E11" si="5">D11*C11</f>
        <v>16</v>
      </c>
      <c r="F11" s="8" t="s">
        <v>31</v>
      </c>
      <c r="G11" s="6"/>
      <c r="H11" s="6"/>
      <c r="I11" s="6"/>
      <c r="J11" s="6"/>
      <c r="K11" s="6">
        <v>16</v>
      </c>
      <c r="L11" s="6">
        <v>16</v>
      </c>
      <c r="M11" s="6">
        <v>16</v>
      </c>
      <c r="N11" s="6">
        <v>16</v>
      </c>
      <c r="O11" s="6">
        <v>16</v>
      </c>
      <c r="P11" s="6">
        <v>16</v>
      </c>
      <c r="Q11" s="6">
        <v>16</v>
      </c>
      <c r="R11" s="6">
        <v>16</v>
      </c>
      <c r="S11" s="6">
        <v>16</v>
      </c>
      <c r="T11" s="6">
        <v>16</v>
      </c>
      <c r="U11" s="6">
        <v>16</v>
      </c>
      <c r="V11" s="6">
        <v>16</v>
      </c>
      <c r="W11" s="6">
        <v>16</v>
      </c>
      <c r="X11" s="6">
        <v>16</v>
      </c>
      <c r="Y11" s="6">
        <v>16</v>
      </c>
      <c r="Z11" s="6">
        <v>16</v>
      </c>
      <c r="AA11" s="6">
        <v>16</v>
      </c>
      <c r="AB11" s="6">
        <v>16</v>
      </c>
    </row>
    <row r="12" spans="1:28" x14ac:dyDescent="0.3">
      <c r="A12" s="3" t="s">
        <v>12</v>
      </c>
      <c r="B12" s="3" t="s">
        <v>13</v>
      </c>
      <c r="C12" s="4">
        <v>0.6</v>
      </c>
      <c r="D12" s="3">
        <v>90</v>
      </c>
      <c r="E12" s="6">
        <f t="shared" si="0"/>
        <v>54</v>
      </c>
      <c r="F12" s="8" t="s">
        <v>31</v>
      </c>
      <c r="G12" s="6">
        <v>54</v>
      </c>
      <c r="H12" s="6">
        <v>54</v>
      </c>
      <c r="I12" s="6">
        <v>36</v>
      </c>
      <c r="J12" s="6">
        <v>72</v>
      </c>
      <c r="K12" s="6">
        <v>72</v>
      </c>
      <c r="L12" s="6">
        <v>72</v>
      </c>
      <c r="M12" s="6">
        <v>72</v>
      </c>
      <c r="N12" s="6">
        <v>72</v>
      </c>
      <c r="O12" s="6">
        <v>72</v>
      </c>
      <c r="P12" s="6">
        <v>72</v>
      </c>
      <c r="Q12" s="6">
        <v>72</v>
      </c>
      <c r="R12" s="6">
        <v>72</v>
      </c>
      <c r="S12" s="6">
        <v>72</v>
      </c>
      <c r="T12" s="6">
        <v>72</v>
      </c>
      <c r="U12" s="6">
        <v>72</v>
      </c>
      <c r="V12" s="6">
        <v>72</v>
      </c>
      <c r="W12" s="6">
        <v>72</v>
      </c>
      <c r="X12" s="6">
        <v>72</v>
      </c>
      <c r="Y12" s="6">
        <v>72</v>
      </c>
      <c r="Z12" s="6">
        <v>72</v>
      </c>
      <c r="AA12" s="6">
        <v>72</v>
      </c>
      <c r="AB12" s="6">
        <v>72</v>
      </c>
    </row>
    <row r="13" spans="1:28" x14ac:dyDescent="0.3">
      <c r="A13" s="3" t="s">
        <v>12</v>
      </c>
      <c r="B13" s="3" t="s">
        <v>71</v>
      </c>
      <c r="C13" s="4">
        <v>0.2</v>
      </c>
      <c r="D13" s="3">
        <v>90</v>
      </c>
      <c r="E13" s="6">
        <f t="shared" ref="E13" si="6">D13*C13</f>
        <v>18</v>
      </c>
      <c r="F13" s="8" t="s">
        <v>31</v>
      </c>
      <c r="G13" s="6">
        <v>18</v>
      </c>
      <c r="H13" s="6">
        <v>18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28" x14ac:dyDescent="0.3">
      <c r="A14" s="3" t="s">
        <v>12</v>
      </c>
      <c r="B14" s="3" t="s">
        <v>11</v>
      </c>
      <c r="C14" s="4">
        <v>0.2</v>
      </c>
      <c r="D14" s="3">
        <v>90</v>
      </c>
      <c r="E14" s="6">
        <f t="shared" si="0"/>
        <v>18</v>
      </c>
      <c r="F14" s="8" t="s">
        <v>31</v>
      </c>
      <c r="G14" s="6">
        <v>18</v>
      </c>
      <c r="H14" s="6">
        <v>18</v>
      </c>
      <c r="I14" s="6">
        <v>9</v>
      </c>
      <c r="J14" s="6">
        <v>18</v>
      </c>
      <c r="K14" s="6">
        <v>18</v>
      </c>
      <c r="L14" s="6">
        <v>18</v>
      </c>
      <c r="M14" s="6">
        <v>18</v>
      </c>
      <c r="N14" s="6">
        <v>18</v>
      </c>
      <c r="O14" s="6">
        <v>18</v>
      </c>
      <c r="P14" s="6">
        <v>18</v>
      </c>
      <c r="Q14" s="6">
        <v>18</v>
      </c>
      <c r="R14" s="6">
        <v>18</v>
      </c>
      <c r="S14" s="6">
        <v>18</v>
      </c>
      <c r="T14" s="6">
        <v>18</v>
      </c>
      <c r="U14" s="6">
        <v>18</v>
      </c>
      <c r="V14" s="6">
        <v>18</v>
      </c>
      <c r="W14" s="6">
        <v>18</v>
      </c>
      <c r="X14" s="6">
        <v>18</v>
      </c>
      <c r="Y14" s="6">
        <v>18</v>
      </c>
      <c r="Z14" s="6">
        <v>18</v>
      </c>
      <c r="AA14" s="6">
        <v>18</v>
      </c>
      <c r="AB14" s="6">
        <v>18</v>
      </c>
    </row>
    <row r="15" spans="1:28" x14ac:dyDescent="0.3">
      <c r="A15" s="3" t="s">
        <v>14</v>
      </c>
      <c r="B15" s="3" t="s">
        <v>13</v>
      </c>
      <c r="C15" s="4">
        <v>0.8</v>
      </c>
      <c r="D15" s="3">
        <v>80</v>
      </c>
      <c r="E15" s="6">
        <f t="shared" si="0"/>
        <v>64</v>
      </c>
      <c r="F15" s="8" t="s">
        <v>31</v>
      </c>
      <c r="G15" s="6">
        <v>56</v>
      </c>
      <c r="H15" s="6">
        <v>56</v>
      </c>
      <c r="I15" s="6">
        <v>40</v>
      </c>
      <c r="J15" s="6">
        <v>80</v>
      </c>
      <c r="K15" s="6">
        <v>56</v>
      </c>
      <c r="L15" s="6">
        <v>56</v>
      </c>
      <c r="M15" s="6">
        <v>56</v>
      </c>
      <c r="N15" s="6">
        <v>56</v>
      </c>
      <c r="O15" s="6">
        <v>56</v>
      </c>
      <c r="P15" s="6">
        <v>56</v>
      </c>
      <c r="Q15" s="6">
        <v>56</v>
      </c>
      <c r="R15" s="6">
        <v>56</v>
      </c>
      <c r="S15" s="6">
        <v>56</v>
      </c>
      <c r="T15" s="6">
        <v>56</v>
      </c>
      <c r="U15" s="6">
        <v>56</v>
      </c>
      <c r="V15" s="6">
        <v>56</v>
      </c>
      <c r="W15" s="6">
        <v>56</v>
      </c>
      <c r="X15" s="6">
        <v>56</v>
      </c>
      <c r="Y15" s="6">
        <v>56</v>
      </c>
      <c r="Z15" s="6">
        <v>56</v>
      </c>
      <c r="AA15" s="6">
        <v>56</v>
      </c>
      <c r="AB15" s="6">
        <v>56</v>
      </c>
    </row>
    <row r="16" spans="1:28" x14ac:dyDescent="0.3">
      <c r="A16" s="3" t="s">
        <v>14</v>
      </c>
      <c r="B16" s="3" t="s">
        <v>15</v>
      </c>
      <c r="C16" s="4">
        <v>0.2</v>
      </c>
      <c r="D16" s="3">
        <v>80</v>
      </c>
      <c r="E16" s="6">
        <f t="shared" si="0"/>
        <v>16</v>
      </c>
      <c r="F16" s="8" t="s">
        <v>31</v>
      </c>
      <c r="G16" s="6">
        <v>24</v>
      </c>
      <c r="H16" s="6">
        <v>24</v>
      </c>
      <c r="I16" s="6">
        <v>0</v>
      </c>
      <c r="J16" s="6">
        <v>0</v>
      </c>
      <c r="K16" s="6">
        <v>24</v>
      </c>
      <c r="L16" s="6">
        <v>24</v>
      </c>
      <c r="M16" s="6">
        <v>24</v>
      </c>
      <c r="N16" s="6">
        <v>24</v>
      </c>
      <c r="O16" s="6">
        <v>24</v>
      </c>
      <c r="P16" s="6">
        <v>24</v>
      </c>
      <c r="Q16" s="6">
        <v>24</v>
      </c>
      <c r="R16" s="6">
        <v>24</v>
      </c>
      <c r="S16" s="6">
        <v>24</v>
      </c>
      <c r="T16" s="6">
        <v>24</v>
      </c>
      <c r="U16" s="6">
        <v>24</v>
      </c>
      <c r="V16" s="6">
        <v>24</v>
      </c>
      <c r="W16" s="6">
        <v>24</v>
      </c>
      <c r="X16" s="6">
        <v>24</v>
      </c>
      <c r="Y16" s="6">
        <v>24</v>
      </c>
      <c r="Z16" s="6">
        <v>24</v>
      </c>
      <c r="AA16" s="6">
        <v>24</v>
      </c>
      <c r="AB16" s="6">
        <v>24</v>
      </c>
    </row>
    <row r="17" spans="1:28" x14ac:dyDescent="0.3">
      <c r="A17" s="3" t="s">
        <v>16</v>
      </c>
      <c r="B17" s="3" t="s">
        <v>15</v>
      </c>
      <c r="C17" s="4">
        <v>1</v>
      </c>
      <c r="D17" s="3">
        <v>80</v>
      </c>
      <c r="E17" s="6">
        <f t="shared" si="0"/>
        <v>80</v>
      </c>
      <c r="F17" s="8" t="s">
        <v>31</v>
      </c>
      <c r="G17" s="6">
        <v>80</v>
      </c>
      <c r="H17" s="6">
        <v>80</v>
      </c>
      <c r="I17" s="6">
        <v>40</v>
      </c>
      <c r="J17" s="6">
        <v>80</v>
      </c>
      <c r="K17" s="6">
        <v>80</v>
      </c>
      <c r="L17" s="6">
        <v>80</v>
      </c>
      <c r="M17" s="6">
        <v>80</v>
      </c>
      <c r="N17" s="6">
        <v>80</v>
      </c>
      <c r="O17" s="6">
        <v>80</v>
      </c>
      <c r="P17" s="6">
        <v>80</v>
      </c>
      <c r="Q17" s="6">
        <v>80</v>
      </c>
      <c r="R17" s="6">
        <v>80</v>
      </c>
      <c r="S17" s="6">
        <v>80</v>
      </c>
      <c r="T17" s="6">
        <v>80</v>
      </c>
      <c r="U17" s="6">
        <v>80</v>
      </c>
      <c r="V17" s="6">
        <v>80</v>
      </c>
      <c r="W17" s="6">
        <v>80</v>
      </c>
      <c r="X17" s="6">
        <v>80</v>
      </c>
      <c r="Y17" s="6">
        <v>80</v>
      </c>
      <c r="Z17" s="6">
        <v>80</v>
      </c>
      <c r="AA17" s="6">
        <v>80</v>
      </c>
      <c r="AB17" s="6">
        <v>80</v>
      </c>
    </row>
    <row r="18" spans="1:28" x14ac:dyDescent="0.3">
      <c r="A18" s="3" t="s">
        <v>17</v>
      </c>
      <c r="B18" s="3" t="s">
        <v>63</v>
      </c>
      <c r="C18" s="4">
        <v>0.6</v>
      </c>
      <c r="D18" s="3">
        <v>80</v>
      </c>
      <c r="E18" s="6">
        <f t="shared" si="0"/>
        <v>48</v>
      </c>
      <c r="F18" s="8" t="s">
        <v>31</v>
      </c>
      <c r="G18" s="6">
        <v>48</v>
      </c>
      <c r="H18" s="6">
        <v>48</v>
      </c>
      <c r="I18" s="6">
        <v>24</v>
      </c>
      <c r="J18" s="6">
        <v>48</v>
      </c>
      <c r="K18" s="6">
        <v>48</v>
      </c>
      <c r="L18" s="6">
        <v>48</v>
      </c>
      <c r="M18" s="6">
        <v>48</v>
      </c>
      <c r="N18" s="6">
        <v>48</v>
      </c>
      <c r="O18" s="6">
        <v>48</v>
      </c>
      <c r="P18" s="6">
        <v>48</v>
      </c>
      <c r="Q18" s="6">
        <v>48</v>
      </c>
      <c r="R18" s="6">
        <v>48</v>
      </c>
      <c r="S18" s="6">
        <v>48</v>
      </c>
      <c r="T18" s="6">
        <v>48</v>
      </c>
      <c r="U18" s="6">
        <v>48</v>
      </c>
      <c r="V18" s="6">
        <v>48</v>
      </c>
      <c r="W18" s="6">
        <v>48</v>
      </c>
      <c r="X18" s="6">
        <v>48</v>
      </c>
      <c r="Y18" s="6">
        <v>48</v>
      </c>
      <c r="Z18" s="6">
        <v>48</v>
      </c>
      <c r="AA18" s="6">
        <v>48</v>
      </c>
      <c r="AB18" s="6">
        <v>48</v>
      </c>
    </row>
    <row r="19" spans="1:28" x14ac:dyDescent="0.3">
      <c r="A19" s="3" t="s">
        <v>17</v>
      </c>
      <c r="B19" s="3" t="s">
        <v>15</v>
      </c>
      <c r="C19" s="4">
        <v>0.2</v>
      </c>
      <c r="D19" s="3">
        <v>80</v>
      </c>
      <c r="E19" s="6">
        <f t="shared" si="0"/>
        <v>16</v>
      </c>
      <c r="F19" s="8" t="s">
        <v>31</v>
      </c>
      <c r="G19" s="6">
        <v>16</v>
      </c>
      <c r="H19" s="6">
        <v>16</v>
      </c>
      <c r="I19" s="6">
        <v>8</v>
      </c>
      <c r="J19" s="6">
        <v>16</v>
      </c>
      <c r="K19" s="6">
        <v>16</v>
      </c>
      <c r="L19" s="6">
        <v>16</v>
      </c>
      <c r="M19" s="6">
        <v>16</v>
      </c>
      <c r="N19" s="6">
        <v>16</v>
      </c>
      <c r="O19" s="6">
        <v>16</v>
      </c>
      <c r="P19" s="6">
        <v>16</v>
      </c>
      <c r="Q19" s="6">
        <v>16</v>
      </c>
      <c r="R19" s="6">
        <v>16</v>
      </c>
      <c r="S19" s="6">
        <v>16</v>
      </c>
      <c r="T19" s="6">
        <v>16</v>
      </c>
      <c r="U19" s="6">
        <v>16</v>
      </c>
      <c r="V19" s="6">
        <v>16</v>
      </c>
      <c r="W19" s="6">
        <v>16</v>
      </c>
      <c r="X19" s="6">
        <v>16</v>
      </c>
      <c r="Y19" s="6">
        <v>16</v>
      </c>
      <c r="Z19" s="6">
        <v>16</v>
      </c>
      <c r="AA19" s="6">
        <v>16</v>
      </c>
      <c r="AB19" s="6">
        <v>16</v>
      </c>
    </row>
    <row r="20" spans="1:28" x14ac:dyDescent="0.3">
      <c r="A20" s="3" t="s">
        <v>386</v>
      </c>
      <c r="B20" s="3" t="s">
        <v>71</v>
      </c>
      <c r="C20" s="4">
        <v>0.5</v>
      </c>
      <c r="D20" s="3">
        <v>40</v>
      </c>
      <c r="E20" s="6">
        <f t="shared" ref="E20" si="7">D20*C20</f>
        <v>20</v>
      </c>
      <c r="F20" s="8" t="s">
        <v>31</v>
      </c>
      <c r="G20" s="6">
        <v>8</v>
      </c>
      <c r="H20" s="6">
        <v>8</v>
      </c>
      <c r="I20" s="6">
        <v>16</v>
      </c>
      <c r="J20" s="6">
        <v>20</v>
      </c>
      <c r="K20" s="6">
        <v>20</v>
      </c>
      <c r="L20" s="6">
        <v>20</v>
      </c>
      <c r="M20" s="6">
        <v>20</v>
      </c>
      <c r="N20" s="6">
        <v>20</v>
      </c>
      <c r="O20" s="6">
        <v>20</v>
      </c>
      <c r="P20" s="6">
        <v>20</v>
      </c>
      <c r="Q20" s="6">
        <v>20</v>
      </c>
      <c r="R20" s="6">
        <v>20</v>
      </c>
      <c r="S20" s="6">
        <v>20</v>
      </c>
      <c r="T20" s="6">
        <v>20</v>
      </c>
      <c r="U20" s="6">
        <v>20</v>
      </c>
      <c r="V20" s="6">
        <v>20</v>
      </c>
      <c r="W20" s="6">
        <v>20</v>
      </c>
      <c r="X20" s="6">
        <v>20</v>
      </c>
      <c r="Y20" s="6">
        <v>20</v>
      </c>
      <c r="Z20" s="6">
        <v>20</v>
      </c>
      <c r="AA20" s="6">
        <v>20</v>
      </c>
      <c r="AB20" s="6">
        <v>20</v>
      </c>
    </row>
    <row r="21" spans="1:28" x14ac:dyDescent="0.3">
      <c r="A21" s="3" t="s">
        <v>19</v>
      </c>
      <c r="B21" s="3" t="s">
        <v>13</v>
      </c>
      <c r="C21" s="4">
        <v>0.4</v>
      </c>
      <c r="D21" s="3">
        <v>80</v>
      </c>
      <c r="E21" s="6">
        <f t="shared" si="0"/>
        <v>32</v>
      </c>
      <c r="F21" s="8" t="s">
        <v>31</v>
      </c>
      <c r="G21" s="6">
        <v>16</v>
      </c>
      <c r="H21" s="6">
        <v>16</v>
      </c>
      <c r="I21" s="6">
        <v>8</v>
      </c>
      <c r="J21" s="6">
        <v>16</v>
      </c>
      <c r="K21" s="6">
        <v>16</v>
      </c>
      <c r="L21" s="6">
        <v>16</v>
      </c>
      <c r="M21" s="6">
        <v>16</v>
      </c>
      <c r="N21" s="6">
        <v>16</v>
      </c>
      <c r="O21" s="6">
        <v>16</v>
      </c>
      <c r="P21" s="6">
        <v>16</v>
      </c>
      <c r="Q21" s="6">
        <v>16</v>
      </c>
      <c r="R21" s="6">
        <v>16</v>
      </c>
      <c r="S21" s="6">
        <v>16</v>
      </c>
      <c r="T21" s="6">
        <v>16</v>
      </c>
      <c r="U21" s="6">
        <v>16</v>
      </c>
      <c r="V21" s="6">
        <v>16</v>
      </c>
      <c r="W21" s="6">
        <v>16</v>
      </c>
      <c r="X21" s="6">
        <v>16</v>
      </c>
      <c r="Y21" s="6">
        <v>16</v>
      </c>
      <c r="Z21" s="6">
        <v>16</v>
      </c>
      <c r="AA21" s="6">
        <v>16</v>
      </c>
      <c r="AB21" s="6">
        <v>16</v>
      </c>
    </row>
    <row r="22" spans="1:28" x14ac:dyDescent="0.3">
      <c r="A22" s="358" t="s">
        <v>2</v>
      </c>
      <c r="B22" s="359"/>
      <c r="C22" s="359"/>
      <c r="D22" s="360"/>
      <c r="E22" s="21">
        <f>SUM(E2:E21)</f>
        <v>670</v>
      </c>
      <c r="F22" s="44" t="s">
        <v>31</v>
      </c>
      <c r="G22" s="21">
        <f t="shared" ref="G22:AB22" si="8">SUM(G2:G21)</f>
        <v>718</v>
      </c>
      <c r="H22" s="21">
        <f t="shared" si="8"/>
        <v>718</v>
      </c>
      <c r="I22" s="21">
        <f t="shared" si="8"/>
        <v>359</v>
      </c>
      <c r="J22" s="21">
        <f t="shared" si="8"/>
        <v>678</v>
      </c>
      <c r="K22" s="21">
        <f t="shared" si="8"/>
        <v>742</v>
      </c>
      <c r="L22" s="21">
        <f t="shared" si="8"/>
        <v>742</v>
      </c>
      <c r="M22" s="21">
        <f t="shared" si="8"/>
        <v>722</v>
      </c>
      <c r="N22" s="21">
        <f t="shared" si="8"/>
        <v>722</v>
      </c>
      <c r="O22" s="21">
        <f t="shared" si="8"/>
        <v>722</v>
      </c>
      <c r="P22" s="21">
        <f t="shared" si="8"/>
        <v>722</v>
      </c>
      <c r="Q22" s="21">
        <f t="shared" si="8"/>
        <v>722</v>
      </c>
      <c r="R22" s="21">
        <f t="shared" si="8"/>
        <v>722</v>
      </c>
      <c r="S22" s="21">
        <f t="shared" si="8"/>
        <v>722</v>
      </c>
      <c r="T22" s="21">
        <f t="shared" si="8"/>
        <v>722</v>
      </c>
      <c r="U22" s="21">
        <f t="shared" si="8"/>
        <v>722</v>
      </c>
      <c r="V22" s="21">
        <f t="shared" si="8"/>
        <v>722</v>
      </c>
      <c r="W22" s="21">
        <f t="shared" si="8"/>
        <v>722</v>
      </c>
      <c r="X22" s="21">
        <f t="shared" si="8"/>
        <v>722</v>
      </c>
      <c r="Y22" s="21">
        <f t="shared" si="8"/>
        <v>722</v>
      </c>
      <c r="Z22" s="21">
        <f t="shared" si="8"/>
        <v>722</v>
      </c>
      <c r="AA22" s="21">
        <f t="shared" si="8"/>
        <v>722</v>
      </c>
      <c r="AB22" s="21">
        <f t="shared" si="8"/>
        <v>722</v>
      </c>
    </row>
    <row r="23" spans="1:28" x14ac:dyDescent="0.3">
      <c r="A23" s="358" t="s">
        <v>59</v>
      </c>
      <c r="B23" s="359"/>
      <c r="C23" s="359"/>
      <c r="D23" s="360"/>
      <c r="E23" s="21">
        <f>SUMIF($B$2:$B$21,"ARQUITECTO",$E$2:$E$21)</f>
        <v>208</v>
      </c>
      <c r="F23" s="44" t="s">
        <v>31</v>
      </c>
      <c r="G23" s="21">
        <f t="shared" ref="G23:AB23" si="9">SUMIF($B$2:$B$21,"ARQUITECTO",G2:G21)</f>
        <v>196</v>
      </c>
      <c r="H23" s="21">
        <f t="shared" si="9"/>
        <v>196</v>
      </c>
      <c r="I23" s="21">
        <f t="shared" si="9"/>
        <v>98</v>
      </c>
      <c r="J23" s="21">
        <f t="shared" si="9"/>
        <v>160</v>
      </c>
      <c r="K23" s="21">
        <f t="shared" si="9"/>
        <v>208</v>
      </c>
      <c r="L23" s="21">
        <f t="shared" si="9"/>
        <v>208</v>
      </c>
      <c r="M23" s="21">
        <f t="shared" si="9"/>
        <v>188</v>
      </c>
      <c r="N23" s="21">
        <f t="shared" si="9"/>
        <v>188</v>
      </c>
      <c r="O23" s="21">
        <f t="shared" si="9"/>
        <v>188</v>
      </c>
      <c r="P23" s="21">
        <f t="shared" si="9"/>
        <v>188</v>
      </c>
      <c r="Q23" s="21">
        <f t="shared" si="9"/>
        <v>188</v>
      </c>
      <c r="R23" s="21">
        <f t="shared" si="9"/>
        <v>188</v>
      </c>
      <c r="S23" s="21">
        <f t="shared" si="9"/>
        <v>188</v>
      </c>
      <c r="T23" s="21">
        <f t="shared" si="9"/>
        <v>188</v>
      </c>
      <c r="U23" s="21">
        <f t="shared" si="9"/>
        <v>188</v>
      </c>
      <c r="V23" s="21">
        <f t="shared" si="9"/>
        <v>188</v>
      </c>
      <c r="W23" s="21">
        <f t="shared" si="9"/>
        <v>188</v>
      </c>
      <c r="X23" s="21">
        <f t="shared" si="9"/>
        <v>188</v>
      </c>
      <c r="Y23" s="21">
        <f t="shared" si="9"/>
        <v>188</v>
      </c>
      <c r="Z23" s="21">
        <f t="shared" si="9"/>
        <v>188</v>
      </c>
      <c r="AA23" s="21">
        <f t="shared" si="9"/>
        <v>188</v>
      </c>
      <c r="AB23" s="21">
        <f t="shared" si="9"/>
        <v>188</v>
      </c>
    </row>
    <row r="24" spans="1:28" x14ac:dyDescent="0.3">
      <c r="A24" s="358" t="s">
        <v>60</v>
      </c>
      <c r="B24" s="359"/>
      <c r="C24" s="359"/>
      <c r="D24" s="360"/>
      <c r="E24" s="21">
        <f>SUMIF($B$2:$B$21,"ESTRUCTURAL",$E$2:$E$21)</f>
        <v>150</v>
      </c>
      <c r="F24" s="44" t="s">
        <v>31</v>
      </c>
      <c r="G24" s="21">
        <f t="shared" ref="G24:AB24" si="10">SUMIF($B$2:$B$21,"ESTRUCTURAL",G2:G21)</f>
        <v>126</v>
      </c>
      <c r="H24" s="21">
        <f t="shared" si="10"/>
        <v>126</v>
      </c>
      <c r="I24" s="21">
        <f t="shared" si="10"/>
        <v>84</v>
      </c>
      <c r="J24" s="21">
        <f t="shared" si="10"/>
        <v>168</v>
      </c>
      <c r="K24" s="21">
        <f t="shared" si="10"/>
        <v>144</v>
      </c>
      <c r="L24" s="21">
        <f t="shared" si="10"/>
        <v>144</v>
      </c>
      <c r="M24" s="21">
        <f t="shared" si="10"/>
        <v>144</v>
      </c>
      <c r="N24" s="21">
        <f t="shared" si="10"/>
        <v>144</v>
      </c>
      <c r="O24" s="21">
        <f t="shared" si="10"/>
        <v>144</v>
      </c>
      <c r="P24" s="21">
        <f t="shared" si="10"/>
        <v>144</v>
      </c>
      <c r="Q24" s="21">
        <f t="shared" si="10"/>
        <v>144</v>
      </c>
      <c r="R24" s="21">
        <f t="shared" si="10"/>
        <v>144</v>
      </c>
      <c r="S24" s="21">
        <f t="shared" si="10"/>
        <v>144</v>
      </c>
      <c r="T24" s="21">
        <f t="shared" si="10"/>
        <v>144</v>
      </c>
      <c r="U24" s="21">
        <f t="shared" si="10"/>
        <v>144</v>
      </c>
      <c r="V24" s="21">
        <f t="shared" si="10"/>
        <v>144</v>
      </c>
      <c r="W24" s="21">
        <f t="shared" si="10"/>
        <v>144</v>
      </c>
      <c r="X24" s="21">
        <f t="shared" si="10"/>
        <v>144</v>
      </c>
      <c r="Y24" s="21">
        <f t="shared" si="10"/>
        <v>144</v>
      </c>
      <c r="Z24" s="21">
        <f t="shared" si="10"/>
        <v>144</v>
      </c>
      <c r="AA24" s="21">
        <f t="shared" si="10"/>
        <v>144</v>
      </c>
      <c r="AB24" s="21">
        <f t="shared" si="10"/>
        <v>144</v>
      </c>
    </row>
    <row r="25" spans="1:28" x14ac:dyDescent="0.3">
      <c r="A25" s="358" t="s">
        <v>71</v>
      </c>
      <c r="B25" s="359"/>
      <c r="C25" s="359"/>
      <c r="D25" s="360"/>
      <c r="E25" s="21">
        <f>SUMIF($B$2:$B$21,"SUELOS",$E$2:$E$21)</f>
        <v>38</v>
      </c>
      <c r="F25" s="44" t="s">
        <v>31</v>
      </c>
      <c r="G25" s="21">
        <f t="shared" ref="G25:AA25" si="11">SUMIF($B$2:$B$21,"SUELOS",G2:G21)</f>
        <v>26</v>
      </c>
      <c r="H25" s="21">
        <f t="shared" si="11"/>
        <v>26</v>
      </c>
      <c r="I25" s="21">
        <f t="shared" si="11"/>
        <v>16</v>
      </c>
      <c r="J25" s="21">
        <f t="shared" si="11"/>
        <v>20</v>
      </c>
      <c r="K25" s="21">
        <f t="shared" si="11"/>
        <v>20</v>
      </c>
      <c r="L25" s="21">
        <f t="shared" si="11"/>
        <v>20</v>
      </c>
      <c r="M25" s="21">
        <f t="shared" si="11"/>
        <v>20</v>
      </c>
      <c r="N25" s="21">
        <f t="shared" si="11"/>
        <v>20</v>
      </c>
      <c r="O25" s="21">
        <f t="shared" si="11"/>
        <v>20</v>
      </c>
      <c r="P25" s="21">
        <f t="shared" si="11"/>
        <v>20</v>
      </c>
      <c r="Q25" s="21">
        <f t="shared" si="11"/>
        <v>20</v>
      </c>
      <c r="R25" s="21">
        <f t="shared" si="11"/>
        <v>20</v>
      </c>
      <c r="S25" s="21">
        <f t="shared" si="11"/>
        <v>20</v>
      </c>
      <c r="T25" s="21">
        <f t="shared" si="11"/>
        <v>20</v>
      </c>
      <c r="U25" s="21">
        <f t="shared" si="11"/>
        <v>20</v>
      </c>
      <c r="V25" s="21">
        <f t="shared" si="11"/>
        <v>20</v>
      </c>
      <c r="W25" s="21">
        <f t="shared" si="11"/>
        <v>20</v>
      </c>
      <c r="X25" s="21">
        <f t="shared" si="11"/>
        <v>20</v>
      </c>
      <c r="Y25" s="21">
        <f t="shared" si="11"/>
        <v>20</v>
      </c>
      <c r="Z25" s="21">
        <f t="shared" si="11"/>
        <v>20</v>
      </c>
      <c r="AA25" s="21">
        <f t="shared" si="11"/>
        <v>20</v>
      </c>
      <c r="AB25" s="21">
        <f>SUMIF($B$2:$B$21,"SUELOS",Z2:Z21)</f>
        <v>20</v>
      </c>
    </row>
    <row r="26" spans="1:28" x14ac:dyDescent="0.3">
      <c r="A26" s="358" t="s">
        <v>61</v>
      </c>
      <c r="B26" s="359"/>
      <c r="C26" s="359"/>
      <c r="D26" s="360"/>
      <c r="E26" s="21">
        <f>SUMIF($B$2:$B$21,"SANITARIO",$E$2:$E$21)</f>
        <v>128</v>
      </c>
      <c r="F26" s="44" t="s">
        <v>31</v>
      </c>
      <c r="G26" s="21">
        <f t="shared" ref="G26:AB26" si="12">SUMIF($B$2:$B$21,"SANITARIO",G2:G21)</f>
        <v>120</v>
      </c>
      <c r="H26" s="21">
        <f t="shared" si="12"/>
        <v>120</v>
      </c>
      <c r="I26" s="21">
        <f t="shared" si="12"/>
        <v>48</v>
      </c>
      <c r="J26" s="21">
        <f t="shared" si="12"/>
        <v>96</v>
      </c>
      <c r="K26" s="21">
        <f t="shared" si="12"/>
        <v>136</v>
      </c>
      <c r="L26" s="21">
        <f t="shared" si="12"/>
        <v>136</v>
      </c>
      <c r="M26" s="21">
        <f t="shared" si="12"/>
        <v>136</v>
      </c>
      <c r="N26" s="21">
        <f t="shared" si="12"/>
        <v>136</v>
      </c>
      <c r="O26" s="21">
        <f t="shared" si="12"/>
        <v>136</v>
      </c>
      <c r="P26" s="21">
        <f t="shared" si="12"/>
        <v>136</v>
      </c>
      <c r="Q26" s="21">
        <f t="shared" si="12"/>
        <v>136</v>
      </c>
      <c r="R26" s="21">
        <f t="shared" si="12"/>
        <v>136</v>
      </c>
      <c r="S26" s="21">
        <f t="shared" si="12"/>
        <v>136</v>
      </c>
      <c r="T26" s="21">
        <f t="shared" si="12"/>
        <v>136</v>
      </c>
      <c r="U26" s="21">
        <f t="shared" si="12"/>
        <v>136</v>
      </c>
      <c r="V26" s="21">
        <f t="shared" si="12"/>
        <v>136</v>
      </c>
      <c r="W26" s="21">
        <f t="shared" si="12"/>
        <v>136</v>
      </c>
      <c r="X26" s="21">
        <f t="shared" si="12"/>
        <v>136</v>
      </c>
      <c r="Y26" s="21">
        <f t="shared" si="12"/>
        <v>136</v>
      </c>
      <c r="Z26" s="21">
        <f t="shared" si="12"/>
        <v>136</v>
      </c>
      <c r="AA26" s="21">
        <f t="shared" si="12"/>
        <v>136</v>
      </c>
      <c r="AB26" s="21">
        <f t="shared" si="12"/>
        <v>136</v>
      </c>
    </row>
    <row r="27" spans="1:28" x14ac:dyDescent="0.3">
      <c r="A27" s="358" t="s">
        <v>62</v>
      </c>
      <c r="B27" s="359"/>
      <c r="C27" s="359"/>
      <c r="D27" s="360"/>
      <c r="E27" s="21">
        <f>SUMIF($B$2:$B$21,"ELECTRICO",$E$2:$E$21)</f>
        <v>74</v>
      </c>
      <c r="F27" s="44" t="s">
        <v>31</v>
      </c>
      <c r="G27" s="21">
        <f t="shared" ref="G27:AB27" si="13">SUMIF($B$2:$B$21,"ELECTRICO",G2:G21)</f>
        <v>122</v>
      </c>
      <c r="H27" s="21">
        <f t="shared" si="13"/>
        <v>122</v>
      </c>
      <c r="I27" s="21">
        <f t="shared" si="13"/>
        <v>57</v>
      </c>
      <c r="J27" s="21">
        <f t="shared" si="13"/>
        <v>114</v>
      </c>
      <c r="K27" s="21">
        <f t="shared" si="13"/>
        <v>114</v>
      </c>
      <c r="L27" s="21">
        <f t="shared" si="13"/>
        <v>114</v>
      </c>
      <c r="M27" s="21">
        <f t="shared" si="13"/>
        <v>114</v>
      </c>
      <c r="N27" s="21">
        <f t="shared" si="13"/>
        <v>114</v>
      </c>
      <c r="O27" s="21">
        <f t="shared" si="13"/>
        <v>114</v>
      </c>
      <c r="P27" s="21">
        <f t="shared" si="13"/>
        <v>114</v>
      </c>
      <c r="Q27" s="21">
        <f t="shared" si="13"/>
        <v>114</v>
      </c>
      <c r="R27" s="21">
        <f t="shared" si="13"/>
        <v>114</v>
      </c>
      <c r="S27" s="21">
        <f t="shared" si="13"/>
        <v>114</v>
      </c>
      <c r="T27" s="21">
        <f t="shared" si="13"/>
        <v>114</v>
      </c>
      <c r="U27" s="21">
        <f t="shared" si="13"/>
        <v>114</v>
      </c>
      <c r="V27" s="21">
        <f t="shared" si="13"/>
        <v>114</v>
      </c>
      <c r="W27" s="21">
        <f t="shared" si="13"/>
        <v>114</v>
      </c>
      <c r="X27" s="21">
        <f t="shared" si="13"/>
        <v>114</v>
      </c>
      <c r="Y27" s="21">
        <f t="shared" si="13"/>
        <v>114</v>
      </c>
      <c r="Z27" s="21">
        <f t="shared" si="13"/>
        <v>114</v>
      </c>
      <c r="AA27" s="21">
        <f t="shared" si="13"/>
        <v>114</v>
      </c>
      <c r="AB27" s="21">
        <f t="shared" si="13"/>
        <v>114</v>
      </c>
    </row>
    <row r="28" spans="1:28" x14ac:dyDescent="0.3">
      <c r="A28" s="358" t="s">
        <v>451</v>
      </c>
      <c r="B28" s="359"/>
      <c r="C28" s="359"/>
      <c r="D28" s="360"/>
      <c r="E28" s="21">
        <f>SUMIF($B$2:$B$21,"GAS",$E$2:$E$21)</f>
        <v>24</v>
      </c>
      <c r="F28" s="44" t="s">
        <v>31</v>
      </c>
      <c r="G28" s="21">
        <f>SUMIF($B$2:$B$21,"GAS",G2:G21)</f>
        <v>80</v>
      </c>
      <c r="H28" s="21">
        <f t="shared" ref="H28:AB28" si="14">SUMIF($B$2:$B$21,"GAS",H2:H21)</f>
        <v>80</v>
      </c>
      <c r="I28" s="21">
        <f t="shared" si="14"/>
        <v>32</v>
      </c>
      <c r="J28" s="21">
        <f t="shared" si="14"/>
        <v>72</v>
      </c>
      <c r="K28" s="21">
        <f t="shared" si="14"/>
        <v>72</v>
      </c>
      <c r="L28" s="21">
        <f t="shared" si="14"/>
        <v>72</v>
      </c>
      <c r="M28" s="21">
        <f t="shared" si="14"/>
        <v>72</v>
      </c>
      <c r="N28" s="21">
        <f t="shared" si="14"/>
        <v>72</v>
      </c>
      <c r="O28" s="21">
        <f t="shared" si="14"/>
        <v>72</v>
      </c>
      <c r="P28" s="21">
        <f t="shared" si="14"/>
        <v>72</v>
      </c>
      <c r="Q28" s="21">
        <f t="shared" si="14"/>
        <v>72</v>
      </c>
      <c r="R28" s="21">
        <f t="shared" si="14"/>
        <v>72</v>
      </c>
      <c r="S28" s="21">
        <f t="shared" si="14"/>
        <v>72</v>
      </c>
      <c r="T28" s="21">
        <f t="shared" si="14"/>
        <v>72</v>
      </c>
      <c r="U28" s="21">
        <f t="shared" si="14"/>
        <v>72</v>
      </c>
      <c r="V28" s="21">
        <f t="shared" si="14"/>
        <v>72</v>
      </c>
      <c r="W28" s="21">
        <f t="shared" si="14"/>
        <v>72</v>
      </c>
      <c r="X28" s="21">
        <f t="shared" si="14"/>
        <v>72</v>
      </c>
      <c r="Y28" s="21">
        <f t="shared" si="14"/>
        <v>72</v>
      </c>
      <c r="Z28" s="21">
        <f t="shared" si="14"/>
        <v>72</v>
      </c>
      <c r="AA28" s="21">
        <f t="shared" si="14"/>
        <v>72</v>
      </c>
      <c r="AB28" s="21">
        <f t="shared" si="14"/>
        <v>72</v>
      </c>
    </row>
    <row r="29" spans="1:28" x14ac:dyDescent="0.3">
      <c r="A29" s="358" t="s">
        <v>18</v>
      </c>
      <c r="B29" s="359"/>
      <c r="C29" s="359"/>
      <c r="D29" s="360"/>
      <c r="E29" s="21">
        <f>SUMIF($B$2:$B$21,"GESTORA",$E$2:$E$21)</f>
        <v>48</v>
      </c>
      <c r="F29" s="44" t="s">
        <v>31</v>
      </c>
      <c r="G29" s="21">
        <f t="shared" ref="G29:AB29" si="15">SUMIF($B$2:$B$21,"GESTORA",G2:G21)</f>
        <v>48</v>
      </c>
      <c r="H29" s="21">
        <f t="shared" si="15"/>
        <v>48</v>
      </c>
      <c r="I29" s="21">
        <f t="shared" si="15"/>
        <v>24</v>
      </c>
      <c r="J29" s="21">
        <f t="shared" si="15"/>
        <v>48</v>
      </c>
      <c r="K29" s="21">
        <f t="shared" si="15"/>
        <v>48</v>
      </c>
      <c r="L29" s="21">
        <f t="shared" si="15"/>
        <v>48</v>
      </c>
      <c r="M29" s="21">
        <f t="shared" si="15"/>
        <v>48</v>
      </c>
      <c r="N29" s="21">
        <f t="shared" si="15"/>
        <v>48</v>
      </c>
      <c r="O29" s="21">
        <f t="shared" si="15"/>
        <v>48</v>
      </c>
      <c r="P29" s="21">
        <f t="shared" si="15"/>
        <v>48</v>
      </c>
      <c r="Q29" s="21">
        <f t="shared" si="15"/>
        <v>48</v>
      </c>
      <c r="R29" s="21">
        <f t="shared" si="15"/>
        <v>48</v>
      </c>
      <c r="S29" s="21">
        <f t="shared" si="15"/>
        <v>48</v>
      </c>
      <c r="T29" s="21">
        <f t="shared" si="15"/>
        <v>48</v>
      </c>
      <c r="U29" s="21">
        <f t="shared" si="15"/>
        <v>48</v>
      </c>
      <c r="V29" s="21">
        <f t="shared" si="15"/>
        <v>48</v>
      </c>
      <c r="W29" s="21">
        <f t="shared" si="15"/>
        <v>48</v>
      </c>
      <c r="X29" s="21">
        <f t="shared" si="15"/>
        <v>48</v>
      </c>
      <c r="Y29" s="21">
        <f t="shared" si="15"/>
        <v>48</v>
      </c>
      <c r="Z29" s="21">
        <f t="shared" si="15"/>
        <v>48</v>
      </c>
      <c r="AA29" s="21">
        <f t="shared" si="15"/>
        <v>48</v>
      </c>
      <c r="AB29" s="21">
        <f t="shared" si="15"/>
        <v>48</v>
      </c>
    </row>
    <row r="34" spans="5:6" x14ac:dyDescent="0.3">
      <c r="E34"/>
      <c r="F34"/>
    </row>
    <row r="35" spans="5:6" x14ac:dyDescent="0.3">
      <c r="E35"/>
      <c r="F35"/>
    </row>
    <row r="36" spans="5:6" x14ac:dyDescent="0.3">
      <c r="E36"/>
      <c r="F36"/>
    </row>
    <row r="37" spans="5:6" x14ac:dyDescent="0.3">
      <c r="E37"/>
      <c r="F37"/>
    </row>
    <row r="38" spans="5:6" x14ac:dyDescent="0.3">
      <c r="E38"/>
      <c r="F38"/>
    </row>
  </sheetData>
  <mergeCells count="8">
    <mergeCell ref="A22:D22"/>
    <mergeCell ref="A29:D29"/>
    <mergeCell ref="A23:D23"/>
    <mergeCell ref="A24:D24"/>
    <mergeCell ref="A26:D26"/>
    <mergeCell ref="A27:D27"/>
    <mergeCell ref="A25:D25"/>
    <mergeCell ref="A28:D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67CA-175C-494C-8E6D-121B834B79B7}">
  <dimension ref="A1:K21"/>
  <sheetViews>
    <sheetView workbookViewId="0">
      <selection activeCell="C5" sqref="C5"/>
    </sheetView>
  </sheetViews>
  <sheetFormatPr baseColWidth="10" defaultRowHeight="14.4" x14ac:dyDescent="0.3"/>
  <cols>
    <col min="1" max="1" width="38.33203125" bestFit="1" customWidth="1"/>
    <col min="2" max="2" width="26.109375" bestFit="1" customWidth="1"/>
    <col min="3" max="3" width="24.77734375" bestFit="1" customWidth="1"/>
    <col min="4" max="4" width="74.88671875" bestFit="1" customWidth="1"/>
    <col min="5" max="5" width="51.441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s="292" t="s">
        <v>520</v>
      </c>
      <c r="B2" s="292" t="s">
        <v>521</v>
      </c>
      <c r="C2" s="292" t="s">
        <v>21</v>
      </c>
      <c r="D2" s="292" t="s">
        <v>139</v>
      </c>
      <c r="E2" s="292" t="s">
        <v>140</v>
      </c>
      <c r="F2">
        <v>0</v>
      </c>
      <c r="H2">
        <v>0</v>
      </c>
      <c r="J2">
        <v>0</v>
      </c>
      <c r="K2" s="292" t="s">
        <v>370</v>
      </c>
    </row>
    <row r="3" spans="1:11" x14ac:dyDescent="0.3">
      <c r="A3" s="292" t="s">
        <v>520</v>
      </c>
      <c r="B3" s="292" t="s">
        <v>521</v>
      </c>
      <c r="C3" s="292" t="s">
        <v>21</v>
      </c>
      <c r="D3" s="292" t="s">
        <v>519</v>
      </c>
      <c r="E3" s="292" t="s">
        <v>496</v>
      </c>
      <c r="F3">
        <v>6</v>
      </c>
      <c r="H3">
        <v>6</v>
      </c>
      <c r="I3">
        <v>2</v>
      </c>
      <c r="J3">
        <v>0</v>
      </c>
      <c r="K3" s="292" t="s">
        <v>370</v>
      </c>
    </row>
    <row r="4" spans="1:11" x14ac:dyDescent="0.3">
      <c r="A4" s="292" t="s">
        <v>520</v>
      </c>
      <c r="B4" s="292" t="s">
        <v>521</v>
      </c>
      <c r="C4" s="292" t="s">
        <v>21</v>
      </c>
      <c r="D4" s="292" t="s">
        <v>522</v>
      </c>
      <c r="E4" s="292" t="s">
        <v>496</v>
      </c>
      <c r="F4">
        <v>4</v>
      </c>
      <c r="H4">
        <v>4</v>
      </c>
      <c r="J4">
        <v>4</v>
      </c>
      <c r="K4" s="292" t="s">
        <v>370</v>
      </c>
    </row>
    <row r="5" spans="1:11" x14ac:dyDescent="0.3">
      <c r="A5" s="292" t="s">
        <v>520</v>
      </c>
      <c r="B5" s="292" t="s">
        <v>521</v>
      </c>
      <c r="C5" s="292" t="s">
        <v>21</v>
      </c>
      <c r="D5" s="292" t="s">
        <v>280</v>
      </c>
      <c r="E5" s="292" t="s">
        <v>496</v>
      </c>
      <c r="F5">
        <v>3</v>
      </c>
      <c r="H5">
        <v>3</v>
      </c>
      <c r="J5">
        <v>0</v>
      </c>
      <c r="K5" s="292" t="s">
        <v>370</v>
      </c>
    </row>
    <row r="6" spans="1:11" x14ac:dyDescent="0.3">
      <c r="A6" s="292" t="s">
        <v>520</v>
      </c>
      <c r="B6" s="292" t="s">
        <v>521</v>
      </c>
      <c r="C6" s="292" t="s">
        <v>21</v>
      </c>
      <c r="D6" s="292" t="s">
        <v>523</v>
      </c>
      <c r="E6" s="292" t="s">
        <v>496</v>
      </c>
      <c r="F6">
        <v>1</v>
      </c>
      <c r="H6">
        <v>1</v>
      </c>
      <c r="J6">
        <v>1</v>
      </c>
      <c r="K6" s="292" t="s">
        <v>370</v>
      </c>
    </row>
    <row r="7" spans="1:11" x14ac:dyDescent="0.3">
      <c r="A7" s="292" t="s">
        <v>520</v>
      </c>
      <c r="B7" s="292" t="s">
        <v>521</v>
      </c>
      <c r="C7" s="292" t="s">
        <v>21</v>
      </c>
      <c r="D7" s="292" t="s">
        <v>500</v>
      </c>
      <c r="E7" s="292" t="s">
        <v>496</v>
      </c>
      <c r="F7">
        <v>3</v>
      </c>
      <c r="H7">
        <v>3</v>
      </c>
      <c r="I7">
        <v>-2.5</v>
      </c>
      <c r="J7">
        <v>0</v>
      </c>
      <c r="K7" s="292" t="s">
        <v>370</v>
      </c>
    </row>
    <row r="8" spans="1:11" x14ac:dyDescent="0.3">
      <c r="A8" s="292" t="s">
        <v>520</v>
      </c>
      <c r="B8" s="292" t="s">
        <v>521</v>
      </c>
      <c r="C8" s="292" t="s">
        <v>21</v>
      </c>
      <c r="D8" s="292" t="s">
        <v>502</v>
      </c>
      <c r="E8" s="292" t="s">
        <v>496</v>
      </c>
      <c r="F8">
        <v>0.5</v>
      </c>
      <c r="H8">
        <v>0.5</v>
      </c>
      <c r="I8">
        <v>0</v>
      </c>
      <c r="J8">
        <v>0</v>
      </c>
      <c r="K8" s="292" t="s">
        <v>370</v>
      </c>
    </row>
    <row r="9" spans="1:11" x14ac:dyDescent="0.3">
      <c r="A9" s="292" t="s">
        <v>520</v>
      </c>
      <c r="B9" s="292" t="s">
        <v>521</v>
      </c>
      <c r="C9" s="292" t="s">
        <v>21</v>
      </c>
      <c r="D9" s="292" t="s">
        <v>501</v>
      </c>
      <c r="E9" s="292" t="s">
        <v>496</v>
      </c>
      <c r="F9">
        <v>2</v>
      </c>
      <c r="H9">
        <v>2</v>
      </c>
      <c r="I9">
        <v>-1.5</v>
      </c>
      <c r="J9">
        <v>0</v>
      </c>
      <c r="K9" s="292" t="s">
        <v>370</v>
      </c>
    </row>
    <row r="10" spans="1:11" x14ac:dyDescent="0.3">
      <c r="A10" s="292" t="s">
        <v>520</v>
      </c>
      <c r="B10" s="292" t="s">
        <v>521</v>
      </c>
      <c r="C10" s="292" t="s">
        <v>21</v>
      </c>
      <c r="D10" s="292" t="s">
        <v>524</v>
      </c>
      <c r="E10" s="292" t="s">
        <v>496</v>
      </c>
      <c r="F10">
        <v>2</v>
      </c>
      <c r="H10">
        <v>2</v>
      </c>
      <c r="J10">
        <v>2</v>
      </c>
      <c r="K10" s="292" t="s">
        <v>370</v>
      </c>
    </row>
    <row r="11" spans="1:11" x14ac:dyDescent="0.3">
      <c r="A11" s="292" t="s">
        <v>520</v>
      </c>
      <c r="B11" s="292" t="s">
        <v>521</v>
      </c>
      <c r="C11" s="292" t="s">
        <v>21</v>
      </c>
      <c r="D11" s="292" t="s">
        <v>499</v>
      </c>
      <c r="E11" s="292" t="s">
        <v>496</v>
      </c>
      <c r="F11">
        <v>1</v>
      </c>
      <c r="H11">
        <v>1</v>
      </c>
      <c r="J11">
        <v>1</v>
      </c>
      <c r="K11" s="292" t="s">
        <v>370</v>
      </c>
    </row>
    <row r="12" spans="1:11" x14ac:dyDescent="0.3">
      <c r="A12" s="292" t="s">
        <v>520</v>
      </c>
      <c r="B12" s="292" t="s">
        <v>521</v>
      </c>
      <c r="C12" s="292" t="s">
        <v>21</v>
      </c>
      <c r="D12" s="292" t="s">
        <v>503</v>
      </c>
      <c r="E12" s="292" t="s">
        <v>496</v>
      </c>
      <c r="F12">
        <v>0</v>
      </c>
      <c r="G12">
        <v>2</v>
      </c>
      <c r="H12">
        <v>2</v>
      </c>
      <c r="J12">
        <v>2</v>
      </c>
      <c r="K12" s="292" t="s">
        <v>370</v>
      </c>
    </row>
    <row r="13" spans="1:11" x14ac:dyDescent="0.3">
      <c r="A13" s="292" t="s">
        <v>520</v>
      </c>
      <c r="B13" s="292" t="s">
        <v>521</v>
      </c>
      <c r="C13" s="292" t="s">
        <v>21</v>
      </c>
      <c r="D13" s="292" t="s">
        <v>498</v>
      </c>
      <c r="E13" s="292" t="s">
        <v>496</v>
      </c>
      <c r="F13">
        <v>1</v>
      </c>
      <c r="H13">
        <v>1</v>
      </c>
      <c r="J13">
        <v>1</v>
      </c>
      <c r="K13" s="292" t="s">
        <v>370</v>
      </c>
    </row>
    <row r="14" spans="1:11" x14ac:dyDescent="0.3">
      <c r="A14" s="292" t="s">
        <v>520</v>
      </c>
      <c r="B14" s="292" t="s">
        <v>521</v>
      </c>
      <c r="C14" s="292" t="s">
        <v>21</v>
      </c>
      <c r="D14" s="292" t="s">
        <v>497</v>
      </c>
      <c r="E14" s="292" t="s">
        <v>496</v>
      </c>
      <c r="F14">
        <v>1</v>
      </c>
      <c r="H14">
        <v>1</v>
      </c>
      <c r="J14">
        <v>1</v>
      </c>
      <c r="K14" s="292" t="s">
        <v>370</v>
      </c>
    </row>
    <row r="15" spans="1:11" x14ac:dyDescent="0.3">
      <c r="A15" s="292" t="s">
        <v>520</v>
      </c>
      <c r="B15" s="292" t="s">
        <v>521</v>
      </c>
      <c r="C15" s="292" t="s">
        <v>21</v>
      </c>
      <c r="D15" s="292" t="s">
        <v>494</v>
      </c>
      <c r="E15" s="292" t="s">
        <v>170</v>
      </c>
      <c r="F15">
        <v>0</v>
      </c>
      <c r="H15">
        <v>0</v>
      </c>
      <c r="J15">
        <v>0</v>
      </c>
      <c r="K15" s="292" t="s">
        <v>370</v>
      </c>
    </row>
    <row r="16" spans="1:11" x14ac:dyDescent="0.3">
      <c r="A16" s="292" t="s">
        <v>520</v>
      </c>
      <c r="B16" s="292" t="s">
        <v>521</v>
      </c>
      <c r="C16" s="292" t="s">
        <v>21</v>
      </c>
      <c r="D16" s="292" t="s">
        <v>495</v>
      </c>
      <c r="E16" s="292" t="s">
        <v>496</v>
      </c>
      <c r="F16">
        <v>5</v>
      </c>
      <c r="H16">
        <v>5</v>
      </c>
      <c r="J16">
        <v>5</v>
      </c>
      <c r="K16" s="292" t="s">
        <v>370</v>
      </c>
    </row>
    <row r="17" spans="1:11" x14ac:dyDescent="0.3">
      <c r="A17" s="292" t="s">
        <v>520</v>
      </c>
      <c r="B17" s="292" t="s">
        <v>521</v>
      </c>
      <c r="C17" s="292" t="s">
        <v>21</v>
      </c>
      <c r="D17" s="292" t="s">
        <v>504</v>
      </c>
      <c r="E17" s="292" t="s">
        <v>496</v>
      </c>
      <c r="F17">
        <v>0</v>
      </c>
      <c r="H17">
        <v>0</v>
      </c>
      <c r="J17">
        <v>0</v>
      </c>
      <c r="K17" s="292" t="s">
        <v>370</v>
      </c>
    </row>
    <row r="18" spans="1:11" x14ac:dyDescent="0.3">
      <c r="A18" s="292" t="s">
        <v>520</v>
      </c>
      <c r="B18" s="292" t="s">
        <v>521</v>
      </c>
      <c r="C18" s="292" t="s">
        <v>64</v>
      </c>
      <c r="D18" s="292" t="s">
        <v>288</v>
      </c>
      <c r="E18" s="292" t="s">
        <v>140</v>
      </c>
      <c r="F18">
        <v>0</v>
      </c>
      <c r="H18">
        <v>0</v>
      </c>
      <c r="J18">
        <v>0</v>
      </c>
      <c r="K18" s="292" t="s">
        <v>370</v>
      </c>
    </row>
    <row r="19" spans="1:11" x14ac:dyDescent="0.3">
      <c r="A19" s="292" t="s">
        <v>520</v>
      </c>
      <c r="B19" s="292" t="s">
        <v>521</v>
      </c>
      <c r="C19" s="292" t="s">
        <v>64</v>
      </c>
      <c r="D19" s="292" t="s">
        <v>289</v>
      </c>
      <c r="E19" s="292" t="s">
        <v>140</v>
      </c>
      <c r="F19">
        <v>0</v>
      </c>
      <c r="H19">
        <v>0</v>
      </c>
      <c r="J19">
        <v>0</v>
      </c>
      <c r="K19" s="292" t="s">
        <v>370</v>
      </c>
    </row>
    <row r="20" spans="1:11" x14ac:dyDescent="0.3">
      <c r="A20" s="292" t="s">
        <v>520</v>
      </c>
      <c r="B20" s="292" t="s">
        <v>521</v>
      </c>
      <c r="C20" s="292" t="s">
        <v>64</v>
      </c>
      <c r="D20" s="292" t="s">
        <v>505</v>
      </c>
      <c r="E20" s="292" t="s">
        <v>140</v>
      </c>
      <c r="F20">
        <v>0</v>
      </c>
      <c r="H20">
        <v>0</v>
      </c>
      <c r="J20">
        <v>0</v>
      </c>
      <c r="K20" s="292" t="s">
        <v>370</v>
      </c>
    </row>
    <row r="21" spans="1:11" x14ac:dyDescent="0.3">
      <c r="A21" s="292" t="s">
        <v>520</v>
      </c>
      <c r="B21" s="292" t="s">
        <v>521</v>
      </c>
      <c r="C21" s="292" t="s">
        <v>64</v>
      </c>
      <c r="D21" s="292" t="s">
        <v>506</v>
      </c>
      <c r="E21" s="292" t="s">
        <v>140</v>
      </c>
      <c r="F21">
        <v>0</v>
      </c>
      <c r="H21">
        <v>0</v>
      </c>
      <c r="J21">
        <v>0</v>
      </c>
      <c r="K21" s="292" t="s">
        <v>370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3745-3990-402E-B937-BD2403CC7622}">
  <dimension ref="A1:K59"/>
  <sheetViews>
    <sheetView zoomScale="85" zoomScaleNormal="85" workbookViewId="0">
      <selection activeCell="D16" sqref="D16"/>
    </sheetView>
  </sheetViews>
  <sheetFormatPr baseColWidth="10" defaultRowHeight="14.4" x14ac:dyDescent="0.3"/>
  <cols>
    <col min="1" max="1" width="37" bestFit="1" customWidth="1"/>
    <col min="2" max="2" width="21.5546875" bestFit="1" customWidth="1"/>
    <col min="3" max="3" width="26" bestFit="1" customWidth="1"/>
    <col min="4" max="4" width="79.5546875" bestFit="1" customWidth="1"/>
    <col min="5" max="5" width="63.21875" bestFit="1" customWidth="1"/>
    <col min="6" max="7" width="80.88671875" style="1" bestFit="1" customWidth="1"/>
    <col min="8" max="8" width="9" bestFit="1" customWidth="1"/>
    <col min="9" max="9" width="22.33203125" bestFit="1" customWidth="1"/>
    <col min="10" max="10" width="26.21875" bestFit="1" customWidth="1"/>
    <col min="11" max="12" width="12.3320312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s="7" t="s">
        <v>77</v>
      </c>
      <c r="G1" s="7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85</v>
      </c>
      <c r="B2" t="s">
        <v>80</v>
      </c>
      <c r="C2" t="s">
        <v>21</v>
      </c>
      <c r="D2" t="s">
        <v>88</v>
      </c>
      <c r="E2" t="s">
        <v>334</v>
      </c>
      <c r="F2">
        <v>23</v>
      </c>
      <c r="G2"/>
      <c r="H2">
        <v>23</v>
      </c>
      <c r="I2">
        <v>52</v>
      </c>
      <c r="J2">
        <v>0</v>
      </c>
      <c r="K2" t="s">
        <v>370</v>
      </c>
    </row>
    <row r="3" spans="1:11" x14ac:dyDescent="0.3">
      <c r="A3" t="s">
        <v>85</v>
      </c>
      <c r="B3" t="s">
        <v>80</v>
      </c>
      <c r="C3" t="s">
        <v>21</v>
      </c>
      <c r="D3" t="s">
        <v>337</v>
      </c>
      <c r="E3" t="s">
        <v>334</v>
      </c>
      <c r="F3">
        <v>0</v>
      </c>
      <c r="G3">
        <v>6</v>
      </c>
      <c r="H3">
        <v>6</v>
      </c>
      <c r="J3">
        <v>4.5</v>
      </c>
      <c r="K3" t="s">
        <v>370</v>
      </c>
    </row>
    <row r="4" spans="1:11" x14ac:dyDescent="0.3">
      <c r="A4" t="s">
        <v>85</v>
      </c>
      <c r="B4" t="s">
        <v>80</v>
      </c>
      <c r="C4" t="s">
        <v>21</v>
      </c>
      <c r="D4" t="s">
        <v>119</v>
      </c>
      <c r="E4" t="s">
        <v>335</v>
      </c>
      <c r="F4">
        <v>4</v>
      </c>
      <c r="G4"/>
      <c r="H4">
        <v>4</v>
      </c>
      <c r="J4">
        <v>2</v>
      </c>
      <c r="K4" t="s">
        <v>370</v>
      </c>
    </row>
    <row r="5" spans="1:11" x14ac:dyDescent="0.3">
      <c r="A5" t="s">
        <v>85</v>
      </c>
      <c r="B5" t="s">
        <v>80</v>
      </c>
      <c r="C5" t="s">
        <v>21</v>
      </c>
      <c r="D5" t="s">
        <v>89</v>
      </c>
      <c r="E5" t="s">
        <v>334</v>
      </c>
      <c r="F5" s="1">
        <v>0</v>
      </c>
      <c r="H5">
        <v>0</v>
      </c>
      <c r="J5">
        <v>0</v>
      </c>
      <c r="K5" t="s">
        <v>370</v>
      </c>
    </row>
    <row r="6" spans="1:11" x14ac:dyDescent="0.3">
      <c r="A6" t="s">
        <v>85</v>
      </c>
      <c r="B6" t="s">
        <v>80</v>
      </c>
      <c r="C6" t="s">
        <v>21</v>
      </c>
      <c r="D6" t="s">
        <v>374</v>
      </c>
      <c r="E6" t="s">
        <v>334</v>
      </c>
      <c r="F6" s="1">
        <v>0</v>
      </c>
      <c r="H6">
        <v>0</v>
      </c>
      <c r="J6">
        <v>0</v>
      </c>
      <c r="K6" t="s">
        <v>370</v>
      </c>
    </row>
    <row r="7" spans="1:11" x14ac:dyDescent="0.3">
      <c r="A7" t="s">
        <v>85</v>
      </c>
      <c r="B7" t="s">
        <v>80</v>
      </c>
      <c r="C7" t="s">
        <v>21</v>
      </c>
      <c r="D7" t="s">
        <v>336</v>
      </c>
      <c r="E7" t="s">
        <v>334</v>
      </c>
      <c r="F7" s="1">
        <v>0</v>
      </c>
      <c r="H7">
        <v>0</v>
      </c>
      <c r="J7">
        <v>0</v>
      </c>
      <c r="K7" t="s">
        <v>370</v>
      </c>
    </row>
    <row r="8" spans="1:11" x14ac:dyDescent="0.3">
      <c r="A8" t="s">
        <v>85</v>
      </c>
      <c r="B8" t="s">
        <v>80</v>
      </c>
      <c r="C8" t="s">
        <v>21</v>
      </c>
      <c r="D8" t="s">
        <v>125</v>
      </c>
      <c r="E8" t="s">
        <v>334</v>
      </c>
      <c r="F8" s="1">
        <v>0</v>
      </c>
      <c r="H8">
        <v>0</v>
      </c>
      <c r="J8">
        <v>0</v>
      </c>
      <c r="K8" t="s">
        <v>370</v>
      </c>
    </row>
    <row r="9" spans="1:11" x14ac:dyDescent="0.3">
      <c r="A9" t="s">
        <v>85</v>
      </c>
      <c r="B9" t="s">
        <v>80</v>
      </c>
      <c r="C9" t="s">
        <v>21</v>
      </c>
      <c r="D9" t="s">
        <v>332</v>
      </c>
      <c r="E9" t="s">
        <v>333</v>
      </c>
      <c r="F9" s="1">
        <v>0</v>
      </c>
      <c r="H9">
        <v>0</v>
      </c>
      <c r="J9">
        <v>0</v>
      </c>
      <c r="K9" t="s">
        <v>370</v>
      </c>
    </row>
    <row r="10" spans="1:11" x14ac:dyDescent="0.3">
      <c r="A10" t="s">
        <v>85</v>
      </c>
      <c r="B10" t="s">
        <v>80</v>
      </c>
      <c r="C10" t="s">
        <v>58</v>
      </c>
      <c r="D10" t="s">
        <v>90</v>
      </c>
      <c r="E10" t="s">
        <v>335</v>
      </c>
      <c r="F10" s="1">
        <v>2</v>
      </c>
      <c r="H10">
        <v>2</v>
      </c>
      <c r="I10">
        <v>14</v>
      </c>
      <c r="J10">
        <v>0</v>
      </c>
      <c r="K10" t="s">
        <v>370</v>
      </c>
    </row>
    <row r="11" spans="1:11" x14ac:dyDescent="0.3">
      <c r="A11" t="s">
        <v>85</v>
      </c>
      <c r="B11" t="s">
        <v>80</v>
      </c>
      <c r="C11" t="s">
        <v>58</v>
      </c>
      <c r="D11" t="s">
        <v>173</v>
      </c>
      <c r="E11" t="s">
        <v>335</v>
      </c>
      <c r="F11" s="1">
        <v>7</v>
      </c>
      <c r="H11">
        <v>7</v>
      </c>
      <c r="I11">
        <v>3</v>
      </c>
      <c r="J11">
        <v>0</v>
      </c>
      <c r="K11" t="s">
        <v>370</v>
      </c>
    </row>
    <row r="12" spans="1:11" x14ac:dyDescent="0.3">
      <c r="A12" t="s">
        <v>85</v>
      </c>
      <c r="B12" t="s">
        <v>80</v>
      </c>
      <c r="C12" t="s">
        <v>58</v>
      </c>
      <c r="D12" t="s">
        <v>174</v>
      </c>
      <c r="E12" t="s">
        <v>335</v>
      </c>
      <c r="F12" s="1">
        <v>2</v>
      </c>
      <c r="H12">
        <v>2</v>
      </c>
      <c r="I12">
        <v>-2</v>
      </c>
      <c r="J12">
        <v>0</v>
      </c>
      <c r="K12" t="s">
        <v>370</v>
      </c>
    </row>
    <row r="13" spans="1:11" x14ac:dyDescent="0.3">
      <c r="A13" t="s">
        <v>85</v>
      </c>
      <c r="B13" t="s">
        <v>80</v>
      </c>
      <c r="C13" t="s">
        <v>58</v>
      </c>
      <c r="D13" t="s">
        <v>91</v>
      </c>
      <c r="E13" t="s">
        <v>335</v>
      </c>
      <c r="F13" s="1">
        <v>5</v>
      </c>
      <c r="H13">
        <v>5</v>
      </c>
      <c r="I13">
        <v>3</v>
      </c>
      <c r="J13">
        <v>0</v>
      </c>
      <c r="K13" t="s">
        <v>370</v>
      </c>
    </row>
    <row r="14" spans="1:11" x14ac:dyDescent="0.3">
      <c r="A14" t="s">
        <v>85</v>
      </c>
      <c r="B14" t="s">
        <v>80</v>
      </c>
      <c r="C14" t="s">
        <v>58</v>
      </c>
      <c r="D14" t="s">
        <v>93</v>
      </c>
      <c r="E14" t="s">
        <v>335</v>
      </c>
      <c r="F14" s="1">
        <v>2</v>
      </c>
      <c r="H14">
        <v>2</v>
      </c>
      <c r="J14">
        <v>0</v>
      </c>
      <c r="K14" t="s">
        <v>370</v>
      </c>
    </row>
    <row r="15" spans="1:11" x14ac:dyDescent="0.3">
      <c r="A15" t="s">
        <v>85</v>
      </c>
      <c r="B15" t="s">
        <v>80</v>
      </c>
      <c r="C15" t="s">
        <v>58</v>
      </c>
      <c r="D15" t="s">
        <v>94</v>
      </c>
      <c r="E15" t="s">
        <v>335</v>
      </c>
      <c r="F15">
        <v>4</v>
      </c>
      <c r="G15"/>
      <c r="H15">
        <v>4</v>
      </c>
      <c r="J15">
        <v>0</v>
      </c>
      <c r="K15" t="s">
        <v>370</v>
      </c>
    </row>
    <row r="16" spans="1:11" x14ac:dyDescent="0.3">
      <c r="A16" t="s">
        <v>85</v>
      </c>
      <c r="B16" t="s">
        <v>80</v>
      </c>
      <c r="C16" t="s">
        <v>58</v>
      </c>
      <c r="D16" t="s">
        <v>92</v>
      </c>
      <c r="E16" t="s">
        <v>335</v>
      </c>
      <c r="F16" s="1">
        <v>4</v>
      </c>
      <c r="H16">
        <v>4</v>
      </c>
      <c r="J16">
        <v>0</v>
      </c>
      <c r="K16" t="s">
        <v>370</v>
      </c>
    </row>
    <row r="17" spans="1:11" x14ac:dyDescent="0.3">
      <c r="A17" t="s">
        <v>85</v>
      </c>
      <c r="B17" t="s">
        <v>80</v>
      </c>
      <c r="C17" t="s">
        <v>58</v>
      </c>
      <c r="D17" t="s">
        <v>95</v>
      </c>
      <c r="E17" t="s">
        <v>335</v>
      </c>
      <c r="F17">
        <v>5</v>
      </c>
      <c r="G17"/>
      <c r="H17">
        <v>5</v>
      </c>
      <c r="J17">
        <v>0</v>
      </c>
      <c r="K17" t="s">
        <v>370</v>
      </c>
    </row>
    <row r="18" spans="1:11" x14ac:dyDescent="0.3">
      <c r="A18" t="s">
        <v>85</v>
      </c>
      <c r="B18" t="s">
        <v>80</v>
      </c>
      <c r="C18" t="s">
        <v>58</v>
      </c>
      <c r="D18" t="s">
        <v>97</v>
      </c>
      <c r="E18" t="s">
        <v>335</v>
      </c>
      <c r="F18">
        <v>3</v>
      </c>
      <c r="G18"/>
      <c r="H18">
        <v>3</v>
      </c>
      <c r="J18">
        <v>0</v>
      </c>
      <c r="K18" t="s">
        <v>370</v>
      </c>
    </row>
    <row r="19" spans="1:11" x14ac:dyDescent="0.3">
      <c r="A19" t="s">
        <v>85</v>
      </c>
      <c r="B19" t="s">
        <v>80</v>
      </c>
      <c r="C19" t="s">
        <v>58</v>
      </c>
      <c r="D19" t="s">
        <v>179</v>
      </c>
      <c r="E19" t="s">
        <v>335</v>
      </c>
      <c r="F19">
        <v>1</v>
      </c>
      <c r="G19"/>
      <c r="H19">
        <v>1</v>
      </c>
      <c r="J19">
        <v>0</v>
      </c>
      <c r="K19" t="s">
        <v>370</v>
      </c>
    </row>
    <row r="20" spans="1:11" x14ac:dyDescent="0.3">
      <c r="A20" t="s">
        <v>85</v>
      </c>
      <c r="B20" t="s">
        <v>80</v>
      </c>
      <c r="C20" t="s">
        <v>58</v>
      </c>
      <c r="D20" t="s">
        <v>96</v>
      </c>
      <c r="E20" t="s">
        <v>335</v>
      </c>
      <c r="F20" s="1">
        <v>2</v>
      </c>
      <c r="H20">
        <v>2</v>
      </c>
      <c r="I20">
        <v>-1</v>
      </c>
      <c r="J20">
        <v>0</v>
      </c>
      <c r="K20" t="s">
        <v>370</v>
      </c>
    </row>
    <row r="21" spans="1:11" x14ac:dyDescent="0.3">
      <c r="A21" t="s">
        <v>85</v>
      </c>
      <c r="B21" t="s">
        <v>80</v>
      </c>
      <c r="C21" t="s">
        <v>58</v>
      </c>
      <c r="D21" t="s">
        <v>98</v>
      </c>
      <c r="E21" t="s">
        <v>335</v>
      </c>
      <c r="F21" s="1">
        <v>1</v>
      </c>
      <c r="H21">
        <v>1</v>
      </c>
      <c r="J21">
        <v>0</v>
      </c>
      <c r="K21" t="s">
        <v>370</v>
      </c>
    </row>
    <row r="22" spans="1:11" x14ac:dyDescent="0.3">
      <c r="A22" t="s">
        <v>85</v>
      </c>
      <c r="B22" t="s">
        <v>80</v>
      </c>
      <c r="C22" t="s">
        <v>58</v>
      </c>
      <c r="D22" t="s">
        <v>99</v>
      </c>
      <c r="E22" t="s">
        <v>335</v>
      </c>
      <c r="F22" s="1">
        <v>2</v>
      </c>
      <c r="H22">
        <v>2</v>
      </c>
      <c r="I22">
        <v>-1</v>
      </c>
      <c r="J22">
        <v>0</v>
      </c>
      <c r="K22" t="s">
        <v>370</v>
      </c>
    </row>
    <row r="23" spans="1:11" x14ac:dyDescent="0.3">
      <c r="A23" t="s">
        <v>85</v>
      </c>
      <c r="B23" t="s">
        <v>80</v>
      </c>
      <c r="C23" t="s">
        <v>58</v>
      </c>
      <c r="D23" t="s">
        <v>172</v>
      </c>
      <c r="E23" t="s">
        <v>335</v>
      </c>
      <c r="F23" s="1">
        <v>2</v>
      </c>
      <c r="H23">
        <v>2</v>
      </c>
      <c r="I23">
        <v>-2</v>
      </c>
      <c r="J23">
        <v>0</v>
      </c>
      <c r="K23" t="s">
        <v>370</v>
      </c>
    </row>
    <row r="24" spans="1:11" x14ac:dyDescent="0.3">
      <c r="A24" t="s">
        <v>85</v>
      </c>
      <c r="B24" t="s">
        <v>80</v>
      </c>
      <c r="C24" t="s">
        <v>58</v>
      </c>
      <c r="D24" t="s">
        <v>338</v>
      </c>
      <c r="E24" t="s">
        <v>335</v>
      </c>
      <c r="F24" s="1">
        <v>0</v>
      </c>
      <c r="G24" s="1">
        <v>4</v>
      </c>
      <c r="H24">
        <v>4</v>
      </c>
      <c r="I24">
        <v>-4</v>
      </c>
      <c r="J24">
        <v>0</v>
      </c>
      <c r="K24" t="s">
        <v>370</v>
      </c>
    </row>
    <row r="25" spans="1:11" x14ac:dyDescent="0.3">
      <c r="A25" t="s">
        <v>85</v>
      </c>
      <c r="B25" t="s">
        <v>80</v>
      </c>
      <c r="C25" t="s">
        <v>58</v>
      </c>
      <c r="D25" t="s">
        <v>177</v>
      </c>
      <c r="E25" t="s">
        <v>339</v>
      </c>
      <c r="F25" s="1">
        <v>0</v>
      </c>
      <c r="H25">
        <v>0</v>
      </c>
      <c r="J25">
        <v>0</v>
      </c>
      <c r="K25" t="s">
        <v>370</v>
      </c>
    </row>
    <row r="26" spans="1:11" x14ac:dyDescent="0.3">
      <c r="A26" t="s">
        <v>85</v>
      </c>
      <c r="B26" t="s">
        <v>80</v>
      </c>
      <c r="C26" t="s">
        <v>58</v>
      </c>
      <c r="D26" t="s">
        <v>178</v>
      </c>
      <c r="E26" t="s">
        <v>334</v>
      </c>
      <c r="F26" s="1">
        <v>9</v>
      </c>
      <c r="H26">
        <v>9</v>
      </c>
      <c r="J26">
        <v>9</v>
      </c>
      <c r="K26" t="s">
        <v>370</v>
      </c>
    </row>
    <row r="27" spans="1:11" x14ac:dyDescent="0.3">
      <c r="A27" t="s">
        <v>85</v>
      </c>
      <c r="B27" t="s">
        <v>80</v>
      </c>
      <c r="C27" t="s">
        <v>58</v>
      </c>
      <c r="D27" t="s">
        <v>176</v>
      </c>
      <c r="E27" t="s">
        <v>333</v>
      </c>
      <c r="F27" s="1">
        <v>0</v>
      </c>
      <c r="H27">
        <v>0</v>
      </c>
      <c r="J27">
        <v>0</v>
      </c>
      <c r="K27" t="s">
        <v>370</v>
      </c>
    </row>
    <row r="28" spans="1:11" x14ac:dyDescent="0.3">
      <c r="A28" t="s">
        <v>85</v>
      </c>
      <c r="B28" t="s">
        <v>80</v>
      </c>
      <c r="C28" t="s">
        <v>58</v>
      </c>
      <c r="D28" t="s">
        <v>175</v>
      </c>
      <c r="E28" t="s">
        <v>333</v>
      </c>
      <c r="F28" s="1">
        <v>9</v>
      </c>
      <c r="H28">
        <v>9</v>
      </c>
      <c r="J28">
        <v>9</v>
      </c>
      <c r="K28" t="s">
        <v>370</v>
      </c>
    </row>
    <row r="29" spans="1:11" x14ac:dyDescent="0.3">
      <c r="A29" t="s">
        <v>85</v>
      </c>
      <c r="B29" t="s">
        <v>80</v>
      </c>
      <c r="C29" t="s">
        <v>70</v>
      </c>
      <c r="D29" t="s">
        <v>343</v>
      </c>
      <c r="E29" t="s">
        <v>335</v>
      </c>
      <c r="F29">
        <v>4</v>
      </c>
      <c r="G29"/>
      <c r="H29">
        <v>4</v>
      </c>
      <c r="I29">
        <v>9</v>
      </c>
      <c r="J29">
        <v>0</v>
      </c>
      <c r="K29" t="s">
        <v>370</v>
      </c>
    </row>
    <row r="30" spans="1:11" x14ac:dyDescent="0.3">
      <c r="A30" t="s">
        <v>85</v>
      </c>
      <c r="B30" t="s">
        <v>80</v>
      </c>
      <c r="C30" t="s">
        <v>70</v>
      </c>
      <c r="D30" t="s">
        <v>131</v>
      </c>
      <c r="E30" t="s">
        <v>335</v>
      </c>
      <c r="F30">
        <v>2</v>
      </c>
      <c r="G30"/>
      <c r="H30">
        <v>2</v>
      </c>
      <c r="I30">
        <v>5</v>
      </c>
      <c r="J30">
        <v>0</v>
      </c>
      <c r="K30" t="s">
        <v>370</v>
      </c>
    </row>
    <row r="31" spans="1:11" x14ac:dyDescent="0.3">
      <c r="A31" t="s">
        <v>85</v>
      </c>
      <c r="B31" t="s">
        <v>80</v>
      </c>
      <c r="C31" t="s">
        <v>70</v>
      </c>
      <c r="D31" t="s">
        <v>344</v>
      </c>
      <c r="E31" t="s">
        <v>335</v>
      </c>
      <c r="F31">
        <v>0</v>
      </c>
      <c r="G31">
        <v>4</v>
      </c>
      <c r="H31">
        <v>4</v>
      </c>
      <c r="I31">
        <v>-3</v>
      </c>
      <c r="J31">
        <v>0</v>
      </c>
      <c r="K31" t="s">
        <v>370</v>
      </c>
    </row>
    <row r="32" spans="1:11" x14ac:dyDescent="0.3">
      <c r="A32" t="s">
        <v>85</v>
      </c>
      <c r="B32" t="s">
        <v>80</v>
      </c>
      <c r="C32" t="s">
        <v>70</v>
      </c>
      <c r="D32" t="s">
        <v>340</v>
      </c>
      <c r="E32" t="s">
        <v>339</v>
      </c>
      <c r="F32">
        <v>0</v>
      </c>
      <c r="G32"/>
      <c r="H32">
        <v>0</v>
      </c>
      <c r="I32">
        <v>0</v>
      </c>
      <c r="J32">
        <v>0</v>
      </c>
      <c r="K32" t="s">
        <v>370</v>
      </c>
    </row>
    <row r="33" spans="1:11" x14ac:dyDescent="0.3">
      <c r="A33" t="s">
        <v>85</v>
      </c>
      <c r="B33" t="s">
        <v>80</v>
      </c>
      <c r="C33" t="s">
        <v>70</v>
      </c>
      <c r="D33" t="s">
        <v>342</v>
      </c>
      <c r="E33" t="s">
        <v>334</v>
      </c>
      <c r="F33" s="1">
        <v>4</v>
      </c>
      <c r="H33">
        <v>4</v>
      </c>
      <c r="J33">
        <v>4</v>
      </c>
      <c r="K33" t="s">
        <v>370</v>
      </c>
    </row>
    <row r="34" spans="1:11" x14ac:dyDescent="0.3">
      <c r="A34" t="s">
        <v>85</v>
      </c>
      <c r="B34" t="s">
        <v>80</v>
      </c>
      <c r="C34" t="s">
        <v>70</v>
      </c>
      <c r="D34" t="s">
        <v>311</v>
      </c>
      <c r="E34" t="s">
        <v>333</v>
      </c>
      <c r="F34" s="1">
        <v>0</v>
      </c>
      <c r="H34">
        <v>0</v>
      </c>
      <c r="I34">
        <v>0</v>
      </c>
      <c r="J34">
        <v>0</v>
      </c>
      <c r="K34" t="s">
        <v>370</v>
      </c>
    </row>
    <row r="35" spans="1:11" x14ac:dyDescent="0.3">
      <c r="A35" t="s">
        <v>85</v>
      </c>
      <c r="B35" t="s">
        <v>80</v>
      </c>
      <c r="C35" t="s">
        <v>70</v>
      </c>
      <c r="D35" t="s">
        <v>341</v>
      </c>
      <c r="E35" t="s">
        <v>334</v>
      </c>
      <c r="F35" s="1">
        <v>4</v>
      </c>
      <c r="H35">
        <v>4</v>
      </c>
      <c r="J35">
        <v>4</v>
      </c>
      <c r="K35" t="s">
        <v>370</v>
      </c>
    </row>
    <row r="36" spans="1:11" x14ac:dyDescent="0.3">
      <c r="A36" t="s">
        <v>85</v>
      </c>
      <c r="B36" t="s">
        <v>80</v>
      </c>
      <c r="C36" t="s">
        <v>69</v>
      </c>
      <c r="D36" t="s">
        <v>108</v>
      </c>
      <c r="E36" t="s">
        <v>335</v>
      </c>
      <c r="F36">
        <v>4</v>
      </c>
      <c r="G36"/>
      <c r="H36">
        <v>4</v>
      </c>
      <c r="I36">
        <v>1</v>
      </c>
      <c r="J36">
        <v>0</v>
      </c>
      <c r="K36" t="s">
        <v>370</v>
      </c>
    </row>
    <row r="37" spans="1:11" x14ac:dyDescent="0.3">
      <c r="A37" t="s">
        <v>85</v>
      </c>
      <c r="B37" t="s">
        <v>80</v>
      </c>
      <c r="C37" t="s">
        <v>69</v>
      </c>
      <c r="D37" t="s">
        <v>109</v>
      </c>
      <c r="E37" t="s">
        <v>335</v>
      </c>
      <c r="F37">
        <v>4</v>
      </c>
      <c r="G37"/>
      <c r="H37">
        <v>4</v>
      </c>
      <c r="I37">
        <v>-1</v>
      </c>
      <c r="J37">
        <v>0</v>
      </c>
      <c r="K37" t="s">
        <v>370</v>
      </c>
    </row>
    <row r="38" spans="1:11" x14ac:dyDescent="0.3">
      <c r="A38" t="s">
        <v>85</v>
      </c>
      <c r="B38" t="s">
        <v>80</v>
      </c>
      <c r="C38" t="s">
        <v>69</v>
      </c>
      <c r="D38" t="s">
        <v>110</v>
      </c>
      <c r="E38" t="s">
        <v>335</v>
      </c>
      <c r="F38">
        <v>0.5</v>
      </c>
      <c r="G38"/>
      <c r="H38">
        <v>0.5</v>
      </c>
      <c r="I38">
        <v>-0.5</v>
      </c>
      <c r="J38">
        <v>0</v>
      </c>
      <c r="K38" t="s">
        <v>370</v>
      </c>
    </row>
    <row r="39" spans="1:11" x14ac:dyDescent="0.3">
      <c r="A39" t="s">
        <v>85</v>
      </c>
      <c r="B39" t="s">
        <v>80</v>
      </c>
      <c r="C39" t="s">
        <v>69</v>
      </c>
      <c r="D39" t="s">
        <v>111</v>
      </c>
      <c r="E39" t="s">
        <v>335</v>
      </c>
      <c r="F39">
        <v>0.5</v>
      </c>
      <c r="G39"/>
      <c r="H39">
        <v>0.5</v>
      </c>
      <c r="I39">
        <v>-0.5</v>
      </c>
      <c r="J39">
        <v>0</v>
      </c>
      <c r="K39" t="s">
        <v>370</v>
      </c>
    </row>
    <row r="40" spans="1:11" x14ac:dyDescent="0.3">
      <c r="A40" t="s">
        <v>85</v>
      </c>
      <c r="B40" t="s">
        <v>80</v>
      </c>
      <c r="C40" t="s">
        <v>69</v>
      </c>
      <c r="D40" t="s">
        <v>107</v>
      </c>
      <c r="E40" t="s">
        <v>335</v>
      </c>
      <c r="F40" s="1">
        <v>1</v>
      </c>
      <c r="H40">
        <v>1</v>
      </c>
      <c r="I40">
        <v>-1</v>
      </c>
      <c r="J40">
        <v>0</v>
      </c>
      <c r="K40" t="s">
        <v>370</v>
      </c>
    </row>
    <row r="41" spans="1:11" x14ac:dyDescent="0.3">
      <c r="A41" t="s">
        <v>85</v>
      </c>
      <c r="B41" t="s">
        <v>80</v>
      </c>
      <c r="C41" t="s">
        <v>69</v>
      </c>
      <c r="D41" t="s">
        <v>349</v>
      </c>
      <c r="E41" t="s">
        <v>335</v>
      </c>
      <c r="F41" s="1">
        <v>0</v>
      </c>
      <c r="G41" s="1">
        <v>4</v>
      </c>
      <c r="H41">
        <v>4</v>
      </c>
      <c r="I41">
        <v>-3</v>
      </c>
      <c r="J41">
        <v>0</v>
      </c>
      <c r="K41" t="s">
        <v>370</v>
      </c>
    </row>
    <row r="42" spans="1:11" x14ac:dyDescent="0.3">
      <c r="A42" t="s">
        <v>85</v>
      </c>
      <c r="B42" t="s">
        <v>80</v>
      </c>
      <c r="C42" t="s">
        <v>69</v>
      </c>
      <c r="D42" t="s">
        <v>348</v>
      </c>
      <c r="E42" t="s">
        <v>339</v>
      </c>
      <c r="F42" s="1">
        <v>0</v>
      </c>
      <c r="H42">
        <v>0</v>
      </c>
      <c r="J42">
        <v>0</v>
      </c>
      <c r="K42" t="s">
        <v>370</v>
      </c>
    </row>
    <row r="43" spans="1:11" x14ac:dyDescent="0.3">
      <c r="A43" t="s">
        <v>85</v>
      </c>
      <c r="B43" t="s">
        <v>80</v>
      </c>
      <c r="C43" t="s">
        <v>69</v>
      </c>
      <c r="D43" t="s">
        <v>346</v>
      </c>
      <c r="E43" t="s">
        <v>334</v>
      </c>
      <c r="F43" s="1">
        <v>5</v>
      </c>
      <c r="H43">
        <v>5</v>
      </c>
      <c r="J43">
        <v>5</v>
      </c>
      <c r="K43" t="s">
        <v>370</v>
      </c>
    </row>
    <row r="44" spans="1:11" x14ac:dyDescent="0.3">
      <c r="A44" t="s">
        <v>85</v>
      </c>
      <c r="B44" t="s">
        <v>80</v>
      </c>
      <c r="C44" t="s">
        <v>69</v>
      </c>
      <c r="D44" t="s">
        <v>347</v>
      </c>
      <c r="E44" t="s">
        <v>333</v>
      </c>
      <c r="F44" s="1">
        <v>0</v>
      </c>
      <c r="H44">
        <v>0</v>
      </c>
      <c r="J44">
        <v>0</v>
      </c>
      <c r="K44" t="s">
        <v>370</v>
      </c>
    </row>
    <row r="45" spans="1:11" x14ac:dyDescent="0.3">
      <c r="A45" t="s">
        <v>85</v>
      </c>
      <c r="B45" t="s">
        <v>80</v>
      </c>
      <c r="C45" t="s">
        <v>69</v>
      </c>
      <c r="D45" t="s">
        <v>345</v>
      </c>
      <c r="E45" t="s">
        <v>333</v>
      </c>
      <c r="F45" s="1">
        <v>5</v>
      </c>
      <c r="H45">
        <v>5</v>
      </c>
      <c r="J45">
        <v>5</v>
      </c>
      <c r="K45" t="s">
        <v>370</v>
      </c>
    </row>
    <row r="46" spans="1:11" x14ac:dyDescent="0.3">
      <c r="A46" t="s">
        <v>85</v>
      </c>
      <c r="B46" t="s">
        <v>80</v>
      </c>
      <c r="C46" t="s">
        <v>121</v>
      </c>
      <c r="D46" t="s">
        <v>375</v>
      </c>
      <c r="E46" t="s">
        <v>335</v>
      </c>
      <c r="F46">
        <v>4</v>
      </c>
      <c r="G46"/>
      <c r="H46">
        <v>4</v>
      </c>
      <c r="I46">
        <v>-2</v>
      </c>
      <c r="J46">
        <v>0</v>
      </c>
      <c r="K46" t="s">
        <v>370</v>
      </c>
    </row>
    <row r="47" spans="1:11" x14ac:dyDescent="0.3">
      <c r="A47" t="s">
        <v>85</v>
      </c>
      <c r="B47" t="s">
        <v>80</v>
      </c>
      <c r="C47" t="s">
        <v>121</v>
      </c>
      <c r="D47" t="s">
        <v>352</v>
      </c>
      <c r="E47" t="s">
        <v>335</v>
      </c>
      <c r="F47">
        <v>3</v>
      </c>
      <c r="G47"/>
      <c r="H47">
        <v>3</v>
      </c>
      <c r="I47">
        <v>-2</v>
      </c>
      <c r="J47">
        <v>0</v>
      </c>
      <c r="K47" t="s">
        <v>370</v>
      </c>
    </row>
    <row r="48" spans="1:11" x14ac:dyDescent="0.3">
      <c r="A48" t="s">
        <v>85</v>
      </c>
      <c r="B48" t="s">
        <v>80</v>
      </c>
      <c r="C48" t="s">
        <v>121</v>
      </c>
      <c r="D48" t="s">
        <v>351</v>
      </c>
      <c r="E48" t="s">
        <v>339</v>
      </c>
      <c r="F48" s="1">
        <v>0</v>
      </c>
      <c r="H48">
        <v>0</v>
      </c>
      <c r="I48">
        <v>0</v>
      </c>
      <c r="J48">
        <v>0</v>
      </c>
      <c r="K48" t="s">
        <v>370</v>
      </c>
    </row>
    <row r="49" spans="1:11" x14ac:dyDescent="0.3">
      <c r="A49" t="s">
        <v>85</v>
      </c>
      <c r="B49" t="s">
        <v>80</v>
      </c>
      <c r="C49" t="s">
        <v>121</v>
      </c>
      <c r="D49" t="s">
        <v>350</v>
      </c>
      <c r="E49" t="s">
        <v>333</v>
      </c>
      <c r="F49" s="1">
        <v>0</v>
      </c>
      <c r="H49">
        <v>0</v>
      </c>
      <c r="J49">
        <v>0</v>
      </c>
      <c r="K49" t="s">
        <v>370</v>
      </c>
    </row>
    <row r="50" spans="1:11" x14ac:dyDescent="0.3">
      <c r="A50" t="s">
        <v>85</v>
      </c>
      <c r="B50" t="s">
        <v>80</v>
      </c>
      <c r="C50" t="s">
        <v>353</v>
      </c>
      <c r="D50" t="s">
        <v>359</v>
      </c>
      <c r="E50" t="s">
        <v>335</v>
      </c>
      <c r="F50" s="1">
        <v>5</v>
      </c>
      <c r="H50">
        <v>5</v>
      </c>
      <c r="J50">
        <v>0</v>
      </c>
      <c r="K50" t="s">
        <v>370</v>
      </c>
    </row>
    <row r="51" spans="1:11" x14ac:dyDescent="0.3">
      <c r="A51" t="s">
        <v>85</v>
      </c>
      <c r="B51" t="s">
        <v>80</v>
      </c>
      <c r="C51" t="s">
        <v>353</v>
      </c>
      <c r="D51" t="s">
        <v>360</v>
      </c>
      <c r="E51" t="s">
        <v>335</v>
      </c>
      <c r="F51">
        <v>5</v>
      </c>
      <c r="G51"/>
      <c r="H51">
        <v>5</v>
      </c>
      <c r="I51">
        <v>-3</v>
      </c>
      <c r="J51">
        <v>0</v>
      </c>
      <c r="K51" t="s">
        <v>370</v>
      </c>
    </row>
    <row r="52" spans="1:11" x14ac:dyDescent="0.3">
      <c r="A52" t="s">
        <v>85</v>
      </c>
      <c r="B52" t="s">
        <v>80</v>
      </c>
      <c r="C52" t="s">
        <v>353</v>
      </c>
      <c r="D52" t="s">
        <v>358</v>
      </c>
      <c r="E52" t="s">
        <v>335</v>
      </c>
      <c r="F52">
        <v>1</v>
      </c>
      <c r="G52"/>
      <c r="H52">
        <v>1</v>
      </c>
      <c r="J52">
        <v>0</v>
      </c>
      <c r="K52" t="s">
        <v>370</v>
      </c>
    </row>
    <row r="53" spans="1:11" x14ac:dyDescent="0.3">
      <c r="A53" t="s">
        <v>85</v>
      </c>
      <c r="B53" t="s">
        <v>80</v>
      </c>
      <c r="C53" t="s">
        <v>353</v>
      </c>
      <c r="D53" t="s">
        <v>354</v>
      </c>
      <c r="E53" t="s">
        <v>335</v>
      </c>
      <c r="F53">
        <v>0</v>
      </c>
      <c r="G53">
        <v>4</v>
      </c>
      <c r="H53">
        <v>4</v>
      </c>
      <c r="I53">
        <v>-3</v>
      </c>
      <c r="J53">
        <v>0</v>
      </c>
      <c r="K53" t="s">
        <v>370</v>
      </c>
    </row>
    <row r="54" spans="1:11" x14ac:dyDescent="0.3">
      <c r="A54" t="s">
        <v>85</v>
      </c>
      <c r="B54" t="s">
        <v>80</v>
      </c>
      <c r="C54" t="s">
        <v>353</v>
      </c>
      <c r="D54" t="s">
        <v>357</v>
      </c>
      <c r="E54" t="s">
        <v>339</v>
      </c>
      <c r="F54">
        <v>0</v>
      </c>
      <c r="G54"/>
      <c r="H54">
        <v>0</v>
      </c>
      <c r="J54">
        <v>0</v>
      </c>
      <c r="K54" t="s">
        <v>370</v>
      </c>
    </row>
    <row r="55" spans="1:11" x14ac:dyDescent="0.3">
      <c r="A55" t="s">
        <v>85</v>
      </c>
      <c r="B55" t="s">
        <v>80</v>
      </c>
      <c r="C55" t="s">
        <v>353</v>
      </c>
      <c r="D55" t="s">
        <v>376</v>
      </c>
      <c r="E55" t="s">
        <v>334</v>
      </c>
      <c r="F55" s="1">
        <v>4</v>
      </c>
      <c r="H55">
        <v>4</v>
      </c>
      <c r="J55">
        <v>4</v>
      </c>
      <c r="K55" t="s">
        <v>370</v>
      </c>
    </row>
    <row r="56" spans="1:11" x14ac:dyDescent="0.3">
      <c r="A56" t="s">
        <v>85</v>
      </c>
      <c r="B56" t="s">
        <v>80</v>
      </c>
      <c r="C56" t="s">
        <v>353</v>
      </c>
      <c r="D56" t="s">
        <v>356</v>
      </c>
      <c r="E56" t="s">
        <v>333</v>
      </c>
      <c r="F56" s="1">
        <v>0</v>
      </c>
      <c r="H56">
        <v>0</v>
      </c>
      <c r="J56">
        <v>0</v>
      </c>
      <c r="K56" t="s">
        <v>370</v>
      </c>
    </row>
    <row r="57" spans="1:11" x14ac:dyDescent="0.3">
      <c r="A57" t="s">
        <v>85</v>
      </c>
      <c r="B57" t="s">
        <v>80</v>
      </c>
      <c r="C57" t="s">
        <v>353</v>
      </c>
      <c r="D57" t="s">
        <v>355</v>
      </c>
      <c r="E57" t="s">
        <v>333</v>
      </c>
      <c r="F57" s="1">
        <v>4</v>
      </c>
      <c r="H57">
        <v>4</v>
      </c>
      <c r="J57">
        <v>4</v>
      </c>
      <c r="K57" t="s">
        <v>370</v>
      </c>
    </row>
    <row r="58" spans="1:11" x14ac:dyDescent="0.3">
      <c r="A58" t="s">
        <v>85</v>
      </c>
      <c r="B58" t="s">
        <v>80</v>
      </c>
      <c r="C58" t="s">
        <v>64</v>
      </c>
      <c r="D58" t="s">
        <v>124</v>
      </c>
      <c r="E58" t="s">
        <v>334</v>
      </c>
      <c r="F58" s="1">
        <v>0.5</v>
      </c>
      <c r="G58" s="1">
        <v>0</v>
      </c>
      <c r="H58">
        <v>0.5</v>
      </c>
      <c r="I58">
        <v>-0.5</v>
      </c>
      <c r="J58">
        <v>0</v>
      </c>
      <c r="K58" t="s">
        <v>370</v>
      </c>
    </row>
    <row r="59" spans="1:11" x14ac:dyDescent="0.3">
      <c r="H59">
        <f>SUM(MP_0525___Surco___Arq__Edin[TOTAL])</f>
        <v>169.5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4745-7661-406C-9F9A-1F49DAF11294}">
  <dimension ref="A1:K19"/>
  <sheetViews>
    <sheetView topLeftCell="E1" workbookViewId="0">
      <selection activeCell="F8" sqref="F8"/>
    </sheetView>
  </sheetViews>
  <sheetFormatPr baseColWidth="10" defaultRowHeight="14.4" x14ac:dyDescent="0.3"/>
  <cols>
    <col min="1" max="1" width="23.109375" bestFit="1" customWidth="1"/>
    <col min="2" max="2" width="20.44140625" bestFit="1" customWidth="1"/>
    <col min="3" max="3" width="15.44140625" bestFit="1" customWidth="1"/>
    <col min="4" max="4" width="59.664062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12.10937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126</v>
      </c>
      <c r="B2" t="s">
        <v>117</v>
      </c>
      <c r="C2" t="s">
        <v>21</v>
      </c>
      <c r="D2" t="s">
        <v>128</v>
      </c>
      <c r="E2" t="s">
        <v>66</v>
      </c>
      <c r="F2">
        <v>2</v>
      </c>
      <c r="H2">
        <v>2</v>
      </c>
      <c r="J2">
        <v>2</v>
      </c>
      <c r="K2" t="s">
        <v>370</v>
      </c>
    </row>
    <row r="3" spans="1:11" x14ac:dyDescent="0.3">
      <c r="A3" t="s">
        <v>126</v>
      </c>
      <c r="B3" t="s">
        <v>117</v>
      </c>
      <c r="C3" t="s">
        <v>21</v>
      </c>
      <c r="D3" t="s">
        <v>118</v>
      </c>
      <c r="E3" t="s">
        <v>66</v>
      </c>
      <c r="F3">
        <v>1</v>
      </c>
      <c r="H3">
        <v>1</v>
      </c>
      <c r="J3">
        <v>1</v>
      </c>
      <c r="K3" t="s">
        <v>370</v>
      </c>
    </row>
    <row r="4" spans="1:11" x14ac:dyDescent="0.3">
      <c r="A4" t="s">
        <v>126</v>
      </c>
      <c r="B4" t="s">
        <v>117</v>
      </c>
      <c r="C4" t="s">
        <v>21</v>
      </c>
      <c r="D4" t="s">
        <v>127</v>
      </c>
      <c r="E4" t="s">
        <v>66</v>
      </c>
      <c r="F4">
        <v>2</v>
      </c>
      <c r="H4">
        <v>2</v>
      </c>
      <c r="J4">
        <v>2</v>
      </c>
      <c r="K4" t="s">
        <v>370</v>
      </c>
    </row>
    <row r="5" spans="1:11" x14ac:dyDescent="0.3">
      <c r="A5" t="s">
        <v>126</v>
      </c>
      <c r="B5" t="s">
        <v>117</v>
      </c>
      <c r="C5" t="s">
        <v>21</v>
      </c>
      <c r="D5" t="s">
        <v>88</v>
      </c>
      <c r="E5" t="s">
        <v>66</v>
      </c>
      <c r="F5">
        <v>1.5</v>
      </c>
      <c r="H5">
        <v>1.5</v>
      </c>
      <c r="J5">
        <v>1.5</v>
      </c>
      <c r="K5" t="s">
        <v>370</v>
      </c>
    </row>
    <row r="6" spans="1:11" x14ac:dyDescent="0.3">
      <c r="A6" t="s">
        <v>126</v>
      </c>
      <c r="B6" t="s">
        <v>117</v>
      </c>
      <c r="C6" t="s">
        <v>21</v>
      </c>
      <c r="D6" t="s">
        <v>129</v>
      </c>
      <c r="E6" t="s">
        <v>65</v>
      </c>
      <c r="F6">
        <v>0</v>
      </c>
      <c r="G6">
        <v>10</v>
      </c>
      <c r="H6">
        <v>9.9916666666666671</v>
      </c>
      <c r="J6">
        <v>9.9916666666666671</v>
      </c>
      <c r="K6" t="s">
        <v>370</v>
      </c>
    </row>
    <row r="7" spans="1:11" x14ac:dyDescent="0.3">
      <c r="A7" t="s">
        <v>126</v>
      </c>
      <c r="B7" t="s">
        <v>117</v>
      </c>
      <c r="C7" t="s">
        <v>21</v>
      </c>
      <c r="D7" t="s">
        <v>128</v>
      </c>
      <c r="E7" t="s">
        <v>66</v>
      </c>
      <c r="F7">
        <v>0</v>
      </c>
      <c r="G7">
        <v>1</v>
      </c>
      <c r="H7">
        <v>1</v>
      </c>
      <c r="J7">
        <v>1</v>
      </c>
      <c r="K7" t="s">
        <v>370</v>
      </c>
    </row>
    <row r="8" spans="1:11" x14ac:dyDescent="0.3">
      <c r="A8" t="s">
        <v>126</v>
      </c>
      <c r="B8" t="s">
        <v>117</v>
      </c>
      <c r="C8" t="s">
        <v>21</v>
      </c>
      <c r="D8" t="s">
        <v>130</v>
      </c>
      <c r="E8" t="s">
        <v>66</v>
      </c>
      <c r="F8">
        <v>0</v>
      </c>
      <c r="H8">
        <v>0</v>
      </c>
      <c r="J8">
        <v>0</v>
      </c>
      <c r="K8" t="s">
        <v>370</v>
      </c>
    </row>
    <row r="9" spans="1:11" x14ac:dyDescent="0.3">
      <c r="A9" t="s">
        <v>126</v>
      </c>
      <c r="B9" t="s">
        <v>117</v>
      </c>
      <c r="C9" t="s">
        <v>21</v>
      </c>
      <c r="D9" t="s">
        <v>130</v>
      </c>
      <c r="E9" t="s">
        <v>66</v>
      </c>
      <c r="F9">
        <v>0</v>
      </c>
      <c r="H9">
        <v>0</v>
      </c>
      <c r="J9">
        <v>0</v>
      </c>
      <c r="K9" t="s">
        <v>370</v>
      </c>
    </row>
    <row r="10" spans="1:11" x14ac:dyDescent="0.3">
      <c r="A10" t="s">
        <v>126</v>
      </c>
      <c r="B10" t="s">
        <v>117</v>
      </c>
      <c r="C10" t="s">
        <v>21</v>
      </c>
      <c r="D10" t="s">
        <v>130</v>
      </c>
      <c r="E10" t="s">
        <v>66</v>
      </c>
      <c r="F10">
        <v>0</v>
      </c>
      <c r="H10">
        <v>0</v>
      </c>
      <c r="J10">
        <v>0</v>
      </c>
      <c r="K10" t="s">
        <v>370</v>
      </c>
    </row>
    <row r="11" spans="1:11" x14ac:dyDescent="0.3">
      <c r="A11" t="s">
        <v>126</v>
      </c>
      <c r="B11" t="s">
        <v>117</v>
      </c>
      <c r="C11" t="s">
        <v>21</v>
      </c>
      <c r="D11" t="s">
        <v>130</v>
      </c>
      <c r="E11" t="s">
        <v>66</v>
      </c>
      <c r="F11">
        <v>0</v>
      </c>
      <c r="H11">
        <v>0</v>
      </c>
      <c r="J11">
        <v>0</v>
      </c>
      <c r="K11" t="s">
        <v>370</v>
      </c>
    </row>
    <row r="12" spans="1:11" x14ac:dyDescent="0.3">
      <c r="A12" t="s">
        <v>126</v>
      </c>
      <c r="B12" t="s">
        <v>117</v>
      </c>
      <c r="C12" t="s">
        <v>21</v>
      </c>
      <c r="D12" t="s">
        <v>130</v>
      </c>
      <c r="E12" t="s">
        <v>66</v>
      </c>
      <c r="F12">
        <v>0</v>
      </c>
      <c r="H12">
        <v>0</v>
      </c>
      <c r="J12">
        <v>0</v>
      </c>
      <c r="K12" t="s">
        <v>370</v>
      </c>
    </row>
    <row r="13" spans="1:11" x14ac:dyDescent="0.3">
      <c r="A13" t="s">
        <v>126</v>
      </c>
      <c r="B13" t="s">
        <v>117</v>
      </c>
      <c r="C13" t="s">
        <v>21</v>
      </c>
      <c r="D13" t="s">
        <v>130</v>
      </c>
      <c r="E13" t="s">
        <v>66</v>
      </c>
      <c r="F13">
        <v>0</v>
      </c>
      <c r="H13">
        <v>0</v>
      </c>
      <c r="J13">
        <v>0</v>
      </c>
      <c r="K13" t="s">
        <v>370</v>
      </c>
    </row>
    <row r="14" spans="1:11" x14ac:dyDescent="0.3">
      <c r="A14" t="s">
        <v>126</v>
      </c>
      <c r="B14" t="s">
        <v>117</v>
      </c>
      <c r="C14" t="s">
        <v>21</v>
      </c>
      <c r="D14" t="s">
        <v>130</v>
      </c>
      <c r="E14" t="s">
        <v>66</v>
      </c>
      <c r="F14">
        <v>0</v>
      </c>
      <c r="H14">
        <v>0</v>
      </c>
      <c r="J14">
        <v>0</v>
      </c>
      <c r="K14" t="s">
        <v>370</v>
      </c>
    </row>
    <row r="15" spans="1:11" x14ac:dyDescent="0.3">
      <c r="A15" t="s">
        <v>126</v>
      </c>
      <c r="B15" t="s">
        <v>117</v>
      </c>
      <c r="C15" t="s">
        <v>21</v>
      </c>
      <c r="D15" t="s">
        <v>130</v>
      </c>
      <c r="E15" t="s">
        <v>66</v>
      </c>
      <c r="F15">
        <v>4</v>
      </c>
      <c r="H15">
        <v>4</v>
      </c>
      <c r="J15">
        <v>4</v>
      </c>
      <c r="K15" t="s">
        <v>370</v>
      </c>
    </row>
    <row r="16" spans="1:11" x14ac:dyDescent="0.3">
      <c r="A16" t="s">
        <v>126</v>
      </c>
      <c r="B16" t="s">
        <v>117</v>
      </c>
      <c r="C16" t="s">
        <v>21</v>
      </c>
      <c r="D16" t="s">
        <v>130</v>
      </c>
      <c r="E16" t="s">
        <v>67</v>
      </c>
      <c r="F16">
        <v>0</v>
      </c>
      <c r="H16">
        <v>0</v>
      </c>
      <c r="J16">
        <v>0</v>
      </c>
      <c r="K16" t="s">
        <v>370</v>
      </c>
    </row>
    <row r="17" spans="1:11" x14ac:dyDescent="0.3">
      <c r="A17" t="s">
        <v>126</v>
      </c>
      <c r="B17" t="s">
        <v>117</v>
      </c>
      <c r="C17" t="s">
        <v>21</v>
      </c>
      <c r="D17" t="s">
        <v>130</v>
      </c>
      <c r="E17" t="s">
        <v>66</v>
      </c>
      <c r="F17">
        <v>1</v>
      </c>
      <c r="H17">
        <v>1</v>
      </c>
      <c r="J17">
        <v>1</v>
      </c>
      <c r="K17" t="s">
        <v>370</v>
      </c>
    </row>
    <row r="18" spans="1:11" x14ac:dyDescent="0.3">
      <c r="A18" t="s">
        <v>126</v>
      </c>
      <c r="B18" t="s">
        <v>117</v>
      </c>
      <c r="C18" t="s">
        <v>21</v>
      </c>
      <c r="D18" t="s">
        <v>130</v>
      </c>
      <c r="E18" t="s">
        <v>66</v>
      </c>
      <c r="F18">
        <v>0.5</v>
      </c>
      <c r="H18">
        <v>0.5</v>
      </c>
      <c r="J18">
        <v>0.5</v>
      </c>
      <c r="K18" t="s">
        <v>370</v>
      </c>
    </row>
    <row r="19" spans="1:11" x14ac:dyDescent="0.3">
      <c r="C19" t="s">
        <v>21</v>
      </c>
      <c r="D19" t="s">
        <v>130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9226-DDFC-4F17-AB02-31C121222F73}">
  <dimension ref="A1:K20"/>
  <sheetViews>
    <sheetView workbookViewId="0">
      <selection activeCell="B13" sqref="B13"/>
    </sheetView>
  </sheetViews>
  <sheetFormatPr baseColWidth="10" defaultRowHeight="14.4" x14ac:dyDescent="0.3"/>
  <cols>
    <col min="1" max="1" width="39.88671875" bestFit="1" customWidth="1"/>
    <col min="2" max="2" width="20.44140625" bestFit="1" customWidth="1"/>
    <col min="3" max="3" width="24.77734375" bestFit="1" customWidth="1"/>
    <col min="4" max="4" width="71.3320312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12.10937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132</v>
      </c>
      <c r="B2" t="s">
        <v>117</v>
      </c>
      <c r="C2" t="s">
        <v>21</v>
      </c>
      <c r="D2" t="s">
        <v>119</v>
      </c>
      <c r="E2" t="s">
        <v>66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132</v>
      </c>
      <c r="B3" t="s">
        <v>117</v>
      </c>
      <c r="C3" t="s">
        <v>58</v>
      </c>
      <c r="D3" t="s">
        <v>135</v>
      </c>
      <c r="E3" t="s">
        <v>66</v>
      </c>
      <c r="F3">
        <v>2</v>
      </c>
      <c r="H3">
        <v>2</v>
      </c>
      <c r="I3">
        <v>-2</v>
      </c>
      <c r="J3">
        <v>0</v>
      </c>
      <c r="K3" t="s">
        <v>370</v>
      </c>
    </row>
    <row r="4" spans="1:11" x14ac:dyDescent="0.3">
      <c r="A4" t="s">
        <v>132</v>
      </c>
      <c r="B4" t="s">
        <v>117</v>
      </c>
      <c r="C4" t="s">
        <v>58</v>
      </c>
      <c r="D4" t="s">
        <v>91</v>
      </c>
      <c r="E4" t="s">
        <v>66</v>
      </c>
      <c r="F4">
        <v>3.5</v>
      </c>
      <c r="H4">
        <v>3.5</v>
      </c>
      <c r="I4">
        <v>-3.5</v>
      </c>
      <c r="J4">
        <v>0</v>
      </c>
      <c r="K4" t="s">
        <v>370</v>
      </c>
    </row>
    <row r="5" spans="1:11" x14ac:dyDescent="0.3">
      <c r="A5" t="s">
        <v>132</v>
      </c>
      <c r="B5" t="s">
        <v>117</v>
      </c>
      <c r="C5" t="s">
        <v>58</v>
      </c>
      <c r="D5" t="s">
        <v>92</v>
      </c>
      <c r="E5" t="s">
        <v>66</v>
      </c>
      <c r="F5">
        <v>19.986666666666672</v>
      </c>
      <c r="H5">
        <v>19.986666666666672</v>
      </c>
      <c r="I5">
        <v>-19.98</v>
      </c>
      <c r="J5">
        <v>6.6666666666712615E-3</v>
      </c>
      <c r="K5" t="s">
        <v>370</v>
      </c>
    </row>
    <row r="6" spans="1:11" x14ac:dyDescent="0.3">
      <c r="A6" t="s">
        <v>132</v>
      </c>
      <c r="B6" t="s">
        <v>117</v>
      </c>
      <c r="C6" t="s">
        <v>58</v>
      </c>
      <c r="D6" t="s">
        <v>93</v>
      </c>
      <c r="E6" t="s">
        <v>66</v>
      </c>
      <c r="F6">
        <v>2</v>
      </c>
      <c r="H6">
        <v>2</v>
      </c>
      <c r="I6">
        <v>-2</v>
      </c>
      <c r="J6">
        <v>0</v>
      </c>
      <c r="K6" t="s">
        <v>370</v>
      </c>
    </row>
    <row r="7" spans="1:11" x14ac:dyDescent="0.3">
      <c r="A7" t="s">
        <v>132</v>
      </c>
      <c r="B7" t="s">
        <v>117</v>
      </c>
      <c r="C7" t="s">
        <v>58</v>
      </c>
      <c r="D7" t="s">
        <v>136</v>
      </c>
      <c r="E7" t="s">
        <v>66</v>
      </c>
      <c r="F7">
        <v>1</v>
      </c>
      <c r="H7">
        <v>1</v>
      </c>
      <c r="I7">
        <v>-1</v>
      </c>
      <c r="J7">
        <v>0</v>
      </c>
      <c r="K7" t="s">
        <v>370</v>
      </c>
    </row>
    <row r="8" spans="1:11" x14ac:dyDescent="0.3">
      <c r="A8" t="s">
        <v>132</v>
      </c>
      <c r="B8" t="s">
        <v>117</v>
      </c>
      <c r="C8" t="s">
        <v>58</v>
      </c>
      <c r="D8" t="s">
        <v>94</v>
      </c>
      <c r="E8" t="s">
        <v>66</v>
      </c>
      <c r="F8">
        <v>2</v>
      </c>
      <c r="H8">
        <v>2</v>
      </c>
      <c r="I8">
        <v>-2</v>
      </c>
      <c r="J8">
        <v>0</v>
      </c>
      <c r="K8" t="s">
        <v>370</v>
      </c>
    </row>
    <row r="9" spans="1:11" x14ac:dyDescent="0.3">
      <c r="A9" t="s">
        <v>132</v>
      </c>
      <c r="B9" t="s">
        <v>117</v>
      </c>
      <c r="C9" t="s">
        <v>58</v>
      </c>
      <c r="D9" t="s">
        <v>96</v>
      </c>
      <c r="E9" t="s">
        <v>66</v>
      </c>
      <c r="F9">
        <v>2</v>
      </c>
      <c r="H9">
        <v>2</v>
      </c>
      <c r="I9">
        <v>-2</v>
      </c>
      <c r="J9">
        <v>0</v>
      </c>
      <c r="K9" t="s">
        <v>370</v>
      </c>
    </row>
    <row r="10" spans="1:11" x14ac:dyDescent="0.3">
      <c r="A10" t="s">
        <v>132</v>
      </c>
      <c r="B10" t="s">
        <v>117</v>
      </c>
      <c r="C10" t="s">
        <v>58</v>
      </c>
      <c r="D10" t="s">
        <v>97</v>
      </c>
      <c r="E10" t="s">
        <v>66</v>
      </c>
      <c r="F10">
        <v>1</v>
      </c>
      <c r="H10">
        <v>1</v>
      </c>
      <c r="I10">
        <v>-1</v>
      </c>
      <c r="J10">
        <v>0</v>
      </c>
      <c r="K10" t="s">
        <v>370</v>
      </c>
    </row>
    <row r="11" spans="1:11" x14ac:dyDescent="0.3">
      <c r="A11" t="s">
        <v>132</v>
      </c>
      <c r="B11" t="s">
        <v>117</v>
      </c>
      <c r="C11" t="s">
        <v>58</v>
      </c>
      <c r="D11" t="s">
        <v>98</v>
      </c>
      <c r="E11" t="s">
        <v>66</v>
      </c>
      <c r="F11">
        <v>0.5</v>
      </c>
      <c r="H11">
        <v>0.5</v>
      </c>
      <c r="I11">
        <v>-0.5</v>
      </c>
      <c r="J11">
        <v>0</v>
      </c>
      <c r="K11" t="s">
        <v>370</v>
      </c>
    </row>
    <row r="12" spans="1:11" x14ac:dyDescent="0.3">
      <c r="A12" t="s">
        <v>132</v>
      </c>
      <c r="B12" t="s">
        <v>117</v>
      </c>
      <c r="C12" t="s">
        <v>58</v>
      </c>
      <c r="D12" t="s">
        <v>99</v>
      </c>
      <c r="E12" t="s">
        <v>66</v>
      </c>
      <c r="F12">
        <v>2</v>
      </c>
      <c r="H12">
        <v>2</v>
      </c>
      <c r="I12">
        <v>-2</v>
      </c>
      <c r="J12">
        <v>0</v>
      </c>
      <c r="K12" t="s">
        <v>370</v>
      </c>
    </row>
    <row r="13" spans="1:11" x14ac:dyDescent="0.3">
      <c r="A13" t="s">
        <v>132</v>
      </c>
      <c r="B13" t="s">
        <v>117</v>
      </c>
      <c r="C13" t="s">
        <v>58</v>
      </c>
      <c r="D13" t="s">
        <v>134</v>
      </c>
      <c r="E13" t="s">
        <v>66</v>
      </c>
      <c r="F13">
        <v>3</v>
      </c>
      <c r="H13">
        <v>3</v>
      </c>
      <c r="I13">
        <v>-3</v>
      </c>
      <c r="J13">
        <v>0</v>
      </c>
      <c r="K13" t="s">
        <v>370</v>
      </c>
    </row>
    <row r="14" spans="1:11" x14ac:dyDescent="0.3">
      <c r="A14" t="s">
        <v>132</v>
      </c>
      <c r="B14" t="s">
        <v>117</v>
      </c>
      <c r="C14" t="s">
        <v>70</v>
      </c>
      <c r="D14" t="s">
        <v>100</v>
      </c>
      <c r="E14" t="s">
        <v>65</v>
      </c>
      <c r="F14">
        <v>3</v>
      </c>
      <c r="H14">
        <v>3</v>
      </c>
      <c r="I14">
        <v>-3</v>
      </c>
      <c r="J14">
        <v>0</v>
      </c>
      <c r="K14" t="s">
        <v>370</v>
      </c>
    </row>
    <row r="15" spans="1:11" x14ac:dyDescent="0.3">
      <c r="A15" t="s">
        <v>132</v>
      </c>
      <c r="B15" t="s">
        <v>117</v>
      </c>
      <c r="C15" t="s">
        <v>70</v>
      </c>
      <c r="D15" t="s">
        <v>104</v>
      </c>
      <c r="E15" t="s">
        <v>66</v>
      </c>
      <c r="F15">
        <v>3</v>
      </c>
      <c r="H15">
        <v>3</v>
      </c>
      <c r="I15">
        <v>-3</v>
      </c>
      <c r="J15">
        <v>0</v>
      </c>
      <c r="K15" t="s">
        <v>370</v>
      </c>
    </row>
    <row r="16" spans="1:11" x14ac:dyDescent="0.3">
      <c r="A16" t="s">
        <v>132</v>
      </c>
      <c r="B16" t="s">
        <v>117</v>
      </c>
      <c r="C16" t="s">
        <v>70</v>
      </c>
      <c r="D16" t="s">
        <v>103</v>
      </c>
      <c r="E16" t="s">
        <v>66</v>
      </c>
      <c r="F16">
        <v>3</v>
      </c>
      <c r="H16">
        <v>3</v>
      </c>
      <c r="I16">
        <v>-3</v>
      </c>
      <c r="J16">
        <v>0</v>
      </c>
      <c r="K16" t="s">
        <v>370</v>
      </c>
    </row>
    <row r="17" spans="1:11" x14ac:dyDescent="0.3">
      <c r="A17" t="s">
        <v>132</v>
      </c>
      <c r="B17" t="s">
        <v>117</v>
      </c>
      <c r="C17" t="s">
        <v>70</v>
      </c>
      <c r="D17" t="s">
        <v>137</v>
      </c>
      <c r="E17" t="s">
        <v>66</v>
      </c>
      <c r="F17">
        <v>4</v>
      </c>
      <c r="H17">
        <v>4</v>
      </c>
      <c r="I17">
        <v>-4</v>
      </c>
      <c r="J17">
        <v>0</v>
      </c>
      <c r="K17" t="s">
        <v>370</v>
      </c>
    </row>
    <row r="18" spans="1:11" x14ac:dyDescent="0.3">
      <c r="A18" t="s">
        <v>132</v>
      </c>
      <c r="B18" t="s">
        <v>117</v>
      </c>
      <c r="C18" t="s">
        <v>71</v>
      </c>
      <c r="D18" t="s">
        <v>114</v>
      </c>
      <c r="E18" t="s">
        <v>66</v>
      </c>
      <c r="F18">
        <v>3</v>
      </c>
      <c r="H18">
        <v>3</v>
      </c>
      <c r="I18">
        <v>-3</v>
      </c>
      <c r="J18">
        <v>0</v>
      </c>
      <c r="K18" t="s">
        <v>370</v>
      </c>
    </row>
    <row r="19" spans="1:11" x14ac:dyDescent="0.3">
      <c r="A19" t="s">
        <v>132</v>
      </c>
      <c r="B19" t="s">
        <v>117</v>
      </c>
      <c r="C19" t="s">
        <v>71</v>
      </c>
      <c r="D19" t="s">
        <v>116</v>
      </c>
      <c r="E19" t="s">
        <v>66</v>
      </c>
      <c r="F19">
        <v>4</v>
      </c>
      <c r="H19">
        <v>4</v>
      </c>
      <c r="I19">
        <v>-4</v>
      </c>
      <c r="J19">
        <v>0</v>
      </c>
      <c r="K19" t="s">
        <v>370</v>
      </c>
    </row>
    <row r="20" spans="1:11" x14ac:dyDescent="0.3">
      <c r="A20" t="s">
        <v>132</v>
      </c>
      <c r="B20" t="s">
        <v>117</v>
      </c>
      <c r="C20" t="s">
        <v>64</v>
      </c>
      <c r="D20" t="s">
        <v>124</v>
      </c>
      <c r="E20" t="s">
        <v>66</v>
      </c>
      <c r="F20">
        <v>0</v>
      </c>
      <c r="H20">
        <v>0</v>
      </c>
      <c r="I20">
        <v>0</v>
      </c>
      <c r="J20">
        <v>0</v>
      </c>
      <c r="K20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A0A0-CD27-44B1-95DA-46A4BDF368AA}">
  <dimension ref="A1:K24"/>
  <sheetViews>
    <sheetView workbookViewId="0">
      <selection activeCell="C5" sqref="C5"/>
    </sheetView>
  </sheetViews>
  <sheetFormatPr baseColWidth="10" defaultRowHeight="14.4" x14ac:dyDescent="0.3"/>
  <cols>
    <col min="1" max="1" width="27.33203125" bestFit="1" customWidth="1"/>
    <col min="2" max="2" width="20.44140625" bestFit="1" customWidth="1"/>
    <col min="3" max="3" width="24.77734375" bestFit="1" customWidth="1"/>
    <col min="4" max="4" width="73.77734375" bestFit="1" customWidth="1"/>
    <col min="5" max="5" width="51.441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443</v>
      </c>
      <c r="B2" t="s">
        <v>80</v>
      </c>
      <c r="C2" t="s">
        <v>21</v>
      </c>
      <c r="D2" t="s">
        <v>171</v>
      </c>
      <c r="E2" t="s">
        <v>170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443</v>
      </c>
      <c r="B3" t="s">
        <v>80</v>
      </c>
      <c r="C3" t="s">
        <v>21</v>
      </c>
      <c r="D3" t="s">
        <v>169</v>
      </c>
      <c r="E3" t="s">
        <v>81</v>
      </c>
      <c r="F3">
        <v>5</v>
      </c>
      <c r="H3">
        <v>5</v>
      </c>
      <c r="I3">
        <v>-5</v>
      </c>
      <c r="J3">
        <v>0</v>
      </c>
      <c r="K3" t="s">
        <v>370</v>
      </c>
    </row>
    <row r="4" spans="1:11" x14ac:dyDescent="0.3">
      <c r="A4" t="s">
        <v>443</v>
      </c>
      <c r="B4" t="s">
        <v>80</v>
      </c>
      <c r="C4" t="s">
        <v>21</v>
      </c>
      <c r="D4" t="s">
        <v>119</v>
      </c>
      <c r="E4" t="s">
        <v>144</v>
      </c>
      <c r="F4">
        <v>0</v>
      </c>
      <c r="H4">
        <v>0</v>
      </c>
      <c r="J4">
        <v>0</v>
      </c>
      <c r="K4" t="s">
        <v>370</v>
      </c>
    </row>
    <row r="5" spans="1:11" x14ac:dyDescent="0.3">
      <c r="A5" t="s">
        <v>443</v>
      </c>
      <c r="B5" t="s">
        <v>80</v>
      </c>
      <c r="C5" t="s">
        <v>21</v>
      </c>
      <c r="D5" t="s">
        <v>166</v>
      </c>
      <c r="E5" t="s">
        <v>144</v>
      </c>
      <c r="F5">
        <v>3.5</v>
      </c>
      <c r="H5">
        <v>3.5</v>
      </c>
      <c r="J5">
        <v>3.5</v>
      </c>
      <c r="K5" t="s">
        <v>370</v>
      </c>
    </row>
    <row r="6" spans="1:11" x14ac:dyDescent="0.3">
      <c r="A6" t="s">
        <v>443</v>
      </c>
      <c r="B6" t="s">
        <v>80</v>
      </c>
      <c r="C6" t="s">
        <v>21</v>
      </c>
      <c r="D6" t="s">
        <v>382</v>
      </c>
      <c r="E6" t="s">
        <v>144</v>
      </c>
      <c r="F6">
        <v>4</v>
      </c>
      <c r="H6">
        <v>4</v>
      </c>
      <c r="J6">
        <v>4</v>
      </c>
      <c r="K6" t="s">
        <v>370</v>
      </c>
    </row>
    <row r="7" spans="1:11" x14ac:dyDescent="0.3">
      <c r="A7" t="s">
        <v>443</v>
      </c>
      <c r="B7" t="s">
        <v>80</v>
      </c>
      <c r="C7" t="s">
        <v>21</v>
      </c>
      <c r="D7" t="s">
        <v>200</v>
      </c>
      <c r="E7" t="s">
        <v>144</v>
      </c>
      <c r="F7">
        <v>0</v>
      </c>
      <c r="H7">
        <v>0</v>
      </c>
      <c r="J7">
        <v>0</v>
      </c>
      <c r="K7" t="s">
        <v>370</v>
      </c>
    </row>
    <row r="8" spans="1:11" x14ac:dyDescent="0.3">
      <c r="A8" t="s">
        <v>443</v>
      </c>
      <c r="B8" t="s">
        <v>80</v>
      </c>
      <c r="C8" t="s">
        <v>21</v>
      </c>
      <c r="D8" t="s">
        <v>167</v>
      </c>
      <c r="E8" t="s">
        <v>144</v>
      </c>
      <c r="F8">
        <v>5</v>
      </c>
      <c r="H8">
        <v>5</v>
      </c>
      <c r="J8">
        <v>5</v>
      </c>
      <c r="K8" t="s">
        <v>370</v>
      </c>
    </row>
    <row r="9" spans="1:11" x14ac:dyDescent="0.3">
      <c r="A9" t="s">
        <v>443</v>
      </c>
      <c r="B9" t="s">
        <v>80</v>
      </c>
      <c r="C9" t="s">
        <v>21</v>
      </c>
      <c r="D9" t="s">
        <v>168</v>
      </c>
      <c r="E9" t="s">
        <v>83</v>
      </c>
      <c r="F9">
        <v>0</v>
      </c>
      <c r="H9">
        <v>0</v>
      </c>
      <c r="J9">
        <v>0</v>
      </c>
      <c r="K9" t="s">
        <v>370</v>
      </c>
    </row>
    <row r="10" spans="1:11" x14ac:dyDescent="0.3">
      <c r="A10" t="s">
        <v>443</v>
      </c>
      <c r="B10" t="s">
        <v>80</v>
      </c>
      <c r="C10" t="s">
        <v>58</v>
      </c>
      <c r="D10" t="s">
        <v>177</v>
      </c>
      <c r="E10" t="s">
        <v>170</v>
      </c>
      <c r="F10">
        <v>0</v>
      </c>
      <c r="H10">
        <v>0</v>
      </c>
      <c r="J10">
        <v>0</v>
      </c>
      <c r="K10" t="s">
        <v>370</v>
      </c>
    </row>
    <row r="11" spans="1:11" x14ac:dyDescent="0.3">
      <c r="A11" t="s">
        <v>443</v>
      </c>
      <c r="B11" t="s">
        <v>80</v>
      </c>
      <c r="C11" t="s">
        <v>58</v>
      </c>
      <c r="D11" t="s">
        <v>180</v>
      </c>
      <c r="E11" t="s">
        <v>81</v>
      </c>
      <c r="F11">
        <v>1</v>
      </c>
      <c r="H11">
        <v>1</v>
      </c>
      <c r="I11">
        <v>-1</v>
      </c>
      <c r="J11">
        <v>0</v>
      </c>
      <c r="K11" t="s">
        <v>370</v>
      </c>
    </row>
    <row r="12" spans="1:11" x14ac:dyDescent="0.3">
      <c r="A12" t="s">
        <v>443</v>
      </c>
      <c r="B12" t="s">
        <v>80</v>
      </c>
      <c r="C12" t="s">
        <v>58</v>
      </c>
      <c r="D12" t="s">
        <v>178</v>
      </c>
      <c r="E12" t="s">
        <v>144</v>
      </c>
      <c r="F12">
        <v>9</v>
      </c>
      <c r="H12">
        <v>9</v>
      </c>
      <c r="J12">
        <v>9</v>
      </c>
      <c r="K12" t="s">
        <v>370</v>
      </c>
    </row>
    <row r="13" spans="1:11" x14ac:dyDescent="0.3">
      <c r="A13" t="s">
        <v>443</v>
      </c>
      <c r="B13" t="s">
        <v>80</v>
      </c>
      <c r="C13" t="s">
        <v>58</v>
      </c>
      <c r="D13" t="s">
        <v>176</v>
      </c>
      <c r="E13" t="s">
        <v>83</v>
      </c>
      <c r="F13">
        <v>0</v>
      </c>
      <c r="H13">
        <v>0</v>
      </c>
      <c r="J13">
        <v>0</v>
      </c>
      <c r="K13" t="s">
        <v>370</v>
      </c>
    </row>
    <row r="14" spans="1:11" x14ac:dyDescent="0.3">
      <c r="A14" t="s">
        <v>443</v>
      </c>
      <c r="B14" t="s">
        <v>80</v>
      </c>
      <c r="C14" t="s">
        <v>58</v>
      </c>
      <c r="D14" t="s">
        <v>175</v>
      </c>
      <c r="E14" t="s">
        <v>144</v>
      </c>
      <c r="F14">
        <v>9</v>
      </c>
      <c r="H14">
        <v>9</v>
      </c>
      <c r="J14">
        <v>9</v>
      </c>
      <c r="K14" t="s">
        <v>370</v>
      </c>
    </row>
    <row r="15" spans="1:11" x14ac:dyDescent="0.3">
      <c r="A15" t="s">
        <v>443</v>
      </c>
      <c r="B15" t="s">
        <v>80</v>
      </c>
      <c r="C15" t="s">
        <v>70</v>
      </c>
      <c r="D15" t="s">
        <v>185</v>
      </c>
      <c r="E15" t="s">
        <v>170</v>
      </c>
      <c r="F15">
        <v>0</v>
      </c>
      <c r="H15">
        <v>0</v>
      </c>
      <c r="J15">
        <v>0</v>
      </c>
      <c r="K15" t="s">
        <v>370</v>
      </c>
    </row>
    <row r="16" spans="1:11" x14ac:dyDescent="0.3">
      <c r="A16" t="s">
        <v>443</v>
      </c>
      <c r="B16" t="s">
        <v>80</v>
      </c>
      <c r="C16" t="s">
        <v>70</v>
      </c>
      <c r="D16" t="s">
        <v>186</v>
      </c>
      <c r="E16" t="s">
        <v>144</v>
      </c>
      <c r="F16">
        <v>5</v>
      </c>
      <c r="H16">
        <v>5</v>
      </c>
      <c r="J16">
        <v>5</v>
      </c>
      <c r="K16" t="s">
        <v>370</v>
      </c>
    </row>
    <row r="17" spans="1:11" x14ac:dyDescent="0.3">
      <c r="A17" t="s">
        <v>443</v>
      </c>
      <c r="B17" t="s">
        <v>80</v>
      </c>
      <c r="C17" t="s">
        <v>70</v>
      </c>
      <c r="D17" t="s">
        <v>183</v>
      </c>
      <c r="E17" t="s">
        <v>144</v>
      </c>
      <c r="F17">
        <v>5</v>
      </c>
      <c r="H17">
        <v>5</v>
      </c>
      <c r="J17">
        <v>5</v>
      </c>
      <c r="K17" t="s">
        <v>370</v>
      </c>
    </row>
    <row r="18" spans="1:11" x14ac:dyDescent="0.3">
      <c r="A18" t="s">
        <v>443</v>
      </c>
      <c r="B18" t="s">
        <v>80</v>
      </c>
      <c r="C18" t="s">
        <v>70</v>
      </c>
      <c r="D18" t="s">
        <v>184</v>
      </c>
      <c r="E18" t="s">
        <v>83</v>
      </c>
      <c r="F18">
        <v>0</v>
      </c>
      <c r="H18">
        <v>0</v>
      </c>
      <c r="J18">
        <v>0</v>
      </c>
      <c r="K18" t="s">
        <v>370</v>
      </c>
    </row>
    <row r="19" spans="1:11" x14ac:dyDescent="0.3">
      <c r="A19" t="s">
        <v>443</v>
      </c>
      <c r="B19" t="s">
        <v>80</v>
      </c>
      <c r="C19" t="s">
        <v>69</v>
      </c>
      <c r="D19" t="s">
        <v>189</v>
      </c>
      <c r="E19" t="s">
        <v>170</v>
      </c>
      <c r="F19">
        <v>0</v>
      </c>
      <c r="H19">
        <v>0</v>
      </c>
      <c r="J19">
        <v>0</v>
      </c>
      <c r="K19" t="s">
        <v>370</v>
      </c>
    </row>
    <row r="20" spans="1:11" x14ac:dyDescent="0.3">
      <c r="A20" t="s">
        <v>443</v>
      </c>
      <c r="B20" t="s">
        <v>80</v>
      </c>
      <c r="C20" t="s">
        <v>69</v>
      </c>
      <c r="D20" t="s">
        <v>191</v>
      </c>
      <c r="E20" t="s">
        <v>144</v>
      </c>
      <c r="F20">
        <v>5</v>
      </c>
      <c r="H20">
        <v>5</v>
      </c>
      <c r="J20">
        <v>5</v>
      </c>
      <c r="K20" t="s">
        <v>370</v>
      </c>
    </row>
    <row r="21" spans="1:11" x14ac:dyDescent="0.3">
      <c r="A21" t="s">
        <v>443</v>
      </c>
      <c r="B21" t="s">
        <v>80</v>
      </c>
      <c r="C21" t="s">
        <v>69</v>
      </c>
      <c r="D21" t="s">
        <v>188</v>
      </c>
      <c r="E21" t="s">
        <v>144</v>
      </c>
      <c r="F21">
        <v>5</v>
      </c>
      <c r="H21">
        <v>5</v>
      </c>
      <c r="J21">
        <v>5</v>
      </c>
      <c r="K21" t="s">
        <v>370</v>
      </c>
    </row>
    <row r="22" spans="1:11" x14ac:dyDescent="0.3">
      <c r="A22" t="s">
        <v>443</v>
      </c>
      <c r="B22" t="s">
        <v>80</v>
      </c>
      <c r="C22" t="s">
        <v>69</v>
      </c>
      <c r="D22" t="s">
        <v>190</v>
      </c>
      <c r="E22" t="s">
        <v>83</v>
      </c>
      <c r="F22">
        <v>0</v>
      </c>
      <c r="H22">
        <v>0</v>
      </c>
      <c r="J22">
        <v>0</v>
      </c>
      <c r="K22" t="s">
        <v>370</v>
      </c>
    </row>
    <row r="23" spans="1:11" x14ac:dyDescent="0.3">
      <c r="A23" t="s">
        <v>443</v>
      </c>
      <c r="B23" t="s">
        <v>80</v>
      </c>
      <c r="C23" t="s">
        <v>64</v>
      </c>
      <c r="D23" t="s">
        <v>202</v>
      </c>
      <c r="E23" t="s">
        <v>83</v>
      </c>
      <c r="F23">
        <v>0</v>
      </c>
      <c r="H23">
        <v>0</v>
      </c>
      <c r="J23">
        <v>0</v>
      </c>
      <c r="K23" t="s">
        <v>370</v>
      </c>
    </row>
    <row r="24" spans="1:11" x14ac:dyDescent="0.3">
      <c r="A24" t="s">
        <v>443</v>
      </c>
      <c r="B24" t="s">
        <v>80</v>
      </c>
      <c r="C24" t="s">
        <v>64</v>
      </c>
      <c r="D24" t="s">
        <v>201</v>
      </c>
      <c r="E24" t="s">
        <v>83</v>
      </c>
      <c r="F24">
        <v>5</v>
      </c>
      <c r="H24">
        <v>5</v>
      </c>
      <c r="J24">
        <v>5</v>
      </c>
      <c r="K24" t="s">
        <v>370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591B-F587-4363-AEB0-F7A380901AE3}">
  <dimension ref="A1:K24"/>
  <sheetViews>
    <sheetView topLeftCell="B1" zoomScale="85" zoomScaleNormal="85" workbookViewId="0">
      <selection activeCell="D23" sqref="D23"/>
    </sheetView>
  </sheetViews>
  <sheetFormatPr baseColWidth="10" defaultRowHeight="14.4" x14ac:dyDescent="0.3"/>
  <cols>
    <col min="1" max="1" width="38" bestFit="1" customWidth="1"/>
    <col min="2" max="2" width="21.5546875" bestFit="1" customWidth="1"/>
    <col min="3" max="3" width="26" bestFit="1" customWidth="1"/>
    <col min="4" max="4" width="70.88671875" bestFit="1" customWidth="1"/>
    <col min="5" max="5" width="40.21875" bestFit="1" customWidth="1"/>
    <col min="6" max="7" width="80.88671875" bestFit="1" customWidth="1"/>
    <col min="8" max="8" width="9" bestFit="1" customWidth="1"/>
    <col min="9" max="9" width="22.33203125" bestFit="1" customWidth="1"/>
    <col min="10" max="10" width="26.21875" bestFit="1" customWidth="1"/>
    <col min="11" max="11" width="12.3320312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394</v>
      </c>
      <c r="B2" t="s">
        <v>80</v>
      </c>
      <c r="C2" t="s">
        <v>21</v>
      </c>
      <c r="D2" t="s">
        <v>130</v>
      </c>
      <c r="E2" t="s">
        <v>144</v>
      </c>
      <c r="F2">
        <v>0</v>
      </c>
      <c r="G2">
        <v>3</v>
      </c>
      <c r="H2">
        <v>3</v>
      </c>
      <c r="J2">
        <v>3</v>
      </c>
      <c r="K2" t="s">
        <v>370</v>
      </c>
    </row>
    <row r="3" spans="1:11" x14ac:dyDescent="0.3">
      <c r="A3" t="s">
        <v>394</v>
      </c>
      <c r="B3" t="s">
        <v>80</v>
      </c>
      <c r="C3" t="s">
        <v>21</v>
      </c>
      <c r="D3" t="s">
        <v>147</v>
      </c>
      <c r="E3" t="s">
        <v>144</v>
      </c>
      <c r="F3">
        <v>30</v>
      </c>
      <c r="H3">
        <v>30</v>
      </c>
      <c r="J3">
        <v>30</v>
      </c>
      <c r="K3" t="s">
        <v>370</v>
      </c>
    </row>
    <row r="4" spans="1:11" x14ac:dyDescent="0.3">
      <c r="A4" t="s">
        <v>394</v>
      </c>
      <c r="B4" t="s">
        <v>80</v>
      </c>
      <c r="C4" t="s">
        <v>21</v>
      </c>
      <c r="D4" t="s">
        <v>120</v>
      </c>
      <c r="E4" t="s">
        <v>144</v>
      </c>
      <c r="F4">
        <v>4</v>
      </c>
      <c r="H4">
        <v>4</v>
      </c>
      <c r="J4">
        <v>4</v>
      </c>
      <c r="K4" t="s">
        <v>370</v>
      </c>
    </row>
    <row r="5" spans="1:11" x14ac:dyDescent="0.3">
      <c r="A5" t="s">
        <v>394</v>
      </c>
      <c r="B5" t="s">
        <v>80</v>
      </c>
      <c r="C5" t="s">
        <v>21</v>
      </c>
      <c r="D5" t="s">
        <v>89</v>
      </c>
      <c r="E5" t="s">
        <v>144</v>
      </c>
      <c r="F5">
        <v>3</v>
      </c>
      <c r="H5">
        <v>3</v>
      </c>
      <c r="J5">
        <v>3</v>
      </c>
      <c r="K5" t="s">
        <v>370</v>
      </c>
    </row>
    <row r="6" spans="1:11" x14ac:dyDescent="0.3">
      <c r="A6" t="s">
        <v>394</v>
      </c>
      <c r="B6" t="s">
        <v>80</v>
      </c>
      <c r="C6" t="s">
        <v>21</v>
      </c>
      <c r="D6" t="s">
        <v>380</v>
      </c>
      <c r="E6" t="s">
        <v>144</v>
      </c>
      <c r="F6">
        <v>3</v>
      </c>
      <c r="H6">
        <v>3</v>
      </c>
      <c r="J6">
        <v>3</v>
      </c>
      <c r="K6" t="s">
        <v>370</v>
      </c>
    </row>
    <row r="7" spans="1:11" x14ac:dyDescent="0.3">
      <c r="A7" t="s">
        <v>394</v>
      </c>
      <c r="B7" t="s">
        <v>80</v>
      </c>
      <c r="C7" t="s">
        <v>21</v>
      </c>
      <c r="D7" t="s">
        <v>377</v>
      </c>
      <c r="E7" t="s">
        <v>144</v>
      </c>
      <c r="F7">
        <v>3</v>
      </c>
      <c r="H7">
        <v>3</v>
      </c>
      <c r="J7">
        <v>3</v>
      </c>
      <c r="K7" t="s">
        <v>370</v>
      </c>
    </row>
    <row r="8" spans="1:11" x14ac:dyDescent="0.3">
      <c r="A8" t="s">
        <v>394</v>
      </c>
      <c r="B8" t="s">
        <v>80</v>
      </c>
      <c r="C8" t="s">
        <v>21</v>
      </c>
      <c r="D8" t="s">
        <v>143</v>
      </c>
      <c r="E8" t="s">
        <v>144</v>
      </c>
      <c r="F8">
        <v>4</v>
      </c>
      <c r="H8">
        <v>4</v>
      </c>
      <c r="J8">
        <v>4</v>
      </c>
      <c r="K8" t="s">
        <v>370</v>
      </c>
    </row>
    <row r="9" spans="1:11" x14ac:dyDescent="0.3">
      <c r="A9" t="s">
        <v>394</v>
      </c>
      <c r="B9" t="s">
        <v>80</v>
      </c>
      <c r="C9" t="s">
        <v>21</v>
      </c>
      <c r="D9" t="s">
        <v>145</v>
      </c>
      <c r="E9" t="s">
        <v>146</v>
      </c>
      <c r="F9">
        <v>4</v>
      </c>
      <c r="H9">
        <v>4</v>
      </c>
      <c r="J9">
        <v>4</v>
      </c>
      <c r="K9" t="s">
        <v>370</v>
      </c>
    </row>
    <row r="10" spans="1:11" x14ac:dyDescent="0.3">
      <c r="A10" t="s">
        <v>394</v>
      </c>
      <c r="B10" t="s">
        <v>80</v>
      </c>
      <c r="C10" t="s">
        <v>58</v>
      </c>
      <c r="D10" t="s">
        <v>148</v>
      </c>
      <c r="E10" t="s">
        <v>142</v>
      </c>
      <c r="F10">
        <v>0</v>
      </c>
      <c r="H10">
        <v>0</v>
      </c>
      <c r="J10">
        <v>0</v>
      </c>
      <c r="K10" t="s">
        <v>370</v>
      </c>
    </row>
    <row r="11" spans="1:11" x14ac:dyDescent="0.3">
      <c r="A11" t="s">
        <v>394</v>
      </c>
      <c r="B11" t="s">
        <v>80</v>
      </c>
      <c r="C11" t="s">
        <v>58</v>
      </c>
      <c r="D11" t="s">
        <v>149</v>
      </c>
      <c r="E11" t="s">
        <v>144</v>
      </c>
      <c r="F11">
        <v>0</v>
      </c>
      <c r="H11">
        <v>0</v>
      </c>
      <c r="J11">
        <v>0</v>
      </c>
      <c r="K11" t="s">
        <v>370</v>
      </c>
    </row>
    <row r="12" spans="1:11" x14ac:dyDescent="0.3">
      <c r="A12" t="s">
        <v>394</v>
      </c>
      <c r="B12" t="s">
        <v>80</v>
      </c>
      <c r="C12" t="s">
        <v>58</v>
      </c>
      <c r="D12" t="s">
        <v>164</v>
      </c>
      <c r="E12" t="s">
        <v>144</v>
      </c>
      <c r="F12">
        <v>4</v>
      </c>
      <c r="H12">
        <v>4</v>
      </c>
      <c r="J12">
        <v>4</v>
      </c>
      <c r="K12" t="s">
        <v>370</v>
      </c>
    </row>
    <row r="13" spans="1:11" x14ac:dyDescent="0.3">
      <c r="A13" t="s">
        <v>394</v>
      </c>
      <c r="B13" t="s">
        <v>80</v>
      </c>
      <c r="C13" t="s">
        <v>58</v>
      </c>
      <c r="D13" t="s">
        <v>150</v>
      </c>
      <c r="E13" t="s">
        <v>146</v>
      </c>
      <c r="F13">
        <v>4</v>
      </c>
      <c r="H13">
        <v>4</v>
      </c>
      <c r="J13">
        <v>4</v>
      </c>
      <c r="K13" t="s">
        <v>370</v>
      </c>
    </row>
    <row r="14" spans="1:11" x14ac:dyDescent="0.3">
      <c r="A14" t="s">
        <v>394</v>
      </c>
      <c r="B14" t="s">
        <v>80</v>
      </c>
      <c r="C14" t="s">
        <v>69</v>
      </c>
      <c r="D14" t="s">
        <v>156</v>
      </c>
      <c r="E14" t="s">
        <v>144</v>
      </c>
      <c r="F14">
        <v>4</v>
      </c>
      <c r="H14">
        <v>4</v>
      </c>
      <c r="J14">
        <v>0</v>
      </c>
      <c r="K14" t="s">
        <v>370</v>
      </c>
    </row>
    <row r="15" spans="1:11" x14ac:dyDescent="0.3">
      <c r="A15" t="s">
        <v>394</v>
      </c>
      <c r="B15" t="s">
        <v>80</v>
      </c>
      <c r="C15" t="s">
        <v>69</v>
      </c>
      <c r="D15" t="s">
        <v>155</v>
      </c>
      <c r="E15" t="s">
        <v>142</v>
      </c>
      <c r="F15">
        <v>0</v>
      </c>
      <c r="H15">
        <v>0</v>
      </c>
      <c r="J15">
        <v>0</v>
      </c>
      <c r="K15" t="s">
        <v>370</v>
      </c>
    </row>
    <row r="16" spans="1:11" x14ac:dyDescent="0.3">
      <c r="A16" t="s">
        <v>394</v>
      </c>
      <c r="B16" t="s">
        <v>80</v>
      </c>
      <c r="C16" t="s">
        <v>69</v>
      </c>
      <c r="D16" t="s">
        <v>157</v>
      </c>
      <c r="E16" t="s">
        <v>144</v>
      </c>
      <c r="F16">
        <v>4</v>
      </c>
      <c r="H16">
        <v>4</v>
      </c>
      <c r="J16">
        <v>4</v>
      </c>
      <c r="K16" t="s">
        <v>370</v>
      </c>
    </row>
    <row r="17" spans="1:11" x14ac:dyDescent="0.3">
      <c r="A17" t="s">
        <v>394</v>
      </c>
      <c r="B17" t="s">
        <v>80</v>
      </c>
      <c r="C17" t="s">
        <v>69</v>
      </c>
      <c r="D17" t="s">
        <v>158</v>
      </c>
      <c r="E17" t="s">
        <v>146</v>
      </c>
      <c r="F17">
        <v>4</v>
      </c>
      <c r="H17">
        <v>4</v>
      </c>
      <c r="J17">
        <v>4</v>
      </c>
      <c r="K17" t="s">
        <v>370</v>
      </c>
    </row>
    <row r="18" spans="1:11" x14ac:dyDescent="0.3">
      <c r="A18" t="s">
        <v>394</v>
      </c>
      <c r="B18" t="s">
        <v>80</v>
      </c>
      <c r="C18" t="s">
        <v>70</v>
      </c>
      <c r="D18" t="s">
        <v>151</v>
      </c>
      <c r="E18" t="s">
        <v>142</v>
      </c>
      <c r="F18">
        <v>0</v>
      </c>
      <c r="H18">
        <v>0</v>
      </c>
      <c r="J18">
        <v>0</v>
      </c>
      <c r="K18" t="s">
        <v>370</v>
      </c>
    </row>
    <row r="19" spans="1:11" x14ac:dyDescent="0.3">
      <c r="A19" t="s">
        <v>394</v>
      </c>
      <c r="B19" t="s">
        <v>80</v>
      </c>
      <c r="C19" t="s">
        <v>70</v>
      </c>
      <c r="D19" t="s">
        <v>152</v>
      </c>
      <c r="E19" t="s">
        <v>144</v>
      </c>
      <c r="F19">
        <v>4</v>
      </c>
      <c r="H19">
        <v>4</v>
      </c>
      <c r="J19">
        <v>0</v>
      </c>
      <c r="K19" t="s">
        <v>370</v>
      </c>
    </row>
    <row r="20" spans="1:11" x14ac:dyDescent="0.3">
      <c r="A20" t="s">
        <v>394</v>
      </c>
      <c r="B20" t="s">
        <v>80</v>
      </c>
      <c r="C20" t="s">
        <v>70</v>
      </c>
      <c r="D20" t="s">
        <v>153</v>
      </c>
      <c r="E20" t="s">
        <v>144</v>
      </c>
      <c r="F20">
        <v>4</v>
      </c>
      <c r="H20">
        <v>4</v>
      </c>
      <c r="J20">
        <v>4</v>
      </c>
      <c r="K20" t="s">
        <v>370</v>
      </c>
    </row>
    <row r="21" spans="1:11" x14ac:dyDescent="0.3">
      <c r="A21" t="s">
        <v>394</v>
      </c>
      <c r="B21" t="s">
        <v>80</v>
      </c>
      <c r="C21" t="s">
        <v>70</v>
      </c>
      <c r="D21" t="s">
        <v>154</v>
      </c>
      <c r="E21" t="s">
        <v>146</v>
      </c>
      <c r="F21">
        <v>4</v>
      </c>
      <c r="H21">
        <v>4</v>
      </c>
      <c r="J21">
        <v>4</v>
      </c>
      <c r="K21" t="s">
        <v>370</v>
      </c>
    </row>
    <row r="22" spans="1:11" x14ac:dyDescent="0.3">
      <c r="A22" t="s">
        <v>394</v>
      </c>
      <c r="B22" t="s">
        <v>80</v>
      </c>
      <c r="C22" t="s">
        <v>121</v>
      </c>
      <c r="D22" t="s">
        <v>160</v>
      </c>
      <c r="E22" t="s">
        <v>142</v>
      </c>
      <c r="F22">
        <v>0</v>
      </c>
      <c r="H22">
        <v>0</v>
      </c>
      <c r="J22">
        <v>0</v>
      </c>
      <c r="K22" t="s">
        <v>370</v>
      </c>
    </row>
    <row r="23" spans="1:11" x14ac:dyDescent="0.3">
      <c r="A23" t="s">
        <v>394</v>
      </c>
      <c r="B23" t="s">
        <v>80</v>
      </c>
      <c r="C23" t="s">
        <v>121</v>
      </c>
      <c r="D23" t="s">
        <v>159</v>
      </c>
      <c r="E23" t="s">
        <v>146</v>
      </c>
      <c r="F23">
        <v>0</v>
      </c>
      <c r="H23">
        <v>0</v>
      </c>
      <c r="J23">
        <v>0</v>
      </c>
      <c r="K23" t="s">
        <v>370</v>
      </c>
    </row>
    <row r="24" spans="1:11" x14ac:dyDescent="0.3">
      <c r="A24" t="s">
        <v>394</v>
      </c>
      <c r="B24" t="s">
        <v>80</v>
      </c>
      <c r="C24" t="s">
        <v>64</v>
      </c>
      <c r="D24" t="s">
        <v>124</v>
      </c>
      <c r="E24" t="s">
        <v>144</v>
      </c>
      <c r="F24">
        <v>0</v>
      </c>
      <c r="H24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F1F4-0C9C-46B1-A9D6-96550D6C1B92}">
  <dimension ref="A1:BG5"/>
  <sheetViews>
    <sheetView workbookViewId="0">
      <selection activeCell="E4" sqref="E4"/>
    </sheetView>
  </sheetViews>
  <sheetFormatPr baseColWidth="10" defaultRowHeight="14.4" x14ac:dyDescent="0.3"/>
  <cols>
    <col min="1" max="1" width="26.6640625" bestFit="1" customWidth="1"/>
    <col min="2" max="2" width="20.44140625" bestFit="1" customWidth="1"/>
    <col min="3" max="3" width="24.77734375" bestFit="1" customWidth="1"/>
    <col min="4" max="4" width="67.44140625" bestFit="1" customWidth="1"/>
    <col min="5" max="5" width="3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59" width="11.77734375" bestFit="1" customWidth="1"/>
  </cols>
  <sheetData>
    <row r="1" spans="1:59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  <c r="Q1" t="s">
        <v>400</v>
      </c>
      <c r="R1" t="s">
        <v>401</v>
      </c>
      <c r="S1" t="s">
        <v>402</v>
      </c>
      <c r="T1" t="s">
        <v>403</v>
      </c>
      <c r="U1" t="s">
        <v>404</v>
      </c>
      <c r="V1" t="s">
        <v>405</v>
      </c>
      <c r="W1" t="s">
        <v>406</v>
      </c>
      <c r="X1" t="s">
        <v>407</v>
      </c>
      <c r="Y1" t="s">
        <v>408</v>
      </c>
      <c r="Z1" t="s">
        <v>409</v>
      </c>
      <c r="AA1" t="s">
        <v>410</v>
      </c>
      <c r="AB1" t="s">
        <v>411</v>
      </c>
      <c r="AC1" t="s">
        <v>412</v>
      </c>
      <c r="AD1" t="s">
        <v>413</v>
      </c>
      <c r="AE1" t="s">
        <v>414</v>
      </c>
      <c r="AF1" t="s">
        <v>415</v>
      </c>
      <c r="AG1" t="s">
        <v>416</v>
      </c>
      <c r="AH1" t="s">
        <v>417</v>
      </c>
      <c r="AI1" t="s">
        <v>418</v>
      </c>
      <c r="AJ1" t="s">
        <v>419</v>
      </c>
      <c r="AK1" t="s">
        <v>420</v>
      </c>
      <c r="AL1" t="s">
        <v>421</v>
      </c>
      <c r="AM1" t="s">
        <v>422</v>
      </c>
      <c r="AN1" t="s">
        <v>423</v>
      </c>
      <c r="AO1" t="s">
        <v>424</v>
      </c>
      <c r="AP1" t="s">
        <v>425</v>
      </c>
      <c r="AQ1" t="s">
        <v>426</v>
      </c>
      <c r="AR1" t="s">
        <v>427</v>
      </c>
      <c r="AS1" t="s">
        <v>428</v>
      </c>
      <c r="AT1" t="s">
        <v>429</v>
      </c>
      <c r="AU1" t="s">
        <v>430</v>
      </c>
      <c r="AV1" t="s">
        <v>431</v>
      </c>
      <c r="AW1" t="s">
        <v>432</v>
      </c>
      <c r="AX1" t="s">
        <v>433</v>
      </c>
      <c r="AY1" t="s">
        <v>434</v>
      </c>
      <c r="AZ1" t="s">
        <v>435</v>
      </c>
      <c r="BA1" t="s">
        <v>436</v>
      </c>
      <c r="BB1" t="s">
        <v>437</v>
      </c>
      <c r="BC1" t="s">
        <v>438</v>
      </c>
      <c r="BD1" t="s">
        <v>439</v>
      </c>
      <c r="BE1" t="s">
        <v>440</v>
      </c>
      <c r="BF1" t="s">
        <v>441</v>
      </c>
      <c r="BG1" t="s">
        <v>442</v>
      </c>
    </row>
    <row r="2" spans="1:59" x14ac:dyDescent="0.3">
      <c r="A2" t="s">
        <v>161</v>
      </c>
      <c r="B2" t="s">
        <v>80</v>
      </c>
      <c r="C2" t="s">
        <v>58</v>
      </c>
      <c r="D2" t="s">
        <v>164</v>
      </c>
      <c r="E2" t="s">
        <v>162</v>
      </c>
      <c r="F2">
        <v>1</v>
      </c>
      <c r="H2">
        <v>1</v>
      </c>
      <c r="J2">
        <v>0</v>
      </c>
      <c r="K2" t="s">
        <v>370</v>
      </c>
    </row>
    <row r="3" spans="1:59" x14ac:dyDescent="0.3">
      <c r="A3" t="s">
        <v>161</v>
      </c>
      <c r="B3" t="s">
        <v>80</v>
      </c>
      <c r="C3" t="s">
        <v>58</v>
      </c>
      <c r="D3" t="s">
        <v>163</v>
      </c>
      <c r="E3" t="s">
        <v>162</v>
      </c>
      <c r="H3">
        <v>0</v>
      </c>
      <c r="J3">
        <v>0</v>
      </c>
      <c r="K3" t="s">
        <v>370</v>
      </c>
    </row>
    <row r="4" spans="1:59" x14ac:dyDescent="0.3">
      <c r="A4" t="s">
        <v>161</v>
      </c>
      <c r="B4" t="s">
        <v>80</v>
      </c>
      <c r="C4" t="s">
        <v>64</v>
      </c>
      <c r="D4" t="s">
        <v>124</v>
      </c>
      <c r="E4" t="s">
        <v>162</v>
      </c>
      <c r="F4">
        <v>0</v>
      </c>
      <c r="H4">
        <v>0</v>
      </c>
      <c r="J4">
        <v>0</v>
      </c>
      <c r="K4" t="s">
        <v>370</v>
      </c>
      <c r="N4">
        <v>0</v>
      </c>
      <c r="O4">
        <v>0</v>
      </c>
      <c r="R4">
        <v>0</v>
      </c>
      <c r="S4">
        <v>0</v>
      </c>
      <c r="V4">
        <v>0</v>
      </c>
      <c r="W4">
        <v>0</v>
      </c>
      <c r="Z4">
        <v>0</v>
      </c>
      <c r="AA4">
        <v>0</v>
      </c>
      <c r="AD4">
        <v>0</v>
      </c>
      <c r="AE4">
        <v>0</v>
      </c>
      <c r="AH4">
        <v>0</v>
      </c>
      <c r="AI4">
        <v>0</v>
      </c>
      <c r="AL4">
        <v>0</v>
      </c>
      <c r="AM4">
        <v>0</v>
      </c>
      <c r="AP4">
        <v>0</v>
      </c>
      <c r="AQ4">
        <v>0</v>
      </c>
      <c r="AT4">
        <v>0</v>
      </c>
      <c r="AU4">
        <v>0</v>
      </c>
      <c r="AX4">
        <v>0</v>
      </c>
      <c r="AY4">
        <v>0</v>
      </c>
      <c r="BB4">
        <v>0</v>
      </c>
      <c r="BC4">
        <v>0</v>
      </c>
      <c r="BF4">
        <v>0</v>
      </c>
      <c r="BG4">
        <v>0</v>
      </c>
    </row>
    <row r="5" spans="1:59" x14ac:dyDescent="0.3">
      <c r="A5" t="s">
        <v>161</v>
      </c>
      <c r="B5" t="s">
        <v>80</v>
      </c>
      <c r="C5" t="s">
        <v>64</v>
      </c>
      <c r="D5" t="s">
        <v>381</v>
      </c>
      <c r="E5" t="s">
        <v>235</v>
      </c>
      <c r="F5">
        <v>0</v>
      </c>
      <c r="H5">
        <v>0</v>
      </c>
      <c r="J5">
        <v>0</v>
      </c>
      <c r="K5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2DCB-96DF-46AA-8B40-AE0B4645BE88}">
  <dimension ref="A1:K25"/>
  <sheetViews>
    <sheetView zoomScale="85" zoomScaleNormal="85" workbookViewId="0">
      <selection activeCell="D11" sqref="D11"/>
    </sheetView>
  </sheetViews>
  <sheetFormatPr baseColWidth="10" defaultRowHeight="14.4" x14ac:dyDescent="0.3"/>
  <cols>
    <col min="1" max="1" width="56.5546875" bestFit="1" customWidth="1"/>
    <col min="2" max="2" width="21.5546875" bestFit="1" customWidth="1"/>
    <col min="3" max="3" width="26" bestFit="1" customWidth="1"/>
    <col min="4" max="4" width="77.88671875" bestFit="1" customWidth="1"/>
    <col min="5" max="5" width="54" bestFit="1" customWidth="1"/>
    <col min="6" max="7" width="80.88671875" bestFit="1" customWidth="1"/>
    <col min="8" max="8" width="9" bestFit="1" customWidth="1"/>
    <col min="9" max="9" width="22.33203125" bestFit="1" customWidth="1"/>
    <col min="10" max="10" width="26.21875" bestFit="1" customWidth="1"/>
    <col min="11" max="11" width="12.3320312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165</v>
      </c>
      <c r="B2" t="s">
        <v>80</v>
      </c>
      <c r="C2" t="s">
        <v>21</v>
      </c>
      <c r="D2" t="s">
        <v>171</v>
      </c>
      <c r="E2" t="s">
        <v>170</v>
      </c>
      <c r="F2">
        <v>0</v>
      </c>
      <c r="G2">
        <v>0</v>
      </c>
      <c r="H2">
        <v>0</v>
      </c>
      <c r="J2">
        <v>0</v>
      </c>
      <c r="K2" t="s">
        <v>370</v>
      </c>
    </row>
    <row r="3" spans="1:11" x14ac:dyDescent="0.3">
      <c r="A3" t="s">
        <v>165</v>
      </c>
      <c r="B3" t="s">
        <v>80</v>
      </c>
      <c r="C3" t="s">
        <v>21</v>
      </c>
      <c r="D3" t="s">
        <v>169</v>
      </c>
      <c r="E3" t="s">
        <v>144</v>
      </c>
      <c r="F3">
        <v>5</v>
      </c>
      <c r="G3">
        <v>0</v>
      </c>
      <c r="H3">
        <v>5</v>
      </c>
      <c r="I3">
        <v>-5</v>
      </c>
      <c r="J3">
        <v>0</v>
      </c>
      <c r="K3" t="s">
        <v>370</v>
      </c>
    </row>
    <row r="4" spans="1:11" x14ac:dyDescent="0.3">
      <c r="A4" t="s">
        <v>165</v>
      </c>
      <c r="B4" t="s">
        <v>80</v>
      </c>
      <c r="C4" t="s">
        <v>21</v>
      </c>
      <c r="D4" t="s">
        <v>119</v>
      </c>
      <c r="E4" t="s">
        <v>144</v>
      </c>
      <c r="F4">
        <v>0</v>
      </c>
      <c r="G4">
        <v>0</v>
      </c>
      <c r="H4">
        <v>0</v>
      </c>
      <c r="J4">
        <v>0</v>
      </c>
      <c r="K4" t="s">
        <v>370</v>
      </c>
    </row>
    <row r="5" spans="1:11" x14ac:dyDescent="0.3">
      <c r="A5" t="s">
        <v>165</v>
      </c>
      <c r="B5" t="s">
        <v>80</v>
      </c>
      <c r="C5" t="s">
        <v>21</v>
      </c>
      <c r="D5" t="s">
        <v>166</v>
      </c>
      <c r="E5" t="s">
        <v>144</v>
      </c>
      <c r="F5">
        <v>3.5</v>
      </c>
      <c r="G5">
        <v>0</v>
      </c>
      <c r="H5">
        <v>3.5</v>
      </c>
      <c r="J5">
        <v>3.5</v>
      </c>
      <c r="K5" t="s">
        <v>370</v>
      </c>
    </row>
    <row r="6" spans="1:11" x14ac:dyDescent="0.3">
      <c r="A6" t="s">
        <v>165</v>
      </c>
      <c r="B6" t="s">
        <v>80</v>
      </c>
      <c r="C6" t="s">
        <v>21</v>
      </c>
      <c r="D6" t="s">
        <v>382</v>
      </c>
      <c r="E6" t="s">
        <v>144</v>
      </c>
      <c r="F6">
        <v>4</v>
      </c>
      <c r="G6">
        <v>0</v>
      </c>
      <c r="H6">
        <v>4</v>
      </c>
      <c r="J6">
        <v>4</v>
      </c>
      <c r="K6" t="s">
        <v>370</v>
      </c>
    </row>
    <row r="7" spans="1:11" x14ac:dyDescent="0.3">
      <c r="A7" t="s">
        <v>165</v>
      </c>
      <c r="B7" t="s">
        <v>80</v>
      </c>
      <c r="C7" t="s">
        <v>21</v>
      </c>
      <c r="D7" t="s">
        <v>200</v>
      </c>
      <c r="E7" t="s">
        <v>144</v>
      </c>
      <c r="F7">
        <v>0</v>
      </c>
      <c r="G7">
        <v>0</v>
      </c>
      <c r="H7">
        <v>0</v>
      </c>
      <c r="J7">
        <v>0</v>
      </c>
      <c r="K7" t="s">
        <v>370</v>
      </c>
    </row>
    <row r="8" spans="1:11" x14ac:dyDescent="0.3">
      <c r="A8" t="s">
        <v>165</v>
      </c>
      <c r="B8" t="s">
        <v>80</v>
      </c>
      <c r="C8" t="s">
        <v>21</v>
      </c>
      <c r="D8" t="s">
        <v>167</v>
      </c>
      <c r="E8" t="s">
        <v>144</v>
      </c>
      <c r="F8">
        <v>5</v>
      </c>
      <c r="G8">
        <v>0</v>
      </c>
      <c r="H8">
        <v>5</v>
      </c>
      <c r="J8">
        <v>5</v>
      </c>
      <c r="K8" t="s">
        <v>370</v>
      </c>
    </row>
    <row r="9" spans="1:11" x14ac:dyDescent="0.3">
      <c r="A9" t="s">
        <v>165</v>
      </c>
      <c r="B9" t="s">
        <v>80</v>
      </c>
      <c r="C9" t="s">
        <v>21</v>
      </c>
      <c r="D9" t="s">
        <v>168</v>
      </c>
      <c r="E9" t="s">
        <v>83</v>
      </c>
      <c r="F9">
        <v>0</v>
      </c>
      <c r="G9">
        <v>0</v>
      </c>
      <c r="H9">
        <v>0</v>
      </c>
      <c r="J9">
        <v>0</v>
      </c>
      <c r="K9" t="s">
        <v>370</v>
      </c>
    </row>
    <row r="10" spans="1:11" x14ac:dyDescent="0.3">
      <c r="A10" t="s">
        <v>165</v>
      </c>
      <c r="B10" t="s">
        <v>80</v>
      </c>
      <c r="C10" t="s">
        <v>58</v>
      </c>
      <c r="D10" t="s">
        <v>177</v>
      </c>
      <c r="E10" t="s">
        <v>170</v>
      </c>
      <c r="F10">
        <v>0</v>
      </c>
      <c r="G10">
        <v>0</v>
      </c>
      <c r="H10">
        <v>0</v>
      </c>
      <c r="J10">
        <v>0</v>
      </c>
      <c r="K10" t="s">
        <v>370</v>
      </c>
    </row>
    <row r="11" spans="1:11" x14ac:dyDescent="0.3">
      <c r="A11" t="s">
        <v>165</v>
      </c>
      <c r="B11" t="s">
        <v>80</v>
      </c>
      <c r="C11" t="s">
        <v>58</v>
      </c>
      <c r="D11" t="s">
        <v>178</v>
      </c>
      <c r="E11" t="s">
        <v>144</v>
      </c>
      <c r="F11">
        <v>9</v>
      </c>
      <c r="G11">
        <v>0</v>
      </c>
      <c r="H11">
        <v>9</v>
      </c>
      <c r="I11">
        <v>-9</v>
      </c>
      <c r="J11">
        <v>0</v>
      </c>
      <c r="K11" t="s">
        <v>370</v>
      </c>
    </row>
    <row r="12" spans="1:11" x14ac:dyDescent="0.3">
      <c r="A12" t="s">
        <v>165</v>
      </c>
      <c r="B12" t="s">
        <v>80</v>
      </c>
      <c r="C12" t="s">
        <v>58</v>
      </c>
      <c r="D12" t="s">
        <v>176</v>
      </c>
      <c r="E12" t="s">
        <v>83</v>
      </c>
      <c r="F12">
        <v>0</v>
      </c>
      <c r="G12">
        <v>0</v>
      </c>
      <c r="H12">
        <v>0</v>
      </c>
      <c r="J12">
        <v>0</v>
      </c>
      <c r="K12" t="s">
        <v>370</v>
      </c>
    </row>
    <row r="13" spans="1:11" x14ac:dyDescent="0.3">
      <c r="A13" t="s">
        <v>165</v>
      </c>
      <c r="B13" t="s">
        <v>80</v>
      </c>
      <c r="C13" t="s">
        <v>58</v>
      </c>
      <c r="D13" t="s">
        <v>175</v>
      </c>
      <c r="E13" t="s">
        <v>144</v>
      </c>
      <c r="F13">
        <v>9</v>
      </c>
      <c r="G13">
        <v>0</v>
      </c>
      <c r="H13">
        <v>9</v>
      </c>
      <c r="J13">
        <v>9</v>
      </c>
      <c r="K13" t="s">
        <v>370</v>
      </c>
    </row>
    <row r="14" spans="1:11" x14ac:dyDescent="0.3">
      <c r="A14" t="s">
        <v>165</v>
      </c>
      <c r="B14" t="s">
        <v>80</v>
      </c>
      <c r="C14" t="s">
        <v>70</v>
      </c>
      <c r="D14" t="s">
        <v>185</v>
      </c>
      <c r="E14" t="s">
        <v>170</v>
      </c>
      <c r="F14">
        <v>0</v>
      </c>
      <c r="G14">
        <v>0</v>
      </c>
      <c r="H14">
        <v>0</v>
      </c>
      <c r="J14">
        <v>0</v>
      </c>
      <c r="K14" t="s">
        <v>370</v>
      </c>
    </row>
    <row r="15" spans="1:11" x14ac:dyDescent="0.3">
      <c r="A15" t="s">
        <v>165</v>
      </c>
      <c r="B15" t="s">
        <v>80</v>
      </c>
      <c r="C15" t="s">
        <v>70</v>
      </c>
      <c r="D15" t="s">
        <v>186</v>
      </c>
      <c r="E15" t="s">
        <v>144</v>
      </c>
      <c r="F15">
        <v>5</v>
      </c>
      <c r="G15">
        <v>0</v>
      </c>
      <c r="H15">
        <v>5</v>
      </c>
      <c r="I15">
        <v>-5</v>
      </c>
      <c r="J15">
        <v>0</v>
      </c>
      <c r="K15" t="s">
        <v>370</v>
      </c>
    </row>
    <row r="16" spans="1:11" x14ac:dyDescent="0.3">
      <c r="A16" t="s">
        <v>165</v>
      </c>
      <c r="B16" t="s">
        <v>80</v>
      </c>
      <c r="C16" t="s">
        <v>70</v>
      </c>
      <c r="D16" t="s">
        <v>183</v>
      </c>
      <c r="E16" t="s">
        <v>144</v>
      </c>
      <c r="F16">
        <v>5</v>
      </c>
      <c r="G16">
        <v>0</v>
      </c>
      <c r="H16">
        <v>5</v>
      </c>
      <c r="J16">
        <v>5</v>
      </c>
      <c r="K16" t="s">
        <v>370</v>
      </c>
    </row>
    <row r="17" spans="1:11" x14ac:dyDescent="0.3">
      <c r="A17" t="s">
        <v>165</v>
      </c>
      <c r="B17" t="s">
        <v>80</v>
      </c>
      <c r="C17" t="s">
        <v>70</v>
      </c>
      <c r="D17" t="s">
        <v>184</v>
      </c>
      <c r="E17" t="s">
        <v>83</v>
      </c>
      <c r="F17">
        <v>0</v>
      </c>
      <c r="G17">
        <v>0</v>
      </c>
      <c r="H17">
        <v>0</v>
      </c>
      <c r="J17">
        <v>0</v>
      </c>
      <c r="K17" t="s">
        <v>370</v>
      </c>
    </row>
    <row r="18" spans="1:11" x14ac:dyDescent="0.3">
      <c r="A18" t="s">
        <v>165</v>
      </c>
      <c r="B18" t="s">
        <v>80</v>
      </c>
      <c r="C18" t="s">
        <v>69</v>
      </c>
      <c r="D18" t="s">
        <v>189</v>
      </c>
      <c r="E18" t="s">
        <v>170</v>
      </c>
      <c r="F18">
        <v>0</v>
      </c>
      <c r="G18">
        <v>0</v>
      </c>
      <c r="H18">
        <v>0</v>
      </c>
      <c r="J18">
        <v>0</v>
      </c>
      <c r="K18" t="s">
        <v>370</v>
      </c>
    </row>
    <row r="19" spans="1:11" x14ac:dyDescent="0.3">
      <c r="A19" t="s">
        <v>165</v>
      </c>
      <c r="B19" t="s">
        <v>80</v>
      </c>
      <c r="C19" t="s">
        <v>69</v>
      </c>
      <c r="D19" t="s">
        <v>191</v>
      </c>
      <c r="E19" t="s">
        <v>144</v>
      </c>
      <c r="F19">
        <v>4</v>
      </c>
      <c r="G19">
        <v>0</v>
      </c>
      <c r="H19">
        <v>4</v>
      </c>
      <c r="I19">
        <v>-4</v>
      </c>
      <c r="J19">
        <v>0</v>
      </c>
      <c r="K19" t="s">
        <v>370</v>
      </c>
    </row>
    <row r="20" spans="1:11" x14ac:dyDescent="0.3">
      <c r="A20" t="s">
        <v>165</v>
      </c>
      <c r="B20" t="s">
        <v>80</v>
      </c>
      <c r="C20" t="s">
        <v>69</v>
      </c>
      <c r="D20" t="s">
        <v>188</v>
      </c>
      <c r="E20" t="s">
        <v>144</v>
      </c>
      <c r="F20">
        <v>4</v>
      </c>
      <c r="G20">
        <v>0</v>
      </c>
      <c r="H20">
        <v>4</v>
      </c>
      <c r="J20">
        <v>4</v>
      </c>
      <c r="K20" t="s">
        <v>370</v>
      </c>
    </row>
    <row r="21" spans="1:11" x14ac:dyDescent="0.3">
      <c r="A21" t="s">
        <v>165</v>
      </c>
      <c r="B21" t="s">
        <v>80</v>
      </c>
      <c r="C21" t="s">
        <v>69</v>
      </c>
      <c r="D21" t="s">
        <v>190</v>
      </c>
      <c r="E21" t="s">
        <v>83</v>
      </c>
      <c r="F21">
        <v>0</v>
      </c>
      <c r="G21">
        <v>0</v>
      </c>
      <c r="H21">
        <v>0</v>
      </c>
      <c r="J21">
        <v>0</v>
      </c>
      <c r="K21" t="s">
        <v>370</v>
      </c>
    </row>
    <row r="22" spans="1:11" x14ac:dyDescent="0.3">
      <c r="A22" t="s">
        <v>165</v>
      </c>
      <c r="B22" t="s">
        <v>80</v>
      </c>
      <c r="C22" t="s">
        <v>121</v>
      </c>
      <c r="D22" t="s">
        <v>198</v>
      </c>
      <c r="E22" t="s">
        <v>170</v>
      </c>
      <c r="F22">
        <v>0</v>
      </c>
      <c r="G22">
        <v>0</v>
      </c>
      <c r="H22">
        <v>0</v>
      </c>
      <c r="J22">
        <v>0</v>
      </c>
      <c r="K22" t="s">
        <v>370</v>
      </c>
    </row>
    <row r="23" spans="1:11" x14ac:dyDescent="0.3">
      <c r="A23" t="s">
        <v>165</v>
      </c>
      <c r="B23" t="s">
        <v>80</v>
      </c>
      <c r="C23" t="s">
        <v>121</v>
      </c>
      <c r="D23" t="s">
        <v>196</v>
      </c>
      <c r="E23" t="s">
        <v>83</v>
      </c>
      <c r="F23">
        <v>0</v>
      </c>
      <c r="G23">
        <v>0</v>
      </c>
      <c r="H23">
        <v>0</v>
      </c>
      <c r="J23">
        <v>0</v>
      </c>
      <c r="K23" t="s">
        <v>370</v>
      </c>
    </row>
    <row r="24" spans="1:11" x14ac:dyDescent="0.3">
      <c r="A24" t="s">
        <v>165</v>
      </c>
      <c r="B24" t="s">
        <v>80</v>
      </c>
      <c r="C24" t="s">
        <v>64</v>
      </c>
      <c r="D24" t="s">
        <v>202</v>
      </c>
      <c r="E24" t="s">
        <v>83</v>
      </c>
      <c r="F24">
        <v>0</v>
      </c>
      <c r="G24">
        <v>0</v>
      </c>
      <c r="H24">
        <v>0</v>
      </c>
      <c r="J24">
        <v>0</v>
      </c>
      <c r="K24" t="s">
        <v>370</v>
      </c>
    </row>
    <row r="25" spans="1:11" x14ac:dyDescent="0.3">
      <c r="A25" t="s">
        <v>165</v>
      </c>
      <c r="B25" t="s">
        <v>80</v>
      </c>
      <c r="C25" t="s">
        <v>64</v>
      </c>
      <c r="D25" t="s">
        <v>201</v>
      </c>
      <c r="E25" t="s">
        <v>83</v>
      </c>
      <c r="F25">
        <v>0</v>
      </c>
      <c r="G25">
        <v>0</v>
      </c>
      <c r="H25">
        <v>0</v>
      </c>
      <c r="J25">
        <v>0</v>
      </c>
      <c r="K25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0145-B3F8-42BE-B423-D8346BBADCDE}">
  <dimension ref="A1:K17"/>
  <sheetViews>
    <sheetView topLeftCell="F1" workbookViewId="0">
      <selection activeCell="D4" sqref="D4"/>
    </sheetView>
  </sheetViews>
  <sheetFormatPr baseColWidth="10" defaultRowHeight="14.4" x14ac:dyDescent="0.3"/>
  <cols>
    <col min="1" max="1" width="30.6640625" bestFit="1" customWidth="1"/>
    <col min="2" max="2" width="20.44140625" bestFit="1" customWidth="1"/>
    <col min="3" max="3" width="15.5546875" bestFit="1" customWidth="1"/>
    <col min="4" max="4" width="80.88671875" bestFit="1" customWidth="1"/>
    <col min="5" max="5" width="55.66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  <col min="12" max="12" width="11.664062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387</v>
      </c>
      <c r="B2" t="s">
        <v>80</v>
      </c>
      <c r="C2" t="s">
        <v>21</v>
      </c>
      <c r="D2" t="s">
        <v>388</v>
      </c>
      <c r="E2" t="s">
        <v>206</v>
      </c>
      <c r="F2">
        <v>2</v>
      </c>
      <c r="H2">
        <v>2</v>
      </c>
      <c r="J2">
        <v>2</v>
      </c>
      <c r="K2" t="s">
        <v>370</v>
      </c>
    </row>
    <row r="3" spans="1:11" x14ac:dyDescent="0.3">
      <c r="A3" t="s">
        <v>387</v>
      </c>
      <c r="B3" t="s">
        <v>80</v>
      </c>
      <c r="C3" t="s">
        <v>21</v>
      </c>
      <c r="D3" t="s">
        <v>389</v>
      </c>
      <c r="E3" t="s">
        <v>206</v>
      </c>
      <c r="F3">
        <v>3</v>
      </c>
      <c r="H3">
        <v>3</v>
      </c>
      <c r="J3">
        <v>3</v>
      </c>
      <c r="K3" t="s">
        <v>370</v>
      </c>
    </row>
    <row r="4" spans="1:11" x14ac:dyDescent="0.3">
      <c r="A4" t="s">
        <v>387</v>
      </c>
      <c r="B4" t="s">
        <v>80</v>
      </c>
      <c r="C4" t="s">
        <v>21</v>
      </c>
      <c r="D4" t="s">
        <v>283</v>
      </c>
      <c r="E4" t="s">
        <v>205</v>
      </c>
      <c r="F4">
        <v>1</v>
      </c>
      <c r="H4">
        <v>1</v>
      </c>
      <c r="J4">
        <v>1</v>
      </c>
      <c r="K4" t="s">
        <v>370</v>
      </c>
    </row>
    <row r="5" spans="1:11" x14ac:dyDescent="0.3">
      <c r="A5" t="s">
        <v>387</v>
      </c>
      <c r="B5" t="s">
        <v>80</v>
      </c>
      <c r="C5" t="s">
        <v>21</v>
      </c>
      <c r="D5" t="s">
        <v>204</v>
      </c>
      <c r="E5" t="s">
        <v>205</v>
      </c>
      <c r="F5">
        <v>1</v>
      </c>
      <c r="H5">
        <v>1</v>
      </c>
      <c r="J5">
        <v>1</v>
      </c>
      <c r="K5" t="s">
        <v>370</v>
      </c>
    </row>
    <row r="6" spans="1:11" x14ac:dyDescent="0.3">
      <c r="A6" t="s">
        <v>387</v>
      </c>
      <c r="B6" t="s">
        <v>80</v>
      </c>
      <c r="C6" t="s">
        <v>21</v>
      </c>
      <c r="D6" t="s">
        <v>390</v>
      </c>
      <c r="E6" t="s">
        <v>205</v>
      </c>
      <c r="F6">
        <v>2</v>
      </c>
      <c r="H6">
        <v>2</v>
      </c>
      <c r="J6">
        <v>2</v>
      </c>
      <c r="K6" t="s">
        <v>370</v>
      </c>
    </row>
    <row r="7" spans="1:11" x14ac:dyDescent="0.3">
      <c r="A7" t="s">
        <v>387</v>
      </c>
      <c r="B7" t="s">
        <v>80</v>
      </c>
      <c r="C7" t="s">
        <v>21</v>
      </c>
      <c r="D7" t="s">
        <v>391</v>
      </c>
      <c r="E7" t="s">
        <v>205</v>
      </c>
      <c r="F7">
        <v>2</v>
      </c>
      <c r="H7">
        <v>2</v>
      </c>
      <c r="J7">
        <v>2</v>
      </c>
      <c r="K7" t="s">
        <v>370</v>
      </c>
    </row>
    <row r="8" spans="1:11" x14ac:dyDescent="0.3">
      <c r="A8" t="s">
        <v>387</v>
      </c>
      <c r="B8" t="s">
        <v>80</v>
      </c>
      <c r="C8" t="s">
        <v>21</v>
      </c>
      <c r="D8" t="s">
        <v>208</v>
      </c>
      <c r="E8" t="s">
        <v>205</v>
      </c>
      <c r="F8">
        <v>3</v>
      </c>
      <c r="H8">
        <v>3</v>
      </c>
      <c r="J8">
        <v>3</v>
      </c>
      <c r="K8" t="s">
        <v>370</v>
      </c>
    </row>
    <row r="9" spans="1:11" x14ac:dyDescent="0.3">
      <c r="A9" t="s">
        <v>387</v>
      </c>
      <c r="B9" t="s">
        <v>80</v>
      </c>
      <c r="C9" t="s">
        <v>21</v>
      </c>
      <c r="D9" t="s">
        <v>168</v>
      </c>
      <c r="E9" t="s">
        <v>207</v>
      </c>
      <c r="F9">
        <v>0</v>
      </c>
      <c r="H9">
        <v>0</v>
      </c>
      <c r="J9">
        <v>0</v>
      </c>
      <c r="K9" t="s">
        <v>370</v>
      </c>
    </row>
    <row r="10" spans="1:11" x14ac:dyDescent="0.3">
      <c r="A10" t="s">
        <v>387</v>
      </c>
      <c r="B10" t="s">
        <v>80</v>
      </c>
      <c r="C10" t="s">
        <v>58</v>
      </c>
      <c r="D10" t="s">
        <v>378</v>
      </c>
      <c r="E10" t="s">
        <v>205</v>
      </c>
      <c r="F10">
        <v>4</v>
      </c>
      <c r="H10">
        <v>4</v>
      </c>
      <c r="J10">
        <v>4</v>
      </c>
      <c r="K10" t="s">
        <v>370</v>
      </c>
    </row>
    <row r="11" spans="1:11" x14ac:dyDescent="0.3">
      <c r="A11" t="s">
        <v>387</v>
      </c>
      <c r="B11" t="s">
        <v>80</v>
      </c>
      <c r="C11" t="s">
        <v>58</v>
      </c>
      <c r="D11" t="s">
        <v>163</v>
      </c>
      <c r="E11" t="s">
        <v>207</v>
      </c>
      <c r="F11">
        <v>0</v>
      </c>
      <c r="H11">
        <v>0</v>
      </c>
      <c r="J11">
        <v>0</v>
      </c>
      <c r="K11" t="s">
        <v>370</v>
      </c>
    </row>
    <row r="12" spans="1:11" x14ac:dyDescent="0.3">
      <c r="A12" t="s">
        <v>387</v>
      </c>
      <c r="B12" t="s">
        <v>80</v>
      </c>
      <c r="C12" t="s">
        <v>70</v>
      </c>
      <c r="D12" t="s">
        <v>379</v>
      </c>
      <c r="E12" t="s">
        <v>205</v>
      </c>
      <c r="F12">
        <v>5</v>
      </c>
      <c r="H12">
        <v>5</v>
      </c>
      <c r="J12">
        <v>5</v>
      </c>
      <c r="K12" t="s">
        <v>370</v>
      </c>
    </row>
    <row r="13" spans="1:11" x14ac:dyDescent="0.3">
      <c r="A13" t="s">
        <v>387</v>
      </c>
      <c r="B13" t="s">
        <v>80</v>
      </c>
      <c r="C13" t="s">
        <v>70</v>
      </c>
      <c r="D13" t="s">
        <v>209</v>
      </c>
      <c r="E13" t="s">
        <v>207</v>
      </c>
      <c r="F13">
        <v>0</v>
      </c>
      <c r="H13">
        <v>0</v>
      </c>
      <c r="J13">
        <v>0</v>
      </c>
      <c r="K13" t="s">
        <v>370</v>
      </c>
    </row>
    <row r="14" spans="1:11" x14ac:dyDescent="0.3">
      <c r="A14" t="s">
        <v>387</v>
      </c>
      <c r="B14" t="s">
        <v>80</v>
      </c>
      <c r="C14" t="s">
        <v>69</v>
      </c>
      <c r="D14" t="s">
        <v>210</v>
      </c>
      <c r="E14" t="s">
        <v>205</v>
      </c>
      <c r="F14">
        <v>2</v>
      </c>
      <c r="H14">
        <v>2</v>
      </c>
      <c r="J14">
        <v>2</v>
      </c>
      <c r="K14" t="s">
        <v>370</v>
      </c>
    </row>
    <row r="15" spans="1:11" x14ac:dyDescent="0.3">
      <c r="A15" t="s">
        <v>387</v>
      </c>
      <c r="B15" t="s">
        <v>80</v>
      </c>
      <c r="C15" t="s">
        <v>69</v>
      </c>
      <c r="D15" t="s">
        <v>211</v>
      </c>
      <c r="E15" t="s">
        <v>207</v>
      </c>
      <c r="F15">
        <v>0</v>
      </c>
      <c r="H15">
        <v>0</v>
      </c>
      <c r="J15">
        <v>0</v>
      </c>
      <c r="K15" t="s">
        <v>370</v>
      </c>
    </row>
    <row r="16" spans="1:11" x14ac:dyDescent="0.3">
      <c r="A16" t="s">
        <v>387</v>
      </c>
      <c r="B16" t="s">
        <v>80</v>
      </c>
      <c r="C16" t="s">
        <v>71</v>
      </c>
      <c r="D16" t="s">
        <v>114</v>
      </c>
      <c r="E16" t="s">
        <v>205</v>
      </c>
      <c r="F16">
        <v>3</v>
      </c>
      <c r="H16">
        <v>3</v>
      </c>
      <c r="J16">
        <v>3</v>
      </c>
      <c r="K16" t="s">
        <v>370</v>
      </c>
    </row>
    <row r="17" spans="1:11" x14ac:dyDescent="0.3">
      <c r="A17" t="s">
        <v>387</v>
      </c>
      <c r="B17" t="s">
        <v>80</v>
      </c>
      <c r="C17" t="s">
        <v>71</v>
      </c>
      <c r="D17" t="s">
        <v>116</v>
      </c>
      <c r="E17" t="s">
        <v>205</v>
      </c>
      <c r="F17">
        <v>2</v>
      </c>
      <c r="H17">
        <v>2</v>
      </c>
      <c r="J17">
        <v>2</v>
      </c>
      <c r="K17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E85B-5991-4B25-80CD-4C10EEAE4B45}">
  <dimension ref="A1:K3"/>
  <sheetViews>
    <sheetView workbookViewId="0">
      <selection activeCell="D3" sqref="D3"/>
    </sheetView>
  </sheetViews>
  <sheetFormatPr baseColWidth="10" defaultRowHeight="14.4" x14ac:dyDescent="0.3"/>
  <cols>
    <col min="1" max="1" width="30.5546875" bestFit="1" customWidth="1"/>
    <col min="2" max="2" width="20.44140625" bestFit="1" customWidth="1"/>
    <col min="3" max="3" width="24.77734375" bestFit="1" customWidth="1"/>
    <col min="4" max="4" width="58.33203125" bestFit="1" customWidth="1"/>
    <col min="5" max="5" width="55.66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216</v>
      </c>
      <c r="B2" t="s">
        <v>80</v>
      </c>
      <c r="C2" t="s">
        <v>64</v>
      </c>
      <c r="D2" t="s">
        <v>215</v>
      </c>
      <c r="E2" t="s">
        <v>207</v>
      </c>
      <c r="F2">
        <v>4</v>
      </c>
      <c r="H2">
        <v>4</v>
      </c>
      <c r="J2">
        <v>0</v>
      </c>
      <c r="K2" t="s">
        <v>370</v>
      </c>
    </row>
    <row r="3" spans="1:11" x14ac:dyDescent="0.3">
      <c r="A3" t="s">
        <v>216</v>
      </c>
      <c r="B3" t="s">
        <v>80</v>
      </c>
      <c r="C3" t="s">
        <v>64</v>
      </c>
      <c r="D3" t="s">
        <v>214</v>
      </c>
      <c r="E3" t="s">
        <v>207</v>
      </c>
      <c r="F3">
        <v>0</v>
      </c>
      <c r="H3">
        <v>0</v>
      </c>
      <c r="J3">
        <v>0</v>
      </c>
      <c r="K3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712D-0582-45A8-B3CF-40390914376C}">
  <dimension ref="A1:K39"/>
  <sheetViews>
    <sheetView workbookViewId="0">
      <selection activeCell="J2" sqref="J2:J13"/>
    </sheetView>
  </sheetViews>
  <sheetFormatPr baseColWidth="10" defaultRowHeight="14.4" x14ac:dyDescent="0.3"/>
  <cols>
    <col min="1" max="1" width="29.21875" bestFit="1" customWidth="1"/>
    <col min="2" max="2" width="20.44140625" bestFit="1" customWidth="1"/>
    <col min="3" max="3" width="24.77734375" bestFit="1" customWidth="1"/>
    <col min="4" max="4" width="71.3320312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s="292" t="s">
        <v>217</v>
      </c>
      <c r="B2" s="292" t="s">
        <v>218</v>
      </c>
      <c r="C2" s="292" t="s">
        <v>21</v>
      </c>
      <c r="D2" s="292" t="s">
        <v>549</v>
      </c>
      <c r="E2" s="292" t="s">
        <v>66</v>
      </c>
      <c r="F2">
        <v>5</v>
      </c>
      <c r="H2">
        <v>5</v>
      </c>
      <c r="J2">
        <v>5</v>
      </c>
      <c r="K2" t="s">
        <v>370</v>
      </c>
    </row>
    <row r="3" spans="1:11" x14ac:dyDescent="0.3">
      <c r="A3" s="292" t="s">
        <v>217</v>
      </c>
      <c r="B3" s="292" t="s">
        <v>218</v>
      </c>
      <c r="C3" s="292" t="s">
        <v>21</v>
      </c>
      <c r="D3" s="292" t="s">
        <v>89</v>
      </c>
      <c r="E3" s="292" t="s">
        <v>66</v>
      </c>
      <c r="F3">
        <v>0</v>
      </c>
      <c r="H3">
        <v>0</v>
      </c>
      <c r="J3">
        <v>0</v>
      </c>
      <c r="K3" t="s">
        <v>370</v>
      </c>
    </row>
    <row r="4" spans="1:11" x14ac:dyDescent="0.3">
      <c r="A4" s="292" t="s">
        <v>217</v>
      </c>
      <c r="B4" s="292" t="s">
        <v>218</v>
      </c>
      <c r="C4" s="292" t="s">
        <v>21</v>
      </c>
      <c r="D4" s="292" t="s">
        <v>118</v>
      </c>
      <c r="E4" s="292" t="s">
        <v>66</v>
      </c>
      <c r="F4">
        <v>1</v>
      </c>
      <c r="H4">
        <v>1</v>
      </c>
      <c r="J4">
        <v>1</v>
      </c>
      <c r="K4" t="s">
        <v>370</v>
      </c>
    </row>
    <row r="5" spans="1:11" x14ac:dyDescent="0.3">
      <c r="A5" s="292" t="s">
        <v>217</v>
      </c>
      <c r="B5" s="292" t="s">
        <v>218</v>
      </c>
      <c r="C5" s="292" t="s">
        <v>21</v>
      </c>
      <c r="D5" s="292" t="s">
        <v>219</v>
      </c>
      <c r="E5" s="292" t="s">
        <v>66</v>
      </c>
      <c r="F5">
        <v>2</v>
      </c>
      <c r="H5">
        <v>2</v>
      </c>
      <c r="J5">
        <v>2</v>
      </c>
      <c r="K5" t="s">
        <v>370</v>
      </c>
    </row>
    <row r="6" spans="1:11" x14ac:dyDescent="0.3">
      <c r="A6" s="292" t="s">
        <v>217</v>
      </c>
      <c r="B6" s="292" t="s">
        <v>218</v>
      </c>
      <c r="C6" s="292" t="s">
        <v>21</v>
      </c>
      <c r="D6" s="292" t="s">
        <v>220</v>
      </c>
      <c r="E6" s="292" t="s">
        <v>66</v>
      </c>
      <c r="F6">
        <v>4</v>
      </c>
      <c r="J6">
        <v>0</v>
      </c>
      <c r="K6" t="s">
        <v>370</v>
      </c>
    </row>
    <row r="7" spans="1:11" x14ac:dyDescent="0.3">
      <c r="A7" s="292" t="s">
        <v>217</v>
      </c>
      <c r="B7" s="292" t="s">
        <v>218</v>
      </c>
      <c r="C7" s="292" t="s">
        <v>21</v>
      </c>
      <c r="D7" s="292" t="s">
        <v>221</v>
      </c>
      <c r="E7" s="292" t="s">
        <v>66</v>
      </c>
      <c r="F7">
        <v>1</v>
      </c>
      <c r="J7">
        <v>0</v>
      </c>
      <c r="K7" t="s">
        <v>370</v>
      </c>
    </row>
    <row r="8" spans="1:11" x14ac:dyDescent="0.3">
      <c r="A8" s="292" t="s">
        <v>217</v>
      </c>
      <c r="B8" s="292" t="s">
        <v>218</v>
      </c>
      <c r="C8" s="292" t="s">
        <v>21</v>
      </c>
      <c r="D8" s="292" t="s">
        <v>133</v>
      </c>
      <c r="E8" s="292" t="s">
        <v>66</v>
      </c>
      <c r="F8">
        <v>0</v>
      </c>
      <c r="J8">
        <v>0</v>
      </c>
      <c r="K8" t="s">
        <v>370</v>
      </c>
    </row>
    <row r="9" spans="1:11" x14ac:dyDescent="0.3">
      <c r="A9" s="292" t="s">
        <v>217</v>
      </c>
      <c r="B9" s="292" t="s">
        <v>218</v>
      </c>
      <c r="C9" s="292" t="s">
        <v>21</v>
      </c>
      <c r="D9" s="292" t="s">
        <v>88</v>
      </c>
      <c r="E9" s="292" t="s">
        <v>66</v>
      </c>
      <c r="F9">
        <v>6</v>
      </c>
      <c r="J9">
        <v>0</v>
      </c>
      <c r="K9" t="s">
        <v>370</v>
      </c>
    </row>
    <row r="10" spans="1:11" x14ac:dyDescent="0.3">
      <c r="A10" s="292" t="s">
        <v>217</v>
      </c>
      <c r="B10" s="292" t="s">
        <v>218</v>
      </c>
      <c r="C10" s="292" t="s">
        <v>21</v>
      </c>
      <c r="D10" s="292" t="s">
        <v>222</v>
      </c>
      <c r="E10" s="292" t="s">
        <v>66</v>
      </c>
      <c r="F10">
        <v>3</v>
      </c>
      <c r="J10">
        <v>0</v>
      </c>
      <c r="K10" t="s">
        <v>370</v>
      </c>
    </row>
    <row r="11" spans="1:11" x14ac:dyDescent="0.3">
      <c r="A11" s="292" t="s">
        <v>217</v>
      </c>
      <c r="B11" s="292" t="s">
        <v>218</v>
      </c>
      <c r="C11" s="292" t="s">
        <v>21</v>
      </c>
      <c r="D11" s="292" t="s">
        <v>130</v>
      </c>
      <c r="E11" s="292" t="s">
        <v>66</v>
      </c>
      <c r="F11">
        <v>0</v>
      </c>
      <c r="G11">
        <v>9</v>
      </c>
      <c r="J11">
        <v>0</v>
      </c>
      <c r="K11" t="s">
        <v>370</v>
      </c>
    </row>
    <row r="12" spans="1:11" x14ac:dyDescent="0.3">
      <c r="A12" s="292" t="s">
        <v>217</v>
      </c>
      <c r="B12" s="292" t="s">
        <v>218</v>
      </c>
      <c r="C12" s="292" t="s">
        <v>21</v>
      </c>
      <c r="D12" s="292" t="s">
        <v>119</v>
      </c>
      <c r="E12" s="292" t="s">
        <v>66</v>
      </c>
      <c r="F12">
        <v>0</v>
      </c>
      <c r="J12">
        <v>0</v>
      </c>
      <c r="K12" t="s">
        <v>370</v>
      </c>
    </row>
    <row r="13" spans="1:11" x14ac:dyDescent="0.3">
      <c r="A13" s="292" t="s">
        <v>217</v>
      </c>
      <c r="B13" s="292" t="s">
        <v>218</v>
      </c>
      <c r="C13" s="292" t="s">
        <v>21</v>
      </c>
      <c r="D13" s="292" t="s">
        <v>120</v>
      </c>
      <c r="E13" s="292" t="s">
        <v>66</v>
      </c>
      <c r="F13">
        <v>4</v>
      </c>
      <c r="J13">
        <v>0</v>
      </c>
      <c r="K13" t="s">
        <v>370</v>
      </c>
    </row>
    <row r="14" spans="1:11" x14ac:dyDescent="0.3">
      <c r="A14" s="292" t="s">
        <v>217</v>
      </c>
      <c r="B14" s="292" t="s">
        <v>218</v>
      </c>
      <c r="C14" s="292" t="s">
        <v>58</v>
      </c>
      <c r="D14" s="292" t="s">
        <v>223</v>
      </c>
      <c r="E14" s="292" t="s">
        <v>65</v>
      </c>
      <c r="F14">
        <v>5</v>
      </c>
      <c r="H14">
        <v>5</v>
      </c>
      <c r="J14">
        <v>5</v>
      </c>
      <c r="K14" t="s">
        <v>370</v>
      </c>
    </row>
    <row r="15" spans="1:11" x14ac:dyDescent="0.3">
      <c r="A15" s="292" t="s">
        <v>217</v>
      </c>
      <c r="B15" s="292" t="s">
        <v>218</v>
      </c>
      <c r="C15" s="292" t="s">
        <v>58</v>
      </c>
      <c r="D15" s="292" t="s">
        <v>172</v>
      </c>
      <c r="E15" s="292" t="s">
        <v>66</v>
      </c>
      <c r="F15">
        <v>4</v>
      </c>
      <c r="H15">
        <v>4</v>
      </c>
      <c r="J15">
        <v>4</v>
      </c>
      <c r="K15" t="s">
        <v>370</v>
      </c>
    </row>
    <row r="16" spans="1:11" x14ac:dyDescent="0.3">
      <c r="A16" s="292" t="s">
        <v>217</v>
      </c>
      <c r="B16" s="292" t="s">
        <v>218</v>
      </c>
      <c r="C16" s="292" t="s">
        <v>58</v>
      </c>
      <c r="D16" s="292" t="s">
        <v>224</v>
      </c>
      <c r="E16" s="292" t="s">
        <v>66</v>
      </c>
      <c r="F16">
        <v>0</v>
      </c>
      <c r="G16">
        <v>1</v>
      </c>
      <c r="H16">
        <v>1</v>
      </c>
      <c r="J16">
        <v>1</v>
      </c>
      <c r="K16" t="s">
        <v>370</v>
      </c>
    </row>
    <row r="17" spans="1:11" x14ac:dyDescent="0.3">
      <c r="A17" s="292" t="s">
        <v>217</v>
      </c>
      <c r="B17" s="292" t="s">
        <v>218</v>
      </c>
      <c r="C17" s="292" t="s">
        <v>58</v>
      </c>
      <c r="D17" s="292" t="s">
        <v>91</v>
      </c>
      <c r="E17" s="292" t="s">
        <v>66</v>
      </c>
      <c r="F17">
        <v>8</v>
      </c>
      <c r="H17">
        <v>8</v>
      </c>
      <c r="J17">
        <v>8</v>
      </c>
      <c r="K17" t="s">
        <v>370</v>
      </c>
    </row>
    <row r="18" spans="1:11" x14ac:dyDescent="0.3">
      <c r="A18" s="292" t="s">
        <v>217</v>
      </c>
      <c r="B18" s="292" t="s">
        <v>218</v>
      </c>
      <c r="C18" s="292" t="s">
        <v>58</v>
      </c>
      <c r="D18" s="292" t="s">
        <v>225</v>
      </c>
      <c r="E18" s="292" t="s">
        <v>66</v>
      </c>
      <c r="F18">
        <v>2</v>
      </c>
      <c r="H18">
        <v>2</v>
      </c>
      <c r="J18">
        <v>2</v>
      </c>
      <c r="K18" t="s">
        <v>370</v>
      </c>
    </row>
    <row r="19" spans="1:11" x14ac:dyDescent="0.3">
      <c r="A19" s="292" t="s">
        <v>217</v>
      </c>
      <c r="B19" s="292" t="s">
        <v>218</v>
      </c>
      <c r="C19" s="292" t="s">
        <v>58</v>
      </c>
      <c r="D19" s="292" t="s">
        <v>226</v>
      </c>
      <c r="E19" s="292" t="s">
        <v>66</v>
      </c>
      <c r="F19">
        <v>5</v>
      </c>
      <c r="H19">
        <v>5</v>
      </c>
      <c r="J19">
        <v>5</v>
      </c>
      <c r="K19" t="s">
        <v>370</v>
      </c>
    </row>
    <row r="20" spans="1:11" x14ac:dyDescent="0.3">
      <c r="A20" s="292" t="s">
        <v>217</v>
      </c>
      <c r="B20" s="292" t="s">
        <v>218</v>
      </c>
      <c r="C20" s="292" t="s">
        <v>58</v>
      </c>
      <c r="D20" s="292" t="s">
        <v>227</v>
      </c>
      <c r="E20" s="292" t="s">
        <v>66</v>
      </c>
      <c r="F20">
        <v>2</v>
      </c>
      <c r="H20">
        <v>2</v>
      </c>
      <c r="J20">
        <v>2</v>
      </c>
      <c r="K20" t="s">
        <v>370</v>
      </c>
    </row>
    <row r="21" spans="1:11" x14ac:dyDescent="0.3">
      <c r="A21" s="292" t="s">
        <v>217</v>
      </c>
      <c r="B21" s="292" t="s">
        <v>218</v>
      </c>
      <c r="C21" s="292" t="s">
        <v>58</v>
      </c>
      <c r="D21" s="292" t="s">
        <v>94</v>
      </c>
      <c r="E21" s="292" t="s">
        <v>66</v>
      </c>
      <c r="F21">
        <v>2</v>
      </c>
      <c r="H21">
        <v>2</v>
      </c>
      <c r="J21">
        <v>2</v>
      </c>
      <c r="K21" t="s">
        <v>370</v>
      </c>
    </row>
    <row r="22" spans="1:11" x14ac:dyDescent="0.3">
      <c r="A22" s="292" t="s">
        <v>217</v>
      </c>
      <c r="B22" s="292" t="s">
        <v>218</v>
      </c>
      <c r="C22" s="292" t="s">
        <v>58</v>
      </c>
      <c r="D22" s="292" t="s">
        <v>95</v>
      </c>
      <c r="E22" s="292" t="s">
        <v>66</v>
      </c>
      <c r="F22">
        <v>9</v>
      </c>
      <c r="H22">
        <v>9</v>
      </c>
      <c r="J22">
        <v>9</v>
      </c>
      <c r="K22" t="s">
        <v>370</v>
      </c>
    </row>
    <row r="23" spans="1:11" x14ac:dyDescent="0.3">
      <c r="A23" s="292" t="s">
        <v>217</v>
      </c>
      <c r="B23" s="292" t="s">
        <v>218</v>
      </c>
      <c r="C23" s="292" t="s">
        <v>58</v>
      </c>
      <c r="D23" s="292" t="s">
        <v>98</v>
      </c>
      <c r="E23" s="292" t="s">
        <v>66</v>
      </c>
      <c r="F23">
        <v>2</v>
      </c>
      <c r="H23">
        <v>2</v>
      </c>
      <c r="J23">
        <v>2</v>
      </c>
      <c r="K23" t="s">
        <v>370</v>
      </c>
    </row>
    <row r="24" spans="1:11" x14ac:dyDescent="0.3">
      <c r="A24" s="292" t="s">
        <v>217</v>
      </c>
      <c r="B24" s="292" t="s">
        <v>218</v>
      </c>
      <c r="C24" s="292" t="s">
        <v>58</v>
      </c>
      <c r="D24" s="292" t="s">
        <v>99</v>
      </c>
      <c r="E24" s="292" t="s">
        <v>66</v>
      </c>
      <c r="F24">
        <v>1</v>
      </c>
      <c r="H24">
        <v>1</v>
      </c>
      <c r="J24">
        <v>1</v>
      </c>
      <c r="K24" t="s">
        <v>370</v>
      </c>
    </row>
    <row r="25" spans="1:11" x14ac:dyDescent="0.3">
      <c r="A25" s="292" t="s">
        <v>217</v>
      </c>
      <c r="B25" s="292" t="s">
        <v>218</v>
      </c>
      <c r="C25" s="292" t="s">
        <v>70</v>
      </c>
      <c r="D25" s="292" t="s">
        <v>550</v>
      </c>
      <c r="E25" s="292" t="s">
        <v>66</v>
      </c>
      <c r="F25">
        <v>9</v>
      </c>
      <c r="H25">
        <v>9</v>
      </c>
      <c r="J25">
        <v>9</v>
      </c>
      <c r="K25" t="s">
        <v>370</v>
      </c>
    </row>
    <row r="26" spans="1:11" x14ac:dyDescent="0.3">
      <c r="A26" s="292" t="s">
        <v>217</v>
      </c>
      <c r="B26" s="292" t="s">
        <v>218</v>
      </c>
      <c r="C26" s="292" t="s">
        <v>70</v>
      </c>
      <c r="D26" s="292" t="s">
        <v>228</v>
      </c>
      <c r="E26" s="292" t="s">
        <v>66</v>
      </c>
      <c r="F26">
        <v>4</v>
      </c>
      <c r="H26">
        <v>4</v>
      </c>
      <c r="J26">
        <v>4</v>
      </c>
      <c r="K26" t="s">
        <v>370</v>
      </c>
    </row>
    <row r="27" spans="1:11" x14ac:dyDescent="0.3">
      <c r="A27" s="292" t="s">
        <v>217</v>
      </c>
      <c r="B27" s="292" t="s">
        <v>218</v>
      </c>
      <c r="C27" s="292" t="s">
        <v>70</v>
      </c>
      <c r="D27" s="292" t="s">
        <v>229</v>
      </c>
      <c r="E27" s="292" t="s">
        <v>66</v>
      </c>
      <c r="F27">
        <v>4</v>
      </c>
      <c r="H27">
        <v>4</v>
      </c>
      <c r="J27">
        <v>4</v>
      </c>
      <c r="K27" t="s">
        <v>370</v>
      </c>
    </row>
    <row r="28" spans="1:11" x14ac:dyDescent="0.3">
      <c r="A28" s="292" t="s">
        <v>217</v>
      </c>
      <c r="B28" s="292" t="s">
        <v>218</v>
      </c>
      <c r="C28" s="292" t="s">
        <v>70</v>
      </c>
      <c r="D28" s="292" t="s">
        <v>104</v>
      </c>
      <c r="E28" s="292" t="s">
        <v>66</v>
      </c>
      <c r="F28">
        <v>2</v>
      </c>
      <c r="H28">
        <v>2</v>
      </c>
      <c r="J28">
        <v>2</v>
      </c>
      <c r="K28" t="s">
        <v>370</v>
      </c>
    </row>
    <row r="29" spans="1:11" x14ac:dyDescent="0.3">
      <c r="A29" s="292" t="s">
        <v>217</v>
      </c>
      <c r="B29" s="292" t="s">
        <v>218</v>
      </c>
      <c r="C29" s="292" t="s">
        <v>70</v>
      </c>
      <c r="D29" s="292" t="s">
        <v>103</v>
      </c>
      <c r="E29" s="292" t="s">
        <v>66</v>
      </c>
      <c r="F29">
        <v>2</v>
      </c>
      <c r="H29">
        <v>2</v>
      </c>
      <c r="J29">
        <v>2</v>
      </c>
      <c r="K29" t="s">
        <v>370</v>
      </c>
    </row>
    <row r="30" spans="1:11" x14ac:dyDescent="0.3">
      <c r="A30" s="292" t="s">
        <v>217</v>
      </c>
      <c r="B30" s="292" t="s">
        <v>218</v>
      </c>
      <c r="C30" s="292" t="s">
        <v>69</v>
      </c>
      <c r="D30" s="292" t="s">
        <v>551</v>
      </c>
      <c r="E30" s="292" t="s">
        <v>66</v>
      </c>
      <c r="F30">
        <v>9</v>
      </c>
      <c r="H30">
        <v>9</v>
      </c>
      <c r="J30">
        <v>9</v>
      </c>
      <c r="K30" t="s">
        <v>370</v>
      </c>
    </row>
    <row r="31" spans="1:11" x14ac:dyDescent="0.3">
      <c r="A31" s="292" t="s">
        <v>217</v>
      </c>
      <c r="B31" s="292" t="s">
        <v>218</v>
      </c>
      <c r="C31" s="292" t="s">
        <v>69</v>
      </c>
      <c r="D31" s="292" t="s">
        <v>364</v>
      </c>
      <c r="E31" s="292" t="s">
        <v>66</v>
      </c>
      <c r="F31">
        <v>4</v>
      </c>
      <c r="H31">
        <v>4</v>
      </c>
      <c r="J31">
        <v>4</v>
      </c>
      <c r="K31" t="s">
        <v>370</v>
      </c>
    </row>
    <row r="32" spans="1:11" x14ac:dyDescent="0.3">
      <c r="A32" s="292" t="s">
        <v>217</v>
      </c>
      <c r="B32" s="292" t="s">
        <v>218</v>
      </c>
      <c r="C32" s="292" t="s">
        <v>71</v>
      </c>
      <c r="D32" s="292" t="s">
        <v>114</v>
      </c>
      <c r="E32" s="292" t="s">
        <v>66</v>
      </c>
      <c r="F32">
        <v>3</v>
      </c>
      <c r="H32">
        <v>3</v>
      </c>
      <c r="J32">
        <v>3</v>
      </c>
      <c r="K32" t="s">
        <v>370</v>
      </c>
    </row>
    <row r="33" spans="1:11" x14ac:dyDescent="0.3">
      <c r="A33" s="292" t="s">
        <v>217</v>
      </c>
      <c r="B33" s="292" t="s">
        <v>218</v>
      </c>
      <c r="C33" s="292" t="s">
        <v>71</v>
      </c>
      <c r="D33" s="292" t="s">
        <v>123</v>
      </c>
      <c r="E33" s="292" t="s">
        <v>66</v>
      </c>
      <c r="F33">
        <v>1</v>
      </c>
      <c r="H33">
        <v>1</v>
      </c>
      <c r="J33">
        <v>1</v>
      </c>
      <c r="K33" t="s">
        <v>370</v>
      </c>
    </row>
    <row r="34" spans="1:11" x14ac:dyDescent="0.3">
      <c r="A34" s="292" t="s">
        <v>217</v>
      </c>
      <c r="B34" s="292" t="s">
        <v>218</v>
      </c>
      <c r="C34" s="292" t="s">
        <v>71</v>
      </c>
      <c r="D34" s="292" t="s">
        <v>116</v>
      </c>
      <c r="E34" s="292" t="s">
        <v>66</v>
      </c>
      <c r="F34">
        <v>4</v>
      </c>
      <c r="H34">
        <v>4</v>
      </c>
      <c r="J34">
        <v>4</v>
      </c>
      <c r="K34" t="s">
        <v>370</v>
      </c>
    </row>
    <row r="35" spans="1:11" x14ac:dyDescent="0.3">
      <c r="A35" s="292" t="s">
        <v>217</v>
      </c>
      <c r="B35" s="292" t="s">
        <v>218</v>
      </c>
      <c r="C35" s="292" t="s">
        <v>64</v>
      </c>
      <c r="D35" s="292" t="s">
        <v>139</v>
      </c>
      <c r="E35" s="292" t="s">
        <v>140</v>
      </c>
      <c r="F35">
        <v>0</v>
      </c>
      <c r="H35">
        <v>0</v>
      </c>
      <c r="J35">
        <v>0</v>
      </c>
      <c r="K35" t="s">
        <v>370</v>
      </c>
    </row>
    <row r="36" spans="1:11" x14ac:dyDescent="0.3">
      <c r="A36" s="292" t="s">
        <v>217</v>
      </c>
      <c r="B36" s="292" t="s">
        <v>218</v>
      </c>
      <c r="C36" s="292" t="s">
        <v>64</v>
      </c>
      <c r="D36" s="292" t="s">
        <v>230</v>
      </c>
      <c r="E36" s="292" t="s">
        <v>65</v>
      </c>
      <c r="F36">
        <v>0</v>
      </c>
      <c r="H36">
        <v>0</v>
      </c>
      <c r="J36">
        <v>0</v>
      </c>
      <c r="K36" t="s">
        <v>370</v>
      </c>
    </row>
    <row r="37" spans="1:11" x14ac:dyDescent="0.3">
      <c r="A37" s="292" t="s">
        <v>217</v>
      </c>
      <c r="B37" s="292" t="s">
        <v>218</v>
      </c>
      <c r="C37" s="292" t="s">
        <v>64</v>
      </c>
      <c r="D37" s="292" t="s">
        <v>174</v>
      </c>
      <c r="E37" s="292" t="s">
        <v>65</v>
      </c>
      <c r="F37">
        <v>0</v>
      </c>
      <c r="H37">
        <v>0</v>
      </c>
      <c r="J37">
        <v>0</v>
      </c>
      <c r="K37" t="s">
        <v>370</v>
      </c>
    </row>
    <row r="38" spans="1:11" x14ac:dyDescent="0.3">
      <c r="A38" s="292" t="s">
        <v>217</v>
      </c>
      <c r="B38" s="292" t="s">
        <v>218</v>
      </c>
      <c r="C38" s="292" t="s">
        <v>64</v>
      </c>
      <c r="D38" s="292" t="s">
        <v>124</v>
      </c>
      <c r="E38" s="292" t="s">
        <v>66</v>
      </c>
      <c r="F38">
        <v>0</v>
      </c>
      <c r="H38">
        <v>0</v>
      </c>
      <c r="J38">
        <v>0</v>
      </c>
      <c r="K38" t="s">
        <v>370</v>
      </c>
    </row>
    <row r="39" spans="1:11" x14ac:dyDescent="0.3">
      <c r="A39" s="292" t="s">
        <v>217</v>
      </c>
      <c r="B39" s="292" t="s">
        <v>218</v>
      </c>
      <c r="C39" s="292" t="s">
        <v>64</v>
      </c>
      <c r="D39" s="292" t="s">
        <v>125</v>
      </c>
      <c r="E39" s="292" t="s">
        <v>67</v>
      </c>
      <c r="F39">
        <v>0.5</v>
      </c>
      <c r="H39">
        <v>0.5</v>
      </c>
      <c r="J39">
        <v>0.5</v>
      </c>
      <c r="K39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1A76-23A9-49D1-B95C-DBC7AE0F0FD5}">
  <dimension ref="A1:K24"/>
  <sheetViews>
    <sheetView workbookViewId="0">
      <selection activeCell="D25" sqref="D25"/>
    </sheetView>
  </sheetViews>
  <sheetFormatPr baseColWidth="10" defaultRowHeight="14.4" x14ac:dyDescent="0.3"/>
  <cols>
    <col min="1" max="1" width="28.77734375" bestFit="1" customWidth="1"/>
    <col min="2" max="2" width="20.44140625" bestFit="1" customWidth="1"/>
    <col min="3" max="3" width="24.77734375" bestFit="1" customWidth="1"/>
    <col min="4" max="4" width="71.33203125" bestFit="1" customWidth="1"/>
    <col min="5" max="5" width="33.554687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231</v>
      </c>
      <c r="B2" t="s">
        <v>80</v>
      </c>
      <c r="C2" t="s">
        <v>21</v>
      </c>
      <c r="D2" t="s">
        <v>87</v>
      </c>
      <c r="E2" t="s">
        <v>232</v>
      </c>
      <c r="F2">
        <v>7</v>
      </c>
      <c r="H2">
        <v>7</v>
      </c>
      <c r="J2">
        <v>2</v>
      </c>
      <c r="K2" t="s">
        <v>370</v>
      </c>
    </row>
    <row r="3" spans="1:11" x14ac:dyDescent="0.3">
      <c r="A3" t="s">
        <v>231</v>
      </c>
      <c r="B3" t="s">
        <v>80</v>
      </c>
      <c r="C3" t="s">
        <v>21</v>
      </c>
      <c r="D3" t="s">
        <v>133</v>
      </c>
      <c r="E3" t="s">
        <v>232</v>
      </c>
      <c r="F3">
        <v>1</v>
      </c>
      <c r="H3">
        <v>1</v>
      </c>
      <c r="J3">
        <v>1</v>
      </c>
      <c r="K3" t="s">
        <v>370</v>
      </c>
    </row>
    <row r="4" spans="1:11" x14ac:dyDescent="0.3">
      <c r="A4" t="s">
        <v>231</v>
      </c>
      <c r="B4" t="s">
        <v>80</v>
      </c>
      <c r="C4" t="s">
        <v>21</v>
      </c>
      <c r="D4" t="s">
        <v>219</v>
      </c>
      <c r="E4" t="s">
        <v>232</v>
      </c>
      <c r="F4">
        <v>1</v>
      </c>
      <c r="H4">
        <v>1</v>
      </c>
      <c r="J4">
        <v>1</v>
      </c>
      <c r="K4" t="s">
        <v>370</v>
      </c>
    </row>
    <row r="5" spans="1:11" x14ac:dyDescent="0.3">
      <c r="A5" t="s">
        <v>231</v>
      </c>
      <c r="B5" t="s">
        <v>80</v>
      </c>
      <c r="C5" t="s">
        <v>21</v>
      </c>
      <c r="D5" t="s">
        <v>220</v>
      </c>
      <c r="E5" t="s">
        <v>232</v>
      </c>
      <c r="F5">
        <v>2</v>
      </c>
      <c r="H5">
        <v>2</v>
      </c>
      <c r="J5">
        <v>2</v>
      </c>
      <c r="K5" t="s">
        <v>370</v>
      </c>
    </row>
    <row r="6" spans="1:11" x14ac:dyDescent="0.3">
      <c r="A6" t="s">
        <v>231</v>
      </c>
      <c r="B6" t="s">
        <v>80</v>
      </c>
      <c r="C6" t="s">
        <v>21</v>
      </c>
      <c r="D6" t="s">
        <v>118</v>
      </c>
      <c r="E6" t="s">
        <v>232</v>
      </c>
      <c r="F6">
        <v>1</v>
      </c>
      <c r="H6">
        <v>1</v>
      </c>
      <c r="J6">
        <v>1</v>
      </c>
      <c r="K6" t="s">
        <v>370</v>
      </c>
    </row>
    <row r="7" spans="1:11" x14ac:dyDescent="0.3">
      <c r="A7" t="s">
        <v>231</v>
      </c>
      <c r="B7" t="s">
        <v>80</v>
      </c>
      <c r="C7" t="s">
        <v>21</v>
      </c>
      <c r="D7" t="s">
        <v>204</v>
      </c>
      <c r="E7" t="s">
        <v>232</v>
      </c>
      <c r="F7">
        <v>1</v>
      </c>
      <c r="H7">
        <v>1</v>
      </c>
      <c r="J7">
        <v>1</v>
      </c>
      <c r="K7" t="s">
        <v>370</v>
      </c>
    </row>
    <row r="8" spans="1:11" x14ac:dyDescent="0.3">
      <c r="A8" t="s">
        <v>231</v>
      </c>
      <c r="B8" t="s">
        <v>80</v>
      </c>
      <c r="C8" t="s">
        <v>21</v>
      </c>
      <c r="D8" t="s">
        <v>119</v>
      </c>
      <c r="E8" t="s">
        <v>232</v>
      </c>
      <c r="F8">
        <v>0</v>
      </c>
      <c r="H8">
        <v>0</v>
      </c>
      <c r="J8">
        <v>0</v>
      </c>
      <c r="K8" t="s">
        <v>370</v>
      </c>
    </row>
    <row r="9" spans="1:11" x14ac:dyDescent="0.3">
      <c r="A9" t="s">
        <v>231</v>
      </c>
      <c r="B9" t="s">
        <v>80</v>
      </c>
      <c r="C9" t="s">
        <v>21</v>
      </c>
      <c r="D9" t="s">
        <v>120</v>
      </c>
      <c r="E9" t="s">
        <v>232</v>
      </c>
      <c r="F9">
        <v>4</v>
      </c>
      <c r="H9">
        <v>4</v>
      </c>
      <c r="J9">
        <v>4</v>
      </c>
      <c r="K9" t="s">
        <v>370</v>
      </c>
    </row>
    <row r="10" spans="1:11" x14ac:dyDescent="0.3">
      <c r="A10" t="s">
        <v>231</v>
      </c>
      <c r="B10" t="s">
        <v>80</v>
      </c>
      <c r="C10" t="s">
        <v>21</v>
      </c>
      <c r="D10" t="s">
        <v>89</v>
      </c>
      <c r="E10" t="s">
        <v>232</v>
      </c>
      <c r="F10">
        <v>0</v>
      </c>
      <c r="H10">
        <v>0</v>
      </c>
      <c r="J10">
        <v>0</v>
      </c>
      <c r="K10" t="s">
        <v>370</v>
      </c>
    </row>
    <row r="11" spans="1:11" x14ac:dyDescent="0.3">
      <c r="A11" t="s">
        <v>231</v>
      </c>
      <c r="B11" t="s">
        <v>80</v>
      </c>
      <c r="C11" t="s">
        <v>21</v>
      </c>
      <c r="D11" t="s">
        <v>234</v>
      </c>
      <c r="E11" t="s">
        <v>235</v>
      </c>
      <c r="F11">
        <v>0</v>
      </c>
      <c r="H11">
        <v>0</v>
      </c>
      <c r="J11">
        <v>0</v>
      </c>
      <c r="K11" t="s">
        <v>370</v>
      </c>
    </row>
    <row r="12" spans="1:11" x14ac:dyDescent="0.3">
      <c r="A12" t="s">
        <v>231</v>
      </c>
      <c r="B12" t="s">
        <v>80</v>
      </c>
      <c r="C12" t="s">
        <v>21</v>
      </c>
      <c r="D12" t="s">
        <v>233</v>
      </c>
      <c r="E12" t="s">
        <v>232</v>
      </c>
      <c r="F12">
        <v>6</v>
      </c>
      <c r="H12">
        <v>6</v>
      </c>
      <c r="J12">
        <v>6</v>
      </c>
      <c r="K12" t="s">
        <v>370</v>
      </c>
    </row>
    <row r="13" spans="1:11" x14ac:dyDescent="0.3">
      <c r="A13" t="s">
        <v>231</v>
      </c>
      <c r="B13" t="s">
        <v>80</v>
      </c>
      <c r="C13" t="s">
        <v>58</v>
      </c>
      <c r="D13" t="s">
        <v>236</v>
      </c>
      <c r="E13" t="s">
        <v>235</v>
      </c>
      <c r="F13">
        <v>0</v>
      </c>
      <c r="H13">
        <v>0</v>
      </c>
      <c r="J13">
        <v>0</v>
      </c>
      <c r="K13" t="s">
        <v>370</v>
      </c>
    </row>
    <row r="14" spans="1:11" x14ac:dyDescent="0.3">
      <c r="A14" t="s">
        <v>231</v>
      </c>
      <c r="B14" t="s">
        <v>80</v>
      </c>
      <c r="C14" t="s">
        <v>58</v>
      </c>
      <c r="D14" t="s">
        <v>237</v>
      </c>
      <c r="E14" t="s">
        <v>232</v>
      </c>
      <c r="F14">
        <v>6</v>
      </c>
      <c r="H14">
        <v>6</v>
      </c>
      <c r="J14">
        <v>6</v>
      </c>
      <c r="K14" t="s">
        <v>370</v>
      </c>
    </row>
    <row r="15" spans="1:11" x14ac:dyDescent="0.3">
      <c r="A15" t="s">
        <v>231</v>
      </c>
      <c r="B15" t="s">
        <v>80</v>
      </c>
      <c r="C15" t="s">
        <v>70</v>
      </c>
      <c r="D15" t="s">
        <v>238</v>
      </c>
      <c r="E15" t="s">
        <v>235</v>
      </c>
      <c r="F15">
        <v>0</v>
      </c>
      <c r="H15">
        <v>0</v>
      </c>
      <c r="J15">
        <v>0</v>
      </c>
      <c r="K15" t="s">
        <v>370</v>
      </c>
    </row>
    <row r="16" spans="1:11" x14ac:dyDescent="0.3">
      <c r="A16" t="s">
        <v>231</v>
      </c>
      <c r="B16" t="s">
        <v>80</v>
      </c>
      <c r="C16" t="s">
        <v>70</v>
      </c>
      <c r="D16" t="s">
        <v>239</v>
      </c>
      <c r="E16" t="s">
        <v>232</v>
      </c>
      <c r="F16">
        <v>2</v>
      </c>
      <c r="H16">
        <v>2</v>
      </c>
      <c r="J16">
        <v>2</v>
      </c>
      <c r="K16" t="s">
        <v>370</v>
      </c>
    </row>
    <row r="17" spans="1:11" x14ac:dyDescent="0.3">
      <c r="A17" t="s">
        <v>231</v>
      </c>
      <c r="B17" t="s">
        <v>80</v>
      </c>
      <c r="C17" t="s">
        <v>69</v>
      </c>
      <c r="D17" t="s">
        <v>240</v>
      </c>
      <c r="E17" t="s">
        <v>235</v>
      </c>
      <c r="F17">
        <v>0</v>
      </c>
      <c r="H17">
        <v>0</v>
      </c>
      <c r="J17">
        <v>0</v>
      </c>
      <c r="K17" t="s">
        <v>370</v>
      </c>
    </row>
    <row r="18" spans="1:11" x14ac:dyDescent="0.3">
      <c r="A18" t="s">
        <v>231</v>
      </c>
      <c r="B18" t="s">
        <v>80</v>
      </c>
      <c r="C18" t="s">
        <v>69</v>
      </c>
      <c r="D18" t="s">
        <v>241</v>
      </c>
      <c r="E18" t="s">
        <v>232</v>
      </c>
      <c r="F18">
        <v>2</v>
      </c>
      <c r="H18">
        <v>2</v>
      </c>
      <c r="J18">
        <v>2</v>
      </c>
      <c r="K18" t="s">
        <v>370</v>
      </c>
    </row>
    <row r="19" spans="1:11" x14ac:dyDescent="0.3">
      <c r="A19" t="s">
        <v>231</v>
      </c>
      <c r="B19" t="s">
        <v>80</v>
      </c>
      <c r="C19" t="s">
        <v>71</v>
      </c>
      <c r="D19" t="s">
        <v>116</v>
      </c>
      <c r="E19" t="s">
        <v>232</v>
      </c>
      <c r="F19">
        <v>0.5</v>
      </c>
      <c r="H19">
        <v>0.5</v>
      </c>
      <c r="J19">
        <v>0.5</v>
      </c>
      <c r="K19" t="s">
        <v>370</v>
      </c>
    </row>
    <row r="20" spans="1:11" x14ac:dyDescent="0.3">
      <c r="A20" t="s">
        <v>231</v>
      </c>
      <c r="B20" t="s">
        <v>80</v>
      </c>
      <c r="C20" t="s">
        <v>121</v>
      </c>
      <c r="D20" t="s">
        <v>242</v>
      </c>
      <c r="E20" t="s">
        <v>232</v>
      </c>
      <c r="F20">
        <v>1</v>
      </c>
      <c r="H20">
        <v>1</v>
      </c>
      <c r="J20">
        <v>1</v>
      </c>
      <c r="K20" t="s">
        <v>370</v>
      </c>
    </row>
    <row r="21" spans="1:11" x14ac:dyDescent="0.3">
      <c r="A21" t="s">
        <v>231</v>
      </c>
      <c r="B21" t="s">
        <v>80</v>
      </c>
      <c r="C21" t="s">
        <v>121</v>
      </c>
      <c r="D21" t="s">
        <v>383</v>
      </c>
      <c r="E21" t="s">
        <v>232</v>
      </c>
      <c r="F21">
        <v>2</v>
      </c>
      <c r="H21">
        <v>2</v>
      </c>
      <c r="J21">
        <v>2</v>
      </c>
      <c r="K21" t="s">
        <v>370</v>
      </c>
    </row>
    <row r="22" spans="1:11" x14ac:dyDescent="0.3">
      <c r="A22" t="s">
        <v>231</v>
      </c>
      <c r="B22" t="s">
        <v>80</v>
      </c>
      <c r="C22" t="s">
        <v>121</v>
      </c>
      <c r="D22" t="s">
        <v>243</v>
      </c>
      <c r="E22" t="s">
        <v>235</v>
      </c>
      <c r="F22">
        <v>0</v>
      </c>
      <c r="H22">
        <v>0</v>
      </c>
      <c r="J22">
        <v>0</v>
      </c>
      <c r="K22" t="s">
        <v>370</v>
      </c>
    </row>
    <row r="23" spans="1:11" x14ac:dyDescent="0.3">
      <c r="A23" t="s">
        <v>231</v>
      </c>
      <c r="B23" t="s">
        <v>80</v>
      </c>
      <c r="C23" t="s">
        <v>121</v>
      </c>
      <c r="D23" t="s">
        <v>244</v>
      </c>
      <c r="E23" t="s">
        <v>232</v>
      </c>
      <c r="F23">
        <v>2</v>
      </c>
      <c r="H23">
        <v>2</v>
      </c>
      <c r="J23">
        <v>2</v>
      </c>
      <c r="K23" t="s">
        <v>370</v>
      </c>
    </row>
    <row r="24" spans="1:11" x14ac:dyDescent="0.3">
      <c r="A24" t="s">
        <v>231</v>
      </c>
      <c r="B24" t="s">
        <v>80</v>
      </c>
      <c r="C24" t="s">
        <v>64</v>
      </c>
      <c r="D24" t="s">
        <v>124</v>
      </c>
      <c r="E24" t="s">
        <v>232</v>
      </c>
      <c r="F24">
        <v>0.5</v>
      </c>
      <c r="H24">
        <v>0.5</v>
      </c>
      <c r="J24">
        <v>0.5</v>
      </c>
      <c r="K24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5920-27E4-4ED7-84F8-3646A87EAA11}">
  <dimension ref="A1:K14"/>
  <sheetViews>
    <sheetView workbookViewId="0">
      <selection activeCell="D14" sqref="D14"/>
    </sheetView>
  </sheetViews>
  <sheetFormatPr baseColWidth="10" defaultRowHeight="14.4" x14ac:dyDescent="0.3"/>
  <cols>
    <col min="1" max="1" width="29.5546875" bestFit="1" customWidth="1"/>
    <col min="2" max="2" width="20.44140625" bestFit="1" customWidth="1"/>
    <col min="3" max="3" width="24.77734375" bestFit="1" customWidth="1"/>
    <col min="4" max="4" width="71.33203125" bestFit="1" customWidth="1"/>
    <col min="5" max="5" width="38.332031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0.664062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444</v>
      </c>
      <c r="J1" t="s">
        <v>367</v>
      </c>
      <c r="K1" t="s">
        <v>393</v>
      </c>
    </row>
    <row r="2" spans="1:11" x14ac:dyDescent="0.3">
      <c r="A2" t="s">
        <v>245</v>
      </c>
      <c r="B2" t="s">
        <v>80</v>
      </c>
      <c r="C2" t="s">
        <v>64</v>
      </c>
      <c r="D2" t="s">
        <v>204</v>
      </c>
      <c r="E2" t="s">
        <v>81</v>
      </c>
      <c r="F2">
        <v>1</v>
      </c>
      <c r="H2">
        <v>1</v>
      </c>
      <c r="J2">
        <v>0</v>
      </c>
      <c r="K2" t="s">
        <v>370</v>
      </c>
    </row>
    <row r="3" spans="1:11" x14ac:dyDescent="0.3">
      <c r="A3" t="s">
        <v>245</v>
      </c>
      <c r="B3" t="s">
        <v>80</v>
      </c>
      <c r="C3" t="s">
        <v>64</v>
      </c>
      <c r="D3" t="s">
        <v>119</v>
      </c>
      <c r="E3" t="s">
        <v>142</v>
      </c>
      <c r="F3">
        <v>4</v>
      </c>
      <c r="H3">
        <v>4</v>
      </c>
      <c r="J3">
        <v>0</v>
      </c>
      <c r="K3" t="s">
        <v>370</v>
      </c>
    </row>
    <row r="4" spans="1:11" x14ac:dyDescent="0.3">
      <c r="A4" t="s">
        <v>245</v>
      </c>
      <c r="B4" t="s">
        <v>80</v>
      </c>
      <c r="C4" t="s">
        <v>64</v>
      </c>
      <c r="D4" t="s">
        <v>120</v>
      </c>
      <c r="E4" t="s">
        <v>81</v>
      </c>
      <c r="F4">
        <v>4</v>
      </c>
      <c r="H4">
        <v>4</v>
      </c>
      <c r="J4">
        <v>0</v>
      </c>
      <c r="K4" t="s">
        <v>370</v>
      </c>
    </row>
    <row r="5" spans="1:11" x14ac:dyDescent="0.3">
      <c r="A5" t="s">
        <v>245</v>
      </c>
      <c r="B5" t="s">
        <v>80</v>
      </c>
      <c r="C5" t="s">
        <v>64</v>
      </c>
      <c r="D5" t="s">
        <v>246</v>
      </c>
      <c r="E5" t="s">
        <v>81</v>
      </c>
      <c r="F5">
        <v>0</v>
      </c>
      <c r="H5">
        <v>0</v>
      </c>
      <c r="J5">
        <v>0</v>
      </c>
      <c r="K5" t="s">
        <v>370</v>
      </c>
    </row>
    <row r="6" spans="1:11" x14ac:dyDescent="0.3">
      <c r="A6" t="s">
        <v>245</v>
      </c>
      <c r="B6" t="s">
        <v>80</v>
      </c>
      <c r="C6" t="s">
        <v>64</v>
      </c>
      <c r="D6" t="s">
        <v>247</v>
      </c>
      <c r="E6" t="s">
        <v>144</v>
      </c>
      <c r="F6">
        <v>0</v>
      </c>
      <c r="H6">
        <v>0</v>
      </c>
      <c r="J6">
        <v>0</v>
      </c>
      <c r="K6" t="s">
        <v>370</v>
      </c>
    </row>
    <row r="7" spans="1:11" x14ac:dyDescent="0.3">
      <c r="A7" t="s">
        <v>245</v>
      </c>
      <c r="B7" t="s">
        <v>80</v>
      </c>
      <c r="C7" t="s">
        <v>64</v>
      </c>
      <c r="D7" t="s">
        <v>89</v>
      </c>
      <c r="E7" t="s">
        <v>81</v>
      </c>
      <c r="F7">
        <v>0</v>
      </c>
      <c r="H7">
        <v>0</v>
      </c>
      <c r="J7">
        <v>0</v>
      </c>
      <c r="K7" t="s">
        <v>370</v>
      </c>
    </row>
    <row r="8" spans="1:11" x14ac:dyDescent="0.3">
      <c r="A8" t="s">
        <v>245</v>
      </c>
      <c r="B8" t="s">
        <v>80</v>
      </c>
      <c r="C8" t="s">
        <v>64</v>
      </c>
      <c r="D8" t="s">
        <v>125</v>
      </c>
      <c r="E8" t="s">
        <v>142</v>
      </c>
      <c r="F8">
        <v>0</v>
      </c>
      <c r="H8">
        <v>0</v>
      </c>
      <c r="J8">
        <v>0</v>
      </c>
      <c r="K8" t="s">
        <v>370</v>
      </c>
    </row>
    <row r="9" spans="1:11" x14ac:dyDescent="0.3">
      <c r="A9" t="s">
        <v>245</v>
      </c>
      <c r="B9" t="s">
        <v>80</v>
      </c>
      <c r="C9" t="s">
        <v>58</v>
      </c>
      <c r="D9" t="s">
        <v>248</v>
      </c>
      <c r="E9" t="s">
        <v>146</v>
      </c>
      <c r="F9">
        <v>0</v>
      </c>
      <c r="H9">
        <v>0</v>
      </c>
      <c r="J9">
        <v>0</v>
      </c>
      <c r="K9" t="s">
        <v>370</v>
      </c>
    </row>
    <row r="10" spans="1:11" x14ac:dyDescent="0.3">
      <c r="A10" t="s">
        <v>245</v>
      </c>
      <c r="B10" t="s">
        <v>80</v>
      </c>
      <c r="C10" t="s">
        <v>58</v>
      </c>
      <c r="D10" t="s">
        <v>249</v>
      </c>
      <c r="E10" t="s">
        <v>144</v>
      </c>
      <c r="F10">
        <v>9</v>
      </c>
      <c r="H10">
        <v>9</v>
      </c>
      <c r="J10">
        <v>9</v>
      </c>
      <c r="K10" t="s">
        <v>370</v>
      </c>
    </row>
    <row r="11" spans="1:11" x14ac:dyDescent="0.3">
      <c r="A11" t="s">
        <v>245</v>
      </c>
      <c r="B11" t="s">
        <v>80</v>
      </c>
      <c r="C11" t="s">
        <v>70</v>
      </c>
      <c r="D11" t="s">
        <v>250</v>
      </c>
      <c r="E11" t="s">
        <v>146</v>
      </c>
      <c r="F11">
        <v>0</v>
      </c>
      <c r="H11">
        <v>0</v>
      </c>
      <c r="J11">
        <v>0</v>
      </c>
      <c r="K11" t="s">
        <v>370</v>
      </c>
    </row>
    <row r="12" spans="1:11" x14ac:dyDescent="0.3">
      <c r="A12" t="s">
        <v>245</v>
      </c>
      <c r="B12" t="s">
        <v>80</v>
      </c>
      <c r="C12" t="s">
        <v>70</v>
      </c>
      <c r="D12" t="s">
        <v>251</v>
      </c>
      <c r="E12" t="s">
        <v>144</v>
      </c>
      <c r="F12">
        <v>4</v>
      </c>
      <c r="H12">
        <v>4</v>
      </c>
      <c r="J12">
        <v>4</v>
      </c>
      <c r="K12" t="s">
        <v>370</v>
      </c>
    </row>
    <row r="13" spans="1:11" x14ac:dyDescent="0.3">
      <c r="A13" t="s">
        <v>245</v>
      </c>
      <c r="B13" t="s">
        <v>80</v>
      </c>
      <c r="C13" t="s">
        <v>69</v>
      </c>
      <c r="D13" t="s">
        <v>252</v>
      </c>
      <c r="E13" t="s">
        <v>146</v>
      </c>
      <c r="F13">
        <v>0</v>
      </c>
      <c r="H13">
        <v>0</v>
      </c>
      <c r="J13">
        <v>0</v>
      </c>
      <c r="K13" t="s">
        <v>370</v>
      </c>
    </row>
    <row r="14" spans="1:11" x14ac:dyDescent="0.3">
      <c r="A14" t="s">
        <v>245</v>
      </c>
      <c r="B14" t="s">
        <v>80</v>
      </c>
      <c r="C14" t="s">
        <v>69</v>
      </c>
      <c r="D14" t="s">
        <v>253</v>
      </c>
      <c r="E14" t="s">
        <v>144</v>
      </c>
      <c r="F14">
        <v>4</v>
      </c>
      <c r="H14">
        <v>4</v>
      </c>
      <c r="J14">
        <v>4</v>
      </c>
      <c r="K14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F527-D9EE-4699-9DB5-C174AA98A24C}">
  <dimension ref="A1:H5"/>
  <sheetViews>
    <sheetView workbookViewId="0">
      <selection activeCell="D4" sqref="D4"/>
    </sheetView>
  </sheetViews>
  <sheetFormatPr baseColWidth="10" defaultRowHeight="14.4" x14ac:dyDescent="0.3"/>
  <cols>
    <col min="1" max="1" width="39.44140625" bestFit="1" customWidth="1"/>
    <col min="2" max="2" width="20.44140625" bestFit="1" customWidth="1"/>
    <col min="3" max="3" width="15.44140625" bestFit="1" customWidth="1"/>
    <col min="4" max="4" width="49" bestFit="1" customWidth="1"/>
    <col min="5" max="5" width="38.33203125" bestFit="1" customWidth="1"/>
    <col min="6" max="6" width="78.33203125" bestFit="1" customWidth="1"/>
    <col min="7" max="7" width="80.88671875" bestFit="1" customWidth="1"/>
    <col min="8" max="8" width="8.44140625" bestFit="1" customWidth="1"/>
  </cols>
  <sheetData>
    <row r="1" spans="1:8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</row>
    <row r="2" spans="1:8" hidden="1" x14ac:dyDescent="0.3">
      <c r="A2" t="s">
        <v>258</v>
      </c>
      <c r="B2" t="s">
        <v>80</v>
      </c>
      <c r="C2" t="s">
        <v>69</v>
      </c>
      <c r="D2" t="s">
        <v>254</v>
      </c>
      <c r="E2" t="s">
        <v>146</v>
      </c>
      <c r="F2">
        <v>0</v>
      </c>
      <c r="H2">
        <v>0</v>
      </c>
    </row>
    <row r="3" spans="1:8" hidden="1" x14ac:dyDescent="0.3">
      <c r="A3" t="s">
        <v>258</v>
      </c>
      <c r="B3" t="s">
        <v>80</v>
      </c>
      <c r="C3" t="s">
        <v>69</v>
      </c>
      <c r="D3" t="s">
        <v>255</v>
      </c>
      <c r="E3" t="s">
        <v>144</v>
      </c>
      <c r="F3">
        <v>5</v>
      </c>
      <c r="H3">
        <v>5</v>
      </c>
    </row>
    <row r="4" spans="1:8" x14ac:dyDescent="0.3">
      <c r="A4" t="s">
        <v>258</v>
      </c>
      <c r="B4" t="s">
        <v>80</v>
      </c>
      <c r="C4" t="s">
        <v>69</v>
      </c>
      <c r="D4" t="s">
        <v>256</v>
      </c>
      <c r="E4" t="s">
        <v>142</v>
      </c>
      <c r="F4">
        <v>0</v>
      </c>
      <c r="H4">
        <v>0</v>
      </c>
    </row>
    <row r="5" spans="1:8" hidden="1" x14ac:dyDescent="0.3">
      <c r="A5" t="s">
        <v>258</v>
      </c>
      <c r="B5" t="s">
        <v>80</v>
      </c>
      <c r="C5" t="s">
        <v>69</v>
      </c>
      <c r="D5" t="s">
        <v>257</v>
      </c>
      <c r="E5" t="s">
        <v>144</v>
      </c>
      <c r="F5">
        <v>5</v>
      </c>
      <c r="H5">
        <v>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59F8-06F5-4C5B-B987-6255E64F19DF}">
  <dimension ref="A1:K8"/>
  <sheetViews>
    <sheetView workbookViewId="0">
      <selection activeCell="D5" sqref="D5"/>
    </sheetView>
  </sheetViews>
  <sheetFormatPr baseColWidth="10" defaultRowHeight="14.4" x14ac:dyDescent="0.3"/>
  <cols>
    <col min="1" max="1" width="37.21875" bestFit="1" customWidth="1"/>
    <col min="2" max="2" width="20.44140625" bestFit="1" customWidth="1"/>
    <col min="3" max="3" width="15.5546875" bestFit="1" customWidth="1"/>
    <col min="4" max="4" width="29.44140625" bestFit="1" customWidth="1"/>
    <col min="5" max="5" width="37.441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259</v>
      </c>
      <c r="B2" t="s">
        <v>80</v>
      </c>
      <c r="C2" t="s">
        <v>70</v>
      </c>
      <c r="D2" t="s">
        <v>260</v>
      </c>
      <c r="E2" t="s">
        <v>81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259</v>
      </c>
      <c r="B3" t="s">
        <v>80</v>
      </c>
      <c r="C3" t="s">
        <v>70</v>
      </c>
      <c r="D3" t="s">
        <v>445</v>
      </c>
      <c r="E3" t="s">
        <v>81</v>
      </c>
      <c r="F3">
        <v>4</v>
      </c>
      <c r="H3">
        <v>4</v>
      </c>
      <c r="J3">
        <v>4</v>
      </c>
      <c r="K3" t="s">
        <v>370</v>
      </c>
    </row>
    <row r="4" spans="1:11" x14ac:dyDescent="0.3">
      <c r="A4" t="s">
        <v>259</v>
      </c>
      <c r="B4" t="s">
        <v>80</v>
      </c>
      <c r="C4" t="s">
        <v>70</v>
      </c>
      <c r="D4" t="s">
        <v>446</v>
      </c>
      <c r="E4" t="s">
        <v>81</v>
      </c>
      <c r="F4">
        <v>4</v>
      </c>
      <c r="H4">
        <v>4</v>
      </c>
      <c r="J4">
        <v>4</v>
      </c>
      <c r="K4" t="s">
        <v>370</v>
      </c>
    </row>
    <row r="5" spans="1:11" x14ac:dyDescent="0.3">
      <c r="A5" t="s">
        <v>259</v>
      </c>
      <c r="B5" t="s">
        <v>80</v>
      </c>
      <c r="C5" t="s">
        <v>70</v>
      </c>
      <c r="D5" t="s">
        <v>447</v>
      </c>
      <c r="E5" t="s">
        <v>81</v>
      </c>
      <c r="F5">
        <v>4</v>
      </c>
      <c r="H5">
        <v>4</v>
      </c>
      <c r="J5">
        <v>4</v>
      </c>
      <c r="K5" t="s">
        <v>370</v>
      </c>
    </row>
    <row r="6" spans="1:11" x14ac:dyDescent="0.3">
      <c r="A6" t="s">
        <v>259</v>
      </c>
      <c r="B6" t="s">
        <v>80</v>
      </c>
      <c r="C6" t="s">
        <v>70</v>
      </c>
      <c r="D6" t="s">
        <v>448</v>
      </c>
      <c r="E6" t="s">
        <v>81</v>
      </c>
      <c r="F6">
        <v>4</v>
      </c>
      <c r="H6">
        <v>4</v>
      </c>
      <c r="J6">
        <v>4</v>
      </c>
      <c r="K6" t="s">
        <v>370</v>
      </c>
    </row>
    <row r="7" spans="1:11" x14ac:dyDescent="0.3">
      <c r="A7" t="s">
        <v>259</v>
      </c>
      <c r="B7" t="s">
        <v>80</v>
      </c>
      <c r="C7" t="s">
        <v>69</v>
      </c>
      <c r="D7" t="s">
        <v>449</v>
      </c>
      <c r="E7" t="s">
        <v>81</v>
      </c>
      <c r="F7">
        <v>4</v>
      </c>
      <c r="H7">
        <v>4</v>
      </c>
      <c r="J7">
        <v>4</v>
      </c>
      <c r="K7" t="s">
        <v>370</v>
      </c>
    </row>
    <row r="8" spans="1:11" x14ac:dyDescent="0.3">
      <c r="A8" t="s">
        <v>259</v>
      </c>
      <c r="B8" t="s">
        <v>80</v>
      </c>
      <c r="C8" t="s">
        <v>69</v>
      </c>
      <c r="D8" t="s">
        <v>450</v>
      </c>
      <c r="E8" t="s">
        <v>81</v>
      </c>
      <c r="F8">
        <v>4</v>
      </c>
      <c r="H8">
        <v>4</v>
      </c>
      <c r="J8">
        <v>4</v>
      </c>
      <c r="K8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BB68-AAC6-45BB-9175-A9750331D9D8}">
  <dimension ref="A1:K3"/>
  <sheetViews>
    <sheetView workbookViewId="0">
      <selection activeCell="B2" sqref="B2"/>
    </sheetView>
  </sheetViews>
  <sheetFormatPr baseColWidth="10" defaultRowHeight="14.4" x14ac:dyDescent="0.3"/>
  <cols>
    <col min="1" max="1" width="58.5546875" bestFit="1" customWidth="1"/>
    <col min="2" max="2" width="20.44140625" bestFit="1" customWidth="1"/>
    <col min="3" max="3" width="24.77734375" bestFit="1" customWidth="1"/>
    <col min="4" max="4" width="29.6640625" bestFit="1" customWidth="1"/>
    <col min="5" max="5" width="3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262</v>
      </c>
      <c r="B2" t="s">
        <v>80</v>
      </c>
      <c r="C2" t="s">
        <v>64</v>
      </c>
      <c r="D2" t="s">
        <v>263</v>
      </c>
      <c r="E2" t="s">
        <v>266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262</v>
      </c>
      <c r="B3" t="s">
        <v>80</v>
      </c>
      <c r="C3" t="s">
        <v>64</v>
      </c>
      <c r="D3" t="s">
        <v>264</v>
      </c>
      <c r="E3" t="s">
        <v>266</v>
      </c>
      <c r="F3">
        <v>0</v>
      </c>
      <c r="H3">
        <v>0</v>
      </c>
      <c r="J3">
        <v>0</v>
      </c>
      <c r="K3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0C66-9B34-409B-87DC-2ECE3D66416F}">
  <dimension ref="A1:H3"/>
  <sheetViews>
    <sheetView workbookViewId="0">
      <selection activeCell="C4" sqref="C4"/>
    </sheetView>
  </sheetViews>
  <sheetFormatPr baseColWidth="10" defaultRowHeight="14.4" x14ac:dyDescent="0.3"/>
  <cols>
    <col min="1" max="1" width="27.6640625" bestFit="1" customWidth="1"/>
    <col min="2" max="2" width="20.44140625" bestFit="1" customWidth="1"/>
    <col min="3" max="3" width="24.6640625" bestFit="1" customWidth="1"/>
    <col min="4" max="4" width="29.6640625" bestFit="1" customWidth="1"/>
    <col min="5" max="5" width="35" bestFit="1" customWidth="1"/>
    <col min="6" max="6" width="78.33203125" bestFit="1" customWidth="1"/>
    <col min="7" max="7" width="80.88671875" bestFit="1" customWidth="1"/>
    <col min="8" max="8" width="8.44140625" bestFit="1" customWidth="1"/>
  </cols>
  <sheetData>
    <row r="1" spans="1:8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</row>
    <row r="2" spans="1:8" x14ac:dyDescent="0.3">
      <c r="A2" t="s">
        <v>265</v>
      </c>
      <c r="B2" t="s">
        <v>80</v>
      </c>
      <c r="C2" t="s">
        <v>64</v>
      </c>
      <c r="D2" t="s">
        <v>263</v>
      </c>
      <c r="E2" t="s">
        <v>266</v>
      </c>
      <c r="F2">
        <v>0</v>
      </c>
      <c r="H2">
        <v>0</v>
      </c>
    </row>
    <row r="3" spans="1:8" x14ac:dyDescent="0.3">
      <c r="A3" t="s">
        <v>265</v>
      </c>
      <c r="B3" t="s">
        <v>80</v>
      </c>
      <c r="C3" t="s">
        <v>64</v>
      </c>
      <c r="D3" t="s">
        <v>264</v>
      </c>
      <c r="E3" t="s">
        <v>266</v>
      </c>
      <c r="F3">
        <v>0</v>
      </c>
      <c r="H3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DDB4-1476-4B7D-B98D-CD5BC53319BC}">
  <dimension ref="A1:H43"/>
  <sheetViews>
    <sheetView topLeftCell="B1" workbookViewId="0">
      <selection activeCell="D13" sqref="D13"/>
    </sheetView>
  </sheetViews>
  <sheetFormatPr baseColWidth="10" defaultRowHeight="14.4" x14ac:dyDescent="0.3"/>
  <cols>
    <col min="1" max="1" width="39.5546875" bestFit="1" customWidth="1"/>
    <col min="2" max="2" width="22.88671875" bestFit="1" customWidth="1"/>
    <col min="3" max="3" width="24.6640625" bestFit="1" customWidth="1"/>
    <col min="4" max="4" width="67.4414062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8.44140625" bestFit="1" customWidth="1"/>
  </cols>
  <sheetData>
    <row r="1" spans="1:8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</row>
    <row r="2" spans="1:8" x14ac:dyDescent="0.3">
      <c r="A2" t="s">
        <v>267</v>
      </c>
      <c r="B2" t="s">
        <v>268</v>
      </c>
      <c r="C2" t="s">
        <v>21</v>
      </c>
      <c r="D2" t="s">
        <v>87</v>
      </c>
      <c r="E2" t="s">
        <v>269</v>
      </c>
      <c r="F2">
        <v>9</v>
      </c>
      <c r="H2">
        <v>9</v>
      </c>
    </row>
    <row r="3" spans="1:8" x14ac:dyDescent="0.3">
      <c r="A3" t="s">
        <v>267</v>
      </c>
      <c r="B3" t="s">
        <v>268</v>
      </c>
      <c r="C3" t="s">
        <v>21</v>
      </c>
      <c r="D3" t="s">
        <v>361</v>
      </c>
      <c r="E3" t="s">
        <v>269</v>
      </c>
      <c r="F3">
        <v>4</v>
      </c>
      <c r="H3">
        <v>4</v>
      </c>
    </row>
    <row r="4" spans="1:8" x14ac:dyDescent="0.3">
      <c r="A4" t="s">
        <v>267</v>
      </c>
      <c r="B4" t="s">
        <v>268</v>
      </c>
      <c r="C4" t="s">
        <v>21</v>
      </c>
      <c r="D4" t="s">
        <v>133</v>
      </c>
      <c r="E4" t="s">
        <v>66</v>
      </c>
      <c r="F4">
        <v>9</v>
      </c>
      <c r="H4">
        <v>9</v>
      </c>
    </row>
    <row r="5" spans="1:8" x14ac:dyDescent="0.3">
      <c r="A5" t="s">
        <v>267</v>
      </c>
      <c r="B5" t="s">
        <v>268</v>
      </c>
      <c r="C5" t="s">
        <v>21</v>
      </c>
      <c r="D5" t="s">
        <v>270</v>
      </c>
      <c r="E5" t="s">
        <v>66</v>
      </c>
      <c r="F5">
        <v>3</v>
      </c>
      <c r="H5">
        <v>3</v>
      </c>
    </row>
    <row r="6" spans="1:8" x14ac:dyDescent="0.3">
      <c r="A6" t="s">
        <v>267</v>
      </c>
      <c r="B6" t="s">
        <v>268</v>
      </c>
      <c r="C6" t="s">
        <v>21</v>
      </c>
      <c r="D6" t="s">
        <v>120</v>
      </c>
      <c r="E6" t="s">
        <v>66</v>
      </c>
      <c r="F6">
        <v>2</v>
      </c>
      <c r="H6">
        <v>2</v>
      </c>
    </row>
    <row r="7" spans="1:8" x14ac:dyDescent="0.3">
      <c r="A7" t="s">
        <v>267</v>
      </c>
      <c r="B7" t="s">
        <v>268</v>
      </c>
      <c r="C7" t="s">
        <v>21</v>
      </c>
      <c r="D7" t="s">
        <v>89</v>
      </c>
      <c r="E7" t="s">
        <v>66</v>
      </c>
      <c r="F7">
        <v>4</v>
      </c>
      <c r="H7">
        <v>4</v>
      </c>
    </row>
    <row r="8" spans="1:8" x14ac:dyDescent="0.3">
      <c r="A8" t="s">
        <v>267</v>
      </c>
      <c r="B8" t="s">
        <v>268</v>
      </c>
      <c r="C8" t="s">
        <v>58</v>
      </c>
      <c r="D8" t="s">
        <v>90</v>
      </c>
      <c r="E8" t="s">
        <v>65</v>
      </c>
      <c r="F8">
        <v>3</v>
      </c>
      <c r="H8">
        <v>3</v>
      </c>
    </row>
    <row r="9" spans="1:8" x14ac:dyDescent="0.3">
      <c r="A9" t="s">
        <v>267</v>
      </c>
      <c r="B9" t="s">
        <v>268</v>
      </c>
      <c r="C9" t="s">
        <v>58</v>
      </c>
      <c r="D9" t="s">
        <v>272</v>
      </c>
      <c r="E9" t="s">
        <v>65</v>
      </c>
      <c r="F9">
        <v>3.5</v>
      </c>
      <c r="H9">
        <v>3.5</v>
      </c>
    </row>
    <row r="10" spans="1:8" x14ac:dyDescent="0.3">
      <c r="A10" t="s">
        <v>267</v>
      </c>
      <c r="B10" t="s">
        <v>268</v>
      </c>
      <c r="C10" t="s">
        <v>58</v>
      </c>
      <c r="D10" t="s">
        <v>174</v>
      </c>
      <c r="E10" t="s">
        <v>66</v>
      </c>
      <c r="F10">
        <v>1.5</v>
      </c>
      <c r="H10">
        <v>1.5</v>
      </c>
    </row>
    <row r="11" spans="1:8" x14ac:dyDescent="0.3">
      <c r="A11" t="s">
        <v>267</v>
      </c>
      <c r="B11" t="s">
        <v>268</v>
      </c>
      <c r="C11" t="s">
        <v>58</v>
      </c>
      <c r="D11" t="s">
        <v>91</v>
      </c>
      <c r="E11" t="s">
        <v>66</v>
      </c>
      <c r="F11">
        <v>3.5</v>
      </c>
      <c r="H11">
        <v>3.5</v>
      </c>
    </row>
    <row r="12" spans="1:8" x14ac:dyDescent="0.3">
      <c r="A12" t="s">
        <v>267</v>
      </c>
      <c r="B12" t="s">
        <v>268</v>
      </c>
      <c r="C12" t="s">
        <v>58</v>
      </c>
      <c r="D12" t="s">
        <v>135</v>
      </c>
      <c r="E12" t="s">
        <v>66</v>
      </c>
      <c r="F12">
        <v>2</v>
      </c>
      <c r="H12">
        <v>2</v>
      </c>
    </row>
    <row r="13" spans="1:8" x14ac:dyDescent="0.3">
      <c r="A13" t="s">
        <v>267</v>
      </c>
      <c r="B13" t="s">
        <v>268</v>
      </c>
      <c r="C13" t="s">
        <v>58</v>
      </c>
      <c r="D13" t="s">
        <v>94</v>
      </c>
      <c r="E13" t="s">
        <v>66</v>
      </c>
      <c r="F13">
        <v>2</v>
      </c>
      <c r="H13">
        <v>2</v>
      </c>
    </row>
    <row r="14" spans="1:8" x14ac:dyDescent="0.3">
      <c r="A14" t="s">
        <v>267</v>
      </c>
      <c r="B14" t="s">
        <v>268</v>
      </c>
      <c r="C14" t="s">
        <v>58</v>
      </c>
      <c r="D14" t="s">
        <v>136</v>
      </c>
      <c r="E14" t="s">
        <v>66</v>
      </c>
      <c r="F14">
        <v>1</v>
      </c>
      <c r="H14">
        <v>1</v>
      </c>
    </row>
    <row r="15" spans="1:8" x14ac:dyDescent="0.3">
      <c r="A15" t="s">
        <v>267</v>
      </c>
      <c r="B15" t="s">
        <v>268</v>
      </c>
      <c r="C15" t="s">
        <v>58</v>
      </c>
      <c r="D15" t="s">
        <v>92</v>
      </c>
      <c r="E15" t="s">
        <v>66</v>
      </c>
      <c r="F15">
        <v>4</v>
      </c>
      <c r="H15">
        <v>4</v>
      </c>
    </row>
    <row r="16" spans="1:8" x14ac:dyDescent="0.3">
      <c r="A16" t="s">
        <v>267</v>
      </c>
      <c r="B16" t="s">
        <v>268</v>
      </c>
      <c r="C16" t="s">
        <v>58</v>
      </c>
      <c r="D16" t="s">
        <v>93</v>
      </c>
      <c r="E16" t="s">
        <v>66</v>
      </c>
      <c r="F16">
        <v>2</v>
      </c>
      <c r="H16">
        <v>2</v>
      </c>
    </row>
    <row r="17" spans="1:8" x14ac:dyDescent="0.3">
      <c r="A17" t="s">
        <v>267</v>
      </c>
      <c r="B17" t="s">
        <v>268</v>
      </c>
      <c r="C17" t="s">
        <v>58</v>
      </c>
      <c r="D17" t="s">
        <v>95</v>
      </c>
      <c r="E17" t="s">
        <v>66</v>
      </c>
      <c r="F17">
        <v>2</v>
      </c>
      <c r="H17">
        <v>2</v>
      </c>
    </row>
    <row r="18" spans="1:8" x14ac:dyDescent="0.3">
      <c r="A18" t="s">
        <v>267</v>
      </c>
      <c r="B18" t="s">
        <v>268</v>
      </c>
      <c r="C18" t="s">
        <v>58</v>
      </c>
      <c r="D18" t="s">
        <v>273</v>
      </c>
      <c r="E18" t="s">
        <v>65</v>
      </c>
      <c r="F18">
        <v>5</v>
      </c>
      <c r="H18">
        <v>5</v>
      </c>
    </row>
    <row r="19" spans="1:8" x14ac:dyDescent="0.3">
      <c r="A19" t="s">
        <v>267</v>
      </c>
      <c r="B19" t="s">
        <v>268</v>
      </c>
      <c r="C19" t="s">
        <v>58</v>
      </c>
      <c r="D19" t="s">
        <v>97</v>
      </c>
      <c r="E19" t="s">
        <v>66</v>
      </c>
      <c r="F19">
        <v>1</v>
      </c>
      <c r="H19">
        <v>1</v>
      </c>
    </row>
    <row r="20" spans="1:8" x14ac:dyDescent="0.3">
      <c r="A20" t="s">
        <v>267</v>
      </c>
      <c r="B20" t="s">
        <v>268</v>
      </c>
      <c r="C20" t="s">
        <v>58</v>
      </c>
      <c r="D20" t="s">
        <v>271</v>
      </c>
      <c r="E20" t="s">
        <v>66</v>
      </c>
      <c r="F20">
        <v>3</v>
      </c>
      <c r="H20">
        <v>3</v>
      </c>
    </row>
    <row r="21" spans="1:8" x14ac:dyDescent="0.3">
      <c r="A21" t="s">
        <v>267</v>
      </c>
      <c r="B21" t="s">
        <v>268</v>
      </c>
      <c r="C21" t="s">
        <v>58</v>
      </c>
      <c r="D21" t="s">
        <v>96</v>
      </c>
      <c r="E21" t="s">
        <v>66</v>
      </c>
      <c r="F21">
        <v>2.5</v>
      </c>
      <c r="H21">
        <v>2.5</v>
      </c>
    </row>
    <row r="22" spans="1:8" x14ac:dyDescent="0.3">
      <c r="A22" t="s">
        <v>267</v>
      </c>
      <c r="B22" t="s">
        <v>268</v>
      </c>
      <c r="C22" t="s">
        <v>58</v>
      </c>
      <c r="D22" t="s">
        <v>98</v>
      </c>
      <c r="E22" t="s">
        <v>66</v>
      </c>
      <c r="F22">
        <v>0.5</v>
      </c>
      <c r="H22">
        <v>0.5</v>
      </c>
    </row>
    <row r="23" spans="1:8" x14ac:dyDescent="0.3">
      <c r="A23" t="s">
        <v>267</v>
      </c>
      <c r="B23" t="s">
        <v>268</v>
      </c>
      <c r="C23" t="s">
        <v>58</v>
      </c>
      <c r="D23" t="s">
        <v>172</v>
      </c>
      <c r="E23" t="s">
        <v>66</v>
      </c>
      <c r="F23">
        <v>3</v>
      </c>
      <c r="H23">
        <v>3</v>
      </c>
    </row>
    <row r="24" spans="1:8" x14ac:dyDescent="0.3">
      <c r="A24" t="s">
        <v>267</v>
      </c>
      <c r="B24" t="s">
        <v>268</v>
      </c>
      <c r="C24" t="s">
        <v>58</v>
      </c>
      <c r="D24" t="s">
        <v>384</v>
      </c>
      <c r="E24" t="s">
        <v>66</v>
      </c>
      <c r="F24">
        <v>0</v>
      </c>
      <c r="G24">
        <v>4</v>
      </c>
      <c r="H24">
        <v>4</v>
      </c>
    </row>
    <row r="25" spans="1:8" x14ac:dyDescent="0.3">
      <c r="A25" t="s">
        <v>267</v>
      </c>
      <c r="B25" t="s">
        <v>268</v>
      </c>
      <c r="C25" t="s">
        <v>70</v>
      </c>
      <c r="D25" t="s">
        <v>101</v>
      </c>
      <c r="E25" t="s">
        <v>66</v>
      </c>
      <c r="F25">
        <v>9</v>
      </c>
      <c r="H25">
        <v>9</v>
      </c>
    </row>
    <row r="26" spans="1:8" x14ac:dyDescent="0.3">
      <c r="A26" t="s">
        <v>267</v>
      </c>
      <c r="B26" t="s">
        <v>268</v>
      </c>
      <c r="C26" t="s">
        <v>70</v>
      </c>
      <c r="D26" t="s">
        <v>182</v>
      </c>
      <c r="E26" t="s">
        <v>66</v>
      </c>
      <c r="F26">
        <v>2</v>
      </c>
      <c r="H26">
        <v>2</v>
      </c>
    </row>
    <row r="27" spans="1:8" x14ac:dyDescent="0.3">
      <c r="A27" t="s">
        <v>267</v>
      </c>
      <c r="B27" t="s">
        <v>268</v>
      </c>
      <c r="C27" t="s">
        <v>70</v>
      </c>
      <c r="D27" t="s">
        <v>103</v>
      </c>
      <c r="E27" t="s">
        <v>66</v>
      </c>
      <c r="F27">
        <v>1</v>
      </c>
      <c r="H27">
        <v>1</v>
      </c>
    </row>
    <row r="28" spans="1:8" x14ac:dyDescent="0.3">
      <c r="A28" t="s">
        <v>267</v>
      </c>
      <c r="B28" t="s">
        <v>268</v>
      </c>
      <c r="C28" t="s">
        <v>70</v>
      </c>
      <c r="D28" t="s">
        <v>104</v>
      </c>
      <c r="E28" t="s">
        <v>66</v>
      </c>
      <c r="F28">
        <v>3</v>
      </c>
      <c r="H28">
        <v>3</v>
      </c>
    </row>
    <row r="29" spans="1:8" x14ac:dyDescent="0.3">
      <c r="A29" t="s">
        <v>267</v>
      </c>
      <c r="B29" t="s">
        <v>268</v>
      </c>
      <c r="C29" t="s">
        <v>70</v>
      </c>
      <c r="D29" t="s">
        <v>385</v>
      </c>
      <c r="E29" t="s">
        <v>66</v>
      </c>
      <c r="F29">
        <v>3</v>
      </c>
      <c r="H29">
        <v>3</v>
      </c>
    </row>
    <row r="30" spans="1:8" x14ac:dyDescent="0.3">
      <c r="A30" t="s">
        <v>267</v>
      </c>
      <c r="B30" t="s">
        <v>268</v>
      </c>
      <c r="C30" t="s">
        <v>70</v>
      </c>
      <c r="D30" t="s">
        <v>362</v>
      </c>
      <c r="E30" t="s">
        <v>66</v>
      </c>
      <c r="F30">
        <v>0</v>
      </c>
      <c r="G30">
        <v>4</v>
      </c>
      <c r="H30">
        <v>4</v>
      </c>
    </row>
    <row r="31" spans="1:8" x14ac:dyDescent="0.3">
      <c r="A31" t="s">
        <v>267</v>
      </c>
      <c r="B31" t="s">
        <v>268</v>
      </c>
      <c r="C31" t="s">
        <v>69</v>
      </c>
      <c r="D31" t="s">
        <v>108</v>
      </c>
      <c r="E31" t="s">
        <v>66</v>
      </c>
      <c r="F31">
        <v>5</v>
      </c>
      <c r="H31">
        <v>5</v>
      </c>
    </row>
    <row r="32" spans="1:8" x14ac:dyDescent="0.3">
      <c r="A32" t="s">
        <v>267</v>
      </c>
      <c r="B32" t="s">
        <v>268</v>
      </c>
      <c r="C32" t="s">
        <v>69</v>
      </c>
      <c r="D32" t="s">
        <v>109</v>
      </c>
      <c r="E32" t="s">
        <v>66</v>
      </c>
      <c r="F32">
        <v>4</v>
      </c>
      <c r="H32">
        <v>4</v>
      </c>
    </row>
    <row r="33" spans="1:8" x14ac:dyDescent="0.3">
      <c r="A33" t="s">
        <v>267</v>
      </c>
      <c r="B33" t="s">
        <v>268</v>
      </c>
      <c r="C33" t="s">
        <v>69</v>
      </c>
      <c r="D33" t="s">
        <v>138</v>
      </c>
      <c r="E33" t="s">
        <v>66</v>
      </c>
      <c r="F33">
        <v>1</v>
      </c>
      <c r="H33">
        <v>1</v>
      </c>
    </row>
    <row r="34" spans="1:8" x14ac:dyDescent="0.3">
      <c r="A34" t="s">
        <v>267</v>
      </c>
      <c r="B34" t="s">
        <v>268</v>
      </c>
      <c r="C34" t="s">
        <v>69</v>
      </c>
      <c r="D34" t="s">
        <v>106</v>
      </c>
      <c r="E34" t="s">
        <v>65</v>
      </c>
      <c r="F34">
        <v>0.5</v>
      </c>
      <c r="H34">
        <v>0.5</v>
      </c>
    </row>
    <row r="35" spans="1:8" x14ac:dyDescent="0.3">
      <c r="A35" t="s">
        <v>267</v>
      </c>
      <c r="B35" t="s">
        <v>268</v>
      </c>
      <c r="C35" t="s">
        <v>69</v>
      </c>
      <c r="D35" t="s">
        <v>274</v>
      </c>
      <c r="E35" t="s">
        <v>66</v>
      </c>
      <c r="F35">
        <v>0</v>
      </c>
      <c r="G35">
        <v>2</v>
      </c>
      <c r="H35">
        <v>2</v>
      </c>
    </row>
    <row r="36" spans="1:8" x14ac:dyDescent="0.3">
      <c r="A36" t="s">
        <v>267</v>
      </c>
      <c r="B36" t="s">
        <v>268</v>
      </c>
      <c r="C36" t="s">
        <v>69</v>
      </c>
      <c r="D36" t="s">
        <v>122</v>
      </c>
      <c r="E36" t="s">
        <v>66</v>
      </c>
      <c r="F36">
        <v>1</v>
      </c>
      <c r="H36">
        <v>1</v>
      </c>
    </row>
    <row r="37" spans="1:8" x14ac:dyDescent="0.3">
      <c r="A37" t="s">
        <v>267</v>
      </c>
      <c r="B37" t="s">
        <v>268</v>
      </c>
      <c r="C37" t="s">
        <v>121</v>
      </c>
      <c r="D37" t="s">
        <v>193</v>
      </c>
      <c r="E37" t="s">
        <v>66</v>
      </c>
      <c r="F37">
        <v>9</v>
      </c>
      <c r="H37">
        <v>9</v>
      </c>
    </row>
    <row r="38" spans="1:8" x14ac:dyDescent="0.3">
      <c r="A38" t="s">
        <v>267</v>
      </c>
      <c r="B38" t="s">
        <v>268</v>
      </c>
      <c r="C38" t="s">
        <v>71</v>
      </c>
      <c r="D38" t="s">
        <v>114</v>
      </c>
      <c r="E38" t="s">
        <v>66</v>
      </c>
      <c r="F38">
        <v>3</v>
      </c>
      <c r="G38">
        <v>3</v>
      </c>
      <c r="H38">
        <v>6</v>
      </c>
    </row>
    <row r="39" spans="1:8" x14ac:dyDescent="0.3">
      <c r="A39" t="s">
        <v>267</v>
      </c>
      <c r="B39" t="s">
        <v>268</v>
      </c>
      <c r="C39" t="s">
        <v>71</v>
      </c>
      <c r="D39" t="s">
        <v>116</v>
      </c>
      <c r="E39" t="s">
        <v>66</v>
      </c>
      <c r="F39">
        <v>4</v>
      </c>
      <c r="H39">
        <v>4</v>
      </c>
    </row>
    <row r="40" spans="1:8" x14ac:dyDescent="0.3">
      <c r="A40" t="s">
        <v>267</v>
      </c>
      <c r="B40" t="s">
        <v>268</v>
      </c>
      <c r="C40" t="s">
        <v>64</v>
      </c>
      <c r="D40" t="s">
        <v>275</v>
      </c>
      <c r="E40" t="s">
        <v>140</v>
      </c>
      <c r="F40">
        <v>0</v>
      </c>
      <c r="H40">
        <v>0</v>
      </c>
    </row>
    <row r="41" spans="1:8" x14ac:dyDescent="0.3">
      <c r="A41" t="s">
        <v>267</v>
      </c>
      <c r="B41" t="s">
        <v>268</v>
      </c>
      <c r="C41" t="s">
        <v>64</v>
      </c>
      <c r="D41" t="s">
        <v>276</v>
      </c>
      <c r="E41" t="s">
        <v>140</v>
      </c>
      <c r="F41">
        <v>0</v>
      </c>
      <c r="H41">
        <v>0</v>
      </c>
    </row>
    <row r="42" spans="1:8" x14ac:dyDescent="0.3">
      <c r="A42" t="s">
        <v>267</v>
      </c>
      <c r="B42" t="s">
        <v>268</v>
      </c>
      <c r="C42" t="s">
        <v>64</v>
      </c>
      <c r="D42" t="s">
        <v>124</v>
      </c>
      <c r="E42" t="s">
        <v>66</v>
      </c>
      <c r="F42">
        <v>0</v>
      </c>
      <c r="H42">
        <v>0</v>
      </c>
    </row>
    <row r="43" spans="1:8" x14ac:dyDescent="0.3">
      <c r="A43" t="s">
        <v>267</v>
      </c>
      <c r="B43" t="s">
        <v>268</v>
      </c>
      <c r="C43" t="s">
        <v>64</v>
      </c>
      <c r="D43" t="s">
        <v>125</v>
      </c>
      <c r="E43" t="s">
        <v>67</v>
      </c>
      <c r="F43">
        <v>0</v>
      </c>
      <c r="H43"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EFF-CC0A-4FFE-9E42-968969B436C2}">
  <dimension ref="A1:K85"/>
  <sheetViews>
    <sheetView topLeftCell="G1" workbookViewId="0">
      <selection activeCell="C4" sqref="C4"/>
    </sheetView>
  </sheetViews>
  <sheetFormatPr baseColWidth="10" defaultRowHeight="14.4" x14ac:dyDescent="0.3"/>
  <cols>
    <col min="1" max="1" width="39.109375" bestFit="1" customWidth="1"/>
    <col min="2" max="2" width="20.44140625" bestFit="1" customWidth="1"/>
    <col min="3" max="3" width="24.77734375" bestFit="1" customWidth="1"/>
    <col min="4" max="4" width="80.88671875" bestFit="1" customWidth="1"/>
    <col min="5" max="5" width="51.441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277</v>
      </c>
      <c r="B2" t="s">
        <v>80</v>
      </c>
      <c r="C2" t="s">
        <v>21</v>
      </c>
      <c r="D2" t="s">
        <v>139</v>
      </c>
      <c r="E2" t="s">
        <v>140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277</v>
      </c>
      <c r="B3" t="s">
        <v>80</v>
      </c>
      <c r="C3" t="s">
        <v>21</v>
      </c>
      <c r="D3" t="s">
        <v>279</v>
      </c>
      <c r="E3" t="s">
        <v>140</v>
      </c>
      <c r="F3">
        <v>0</v>
      </c>
      <c r="H3">
        <v>0</v>
      </c>
      <c r="J3">
        <v>0</v>
      </c>
      <c r="K3" t="s">
        <v>370</v>
      </c>
    </row>
    <row r="4" spans="1:11" x14ac:dyDescent="0.3">
      <c r="A4" t="s">
        <v>277</v>
      </c>
      <c r="B4" t="s">
        <v>80</v>
      </c>
      <c r="C4" t="s">
        <v>21</v>
      </c>
      <c r="D4" t="s">
        <v>87</v>
      </c>
      <c r="E4" t="s">
        <v>269</v>
      </c>
      <c r="F4">
        <v>9</v>
      </c>
      <c r="H4">
        <v>9</v>
      </c>
      <c r="I4">
        <v>-9</v>
      </c>
      <c r="J4">
        <v>0</v>
      </c>
      <c r="K4" t="s">
        <v>370</v>
      </c>
    </row>
    <row r="5" spans="1:11" x14ac:dyDescent="0.3">
      <c r="A5" t="s">
        <v>277</v>
      </c>
      <c r="B5" t="s">
        <v>80</v>
      </c>
      <c r="C5" t="s">
        <v>21</v>
      </c>
      <c r="D5" t="s">
        <v>230</v>
      </c>
      <c r="E5" t="s">
        <v>65</v>
      </c>
      <c r="F5">
        <v>4</v>
      </c>
      <c r="H5">
        <v>4</v>
      </c>
      <c r="I5">
        <v>-2.5</v>
      </c>
      <c r="J5">
        <v>0</v>
      </c>
      <c r="K5" t="s">
        <v>370</v>
      </c>
    </row>
    <row r="6" spans="1:11" x14ac:dyDescent="0.3">
      <c r="A6" t="s">
        <v>277</v>
      </c>
      <c r="B6" t="s">
        <v>80</v>
      </c>
      <c r="C6" t="s">
        <v>21</v>
      </c>
      <c r="D6" t="s">
        <v>133</v>
      </c>
      <c r="E6" t="s">
        <v>81</v>
      </c>
      <c r="F6">
        <v>9</v>
      </c>
      <c r="H6">
        <v>9</v>
      </c>
      <c r="I6">
        <v>-3</v>
      </c>
      <c r="J6">
        <v>0</v>
      </c>
      <c r="K6" t="s">
        <v>370</v>
      </c>
    </row>
    <row r="7" spans="1:11" x14ac:dyDescent="0.3">
      <c r="A7" t="s">
        <v>277</v>
      </c>
      <c r="B7" t="s">
        <v>80</v>
      </c>
      <c r="C7" t="s">
        <v>21</v>
      </c>
      <c r="D7" t="s">
        <v>280</v>
      </c>
      <c r="E7" t="s">
        <v>81</v>
      </c>
      <c r="F7">
        <v>2</v>
      </c>
      <c r="H7">
        <v>2</v>
      </c>
      <c r="I7">
        <v>2</v>
      </c>
      <c r="J7">
        <v>0</v>
      </c>
      <c r="K7" t="s">
        <v>370</v>
      </c>
    </row>
    <row r="8" spans="1:11" x14ac:dyDescent="0.3">
      <c r="A8" t="s">
        <v>277</v>
      </c>
      <c r="B8" t="s">
        <v>80</v>
      </c>
      <c r="C8" t="s">
        <v>21</v>
      </c>
      <c r="D8" t="s">
        <v>282</v>
      </c>
      <c r="E8" t="s">
        <v>81</v>
      </c>
      <c r="F8">
        <v>4</v>
      </c>
      <c r="H8">
        <v>4</v>
      </c>
      <c r="I8">
        <v>-2</v>
      </c>
      <c r="J8">
        <v>0</v>
      </c>
      <c r="K8" t="s">
        <v>370</v>
      </c>
    </row>
    <row r="9" spans="1:11" x14ac:dyDescent="0.3">
      <c r="A9" t="s">
        <v>277</v>
      </c>
      <c r="B9" t="s">
        <v>80</v>
      </c>
      <c r="C9" t="s">
        <v>21</v>
      </c>
      <c r="D9" t="s">
        <v>118</v>
      </c>
      <c r="E9" t="s">
        <v>81</v>
      </c>
      <c r="F9">
        <v>0.5</v>
      </c>
      <c r="H9">
        <v>0.5</v>
      </c>
      <c r="I9">
        <v>0.5</v>
      </c>
      <c r="J9">
        <v>0</v>
      </c>
      <c r="K9" t="s">
        <v>370</v>
      </c>
    </row>
    <row r="10" spans="1:11" x14ac:dyDescent="0.3">
      <c r="A10" t="s">
        <v>277</v>
      </c>
      <c r="B10" t="s">
        <v>80</v>
      </c>
      <c r="C10" t="s">
        <v>21</v>
      </c>
      <c r="D10" t="s">
        <v>285</v>
      </c>
      <c r="E10" t="s">
        <v>81</v>
      </c>
      <c r="F10">
        <v>2</v>
      </c>
      <c r="H10">
        <v>2</v>
      </c>
      <c r="I10">
        <v>-2</v>
      </c>
      <c r="J10">
        <v>0</v>
      </c>
      <c r="K10" t="s">
        <v>370</v>
      </c>
    </row>
    <row r="11" spans="1:11" x14ac:dyDescent="0.3">
      <c r="A11" t="s">
        <v>277</v>
      </c>
      <c r="B11" t="s">
        <v>80</v>
      </c>
      <c r="C11" t="s">
        <v>21</v>
      </c>
      <c r="D11" t="s">
        <v>283</v>
      </c>
      <c r="E11" t="s">
        <v>81</v>
      </c>
      <c r="F11">
        <v>0.5</v>
      </c>
      <c r="H11">
        <v>0.5</v>
      </c>
      <c r="I11">
        <v>-0.5</v>
      </c>
      <c r="J11">
        <v>0</v>
      </c>
      <c r="K11" t="s">
        <v>370</v>
      </c>
    </row>
    <row r="12" spans="1:11" x14ac:dyDescent="0.3">
      <c r="A12" t="s">
        <v>277</v>
      </c>
      <c r="B12" t="s">
        <v>80</v>
      </c>
      <c r="C12" t="s">
        <v>21</v>
      </c>
      <c r="D12" t="s">
        <v>204</v>
      </c>
      <c r="E12" t="s">
        <v>81</v>
      </c>
      <c r="F12">
        <v>2</v>
      </c>
      <c r="H12">
        <v>2</v>
      </c>
      <c r="I12">
        <v>-2</v>
      </c>
      <c r="J12">
        <v>0</v>
      </c>
      <c r="K12" t="s">
        <v>370</v>
      </c>
    </row>
    <row r="13" spans="1:11" x14ac:dyDescent="0.3">
      <c r="A13" t="s">
        <v>277</v>
      </c>
      <c r="B13" t="s">
        <v>80</v>
      </c>
      <c r="C13" t="s">
        <v>21</v>
      </c>
      <c r="D13" t="s">
        <v>278</v>
      </c>
      <c r="E13" t="s">
        <v>81</v>
      </c>
      <c r="F13">
        <v>3</v>
      </c>
      <c r="H13">
        <v>3</v>
      </c>
      <c r="I13">
        <v>-3</v>
      </c>
      <c r="J13">
        <v>0</v>
      </c>
      <c r="K13" t="s">
        <v>370</v>
      </c>
    </row>
    <row r="14" spans="1:11" x14ac:dyDescent="0.3">
      <c r="A14" t="s">
        <v>277</v>
      </c>
      <c r="B14" t="s">
        <v>80</v>
      </c>
      <c r="C14" t="s">
        <v>21</v>
      </c>
      <c r="D14" t="s">
        <v>119</v>
      </c>
      <c r="E14" t="s">
        <v>81</v>
      </c>
      <c r="F14">
        <v>0</v>
      </c>
      <c r="H14">
        <v>0</v>
      </c>
      <c r="J14">
        <v>0</v>
      </c>
      <c r="K14" t="s">
        <v>370</v>
      </c>
    </row>
    <row r="15" spans="1:11" x14ac:dyDescent="0.3">
      <c r="A15" t="s">
        <v>277</v>
      </c>
      <c r="B15" t="s">
        <v>80</v>
      </c>
      <c r="C15" t="s">
        <v>21</v>
      </c>
      <c r="D15" t="s">
        <v>120</v>
      </c>
      <c r="E15" t="s">
        <v>81</v>
      </c>
      <c r="F15">
        <v>3</v>
      </c>
      <c r="H15">
        <v>3</v>
      </c>
      <c r="I15">
        <v>-3</v>
      </c>
      <c r="J15">
        <v>0</v>
      </c>
      <c r="K15" t="s">
        <v>370</v>
      </c>
    </row>
    <row r="16" spans="1:11" x14ac:dyDescent="0.3">
      <c r="A16" t="s">
        <v>277</v>
      </c>
      <c r="B16" t="s">
        <v>80</v>
      </c>
      <c r="C16" t="s">
        <v>21</v>
      </c>
      <c r="D16" t="s">
        <v>166</v>
      </c>
      <c r="E16" t="s">
        <v>144</v>
      </c>
      <c r="F16">
        <v>0.5</v>
      </c>
      <c r="H16">
        <v>0.5</v>
      </c>
      <c r="J16">
        <v>0.5</v>
      </c>
      <c r="K16" t="s">
        <v>370</v>
      </c>
    </row>
    <row r="17" spans="1:11" x14ac:dyDescent="0.3">
      <c r="A17" t="s">
        <v>277</v>
      </c>
      <c r="B17" t="s">
        <v>80</v>
      </c>
      <c r="C17" t="s">
        <v>21</v>
      </c>
      <c r="D17" t="s">
        <v>200</v>
      </c>
      <c r="E17" t="s">
        <v>144</v>
      </c>
      <c r="F17">
        <v>2</v>
      </c>
      <c r="H17">
        <v>2</v>
      </c>
      <c r="J17">
        <v>2</v>
      </c>
      <c r="K17" t="s">
        <v>370</v>
      </c>
    </row>
    <row r="18" spans="1:11" x14ac:dyDescent="0.3">
      <c r="A18" t="s">
        <v>277</v>
      </c>
      <c r="B18" t="s">
        <v>80</v>
      </c>
      <c r="C18" t="s">
        <v>21</v>
      </c>
      <c r="D18" t="s">
        <v>171</v>
      </c>
      <c r="E18" t="s">
        <v>170</v>
      </c>
      <c r="F18">
        <v>0</v>
      </c>
      <c r="H18">
        <v>0</v>
      </c>
      <c r="J18">
        <v>0</v>
      </c>
      <c r="K18" t="s">
        <v>370</v>
      </c>
    </row>
    <row r="19" spans="1:11" x14ac:dyDescent="0.3">
      <c r="A19" t="s">
        <v>277</v>
      </c>
      <c r="B19" t="s">
        <v>80</v>
      </c>
      <c r="C19" t="s">
        <v>21</v>
      </c>
      <c r="D19" t="s">
        <v>169</v>
      </c>
      <c r="E19" t="s">
        <v>144</v>
      </c>
      <c r="F19">
        <v>5</v>
      </c>
      <c r="H19">
        <v>5</v>
      </c>
      <c r="J19">
        <v>5</v>
      </c>
      <c r="K19" t="s">
        <v>370</v>
      </c>
    </row>
    <row r="20" spans="1:11" x14ac:dyDescent="0.3">
      <c r="A20" t="s">
        <v>277</v>
      </c>
      <c r="B20" t="s">
        <v>80</v>
      </c>
      <c r="C20" t="s">
        <v>21</v>
      </c>
      <c r="D20" t="s">
        <v>168</v>
      </c>
      <c r="E20" t="s">
        <v>284</v>
      </c>
      <c r="F20">
        <v>0</v>
      </c>
      <c r="H20">
        <v>0</v>
      </c>
      <c r="J20">
        <v>0</v>
      </c>
      <c r="K20" t="s">
        <v>370</v>
      </c>
    </row>
    <row r="21" spans="1:11" x14ac:dyDescent="0.3">
      <c r="A21" t="s">
        <v>277</v>
      </c>
      <c r="B21" t="s">
        <v>80</v>
      </c>
      <c r="C21" t="s">
        <v>21</v>
      </c>
      <c r="D21" t="s">
        <v>167</v>
      </c>
      <c r="E21" t="s">
        <v>144</v>
      </c>
      <c r="F21">
        <v>5</v>
      </c>
      <c r="H21">
        <v>5</v>
      </c>
      <c r="J21">
        <v>5</v>
      </c>
      <c r="K21" t="s">
        <v>370</v>
      </c>
    </row>
    <row r="22" spans="1:11" x14ac:dyDescent="0.3">
      <c r="A22" t="s">
        <v>277</v>
      </c>
      <c r="B22" t="s">
        <v>80</v>
      </c>
      <c r="C22" t="s">
        <v>58</v>
      </c>
      <c r="D22" t="s">
        <v>272</v>
      </c>
      <c r="E22" t="s">
        <v>65</v>
      </c>
      <c r="F22">
        <v>3.5</v>
      </c>
      <c r="H22">
        <v>3.5</v>
      </c>
      <c r="I22">
        <v>-3.5</v>
      </c>
      <c r="J22">
        <v>0</v>
      </c>
      <c r="K22" t="s">
        <v>370</v>
      </c>
    </row>
    <row r="23" spans="1:11" x14ac:dyDescent="0.3">
      <c r="A23" t="s">
        <v>277</v>
      </c>
      <c r="B23" t="s">
        <v>80</v>
      </c>
      <c r="C23" t="s">
        <v>58</v>
      </c>
      <c r="D23" t="s">
        <v>91</v>
      </c>
      <c r="E23" t="s">
        <v>81</v>
      </c>
      <c r="F23">
        <v>3.5</v>
      </c>
      <c r="H23">
        <v>3.5</v>
      </c>
      <c r="I23">
        <v>0.5</v>
      </c>
      <c r="J23">
        <v>0</v>
      </c>
      <c r="K23" t="s">
        <v>370</v>
      </c>
    </row>
    <row r="24" spans="1:11" x14ac:dyDescent="0.3">
      <c r="A24" t="s">
        <v>277</v>
      </c>
      <c r="B24" t="s">
        <v>80</v>
      </c>
      <c r="C24" t="s">
        <v>58</v>
      </c>
      <c r="D24" t="s">
        <v>90</v>
      </c>
      <c r="E24" t="s">
        <v>65</v>
      </c>
      <c r="F24">
        <v>3.5</v>
      </c>
      <c r="H24">
        <v>3.5</v>
      </c>
      <c r="I24">
        <v>1.5</v>
      </c>
      <c r="J24">
        <v>0</v>
      </c>
      <c r="K24" t="s">
        <v>370</v>
      </c>
    </row>
    <row r="25" spans="1:11" x14ac:dyDescent="0.3">
      <c r="A25" t="s">
        <v>277</v>
      </c>
      <c r="B25" t="s">
        <v>80</v>
      </c>
      <c r="C25" t="s">
        <v>58</v>
      </c>
      <c r="D25" t="s">
        <v>174</v>
      </c>
      <c r="E25" t="s">
        <v>65</v>
      </c>
      <c r="F25">
        <v>1.5</v>
      </c>
      <c r="H25">
        <v>1.5</v>
      </c>
      <c r="I25">
        <v>-1.5</v>
      </c>
      <c r="J25">
        <v>0</v>
      </c>
      <c r="K25" t="s">
        <v>370</v>
      </c>
    </row>
    <row r="26" spans="1:11" x14ac:dyDescent="0.3">
      <c r="A26" t="s">
        <v>277</v>
      </c>
      <c r="B26" t="s">
        <v>80</v>
      </c>
      <c r="C26" t="s">
        <v>58</v>
      </c>
      <c r="D26" t="s">
        <v>135</v>
      </c>
      <c r="E26" t="s">
        <v>81</v>
      </c>
      <c r="F26">
        <v>2</v>
      </c>
      <c r="H26">
        <v>2</v>
      </c>
      <c r="I26">
        <v>-2</v>
      </c>
      <c r="J26">
        <v>0</v>
      </c>
      <c r="K26" t="s">
        <v>370</v>
      </c>
    </row>
    <row r="27" spans="1:11" x14ac:dyDescent="0.3">
      <c r="A27" t="s">
        <v>277</v>
      </c>
      <c r="B27" t="s">
        <v>80</v>
      </c>
      <c r="C27" t="s">
        <v>58</v>
      </c>
      <c r="D27" t="s">
        <v>93</v>
      </c>
      <c r="E27" t="s">
        <v>81</v>
      </c>
      <c r="F27">
        <v>2</v>
      </c>
      <c r="H27">
        <v>2</v>
      </c>
      <c r="I27">
        <v>-2</v>
      </c>
      <c r="J27">
        <v>0</v>
      </c>
      <c r="K27" t="s">
        <v>370</v>
      </c>
    </row>
    <row r="28" spans="1:11" x14ac:dyDescent="0.3">
      <c r="A28" t="s">
        <v>277</v>
      </c>
      <c r="B28" t="s">
        <v>80</v>
      </c>
      <c r="C28" t="s">
        <v>58</v>
      </c>
      <c r="D28" t="s">
        <v>271</v>
      </c>
      <c r="E28" t="s">
        <v>81</v>
      </c>
      <c r="F28">
        <v>3</v>
      </c>
      <c r="H28">
        <v>3</v>
      </c>
      <c r="I28">
        <v>2</v>
      </c>
      <c r="J28">
        <v>0</v>
      </c>
      <c r="K28" t="s">
        <v>370</v>
      </c>
    </row>
    <row r="29" spans="1:11" x14ac:dyDescent="0.3">
      <c r="A29" t="s">
        <v>277</v>
      </c>
      <c r="B29" t="s">
        <v>80</v>
      </c>
      <c r="C29" t="s">
        <v>58</v>
      </c>
      <c r="D29" t="s">
        <v>92</v>
      </c>
      <c r="E29" t="s">
        <v>81</v>
      </c>
      <c r="F29">
        <v>4</v>
      </c>
      <c r="H29">
        <v>4</v>
      </c>
      <c r="J29">
        <v>0</v>
      </c>
      <c r="K29" t="s">
        <v>370</v>
      </c>
    </row>
    <row r="30" spans="1:11" x14ac:dyDescent="0.3">
      <c r="A30" t="s">
        <v>277</v>
      </c>
      <c r="B30" t="s">
        <v>80</v>
      </c>
      <c r="C30" t="s">
        <v>58</v>
      </c>
      <c r="D30" t="s">
        <v>136</v>
      </c>
      <c r="E30" t="s">
        <v>81</v>
      </c>
      <c r="F30">
        <v>1</v>
      </c>
      <c r="H30">
        <v>1</v>
      </c>
      <c r="I30">
        <v>-1</v>
      </c>
      <c r="J30">
        <v>0</v>
      </c>
      <c r="K30" t="s">
        <v>370</v>
      </c>
    </row>
    <row r="31" spans="1:11" x14ac:dyDescent="0.3">
      <c r="A31" t="s">
        <v>277</v>
      </c>
      <c r="B31" t="s">
        <v>80</v>
      </c>
      <c r="C31" t="s">
        <v>58</v>
      </c>
      <c r="D31" t="s">
        <v>94</v>
      </c>
      <c r="E31" t="s">
        <v>81</v>
      </c>
      <c r="F31">
        <v>2</v>
      </c>
      <c r="H31">
        <v>2</v>
      </c>
      <c r="I31">
        <v>-2</v>
      </c>
      <c r="J31">
        <v>0</v>
      </c>
      <c r="K31" t="s">
        <v>370</v>
      </c>
    </row>
    <row r="32" spans="1:11" x14ac:dyDescent="0.3">
      <c r="A32" t="s">
        <v>277</v>
      </c>
      <c r="B32" t="s">
        <v>80</v>
      </c>
      <c r="C32" t="s">
        <v>58</v>
      </c>
      <c r="D32" t="s">
        <v>98</v>
      </c>
      <c r="E32" t="s">
        <v>81</v>
      </c>
      <c r="F32">
        <v>0.5</v>
      </c>
      <c r="H32">
        <v>0.5</v>
      </c>
      <c r="I32">
        <v>-0.5</v>
      </c>
      <c r="J32">
        <v>0</v>
      </c>
      <c r="K32" t="s">
        <v>370</v>
      </c>
    </row>
    <row r="33" spans="1:11" x14ac:dyDescent="0.3">
      <c r="A33" t="s">
        <v>277</v>
      </c>
      <c r="B33" t="s">
        <v>80</v>
      </c>
      <c r="C33" t="s">
        <v>58</v>
      </c>
      <c r="D33" t="s">
        <v>172</v>
      </c>
      <c r="E33" t="s">
        <v>81</v>
      </c>
      <c r="F33">
        <v>3</v>
      </c>
      <c r="H33">
        <v>3</v>
      </c>
      <c r="I33">
        <v>-3</v>
      </c>
      <c r="J33">
        <v>0</v>
      </c>
      <c r="K33" t="s">
        <v>370</v>
      </c>
    </row>
    <row r="34" spans="1:11" x14ac:dyDescent="0.3">
      <c r="A34" t="s">
        <v>277</v>
      </c>
      <c r="B34" t="s">
        <v>80</v>
      </c>
      <c r="C34" t="s">
        <v>58</v>
      </c>
      <c r="D34" t="s">
        <v>99</v>
      </c>
      <c r="E34" t="s">
        <v>81</v>
      </c>
      <c r="F34">
        <v>2</v>
      </c>
      <c r="H34">
        <v>2</v>
      </c>
      <c r="I34">
        <v>-2</v>
      </c>
      <c r="J34">
        <v>0</v>
      </c>
      <c r="K34" t="s">
        <v>370</v>
      </c>
    </row>
    <row r="35" spans="1:11" x14ac:dyDescent="0.3">
      <c r="A35" t="s">
        <v>277</v>
      </c>
      <c r="B35" t="s">
        <v>80</v>
      </c>
      <c r="C35" t="s">
        <v>58</v>
      </c>
      <c r="D35" t="s">
        <v>95</v>
      </c>
      <c r="E35" t="s">
        <v>81</v>
      </c>
      <c r="F35">
        <v>2</v>
      </c>
      <c r="H35">
        <v>2</v>
      </c>
      <c r="I35">
        <v>-2</v>
      </c>
      <c r="J35">
        <v>0</v>
      </c>
      <c r="K35" t="s">
        <v>370</v>
      </c>
    </row>
    <row r="36" spans="1:11" x14ac:dyDescent="0.3">
      <c r="A36" t="s">
        <v>277</v>
      </c>
      <c r="B36" t="s">
        <v>80</v>
      </c>
      <c r="C36" t="s">
        <v>58</v>
      </c>
      <c r="D36" t="s">
        <v>273</v>
      </c>
      <c r="E36" t="s">
        <v>81</v>
      </c>
      <c r="F36">
        <v>5</v>
      </c>
      <c r="H36">
        <v>5</v>
      </c>
      <c r="I36">
        <v>4</v>
      </c>
      <c r="J36">
        <v>0</v>
      </c>
      <c r="K36" t="s">
        <v>370</v>
      </c>
    </row>
    <row r="37" spans="1:11" x14ac:dyDescent="0.3">
      <c r="A37" t="s">
        <v>277</v>
      </c>
      <c r="B37" t="s">
        <v>80</v>
      </c>
      <c r="C37" t="s">
        <v>58</v>
      </c>
      <c r="D37" t="s">
        <v>97</v>
      </c>
      <c r="E37" t="s">
        <v>81</v>
      </c>
      <c r="F37">
        <v>1</v>
      </c>
      <c r="H37">
        <v>1</v>
      </c>
      <c r="I37">
        <v>-1</v>
      </c>
      <c r="J37">
        <v>0</v>
      </c>
      <c r="K37" t="s">
        <v>370</v>
      </c>
    </row>
    <row r="38" spans="1:11" x14ac:dyDescent="0.3">
      <c r="A38" t="s">
        <v>277</v>
      </c>
      <c r="B38" t="s">
        <v>80</v>
      </c>
      <c r="C38" t="s">
        <v>58</v>
      </c>
      <c r="D38" t="s">
        <v>96</v>
      </c>
      <c r="E38" t="s">
        <v>81</v>
      </c>
      <c r="F38">
        <v>2.5</v>
      </c>
      <c r="H38">
        <v>2.5</v>
      </c>
      <c r="I38">
        <v>-2.5</v>
      </c>
      <c r="J38">
        <v>0</v>
      </c>
      <c r="K38" t="s">
        <v>370</v>
      </c>
    </row>
    <row r="39" spans="1:11" x14ac:dyDescent="0.3">
      <c r="A39" t="s">
        <v>277</v>
      </c>
      <c r="B39" t="s">
        <v>80</v>
      </c>
      <c r="C39" t="s">
        <v>58</v>
      </c>
      <c r="D39" t="s">
        <v>177</v>
      </c>
      <c r="E39" t="s">
        <v>170</v>
      </c>
      <c r="F39">
        <v>0</v>
      </c>
      <c r="H39">
        <v>0</v>
      </c>
      <c r="J39">
        <v>0</v>
      </c>
      <c r="K39" t="s">
        <v>370</v>
      </c>
    </row>
    <row r="40" spans="1:11" x14ac:dyDescent="0.3">
      <c r="A40" t="s">
        <v>277</v>
      </c>
      <c r="B40" t="s">
        <v>80</v>
      </c>
      <c r="C40" t="s">
        <v>58</v>
      </c>
      <c r="D40" t="s">
        <v>178</v>
      </c>
      <c r="E40" t="s">
        <v>170</v>
      </c>
      <c r="F40">
        <v>9</v>
      </c>
      <c r="H40">
        <v>9</v>
      </c>
      <c r="J40">
        <v>9</v>
      </c>
      <c r="K40" t="s">
        <v>370</v>
      </c>
    </row>
    <row r="41" spans="1:11" x14ac:dyDescent="0.3">
      <c r="A41" t="s">
        <v>277</v>
      </c>
      <c r="B41" t="s">
        <v>80</v>
      </c>
      <c r="C41" t="s">
        <v>58</v>
      </c>
      <c r="D41" t="s">
        <v>176</v>
      </c>
      <c r="E41" t="s">
        <v>284</v>
      </c>
      <c r="F41">
        <v>0</v>
      </c>
      <c r="H41">
        <v>0</v>
      </c>
      <c r="J41">
        <v>0</v>
      </c>
      <c r="K41" t="s">
        <v>370</v>
      </c>
    </row>
    <row r="42" spans="1:11" x14ac:dyDescent="0.3">
      <c r="A42" t="s">
        <v>277</v>
      </c>
      <c r="B42" t="s">
        <v>80</v>
      </c>
      <c r="C42" t="s">
        <v>58</v>
      </c>
      <c r="D42" t="s">
        <v>175</v>
      </c>
      <c r="E42" t="s">
        <v>144</v>
      </c>
      <c r="F42">
        <v>9</v>
      </c>
      <c r="H42">
        <v>9</v>
      </c>
      <c r="J42">
        <v>9</v>
      </c>
      <c r="K42" t="s">
        <v>370</v>
      </c>
    </row>
    <row r="43" spans="1:11" x14ac:dyDescent="0.3">
      <c r="A43" t="s">
        <v>277</v>
      </c>
      <c r="B43" t="s">
        <v>80</v>
      </c>
      <c r="C43" t="s">
        <v>70</v>
      </c>
      <c r="D43" t="s">
        <v>101</v>
      </c>
      <c r="E43" t="s">
        <v>81</v>
      </c>
      <c r="F43">
        <v>9</v>
      </c>
      <c r="H43">
        <v>9</v>
      </c>
      <c r="I43">
        <v>-9</v>
      </c>
      <c r="J43">
        <v>0</v>
      </c>
      <c r="K43" t="s">
        <v>370</v>
      </c>
    </row>
    <row r="44" spans="1:11" x14ac:dyDescent="0.3">
      <c r="A44" t="s">
        <v>277</v>
      </c>
      <c r="B44" t="s">
        <v>80</v>
      </c>
      <c r="C44" t="s">
        <v>70</v>
      </c>
      <c r="D44" t="s">
        <v>182</v>
      </c>
      <c r="E44" t="s">
        <v>81</v>
      </c>
      <c r="F44">
        <v>9</v>
      </c>
      <c r="H44">
        <v>9</v>
      </c>
      <c r="I44">
        <v>-5</v>
      </c>
      <c r="J44">
        <v>0</v>
      </c>
      <c r="K44" t="s">
        <v>370</v>
      </c>
    </row>
    <row r="45" spans="1:11" x14ac:dyDescent="0.3">
      <c r="A45" t="s">
        <v>277</v>
      </c>
      <c r="B45" t="s">
        <v>80</v>
      </c>
      <c r="C45" t="s">
        <v>70</v>
      </c>
      <c r="D45" t="s">
        <v>103</v>
      </c>
      <c r="E45" t="s">
        <v>81</v>
      </c>
      <c r="F45">
        <v>7</v>
      </c>
      <c r="H45">
        <v>7</v>
      </c>
      <c r="I45">
        <v>-7</v>
      </c>
      <c r="J45">
        <v>0</v>
      </c>
      <c r="K45" t="s">
        <v>370</v>
      </c>
    </row>
    <row r="46" spans="1:11" x14ac:dyDescent="0.3">
      <c r="A46" t="s">
        <v>277</v>
      </c>
      <c r="B46" t="s">
        <v>80</v>
      </c>
      <c r="C46" t="s">
        <v>70</v>
      </c>
      <c r="D46" t="s">
        <v>104</v>
      </c>
      <c r="E46" t="s">
        <v>81</v>
      </c>
      <c r="F46">
        <v>3</v>
      </c>
      <c r="H46">
        <v>3</v>
      </c>
      <c r="I46">
        <v>-3</v>
      </c>
      <c r="J46">
        <v>0</v>
      </c>
      <c r="K46" t="s">
        <v>370</v>
      </c>
    </row>
    <row r="47" spans="1:11" x14ac:dyDescent="0.3">
      <c r="A47" t="s">
        <v>277</v>
      </c>
      <c r="B47" t="s">
        <v>80</v>
      </c>
      <c r="C47" t="s">
        <v>70</v>
      </c>
      <c r="D47" t="s">
        <v>105</v>
      </c>
      <c r="E47" t="s">
        <v>81</v>
      </c>
      <c r="F47">
        <v>1</v>
      </c>
      <c r="H47">
        <v>1</v>
      </c>
      <c r="I47">
        <v>-1</v>
      </c>
      <c r="J47">
        <v>0</v>
      </c>
      <c r="K47" t="s">
        <v>370</v>
      </c>
    </row>
    <row r="48" spans="1:11" x14ac:dyDescent="0.3">
      <c r="A48" t="s">
        <v>277</v>
      </c>
      <c r="B48" t="s">
        <v>80</v>
      </c>
      <c r="C48" t="s">
        <v>70</v>
      </c>
      <c r="D48" t="s">
        <v>181</v>
      </c>
      <c r="E48" t="s">
        <v>81</v>
      </c>
      <c r="F48">
        <v>2</v>
      </c>
      <c r="H48">
        <v>2</v>
      </c>
      <c r="I48">
        <v>-2</v>
      </c>
      <c r="J48">
        <v>0</v>
      </c>
      <c r="K48" t="s">
        <v>370</v>
      </c>
    </row>
    <row r="49" spans="1:11" x14ac:dyDescent="0.3">
      <c r="A49" t="s">
        <v>277</v>
      </c>
      <c r="B49" t="s">
        <v>80</v>
      </c>
      <c r="C49" t="s">
        <v>70</v>
      </c>
      <c r="D49" t="s">
        <v>183</v>
      </c>
      <c r="E49" t="s">
        <v>144</v>
      </c>
      <c r="F49">
        <v>5</v>
      </c>
      <c r="H49">
        <v>5</v>
      </c>
      <c r="J49">
        <v>5</v>
      </c>
      <c r="K49" t="s">
        <v>370</v>
      </c>
    </row>
    <row r="50" spans="1:11" x14ac:dyDescent="0.3">
      <c r="A50" t="s">
        <v>277</v>
      </c>
      <c r="B50" t="s">
        <v>80</v>
      </c>
      <c r="C50" t="s">
        <v>70</v>
      </c>
      <c r="D50" t="s">
        <v>185</v>
      </c>
      <c r="E50" t="s">
        <v>170</v>
      </c>
      <c r="F50">
        <v>0</v>
      </c>
      <c r="H50">
        <v>0</v>
      </c>
      <c r="J50">
        <v>0</v>
      </c>
      <c r="K50" t="s">
        <v>370</v>
      </c>
    </row>
    <row r="51" spans="1:11" x14ac:dyDescent="0.3">
      <c r="A51" t="s">
        <v>277</v>
      </c>
      <c r="B51" t="s">
        <v>80</v>
      </c>
      <c r="C51" t="s">
        <v>70</v>
      </c>
      <c r="D51" t="s">
        <v>184</v>
      </c>
      <c r="E51" t="s">
        <v>284</v>
      </c>
      <c r="F51">
        <v>0</v>
      </c>
      <c r="H51">
        <v>0</v>
      </c>
      <c r="J51">
        <v>0</v>
      </c>
      <c r="K51" t="s">
        <v>370</v>
      </c>
    </row>
    <row r="52" spans="1:11" x14ac:dyDescent="0.3">
      <c r="A52" t="s">
        <v>277</v>
      </c>
      <c r="B52" t="s">
        <v>80</v>
      </c>
      <c r="C52" t="s">
        <v>70</v>
      </c>
      <c r="D52" t="s">
        <v>186</v>
      </c>
      <c r="E52" t="s">
        <v>144</v>
      </c>
      <c r="F52">
        <v>5</v>
      </c>
      <c r="H52">
        <v>5</v>
      </c>
      <c r="J52">
        <v>5</v>
      </c>
      <c r="K52" t="s">
        <v>370</v>
      </c>
    </row>
    <row r="53" spans="1:11" x14ac:dyDescent="0.3">
      <c r="A53" t="s">
        <v>277</v>
      </c>
      <c r="B53" t="s">
        <v>80</v>
      </c>
      <c r="C53" t="s">
        <v>69</v>
      </c>
      <c r="D53" t="s">
        <v>108</v>
      </c>
      <c r="E53" t="s">
        <v>81</v>
      </c>
      <c r="F53">
        <v>4</v>
      </c>
      <c r="H53">
        <v>4</v>
      </c>
      <c r="I53">
        <v>2</v>
      </c>
      <c r="J53">
        <v>0</v>
      </c>
      <c r="K53" t="s">
        <v>370</v>
      </c>
    </row>
    <row r="54" spans="1:11" x14ac:dyDescent="0.3">
      <c r="A54" t="s">
        <v>277</v>
      </c>
      <c r="B54" t="s">
        <v>80</v>
      </c>
      <c r="C54" t="s">
        <v>69</v>
      </c>
      <c r="D54" t="s">
        <v>109</v>
      </c>
      <c r="E54" t="s">
        <v>81</v>
      </c>
      <c r="F54">
        <v>4</v>
      </c>
      <c r="H54">
        <v>4</v>
      </c>
      <c r="J54">
        <v>0</v>
      </c>
      <c r="K54" t="s">
        <v>370</v>
      </c>
    </row>
    <row r="55" spans="1:11" x14ac:dyDescent="0.3">
      <c r="A55" t="s">
        <v>277</v>
      </c>
      <c r="B55" t="s">
        <v>80</v>
      </c>
      <c r="C55" t="s">
        <v>69</v>
      </c>
      <c r="D55" t="s">
        <v>138</v>
      </c>
      <c r="E55" t="s">
        <v>81</v>
      </c>
      <c r="F55">
        <v>1</v>
      </c>
      <c r="H55">
        <v>1</v>
      </c>
      <c r="I55">
        <v>-1</v>
      </c>
      <c r="J55">
        <v>0</v>
      </c>
      <c r="K55" t="s">
        <v>370</v>
      </c>
    </row>
    <row r="56" spans="1:11" x14ac:dyDescent="0.3">
      <c r="A56" t="s">
        <v>277</v>
      </c>
      <c r="B56" t="s">
        <v>80</v>
      </c>
      <c r="C56" t="s">
        <v>69</v>
      </c>
      <c r="D56" t="s">
        <v>112</v>
      </c>
      <c r="E56" t="s">
        <v>81</v>
      </c>
      <c r="F56">
        <v>7</v>
      </c>
      <c r="H56">
        <v>7</v>
      </c>
      <c r="I56">
        <v>-3</v>
      </c>
      <c r="J56">
        <v>0</v>
      </c>
      <c r="K56" t="s">
        <v>370</v>
      </c>
    </row>
    <row r="57" spans="1:11" x14ac:dyDescent="0.3">
      <c r="A57" t="s">
        <v>277</v>
      </c>
      <c r="B57" t="s">
        <v>80</v>
      </c>
      <c r="C57" t="s">
        <v>69</v>
      </c>
      <c r="D57" t="s">
        <v>106</v>
      </c>
      <c r="E57" t="s">
        <v>65</v>
      </c>
      <c r="F57">
        <v>0.5</v>
      </c>
      <c r="H57">
        <v>0.5</v>
      </c>
      <c r="I57">
        <v>-0.5</v>
      </c>
      <c r="J57">
        <v>0</v>
      </c>
      <c r="K57" t="s">
        <v>370</v>
      </c>
    </row>
    <row r="58" spans="1:11" x14ac:dyDescent="0.3">
      <c r="A58" t="s">
        <v>277</v>
      </c>
      <c r="B58" t="s">
        <v>80</v>
      </c>
      <c r="C58" t="s">
        <v>69</v>
      </c>
      <c r="D58" t="s">
        <v>111</v>
      </c>
      <c r="E58" t="s">
        <v>81</v>
      </c>
      <c r="F58">
        <v>5</v>
      </c>
      <c r="H58">
        <v>5</v>
      </c>
      <c r="J58">
        <v>0</v>
      </c>
      <c r="K58" t="s">
        <v>370</v>
      </c>
    </row>
    <row r="59" spans="1:11" x14ac:dyDescent="0.3">
      <c r="A59" t="s">
        <v>277</v>
      </c>
      <c r="B59" t="s">
        <v>80</v>
      </c>
      <c r="C59" t="s">
        <v>69</v>
      </c>
      <c r="D59" t="s">
        <v>113</v>
      </c>
      <c r="E59" t="s">
        <v>81</v>
      </c>
      <c r="F59">
        <v>3</v>
      </c>
      <c r="H59">
        <v>3</v>
      </c>
      <c r="J59">
        <v>0</v>
      </c>
      <c r="K59" t="s">
        <v>370</v>
      </c>
    </row>
    <row r="60" spans="1:11" x14ac:dyDescent="0.3">
      <c r="A60" t="s">
        <v>277</v>
      </c>
      <c r="B60" t="s">
        <v>80</v>
      </c>
      <c r="C60" t="s">
        <v>69</v>
      </c>
      <c r="D60" t="s">
        <v>187</v>
      </c>
      <c r="E60" t="s">
        <v>81</v>
      </c>
      <c r="F60">
        <v>4</v>
      </c>
      <c r="H60">
        <v>4</v>
      </c>
      <c r="I60">
        <v>-4</v>
      </c>
      <c r="J60">
        <v>0</v>
      </c>
      <c r="K60" t="s">
        <v>370</v>
      </c>
    </row>
    <row r="61" spans="1:11" x14ac:dyDescent="0.3">
      <c r="A61" t="s">
        <v>277</v>
      </c>
      <c r="B61" t="s">
        <v>80</v>
      </c>
      <c r="C61" t="s">
        <v>69</v>
      </c>
      <c r="D61" t="s">
        <v>188</v>
      </c>
      <c r="E61" t="s">
        <v>144</v>
      </c>
      <c r="F61">
        <v>9</v>
      </c>
      <c r="H61">
        <v>9</v>
      </c>
      <c r="J61">
        <v>9</v>
      </c>
      <c r="K61" t="s">
        <v>370</v>
      </c>
    </row>
    <row r="62" spans="1:11" x14ac:dyDescent="0.3">
      <c r="A62" t="s">
        <v>277</v>
      </c>
      <c r="B62" t="s">
        <v>80</v>
      </c>
      <c r="C62" t="s">
        <v>69</v>
      </c>
      <c r="D62" t="s">
        <v>190</v>
      </c>
      <c r="E62" t="s">
        <v>284</v>
      </c>
      <c r="F62">
        <v>0</v>
      </c>
      <c r="H62">
        <v>0</v>
      </c>
      <c r="J62">
        <v>0</v>
      </c>
      <c r="K62" t="s">
        <v>370</v>
      </c>
    </row>
    <row r="63" spans="1:11" x14ac:dyDescent="0.3">
      <c r="A63" t="s">
        <v>277</v>
      </c>
      <c r="B63" t="s">
        <v>80</v>
      </c>
      <c r="C63" t="s">
        <v>69</v>
      </c>
      <c r="D63" t="s">
        <v>189</v>
      </c>
      <c r="E63" t="s">
        <v>170</v>
      </c>
      <c r="F63">
        <v>0</v>
      </c>
      <c r="H63">
        <v>0</v>
      </c>
      <c r="J63">
        <v>0</v>
      </c>
      <c r="K63" t="s">
        <v>370</v>
      </c>
    </row>
    <row r="64" spans="1:11" x14ac:dyDescent="0.3">
      <c r="A64" t="s">
        <v>277</v>
      </c>
      <c r="B64" t="s">
        <v>80</v>
      </c>
      <c r="C64" t="s">
        <v>69</v>
      </c>
      <c r="D64" t="s">
        <v>191</v>
      </c>
      <c r="E64" t="s">
        <v>144</v>
      </c>
      <c r="F64">
        <v>9</v>
      </c>
      <c r="H64">
        <v>9</v>
      </c>
      <c r="J64">
        <v>9</v>
      </c>
      <c r="K64" t="s">
        <v>370</v>
      </c>
    </row>
    <row r="65" spans="1:11" x14ac:dyDescent="0.3">
      <c r="A65" t="s">
        <v>277</v>
      </c>
      <c r="B65" t="s">
        <v>80</v>
      </c>
      <c r="C65" t="s">
        <v>121</v>
      </c>
      <c r="D65" t="s">
        <v>193</v>
      </c>
      <c r="E65" t="s">
        <v>81</v>
      </c>
      <c r="F65">
        <v>4</v>
      </c>
      <c r="H65">
        <v>4</v>
      </c>
      <c r="I65">
        <v>-4</v>
      </c>
      <c r="J65">
        <v>0</v>
      </c>
      <c r="K65" t="s">
        <v>370</v>
      </c>
    </row>
    <row r="66" spans="1:11" x14ac:dyDescent="0.3">
      <c r="A66" t="s">
        <v>277</v>
      </c>
      <c r="B66" t="s">
        <v>80</v>
      </c>
      <c r="C66" t="s">
        <v>121</v>
      </c>
      <c r="D66" t="s">
        <v>192</v>
      </c>
      <c r="E66" t="s">
        <v>81</v>
      </c>
      <c r="F66">
        <v>1</v>
      </c>
      <c r="H66">
        <v>1</v>
      </c>
      <c r="I66">
        <v>-1</v>
      </c>
      <c r="J66">
        <v>0</v>
      </c>
      <c r="K66" t="s">
        <v>370</v>
      </c>
    </row>
    <row r="67" spans="1:11" x14ac:dyDescent="0.3">
      <c r="A67" t="s">
        <v>277</v>
      </c>
      <c r="B67" t="s">
        <v>80</v>
      </c>
      <c r="C67" t="s">
        <v>121</v>
      </c>
      <c r="D67" t="s">
        <v>287</v>
      </c>
      <c r="E67" t="s">
        <v>81</v>
      </c>
      <c r="F67">
        <v>5</v>
      </c>
      <c r="H67">
        <v>5</v>
      </c>
      <c r="I67">
        <v>-5</v>
      </c>
      <c r="J67">
        <v>0</v>
      </c>
      <c r="K67" t="s">
        <v>370</v>
      </c>
    </row>
    <row r="68" spans="1:11" x14ac:dyDescent="0.3">
      <c r="A68" t="s">
        <v>277</v>
      </c>
      <c r="B68" t="s">
        <v>80</v>
      </c>
      <c r="C68" t="s">
        <v>121</v>
      </c>
      <c r="D68" t="s">
        <v>194</v>
      </c>
      <c r="E68" t="s">
        <v>81</v>
      </c>
      <c r="F68">
        <v>5</v>
      </c>
      <c r="H68">
        <v>5</v>
      </c>
      <c r="I68">
        <v>-5</v>
      </c>
      <c r="J68">
        <v>0</v>
      </c>
      <c r="K68" t="s">
        <v>370</v>
      </c>
    </row>
    <row r="69" spans="1:11" x14ac:dyDescent="0.3">
      <c r="A69" t="s">
        <v>277</v>
      </c>
      <c r="B69" t="s">
        <v>80</v>
      </c>
      <c r="C69" t="s">
        <v>121</v>
      </c>
      <c r="D69" t="s">
        <v>286</v>
      </c>
      <c r="E69" t="s">
        <v>81</v>
      </c>
      <c r="F69">
        <v>0</v>
      </c>
      <c r="H69">
        <v>0</v>
      </c>
      <c r="J69">
        <v>0</v>
      </c>
      <c r="K69" t="s">
        <v>370</v>
      </c>
    </row>
    <row r="70" spans="1:11" x14ac:dyDescent="0.3">
      <c r="A70" t="s">
        <v>277</v>
      </c>
      <c r="B70" t="s">
        <v>80</v>
      </c>
      <c r="C70" t="s">
        <v>121</v>
      </c>
      <c r="D70" t="s">
        <v>197</v>
      </c>
      <c r="E70" t="s">
        <v>144</v>
      </c>
      <c r="F70">
        <v>2</v>
      </c>
      <c r="H70">
        <v>2</v>
      </c>
      <c r="J70">
        <v>2</v>
      </c>
      <c r="K70" t="s">
        <v>370</v>
      </c>
    </row>
    <row r="71" spans="1:11" x14ac:dyDescent="0.3">
      <c r="A71" t="s">
        <v>277</v>
      </c>
      <c r="B71" t="s">
        <v>80</v>
      </c>
      <c r="C71" t="s">
        <v>121</v>
      </c>
      <c r="D71" t="s">
        <v>198</v>
      </c>
      <c r="E71" t="s">
        <v>170</v>
      </c>
      <c r="F71">
        <v>0</v>
      </c>
      <c r="H71">
        <v>0</v>
      </c>
      <c r="J71">
        <v>0</v>
      </c>
      <c r="K71" t="s">
        <v>370</v>
      </c>
    </row>
    <row r="72" spans="1:11" x14ac:dyDescent="0.3">
      <c r="A72" t="s">
        <v>277</v>
      </c>
      <c r="B72" t="s">
        <v>80</v>
      </c>
      <c r="C72" t="s">
        <v>121</v>
      </c>
      <c r="D72" t="s">
        <v>195</v>
      </c>
      <c r="E72" t="s">
        <v>144</v>
      </c>
      <c r="F72">
        <v>2</v>
      </c>
      <c r="H72">
        <v>2</v>
      </c>
      <c r="J72">
        <v>2</v>
      </c>
      <c r="K72" t="s">
        <v>370</v>
      </c>
    </row>
    <row r="73" spans="1:11" x14ac:dyDescent="0.3">
      <c r="A73" t="s">
        <v>277</v>
      </c>
      <c r="B73" t="s">
        <v>80</v>
      </c>
      <c r="C73" t="s">
        <v>121</v>
      </c>
      <c r="D73" t="s">
        <v>196</v>
      </c>
      <c r="E73" t="s">
        <v>284</v>
      </c>
      <c r="F73">
        <v>0</v>
      </c>
      <c r="H73">
        <v>0</v>
      </c>
      <c r="J73">
        <v>0</v>
      </c>
      <c r="K73" t="s">
        <v>370</v>
      </c>
    </row>
    <row r="74" spans="1:11" x14ac:dyDescent="0.3">
      <c r="A74" t="s">
        <v>277</v>
      </c>
      <c r="B74" t="s">
        <v>80</v>
      </c>
      <c r="C74" t="s">
        <v>71</v>
      </c>
      <c r="D74" t="s">
        <v>114</v>
      </c>
      <c r="E74" t="s">
        <v>65</v>
      </c>
      <c r="F74">
        <v>3</v>
      </c>
      <c r="H74">
        <v>3</v>
      </c>
      <c r="I74">
        <v>-3</v>
      </c>
      <c r="J74">
        <v>0</v>
      </c>
      <c r="K74" t="s">
        <v>370</v>
      </c>
    </row>
    <row r="75" spans="1:11" x14ac:dyDescent="0.3">
      <c r="A75" t="s">
        <v>277</v>
      </c>
      <c r="B75" t="s">
        <v>80</v>
      </c>
      <c r="C75" t="s">
        <v>71</v>
      </c>
      <c r="D75" t="s">
        <v>116</v>
      </c>
      <c r="E75" t="s">
        <v>81</v>
      </c>
      <c r="F75">
        <v>4</v>
      </c>
      <c r="H75">
        <v>4</v>
      </c>
      <c r="I75">
        <v>-4</v>
      </c>
      <c r="J75">
        <v>0</v>
      </c>
      <c r="K75" t="s">
        <v>370</v>
      </c>
    </row>
    <row r="76" spans="1:11" x14ac:dyDescent="0.3">
      <c r="A76" t="s">
        <v>277</v>
      </c>
      <c r="B76" t="s">
        <v>80</v>
      </c>
      <c r="C76" t="s">
        <v>64</v>
      </c>
      <c r="D76" t="s">
        <v>288</v>
      </c>
      <c r="E76" t="s">
        <v>140</v>
      </c>
      <c r="F76">
        <v>0</v>
      </c>
      <c r="H76">
        <v>0</v>
      </c>
      <c r="J76">
        <v>0</v>
      </c>
      <c r="K76" t="s">
        <v>370</v>
      </c>
    </row>
    <row r="77" spans="1:11" x14ac:dyDescent="0.3">
      <c r="A77" t="s">
        <v>277</v>
      </c>
      <c r="B77" t="s">
        <v>80</v>
      </c>
      <c r="C77" t="s">
        <v>64</v>
      </c>
      <c r="D77" t="s">
        <v>289</v>
      </c>
      <c r="E77" t="s">
        <v>140</v>
      </c>
      <c r="F77">
        <v>0</v>
      </c>
      <c r="H77">
        <v>0</v>
      </c>
      <c r="J77">
        <v>0</v>
      </c>
      <c r="K77" t="s">
        <v>370</v>
      </c>
    </row>
    <row r="78" spans="1:11" x14ac:dyDescent="0.3">
      <c r="A78" t="s">
        <v>277</v>
      </c>
      <c r="B78" t="s">
        <v>80</v>
      </c>
      <c r="C78" t="s">
        <v>64</v>
      </c>
      <c r="D78" t="s">
        <v>290</v>
      </c>
      <c r="E78" t="s">
        <v>140</v>
      </c>
      <c r="F78">
        <v>0</v>
      </c>
      <c r="H78">
        <v>0</v>
      </c>
      <c r="J78">
        <v>0</v>
      </c>
      <c r="K78" t="s">
        <v>370</v>
      </c>
    </row>
    <row r="79" spans="1:11" x14ac:dyDescent="0.3">
      <c r="A79" t="s">
        <v>277</v>
      </c>
      <c r="B79" t="s">
        <v>80</v>
      </c>
      <c r="C79" t="s">
        <v>64</v>
      </c>
      <c r="D79" t="s">
        <v>199</v>
      </c>
      <c r="E79" t="s">
        <v>144</v>
      </c>
      <c r="F79">
        <v>0</v>
      </c>
      <c r="H79">
        <v>0</v>
      </c>
      <c r="J79">
        <v>0</v>
      </c>
      <c r="K79" t="s">
        <v>370</v>
      </c>
    </row>
    <row r="80" spans="1:11" x14ac:dyDescent="0.3">
      <c r="A80" t="s">
        <v>277</v>
      </c>
      <c r="B80" t="s">
        <v>80</v>
      </c>
      <c r="C80" t="s">
        <v>64</v>
      </c>
      <c r="D80" t="s">
        <v>291</v>
      </c>
      <c r="E80" t="s">
        <v>140</v>
      </c>
      <c r="F80">
        <v>0</v>
      </c>
      <c r="H80">
        <v>0</v>
      </c>
      <c r="J80">
        <v>0</v>
      </c>
      <c r="K80" t="s">
        <v>370</v>
      </c>
    </row>
    <row r="81" spans="1:11" x14ac:dyDescent="0.3">
      <c r="A81" t="s">
        <v>277</v>
      </c>
      <c r="B81" t="s">
        <v>80</v>
      </c>
      <c r="C81" t="s">
        <v>64</v>
      </c>
      <c r="D81" t="s">
        <v>292</v>
      </c>
      <c r="E81" t="s">
        <v>140</v>
      </c>
      <c r="F81">
        <v>0</v>
      </c>
      <c r="H81">
        <v>0</v>
      </c>
      <c r="J81">
        <v>0</v>
      </c>
      <c r="K81" t="s">
        <v>370</v>
      </c>
    </row>
    <row r="82" spans="1:11" x14ac:dyDescent="0.3">
      <c r="A82" t="s">
        <v>277</v>
      </c>
      <c r="B82" t="s">
        <v>80</v>
      </c>
      <c r="C82" t="s">
        <v>64</v>
      </c>
      <c r="D82" t="s">
        <v>125</v>
      </c>
      <c r="E82" t="s">
        <v>170</v>
      </c>
      <c r="F82">
        <v>0.5</v>
      </c>
      <c r="H82">
        <v>0.5</v>
      </c>
      <c r="J82">
        <v>0.5</v>
      </c>
      <c r="K82" t="s">
        <v>370</v>
      </c>
    </row>
    <row r="83" spans="1:11" x14ac:dyDescent="0.3">
      <c r="A83" t="s">
        <v>277</v>
      </c>
      <c r="B83" t="s">
        <v>80</v>
      </c>
      <c r="C83" t="s">
        <v>64</v>
      </c>
      <c r="D83" t="s">
        <v>293</v>
      </c>
      <c r="E83" t="s">
        <v>65</v>
      </c>
      <c r="F83">
        <v>0</v>
      </c>
      <c r="H83">
        <v>0</v>
      </c>
      <c r="J83">
        <v>0</v>
      </c>
      <c r="K83" t="s">
        <v>370</v>
      </c>
    </row>
    <row r="84" spans="1:11" x14ac:dyDescent="0.3">
      <c r="A84" t="s">
        <v>277</v>
      </c>
      <c r="B84" t="s">
        <v>80</v>
      </c>
      <c r="C84" t="s">
        <v>64</v>
      </c>
      <c r="D84" t="s">
        <v>202</v>
      </c>
      <c r="E84" t="s">
        <v>284</v>
      </c>
      <c r="F84">
        <v>0</v>
      </c>
      <c r="H84">
        <v>0</v>
      </c>
      <c r="J84">
        <v>0</v>
      </c>
      <c r="K84" t="s">
        <v>370</v>
      </c>
    </row>
    <row r="85" spans="1:11" x14ac:dyDescent="0.3">
      <c r="A85" t="s">
        <v>277</v>
      </c>
      <c r="B85" t="s">
        <v>80</v>
      </c>
      <c r="C85" t="s">
        <v>64</v>
      </c>
      <c r="D85" t="s">
        <v>201</v>
      </c>
      <c r="E85" t="s">
        <v>284</v>
      </c>
      <c r="F85">
        <v>0</v>
      </c>
      <c r="H85">
        <v>0</v>
      </c>
      <c r="J85">
        <v>0</v>
      </c>
      <c r="K85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5D9A-7AD6-4F21-82EF-4949ECDE0F47}">
  <dimension ref="A1:K23"/>
  <sheetViews>
    <sheetView topLeftCell="F34" workbookViewId="0">
      <selection activeCell="C4" sqref="C4"/>
    </sheetView>
  </sheetViews>
  <sheetFormatPr baseColWidth="10" defaultRowHeight="14.4" x14ac:dyDescent="0.3"/>
  <cols>
    <col min="1" max="1" width="34.109375" bestFit="1" customWidth="1"/>
    <col min="2" max="2" width="20.44140625" bestFit="1" customWidth="1"/>
    <col min="3" max="3" width="24.77734375" bestFit="1" customWidth="1"/>
    <col min="4" max="4" width="71.3320312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0.664062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444</v>
      </c>
      <c r="J1" t="s">
        <v>367</v>
      </c>
      <c r="K1" t="s">
        <v>393</v>
      </c>
    </row>
    <row r="2" spans="1:11" x14ac:dyDescent="0.3">
      <c r="A2" t="s">
        <v>306</v>
      </c>
      <c r="B2" t="s">
        <v>80</v>
      </c>
      <c r="C2" t="s">
        <v>21</v>
      </c>
      <c r="D2" t="s">
        <v>297</v>
      </c>
      <c r="E2" t="s">
        <v>144</v>
      </c>
      <c r="F2">
        <v>12</v>
      </c>
      <c r="H2">
        <v>12</v>
      </c>
      <c r="J2">
        <v>12</v>
      </c>
      <c r="K2" t="s">
        <v>370</v>
      </c>
    </row>
    <row r="3" spans="1:11" x14ac:dyDescent="0.3">
      <c r="A3" t="s">
        <v>306</v>
      </c>
      <c r="B3" t="s">
        <v>80</v>
      </c>
      <c r="C3" t="s">
        <v>21</v>
      </c>
      <c r="D3" t="s">
        <v>296</v>
      </c>
      <c r="E3" t="s">
        <v>144</v>
      </c>
      <c r="F3">
        <v>12</v>
      </c>
      <c r="H3">
        <v>12</v>
      </c>
      <c r="J3">
        <v>12</v>
      </c>
      <c r="K3" t="s">
        <v>370</v>
      </c>
    </row>
    <row r="4" spans="1:11" x14ac:dyDescent="0.3">
      <c r="A4" t="s">
        <v>306</v>
      </c>
      <c r="B4" t="s">
        <v>80</v>
      </c>
      <c r="C4" t="s">
        <v>21</v>
      </c>
      <c r="D4" t="s">
        <v>119</v>
      </c>
      <c r="E4" t="s">
        <v>144</v>
      </c>
      <c r="F4">
        <v>0</v>
      </c>
      <c r="H4">
        <v>0</v>
      </c>
      <c r="J4">
        <v>0</v>
      </c>
      <c r="K4" t="s">
        <v>370</v>
      </c>
    </row>
    <row r="5" spans="1:11" x14ac:dyDescent="0.3">
      <c r="A5" t="s">
        <v>306</v>
      </c>
      <c r="B5" t="s">
        <v>80</v>
      </c>
      <c r="C5" t="s">
        <v>21</v>
      </c>
      <c r="D5" t="s">
        <v>89</v>
      </c>
      <c r="E5" t="s">
        <v>144</v>
      </c>
      <c r="F5">
        <v>0</v>
      </c>
      <c r="H5">
        <v>0</v>
      </c>
      <c r="J5">
        <v>0</v>
      </c>
      <c r="K5" t="s">
        <v>370</v>
      </c>
    </row>
    <row r="6" spans="1:11" x14ac:dyDescent="0.3">
      <c r="A6" t="s">
        <v>306</v>
      </c>
      <c r="B6" t="s">
        <v>80</v>
      </c>
      <c r="C6" t="s">
        <v>21</v>
      </c>
      <c r="D6" t="s">
        <v>120</v>
      </c>
      <c r="E6" t="s">
        <v>144</v>
      </c>
      <c r="F6">
        <v>4</v>
      </c>
      <c r="H6">
        <v>4</v>
      </c>
      <c r="J6">
        <v>4</v>
      </c>
      <c r="K6" t="s">
        <v>370</v>
      </c>
    </row>
    <row r="7" spans="1:11" x14ac:dyDescent="0.3">
      <c r="A7" t="s">
        <v>306</v>
      </c>
      <c r="B7" t="s">
        <v>80</v>
      </c>
      <c r="C7" t="s">
        <v>21</v>
      </c>
      <c r="D7" t="s">
        <v>294</v>
      </c>
      <c r="E7" t="s">
        <v>146</v>
      </c>
      <c r="F7">
        <v>0</v>
      </c>
      <c r="H7">
        <v>0</v>
      </c>
      <c r="J7">
        <v>0</v>
      </c>
      <c r="K7" t="s">
        <v>370</v>
      </c>
    </row>
    <row r="8" spans="1:11" x14ac:dyDescent="0.3">
      <c r="A8" t="s">
        <v>306</v>
      </c>
      <c r="B8" t="s">
        <v>80</v>
      </c>
      <c r="C8" t="s">
        <v>21</v>
      </c>
      <c r="D8" t="s">
        <v>295</v>
      </c>
      <c r="E8" t="s">
        <v>144</v>
      </c>
      <c r="F8">
        <v>5</v>
      </c>
      <c r="H8">
        <v>5</v>
      </c>
      <c r="J8">
        <v>5</v>
      </c>
      <c r="K8" t="s">
        <v>370</v>
      </c>
    </row>
    <row r="9" spans="1:11" x14ac:dyDescent="0.3">
      <c r="A9" t="s">
        <v>306</v>
      </c>
      <c r="B9" t="s">
        <v>80</v>
      </c>
      <c r="C9" t="s">
        <v>58</v>
      </c>
      <c r="D9" t="s">
        <v>298</v>
      </c>
      <c r="E9" t="s">
        <v>146</v>
      </c>
      <c r="F9">
        <v>0</v>
      </c>
      <c r="H9">
        <v>0</v>
      </c>
      <c r="J9">
        <v>0</v>
      </c>
      <c r="K9" t="s">
        <v>370</v>
      </c>
    </row>
    <row r="10" spans="1:11" x14ac:dyDescent="0.3">
      <c r="A10" t="s">
        <v>306</v>
      </c>
      <c r="B10" t="s">
        <v>80</v>
      </c>
      <c r="C10" t="s">
        <v>58</v>
      </c>
      <c r="D10" t="s">
        <v>175</v>
      </c>
      <c r="E10" t="s">
        <v>144</v>
      </c>
      <c r="F10">
        <v>9</v>
      </c>
      <c r="H10">
        <v>9</v>
      </c>
      <c r="J10">
        <v>9</v>
      </c>
      <c r="K10" t="s">
        <v>370</v>
      </c>
    </row>
    <row r="11" spans="1:11" x14ac:dyDescent="0.3">
      <c r="A11" t="s">
        <v>306</v>
      </c>
      <c r="B11" t="s">
        <v>80</v>
      </c>
      <c r="C11" t="s">
        <v>70</v>
      </c>
      <c r="D11" t="s">
        <v>153</v>
      </c>
      <c r="E11" t="s">
        <v>144</v>
      </c>
      <c r="F11">
        <v>4</v>
      </c>
      <c r="H11">
        <v>4</v>
      </c>
      <c r="J11">
        <v>4</v>
      </c>
      <c r="K11" t="s">
        <v>370</v>
      </c>
    </row>
    <row r="12" spans="1:11" x14ac:dyDescent="0.3">
      <c r="A12" t="s">
        <v>306</v>
      </c>
      <c r="B12" t="s">
        <v>80</v>
      </c>
      <c r="C12" t="s">
        <v>70</v>
      </c>
      <c r="D12" t="s">
        <v>299</v>
      </c>
      <c r="E12" t="s">
        <v>81</v>
      </c>
      <c r="F12">
        <v>4</v>
      </c>
      <c r="H12">
        <v>4</v>
      </c>
      <c r="I12">
        <v>-4</v>
      </c>
      <c r="J12">
        <v>0</v>
      </c>
      <c r="K12" t="s">
        <v>370</v>
      </c>
    </row>
    <row r="13" spans="1:11" x14ac:dyDescent="0.3">
      <c r="A13" t="s">
        <v>306</v>
      </c>
      <c r="B13" t="s">
        <v>80</v>
      </c>
      <c r="C13" t="s">
        <v>70</v>
      </c>
      <c r="D13" t="s">
        <v>300</v>
      </c>
      <c r="E13" t="s">
        <v>142</v>
      </c>
      <c r="F13">
        <v>0</v>
      </c>
      <c r="H13">
        <v>0</v>
      </c>
      <c r="J13">
        <v>0</v>
      </c>
      <c r="K13" t="s">
        <v>370</v>
      </c>
    </row>
    <row r="14" spans="1:11" x14ac:dyDescent="0.3">
      <c r="A14" t="s">
        <v>306</v>
      </c>
      <c r="B14" t="s">
        <v>80</v>
      </c>
      <c r="C14" t="s">
        <v>70</v>
      </c>
      <c r="D14" t="s">
        <v>301</v>
      </c>
      <c r="E14" t="s">
        <v>146</v>
      </c>
      <c r="F14">
        <v>0</v>
      </c>
      <c r="H14">
        <v>0</v>
      </c>
      <c r="J14">
        <v>0</v>
      </c>
      <c r="K14" t="s">
        <v>370</v>
      </c>
    </row>
    <row r="15" spans="1:11" x14ac:dyDescent="0.3">
      <c r="A15" t="s">
        <v>306</v>
      </c>
      <c r="B15" t="s">
        <v>80</v>
      </c>
      <c r="C15" t="s">
        <v>69</v>
      </c>
      <c r="D15" t="s">
        <v>302</v>
      </c>
      <c r="E15" t="s">
        <v>146</v>
      </c>
      <c r="F15">
        <v>0</v>
      </c>
      <c r="H15">
        <v>0</v>
      </c>
      <c r="J15">
        <v>0</v>
      </c>
      <c r="K15" t="s">
        <v>370</v>
      </c>
    </row>
    <row r="16" spans="1:11" x14ac:dyDescent="0.3">
      <c r="A16" t="s">
        <v>306</v>
      </c>
      <c r="B16" t="s">
        <v>80</v>
      </c>
      <c r="C16" t="s">
        <v>69</v>
      </c>
      <c r="D16" t="s">
        <v>303</v>
      </c>
      <c r="E16" t="s">
        <v>144</v>
      </c>
      <c r="F16">
        <v>5</v>
      </c>
      <c r="H16">
        <v>5</v>
      </c>
      <c r="J16">
        <v>5</v>
      </c>
      <c r="K16" t="s">
        <v>370</v>
      </c>
    </row>
    <row r="17" spans="1:11" x14ac:dyDescent="0.3">
      <c r="A17" t="s">
        <v>306</v>
      </c>
      <c r="B17" t="s">
        <v>80</v>
      </c>
      <c r="C17" t="s">
        <v>121</v>
      </c>
      <c r="D17" t="s">
        <v>305</v>
      </c>
      <c r="E17" t="s">
        <v>144</v>
      </c>
      <c r="F17">
        <v>1</v>
      </c>
      <c r="H17">
        <v>1</v>
      </c>
      <c r="J17">
        <v>1</v>
      </c>
      <c r="K17" t="s">
        <v>370</v>
      </c>
    </row>
    <row r="18" spans="1:11" x14ac:dyDescent="0.3">
      <c r="A18" t="s">
        <v>306</v>
      </c>
      <c r="B18" t="s">
        <v>80</v>
      </c>
      <c r="C18" t="s">
        <v>121</v>
      </c>
      <c r="D18" t="s">
        <v>304</v>
      </c>
      <c r="E18" t="s">
        <v>146</v>
      </c>
      <c r="F18">
        <v>0</v>
      </c>
      <c r="H18">
        <v>0</v>
      </c>
      <c r="J18">
        <v>0</v>
      </c>
      <c r="K18" t="s">
        <v>370</v>
      </c>
    </row>
    <row r="19" spans="1:11" x14ac:dyDescent="0.3">
      <c r="A19" t="s">
        <v>306</v>
      </c>
      <c r="B19" t="s">
        <v>80</v>
      </c>
      <c r="C19" t="s">
        <v>71</v>
      </c>
      <c r="D19" t="s">
        <v>114</v>
      </c>
      <c r="E19" t="s">
        <v>65</v>
      </c>
      <c r="F19">
        <v>0</v>
      </c>
      <c r="H19">
        <v>0</v>
      </c>
      <c r="J19">
        <v>0</v>
      </c>
      <c r="K19" t="s">
        <v>370</v>
      </c>
    </row>
    <row r="20" spans="1:11" x14ac:dyDescent="0.3">
      <c r="A20" t="s">
        <v>306</v>
      </c>
      <c r="B20" t="s">
        <v>80</v>
      </c>
      <c r="C20" t="s">
        <v>71</v>
      </c>
      <c r="D20" t="s">
        <v>115</v>
      </c>
      <c r="E20" t="s">
        <v>81</v>
      </c>
      <c r="F20">
        <v>0</v>
      </c>
      <c r="H20">
        <v>0</v>
      </c>
      <c r="J20">
        <v>0</v>
      </c>
      <c r="K20" t="s">
        <v>370</v>
      </c>
    </row>
    <row r="21" spans="1:11" x14ac:dyDescent="0.3">
      <c r="A21" t="s">
        <v>306</v>
      </c>
      <c r="B21" t="s">
        <v>80</v>
      </c>
      <c r="C21" t="s">
        <v>71</v>
      </c>
      <c r="D21" t="s">
        <v>116</v>
      </c>
      <c r="E21" t="s">
        <v>81</v>
      </c>
      <c r="F21">
        <v>0</v>
      </c>
      <c r="H21">
        <v>0</v>
      </c>
      <c r="J21">
        <v>0</v>
      </c>
      <c r="K21" t="s">
        <v>370</v>
      </c>
    </row>
    <row r="22" spans="1:11" x14ac:dyDescent="0.3">
      <c r="A22" t="s">
        <v>306</v>
      </c>
      <c r="B22" t="s">
        <v>80</v>
      </c>
      <c r="C22" t="s">
        <v>64</v>
      </c>
      <c r="D22" t="s">
        <v>124</v>
      </c>
      <c r="E22" t="s">
        <v>81</v>
      </c>
      <c r="F22">
        <v>0</v>
      </c>
      <c r="H22">
        <v>0</v>
      </c>
      <c r="J22">
        <v>0</v>
      </c>
      <c r="K22" t="s">
        <v>370</v>
      </c>
    </row>
    <row r="23" spans="1:11" x14ac:dyDescent="0.3">
      <c r="A23" t="s">
        <v>306</v>
      </c>
      <c r="B23" t="s">
        <v>80</v>
      </c>
      <c r="C23" t="s">
        <v>64</v>
      </c>
      <c r="D23" t="s">
        <v>125</v>
      </c>
      <c r="E23" t="s">
        <v>142</v>
      </c>
      <c r="F23">
        <v>0</v>
      </c>
      <c r="H23">
        <v>0</v>
      </c>
      <c r="J23">
        <v>0</v>
      </c>
      <c r="K23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F92E-4EBA-4DED-8E0D-6685348AF2BB}">
  <dimension ref="A1:K12"/>
  <sheetViews>
    <sheetView workbookViewId="0">
      <selection activeCell="D9" sqref="D9"/>
    </sheetView>
  </sheetViews>
  <sheetFormatPr baseColWidth="10" defaultRowHeight="14.4" x14ac:dyDescent="0.3"/>
  <cols>
    <col min="1" max="1" width="46.21875" bestFit="1" customWidth="1"/>
    <col min="2" max="2" width="20.44140625" bestFit="1" customWidth="1"/>
    <col min="3" max="3" width="24.77734375" bestFit="1" customWidth="1"/>
    <col min="4" max="4" width="72.109375" bestFit="1" customWidth="1"/>
    <col min="5" max="5" width="37.441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0.664062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444</v>
      </c>
      <c r="J1" t="s">
        <v>367</v>
      </c>
      <c r="K1" t="s">
        <v>393</v>
      </c>
    </row>
    <row r="2" spans="1:11" x14ac:dyDescent="0.3">
      <c r="A2" t="s">
        <v>307</v>
      </c>
      <c r="B2" t="s">
        <v>80</v>
      </c>
      <c r="C2" t="s">
        <v>70</v>
      </c>
      <c r="D2" t="s">
        <v>309</v>
      </c>
      <c r="E2" t="s">
        <v>310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307</v>
      </c>
      <c r="B3" t="s">
        <v>80</v>
      </c>
      <c r="C3" t="s">
        <v>70</v>
      </c>
      <c r="D3" t="s">
        <v>311</v>
      </c>
      <c r="E3" t="s">
        <v>312</v>
      </c>
      <c r="F3">
        <v>0</v>
      </c>
      <c r="H3">
        <v>0</v>
      </c>
      <c r="J3">
        <v>0</v>
      </c>
      <c r="K3" t="s">
        <v>370</v>
      </c>
    </row>
    <row r="4" spans="1:11" x14ac:dyDescent="0.3">
      <c r="A4" t="s">
        <v>307</v>
      </c>
      <c r="B4" t="s">
        <v>80</v>
      </c>
      <c r="C4" t="s">
        <v>70</v>
      </c>
      <c r="D4" t="s">
        <v>313</v>
      </c>
      <c r="E4" t="s">
        <v>314</v>
      </c>
      <c r="F4">
        <v>4</v>
      </c>
      <c r="H4">
        <v>4</v>
      </c>
      <c r="J4">
        <v>4</v>
      </c>
      <c r="K4" t="s">
        <v>370</v>
      </c>
    </row>
    <row r="5" spans="1:11" x14ac:dyDescent="0.3">
      <c r="A5" t="s">
        <v>307</v>
      </c>
      <c r="B5" t="s">
        <v>80</v>
      </c>
      <c r="C5" t="s">
        <v>70</v>
      </c>
      <c r="D5" t="s">
        <v>315</v>
      </c>
      <c r="E5" t="s">
        <v>312</v>
      </c>
      <c r="F5">
        <v>9</v>
      </c>
      <c r="H5">
        <v>9</v>
      </c>
      <c r="J5">
        <v>9</v>
      </c>
      <c r="K5" t="s">
        <v>370</v>
      </c>
    </row>
    <row r="6" spans="1:11" x14ac:dyDescent="0.3">
      <c r="A6" t="s">
        <v>307</v>
      </c>
      <c r="B6" t="s">
        <v>80</v>
      </c>
      <c r="C6" t="s">
        <v>70</v>
      </c>
      <c r="D6" t="s">
        <v>316</v>
      </c>
      <c r="E6" t="s">
        <v>308</v>
      </c>
      <c r="F6">
        <v>1</v>
      </c>
      <c r="H6">
        <v>1</v>
      </c>
      <c r="J6">
        <v>0</v>
      </c>
      <c r="K6" t="s">
        <v>370</v>
      </c>
    </row>
    <row r="7" spans="1:11" x14ac:dyDescent="0.3">
      <c r="A7" t="s">
        <v>307</v>
      </c>
      <c r="B7" t="s">
        <v>80</v>
      </c>
      <c r="C7" t="s">
        <v>70</v>
      </c>
      <c r="D7" t="s">
        <v>317</v>
      </c>
      <c r="E7" t="s">
        <v>308</v>
      </c>
      <c r="F7">
        <v>2</v>
      </c>
      <c r="H7">
        <v>2</v>
      </c>
      <c r="J7">
        <v>0</v>
      </c>
      <c r="K7" t="s">
        <v>370</v>
      </c>
    </row>
    <row r="8" spans="1:11" x14ac:dyDescent="0.3">
      <c r="A8" t="s">
        <v>307</v>
      </c>
      <c r="B8" t="s">
        <v>80</v>
      </c>
      <c r="C8" t="s">
        <v>70</v>
      </c>
      <c r="D8" t="s">
        <v>318</v>
      </c>
      <c r="E8" t="s">
        <v>308</v>
      </c>
      <c r="F8">
        <v>1</v>
      </c>
      <c r="H8">
        <v>1</v>
      </c>
      <c r="J8">
        <v>0</v>
      </c>
      <c r="K8" t="s">
        <v>370</v>
      </c>
    </row>
    <row r="9" spans="1:11" x14ac:dyDescent="0.3">
      <c r="A9" t="s">
        <v>307</v>
      </c>
      <c r="B9" t="s">
        <v>80</v>
      </c>
      <c r="C9" t="s">
        <v>70</v>
      </c>
      <c r="D9" t="s">
        <v>319</v>
      </c>
      <c r="E9" t="s">
        <v>308</v>
      </c>
      <c r="F9">
        <v>2</v>
      </c>
      <c r="H9">
        <v>2</v>
      </c>
      <c r="J9">
        <v>0</v>
      </c>
      <c r="K9" t="s">
        <v>370</v>
      </c>
    </row>
    <row r="10" spans="1:11" x14ac:dyDescent="0.3">
      <c r="A10" t="s">
        <v>307</v>
      </c>
      <c r="B10" t="s">
        <v>80</v>
      </c>
      <c r="C10" t="s">
        <v>64</v>
      </c>
      <c r="D10" t="s">
        <v>124</v>
      </c>
      <c r="E10" t="s">
        <v>308</v>
      </c>
      <c r="F10">
        <v>0.5</v>
      </c>
      <c r="H10">
        <v>0.5</v>
      </c>
      <c r="J10">
        <v>0.5</v>
      </c>
      <c r="K10" t="s">
        <v>370</v>
      </c>
    </row>
    <row r="11" spans="1:11" x14ac:dyDescent="0.3">
      <c r="A11" t="s">
        <v>307</v>
      </c>
      <c r="B11" t="s">
        <v>80</v>
      </c>
      <c r="C11" t="s">
        <v>64</v>
      </c>
      <c r="D11" t="s">
        <v>320</v>
      </c>
      <c r="E11" t="s">
        <v>308</v>
      </c>
      <c r="F11">
        <v>3</v>
      </c>
      <c r="H11">
        <v>3</v>
      </c>
      <c r="J11">
        <v>3</v>
      </c>
      <c r="K11" t="s">
        <v>370</v>
      </c>
    </row>
    <row r="12" spans="1:11" x14ac:dyDescent="0.3">
      <c r="A12" t="s">
        <v>307</v>
      </c>
      <c r="B12" t="s">
        <v>80</v>
      </c>
      <c r="C12" t="s">
        <v>64</v>
      </c>
      <c r="D12" t="s">
        <v>125</v>
      </c>
      <c r="E12" t="s">
        <v>310</v>
      </c>
      <c r="F12">
        <v>0.5</v>
      </c>
      <c r="H12">
        <v>0.5</v>
      </c>
      <c r="J12">
        <v>0.5</v>
      </c>
      <c r="K12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CD5C-6FBF-4AFA-85C1-1D1B86453DB6}">
  <dimension ref="A1:K48"/>
  <sheetViews>
    <sheetView topLeftCell="E1" workbookViewId="0">
      <selection activeCell="F11" sqref="F10:F11"/>
    </sheetView>
  </sheetViews>
  <sheetFormatPr baseColWidth="10" defaultRowHeight="14.4" x14ac:dyDescent="0.3"/>
  <cols>
    <col min="1" max="1" width="25.33203125" bestFit="1" customWidth="1"/>
    <col min="2" max="2" width="20.44140625" bestFit="1" customWidth="1"/>
    <col min="3" max="3" width="24.77734375" bestFit="1" customWidth="1"/>
    <col min="4" max="4" width="71.3320312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0.664062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444</v>
      </c>
      <c r="J1" t="s">
        <v>367</v>
      </c>
      <c r="K1" t="s">
        <v>393</v>
      </c>
    </row>
    <row r="2" spans="1:11" x14ac:dyDescent="0.3">
      <c r="A2" t="s">
        <v>321</v>
      </c>
      <c r="B2" t="s">
        <v>117</v>
      </c>
      <c r="C2" t="s">
        <v>58</v>
      </c>
      <c r="D2" t="s">
        <v>272</v>
      </c>
      <c r="E2" t="s">
        <v>65</v>
      </c>
      <c r="F2">
        <v>3.5</v>
      </c>
      <c r="H2">
        <v>3.5</v>
      </c>
      <c r="J2">
        <v>3.5</v>
      </c>
      <c r="K2" t="s">
        <v>370</v>
      </c>
    </row>
    <row r="3" spans="1:11" x14ac:dyDescent="0.3">
      <c r="A3" t="s">
        <v>321</v>
      </c>
      <c r="B3" t="s">
        <v>117</v>
      </c>
      <c r="C3" t="s">
        <v>58</v>
      </c>
      <c r="D3" t="s">
        <v>90</v>
      </c>
      <c r="E3" t="s">
        <v>65</v>
      </c>
      <c r="F3">
        <v>1</v>
      </c>
      <c r="H3">
        <v>1</v>
      </c>
      <c r="J3">
        <v>1</v>
      </c>
      <c r="K3" t="s">
        <v>370</v>
      </c>
    </row>
    <row r="4" spans="1:11" x14ac:dyDescent="0.3">
      <c r="A4" t="s">
        <v>321</v>
      </c>
      <c r="B4" t="s">
        <v>117</v>
      </c>
      <c r="C4" t="s">
        <v>58</v>
      </c>
      <c r="D4" t="s">
        <v>174</v>
      </c>
      <c r="E4" t="s">
        <v>65</v>
      </c>
      <c r="F4">
        <v>4</v>
      </c>
      <c r="H4">
        <v>4</v>
      </c>
      <c r="J4">
        <v>4</v>
      </c>
      <c r="K4" t="s">
        <v>370</v>
      </c>
    </row>
    <row r="5" spans="1:11" x14ac:dyDescent="0.3">
      <c r="A5" t="s">
        <v>321</v>
      </c>
      <c r="B5" t="s">
        <v>117</v>
      </c>
      <c r="C5" t="s">
        <v>58</v>
      </c>
      <c r="D5" t="s">
        <v>91</v>
      </c>
      <c r="E5" t="s">
        <v>66</v>
      </c>
      <c r="F5">
        <v>3.5</v>
      </c>
      <c r="H5">
        <v>3.5</v>
      </c>
      <c r="J5">
        <v>3.5</v>
      </c>
      <c r="K5" t="s">
        <v>370</v>
      </c>
    </row>
    <row r="6" spans="1:11" x14ac:dyDescent="0.3">
      <c r="A6" t="s">
        <v>321</v>
      </c>
      <c r="B6" t="s">
        <v>117</v>
      </c>
      <c r="C6" t="s">
        <v>58</v>
      </c>
      <c r="D6" t="s">
        <v>135</v>
      </c>
      <c r="E6" t="s">
        <v>66</v>
      </c>
      <c r="F6">
        <v>2</v>
      </c>
      <c r="H6">
        <v>2</v>
      </c>
      <c r="J6">
        <v>2</v>
      </c>
      <c r="K6" t="s">
        <v>370</v>
      </c>
    </row>
    <row r="7" spans="1:11" x14ac:dyDescent="0.3">
      <c r="A7" t="s">
        <v>321</v>
      </c>
      <c r="B7" t="s">
        <v>117</v>
      </c>
      <c r="C7" t="s">
        <v>58</v>
      </c>
      <c r="D7" t="s">
        <v>98</v>
      </c>
      <c r="E7" t="s">
        <v>66</v>
      </c>
      <c r="F7">
        <v>3.5</v>
      </c>
      <c r="H7">
        <v>3.5</v>
      </c>
      <c r="J7">
        <v>3.5</v>
      </c>
      <c r="K7" t="s">
        <v>370</v>
      </c>
    </row>
    <row r="8" spans="1:11" x14ac:dyDescent="0.3">
      <c r="A8" t="s">
        <v>321</v>
      </c>
      <c r="B8" t="s">
        <v>117</v>
      </c>
      <c r="C8" t="s">
        <v>58</v>
      </c>
      <c r="D8" t="s">
        <v>94</v>
      </c>
      <c r="E8" t="s">
        <v>66</v>
      </c>
      <c r="F8">
        <v>2</v>
      </c>
      <c r="H8">
        <v>2</v>
      </c>
      <c r="J8">
        <v>2</v>
      </c>
      <c r="K8" t="s">
        <v>370</v>
      </c>
    </row>
    <row r="9" spans="1:11" x14ac:dyDescent="0.3">
      <c r="A9" t="s">
        <v>321</v>
      </c>
      <c r="B9" t="s">
        <v>117</v>
      </c>
      <c r="C9" t="s">
        <v>58</v>
      </c>
      <c r="D9" t="s">
        <v>271</v>
      </c>
      <c r="E9" t="s">
        <v>66</v>
      </c>
      <c r="F9">
        <v>3</v>
      </c>
      <c r="H9">
        <v>3</v>
      </c>
      <c r="J9">
        <v>3</v>
      </c>
      <c r="K9" t="s">
        <v>370</v>
      </c>
    </row>
    <row r="10" spans="1:11" x14ac:dyDescent="0.3">
      <c r="A10" t="s">
        <v>321</v>
      </c>
      <c r="B10" t="s">
        <v>117</v>
      </c>
      <c r="C10" t="s">
        <v>58</v>
      </c>
      <c r="D10" t="s">
        <v>95</v>
      </c>
      <c r="E10" t="s">
        <v>66</v>
      </c>
      <c r="F10">
        <v>2</v>
      </c>
      <c r="H10">
        <v>2</v>
      </c>
      <c r="J10">
        <v>2</v>
      </c>
      <c r="K10" t="s">
        <v>370</v>
      </c>
    </row>
    <row r="11" spans="1:11" x14ac:dyDescent="0.3">
      <c r="A11" t="s">
        <v>321</v>
      </c>
      <c r="B11" t="s">
        <v>117</v>
      </c>
      <c r="C11" t="s">
        <v>58</v>
      </c>
      <c r="D11" t="s">
        <v>97</v>
      </c>
      <c r="E11" t="s">
        <v>66</v>
      </c>
      <c r="F11">
        <v>1</v>
      </c>
      <c r="H11">
        <v>1</v>
      </c>
      <c r="J11">
        <v>1</v>
      </c>
      <c r="K11" t="s">
        <v>370</v>
      </c>
    </row>
    <row r="12" spans="1:11" x14ac:dyDescent="0.3">
      <c r="A12" t="s">
        <v>321</v>
      </c>
      <c r="B12" t="s">
        <v>117</v>
      </c>
      <c r="C12" t="s">
        <v>58</v>
      </c>
      <c r="D12" t="s">
        <v>96</v>
      </c>
      <c r="E12" t="s">
        <v>66</v>
      </c>
      <c r="F12">
        <v>2.5</v>
      </c>
      <c r="H12">
        <v>2.5</v>
      </c>
      <c r="J12">
        <v>2.5</v>
      </c>
      <c r="K12" t="s">
        <v>370</v>
      </c>
    </row>
    <row r="13" spans="1:11" x14ac:dyDescent="0.3">
      <c r="A13" t="s">
        <v>321</v>
      </c>
      <c r="B13" t="s">
        <v>117</v>
      </c>
      <c r="C13" t="s">
        <v>58</v>
      </c>
      <c r="D13" t="s">
        <v>136</v>
      </c>
      <c r="E13" t="s">
        <v>66</v>
      </c>
      <c r="F13">
        <v>1</v>
      </c>
      <c r="H13">
        <v>1</v>
      </c>
      <c r="J13">
        <v>1</v>
      </c>
      <c r="K13" t="s">
        <v>370</v>
      </c>
    </row>
    <row r="14" spans="1:11" x14ac:dyDescent="0.3">
      <c r="A14" t="s">
        <v>321</v>
      </c>
      <c r="B14" t="s">
        <v>117</v>
      </c>
      <c r="C14" t="s">
        <v>58</v>
      </c>
      <c r="D14" t="s">
        <v>93</v>
      </c>
      <c r="E14" t="s">
        <v>66</v>
      </c>
      <c r="F14">
        <v>2.5</v>
      </c>
      <c r="H14">
        <v>2.5</v>
      </c>
      <c r="J14">
        <v>2.5</v>
      </c>
      <c r="K14" t="s">
        <v>370</v>
      </c>
    </row>
    <row r="15" spans="1:11" x14ac:dyDescent="0.3">
      <c r="A15" t="s">
        <v>321</v>
      </c>
      <c r="B15" t="s">
        <v>117</v>
      </c>
      <c r="C15" t="s">
        <v>58</v>
      </c>
      <c r="D15" t="s">
        <v>273</v>
      </c>
      <c r="E15" t="s">
        <v>65</v>
      </c>
      <c r="F15">
        <v>5</v>
      </c>
      <c r="H15">
        <v>5</v>
      </c>
      <c r="J15">
        <v>5</v>
      </c>
      <c r="K15" t="s">
        <v>370</v>
      </c>
    </row>
    <row r="16" spans="1:11" x14ac:dyDescent="0.3">
      <c r="A16" t="s">
        <v>321</v>
      </c>
      <c r="B16" t="s">
        <v>117</v>
      </c>
      <c r="C16" t="s">
        <v>58</v>
      </c>
      <c r="D16" t="s">
        <v>92</v>
      </c>
      <c r="E16" t="s">
        <v>66</v>
      </c>
      <c r="F16">
        <v>5</v>
      </c>
      <c r="H16">
        <v>5</v>
      </c>
      <c r="J16">
        <v>5</v>
      </c>
      <c r="K16" t="s">
        <v>370</v>
      </c>
    </row>
    <row r="17" spans="1:11" x14ac:dyDescent="0.3">
      <c r="A17" t="s">
        <v>321</v>
      </c>
      <c r="B17" t="s">
        <v>117</v>
      </c>
      <c r="C17" t="s">
        <v>58</v>
      </c>
      <c r="D17" t="s">
        <v>172</v>
      </c>
      <c r="E17" t="s">
        <v>66</v>
      </c>
      <c r="F17">
        <v>3</v>
      </c>
      <c r="H17">
        <v>3</v>
      </c>
      <c r="J17">
        <v>3</v>
      </c>
      <c r="K17" t="s">
        <v>370</v>
      </c>
    </row>
    <row r="18" spans="1:11" x14ac:dyDescent="0.3">
      <c r="A18" t="s">
        <v>321</v>
      </c>
      <c r="B18" t="s">
        <v>117</v>
      </c>
      <c r="C18" t="s">
        <v>58</v>
      </c>
      <c r="D18" t="s">
        <v>322</v>
      </c>
      <c r="E18" t="s">
        <v>65</v>
      </c>
      <c r="F18">
        <v>4</v>
      </c>
      <c r="H18">
        <v>4</v>
      </c>
      <c r="J18">
        <v>4</v>
      </c>
      <c r="K18" t="s">
        <v>370</v>
      </c>
    </row>
    <row r="19" spans="1:11" x14ac:dyDescent="0.3">
      <c r="A19" t="s">
        <v>321</v>
      </c>
      <c r="B19" t="s">
        <v>117</v>
      </c>
      <c r="C19" t="s">
        <v>21</v>
      </c>
      <c r="D19" t="s">
        <v>324</v>
      </c>
      <c r="E19" t="s">
        <v>65</v>
      </c>
      <c r="F19">
        <v>27</v>
      </c>
      <c r="H19">
        <v>27</v>
      </c>
      <c r="I19">
        <v>-8.5</v>
      </c>
      <c r="J19">
        <v>0</v>
      </c>
      <c r="K19" t="s">
        <v>370</v>
      </c>
    </row>
    <row r="20" spans="1:11" x14ac:dyDescent="0.3">
      <c r="A20" t="s">
        <v>321</v>
      </c>
      <c r="B20" t="s">
        <v>117</v>
      </c>
      <c r="C20" t="s">
        <v>21</v>
      </c>
      <c r="D20" t="s">
        <v>230</v>
      </c>
      <c r="E20" t="s">
        <v>65</v>
      </c>
      <c r="F20">
        <v>0</v>
      </c>
      <c r="H20">
        <v>0</v>
      </c>
      <c r="J20">
        <v>0</v>
      </c>
      <c r="K20" t="s">
        <v>370</v>
      </c>
    </row>
    <row r="21" spans="1:11" x14ac:dyDescent="0.3">
      <c r="A21" t="s">
        <v>321</v>
      </c>
      <c r="B21" t="s">
        <v>117</v>
      </c>
      <c r="C21" t="s">
        <v>21</v>
      </c>
      <c r="D21" t="s">
        <v>281</v>
      </c>
      <c r="E21" t="s">
        <v>65</v>
      </c>
      <c r="F21">
        <v>0</v>
      </c>
      <c r="G21">
        <v>6</v>
      </c>
      <c r="H21">
        <v>6</v>
      </c>
      <c r="I21">
        <v>-2</v>
      </c>
      <c r="J21">
        <v>0</v>
      </c>
      <c r="K21" t="s">
        <v>370</v>
      </c>
    </row>
    <row r="22" spans="1:11" x14ac:dyDescent="0.3">
      <c r="A22" t="s">
        <v>321</v>
      </c>
      <c r="B22" t="s">
        <v>117</v>
      </c>
      <c r="C22" t="s">
        <v>21</v>
      </c>
      <c r="D22" t="s">
        <v>325</v>
      </c>
      <c r="E22" t="s">
        <v>66</v>
      </c>
      <c r="F22">
        <v>9</v>
      </c>
      <c r="H22">
        <v>9</v>
      </c>
      <c r="J22">
        <v>9</v>
      </c>
      <c r="K22" t="s">
        <v>370</v>
      </c>
    </row>
    <row r="23" spans="1:11" x14ac:dyDescent="0.3">
      <c r="A23" t="s">
        <v>321</v>
      </c>
      <c r="B23" t="s">
        <v>117</v>
      </c>
      <c r="C23" t="s">
        <v>21</v>
      </c>
      <c r="D23" t="s">
        <v>133</v>
      </c>
      <c r="E23" t="s">
        <v>66</v>
      </c>
      <c r="F23">
        <v>12</v>
      </c>
      <c r="H23">
        <v>12</v>
      </c>
      <c r="J23">
        <v>12</v>
      </c>
      <c r="K23" t="s">
        <v>370</v>
      </c>
    </row>
    <row r="24" spans="1:11" x14ac:dyDescent="0.3">
      <c r="A24" t="s">
        <v>321</v>
      </c>
      <c r="B24" t="s">
        <v>117</v>
      </c>
      <c r="C24" t="s">
        <v>21</v>
      </c>
      <c r="D24" t="s">
        <v>88</v>
      </c>
      <c r="E24" t="s">
        <v>66</v>
      </c>
      <c r="F24">
        <v>18</v>
      </c>
      <c r="H24">
        <v>18</v>
      </c>
      <c r="J24">
        <v>18</v>
      </c>
      <c r="K24" t="s">
        <v>370</v>
      </c>
    </row>
    <row r="25" spans="1:11" x14ac:dyDescent="0.3">
      <c r="A25" t="s">
        <v>321</v>
      </c>
      <c r="B25" t="s">
        <v>117</v>
      </c>
      <c r="C25" t="s">
        <v>21</v>
      </c>
      <c r="D25" t="s">
        <v>130</v>
      </c>
      <c r="E25" t="s">
        <v>66</v>
      </c>
      <c r="F25">
        <v>0</v>
      </c>
      <c r="G25">
        <v>4</v>
      </c>
      <c r="H25">
        <v>4</v>
      </c>
      <c r="J25">
        <v>4</v>
      </c>
      <c r="K25" t="s">
        <v>370</v>
      </c>
    </row>
    <row r="26" spans="1:11" x14ac:dyDescent="0.3">
      <c r="A26" t="s">
        <v>321</v>
      </c>
      <c r="B26" t="s">
        <v>117</v>
      </c>
      <c r="C26" t="s">
        <v>21</v>
      </c>
      <c r="D26" t="s">
        <v>323</v>
      </c>
      <c r="E26" t="s">
        <v>65</v>
      </c>
      <c r="F26">
        <v>4</v>
      </c>
      <c r="H26">
        <v>4</v>
      </c>
      <c r="J26">
        <v>4</v>
      </c>
      <c r="K26" t="s">
        <v>370</v>
      </c>
    </row>
    <row r="27" spans="1:11" x14ac:dyDescent="0.3">
      <c r="A27" t="s">
        <v>321</v>
      </c>
      <c r="B27" t="s">
        <v>117</v>
      </c>
      <c r="C27" t="s">
        <v>21</v>
      </c>
      <c r="D27" t="s">
        <v>119</v>
      </c>
      <c r="E27" t="s">
        <v>66</v>
      </c>
      <c r="F27">
        <v>0</v>
      </c>
      <c r="H27">
        <v>0</v>
      </c>
      <c r="J27">
        <v>0</v>
      </c>
      <c r="K27" t="s">
        <v>370</v>
      </c>
    </row>
    <row r="28" spans="1:11" x14ac:dyDescent="0.3">
      <c r="A28" t="s">
        <v>321</v>
      </c>
      <c r="B28" t="s">
        <v>117</v>
      </c>
      <c r="C28" t="s">
        <v>21</v>
      </c>
      <c r="D28" t="s">
        <v>120</v>
      </c>
      <c r="E28" t="s">
        <v>66</v>
      </c>
      <c r="F28">
        <v>4</v>
      </c>
      <c r="H28">
        <v>4</v>
      </c>
      <c r="J28">
        <v>4</v>
      </c>
      <c r="K28" t="s">
        <v>370</v>
      </c>
    </row>
    <row r="29" spans="1:11" x14ac:dyDescent="0.3">
      <c r="A29" t="s">
        <v>321</v>
      </c>
      <c r="B29" t="s">
        <v>117</v>
      </c>
      <c r="C29" t="s">
        <v>21</v>
      </c>
      <c r="D29" t="s">
        <v>89</v>
      </c>
      <c r="E29" t="s">
        <v>66</v>
      </c>
      <c r="F29">
        <v>0</v>
      </c>
      <c r="H29">
        <v>0</v>
      </c>
      <c r="J29">
        <v>0</v>
      </c>
      <c r="K29" t="s">
        <v>370</v>
      </c>
    </row>
    <row r="30" spans="1:11" x14ac:dyDescent="0.3">
      <c r="A30" t="s">
        <v>321</v>
      </c>
      <c r="B30" t="s">
        <v>117</v>
      </c>
      <c r="C30" t="s">
        <v>121</v>
      </c>
      <c r="D30" t="s">
        <v>327</v>
      </c>
      <c r="E30" t="s">
        <v>66</v>
      </c>
      <c r="F30">
        <v>5</v>
      </c>
      <c r="H30">
        <v>5</v>
      </c>
      <c r="J30">
        <v>5</v>
      </c>
      <c r="K30" t="s">
        <v>370</v>
      </c>
    </row>
    <row r="31" spans="1:11" x14ac:dyDescent="0.3">
      <c r="A31" t="s">
        <v>321</v>
      </c>
      <c r="B31" t="s">
        <v>117</v>
      </c>
      <c r="C31" t="s">
        <v>121</v>
      </c>
      <c r="D31" t="s">
        <v>326</v>
      </c>
      <c r="E31" t="s">
        <v>66</v>
      </c>
      <c r="F31">
        <v>0</v>
      </c>
      <c r="G31">
        <v>2</v>
      </c>
      <c r="H31">
        <v>2</v>
      </c>
      <c r="J31">
        <v>2</v>
      </c>
      <c r="K31" t="s">
        <v>370</v>
      </c>
    </row>
    <row r="32" spans="1:11" x14ac:dyDescent="0.3">
      <c r="A32" t="s">
        <v>321</v>
      </c>
      <c r="B32" t="s">
        <v>117</v>
      </c>
      <c r="C32" t="s">
        <v>70</v>
      </c>
      <c r="D32" t="s">
        <v>100</v>
      </c>
      <c r="E32" t="s">
        <v>65</v>
      </c>
      <c r="F32">
        <v>6</v>
      </c>
      <c r="H32">
        <v>6</v>
      </c>
      <c r="J32">
        <v>6</v>
      </c>
      <c r="K32" t="s">
        <v>370</v>
      </c>
    </row>
    <row r="33" spans="1:11" x14ac:dyDescent="0.3">
      <c r="A33" t="s">
        <v>321</v>
      </c>
      <c r="B33" t="s">
        <v>117</v>
      </c>
      <c r="C33" t="s">
        <v>70</v>
      </c>
      <c r="D33" t="s">
        <v>329</v>
      </c>
      <c r="E33" t="s">
        <v>65</v>
      </c>
      <c r="F33">
        <v>4</v>
      </c>
      <c r="H33">
        <v>4</v>
      </c>
      <c r="J33">
        <v>4</v>
      </c>
      <c r="K33" t="s">
        <v>370</v>
      </c>
    </row>
    <row r="34" spans="1:11" x14ac:dyDescent="0.3">
      <c r="A34" t="s">
        <v>321</v>
      </c>
      <c r="B34" t="s">
        <v>117</v>
      </c>
      <c r="C34" t="s">
        <v>70</v>
      </c>
      <c r="D34" t="s">
        <v>102</v>
      </c>
      <c r="E34" t="s">
        <v>66</v>
      </c>
      <c r="F34">
        <v>9</v>
      </c>
      <c r="H34">
        <v>9</v>
      </c>
      <c r="J34">
        <v>9</v>
      </c>
      <c r="K34" t="s">
        <v>370</v>
      </c>
    </row>
    <row r="35" spans="1:11" x14ac:dyDescent="0.3">
      <c r="A35" t="s">
        <v>321</v>
      </c>
      <c r="B35" t="s">
        <v>117</v>
      </c>
      <c r="C35" t="s">
        <v>70</v>
      </c>
      <c r="D35" t="s">
        <v>101</v>
      </c>
      <c r="E35" t="s">
        <v>66</v>
      </c>
      <c r="F35">
        <v>9</v>
      </c>
      <c r="H35">
        <v>9</v>
      </c>
      <c r="J35">
        <v>9</v>
      </c>
      <c r="K35" t="s">
        <v>370</v>
      </c>
    </row>
    <row r="36" spans="1:11" x14ac:dyDescent="0.3">
      <c r="A36" t="s">
        <v>321</v>
      </c>
      <c r="B36" t="s">
        <v>117</v>
      </c>
      <c r="C36" t="s">
        <v>70</v>
      </c>
      <c r="D36" t="s">
        <v>103</v>
      </c>
      <c r="E36" t="s">
        <v>66</v>
      </c>
      <c r="F36">
        <v>3</v>
      </c>
      <c r="H36">
        <v>3</v>
      </c>
      <c r="J36">
        <v>3</v>
      </c>
      <c r="K36" t="s">
        <v>370</v>
      </c>
    </row>
    <row r="37" spans="1:11" x14ac:dyDescent="0.3">
      <c r="A37" t="s">
        <v>321</v>
      </c>
      <c r="B37" t="s">
        <v>117</v>
      </c>
      <c r="C37" t="s">
        <v>70</v>
      </c>
      <c r="D37" t="s">
        <v>104</v>
      </c>
      <c r="E37" t="s">
        <v>66</v>
      </c>
      <c r="F37">
        <v>6</v>
      </c>
      <c r="H37">
        <v>6</v>
      </c>
      <c r="J37">
        <v>6</v>
      </c>
      <c r="K37" t="s">
        <v>370</v>
      </c>
    </row>
    <row r="38" spans="1:11" x14ac:dyDescent="0.3">
      <c r="A38" t="s">
        <v>321</v>
      </c>
      <c r="B38" t="s">
        <v>117</v>
      </c>
      <c r="C38" t="s">
        <v>70</v>
      </c>
      <c r="D38" t="s">
        <v>328</v>
      </c>
      <c r="E38" t="s">
        <v>66</v>
      </c>
      <c r="F38">
        <v>0</v>
      </c>
      <c r="G38">
        <v>4</v>
      </c>
      <c r="H38">
        <v>4</v>
      </c>
      <c r="J38">
        <v>4</v>
      </c>
      <c r="K38" t="s">
        <v>370</v>
      </c>
    </row>
    <row r="39" spans="1:11" x14ac:dyDescent="0.3">
      <c r="A39" t="s">
        <v>321</v>
      </c>
      <c r="B39" t="s">
        <v>117</v>
      </c>
      <c r="C39" t="s">
        <v>69</v>
      </c>
      <c r="D39" t="s">
        <v>106</v>
      </c>
      <c r="E39" t="s">
        <v>65</v>
      </c>
      <c r="F39">
        <v>0.5</v>
      </c>
      <c r="H39">
        <v>0.5</v>
      </c>
      <c r="J39">
        <v>0.5</v>
      </c>
      <c r="K39" t="s">
        <v>370</v>
      </c>
    </row>
    <row r="40" spans="1:11" x14ac:dyDescent="0.3">
      <c r="A40" t="s">
        <v>321</v>
      </c>
      <c r="B40" t="s">
        <v>117</v>
      </c>
      <c r="C40" t="s">
        <v>69</v>
      </c>
      <c r="D40" t="s">
        <v>108</v>
      </c>
      <c r="E40" t="s">
        <v>66</v>
      </c>
      <c r="F40">
        <v>6</v>
      </c>
      <c r="H40">
        <v>6</v>
      </c>
      <c r="J40">
        <v>6</v>
      </c>
      <c r="K40" t="s">
        <v>370</v>
      </c>
    </row>
    <row r="41" spans="1:11" x14ac:dyDescent="0.3">
      <c r="A41" t="s">
        <v>321</v>
      </c>
      <c r="B41" t="s">
        <v>117</v>
      </c>
      <c r="C41" t="s">
        <v>69</v>
      </c>
      <c r="D41" t="s">
        <v>109</v>
      </c>
      <c r="E41" t="s">
        <v>66</v>
      </c>
      <c r="F41">
        <v>4</v>
      </c>
      <c r="H41">
        <v>4</v>
      </c>
      <c r="J41">
        <v>4</v>
      </c>
      <c r="K41" t="s">
        <v>370</v>
      </c>
    </row>
    <row r="42" spans="1:11" x14ac:dyDescent="0.3">
      <c r="A42" t="s">
        <v>321</v>
      </c>
      <c r="B42" t="s">
        <v>117</v>
      </c>
      <c r="C42" t="s">
        <v>69</v>
      </c>
      <c r="D42" t="s">
        <v>107</v>
      </c>
      <c r="E42" t="s">
        <v>66</v>
      </c>
      <c r="F42">
        <v>5</v>
      </c>
      <c r="H42">
        <v>5</v>
      </c>
      <c r="J42">
        <v>5</v>
      </c>
      <c r="K42" t="s">
        <v>370</v>
      </c>
    </row>
    <row r="43" spans="1:11" x14ac:dyDescent="0.3">
      <c r="A43" t="s">
        <v>321</v>
      </c>
      <c r="B43" t="s">
        <v>117</v>
      </c>
      <c r="C43" t="s">
        <v>69</v>
      </c>
      <c r="D43" t="s">
        <v>138</v>
      </c>
      <c r="E43" t="s">
        <v>66</v>
      </c>
      <c r="F43">
        <v>6</v>
      </c>
      <c r="H43">
        <v>6</v>
      </c>
      <c r="J43">
        <v>6</v>
      </c>
      <c r="K43" t="s">
        <v>370</v>
      </c>
    </row>
    <row r="44" spans="1:11" x14ac:dyDescent="0.3">
      <c r="A44" t="s">
        <v>321</v>
      </c>
      <c r="B44" t="s">
        <v>117</v>
      </c>
      <c r="C44" t="s">
        <v>69</v>
      </c>
      <c r="D44" t="s">
        <v>330</v>
      </c>
      <c r="E44" t="s">
        <v>65</v>
      </c>
      <c r="F44">
        <v>2</v>
      </c>
      <c r="H44">
        <v>2</v>
      </c>
      <c r="J44">
        <v>2</v>
      </c>
      <c r="K44" t="s">
        <v>370</v>
      </c>
    </row>
    <row r="45" spans="1:11" x14ac:dyDescent="0.3">
      <c r="A45" t="s">
        <v>321</v>
      </c>
      <c r="B45" t="s">
        <v>117</v>
      </c>
      <c r="C45" t="s">
        <v>71</v>
      </c>
      <c r="D45" t="s">
        <v>114</v>
      </c>
      <c r="E45" t="s">
        <v>66</v>
      </c>
      <c r="F45">
        <v>3</v>
      </c>
      <c r="H45">
        <v>3</v>
      </c>
      <c r="J45">
        <v>3</v>
      </c>
      <c r="K45" t="s">
        <v>370</v>
      </c>
    </row>
    <row r="46" spans="1:11" x14ac:dyDescent="0.3">
      <c r="A46" t="s">
        <v>321</v>
      </c>
      <c r="B46" t="s">
        <v>117</v>
      </c>
      <c r="C46" t="s">
        <v>71</v>
      </c>
      <c r="D46" t="s">
        <v>116</v>
      </c>
      <c r="E46" t="s">
        <v>66</v>
      </c>
      <c r="F46">
        <v>4</v>
      </c>
      <c r="H46">
        <v>4</v>
      </c>
      <c r="J46">
        <v>4</v>
      </c>
      <c r="K46" t="s">
        <v>370</v>
      </c>
    </row>
    <row r="47" spans="1:11" x14ac:dyDescent="0.3">
      <c r="A47" t="s">
        <v>321</v>
      </c>
      <c r="B47" t="s">
        <v>117</v>
      </c>
      <c r="C47" t="s">
        <v>64</v>
      </c>
      <c r="D47" t="s">
        <v>275</v>
      </c>
      <c r="E47" t="s">
        <v>140</v>
      </c>
      <c r="F47">
        <v>0</v>
      </c>
      <c r="H47">
        <v>0</v>
      </c>
      <c r="J47">
        <v>0</v>
      </c>
      <c r="K47" t="s">
        <v>370</v>
      </c>
    </row>
    <row r="48" spans="1:11" x14ac:dyDescent="0.3">
      <c r="A48" t="s">
        <v>321</v>
      </c>
      <c r="B48" t="s">
        <v>117</v>
      </c>
      <c r="C48" t="s">
        <v>64</v>
      </c>
      <c r="D48" t="s">
        <v>124</v>
      </c>
      <c r="E48" t="s">
        <v>66</v>
      </c>
      <c r="F48">
        <v>0.5</v>
      </c>
      <c r="H48">
        <v>0.5</v>
      </c>
      <c r="J48">
        <v>0.5</v>
      </c>
      <c r="K48" t="s">
        <v>370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0C1C-8594-428E-AB65-D4ACF5431D5B}">
  <dimension ref="A1:K43"/>
  <sheetViews>
    <sheetView topLeftCell="A25" workbookViewId="0"/>
  </sheetViews>
  <sheetFormatPr baseColWidth="10" defaultRowHeight="14.4" x14ac:dyDescent="0.3"/>
  <cols>
    <col min="1" max="1" width="35.5546875" bestFit="1" customWidth="1"/>
    <col min="2" max="2" width="22.88671875" bestFit="1" customWidth="1"/>
    <col min="3" max="3" width="24.77734375" bestFit="1" customWidth="1"/>
    <col min="4" max="4" width="72.8867187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453</v>
      </c>
      <c r="B2" t="s">
        <v>268</v>
      </c>
      <c r="C2" t="s">
        <v>21</v>
      </c>
      <c r="D2" t="s">
        <v>139</v>
      </c>
      <c r="E2" t="s">
        <v>140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453</v>
      </c>
      <c r="B3" t="s">
        <v>268</v>
      </c>
      <c r="C3" t="s">
        <v>21</v>
      </c>
      <c r="D3" t="s">
        <v>454</v>
      </c>
      <c r="E3" t="s">
        <v>269</v>
      </c>
      <c r="F3">
        <v>6.5</v>
      </c>
      <c r="H3">
        <v>6.5</v>
      </c>
      <c r="J3">
        <v>6.5</v>
      </c>
      <c r="K3" t="s">
        <v>370</v>
      </c>
    </row>
    <row r="4" spans="1:11" x14ac:dyDescent="0.3">
      <c r="A4" t="s">
        <v>453</v>
      </c>
      <c r="B4" t="s">
        <v>268</v>
      </c>
      <c r="C4" t="s">
        <v>21</v>
      </c>
      <c r="D4" t="s">
        <v>455</v>
      </c>
      <c r="E4" t="s">
        <v>269</v>
      </c>
      <c r="F4">
        <v>14</v>
      </c>
      <c r="H4">
        <v>14</v>
      </c>
      <c r="J4">
        <v>14</v>
      </c>
      <c r="K4" t="s">
        <v>370</v>
      </c>
    </row>
    <row r="5" spans="1:11" x14ac:dyDescent="0.3">
      <c r="A5" t="s">
        <v>453</v>
      </c>
      <c r="B5" t="s">
        <v>268</v>
      </c>
      <c r="C5" t="s">
        <v>21</v>
      </c>
      <c r="D5" t="s">
        <v>230</v>
      </c>
      <c r="E5" t="s">
        <v>65</v>
      </c>
      <c r="F5">
        <v>4</v>
      </c>
      <c r="H5">
        <v>4</v>
      </c>
      <c r="J5">
        <v>4</v>
      </c>
      <c r="K5" t="s">
        <v>370</v>
      </c>
    </row>
    <row r="6" spans="1:11" x14ac:dyDescent="0.3">
      <c r="A6" t="s">
        <v>453</v>
      </c>
      <c r="B6" t="s">
        <v>268</v>
      </c>
      <c r="C6" t="s">
        <v>21</v>
      </c>
      <c r="D6" t="s">
        <v>456</v>
      </c>
      <c r="E6" t="s">
        <v>269</v>
      </c>
      <c r="F6">
        <v>0</v>
      </c>
      <c r="G6">
        <v>6</v>
      </c>
      <c r="H6">
        <v>6</v>
      </c>
      <c r="J6">
        <v>6</v>
      </c>
      <c r="K6" t="s">
        <v>370</v>
      </c>
    </row>
    <row r="7" spans="1:11" x14ac:dyDescent="0.3">
      <c r="A7" t="s">
        <v>453</v>
      </c>
      <c r="B7" t="s">
        <v>268</v>
      </c>
      <c r="C7" t="s">
        <v>21</v>
      </c>
      <c r="D7" t="s">
        <v>87</v>
      </c>
      <c r="E7" t="s">
        <v>266</v>
      </c>
      <c r="F7">
        <v>3</v>
      </c>
      <c r="H7">
        <v>3</v>
      </c>
      <c r="J7">
        <v>3</v>
      </c>
      <c r="K7" t="s">
        <v>370</v>
      </c>
    </row>
    <row r="8" spans="1:11" x14ac:dyDescent="0.3">
      <c r="A8" t="s">
        <v>453</v>
      </c>
      <c r="B8" t="s">
        <v>268</v>
      </c>
      <c r="C8" t="s">
        <v>21</v>
      </c>
      <c r="D8" t="s">
        <v>280</v>
      </c>
      <c r="E8" t="s">
        <v>266</v>
      </c>
      <c r="F8">
        <v>2</v>
      </c>
      <c r="H8">
        <v>2</v>
      </c>
      <c r="J8">
        <v>2</v>
      </c>
      <c r="K8" t="s">
        <v>370</v>
      </c>
    </row>
    <row r="9" spans="1:11" x14ac:dyDescent="0.3">
      <c r="A9" t="s">
        <v>453</v>
      </c>
      <c r="B9" t="s">
        <v>268</v>
      </c>
      <c r="C9" t="s">
        <v>21</v>
      </c>
      <c r="D9" t="s">
        <v>282</v>
      </c>
      <c r="E9" t="s">
        <v>266</v>
      </c>
      <c r="F9">
        <v>1</v>
      </c>
      <c r="H9">
        <v>1</v>
      </c>
      <c r="J9">
        <v>1</v>
      </c>
      <c r="K9" t="s">
        <v>370</v>
      </c>
    </row>
    <row r="10" spans="1:11" x14ac:dyDescent="0.3">
      <c r="A10" t="s">
        <v>453</v>
      </c>
      <c r="B10" t="s">
        <v>268</v>
      </c>
      <c r="C10" t="s">
        <v>21</v>
      </c>
      <c r="D10" t="s">
        <v>133</v>
      </c>
      <c r="E10" t="s">
        <v>266</v>
      </c>
      <c r="F10">
        <v>4</v>
      </c>
      <c r="H10">
        <v>4</v>
      </c>
      <c r="J10">
        <v>4</v>
      </c>
      <c r="K10" t="s">
        <v>370</v>
      </c>
    </row>
    <row r="11" spans="1:11" x14ac:dyDescent="0.3">
      <c r="A11" t="s">
        <v>453</v>
      </c>
      <c r="B11" t="s">
        <v>268</v>
      </c>
      <c r="C11" t="s">
        <v>21</v>
      </c>
      <c r="D11" t="s">
        <v>457</v>
      </c>
      <c r="E11" t="s">
        <v>266</v>
      </c>
      <c r="F11">
        <v>14</v>
      </c>
      <c r="H11">
        <v>14</v>
      </c>
      <c r="J11">
        <v>14</v>
      </c>
      <c r="K11" t="s">
        <v>370</v>
      </c>
    </row>
    <row r="12" spans="1:11" x14ac:dyDescent="0.3">
      <c r="A12" t="s">
        <v>453</v>
      </c>
      <c r="B12" t="s">
        <v>268</v>
      </c>
      <c r="C12" t="s">
        <v>21</v>
      </c>
      <c r="D12" t="s">
        <v>458</v>
      </c>
      <c r="E12" t="s">
        <v>266</v>
      </c>
      <c r="F12">
        <v>0</v>
      </c>
      <c r="G12">
        <v>2</v>
      </c>
      <c r="H12">
        <v>2</v>
      </c>
      <c r="J12">
        <v>2</v>
      </c>
      <c r="K12" t="s">
        <v>370</v>
      </c>
    </row>
    <row r="13" spans="1:11" x14ac:dyDescent="0.3">
      <c r="A13" t="s">
        <v>453</v>
      </c>
      <c r="B13" t="s">
        <v>268</v>
      </c>
      <c r="C13" t="s">
        <v>21</v>
      </c>
      <c r="D13" t="s">
        <v>459</v>
      </c>
      <c r="E13" t="s">
        <v>266</v>
      </c>
      <c r="F13">
        <v>3</v>
      </c>
      <c r="H13">
        <v>3</v>
      </c>
      <c r="J13">
        <v>3</v>
      </c>
      <c r="K13" t="s">
        <v>370</v>
      </c>
    </row>
    <row r="14" spans="1:11" x14ac:dyDescent="0.3">
      <c r="A14" t="s">
        <v>453</v>
      </c>
      <c r="B14" t="s">
        <v>268</v>
      </c>
      <c r="C14" t="s">
        <v>21</v>
      </c>
      <c r="D14" t="s">
        <v>460</v>
      </c>
      <c r="E14" t="s">
        <v>266</v>
      </c>
      <c r="F14">
        <v>5</v>
      </c>
      <c r="H14">
        <v>5</v>
      </c>
      <c r="J14">
        <v>5</v>
      </c>
      <c r="K14" t="s">
        <v>370</v>
      </c>
    </row>
    <row r="15" spans="1:11" x14ac:dyDescent="0.3">
      <c r="A15" t="s">
        <v>453</v>
      </c>
      <c r="B15" t="s">
        <v>268</v>
      </c>
      <c r="C15" t="s">
        <v>21</v>
      </c>
      <c r="D15" t="s">
        <v>125</v>
      </c>
      <c r="E15" t="s">
        <v>461</v>
      </c>
      <c r="F15">
        <v>0</v>
      </c>
      <c r="H15">
        <v>0</v>
      </c>
      <c r="J15">
        <v>0</v>
      </c>
      <c r="K15" t="s">
        <v>370</v>
      </c>
    </row>
    <row r="16" spans="1:11" x14ac:dyDescent="0.3">
      <c r="A16" t="s">
        <v>453</v>
      </c>
      <c r="B16" t="s">
        <v>268</v>
      </c>
      <c r="C16" t="s">
        <v>58</v>
      </c>
      <c r="D16" t="s">
        <v>223</v>
      </c>
      <c r="E16" t="s">
        <v>266</v>
      </c>
      <c r="F16">
        <v>5</v>
      </c>
      <c r="H16">
        <v>5</v>
      </c>
      <c r="J16">
        <v>5</v>
      </c>
      <c r="K16" t="s">
        <v>370</v>
      </c>
    </row>
    <row r="17" spans="1:11" x14ac:dyDescent="0.3">
      <c r="A17" t="s">
        <v>453</v>
      </c>
      <c r="B17" t="s">
        <v>268</v>
      </c>
      <c r="C17" t="s">
        <v>58</v>
      </c>
      <c r="D17" t="s">
        <v>91</v>
      </c>
      <c r="E17" t="s">
        <v>266</v>
      </c>
      <c r="F17">
        <v>6</v>
      </c>
      <c r="H17">
        <v>6</v>
      </c>
      <c r="J17">
        <v>6</v>
      </c>
      <c r="K17" t="s">
        <v>370</v>
      </c>
    </row>
    <row r="18" spans="1:11" x14ac:dyDescent="0.3">
      <c r="A18" t="s">
        <v>453</v>
      </c>
      <c r="B18" t="s">
        <v>268</v>
      </c>
      <c r="C18" t="s">
        <v>58</v>
      </c>
      <c r="D18" t="s">
        <v>90</v>
      </c>
      <c r="E18" t="s">
        <v>266</v>
      </c>
      <c r="F18">
        <v>2</v>
      </c>
      <c r="H18">
        <v>2</v>
      </c>
      <c r="J18">
        <v>2</v>
      </c>
      <c r="K18" t="s">
        <v>370</v>
      </c>
    </row>
    <row r="19" spans="1:11" x14ac:dyDescent="0.3">
      <c r="A19" t="s">
        <v>453</v>
      </c>
      <c r="B19" t="s">
        <v>268</v>
      </c>
      <c r="C19" t="s">
        <v>58</v>
      </c>
      <c r="D19" t="s">
        <v>227</v>
      </c>
      <c r="E19" t="s">
        <v>266</v>
      </c>
      <c r="F19">
        <v>2</v>
      </c>
      <c r="H19">
        <v>2</v>
      </c>
      <c r="J19">
        <v>2</v>
      </c>
      <c r="K19" t="s">
        <v>370</v>
      </c>
    </row>
    <row r="20" spans="1:11" x14ac:dyDescent="0.3">
      <c r="A20" t="s">
        <v>453</v>
      </c>
      <c r="B20" t="s">
        <v>268</v>
      </c>
      <c r="C20" t="s">
        <v>58</v>
      </c>
      <c r="D20" t="s">
        <v>225</v>
      </c>
      <c r="E20" t="s">
        <v>266</v>
      </c>
      <c r="F20">
        <v>2</v>
      </c>
      <c r="H20">
        <v>2</v>
      </c>
      <c r="J20">
        <v>2</v>
      </c>
      <c r="K20" t="s">
        <v>370</v>
      </c>
    </row>
    <row r="21" spans="1:11" x14ac:dyDescent="0.3">
      <c r="A21" t="s">
        <v>453</v>
      </c>
      <c r="B21" t="s">
        <v>268</v>
      </c>
      <c r="C21" t="s">
        <v>58</v>
      </c>
      <c r="D21" t="s">
        <v>94</v>
      </c>
      <c r="E21" t="s">
        <v>266</v>
      </c>
      <c r="F21">
        <v>2</v>
      </c>
      <c r="H21">
        <v>2</v>
      </c>
      <c r="J21">
        <v>2</v>
      </c>
      <c r="K21" t="s">
        <v>370</v>
      </c>
    </row>
    <row r="22" spans="1:11" x14ac:dyDescent="0.3">
      <c r="A22" t="s">
        <v>453</v>
      </c>
      <c r="B22" t="s">
        <v>268</v>
      </c>
      <c r="C22" t="s">
        <v>58</v>
      </c>
      <c r="D22" t="s">
        <v>462</v>
      </c>
      <c r="E22" t="s">
        <v>266</v>
      </c>
      <c r="F22">
        <v>1</v>
      </c>
      <c r="H22">
        <v>1</v>
      </c>
      <c r="J22">
        <v>1</v>
      </c>
      <c r="K22" t="s">
        <v>370</v>
      </c>
    </row>
    <row r="23" spans="1:11" x14ac:dyDescent="0.3">
      <c r="A23" t="s">
        <v>453</v>
      </c>
      <c r="B23" t="s">
        <v>268</v>
      </c>
      <c r="C23" t="s">
        <v>58</v>
      </c>
      <c r="D23" t="s">
        <v>95</v>
      </c>
      <c r="E23" t="s">
        <v>266</v>
      </c>
      <c r="F23">
        <v>7</v>
      </c>
      <c r="H23">
        <v>7</v>
      </c>
      <c r="J23">
        <v>7</v>
      </c>
      <c r="K23" t="s">
        <v>370</v>
      </c>
    </row>
    <row r="24" spans="1:11" x14ac:dyDescent="0.3">
      <c r="A24" t="s">
        <v>453</v>
      </c>
      <c r="B24" t="s">
        <v>268</v>
      </c>
      <c r="C24" t="s">
        <v>58</v>
      </c>
      <c r="D24" t="s">
        <v>226</v>
      </c>
      <c r="E24" t="s">
        <v>266</v>
      </c>
      <c r="F24">
        <v>5</v>
      </c>
      <c r="H24">
        <v>5</v>
      </c>
      <c r="J24">
        <v>5</v>
      </c>
      <c r="K24" t="s">
        <v>370</v>
      </c>
    </row>
    <row r="25" spans="1:11" x14ac:dyDescent="0.3">
      <c r="A25" t="s">
        <v>453</v>
      </c>
      <c r="B25" t="s">
        <v>268</v>
      </c>
      <c r="C25" t="s">
        <v>58</v>
      </c>
      <c r="D25" t="s">
        <v>98</v>
      </c>
      <c r="E25" t="s">
        <v>266</v>
      </c>
      <c r="F25">
        <v>2</v>
      </c>
      <c r="H25">
        <v>2</v>
      </c>
      <c r="J25">
        <v>2</v>
      </c>
      <c r="K25" t="s">
        <v>370</v>
      </c>
    </row>
    <row r="26" spans="1:11" x14ac:dyDescent="0.3">
      <c r="A26" t="s">
        <v>453</v>
      </c>
      <c r="B26" t="s">
        <v>268</v>
      </c>
      <c r="C26" t="s">
        <v>58</v>
      </c>
      <c r="D26" t="s">
        <v>172</v>
      </c>
      <c r="E26" t="s">
        <v>266</v>
      </c>
      <c r="F26">
        <v>2</v>
      </c>
      <c r="H26">
        <v>2</v>
      </c>
      <c r="J26">
        <v>2</v>
      </c>
      <c r="K26" t="s">
        <v>370</v>
      </c>
    </row>
    <row r="27" spans="1:11" x14ac:dyDescent="0.3">
      <c r="A27" t="s">
        <v>453</v>
      </c>
      <c r="B27" t="s">
        <v>268</v>
      </c>
      <c r="C27" t="s">
        <v>58</v>
      </c>
      <c r="D27" t="s">
        <v>99</v>
      </c>
      <c r="E27" t="s">
        <v>266</v>
      </c>
      <c r="F27">
        <v>1</v>
      </c>
      <c r="H27">
        <v>1</v>
      </c>
      <c r="J27">
        <v>1</v>
      </c>
      <c r="K27" t="s">
        <v>370</v>
      </c>
    </row>
    <row r="28" spans="1:11" x14ac:dyDescent="0.3">
      <c r="A28" t="s">
        <v>453</v>
      </c>
      <c r="B28" t="s">
        <v>268</v>
      </c>
      <c r="C28" t="s">
        <v>58</v>
      </c>
      <c r="D28" t="s">
        <v>463</v>
      </c>
      <c r="E28" t="s">
        <v>266</v>
      </c>
      <c r="F28">
        <v>0</v>
      </c>
      <c r="G28">
        <v>3</v>
      </c>
      <c r="H28">
        <v>3</v>
      </c>
      <c r="J28">
        <v>3</v>
      </c>
      <c r="K28" t="s">
        <v>370</v>
      </c>
    </row>
    <row r="29" spans="1:11" x14ac:dyDescent="0.3">
      <c r="A29" t="s">
        <v>453</v>
      </c>
      <c r="B29" t="s">
        <v>268</v>
      </c>
      <c r="C29" t="s">
        <v>70</v>
      </c>
      <c r="D29" t="s">
        <v>101</v>
      </c>
      <c r="E29" t="s">
        <v>266</v>
      </c>
      <c r="F29">
        <v>9</v>
      </c>
      <c r="H29">
        <v>9</v>
      </c>
      <c r="J29">
        <v>9</v>
      </c>
      <c r="K29" t="s">
        <v>370</v>
      </c>
    </row>
    <row r="30" spans="1:11" x14ac:dyDescent="0.3">
      <c r="A30" t="s">
        <v>453</v>
      </c>
      <c r="B30" t="s">
        <v>268</v>
      </c>
      <c r="C30" t="s">
        <v>70</v>
      </c>
      <c r="D30" t="s">
        <v>182</v>
      </c>
      <c r="E30" t="s">
        <v>266</v>
      </c>
      <c r="F30">
        <v>9</v>
      </c>
      <c r="H30">
        <v>9</v>
      </c>
      <c r="J30">
        <v>9</v>
      </c>
      <c r="K30" t="s">
        <v>370</v>
      </c>
    </row>
    <row r="31" spans="1:11" x14ac:dyDescent="0.3">
      <c r="A31" t="s">
        <v>453</v>
      </c>
      <c r="B31" t="s">
        <v>268</v>
      </c>
      <c r="C31" t="s">
        <v>70</v>
      </c>
      <c r="D31" t="s">
        <v>103</v>
      </c>
      <c r="E31" t="s">
        <v>266</v>
      </c>
      <c r="F31">
        <v>7</v>
      </c>
      <c r="H31">
        <v>7</v>
      </c>
      <c r="J31">
        <v>7</v>
      </c>
      <c r="K31" t="s">
        <v>370</v>
      </c>
    </row>
    <row r="32" spans="1:11" x14ac:dyDescent="0.3">
      <c r="A32" t="s">
        <v>453</v>
      </c>
      <c r="B32" t="s">
        <v>268</v>
      </c>
      <c r="C32" t="s">
        <v>70</v>
      </c>
      <c r="D32" t="s">
        <v>104</v>
      </c>
      <c r="E32" t="s">
        <v>266</v>
      </c>
      <c r="F32">
        <v>3</v>
      </c>
      <c r="H32">
        <v>3</v>
      </c>
      <c r="J32">
        <v>3</v>
      </c>
      <c r="K32" t="s">
        <v>370</v>
      </c>
    </row>
    <row r="33" spans="1:11" x14ac:dyDescent="0.3">
      <c r="A33" t="s">
        <v>453</v>
      </c>
      <c r="B33" t="s">
        <v>268</v>
      </c>
      <c r="C33" t="s">
        <v>70</v>
      </c>
      <c r="D33" t="s">
        <v>464</v>
      </c>
      <c r="E33" t="s">
        <v>266</v>
      </c>
      <c r="F33">
        <v>3</v>
      </c>
      <c r="H33">
        <v>3</v>
      </c>
      <c r="J33">
        <v>3</v>
      </c>
      <c r="K33" t="s">
        <v>370</v>
      </c>
    </row>
    <row r="34" spans="1:11" x14ac:dyDescent="0.3">
      <c r="A34" t="s">
        <v>453</v>
      </c>
      <c r="B34" t="s">
        <v>268</v>
      </c>
      <c r="C34" t="s">
        <v>69</v>
      </c>
      <c r="D34" t="s">
        <v>465</v>
      </c>
      <c r="E34" t="s">
        <v>65</v>
      </c>
      <c r="F34">
        <v>0.5</v>
      </c>
      <c r="H34">
        <v>0.5</v>
      </c>
      <c r="J34">
        <v>0.5</v>
      </c>
      <c r="K34" t="s">
        <v>370</v>
      </c>
    </row>
    <row r="35" spans="1:11" x14ac:dyDescent="0.3">
      <c r="A35" t="s">
        <v>453</v>
      </c>
      <c r="B35" t="s">
        <v>268</v>
      </c>
      <c r="C35" t="s">
        <v>69</v>
      </c>
      <c r="D35" t="s">
        <v>108</v>
      </c>
      <c r="E35" t="s">
        <v>266</v>
      </c>
      <c r="F35">
        <v>3</v>
      </c>
      <c r="H35">
        <v>3</v>
      </c>
      <c r="J35">
        <v>3</v>
      </c>
      <c r="K35" t="s">
        <v>370</v>
      </c>
    </row>
    <row r="36" spans="1:11" x14ac:dyDescent="0.3">
      <c r="A36" t="s">
        <v>453</v>
      </c>
      <c r="B36" t="s">
        <v>268</v>
      </c>
      <c r="C36" t="s">
        <v>69</v>
      </c>
      <c r="D36" t="s">
        <v>109</v>
      </c>
      <c r="E36" t="s">
        <v>266</v>
      </c>
      <c r="F36">
        <v>4</v>
      </c>
      <c r="H36">
        <v>4</v>
      </c>
      <c r="J36">
        <v>4</v>
      </c>
      <c r="K36" t="s">
        <v>370</v>
      </c>
    </row>
    <row r="37" spans="1:11" x14ac:dyDescent="0.3">
      <c r="A37" t="s">
        <v>453</v>
      </c>
      <c r="B37" t="s">
        <v>268</v>
      </c>
      <c r="C37" t="s">
        <v>69</v>
      </c>
      <c r="D37" t="s">
        <v>138</v>
      </c>
      <c r="E37" t="s">
        <v>266</v>
      </c>
      <c r="F37">
        <v>4</v>
      </c>
      <c r="H37">
        <v>4</v>
      </c>
      <c r="J37">
        <v>4</v>
      </c>
      <c r="K37" t="s">
        <v>370</v>
      </c>
    </row>
    <row r="38" spans="1:11" x14ac:dyDescent="0.3">
      <c r="A38" t="s">
        <v>453</v>
      </c>
      <c r="B38" t="s">
        <v>268</v>
      </c>
      <c r="C38" t="s">
        <v>69</v>
      </c>
      <c r="D38" t="s">
        <v>107</v>
      </c>
      <c r="E38" t="s">
        <v>266</v>
      </c>
      <c r="F38">
        <v>4</v>
      </c>
      <c r="H38">
        <v>4</v>
      </c>
      <c r="J38">
        <v>4</v>
      </c>
      <c r="K38" t="s">
        <v>370</v>
      </c>
    </row>
    <row r="39" spans="1:11" x14ac:dyDescent="0.3">
      <c r="A39" t="s">
        <v>453</v>
      </c>
      <c r="B39" t="s">
        <v>268</v>
      </c>
      <c r="C39" t="s">
        <v>69</v>
      </c>
      <c r="D39" t="s">
        <v>466</v>
      </c>
      <c r="E39" t="s">
        <v>266</v>
      </c>
      <c r="F39">
        <v>3</v>
      </c>
      <c r="H39">
        <v>3</v>
      </c>
      <c r="J39">
        <v>3</v>
      </c>
      <c r="K39" t="s">
        <v>370</v>
      </c>
    </row>
    <row r="40" spans="1:11" x14ac:dyDescent="0.3">
      <c r="A40" t="s">
        <v>453</v>
      </c>
      <c r="B40" t="s">
        <v>268</v>
      </c>
      <c r="C40" t="s">
        <v>121</v>
      </c>
      <c r="D40" t="s">
        <v>193</v>
      </c>
      <c r="E40" t="s">
        <v>266</v>
      </c>
      <c r="F40">
        <v>5</v>
      </c>
      <c r="G40">
        <v>0</v>
      </c>
      <c r="H40">
        <v>5</v>
      </c>
      <c r="J40">
        <v>5</v>
      </c>
      <c r="K40" t="s">
        <v>370</v>
      </c>
    </row>
    <row r="41" spans="1:11" x14ac:dyDescent="0.3">
      <c r="A41" t="s">
        <v>453</v>
      </c>
      <c r="B41" t="s">
        <v>268</v>
      </c>
      <c r="C41" t="s">
        <v>121</v>
      </c>
      <c r="D41" t="s">
        <v>467</v>
      </c>
      <c r="E41" t="s">
        <v>266</v>
      </c>
      <c r="F41">
        <v>0</v>
      </c>
      <c r="G41">
        <v>2</v>
      </c>
      <c r="H41">
        <v>2</v>
      </c>
      <c r="J41">
        <v>2</v>
      </c>
      <c r="K41" t="s">
        <v>370</v>
      </c>
    </row>
    <row r="42" spans="1:11" x14ac:dyDescent="0.3">
      <c r="A42" t="s">
        <v>453</v>
      </c>
      <c r="B42" t="s">
        <v>268</v>
      </c>
      <c r="C42" t="s">
        <v>64</v>
      </c>
      <c r="D42" t="s">
        <v>291</v>
      </c>
      <c r="E42" t="s">
        <v>140</v>
      </c>
      <c r="F42">
        <v>0</v>
      </c>
      <c r="G42">
        <v>0</v>
      </c>
      <c r="H42">
        <v>0</v>
      </c>
      <c r="J42">
        <v>0</v>
      </c>
      <c r="K42" t="s">
        <v>370</v>
      </c>
    </row>
    <row r="43" spans="1:11" x14ac:dyDescent="0.3">
      <c r="A43" t="s">
        <v>453</v>
      </c>
      <c r="B43" t="s">
        <v>268</v>
      </c>
      <c r="C43" t="s">
        <v>64</v>
      </c>
      <c r="D43" t="s">
        <v>292</v>
      </c>
      <c r="E43" t="s">
        <v>140</v>
      </c>
      <c r="F43">
        <v>0</v>
      </c>
      <c r="G43">
        <v>0</v>
      </c>
      <c r="H43">
        <v>0</v>
      </c>
      <c r="J43">
        <v>0</v>
      </c>
      <c r="K43" t="s">
        <v>370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BBE3-A6D5-450F-BD69-BD0D6E9A6699}">
  <dimension ref="A1:K76"/>
  <sheetViews>
    <sheetView topLeftCell="A16" workbookViewId="0">
      <selection activeCell="E61" sqref="E61"/>
    </sheetView>
  </sheetViews>
  <sheetFormatPr baseColWidth="10" defaultRowHeight="14.4" x14ac:dyDescent="0.3"/>
  <cols>
    <col min="1" max="1" width="35.109375" bestFit="1" customWidth="1"/>
    <col min="2" max="2" width="20.44140625" bestFit="1" customWidth="1"/>
    <col min="3" max="3" width="24.77734375" bestFit="1" customWidth="1"/>
    <col min="4" max="4" width="73.77734375" bestFit="1" customWidth="1"/>
    <col min="5" max="5" width="51.441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468</v>
      </c>
      <c r="B2" t="s">
        <v>80</v>
      </c>
      <c r="C2" t="s">
        <v>21</v>
      </c>
      <c r="D2" t="s">
        <v>139</v>
      </c>
      <c r="E2" t="s">
        <v>140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468</v>
      </c>
      <c r="B3" t="s">
        <v>80</v>
      </c>
      <c r="C3" t="s">
        <v>21</v>
      </c>
      <c r="D3" t="s">
        <v>469</v>
      </c>
      <c r="E3" t="s">
        <v>140</v>
      </c>
      <c r="F3">
        <v>1</v>
      </c>
      <c r="H3">
        <v>1</v>
      </c>
      <c r="I3">
        <v>7.5</v>
      </c>
      <c r="J3">
        <v>0</v>
      </c>
      <c r="K3" t="s">
        <v>370</v>
      </c>
    </row>
    <row r="4" spans="1:11" x14ac:dyDescent="0.3">
      <c r="A4" t="s">
        <v>468</v>
      </c>
      <c r="B4" t="s">
        <v>80</v>
      </c>
      <c r="C4" t="s">
        <v>21</v>
      </c>
      <c r="D4" t="s">
        <v>455</v>
      </c>
      <c r="E4" t="s">
        <v>65</v>
      </c>
      <c r="F4">
        <v>14</v>
      </c>
      <c r="H4">
        <v>14</v>
      </c>
      <c r="J4">
        <v>5.5</v>
      </c>
      <c r="K4" t="s">
        <v>370</v>
      </c>
    </row>
    <row r="5" spans="1:11" x14ac:dyDescent="0.3">
      <c r="A5" t="s">
        <v>468</v>
      </c>
      <c r="B5" t="s">
        <v>80</v>
      </c>
      <c r="C5" t="s">
        <v>21</v>
      </c>
      <c r="D5" t="s">
        <v>230</v>
      </c>
      <c r="E5" t="s">
        <v>65</v>
      </c>
      <c r="F5">
        <v>4</v>
      </c>
      <c r="H5">
        <v>4</v>
      </c>
      <c r="J5">
        <v>4</v>
      </c>
      <c r="K5" t="s">
        <v>370</v>
      </c>
    </row>
    <row r="6" spans="1:11" x14ac:dyDescent="0.3">
      <c r="A6" t="s">
        <v>468</v>
      </c>
      <c r="B6" t="s">
        <v>80</v>
      </c>
      <c r="C6" t="s">
        <v>21</v>
      </c>
      <c r="D6" t="s">
        <v>456</v>
      </c>
      <c r="E6" t="s">
        <v>269</v>
      </c>
      <c r="F6">
        <v>0</v>
      </c>
      <c r="G6">
        <v>6</v>
      </c>
      <c r="H6">
        <v>6</v>
      </c>
      <c r="J6">
        <v>6</v>
      </c>
      <c r="K6" t="s">
        <v>370</v>
      </c>
    </row>
    <row r="7" spans="1:11" x14ac:dyDescent="0.3">
      <c r="A7" t="s">
        <v>468</v>
      </c>
      <c r="B7" t="s">
        <v>80</v>
      </c>
      <c r="C7" t="s">
        <v>21</v>
      </c>
      <c r="D7" t="s">
        <v>87</v>
      </c>
      <c r="E7" t="s">
        <v>269</v>
      </c>
      <c r="F7">
        <v>3</v>
      </c>
      <c r="H7">
        <v>3</v>
      </c>
      <c r="J7">
        <v>3</v>
      </c>
      <c r="K7" t="s">
        <v>370</v>
      </c>
    </row>
    <row r="8" spans="1:11" x14ac:dyDescent="0.3">
      <c r="A8" t="s">
        <v>468</v>
      </c>
      <c r="B8" t="s">
        <v>80</v>
      </c>
      <c r="C8" t="s">
        <v>21</v>
      </c>
      <c r="D8" t="s">
        <v>133</v>
      </c>
      <c r="E8" t="s">
        <v>81</v>
      </c>
      <c r="F8">
        <v>4</v>
      </c>
      <c r="H8">
        <v>4</v>
      </c>
      <c r="J8">
        <v>4</v>
      </c>
      <c r="K8" t="s">
        <v>370</v>
      </c>
    </row>
    <row r="9" spans="1:11" x14ac:dyDescent="0.3">
      <c r="A9" t="s">
        <v>468</v>
      </c>
      <c r="B9" t="s">
        <v>80</v>
      </c>
      <c r="C9" t="s">
        <v>21</v>
      </c>
      <c r="D9" t="s">
        <v>280</v>
      </c>
      <c r="E9" t="s">
        <v>81</v>
      </c>
      <c r="F9">
        <v>2</v>
      </c>
      <c r="H9">
        <v>2</v>
      </c>
      <c r="J9">
        <v>2</v>
      </c>
      <c r="K9" t="s">
        <v>370</v>
      </c>
    </row>
    <row r="10" spans="1:11" x14ac:dyDescent="0.3">
      <c r="A10" t="s">
        <v>468</v>
      </c>
      <c r="B10" t="s">
        <v>80</v>
      </c>
      <c r="C10" t="s">
        <v>21</v>
      </c>
      <c r="D10" t="s">
        <v>282</v>
      </c>
      <c r="E10" t="s">
        <v>81</v>
      </c>
      <c r="F10">
        <v>1</v>
      </c>
      <c r="H10">
        <v>1</v>
      </c>
      <c r="J10">
        <v>1</v>
      </c>
      <c r="K10" t="s">
        <v>370</v>
      </c>
    </row>
    <row r="11" spans="1:11" x14ac:dyDescent="0.3">
      <c r="A11" t="s">
        <v>468</v>
      </c>
      <c r="B11" t="s">
        <v>80</v>
      </c>
      <c r="C11" t="s">
        <v>21</v>
      </c>
      <c r="D11" t="s">
        <v>118</v>
      </c>
      <c r="E11" t="s">
        <v>81</v>
      </c>
      <c r="F11">
        <v>0.5</v>
      </c>
      <c r="H11">
        <v>0.5</v>
      </c>
      <c r="J11">
        <v>0.5</v>
      </c>
      <c r="K11" t="s">
        <v>370</v>
      </c>
    </row>
    <row r="12" spans="1:11" x14ac:dyDescent="0.3">
      <c r="A12" t="s">
        <v>468</v>
      </c>
      <c r="B12" t="s">
        <v>80</v>
      </c>
      <c r="C12" t="s">
        <v>21</v>
      </c>
      <c r="D12" t="s">
        <v>457</v>
      </c>
      <c r="E12" t="s">
        <v>81</v>
      </c>
      <c r="F12">
        <v>14</v>
      </c>
      <c r="H12">
        <v>14</v>
      </c>
      <c r="J12">
        <v>14</v>
      </c>
      <c r="K12" t="s">
        <v>370</v>
      </c>
    </row>
    <row r="13" spans="1:11" x14ac:dyDescent="0.3">
      <c r="A13" t="s">
        <v>468</v>
      </c>
      <c r="B13" t="s">
        <v>80</v>
      </c>
      <c r="C13" t="s">
        <v>21</v>
      </c>
      <c r="D13" t="s">
        <v>285</v>
      </c>
      <c r="E13" t="s">
        <v>81</v>
      </c>
      <c r="F13">
        <v>1</v>
      </c>
      <c r="H13">
        <v>1</v>
      </c>
      <c r="J13">
        <v>1</v>
      </c>
      <c r="K13" t="s">
        <v>370</v>
      </c>
    </row>
    <row r="14" spans="1:11" x14ac:dyDescent="0.3">
      <c r="A14" t="s">
        <v>468</v>
      </c>
      <c r="B14" t="s">
        <v>80</v>
      </c>
      <c r="C14" t="s">
        <v>21</v>
      </c>
      <c r="D14" t="s">
        <v>204</v>
      </c>
      <c r="E14" t="s">
        <v>81</v>
      </c>
      <c r="F14">
        <v>2</v>
      </c>
      <c r="H14">
        <v>2</v>
      </c>
      <c r="J14">
        <v>2</v>
      </c>
      <c r="K14" t="s">
        <v>370</v>
      </c>
    </row>
    <row r="15" spans="1:11" x14ac:dyDescent="0.3">
      <c r="A15" t="s">
        <v>468</v>
      </c>
      <c r="B15" t="s">
        <v>80</v>
      </c>
      <c r="C15" t="s">
        <v>21</v>
      </c>
      <c r="D15" t="s">
        <v>283</v>
      </c>
      <c r="E15" t="s">
        <v>81</v>
      </c>
      <c r="F15">
        <v>0.5</v>
      </c>
      <c r="H15">
        <v>0.5</v>
      </c>
      <c r="J15">
        <v>0.5</v>
      </c>
      <c r="K15" t="s">
        <v>370</v>
      </c>
    </row>
    <row r="16" spans="1:11" x14ac:dyDescent="0.3">
      <c r="A16" t="s">
        <v>468</v>
      </c>
      <c r="B16" t="s">
        <v>80</v>
      </c>
      <c r="C16" t="s">
        <v>21</v>
      </c>
      <c r="D16" t="s">
        <v>279</v>
      </c>
      <c r="E16" t="s">
        <v>140</v>
      </c>
      <c r="F16">
        <v>0</v>
      </c>
      <c r="H16">
        <v>0</v>
      </c>
      <c r="J16">
        <v>0</v>
      </c>
      <c r="K16" t="s">
        <v>370</v>
      </c>
    </row>
    <row r="17" spans="1:11" x14ac:dyDescent="0.3">
      <c r="A17" t="s">
        <v>468</v>
      </c>
      <c r="B17" t="s">
        <v>80</v>
      </c>
      <c r="C17" t="s">
        <v>21</v>
      </c>
      <c r="D17" t="s">
        <v>459</v>
      </c>
      <c r="E17" t="s">
        <v>81</v>
      </c>
      <c r="F17">
        <v>3</v>
      </c>
      <c r="H17">
        <v>3</v>
      </c>
      <c r="J17">
        <v>3</v>
      </c>
      <c r="K17" t="s">
        <v>370</v>
      </c>
    </row>
    <row r="18" spans="1:11" x14ac:dyDescent="0.3">
      <c r="A18" t="s">
        <v>468</v>
      </c>
      <c r="B18" t="s">
        <v>80</v>
      </c>
      <c r="C18" t="s">
        <v>21</v>
      </c>
      <c r="D18" t="s">
        <v>169</v>
      </c>
      <c r="E18" t="s">
        <v>144</v>
      </c>
      <c r="F18">
        <v>5</v>
      </c>
      <c r="H18">
        <v>5</v>
      </c>
      <c r="J18">
        <v>5</v>
      </c>
      <c r="K18" t="s">
        <v>370</v>
      </c>
    </row>
    <row r="19" spans="1:11" x14ac:dyDescent="0.3">
      <c r="A19" t="s">
        <v>468</v>
      </c>
      <c r="B19" t="s">
        <v>80</v>
      </c>
      <c r="C19" t="s">
        <v>21</v>
      </c>
      <c r="D19" t="s">
        <v>171</v>
      </c>
      <c r="E19" t="s">
        <v>170</v>
      </c>
      <c r="F19">
        <v>0</v>
      </c>
      <c r="H19">
        <v>0</v>
      </c>
      <c r="J19">
        <v>0</v>
      </c>
      <c r="K19" t="s">
        <v>370</v>
      </c>
    </row>
    <row r="20" spans="1:11" x14ac:dyDescent="0.3">
      <c r="A20" t="s">
        <v>468</v>
      </c>
      <c r="B20" t="s">
        <v>80</v>
      </c>
      <c r="C20" t="s">
        <v>21</v>
      </c>
      <c r="D20" t="s">
        <v>166</v>
      </c>
      <c r="E20" t="s">
        <v>144</v>
      </c>
      <c r="F20">
        <v>5</v>
      </c>
      <c r="H20">
        <v>5</v>
      </c>
      <c r="J20">
        <v>5</v>
      </c>
      <c r="K20" t="s">
        <v>370</v>
      </c>
    </row>
    <row r="21" spans="1:11" x14ac:dyDescent="0.3">
      <c r="A21" t="s">
        <v>468</v>
      </c>
      <c r="B21" t="s">
        <v>80</v>
      </c>
      <c r="C21" t="s">
        <v>21</v>
      </c>
      <c r="D21" t="s">
        <v>470</v>
      </c>
      <c r="E21" t="s">
        <v>144</v>
      </c>
      <c r="F21">
        <v>0</v>
      </c>
      <c r="H21">
        <v>0</v>
      </c>
      <c r="J21">
        <v>0</v>
      </c>
      <c r="K21" t="s">
        <v>370</v>
      </c>
    </row>
    <row r="22" spans="1:11" x14ac:dyDescent="0.3">
      <c r="A22" t="s">
        <v>468</v>
      </c>
      <c r="B22" t="s">
        <v>80</v>
      </c>
      <c r="C22" t="s">
        <v>21</v>
      </c>
      <c r="D22" t="s">
        <v>200</v>
      </c>
      <c r="E22" t="s">
        <v>144</v>
      </c>
      <c r="F22">
        <v>0</v>
      </c>
      <c r="H22">
        <v>0</v>
      </c>
      <c r="J22">
        <v>0</v>
      </c>
      <c r="K22" t="s">
        <v>370</v>
      </c>
    </row>
    <row r="23" spans="1:11" x14ac:dyDescent="0.3">
      <c r="A23" t="s">
        <v>468</v>
      </c>
      <c r="B23" t="s">
        <v>80</v>
      </c>
      <c r="C23" t="s">
        <v>21</v>
      </c>
      <c r="D23" t="s">
        <v>125</v>
      </c>
      <c r="E23" t="s">
        <v>144</v>
      </c>
      <c r="F23">
        <v>0</v>
      </c>
      <c r="H23">
        <v>0</v>
      </c>
      <c r="J23">
        <v>0</v>
      </c>
      <c r="K23" t="s">
        <v>370</v>
      </c>
    </row>
    <row r="24" spans="1:11" x14ac:dyDescent="0.3">
      <c r="A24" t="s">
        <v>468</v>
      </c>
      <c r="B24" t="s">
        <v>80</v>
      </c>
      <c r="C24" t="s">
        <v>21</v>
      </c>
      <c r="D24" t="s">
        <v>168</v>
      </c>
      <c r="E24" t="s">
        <v>144</v>
      </c>
      <c r="F24">
        <v>0</v>
      </c>
      <c r="H24">
        <v>0</v>
      </c>
      <c r="J24">
        <v>0</v>
      </c>
      <c r="K24" t="s">
        <v>370</v>
      </c>
    </row>
    <row r="25" spans="1:11" x14ac:dyDescent="0.3">
      <c r="A25" t="s">
        <v>468</v>
      </c>
      <c r="B25" t="s">
        <v>80</v>
      </c>
      <c r="C25" t="s">
        <v>21</v>
      </c>
      <c r="D25" t="s">
        <v>167</v>
      </c>
      <c r="E25" t="s">
        <v>144</v>
      </c>
      <c r="F25">
        <v>5</v>
      </c>
      <c r="H25">
        <v>5</v>
      </c>
      <c r="J25">
        <v>5</v>
      </c>
      <c r="K25" t="s">
        <v>370</v>
      </c>
    </row>
    <row r="26" spans="1:11" x14ac:dyDescent="0.3">
      <c r="A26" t="s">
        <v>468</v>
      </c>
      <c r="B26" t="s">
        <v>80</v>
      </c>
      <c r="C26" t="s">
        <v>21</v>
      </c>
      <c r="D26" t="s">
        <v>201</v>
      </c>
      <c r="E26" t="s">
        <v>83</v>
      </c>
      <c r="F26">
        <v>0</v>
      </c>
      <c r="H26">
        <v>0</v>
      </c>
      <c r="J26">
        <v>0</v>
      </c>
      <c r="K26" t="s">
        <v>370</v>
      </c>
    </row>
    <row r="27" spans="1:11" x14ac:dyDescent="0.3">
      <c r="A27" t="s">
        <v>468</v>
      </c>
      <c r="B27" t="s">
        <v>80</v>
      </c>
      <c r="C27" t="s">
        <v>21</v>
      </c>
      <c r="D27" t="s">
        <v>202</v>
      </c>
      <c r="E27" t="s">
        <v>83</v>
      </c>
      <c r="F27">
        <v>0</v>
      </c>
      <c r="H27">
        <v>0</v>
      </c>
      <c r="J27">
        <v>0</v>
      </c>
      <c r="K27" t="s">
        <v>370</v>
      </c>
    </row>
    <row r="28" spans="1:11" x14ac:dyDescent="0.3">
      <c r="A28" t="s">
        <v>468</v>
      </c>
      <c r="B28" t="s">
        <v>80</v>
      </c>
      <c r="C28" t="s">
        <v>58</v>
      </c>
      <c r="D28" t="s">
        <v>90</v>
      </c>
      <c r="E28" t="s">
        <v>81</v>
      </c>
      <c r="F28">
        <v>2</v>
      </c>
      <c r="H28">
        <v>2</v>
      </c>
      <c r="J28">
        <v>2</v>
      </c>
      <c r="K28" t="s">
        <v>370</v>
      </c>
    </row>
    <row r="29" spans="1:11" x14ac:dyDescent="0.3">
      <c r="A29" t="s">
        <v>468</v>
      </c>
      <c r="B29" t="s">
        <v>80</v>
      </c>
      <c r="C29" t="s">
        <v>58</v>
      </c>
      <c r="D29" t="s">
        <v>223</v>
      </c>
      <c r="E29" t="s">
        <v>81</v>
      </c>
      <c r="F29">
        <v>5</v>
      </c>
      <c r="H29">
        <v>5</v>
      </c>
      <c r="J29">
        <v>5</v>
      </c>
      <c r="K29" t="s">
        <v>370</v>
      </c>
    </row>
    <row r="30" spans="1:11" x14ac:dyDescent="0.3">
      <c r="A30" t="s">
        <v>468</v>
      </c>
      <c r="B30" t="s">
        <v>80</v>
      </c>
      <c r="C30" t="s">
        <v>58</v>
      </c>
      <c r="D30" t="s">
        <v>91</v>
      </c>
      <c r="E30" t="s">
        <v>65</v>
      </c>
      <c r="F30">
        <v>6</v>
      </c>
      <c r="H30">
        <v>6</v>
      </c>
      <c r="J30">
        <v>6</v>
      </c>
      <c r="K30" t="s">
        <v>370</v>
      </c>
    </row>
    <row r="31" spans="1:11" x14ac:dyDescent="0.3">
      <c r="A31" t="s">
        <v>468</v>
      </c>
      <c r="B31" t="s">
        <v>80</v>
      </c>
      <c r="C31" t="s">
        <v>58</v>
      </c>
      <c r="D31" t="s">
        <v>225</v>
      </c>
      <c r="E31" t="s">
        <v>81</v>
      </c>
      <c r="F31">
        <v>2</v>
      </c>
      <c r="H31">
        <v>2</v>
      </c>
      <c r="J31">
        <v>2</v>
      </c>
      <c r="K31" t="s">
        <v>370</v>
      </c>
    </row>
    <row r="32" spans="1:11" x14ac:dyDescent="0.3">
      <c r="A32" t="s">
        <v>468</v>
      </c>
      <c r="B32" t="s">
        <v>80</v>
      </c>
      <c r="C32" t="s">
        <v>58</v>
      </c>
      <c r="D32" t="s">
        <v>227</v>
      </c>
      <c r="E32" t="s">
        <v>65</v>
      </c>
      <c r="F32">
        <v>2</v>
      </c>
      <c r="H32">
        <v>2</v>
      </c>
      <c r="J32">
        <v>2</v>
      </c>
      <c r="K32" t="s">
        <v>370</v>
      </c>
    </row>
    <row r="33" spans="1:11" x14ac:dyDescent="0.3">
      <c r="A33" t="s">
        <v>468</v>
      </c>
      <c r="B33" t="s">
        <v>80</v>
      </c>
      <c r="C33" t="s">
        <v>58</v>
      </c>
      <c r="D33" t="s">
        <v>462</v>
      </c>
      <c r="E33" t="s">
        <v>81</v>
      </c>
      <c r="F33">
        <v>1</v>
      </c>
      <c r="H33">
        <v>1</v>
      </c>
      <c r="J33">
        <v>1</v>
      </c>
      <c r="K33" t="s">
        <v>370</v>
      </c>
    </row>
    <row r="34" spans="1:11" x14ac:dyDescent="0.3">
      <c r="A34" t="s">
        <v>468</v>
      </c>
      <c r="B34" t="s">
        <v>80</v>
      </c>
      <c r="C34" t="s">
        <v>58</v>
      </c>
      <c r="D34" t="s">
        <v>94</v>
      </c>
      <c r="E34" t="s">
        <v>81</v>
      </c>
      <c r="F34">
        <v>2</v>
      </c>
      <c r="H34">
        <v>2</v>
      </c>
      <c r="J34">
        <v>2</v>
      </c>
      <c r="K34" t="s">
        <v>370</v>
      </c>
    </row>
    <row r="35" spans="1:11" x14ac:dyDescent="0.3">
      <c r="A35" t="s">
        <v>468</v>
      </c>
      <c r="B35" t="s">
        <v>80</v>
      </c>
      <c r="C35" t="s">
        <v>58</v>
      </c>
      <c r="D35" t="s">
        <v>95</v>
      </c>
      <c r="E35" t="s">
        <v>81</v>
      </c>
      <c r="F35">
        <v>7</v>
      </c>
      <c r="H35">
        <v>7</v>
      </c>
      <c r="J35">
        <v>7</v>
      </c>
      <c r="K35" t="s">
        <v>370</v>
      </c>
    </row>
    <row r="36" spans="1:11" x14ac:dyDescent="0.3">
      <c r="A36" t="s">
        <v>468</v>
      </c>
      <c r="B36" t="s">
        <v>80</v>
      </c>
      <c r="C36" t="s">
        <v>58</v>
      </c>
      <c r="D36" t="s">
        <v>226</v>
      </c>
      <c r="E36" t="s">
        <v>81</v>
      </c>
      <c r="F36">
        <v>5</v>
      </c>
      <c r="H36">
        <v>5</v>
      </c>
      <c r="J36">
        <v>5</v>
      </c>
      <c r="K36" t="s">
        <v>370</v>
      </c>
    </row>
    <row r="37" spans="1:11" x14ac:dyDescent="0.3">
      <c r="A37" t="s">
        <v>468</v>
      </c>
      <c r="B37" t="s">
        <v>80</v>
      </c>
      <c r="C37" t="s">
        <v>58</v>
      </c>
      <c r="D37" t="s">
        <v>98</v>
      </c>
      <c r="E37" t="s">
        <v>81</v>
      </c>
      <c r="F37">
        <v>2</v>
      </c>
      <c r="H37">
        <v>2</v>
      </c>
      <c r="J37">
        <v>2</v>
      </c>
      <c r="K37" t="s">
        <v>370</v>
      </c>
    </row>
    <row r="38" spans="1:11" x14ac:dyDescent="0.3">
      <c r="A38" t="s">
        <v>468</v>
      </c>
      <c r="B38" t="s">
        <v>80</v>
      </c>
      <c r="C38" t="s">
        <v>58</v>
      </c>
      <c r="D38" t="s">
        <v>99</v>
      </c>
      <c r="E38" t="s">
        <v>81</v>
      </c>
      <c r="F38">
        <v>1</v>
      </c>
      <c r="H38">
        <v>1</v>
      </c>
      <c r="J38">
        <v>1</v>
      </c>
      <c r="K38" t="s">
        <v>370</v>
      </c>
    </row>
    <row r="39" spans="1:11" x14ac:dyDescent="0.3">
      <c r="A39" t="s">
        <v>468</v>
      </c>
      <c r="B39" t="s">
        <v>80</v>
      </c>
      <c r="C39" t="s">
        <v>58</v>
      </c>
      <c r="D39" t="s">
        <v>172</v>
      </c>
      <c r="E39" t="s">
        <v>81</v>
      </c>
      <c r="F39">
        <v>2</v>
      </c>
      <c r="H39">
        <v>2</v>
      </c>
      <c r="J39">
        <v>2</v>
      </c>
      <c r="K39" t="s">
        <v>370</v>
      </c>
    </row>
    <row r="40" spans="1:11" x14ac:dyDescent="0.3">
      <c r="A40" t="s">
        <v>468</v>
      </c>
      <c r="B40" t="s">
        <v>80</v>
      </c>
      <c r="C40" t="s">
        <v>58</v>
      </c>
      <c r="D40" t="s">
        <v>178</v>
      </c>
      <c r="E40" t="s">
        <v>144</v>
      </c>
      <c r="F40">
        <v>9</v>
      </c>
      <c r="H40">
        <v>9</v>
      </c>
      <c r="J40">
        <v>9</v>
      </c>
      <c r="K40" t="s">
        <v>370</v>
      </c>
    </row>
    <row r="41" spans="1:11" x14ac:dyDescent="0.3">
      <c r="A41" t="s">
        <v>468</v>
      </c>
      <c r="B41" t="s">
        <v>80</v>
      </c>
      <c r="C41" t="s">
        <v>58</v>
      </c>
      <c r="D41" t="s">
        <v>177</v>
      </c>
      <c r="E41" t="s">
        <v>170</v>
      </c>
      <c r="F41">
        <v>0</v>
      </c>
      <c r="H41">
        <v>0</v>
      </c>
      <c r="J41">
        <v>0</v>
      </c>
      <c r="K41" t="s">
        <v>370</v>
      </c>
    </row>
    <row r="42" spans="1:11" x14ac:dyDescent="0.3">
      <c r="A42" t="s">
        <v>468</v>
      </c>
      <c r="B42" t="s">
        <v>80</v>
      </c>
      <c r="C42" t="s">
        <v>58</v>
      </c>
      <c r="D42" t="s">
        <v>175</v>
      </c>
      <c r="E42" t="s">
        <v>144</v>
      </c>
      <c r="F42">
        <v>9</v>
      </c>
      <c r="H42">
        <v>9</v>
      </c>
      <c r="J42">
        <v>9</v>
      </c>
      <c r="K42" t="s">
        <v>370</v>
      </c>
    </row>
    <row r="43" spans="1:11" x14ac:dyDescent="0.3">
      <c r="A43" t="s">
        <v>468</v>
      </c>
      <c r="B43" t="s">
        <v>80</v>
      </c>
      <c r="C43" t="s">
        <v>58</v>
      </c>
      <c r="D43" t="s">
        <v>176</v>
      </c>
      <c r="E43" t="s">
        <v>83</v>
      </c>
      <c r="F43">
        <v>0</v>
      </c>
      <c r="H43">
        <v>0</v>
      </c>
      <c r="J43">
        <v>0</v>
      </c>
      <c r="K43" t="s">
        <v>370</v>
      </c>
    </row>
    <row r="44" spans="1:11" x14ac:dyDescent="0.3">
      <c r="A44" t="s">
        <v>468</v>
      </c>
      <c r="B44" t="s">
        <v>80</v>
      </c>
      <c r="C44" t="s">
        <v>70</v>
      </c>
      <c r="D44" t="s">
        <v>101</v>
      </c>
      <c r="E44" t="s">
        <v>81</v>
      </c>
      <c r="F44">
        <v>9</v>
      </c>
      <c r="H44">
        <v>9</v>
      </c>
      <c r="J44">
        <v>9</v>
      </c>
      <c r="K44" t="s">
        <v>370</v>
      </c>
    </row>
    <row r="45" spans="1:11" x14ac:dyDescent="0.3">
      <c r="A45" t="s">
        <v>468</v>
      </c>
      <c r="B45" t="s">
        <v>80</v>
      </c>
      <c r="C45" t="s">
        <v>70</v>
      </c>
      <c r="D45" t="s">
        <v>182</v>
      </c>
      <c r="E45" t="s">
        <v>81</v>
      </c>
      <c r="F45">
        <v>9</v>
      </c>
      <c r="H45">
        <v>9</v>
      </c>
      <c r="J45">
        <v>9</v>
      </c>
      <c r="K45" t="s">
        <v>370</v>
      </c>
    </row>
    <row r="46" spans="1:11" x14ac:dyDescent="0.3">
      <c r="A46" t="s">
        <v>468</v>
      </c>
      <c r="B46" t="s">
        <v>80</v>
      </c>
      <c r="C46" t="s">
        <v>70</v>
      </c>
      <c r="D46" t="s">
        <v>103</v>
      </c>
      <c r="E46" t="s">
        <v>81</v>
      </c>
      <c r="F46">
        <v>7</v>
      </c>
      <c r="H46">
        <v>7</v>
      </c>
      <c r="J46">
        <v>7</v>
      </c>
      <c r="K46" t="s">
        <v>370</v>
      </c>
    </row>
    <row r="47" spans="1:11" x14ac:dyDescent="0.3">
      <c r="A47" t="s">
        <v>468</v>
      </c>
      <c r="B47" t="s">
        <v>80</v>
      </c>
      <c r="C47" t="s">
        <v>70</v>
      </c>
      <c r="D47" t="s">
        <v>104</v>
      </c>
      <c r="E47" t="s">
        <v>81</v>
      </c>
      <c r="F47">
        <v>3</v>
      </c>
      <c r="H47">
        <v>3</v>
      </c>
      <c r="J47">
        <v>3</v>
      </c>
      <c r="K47" t="s">
        <v>370</v>
      </c>
    </row>
    <row r="48" spans="1:11" x14ac:dyDescent="0.3">
      <c r="A48" t="s">
        <v>468</v>
      </c>
      <c r="B48" t="s">
        <v>80</v>
      </c>
      <c r="C48" t="s">
        <v>70</v>
      </c>
      <c r="D48" t="s">
        <v>181</v>
      </c>
      <c r="E48" t="s">
        <v>81</v>
      </c>
      <c r="F48">
        <v>2</v>
      </c>
      <c r="H48">
        <v>2</v>
      </c>
      <c r="J48">
        <v>2</v>
      </c>
      <c r="K48" t="s">
        <v>370</v>
      </c>
    </row>
    <row r="49" spans="1:11" x14ac:dyDescent="0.3">
      <c r="A49" t="s">
        <v>468</v>
      </c>
      <c r="B49" t="s">
        <v>80</v>
      </c>
      <c r="C49" t="s">
        <v>70</v>
      </c>
      <c r="D49" t="s">
        <v>105</v>
      </c>
      <c r="E49" t="s">
        <v>81</v>
      </c>
      <c r="F49">
        <v>1</v>
      </c>
      <c r="H49">
        <v>1</v>
      </c>
      <c r="J49">
        <v>1</v>
      </c>
      <c r="K49" t="s">
        <v>370</v>
      </c>
    </row>
    <row r="50" spans="1:11" x14ac:dyDescent="0.3">
      <c r="A50" t="s">
        <v>468</v>
      </c>
      <c r="B50" t="s">
        <v>80</v>
      </c>
      <c r="C50" t="s">
        <v>70</v>
      </c>
      <c r="D50" t="s">
        <v>185</v>
      </c>
      <c r="E50" t="s">
        <v>170</v>
      </c>
      <c r="F50">
        <v>0</v>
      </c>
      <c r="H50">
        <v>0</v>
      </c>
      <c r="J50">
        <v>0</v>
      </c>
      <c r="K50" t="s">
        <v>370</v>
      </c>
    </row>
    <row r="51" spans="1:11" x14ac:dyDescent="0.3">
      <c r="A51" t="s">
        <v>468</v>
      </c>
      <c r="B51" t="s">
        <v>80</v>
      </c>
      <c r="C51" t="s">
        <v>70</v>
      </c>
      <c r="D51" t="s">
        <v>186</v>
      </c>
      <c r="E51" t="s">
        <v>144</v>
      </c>
      <c r="F51">
        <v>5</v>
      </c>
      <c r="H51">
        <v>5</v>
      </c>
      <c r="J51">
        <v>5</v>
      </c>
      <c r="K51" t="s">
        <v>370</v>
      </c>
    </row>
    <row r="52" spans="1:11" x14ac:dyDescent="0.3">
      <c r="A52" t="s">
        <v>468</v>
      </c>
      <c r="B52" t="s">
        <v>80</v>
      </c>
      <c r="C52" t="s">
        <v>70</v>
      </c>
      <c r="D52" t="s">
        <v>183</v>
      </c>
      <c r="E52" t="s">
        <v>144</v>
      </c>
      <c r="F52">
        <v>5</v>
      </c>
      <c r="H52">
        <v>5</v>
      </c>
      <c r="J52">
        <v>5</v>
      </c>
      <c r="K52" t="s">
        <v>370</v>
      </c>
    </row>
    <row r="53" spans="1:11" x14ac:dyDescent="0.3">
      <c r="A53" t="s">
        <v>468</v>
      </c>
      <c r="B53" t="s">
        <v>80</v>
      </c>
      <c r="C53" t="s">
        <v>70</v>
      </c>
      <c r="D53" t="s">
        <v>184</v>
      </c>
      <c r="E53" t="s">
        <v>83</v>
      </c>
      <c r="F53">
        <v>0</v>
      </c>
      <c r="H53">
        <v>0</v>
      </c>
      <c r="J53">
        <v>0</v>
      </c>
      <c r="K53" t="s">
        <v>370</v>
      </c>
    </row>
    <row r="54" spans="1:11" x14ac:dyDescent="0.3">
      <c r="A54" t="s">
        <v>468</v>
      </c>
      <c r="B54" t="s">
        <v>80</v>
      </c>
      <c r="C54" t="s">
        <v>69</v>
      </c>
      <c r="D54" t="s">
        <v>465</v>
      </c>
      <c r="E54" t="s">
        <v>65</v>
      </c>
      <c r="F54">
        <v>0.5</v>
      </c>
      <c r="H54">
        <v>0.5</v>
      </c>
      <c r="J54">
        <v>0.5</v>
      </c>
      <c r="K54" t="s">
        <v>370</v>
      </c>
    </row>
    <row r="55" spans="1:11" x14ac:dyDescent="0.3">
      <c r="A55" t="s">
        <v>468</v>
      </c>
      <c r="B55" t="s">
        <v>80</v>
      </c>
      <c r="C55" t="s">
        <v>69</v>
      </c>
      <c r="D55" t="s">
        <v>108</v>
      </c>
      <c r="E55" t="s">
        <v>81</v>
      </c>
      <c r="F55">
        <v>3</v>
      </c>
      <c r="H55">
        <v>3</v>
      </c>
      <c r="J55">
        <v>3</v>
      </c>
      <c r="K55" t="s">
        <v>370</v>
      </c>
    </row>
    <row r="56" spans="1:11" x14ac:dyDescent="0.3">
      <c r="A56" t="s">
        <v>468</v>
      </c>
      <c r="B56" t="s">
        <v>80</v>
      </c>
      <c r="C56" t="s">
        <v>69</v>
      </c>
      <c r="D56" t="s">
        <v>109</v>
      </c>
      <c r="E56" t="s">
        <v>81</v>
      </c>
      <c r="F56">
        <v>4</v>
      </c>
      <c r="H56">
        <v>4</v>
      </c>
      <c r="J56">
        <v>4</v>
      </c>
      <c r="K56" t="s">
        <v>370</v>
      </c>
    </row>
    <row r="57" spans="1:11" x14ac:dyDescent="0.3">
      <c r="A57" t="s">
        <v>468</v>
      </c>
      <c r="B57" t="s">
        <v>80</v>
      </c>
      <c r="C57" t="s">
        <v>69</v>
      </c>
      <c r="D57" t="s">
        <v>138</v>
      </c>
      <c r="E57" t="s">
        <v>81</v>
      </c>
      <c r="F57">
        <v>4</v>
      </c>
      <c r="H57">
        <v>4</v>
      </c>
      <c r="J57">
        <v>4</v>
      </c>
      <c r="K57" t="s">
        <v>370</v>
      </c>
    </row>
    <row r="58" spans="1:11" x14ac:dyDescent="0.3">
      <c r="A58" t="s">
        <v>468</v>
      </c>
      <c r="B58" t="s">
        <v>80</v>
      </c>
      <c r="C58" t="s">
        <v>69</v>
      </c>
      <c r="D58" t="s">
        <v>107</v>
      </c>
      <c r="E58" t="s">
        <v>81</v>
      </c>
      <c r="F58">
        <v>9</v>
      </c>
      <c r="H58">
        <v>9</v>
      </c>
      <c r="J58">
        <v>9</v>
      </c>
      <c r="K58" t="s">
        <v>370</v>
      </c>
    </row>
    <row r="59" spans="1:11" x14ac:dyDescent="0.3">
      <c r="A59" t="s">
        <v>468</v>
      </c>
      <c r="B59" t="s">
        <v>80</v>
      </c>
      <c r="C59" t="s">
        <v>69</v>
      </c>
      <c r="D59" t="s">
        <v>113</v>
      </c>
      <c r="E59" t="s">
        <v>81</v>
      </c>
      <c r="F59">
        <v>3</v>
      </c>
      <c r="H59">
        <v>3</v>
      </c>
      <c r="J59">
        <v>3</v>
      </c>
      <c r="K59" t="s">
        <v>370</v>
      </c>
    </row>
    <row r="60" spans="1:11" x14ac:dyDescent="0.3">
      <c r="A60" t="s">
        <v>468</v>
      </c>
      <c r="B60" t="s">
        <v>80</v>
      </c>
      <c r="C60" t="s">
        <v>69</v>
      </c>
      <c r="D60" t="s">
        <v>112</v>
      </c>
      <c r="E60" t="s">
        <v>81</v>
      </c>
      <c r="F60">
        <v>7</v>
      </c>
      <c r="H60">
        <v>7</v>
      </c>
      <c r="J60">
        <v>7</v>
      </c>
      <c r="K60" t="s">
        <v>370</v>
      </c>
    </row>
    <row r="61" spans="1:11" x14ac:dyDescent="0.3">
      <c r="A61" t="s">
        <v>468</v>
      </c>
      <c r="B61" t="s">
        <v>80</v>
      </c>
      <c r="C61" t="s">
        <v>69</v>
      </c>
      <c r="D61" t="s">
        <v>187</v>
      </c>
      <c r="E61" t="s">
        <v>81</v>
      </c>
      <c r="F61">
        <v>0</v>
      </c>
      <c r="H61">
        <v>0</v>
      </c>
      <c r="J61">
        <v>0</v>
      </c>
      <c r="K61" t="s">
        <v>370</v>
      </c>
    </row>
    <row r="62" spans="1:11" x14ac:dyDescent="0.3">
      <c r="A62" t="s">
        <v>468</v>
      </c>
      <c r="B62" t="s">
        <v>80</v>
      </c>
      <c r="C62" t="s">
        <v>69</v>
      </c>
      <c r="D62" t="s">
        <v>189</v>
      </c>
      <c r="E62" t="s">
        <v>170</v>
      </c>
      <c r="F62">
        <v>0</v>
      </c>
      <c r="H62">
        <v>0</v>
      </c>
      <c r="J62">
        <v>0</v>
      </c>
      <c r="K62" t="s">
        <v>370</v>
      </c>
    </row>
    <row r="63" spans="1:11" x14ac:dyDescent="0.3">
      <c r="A63" t="s">
        <v>468</v>
      </c>
      <c r="B63" t="s">
        <v>80</v>
      </c>
      <c r="C63" t="s">
        <v>69</v>
      </c>
      <c r="D63" t="s">
        <v>191</v>
      </c>
      <c r="E63" t="s">
        <v>144</v>
      </c>
      <c r="F63">
        <v>9</v>
      </c>
      <c r="H63">
        <v>9</v>
      </c>
      <c r="J63">
        <v>9</v>
      </c>
      <c r="K63" t="s">
        <v>370</v>
      </c>
    </row>
    <row r="64" spans="1:11" x14ac:dyDescent="0.3">
      <c r="A64" t="s">
        <v>468</v>
      </c>
      <c r="B64" t="s">
        <v>80</v>
      </c>
      <c r="C64" t="s">
        <v>69</v>
      </c>
      <c r="D64" t="s">
        <v>188</v>
      </c>
      <c r="E64" t="s">
        <v>144</v>
      </c>
      <c r="F64">
        <v>9</v>
      </c>
      <c r="H64">
        <v>9</v>
      </c>
      <c r="J64">
        <v>9</v>
      </c>
      <c r="K64" t="s">
        <v>370</v>
      </c>
    </row>
    <row r="65" spans="1:11" x14ac:dyDescent="0.3">
      <c r="A65" t="s">
        <v>468</v>
      </c>
      <c r="B65" t="s">
        <v>80</v>
      </c>
      <c r="C65" t="s">
        <v>69</v>
      </c>
      <c r="D65" t="s">
        <v>190</v>
      </c>
      <c r="E65" t="s">
        <v>83</v>
      </c>
      <c r="F65">
        <v>0</v>
      </c>
      <c r="H65">
        <v>0</v>
      </c>
      <c r="J65">
        <v>0</v>
      </c>
      <c r="K65" t="s">
        <v>370</v>
      </c>
    </row>
    <row r="66" spans="1:11" x14ac:dyDescent="0.3">
      <c r="A66" t="s">
        <v>468</v>
      </c>
      <c r="B66" t="s">
        <v>80</v>
      </c>
      <c r="C66" t="s">
        <v>121</v>
      </c>
      <c r="D66" t="s">
        <v>193</v>
      </c>
      <c r="E66" t="s">
        <v>81</v>
      </c>
      <c r="F66">
        <v>5</v>
      </c>
      <c r="G66">
        <v>0</v>
      </c>
      <c r="H66">
        <v>5</v>
      </c>
      <c r="J66">
        <v>5</v>
      </c>
      <c r="K66" t="s">
        <v>370</v>
      </c>
    </row>
    <row r="67" spans="1:11" x14ac:dyDescent="0.3">
      <c r="A67" t="s">
        <v>468</v>
      </c>
      <c r="B67" t="s">
        <v>80</v>
      </c>
      <c r="C67" t="s">
        <v>121</v>
      </c>
      <c r="D67" t="s">
        <v>192</v>
      </c>
      <c r="E67" t="s">
        <v>81</v>
      </c>
      <c r="F67">
        <v>1</v>
      </c>
      <c r="G67">
        <v>0</v>
      </c>
      <c r="H67">
        <v>1</v>
      </c>
      <c r="J67">
        <v>1</v>
      </c>
      <c r="K67" t="s">
        <v>370</v>
      </c>
    </row>
    <row r="68" spans="1:11" x14ac:dyDescent="0.3">
      <c r="A68" t="s">
        <v>468</v>
      </c>
      <c r="B68" t="s">
        <v>80</v>
      </c>
      <c r="C68" t="s">
        <v>121</v>
      </c>
      <c r="D68" t="s">
        <v>194</v>
      </c>
      <c r="E68" t="s">
        <v>81</v>
      </c>
      <c r="F68">
        <v>5</v>
      </c>
      <c r="G68">
        <v>0</v>
      </c>
      <c r="H68">
        <v>5</v>
      </c>
      <c r="J68">
        <v>5</v>
      </c>
      <c r="K68" t="s">
        <v>370</v>
      </c>
    </row>
    <row r="69" spans="1:11" x14ac:dyDescent="0.3">
      <c r="A69" t="s">
        <v>468</v>
      </c>
      <c r="B69" t="s">
        <v>80</v>
      </c>
      <c r="C69" t="s">
        <v>121</v>
      </c>
      <c r="D69" t="s">
        <v>196</v>
      </c>
      <c r="E69" t="s">
        <v>83</v>
      </c>
      <c r="F69">
        <v>0</v>
      </c>
      <c r="G69">
        <v>0</v>
      </c>
      <c r="H69">
        <v>0</v>
      </c>
      <c r="J69">
        <v>0</v>
      </c>
      <c r="K69" t="s">
        <v>370</v>
      </c>
    </row>
    <row r="70" spans="1:11" x14ac:dyDescent="0.3">
      <c r="A70" t="s">
        <v>468</v>
      </c>
      <c r="B70" t="s">
        <v>80</v>
      </c>
      <c r="C70" t="s">
        <v>121</v>
      </c>
      <c r="D70" t="s">
        <v>198</v>
      </c>
      <c r="E70" t="s">
        <v>170</v>
      </c>
      <c r="F70">
        <v>0</v>
      </c>
      <c r="G70">
        <v>0</v>
      </c>
      <c r="H70">
        <v>0</v>
      </c>
      <c r="J70">
        <v>0</v>
      </c>
      <c r="K70" t="s">
        <v>370</v>
      </c>
    </row>
    <row r="71" spans="1:11" x14ac:dyDescent="0.3">
      <c r="A71" t="s">
        <v>468</v>
      </c>
      <c r="B71" t="s">
        <v>80</v>
      </c>
      <c r="C71" t="s">
        <v>71</v>
      </c>
      <c r="D71" t="s">
        <v>114</v>
      </c>
      <c r="E71" t="s">
        <v>65</v>
      </c>
      <c r="F71">
        <v>3</v>
      </c>
      <c r="G71">
        <v>0</v>
      </c>
      <c r="H71">
        <v>3</v>
      </c>
      <c r="J71">
        <v>3</v>
      </c>
      <c r="K71" t="s">
        <v>370</v>
      </c>
    </row>
    <row r="72" spans="1:11" x14ac:dyDescent="0.3">
      <c r="A72" t="s">
        <v>468</v>
      </c>
      <c r="B72" t="s">
        <v>80</v>
      </c>
      <c r="C72" t="s">
        <v>71</v>
      </c>
      <c r="D72" t="s">
        <v>116</v>
      </c>
      <c r="E72" t="s">
        <v>81</v>
      </c>
      <c r="F72">
        <v>4</v>
      </c>
      <c r="G72">
        <v>0</v>
      </c>
      <c r="H72">
        <v>4</v>
      </c>
      <c r="J72">
        <v>4</v>
      </c>
      <c r="K72" t="s">
        <v>370</v>
      </c>
    </row>
    <row r="73" spans="1:11" x14ac:dyDescent="0.3">
      <c r="A73" t="s">
        <v>468</v>
      </c>
      <c r="B73" t="s">
        <v>80</v>
      </c>
      <c r="C73" t="s">
        <v>64</v>
      </c>
      <c r="D73" t="s">
        <v>291</v>
      </c>
      <c r="E73" t="s">
        <v>140</v>
      </c>
      <c r="F73">
        <v>0</v>
      </c>
      <c r="G73">
        <v>0</v>
      </c>
      <c r="H73">
        <v>0</v>
      </c>
    </row>
    <row r="74" spans="1:11" x14ac:dyDescent="0.3">
      <c r="A74" t="s">
        <v>468</v>
      </c>
      <c r="B74" t="s">
        <v>80</v>
      </c>
      <c r="C74" t="s">
        <v>64</v>
      </c>
      <c r="D74" t="s">
        <v>293</v>
      </c>
      <c r="E74" t="s">
        <v>65</v>
      </c>
      <c r="F74">
        <v>0</v>
      </c>
      <c r="G74">
        <v>0</v>
      </c>
      <c r="H74">
        <v>0</v>
      </c>
    </row>
    <row r="75" spans="1:11" x14ac:dyDescent="0.3">
      <c r="A75" t="s">
        <v>468</v>
      </c>
      <c r="B75" t="s">
        <v>80</v>
      </c>
      <c r="C75" t="s">
        <v>64</v>
      </c>
      <c r="D75" t="s">
        <v>292</v>
      </c>
      <c r="E75" t="s">
        <v>140</v>
      </c>
      <c r="F75">
        <v>0</v>
      </c>
      <c r="G75">
        <v>0</v>
      </c>
      <c r="H75">
        <v>0</v>
      </c>
    </row>
    <row r="76" spans="1:11" x14ac:dyDescent="0.3">
      <c r="A76" t="s">
        <v>468</v>
      </c>
      <c r="B76" t="s">
        <v>80</v>
      </c>
      <c r="C76" t="s">
        <v>64</v>
      </c>
      <c r="D76" t="s">
        <v>281</v>
      </c>
      <c r="E76" t="s">
        <v>65</v>
      </c>
      <c r="F76">
        <v>0</v>
      </c>
      <c r="G76">
        <v>0</v>
      </c>
      <c r="H76">
        <v>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674F-EDB5-4D47-B9AB-E4E4A0B209C9}">
  <dimension ref="A1:K57"/>
  <sheetViews>
    <sheetView workbookViewId="0"/>
  </sheetViews>
  <sheetFormatPr baseColWidth="10" defaultRowHeight="14.4" x14ac:dyDescent="0.3"/>
  <cols>
    <col min="1" max="1" width="33.5546875" bestFit="1" customWidth="1"/>
    <col min="2" max="2" width="20.44140625" bestFit="1" customWidth="1"/>
    <col min="3" max="3" width="24.77734375" bestFit="1" customWidth="1"/>
    <col min="4" max="4" width="80.8867187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479</v>
      </c>
      <c r="B2" t="s">
        <v>117</v>
      </c>
      <c r="C2" t="s">
        <v>21</v>
      </c>
      <c r="D2" t="s">
        <v>480</v>
      </c>
      <c r="E2" t="s">
        <v>65</v>
      </c>
      <c r="F2">
        <v>3</v>
      </c>
      <c r="H2">
        <v>3</v>
      </c>
      <c r="J2">
        <v>1</v>
      </c>
      <c r="K2" t="s">
        <v>370</v>
      </c>
    </row>
    <row r="3" spans="1:11" x14ac:dyDescent="0.3">
      <c r="A3" t="s">
        <v>479</v>
      </c>
      <c r="B3" t="s">
        <v>117</v>
      </c>
      <c r="C3" t="s">
        <v>21</v>
      </c>
      <c r="D3" t="s">
        <v>481</v>
      </c>
      <c r="E3" t="s">
        <v>269</v>
      </c>
      <c r="F3">
        <v>17</v>
      </c>
      <c r="H3">
        <v>17</v>
      </c>
      <c r="J3">
        <v>0</v>
      </c>
      <c r="K3" t="s">
        <v>370</v>
      </c>
    </row>
    <row r="4" spans="1:11" x14ac:dyDescent="0.3">
      <c r="A4" t="s">
        <v>479</v>
      </c>
      <c r="B4" t="s">
        <v>117</v>
      </c>
      <c r="C4" t="s">
        <v>21</v>
      </c>
      <c r="D4" t="s">
        <v>361</v>
      </c>
      <c r="E4" t="s">
        <v>269</v>
      </c>
      <c r="F4">
        <v>0.5</v>
      </c>
      <c r="H4">
        <v>0.5</v>
      </c>
      <c r="J4">
        <v>0.5</v>
      </c>
      <c r="K4" t="s">
        <v>370</v>
      </c>
    </row>
    <row r="5" spans="1:11" x14ac:dyDescent="0.3">
      <c r="A5" t="s">
        <v>479</v>
      </c>
      <c r="B5" t="s">
        <v>117</v>
      </c>
      <c r="C5" t="s">
        <v>21</v>
      </c>
      <c r="D5" t="s">
        <v>482</v>
      </c>
      <c r="E5" t="s">
        <v>269</v>
      </c>
      <c r="F5">
        <v>0</v>
      </c>
      <c r="G5">
        <v>9</v>
      </c>
      <c r="H5">
        <v>9</v>
      </c>
      <c r="J5">
        <v>3</v>
      </c>
      <c r="K5" t="s">
        <v>370</v>
      </c>
    </row>
    <row r="6" spans="1:11" x14ac:dyDescent="0.3">
      <c r="A6" t="s">
        <v>479</v>
      </c>
      <c r="B6" t="s">
        <v>117</v>
      </c>
      <c r="C6" t="s">
        <v>21</v>
      </c>
      <c r="D6" t="s">
        <v>87</v>
      </c>
      <c r="E6" t="s">
        <v>269</v>
      </c>
      <c r="F6">
        <v>4</v>
      </c>
      <c r="H6">
        <v>4</v>
      </c>
      <c r="J6">
        <v>4</v>
      </c>
      <c r="K6" t="s">
        <v>370</v>
      </c>
    </row>
    <row r="7" spans="1:11" x14ac:dyDescent="0.3">
      <c r="A7" t="s">
        <v>479</v>
      </c>
      <c r="B7" t="s">
        <v>117</v>
      </c>
      <c r="C7" t="s">
        <v>21</v>
      </c>
      <c r="D7" t="s">
        <v>133</v>
      </c>
      <c r="E7" t="s">
        <v>66</v>
      </c>
      <c r="F7">
        <v>5</v>
      </c>
      <c r="H7">
        <v>5</v>
      </c>
      <c r="J7">
        <v>5</v>
      </c>
      <c r="K7" t="s">
        <v>370</v>
      </c>
    </row>
    <row r="8" spans="1:11" x14ac:dyDescent="0.3">
      <c r="A8" t="s">
        <v>479</v>
      </c>
      <c r="B8" t="s">
        <v>117</v>
      </c>
      <c r="C8" t="s">
        <v>21</v>
      </c>
      <c r="D8" t="s">
        <v>458</v>
      </c>
      <c r="E8" t="s">
        <v>66</v>
      </c>
      <c r="F8">
        <v>2</v>
      </c>
      <c r="H8">
        <v>2</v>
      </c>
      <c r="J8">
        <v>2</v>
      </c>
      <c r="K8" t="s">
        <v>370</v>
      </c>
    </row>
    <row r="9" spans="1:11" x14ac:dyDescent="0.3">
      <c r="A9" t="s">
        <v>479</v>
      </c>
      <c r="B9" t="s">
        <v>117</v>
      </c>
      <c r="C9" t="s">
        <v>21</v>
      </c>
      <c r="D9" t="s">
        <v>483</v>
      </c>
      <c r="E9" t="s">
        <v>269</v>
      </c>
      <c r="F9">
        <v>0</v>
      </c>
      <c r="G9">
        <v>2</v>
      </c>
      <c r="H9">
        <v>2</v>
      </c>
      <c r="J9">
        <v>2</v>
      </c>
      <c r="K9" t="s">
        <v>370</v>
      </c>
    </row>
    <row r="10" spans="1:11" x14ac:dyDescent="0.3">
      <c r="A10" t="s">
        <v>479</v>
      </c>
      <c r="B10" t="s">
        <v>117</v>
      </c>
      <c r="C10" t="s">
        <v>21</v>
      </c>
      <c r="D10" t="s">
        <v>457</v>
      </c>
      <c r="E10" t="s">
        <v>66</v>
      </c>
      <c r="F10">
        <v>21</v>
      </c>
      <c r="H10">
        <v>21</v>
      </c>
      <c r="J10">
        <v>21</v>
      </c>
      <c r="K10" t="s">
        <v>370</v>
      </c>
    </row>
    <row r="11" spans="1:11" x14ac:dyDescent="0.3">
      <c r="A11" t="s">
        <v>479</v>
      </c>
      <c r="B11" t="s">
        <v>117</v>
      </c>
      <c r="C11" t="s">
        <v>21</v>
      </c>
      <c r="D11" t="s">
        <v>120</v>
      </c>
      <c r="E11" t="s">
        <v>66</v>
      </c>
      <c r="F11">
        <v>4</v>
      </c>
      <c r="H11">
        <v>4</v>
      </c>
      <c r="J11">
        <v>4</v>
      </c>
      <c r="K11" t="s">
        <v>370</v>
      </c>
    </row>
    <row r="12" spans="1:11" x14ac:dyDescent="0.3">
      <c r="A12" t="s">
        <v>479</v>
      </c>
      <c r="B12" t="s">
        <v>117</v>
      </c>
      <c r="C12" t="s">
        <v>21</v>
      </c>
      <c r="D12" t="s">
        <v>270</v>
      </c>
      <c r="E12" t="s">
        <v>66</v>
      </c>
      <c r="F12">
        <v>3</v>
      </c>
      <c r="H12">
        <v>3</v>
      </c>
      <c r="J12">
        <v>3</v>
      </c>
      <c r="K12" t="s">
        <v>370</v>
      </c>
    </row>
    <row r="13" spans="1:11" x14ac:dyDescent="0.3">
      <c r="A13" t="s">
        <v>479</v>
      </c>
      <c r="B13" t="s">
        <v>117</v>
      </c>
      <c r="C13" t="s">
        <v>58</v>
      </c>
      <c r="D13" t="s">
        <v>90</v>
      </c>
      <c r="E13" t="s">
        <v>65</v>
      </c>
      <c r="F13">
        <v>4</v>
      </c>
      <c r="H13">
        <v>4</v>
      </c>
      <c r="J13">
        <v>1</v>
      </c>
      <c r="K13" t="s">
        <v>370</v>
      </c>
    </row>
    <row r="14" spans="1:11" x14ac:dyDescent="0.3">
      <c r="A14" t="s">
        <v>479</v>
      </c>
      <c r="B14" t="s">
        <v>117</v>
      </c>
      <c r="C14" t="s">
        <v>58</v>
      </c>
      <c r="D14" t="s">
        <v>272</v>
      </c>
      <c r="E14" t="s">
        <v>65</v>
      </c>
      <c r="F14">
        <v>5</v>
      </c>
      <c r="H14">
        <v>5</v>
      </c>
      <c r="J14">
        <v>0</v>
      </c>
      <c r="K14" t="s">
        <v>370</v>
      </c>
    </row>
    <row r="15" spans="1:11" x14ac:dyDescent="0.3">
      <c r="A15" t="s">
        <v>479</v>
      </c>
      <c r="B15" t="s">
        <v>117</v>
      </c>
      <c r="C15" t="s">
        <v>58</v>
      </c>
      <c r="D15" t="s">
        <v>484</v>
      </c>
      <c r="E15" t="s">
        <v>66</v>
      </c>
      <c r="F15">
        <v>0.5</v>
      </c>
      <c r="H15">
        <v>0.5</v>
      </c>
      <c r="J15">
        <v>0</v>
      </c>
      <c r="K15" t="s">
        <v>370</v>
      </c>
    </row>
    <row r="16" spans="1:11" x14ac:dyDescent="0.3">
      <c r="A16" t="s">
        <v>479</v>
      </c>
      <c r="B16" t="s">
        <v>117</v>
      </c>
      <c r="C16" t="s">
        <v>58</v>
      </c>
      <c r="D16" t="s">
        <v>91</v>
      </c>
      <c r="E16" t="s">
        <v>66</v>
      </c>
      <c r="F16">
        <v>4.5</v>
      </c>
      <c r="H16">
        <v>4.5</v>
      </c>
      <c r="J16">
        <v>1.5</v>
      </c>
      <c r="K16" t="s">
        <v>370</v>
      </c>
    </row>
    <row r="17" spans="1:11" x14ac:dyDescent="0.3">
      <c r="A17" t="s">
        <v>479</v>
      </c>
      <c r="B17" t="s">
        <v>117</v>
      </c>
      <c r="C17" t="s">
        <v>58</v>
      </c>
      <c r="D17" t="s">
        <v>93</v>
      </c>
      <c r="E17" t="s">
        <v>66</v>
      </c>
      <c r="F17">
        <v>2</v>
      </c>
      <c r="H17">
        <v>2</v>
      </c>
      <c r="J17">
        <v>1</v>
      </c>
      <c r="K17" t="s">
        <v>370</v>
      </c>
    </row>
    <row r="18" spans="1:11" x14ac:dyDescent="0.3">
      <c r="A18" t="s">
        <v>479</v>
      </c>
      <c r="B18" t="s">
        <v>117</v>
      </c>
      <c r="C18" t="s">
        <v>58</v>
      </c>
      <c r="D18" t="s">
        <v>92</v>
      </c>
      <c r="E18" t="s">
        <v>66</v>
      </c>
      <c r="F18">
        <v>4</v>
      </c>
      <c r="H18">
        <v>4</v>
      </c>
      <c r="J18">
        <v>2</v>
      </c>
      <c r="K18" t="s">
        <v>370</v>
      </c>
    </row>
    <row r="19" spans="1:11" x14ac:dyDescent="0.3">
      <c r="A19" t="s">
        <v>479</v>
      </c>
      <c r="B19" t="s">
        <v>117</v>
      </c>
      <c r="C19" t="s">
        <v>58</v>
      </c>
      <c r="D19" t="s">
        <v>136</v>
      </c>
      <c r="E19" t="s">
        <v>66</v>
      </c>
      <c r="F19">
        <v>1</v>
      </c>
      <c r="H19">
        <v>1</v>
      </c>
      <c r="J19">
        <v>1</v>
      </c>
      <c r="K19" t="s">
        <v>370</v>
      </c>
    </row>
    <row r="20" spans="1:11" x14ac:dyDescent="0.3">
      <c r="A20" t="s">
        <v>479</v>
      </c>
      <c r="B20" t="s">
        <v>117</v>
      </c>
      <c r="C20" t="s">
        <v>58</v>
      </c>
      <c r="D20" t="s">
        <v>135</v>
      </c>
      <c r="E20" t="s">
        <v>66</v>
      </c>
      <c r="F20">
        <v>2</v>
      </c>
      <c r="H20">
        <v>2</v>
      </c>
      <c r="J20">
        <v>0</v>
      </c>
      <c r="K20" t="s">
        <v>370</v>
      </c>
    </row>
    <row r="21" spans="1:11" x14ac:dyDescent="0.3">
      <c r="A21" t="s">
        <v>479</v>
      </c>
      <c r="B21" t="s">
        <v>117</v>
      </c>
      <c r="C21" t="s">
        <v>58</v>
      </c>
      <c r="D21" t="s">
        <v>172</v>
      </c>
      <c r="E21" t="s">
        <v>66</v>
      </c>
      <c r="F21">
        <v>3</v>
      </c>
      <c r="H21">
        <v>3</v>
      </c>
      <c r="J21">
        <v>2</v>
      </c>
      <c r="K21" t="s">
        <v>370</v>
      </c>
    </row>
    <row r="22" spans="1:11" x14ac:dyDescent="0.3">
      <c r="A22" t="s">
        <v>479</v>
      </c>
      <c r="B22" t="s">
        <v>117</v>
      </c>
      <c r="C22" t="s">
        <v>58</v>
      </c>
      <c r="D22" t="s">
        <v>174</v>
      </c>
      <c r="E22" t="s">
        <v>66</v>
      </c>
      <c r="F22">
        <v>1.5</v>
      </c>
      <c r="H22">
        <v>1.5</v>
      </c>
      <c r="J22">
        <v>0.5</v>
      </c>
      <c r="K22" t="s">
        <v>370</v>
      </c>
    </row>
    <row r="23" spans="1:11" x14ac:dyDescent="0.3">
      <c r="A23" t="s">
        <v>479</v>
      </c>
      <c r="B23" t="s">
        <v>117</v>
      </c>
      <c r="C23" t="s">
        <v>58</v>
      </c>
      <c r="D23" t="s">
        <v>94</v>
      </c>
      <c r="E23" t="s">
        <v>66</v>
      </c>
      <c r="F23">
        <v>2</v>
      </c>
      <c r="H23">
        <v>2</v>
      </c>
      <c r="J23">
        <v>0.5</v>
      </c>
      <c r="K23" t="s">
        <v>370</v>
      </c>
    </row>
    <row r="24" spans="1:11" x14ac:dyDescent="0.3">
      <c r="A24" t="s">
        <v>479</v>
      </c>
      <c r="B24" t="s">
        <v>117</v>
      </c>
      <c r="C24" t="s">
        <v>58</v>
      </c>
      <c r="D24" t="s">
        <v>273</v>
      </c>
      <c r="E24" t="s">
        <v>65</v>
      </c>
      <c r="F24">
        <v>5</v>
      </c>
      <c r="H24">
        <v>5</v>
      </c>
      <c r="J24">
        <v>3</v>
      </c>
      <c r="K24" t="s">
        <v>370</v>
      </c>
    </row>
    <row r="25" spans="1:11" x14ac:dyDescent="0.3">
      <c r="A25" t="s">
        <v>479</v>
      </c>
      <c r="B25" t="s">
        <v>117</v>
      </c>
      <c r="C25" t="s">
        <v>58</v>
      </c>
      <c r="D25" t="s">
        <v>271</v>
      </c>
      <c r="E25" t="s">
        <v>66</v>
      </c>
      <c r="F25">
        <v>3</v>
      </c>
      <c r="H25">
        <v>3</v>
      </c>
      <c r="J25">
        <v>3</v>
      </c>
      <c r="K25" t="s">
        <v>370</v>
      </c>
    </row>
    <row r="26" spans="1:11" x14ac:dyDescent="0.3">
      <c r="A26" t="s">
        <v>479</v>
      </c>
      <c r="B26" t="s">
        <v>117</v>
      </c>
      <c r="C26" t="s">
        <v>58</v>
      </c>
      <c r="D26" t="s">
        <v>95</v>
      </c>
      <c r="E26" t="s">
        <v>66</v>
      </c>
      <c r="F26">
        <v>2</v>
      </c>
      <c r="H26">
        <v>2</v>
      </c>
      <c r="J26">
        <v>0</v>
      </c>
      <c r="K26" t="s">
        <v>370</v>
      </c>
    </row>
    <row r="27" spans="1:11" x14ac:dyDescent="0.3">
      <c r="A27" t="s">
        <v>479</v>
      </c>
      <c r="B27" t="s">
        <v>117</v>
      </c>
      <c r="C27" t="s">
        <v>58</v>
      </c>
      <c r="D27" t="s">
        <v>97</v>
      </c>
      <c r="E27" t="s">
        <v>66</v>
      </c>
      <c r="F27">
        <v>1</v>
      </c>
      <c r="H27">
        <v>1</v>
      </c>
      <c r="J27">
        <v>0.5</v>
      </c>
      <c r="K27" t="s">
        <v>370</v>
      </c>
    </row>
    <row r="28" spans="1:11" x14ac:dyDescent="0.3">
      <c r="A28" t="s">
        <v>479</v>
      </c>
      <c r="B28" t="s">
        <v>117</v>
      </c>
      <c r="C28" t="s">
        <v>58</v>
      </c>
      <c r="D28" t="s">
        <v>96</v>
      </c>
      <c r="E28" t="s">
        <v>66</v>
      </c>
      <c r="F28">
        <v>2.5</v>
      </c>
      <c r="H28">
        <v>2.5</v>
      </c>
      <c r="J28">
        <v>2</v>
      </c>
      <c r="K28" t="s">
        <v>370</v>
      </c>
    </row>
    <row r="29" spans="1:11" x14ac:dyDescent="0.3">
      <c r="A29" t="s">
        <v>479</v>
      </c>
      <c r="B29" t="s">
        <v>117</v>
      </c>
      <c r="C29" t="s">
        <v>58</v>
      </c>
      <c r="D29" t="s">
        <v>98</v>
      </c>
      <c r="E29" t="s">
        <v>66</v>
      </c>
      <c r="F29">
        <v>0.5</v>
      </c>
      <c r="H29">
        <v>0.5</v>
      </c>
      <c r="J29">
        <v>0.5</v>
      </c>
      <c r="K29" t="s">
        <v>370</v>
      </c>
    </row>
    <row r="30" spans="1:11" x14ac:dyDescent="0.3">
      <c r="A30" t="s">
        <v>479</v>
      </c>
      <c r="B30" t="s">
        <v>117</v>
      </c>
      <c r="C30" t="s">
        <v>58</v>
      </c>
      <c r="D30" t="s">
        <v>485</v>
      </c>
      <c r="E30" t="s">
        <v>66</v>
      </c>
      <c r="F30">
        <v>0</v>
      </c>
      <c r="G30">
        <v>4</v>
      </c>
      <c r="H30">
        <v>4</v>
      </c>
      <c r="J30">
        <v>4</v>
      </c>
      <c r="K30" t="s">
        <v>370</v>
      </c>
    </row>
    <row r="31" spans="1:11" x14ac:dyDescent="0.3">
      <c r="A31" t="s">
        <v>479</v>
      </c>
      <c r="B31" t="s">
        <v>117</v>
      </c>
      <c r="C31" t="s">
        <v>70</v>
      </c>
      <c r="D31" t="s">
        <v>101</v>
      </c>
      <c r="E31" t="s">
        <v>66</v>
      </c>
      <c r="F31">
        <v>9</v>
      </c>
      <c r="H31">
        <v>9</v>
      </c>
      <c r="J31">
        <v>7</v>
      </c>
      <c r="K31" t="s">
        <v>370</v>
      </c>
    </row>
    <row r="32" spans="1:11" x14ac:dyDescent="0.3">
      <c r="A32" t="s">
        <v>479</v>
      </c>
      <c r="B32" t="s">
        <v>117</v>
      </c>
      <c r="C32" t="s">
        <v>70</v>
      </c>
      <c r="D32" t="s">
        <v>182</v>
      </c>
      <c r="E32" t="s">
        <v>66</v>
      </c>
      <c r="F32">
        <v>4.5</v>
      </c>
      <c r="H32">
        <v>4.5</v>
      </c>
      <c r="J32">
        <v>4</v>
      </c>
      <c r="K32" t="s">
        <v>370</v>
      </c>
    </row>
    <row r="33" spans="1:11" x14ac:dyDescent="0.3">
      <c r="A33" t="s">
        <v>479</v>
      </c>
      <c r="B33" t="s">
        <v>117</v>
      </c>
      <c r="C33" t="s">
        <v>70</v>
      </c>
      <c r="D33" t="s">
        <v>103</v>
      </c>
      <c r="E33" t="s">
        <v>66</v>
      </c>
      <c r="F33">
        <v>2</v>
      </c>
      <c r="H33">
        <v>2</v>
      </c>
      <c r="J33">
        <v>2</v>
      </c>
      <c r="K33" t="s">
        <v>370</v>
      </c>
    </row>
    <row r="34" spans="1:11" x14ac:dyDescent="0.3">
      <c r="A34" t="s">
        <v>479</v>
      </c>
      <c r="B34" t="s">
        <v>117</v>
      </c>
      <c r="C34" t="s">
        <v>70</v>
      </c>
      <c r="D34" t="s">
        <v>104</v>
      </c>
      <c r="E34" t="s">
        <v>66</v>
      </c>
      <c r="F34">
        <v>3</v>
      </c>
      <c r="H34">
        <v>3</v>
      </c>
      <c r="J34">
        <v>3</v>
      </c>
      <c r="K34" t="s">
        <v>370</v>
      </c>
    </row>
    <row r="35" spans="1:11" x14ac:dyDescent="0.3">
      <c r="A35" t="s">
        <v>479</v>
      </c>
      <c r="B35" t="s">
        <v>117</v>
      </c>
      <c r="C35" t="s">
        <v>70</v>
      </c>
      <c r="D35" t="s">
        <v>362</v>
      </c>
      <c r="E35" t="s">
        <v>66</v>
      </c>
      <c r="F35">
        <v>0</v>
      </c>
      <c r="G35">
        <v>4</v>
      </c>
      <c r="H35">
        <v>4</v>
      </c>
      <c r="J35">
        <v>4</v>
      </c>
      <c r="K35" t="s">
        <v>370</v>
      </c>
    </row>
    <row r="36" spans="1:11" x14ac:dyDescent="0.3">
      <c r="A36" t="s">
        <v>479</v>
      </c>
      <c r="B36" t="s">
        <v>117</v>
      </c>
      <c r="C36" t="s">
        <v>69</v>
      </c>
      <c r="D36" t="s">
        <v>108</v>
      </c>
      <c r="E36" t="s">
        <v>66</v>
      </c>
      <c r="F36">
        <v>5</v>
      </c>
      <c r="H36">
        <v>5</v>
      </c>
      <c r="J36">
        <v>0.5</v>
      </c>
      <c r="K36" t="s">
        <v>370</v>
      </c>
    </row>
    <row r="37" spans="1:11" x14ac:dyDescent="0.3">
      <c r="A37" t="s">
        <v>479</v>
      </c>
      <c r="B37" t="s">
        <v>117</v>
      </c>
      <c r="C37" t="s">
        <v>69</v>
      </c>
      <c r="D37" t="s">
        <v>109</v>
      </c>
      <c r="E37" t="s">
        <v>66</v>
      </c>
      <c r="F37">
        <v>7</v>
      </c>
      <c r="H37">
        <v>7</v>
      </c>
      <c r="J37">
        <v>0</v>
      </c>
      <c r="K37" t="s">
        <v>370</v>
      </c>
    </row>
    <row r="38" spans="1:11" x14ac:dyDescent="0.3">
      <c r="A38" t="s">
        <v>479</v>
      </c>
      <c r="B38" t="s">
        <v>117</v>
      </c>
      <c r="C38" t="s">
        <v>69</v>
      </c>
      <c r="D38" t="s">
        <v>106</v>
      </c>
      <c r="E38" t="s">
        <v>65</v>
      </c>
      <c r="F38">
        <v>0.5</v>
      </c>
      <c r="H38">
        <v>0.5</v>
      </c>
      <c r="J38">
        <v>0</v>
      </c>
      <c r="K38" t="s">
        <v>370</v>
      </c>
    </row>
    <row r="39" spans="1:11" x14ac:dyDescent="0.3">
      <c r="A39" t="s">
        <v>479</v>
      </c>
      <c r="B39" t="s">
        <v>117</v>
      </c>
      <c r="C39" t="s">
        <v>69</v>
      </c>
      <c r="D39" t="s">
        <v>138</v>
      </c>
      <c r="E39" t="s">
        <v>66</v>
      </c>
      <c r="F39">
        <v>1</v>
      </c>
      <c r="H39">
        <v>1</v>
      </c>
      <c r="J39">
        <v>0</v>
      </c>
      <c r="K39" t="s">
        <v>370</v>
      </c>
    </row>
    <row r="40" spans="1:11" x14ac:dyDescent="0.3">
      <c r="A40" t="s">
        <v>479</v>
      </c>
      <c r="B40" t="s">
        <v>117</v>
      </c>
      <c r="C40" t="s">
        <v>69</v>
      </c>
      <c r="D40" t="s">
        <v>486</v>
      </c>
      <c r="E40" t="s">
        <v>66</v>
      </c>
      <c r="F40">
        <v>1</v>
      </c>
      <c r="H40">
        <v>1</v>
      </c>
      <c r="J40">
        <v>0</v>
      </c>
      <c r="K40" t="s">
        <v>370</v>
      </c>
    </row>
    <row r="41" spans="1:11" x14ac:dyDescent="0.3">
      <c r="A41" t="s">
        <v>479</v>
      </c>
      <c r="B41" t="s">
        <v>117</v>
      </c>
      <c r="C41" t="s">
        <v>69</v>
      </c>
      <c r="D41" t="s">
        <v>122</v>
      </c>
      <c r="E41" t="s">
        <v>66</v>
      </c>
      <c r="F41">
        <v>1</v>
      </c>
      <c r="H41">
        <v>1</v>
      </c>
      <c r="J41">
        <v>1</v>
      </c>
      <c r="K41" t="s">
        <v>370</v>
      </c>
    </row>
    <row r="42" spans="1:11" x14ac:dyDescent="0.3">
      <c r="A42" t="s">
        <v>479</v>
      </c>
      <c r="B42" t="s">
        <v>117</v>
      </c>
      <c r="C42" t="s">
        <v>69</v>
      </c>
      <c r="D42" t="s">
        <v>274</v>
      </c>
      <c r="E42" t="s">
        <v>66</v>
      </c>
      <c r="F42">
        <v>0</v>
      </c>
      <c r="G42">
        <v>2</v>
      </c>
      <c r="H42">
        <v>2</v>
      </c>
      <c r="J42">
        <v>2</v>
      </c>
      <c r="K42" t="s">
        <v>370</v>
      </c>
    </row>
    <row r="43" spans="1:11" x14ac:dyDescent="0.3">
      <c r="A43" t="s">
        <v>479</v>
      </c>
      <c r="B43" t="s">
        <v>117</v>
      </c>
      <c r="C43" t="s">
        <v>121</v>
      </c>
      <c r="D43" t="s">
        <v>193</v>
      </c>
      <c r="E43" t="s">
        <v>66</v>
      </c>
      <c r="F43">
        <v>5</v>
      </c>
      <c r="G43">
        <v>0</v>
      </c>
      <c r="H43">
        <v>5</v>
      </c>
      <c r="J43">
        <v>1</v>
      </c>
      <c r="K43" t="s">
        <v>370</v>
      </c>
    </row>
    <row r="44" spans="1:11" x14ac:dyDescent="0.3">
      <c r="A44" t="s">
        <v>479</v>
      </c>
      <c r="B44" t="s">
        <v>117</v>
      </c>
      <c r="C44" t="s">
        <v>121</v>
      </c>
      <c r="D44" t="s">
        <v>487</v>
      </c>
      <c r="E44" t="s">
        <v>66</v>
      </c>
      <c r="F44">
        <v>0</v>
      </c>
      <c r="G44">
        <v>2</v>
      </c>
      <c r="H44">
        <v>2</v>
      </c>
      <c r="J44">
        <v>2</v>
      </c>
      <c r="K44" t="s">
        <v>370</v>
      </c>
    </row>
    <row r="45" spans="1:11" x14ac:dyDescent="0.3">
      <c r="A45" t="s">
        <v>479</v>
      </c>
      <c r="B45" t="s">
        <v>117</v>
      </c>
      <c r="C45" t="s">
        <v>71</v>
      </c>
      <c r="D45" t="s">
        <v>114</v>
      </c>
      <c r="E45" t="s">
        <v>66</v>
      </c>
      <c r="F45">
        <v>3</v>
      </c>
      <c r="G45">
        <v>0</v>
      </c>
      <c r="H45">
        <v>3</v>
      </c>
      <c r="J45">
        <v>3</v>
      </c>
      <c r="K45" t="s">
        <v>370</v>
      </c>
    </row>
    <row r="46" spans="1:11" x14ac:dyDescent="0.3">
      <c r="A46" t="s">
        <v>479</v>
      </c>
      <c r="B46" t="s">
        <v>117</v>
      </c>
      <c r="C46" t="s">
        <v>71</v>
      </c>
      <c r="D46" t="s">
        <v>116</v>
      </c>
      <c r="E46" t="s">
        <v>66</v>
      </c>
      <c r="F46">
        <v>4</v>
      </c>
      <c r="G46">
        <v>0</v>
      </c>
      <c r="H46">
        <v>4</v>
      </c>
      <c r="J46">
        <v>4</v>
      </c>
      <c r="K46" t="s">
        <v>370</v>
      </c>
    </row>
    <row r="47" spans="1:11" x14ac:dyDescent="0.3">
      <c r="A47" t="s">
        <v>479</v>
      </c>
      <c r="B47" t="s">
        <v>117</v>
      </c>
      <c r="C47" t="s">
        <v>64</v>
      </c>
      <c r="D47" t="s">
        <v>288</v>
      </c>
      <c r="E47" t="s">
        <v>140</v>
      </c>
      <c r="F47">
        <v>0</v>
      </c>
      <c r="G47">
        <v>0</v>
      </c>
      <c r="H47">
        <v>0</v>
      </c>
    </row>
    <row r="48" spans="1:11" x14ac:dyDescent="0.3">
      <c r="A48" t="s">
        <v>479</v>
      </c>
      <c r="B48" t="s">
        <v>117</v>
      </c>
      <c r="C48" t="s">
        <v>64</v>
      </c>
      <c r="D48" t="s">
        <v>289</v>
      </c>
      <c r="E48" t="s">
        <v>140</v>
      </c>
      <c r="F48">
        <v>0</v>
      </c>
      <c r="G48">
        <v>0</v>
      </c>
      <c r="H48">
        <v>0</v>
      </c>
    </row>
    <row r="49" spans="1:8" x14ac:dyDescent="0.3">
      <c r="A49" t="s">
        <v>479</v>
      </c>
      <c r="B49" t="s">
        <v>117</v>
      </c>
      <c r="C49" t="s">
        <v>64</v>
      </c>
      <c r="D49" t="s">
        <v>290</v>
      </c>
      <c r="E49" t="s">
        <v>140</v>
      </c>
      <c r="F49">
        <v>0</v>
      </c>
      <c r="G49">
        <v>0</v>
      </c>
      <c r="H49">
        <v>0</v>
      </c>
    </row>
    <row r="50" spans="1:8" x14ac:dyDescent="0.3">
      <c r="A50" t="s">
        <v>479</v>
      </c>
      <c r="B50" t="s">
        <v>117</v>
      </c>
      <c r="C50" t="s">
        <v>64</v>
      </c>
      <c r="D50" t="s">
        <v>291</v>
      </c>
      <c r="E50" t="s">
        <v>140</v>
      </c>
      <c r="F50">
        <v>0</v>
      </c>
      <c r="G50">
        <v>0</v>
      </c>
      <c r="H50">
        <v>0</v>
      </c>
    </row>
    <row r="51" spans="1:8" x14ac:dyDescent="0.3">
      <c r="A51" t="s">
        <v>479</v>
      </c>
      <c r="B51" t="s">
        <v>117</v>
      </c>
      <c r="C51" t="s">
        <v>64</v>
      </c>
      <c r="D51" t="s">
        <v>292</v>
      </c>
      <c r="E51" t="s">
        <v>140</v>
      </c>
      <c r="F51">
        <v>0</v>
      </c>
      <c r="G51">
        <v>0</v>
      </c>
      <c r="H51">
        <v>0</v>
      </c>
    </row>
    <row r="52" spans="1:8" x14ac:dyDescent="0.3">
      <c r="A52" t="s">
        <v>479</v>
      </c>
      <c r="B52" t="s">
        <v>117</v>
      </c>
      <c r="C52" t="s">
        <v>64</v>
      </c>
      <c r="D52" t="s">
        <v>275</v>
      </c>
      <c r="E52" t="s">
        <v>140</v>
      </c>
      <c r="F52">
        <v>0</v>
      </c>
      <c r="G52">
        <v>0</v>
      </c>
      <c r="H52">
        <v>0</v>
      </c>
    </row>
    <row r="53" spans="1:8" x14ac:dyDescent="0.3">
      <c r="A53" t="s">
        <v>479</v>
      </c>
      <c r="B53" t="s">
        <v>117</v>
      </c>
      <c r="C53" t="s">
        <v>64</v>
      </c>
      <c r="D53" t="s">
        <v>276</v>
      </c>
      <c r="E53" t="s">
        <v>140</v>
      </c>
      <c r="F53">
        <v>0</v>
      </c>
      <c r="G53">
        <v>0</v>
      </c>
      <c r="H53">
        <v>0</v>
      </c>
    </row>
    <row r="54" spans="1:8" x14ac:dyDescent="0.3">
      <c r="A54" t="s">
        <v>479</v>
      </c>
      <c r="B54" t="s">
        <v>117</v>
      </c>
      <c r="C54" t="s">
        <v>64</v>
      </c>
      <c r="D54" t="s">
        <v>276</v>
      </c>
      <c r="E54" t="s">
        <v>65</v>
      </c>
      <c r="F54">
        <v>0</v>
      </c>
      <c r="G54">
        <v>0</v>
      </c>
      <c r="H54">
        <v>0</v>
      </c>
    </row>
    <row r="55" spans="1:8" x14ac:dyDescent="0.3">
      <c r="A55" t="s">
        <v>479</v>
      </c>
      <c r="B55" t="s">
        <v>117</v>
      </c>
      <c r="C55" t="s">
        <v>64</v>
      </c>
      <c r="D55" t="s">
        <v>293</v>
      </c>
      <c r="E55" t="s">
        <v>65</v>
      </c>
      <c r="F55">
        <v>0</v>
      </c>
      <c r="G55">
        <v>0</v>
      </c>
      <c r="H55">
        <v>0</v>
      </c>
    </row>
    <row r="56" spans="1:8" x14ac:dyDescent="0.3">
      <c r="A56" t="s">
        <v>479</v>
      </c>
      <c r="B56" t="s">
        <v>117</v>
      </c>
      <c r="C56" t="s">
        <v>64</v>
      </c>
      <c r="D56" t="s">
        <v>124</v>
      </c>
      <c r="E56" t="s">
        <v>66</v>
      </c>
      <c r="F56">
        <v>0</v>
      </c>
      <c r="G56">
        <v>0</v>
      </c>
      <c r="H56">
        <v>0</v>
      </c>
    </row>
    <row r="57" spans="1:8" x14ac:dyDescent="0.3">
      <c r="A57" t="s">
        <v>479</v>
      </c>
      <c r="B57" t="s">
        <v>117</v>
      </c>
      <c r="C57" t="s">
        <v>64</v>
      </c>
      <c r="D57" t="s">
        <v>125</v>
      </c>
      <c r="E57" t="s">
        <v>67</v>
      </c>
      <c r="F57">
        <v>0</v>
      </c>
      <c r="G57">
        <v>0</v>
      </c>
      <c r="H57">
        <v>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3BF2-126B-47B1-96C8-00886A9B8F61}">
  <dimension ref="A1:K88"/>
  <sheetViews>
    <sheetView workbookViewId="0">
      <selection activeCell="D24" sqref="D24"/>
    </sheetView>
  </sheetViews>
  <sheetFormatPr baseColWidth="10" defaultRowHeight="14.4" x14ac:dyDescent="0.3"/>
  <cols>
    <col min="1" max="1" width="43.6640625" bestFit="1" customWidth="1"/>
    <col min="2" max="2" width="20.44140625" bestFit="1" customWidth="1"/>
    <col min="3" max="3" width="24.77734375" bestFit="1" customWidth="1"/>
    <col min="4" max="4" width="80.88671875" bestFit="1" customWidth="1"/>
    <col min="5" max="5" width="51.441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488</v>
      </c>
      <c r="B2" t="s">
        <v>80</v>
      </c>
      <c r="C2" t="s">
        <v>21</v>
      </c>
      <c r="D2" t="s">
        <v>139</v>
      </c>
      <c r="E2" t="s">
        <v>140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488</v>
      </c>
      <c r="B3" t="s">
        <v>80</v>
      </c>
      <c r="C3" t="s">
        <v>21</v>
      </c>
      <c r="D3" t="s">
        <v>166</v>
      </c>
      <c r="E3" t="s">
        <v>144</v>
      </c>
      <c r="F3">
        <v>5</v>
      </c>
      <c r="H3">
        <v>5</v>
      </c>
      <c r="J3">
        <v>5</v>
      </c>
      <c r="K3" t="s">
        <v>370</v>
      </c>
    </row>
    <row r="4" spans="1:11" x14ac:dyDescent="0.3">
      <c r="A4" t="s">
        <v>488</v>
      </c>
      <c r="B4" t="s">
        <v>80</v>
      </c>
      <c r="C4" t="s">
        <v>21</v>
      </c>
      <c r="D4" t="s">
        <v>279</v>
      </c>
      <c r="E4" t="s">
        <v>140</v>
      </c>
      <c r="F4">
        <v>0</v>
      </c>
      <c r="H4">
        <v>0</v>
      </c>
      <c r="J4">
        <v>0</v>
      </c>
      <c r="K4" t="s">
        <v>370</v>
      </c>
    </row>
    <row r="5" spans="1:11" x14ac:dyDescent="0.3">
      <c r="A5" t="s">
        <v>488</v>
      </c>
      <c r="B5" t="s">
        <v>80</v>
      </c>
      <c r="C5" t="s">
        <v>21</v>
      </c>
      <c r="D5" t="s">
        <v>280</v>
      </c>
      <c r="E5" t="s">
        <v>81</v>
      </c>
      <c r="F5">
        <v>2</v>
      </c>
      <c r="H5">
        <v>2</v>
      </c>
      <c r="J5">
        <v>2</v>
      </c>
      <c r="K5" t="s">
        <v>370</v>
      </c>
    </row>
    <row r="6" spans="1:11" x14ac:dyDescent="0.3">
      <c r="A6" t="s">
        <v>488</v>
      </c>
      <c r="B6" t="s">
        <v>80</v>
      </c>
      <c r="C6" t="s">
        <v>21</v>
      </c>
      <c r="D6" t="s">
        <v>87</v>
      </c>
      <c r="E6" t="s">
        <v>269</v>
      </c>
      <c r="F6">
        <v>3</v>
      </c>
      <c r="H6">
        <v>3</v>
      </c>
      <c r="J6">
        <v>3</v>
      </c>
      <c r="K6" t="s">
        <v>370</v>
      </c>
    </row>
    <row r="7" spans="1:11" x14ac:dyDescent="0.3">
      <c r="A7" t="s">
        <v>488</v>
      </c>
      <c r="B7" t="s">
        <v>80</v>
      </c>
      <c r="C7" t="s">
        <v>21</v>
      </c>
      <c r="D7" t="s">
        <v>455</v>
      </c>
      <c r="E7" t="s">
        <v>269</v>
      </c>
      <c r="F7">
        <v>14</v>
      </c>
      <c r="H7">
        <v>14</v>
      </c>
      <c r="J7">
        <v>14</v>
      </c>
      <c r="K7" t="s">
        <v>370</v>
      </c>
    </row>
    <row r="8" spans="1:11" x14ac:dyDescent="0.3">
      <c r="A8" t="s">
        <v>488</v>
      </c>
      <c r="B8" t="s">
        <v>80</v>
      </c>
      <c r="C8" t="s">
        <v>21</v>
      </c>
      <c r="D8" t="s">
        <v>456</v>
      </c>
      <c r="E8" t="s">
        <v>269</v>
      </c>
      <c r="F8">
        <v>0</v>
      </c>
      <c r="G8">
        <v>8</v>
      </c>
      <c r="H8">
        <v>8</v>
      </c>
      <c r="J8">
        <v>8</v>
      </c>
      <c r="K8" t="s">
        <v>370</v>
      </c>
    </row>
    <row r="9" spans="1:11" x14ac:dyDescent="0.3">
      <c r="A9" t="s">
        <v>488</v>
      </c>
      <c r="B9" t="s">
        <v>80</v>
      </c>
      <c r="C9" t="s">
        <v>21</v>
      </c>
      <c r="D9" t="s">
        <v>285</v>
      </c>
      <c r="E9" t="s">
        <v>81</v>
      </c>
      <c r="F9">
        <v>1</v>
      </c>
      <c r="H9">
        <v>1</v>
      </c>
      <c r="J9">
        <v>1</v>
      </c>
      <c r="K9" t="s">
        <v>370</v>
      </c>
    </row>
    <row r="10" spans="1:11" x14ac:dyDescent="0.3">
      <c r="A10" t="s">
        <v>488</v>
      </c>
      <c r="B10" t="s">
        <v>80</v>
      </c>
      <c r="C10" t="s">
        <v>21</v>
      </c>
      <c r="D10" t="s">
        <v>118</v>
      </c>
      <c r="E10" t="s">
        <v>81</v>
      </c>
      <c r="F10">
        <v>0.5</v>
      </c>
      <c r="H10">
        <v>0.5</v>
      </c>
      <c r="J10">
        <v>0.5</v>
      </c>
      <c r="K10" t="s">
        <v>370</v>
      </c>
    </row>
    <row r="11" spans="1:11" x14ac:dyDescent="0.3">
      <c r="A11" t="s">
        <v>488</v>
      </c>
      <c r="B11" t="s">
        <v>80</v>
      </c>
      <c r="C11" t="s">
        <v>21</v>
      </c>
      <c r="D11" t="s">
        <v>282</v>
      </c>
      <c r="E11" t="s">
        <v>81</v>
      </c>
      <c r="F11">
        <v>1</v>
      </c>
      <c r="H11">
        <v>1</v>
      </c>
      <c r="J11">
        <v>1</v>
      </c>
      <c r="K11" t="s">
        <v>370</v>
      </c>
    </row>
    <row r="12" spans="1:11" x14ac:dyDescent="0.3">
      <c r="A12" t="s">
        <v>488</v>
      </c>
      <c r="B12" t="s">
        <v>80</v>
      </c>
      <c r="C12" t="s">
        <v>21</v>
      </c>
      <c r="D12" t="s">
        <v>489</v>
      </c>
      <c r="E12" t="s">
        <v>81</v>
      </c>
      <c r="F12">
        <v>1</v>
      </c>
      <c r="H12">
        <v>1</v>
      </c>
      <c r="J12">
        <v>1</v>
      </c>
      <c r="K12" t="s">
        <v>370</v>
      </c>
    </row>
    <row r="13" spans="1:11" x14ac:dyDescent="0.3">
      <c r="A13" t="s">
        <v>488</v>
      </c>
      <c r="B13" t="s">
        <v>80</v>
      </c>
      <c r="C13" t="s">
        <v>21</v>
      </c>
      <c r="D13" t="s">
        <v>204</v>
      </c>
      <c r="E13" t="s">
        <v>81</v>
      </c>
      <c r="F13">
        <v>2</v>
      </c>
      <c r="H13">
        <v>2</v>
      </c>
      <c r="J13">
        <v>2</v>
      </c>
      <c r="K13" t="s">
        <v>370</v>
      </c>
    </row>
    <row r="14" spans="1:11" x14ac:dyDescent="0.3">
      <c r="A14" t="s">
        <v>488</v>
      </c>
      <c r="B14" t="s">
        <v>80</v>
      </c>
      <c r="C14" t="s">
        <v>21</v>
      </c>
      <c r="D14" t="s">
        <v>133</v>
      </c>
      <c r="E14" t="s">
        <v>81</v>
      </c>
      <c r="F14">
        <v>4</v>
      </c>
      <c r="H14">
        <v>4</v>
      </c>
      <c r="J14">
        <v>4</v>
      </c>
      <c r="K14" t="s">
        <v>370</v>
      </c>
    </row>
    <row r="15" spans="1:11" x14ac:dyDescent="0.3">
      <c r="A15" t="s">
        <v>488</v>
      </c>
      <c r="B15" t="s">
        <v>80</v>
      </c>
      <c r="C15" t="s">
        <v>21</v>
      </c>
      <c r="D15" t="s">
        <v>459</v>
      </c>
      <c r="E15" t="s">
        <v>81</v>
      </c>
      <c r="F15">
        <v>3</v>
      </c>
      <c r="H15">
        <v>3</v>
      </c>
      <c r="J15">
        <v>3</v>
      </c>
      <c r="K15" t="s">
        <v>370</v>
      </c>
    </row>
    <row r="16" spans="1:11" x14ac:dyDescent="0.3">
      <c r="A16" t="s">
        <v>488</v>
      </c>
      <c r="B16" t="s">
        <v>80</v>
      </c>
      <c r="C16" t="s">
        <v>21</v>
      </c>
      <c r="D16" t="s">
        <v>283</v>
      </c>
      <c r="E16" t="s">
        <v>81</v>
      </c>
      <c r="F16">
        <v>0.5</v>
      </c>
      <c r="H16">
        <v>0.5</v>
      </c>
      <c r="J16">
        <v>0.5</v>
      </c>
      <c r="K16" t="s">
        <v>370</v>
      </c>
    </row>
    <row r="17" spans="1:11" x14ac:dyDescent="0.3">
      <c r="A17" t="s">
        <v>488</v>
      </c>
      <c r="B17" t="s">
        <v>80</v>
      </c>
      <c r="C17" t="s">
        <v>21</v>
      </c>
      <c r="D17" t="s">
        <v>167</v>
      </c>
      <c r="E17" t="s">
        <v>144</v>
      </c>
      <c r="F17">
        <v>5</v>
      </c>
      <c r="H17">
        <v>5</v>
      </c>
      <c r="J17">
        <v>5</v>
      </c>
      <c r="K17" t="s">
        <v>370</v>
      </c>
    </row>
    <row r="18" spans="1:11" x14ac:dyDescent="0.3">
      <c r="A18" t="s">
        <v>488</v>
      </c>
      <c r="B18" t="s">
        <v>80</v>
      </c>
      <c r="C18" t="s">
        <v>21</v>
      </c>
      <c r="D18" t="s">
        <v>169</v>
      </c>
      <c r="E18" t="s">
        <v>144</v>
      </c>
      <c r="F18">
        <v>5</v>
      </c>
      <c r="H18">
        <v>5</v>
      </c>
      <c r="J18">
        <v>5</v>
      </c>
      <c r="K18" t="s">
        <v>370</v>
      </c>
    </row>
    <row r="19" spans="1:11" x14ac:dyDescent="0.3">
      <c r="A19" t="s">
        <v>488</v>
      </c>
      <c r="B19" t="s">
        <v>80</v>
      </c>
      <c r="C19" t="s">
        <v>21</v>
      </c>
      <c r="D19" t="s">
        <v>168</v>
      </c>
      <c r="E19" t="s">
        <v>83</v>
      </c>
      <c r="F19">
        <v>0</v>
      </c>
      <c r="H19">
        <v>0</v>
      </c>
      <c r="J19">
        <v>0</v>
      </c>
      <c r="K19" t="s">
        <v>370</v>
      </c>
    </row>
    <row r="20" spans="1:11" x14ac:dyDescent="0.3">
      <c r="A20" t="s">
        <v>488</v>
      </c>
      <c r="B20" t="s">
        <v>80</v>
      </c>
      <c r="C20" t="s">
        <v>21</v>
      </c>
      <c r="D20" t="s">
        <v>171</v>
      </c>
      <c r="E20" t="s">
        <v>170</v>
      </c>
      <c r="F20">
        <v>0</v>
      </c>
      <c r="H20">
        <v>0</v>
      </c>
      <c r="J20">
        <v>0</v>
      </c>
      <c r="K20" t="s">
        <v>370</v>
      </c>
    </row>
    <row r="21" spans="1:11" x14ac:dyDescent="0.3">
      <c r="A21" t="s">
        <v>488</v>
      </c>
      <c r="B21" t="s">
        <v>80</v>
      </c>
      <c r="C21" t="s">
        <v>21</v>
      </c>
      <c r="D21" t="s">
        <v>457</v>
      </c>
      <c r="E21" t="s">
        <v>81</v>
      </c>
      <c r="F21">
        <v>14</v>
      </c>
      <c r="H21">
        <v>14</v>
      </c>
      <c r="J21">
        <v>14</v>
      </c>
      <c r="K21" t="s">
        <v>370</v>
      </c>
    </row>
    <row r="22" spans="1:11" x14ac:dyDescent="0.3">
      <c r="A22" t="s">
        <v>488</v>
      </c>
      <c r="B22" t="s">
        <v>80</v>
      </c>
      <c r="C22" t="s">
        <v>21</v>
      </c>
      <c r="D22" t="s">
        <v>458</v>
      </c>
      <c r="E22" t="s">
        <v>81</v>
      </c>
      <c r="F22">
        <v>0</v>
      </c>
      <c r="G22">
        <v>2</v>
      </c>
      <c r="H22">
        <v>2</v>
      </c>
      <c r="J22">
        <v>2</v>
      </c>
      <c r="K22" t="s">
        <v>370</v>
      </c>
    </row>
    <row r="23" spans="1:11" x14ac:dyDescent="0.3">
      <c r="A23" t="s">
        <v>488</v>
      </c>
      <c r="B23" t="s">
        <v>80</v>
      </c>
      <c r="C23" t="s">
        <v>58</v>
      </c>
      <c r="D23" t="s">
        <v>90</v>
      </c>
      <c r="E23" t="s">
        <v>81</v>
      </c>
      <c r="F23">
        <v>2</v>
      </c>
      <c r="H23">
        <v>2</v>
      </c>
      <c r="J23">
        <v>2</v>
      </c>
      <c r="K23" t="s">
        <v>370</v>
      </c>
    </row>
    <row r="24" spans="1:11" x14ac:dyDescent="0.3">
      <c r="A24" t="s">
        <v>488</v>
      </c>
      <c r="B24" t="s">
        <v>80</v>
      </c>
      <c r="C24" t="s">
        <v>58</v>
      </c>
      <c r="D24" t="s">
        <v>223</v>
      </c>
      <c r="E24" t="s">
        <v>81</v>
      </c>
      <c r="F24">
        <v>5</v>
      </c>
      <c r="H24">
        <v>5</v>
      </c>
      <c r="J24">
        <v>5</v>
      </c>
      <c r="K24" t="s">
        <v>370</v>
      </c>
    </row>
    <row r="25" spans="1:11" x14ac:dyDescent="0.3">
      <c r="A25" t="s">
        <v>488</v>
      </c>
      <c r="B25" t="s">
        <v>80</v>
      </c>
      <c r="C25" t="s">
        <v>58</v>
      </c>
      <c r="D25" t="s">
        <v>172</v>
      </c>
      <c r="E25" t="s">
        <v>81</v>
      </c>
      <c r="F25">
        <v>2</v>
      </c>
      <c r="H25">
        <v>2</v>
      </c>
      <c r="J25">
        <v>2</v>
      </c>
      <c r="K25" t="s">
        <v>370</v>
      </c>
    </row>
    <row r="26" spans="1:11" x14ac:dyDescent="0.3">
      <c r="A26" t="s">
        <v>488</v>
      </c>
      <c r="B26" t="s">
        <v>80</v>
      </c>
      <c r="C26" t="s">
        <v>58</v>
      </c>
      <c r="D26" t="s">
        <v>463</v>
      </c>
      <c r="E26" t="s">
        <v>65</v>
      </c>
      <c r="F26">
        <v>0</v>
      </c>
      <c r="G26">
        <v>3</v>
      </c>
      <c r="H26">
        <v>3</v>
      </c>
      <c r="J26">
        <v>3</v>
      </c>
      <c r="K26" t="s">
        <v>370</v>
      </c>
    </row>
    <row r="27" spans="1:11" x14ac:dyDescent="0.3">
      <c r="A27" t="s">
        <v>488</v>
      </c>
      <c r="B27" t="s">
        <v>80</v>
      </c>
      <c r="C27" t="s">
        <v>58</v>
      </c>
      <c r="D27" t="s">
        <v>91</v>
      </c>
      <c r="E27" t="s">
        <v>65</v>
      </c>
      <c r="F27">
        <v>8</v>
      </c>
      <c r="H27">
        <v>8</v>
      </c>
      <c r="J27">
        <v>8</v>
      </c>
      <c r="K27" t="s">
        <v>370</v>
      </c>
    </row>
    <row r="28" spans="1:11" x14ac:dyDescent="0.3">
      <c r="A28" t="s">
        <v>488</v>
      </c>
      <c r="B28" t="s">
        <v>80</v>
      </c>
      <c r="C28" t="s">
        <v>58</v>
      </c>
      <c r="D28" t="s">
        <v>225</v>
      </c>
      <c r="E28" t="s">
        <v>81</v>
      </c>
      <c r="F28">
        <v>3</v>
      </c>
      <c r="H28">
        <v>3</v>
      </c>
      <c r="J28">
        <v>3</v>
      </c>
      <c r="K28" t="s">
        <v>370</v>
      </c>
    </row>
    <row r="29" spans="1:11" x14ac:dyDescent="0.3">
      <c r="A29" t="s">
        <v>488</v>
      </c>
      <c r="B29" t="s">
        <v>80</v>
      </c>
      <c r="C29" t="s">
        <v>58</v>
      </c>
      <c r="D29" t="s">
        <v>226</v>
      </c>
      <c r="E29" t="s">
        <v>81</v>
      </c>
      <c r="F29">
        <v>5</v>
      </c>
      <c r="H29">
        <v>5</v>
      </c>
      <c r="J29">
        <v>5</v>
      </c>
      <c r="K29" t="s">
        <v>370</v>
      </c>
    </row>
    <row r="30" spans="1:11" x14ac:dyDescent="0.3">
      <c r="A30" t="s">
        <v>488</v>
      </c>
      <c r="B30" t="s">
        <v>80</v>
      </c>
      <c r="C30" t="s">
        <v>58</v>
      </c>
      <c r="D30" t="s">
        <v>227</v>
      </c>
      <c r="E30" t="s">
        <v>65</v>
      </c>
      <c r="F30">
        <v>2</v>
      </c>
      <c r="H30">
        <v>2</v>
      </c>
      <c r="J30">
        <v>2</v>
      </c>
      <c r="K30" t="s">
        <v>370</v>
      </c>
    </row>
    <row r="31" spans="1:11" x14ac:dyDescent="0.3">
      <c r="A31" t="s">
        <v>488</v>
      </c>
      <c r="B31" t="s">
        <v>80</v>
      </c>
      <c r="C31" t="s">
        <v>58</v>
      </c>
      <c r="D31" t="s">
        <v>94</v>
      </c>
      <c r="E31" t="s">
        <v>81</v>
      </c>
      <c r="F31">
        <v>3</v>
      </c>
      <c r="H31">
        <v>3</v>
      </c>
      <c r="J31">
        <v>3</v>
      </c>
      <c r="K31" t="s">
        <v>370</v>
      </c>
    </row>
    <row r="32" spans="1:11" x14ac:dyDescent="0.3">
      <c r="A32" t="s">
        <v>488</v>
      </c>
      <c r="B32" t="s">
        <v>80</v>
      </c>
      <c r="C32" t="s">
        <v>58</v>
      </c>
      <c r="D32" t="s">
        <v>95</v>
      </c>
      <c r="E32" t="s">
        <v>81</v>
      </c>
      <c r="F32">
        <v>7</v>
      </c>
      <c r="H32">
        <v>7</v>
      </c>
      <c r="J32">
        <v>7</v>
      </c>
      <c r="K32" t="s">
        <v>370</v>
      </c>
    </row>
    <row r="33" spans="1:11" x14ac:dyDescent="0.3">
      <c r="A33" t="s">
        <v>488</v>
      </c>
      <c r="B33" t="s">
        <v>80</v>
      </c>
      <c r="C33" t="s">
        <v>58</v>
      </c>
      <c r="D33" t="s">
        <v>98</v>
      </c>
      <c r="E33" t="s">
        <v>81</v>
      </c>
      <c r="F33">
        <v>2</v>
      </c>
      <c r="H33">
        <v>2</v>
      </c>
      <c r="J33">
        <v>2</v>
      </c>
      <c r="K33" t="s">
        <v>370</v>
      </c>
    </row>
    <row r="34" spans="1:11" x14ac:dyDescent="0.3">
      <c r="A34" t="s">
        <v>488</v>
      </c>
      <c r="B34" t="s">
        <v>80</v>
      </c>
      <c r="C34" t="s">
        <v>58</v>
      </c>
      <c r="D34" t="s">
        <v>175</v>
      </c>
      <c r="E34" t="s">
        <v>144</v>
      </c>
      <c r="F34">
        <v>9</v>
      </c>
      <c r="H34">
        <v>9</v>
      </c>
      <c r="J34">
        <v>9</v>
      </c>
      <c r="K34" t="s">
        <v>370</v>
      </c>
    </row>
    <row r="35" spans="1:11" x14ac:dyDescent="0.3">
      <c r="A35" t="s">
        <v>488</v>
      </c>
      <c r="B35" t="s">
        <v>80</v>
      </c>
      <c r="C35" t="s">
        <v>58</v>
      </c>
      <c r="D35" t="s">
        <v>176</v>
      </c>
      <c r="E35" t="s">
        <v>83</v>
      </c>
      <c r="F35">
        <v>0</v>
      </c>
      <c r="H35">
        <v>0</v>
      </c>
      <c r="J35">
        <v>0</v>
      </c>
      <c r="K35" t="s">
        <v>370</v>
      </c>
    </row>
    <row r="36" spans="1:11" x14ac:dyDescent="0.3">
      <c r="A36" t="s">
        <v>488</v>
      </c>
      <c r="B36" t="s">
        <v>80</v>
      </c>
      <c r="C36" t="s">
        <v>58</v>
      </c>
      <c r="D36" t="s">
        <v>177</v>
      </c>
      <c r="E36" t="s">
        <v>170</v>
      </c>
      <c r="F36">
        <v>0</v>
      </c>
      <c r="H36">
        <v>0</v>
      </c>
      <c r="J36">
        <v>0</v>
      </c>
      <c r="K36" t="s">
        <v>370</v>
      </c>
    </row>
    <row r="37" spans="1:11" x14ac:dyDescent="0.3">
      <c r="A37" t="s">
        <v>488</v>
      </c>
      <c r="B37" t="s">
        <v>80</v>
      </c>
      <c r="C37" t="s">
        <v>58</v>
      </c>
      <c r="D37" t="s">
        <v>178</v>
      </c>
      <c r="E37" t="s">
        <v>144</v>
      </c>
      <c r="F37">
        <v>9</v>
      </c>
      <c r="H37">
        <v>9</v>
      </c>
      <c r="J37">
        <v>9</v>
      </c>
      <c r="K37" t="s">
        <v>370</v>
      </c>
    </row>
    <row r="38" spans="1:11" x14ac:dyDescent="0.3">
      <c r="A38" t="s">
        <v>488</v>
      </c>
      <c r="B38" t="s">
        <v>80</v>
      </c>
      <c r="C38" t="s">
        <v>58</v>
      </c>
      <c r="D38" t="s">
        <v>462</v>
      </c>
      <c r="E38" t="s">
        <v>81</v>
      </c>
      <c r="F38">
        <v>1</v>
      </c>
      <c r="H38">
        <v>1</v>
      </c>
      <c r="J38">
        <v>1</v>
      </c>
      <c r="K38" t="s">
        <v>370</v>
      </c>
    </row>
    <row r="39" spans="1:11" x14ac:dyDescent="0.3">
      <c r="A39" t="s">
        <v>488</v>
      </c>
      <c r="B39" t="s">
        <v>80</v>
      </c>
      <c r="C39" t="s">
        <v>58</v>
      </c>
      <c r="D39" t="s">
        <v>99</v>
      </c>
      <c r="E39" t="s">
        <v>81</v>
      </c>
      <c r="F39">
        <v>1</v>
      </c>
      <c r="H39">
        <v>1</v>
      </c>
      <c r="J39">
        <v>1</v>
      </c>
      <c r="K39" t="s">
        <v>370</v>
      </c>
    </row>
    <row r="40" spans="1:11" x14ac:dyDescent="0.3">
      <c r="A40" t="s">
        <v>488</v>
      </c>
      <c r="B40" t="s">
        <v>80</v>
      </c>
      <c r="C40" t="s">
        <v>70</v>
      </c>
      <c r="D40" t="s">
        <v>181</v>
      </c>
      <c r="E40" t="s">
        <v>81</v>
      </c>
      <c r="F40">
        <v>2</v>
      </c>
      <c r="H40">
        <v>2</v>
      </c>
      <c r="J40">
        <v>2</v>
      </c>
      <c r="K40" t="s">
        <v>370</v>
      </c>
    </row>
    <row r="41" spans="1:11" x14ac:dyDescent="0.3">
      <c r="A41" t="s">
        <v>488</v>
      </c>
      <c r="B41" t="s">
        <v>80</v>
      </c>
      <c r="C41" t="s">
        <v>70</v>
      </c>
      <c r="D41" t="s">
        <v>101</v>
      </c>
      <c r="E41" t="s">
        <v>81</v>
      </c>
      <c r="F41">
        <v>2</v>
      </c>
      <c r="H41">
        <v>2</v>
      </c>
      <c r="J41">
        <v>2</v>
      </c>
      <c r="K41" t="s">
        <v>370</v>
      </c>
    </row>
    <row r="42" spans="1:11" x14ac:dyDescent="0.3">
      <c r="A42" t="s">
        <v>488</v>
      </c>
      <c r="B42" t="s">
        <v>80</v>
      </c>
      <c r="C42" t="s">
        <v>70</v>
      </c>
      <c r="D42" t="s">
        <v>182</v>
      </c>
      <c r="E42" t="s">
        <v>81</v>
      </c>
      <c r="F42">
        <v>9</v>
      </c>
      <c r="H42">
        <v>9</v>
      </c>
      <c r="J42">
        <v>9</v>
      </c>
      <c r="K42" t="s">
        <v>370</v>
      </c>
    </row>
    <row r="43" spans="1:11" x14ac:dyDescent="0.3">
      <c r="A43" t="s">
        <v>488</v>
      </c>
      <c r="B43" t="s">
        <v>80</v>
      </c>
      <c r="C43" t="s">
        <v>70</v>
      </c>
      <c r="D43" t="s">
        <v>103</v>
      </c>
      <c r="E43" t="s">
        <v>81</v>
      </c>
      <c r="F43">
        <v>9</v>
      </c>
      <c r="H43">
        <v>9</v>
      </c>
      <c r="J43">
        <v>9</v>
      </c>
      <c r="K43" t="s">
        <v>370</v>
      </c>
    </row>
    <row r="44" spans="1:11" x14ac:dyDescent="0.3">
      <c r="A44" t="s">
        <v>488</v>
      </c>
      <c r="B44" t="s">
        <v>80</v>
      </c>
      <c r="C44" t="s">
        <v>70</v>
      </c>
      <c r="D44" t="s">
        <v>104</v>
      </c>
      <c r="E44" t="s">
        <v>81</v>
      </c>
      <c r="F44">
        <v>7</v>
      </c>
      <c r="H44">
        <v>7</v>
      </c>
      <c r="J44">
        <v>7</v>
      </c>
      <c r="K44" t="s">
        <v>370</v>
      </c>
    </row>
    <row r="45" spans="1:11" x14ac:dyDescent="0.3">
      <c r="A45" t="s">
        <v>488</v>
      </c>
      <c r="B45" t="s">
        <v>80</v>
      </c>
      <c r="C45" t="s">
        <v>70</v>
      </c>
      <c r="D45" t="s">
        <v>490</v>
      </c>
      <c r="E45" t="s">
        <v>81</v>
      </c>
      <c r="F45">
        <v>3</v>
      </c>
      <c r="H45">
        <v>3</v>
      </c>
      <c r="J45">
        <v>3</v>
      </c>
      <c r="K45" t="s">
        <v>370</v>
      </c>
    </row>
    <row r="46" spans="1:11" x14ac:dyDescent="0.3">
      <c r="A46" t="s">
        <v>488</v>
      </c>
      <c r="B46" t="s">
        <v>80</v>
      </c>
      <c r="C46" t="s">
        <v>70</v>
      </c>
      <c r="D46" t="s">
        <v>105</v>
      </c>
      <c r="E46" t="s">
        <v>81</v>
      </c>
      <c r="F46">
        <v>4</v>
      </c>
      <c r="H46">
        <v>4</v>
      </c>
      <c r="J46">
        <v>4</v>
      </c>
      <c r="K46" t="s">
        <v>370</v>
      </c>
    </row>
    <row r="47" spans="1:11" x14ac:dyDescent="0.3">
      <c r="A47" t="s">
        <v>488</v>
      </c>
      <c r="B47" t="s">
        <v>80</v>
      </c>
      <c r="C47" t="s">
        <v>70</v>
      </c>
      <c r="D47" t="s">
        <v>183</v>
      </c>
      <c r="E47" t="s">
        <v>144</v>
      </c>
      <c r="F47">
        <v>1</v>
      </c>
      <c r="H47">
        <v>1</v>
      </c>
      <c r="J47">
        <v>1</v>
      </c>
      <c r="K47" t="s">
        <v>370</v>
      </c>
    </row>
    <row r="48" spans="1:11" x14ac:dyDescent="0.3">
      <c r="A48" t="s">
        <v>488</v>
      </c>
      <c r="B48" t="s">
        <v>80</v>
      </c>
      <c r="C48" t="s">
        <v>70</v>
      </c>
      <c r="D48" t="s">
        <v>184</v>
      </c>
      <c r="E48" t="s">
        <v>83</v>
      </c>
      <c r="F48">
        <v>5</v>
      </c>
      <c r="H48">
        <v>5</v>
      </c>
      <c r="J48">
        <v>5</v>
      </c>
      <c r="K48" t="s">
        <v>370</v>
      </c>
    </row>
    <row r="49" spans="1:11" x14ac:dyDescent="0.3">
      <c r="A49" t="s">
        <v>488</v>
      </c>
      <c r="B49" t="s">
        <v>80</v>
      </c>
      <c r="C49" t="s">
        <v>70</v>
      </c>
      <c r="D49" t="s">
        <v>185</v>
      </c>
      <c r="E49" t="s">
        <v>170</v>
      </c>
      <c r="F49">
        <v>0</v>
      </c>
      <c r="H49">
        <v>0</v>
      </c>
      <c r="J49">
        <v>0</v>
      </c>
      <c r="K49" t="s">
        <v>370</v>
      </c>
    </row>
    <row r="50" spans="1:11" x14ac:dyDescent="0.3">
      <c r="A50" t="s">
        <v>488</v>
      </c>
      <c r="B50" t="s">
        <v>80</v>
      </c>
      <c r="C50" t="s">
        <v>70</v>
      </c>
      <c r="D50" t="s">
        <v>186</v>
      </c>
      <c r="E50" t="s">
        <v>144</v>
      </c>
      <c r="F50">
        <v>5</v>
      </c>
      <c r="H50">
        <v>5</v>
      </c>
      <c r="J50">
        <v>5</v>
      </c>
      <c r="K50" t="s">
        <v>370</v>
      </c>
    </row>
    <row r="51" spans="1:11" x14ac:dyDescent="0.3">
      <c r="A51" t="s">
        <v>488</v>
      </c>
      <c r="B51" t="s">
        <v>80</v>
      </c>
      <c r="C51" t="s">
        <v>70</v>
      </c>
      <c r="D51" t="s">
        <v>491</v>
      </c>
      <c r="E51" t="s">
        <v>81</v>
      </c>
      <c r="F51">
        <v>0</v>
      </c>
      <c r="G51">
        <v>2</v>
      </c>
      <c r="H51">
        <v>2</v>
      </c>
      <c r="J51">
        <v>2</v>
      </c>
      <c r="K51" t="s">
        <v>370</v>
      </c>
    </row>
    <row r="52" spans="1:11" x14ac:dyDescent="0.3">
      <c r="A52" t="s">
        <v>488</v>
      </c>
      <c r="B52" t="s">
        <v>80</v>
      </c>
      <c r="C52" t="s">
        <v>69</v>
      </c>
      <c r="D52" t="s">
        <v>187</v>
      </c>
      <c r="E52" t="s">
        <v>81</v>
      </c>
      <c r="F52">
        <v>5</v>
      </c>
      <c r="H52">
        <v>5</v>
      </c>
      <c r="J52">
        <v>5</v>
      </c>
      <c r="K52" t="s">
        <v>370</v>
      </c>
    </row>
    <row r="53" spans="1:11" x14ac:dyDescent="0.3">
      <c r="A53" t="s">
        <v>488</v>
      </c>
      <c r="B53" t="s">
        <v>80</v>
      </c>
      <c r="C53" t="s">
        <v>69</v>
      </c>
      <c r="D53" t="s">
        <v>465</v>
      </c>
      <c r="E53" t="s">
        <v>65</v>
      </c>
      <c r="F53">
        <v>0.5</v>
      </c>
      <c r="H53">
        <v>0.5</v>
      </c>
      <c r="J53">
        <v>0.5</v>
      </c>
      <c r="K53" t="s">
        <v>370</v>
      </c>
    </row>
    <row r="54" spans="1:11" x14ac:dyDescent="0.3">
      <c r="A54" t="s">
        <v>488</v>
      </c>
      <c r="B54" t="s">
        <v>80</v>
      </c>
      <c r="C54" t="s">
        <v>69</v>
      </c>
      <c r="D54" t="s">
        <v>107</v>
      </c>
      <c r="E54" t="s">
        <v>81</v>
      </c>
      <c r="F54">
        <v>9</v>
      </c>
      <c r="H54">
        <v>9</v>
      </c>
      <c r="J54">
        <v>9</v>
      </c>
      <c r="K54" t="s">
        <v>370</v>
      </c>
    </row>
    <row r="55" spans="1:11" x14ac:dyDescent="0.3">
      <c r="A55" t="s">
        <v>488</v>
      </c>
      <c r="B55" t="s">
        <v>80</v>
      </c>
      <c r="C55" t="s">
        <v>69</v>
      </c>
      <c r="D55" t="s">
        <v>108</v>
      </c>
      <c r="E55" t="s">
        <v>81</v>
      </c>
      <c r="F55">
        <v>3</v>
      </c>
      <c r="H55">
        <v>3</v>
      </c>
      <c r="J55">
        <v>3</v>
      </c>
      <c r="K55" t="s">
        <v>370</v>
      </c>
    </row>
    <row r="56" spans="1:11" x14ac:dyDescent="0.3">
      <c r="A56" t="s">
        <v>488</v>
      </c>
      <c r="B56" t="s">
        <v>80</v>
      </c>
      <c r="C56" t="s">
        <v>69</v>
      </c>
      <c r="D56" t="s">
        <v>109</v>
      </c>
      <c r="E56" t="s">
        <v>81</v>
      </c>
      <c r="F56">
        <v>4</v>
      </c>
      <c r="H56">
        <v>4</v>
      </c>
      <c r="J56">
        <v>4</v>
      </c>
      <c r="K56" t="s">
        <v>370</v>
      </c>
    </row>
    <row r="57" spans="1:11" x14ac:dyDescent="0.3">
      <c r="A57" t="s">
        <v>488</v>
      </c>
      <c r="B57" t="s">
        <v>80</v>
      </c>
      <c r="C57" t="s">
        <v>69</v>
      </c>
      <c r="D57" t="s">
        <v>138</v>
      </c>
      <c r="E57" t="s">
        <v>81</v>
      </c>
      <c r="F57">
        <v>4</v>
      </c>
      <c r="H57">
        <v>4</v>
      </c>
      <c r="J57">
        <v>4</v>
      </c>
      <c r="K57" t="s">
        <v>370</v>
      </c>
    </row>
    <row r="58" spans="1:11" x14ac:dyDescent="0.3">
      <c r="A58" t="s">
        <v>488</v>
      </c>
      <c r="B58" t="s">
        <v>80</v>
      </c>
      <c r="C58" t="s">
        <v>69</v>
      </c>
      <c r="D58" t="s">
        <v>111</v>
      </c>
      <c r="E58" t="s">
        <v>81</v>
      </c>
      <c r="F58">
        <v>5</v>
      </c>
      <c r="H58">
        <v>5</v>
      </c>
      <c r="J58">
        <v>5</v>
      </c>
      <c r="K58" t="s">
        <v>370</v>
      </c>
    </row>
    <row r="59" spans="1:11" x14ac:dyDescent="0.3">
      <c r="A59" t="s">
        <v>488</v>
      </c>
      <c r="B59" t="s">
        <v>80</v>
      </c>
      <c r="C59" t="s">
        <v>69</v>
      </c>
      <c r="D59" t="s">
        <v>112</v>
      </c>
      <c r="E59" t="s">
        <v>81</v>
      </c>
      <c r="F59">
        <v>7</v>
      </c>
      <c r="H59">
        <v>7</v>
      </c>
      <c r="J59">
        <v>7</v>
      </c>
      <c r="K59" t="s">
        <v>370</v>
      </c>
    </row>
    <row r="60" spans="1:11" x14ac:dyDescent="0.3">
      <c r="A60" t="s">
        <v>488</v>
      </c>
      <c r="B60" t="s">
        <v>80</v>
      </c>
      <c r="C60" t="s">
        <v>69</v>
      </c>
      <c r="D60" t="s">
        <v>113</v>
      </c>
      <c r="E60" t="s">
        <v>81</v>
      </c>
      <c r="F60">
        <v>3</v>
      </c>
      <c r="H60">
        <v>3</v>
      </c>
      <c r="J60">
        <v>3</v>
      </c>
      <c r="K60" t="s">
        <v>370</v>
      </c>
    </row>
    <row r="61" spans="1:11" x14ac:dyDescent="0.3">
      <c r="A61" t="s">
        <v>488</v>
      </c>
      <c r="B61" t="s">
        <v>80</v>
      </c>
      <c r="C61" t="s">
        <v>69</v>
      </c>
      <c r="D61" t="s">
        <v>188</v>
      </c>
      <c r="E61" t="s">
        <v>144</v>
      </c>
      <c r="F61">
        <v>9</v>
      </c>
      <c r="H61">
        <v>9</v>
      </c>
      <c r="J61">
        <v>9</v>
      </c>
      <c r="K61" t="s">
        <v>370</v>
      </c>
    </row>
    <row r="62" spans="1:11" x14ac:dyDescent="0.3">
      <c r="A62" t="s">
        <v>488</v>
      </c>
      <c r="B62" t="s">
        <v>80</v>
      </c>
      <c r="C62" t="s">
        <v>69</v>
      </c>
      <c r="D62" t="s">
        <v>191</v>
      </c>
      <c r="E62" t="s">
        <v>144</v>
      </c>
      <c r="F62">
        <v>9</v>
      </c>
      <c r="H62">
        <v>9</v>
      </c>
      <c r="J62">
        <v>9</v>
      </c>
      <c r="K62" t="s">
        <v>370</v>
      </c>
    </row>
    <row r="63" spans="1:11" x14ac:dyDescent="0.3">
      <c r="A63" t="s">
        <v>488</v>
      </c>
      <c r="B63" t="s">
        <v>80</v>
      </c>
      <c r="C63" t="s">
        <v>69</v>
      </c>
      <c r="D63" t="s">
        <v>189</v>
      </c>
      <c r="E63" t="s">
        <v>170</v>
      </c>
      <c r="F63">
        <v>0</v>
      </c>
      <c r="H63">
        <v>0</v>
      </c>
      <c r="J63">
        <v>0</v>
      </c>
      <c r="K63" t="s">
        <v>370</v>
      </c>
    </row>
    <row r="64" spans="1:11" x14ac:dyDescent="0.3">
      <c r="A64" t="s">
        <v>488</v>
      </c>
      <c r="B64" t="s">
        <v>80</v>
      </c>
      <c r="C64" t="s">
        <v>69</v>
      </c>
      <c r="D64" t="s">
        <v>190</v>
      </c>
      <c r="E64" t="s">
        <v>83</v>
      </c>
      <c r="F64">
        <v>0</v>
      </c>
      <c r="H64">
        <v>0</v>
      </c>
      <c r="J64">
        <v>0</v>
      </c>
      <c r="K64" t="s">
        <v>370</v>
      </c>
    </row>
    <row r="65" spans="1:11" x14ac:dyDescent="0.3">
      <c r="A65" t="s">
        <v>488</v>
      </c>
      <c r="B65" t="s">
        <v>80</v>
      </c>
      <c r="C65" t="s">
        <v>69</v>
      </c>
      <c r="D65" t="s">
        <v>274</v>
      </c>
      <c r="E65" t="s">
        <v>144</v>
      </c>
      <c r="F65">
        <v>0</v>
      </c>
      <c r="G65">
        <v>2</v>
      </c>
      <c r="H65">
        <v>2</v>
      </c>
      <c r="J65">
        <v>2</v>
      </c>
      <c r="K65" t="s">
        <v>370</v>
      </c>
    </row>
    <row r="66" spans="1:11" x14ac:dyDescent="0.3">
      <c r="A66" t="s">
        <v>488</v>
      </c>
      <c r="B66" t="s">
        <v>80</v>
      </c>
      <c r="C66" t="s">
        <v>121</v>
      </c>
      <c r="D66" t="s">
        <v>192</v>
      </c>
      <c r="E66" t="s">
        <v>81</v>
      </c>
      <c r="F66">
        <v>5</v>
      </c>
      <c r="H66">
        <v>5</v>
      </c>
      <c r="J66">
        <v>5</v>
      </c>
      <c r="K66" t="s">
        <v>370</v>
      </c>
    </row>
    <row r="67" spans="1:11" x14ac:dyDescent="0.3">
      <c r="A67" t="s">
        <v>488</v>
      </c>
      <c r="B67" t="s">
        <v>80</v>
      </c>
      <c r="C67" t="s">
        <v>121</v>
      </c>
      <c r="D67" t="s">
        <v>193</v>
      </c>
      <c r="E67" t="s">
        <v>81</v>
      </c>
      <c r="F67">
        <v>1</v>
      </c>
      <c r="H67">
        <v>1</v>
      </c>
      <c r="J67">
        <v>1</v>
      </c>
      <c r="K67" t="s">
        <v>370</v>
      </c>
    </row>
    <row r="68" spans="1:11" x14ac:dyDescent="0.3">
      <c r="A68" t="s">
        <v>488</v>
      </c>
      <c r="B68" t="s">
        <v>80</v>
      </c>
      <c r="C68" t="s">
        <v>121</v>
      </c>
      <c r="D68" t="s">
        <v>194</v>
      </c>
      <c r="E68" t="s">
        <v>81</v>
      </c>
      <c r="F68">
        <v>5</v>
      </c>
      <c r="H68">
        <v>5</v>
      </c>
      <c r="J68">
        <v>5</v>
      </c>
      <c r="K68" t="s">
        <v>370</v>
      </c>
    </row>
    <row r="69" spans="1:11" x14ac:dyDescent="0.3">
      <c r="A69" t="s">
        <v>488</v>
      </c>
      <c r="B69" t="s">
        <v>80</v>
      </c>
      <c r="C69" t="s">
        <v>121</v>
      </c>
      <c r="D69" t="s">
        <v>195</v>
      </c>
      <c r="E69" t="s">
        <v>144</v>
      </c>
      <c r="F69">
        <v>2</v>
      </c>
      <c r="H69">
        <v>2</v>
      </c>
      <c r="J69">
        <v>2</v>
      </c>
      <c r="K69" t="s">
        <v>370</v>
      </c>
    </row>
    <row r="70" spans="1:11" x14ac:dyDescent="0.3">
      <c r="A70" t="s">
        <v>488</v>
      </c>
      <c r="B70" t="s">
        <v>80</v>
      </c>
      <c r="C70" t="s">
        <v>121</v>
      </c>
      <c r="D70" t="s">
        <v>196</v>
      </c>
      <c r="E70" t="s">
        <v>83</v>
      </c>
      <c r="F70">
        <v>0</v>
      </c>
      <c r="H70">
        <v>0</v>
      </c>
      <c r="J70">
        <v>0</v>
      </c>
      <c r="K70" t="s">
        <v>370</v>
      </c>
    </row>
    <row r="71" spans="1:11" x14ac:dyDescent="0.3">
      <c r="A71" t="s">
        <v>488</v>
      </c>
      <c r="B71" t="s">
        <v>80</v>
      </c>
      <c r="C71" t="s">
        <v>121</v>
      </c>
      <c r="D71" t="s">
        <v>197</v>
      </c>
      <c r="E71" t="s">
        <v>144</v>
      </c>
      <c r="F71">
        <v>2</v>
      </c>
      <c r="H71">
        <v>2</v>
      </c>
      <c r="J71">
        <v>2</v>
      </c>
      <c r="K71" t="s">
        <v>370</v>
      </c>
    </row>
    <row r="72" spans="1:11" x14ac:dyDescent="0.3">
      <c r="A72" t="s">
        <v>488</v>
      </c>
      <c r="B72" t="s">
        <v>80</v>
      </c>
      <c r="C72" t="s">
        <v>121</v>
      </c>
      <c r="D72" t="s">
        <v>198</v>
      </c>
      <c r="E72" t="s">
        <v>170</v>
      </c>
      <c r="F72">
        <v>0</v>
      </c>
      <c r="H72">
        <v>0</v>
      </c>
      <c r="J72">
        <v>0</v>
      </c>
      <c r="K72" t="s">
        <v>370</v>
      </c>
    </row>
    <row r="73" spans="1:11" x14ac:dyDescent="0.3">
      <c r="A73" t="s">
        <v>488</v>
      </c>
      <c r="B73" t="s">
        <v>80</v>
      </c>
      <c r="C73" t="s">
        <v>121</v>
      </c>
      <c r="D73" t="s">
        <v>487</v>
      </c>
      <c r="E73" t="s">
        <v>66</v>
      </c>
      <c r="F73">
        <v>0</v>
      </c>
      <c r="G73">
        <v>2</v>
      </c>
      <c r="H73">
        <v>2</v>
      </c>
      <c r="J73">
        <v>2</v>
      </c>
      <c r="K73" t="s">
        <v>370</v>
      </c>
    </row>
    <row r="74" spans="1:11" x14ac:dyDescent="0.3">
      <c r="A74" t="s">
        <v>488</v>
      </c>
      <c r="B74" t="s">
        <v>80</v>
      </c>
      <c r="C74" t="s">
        <v>71</v>
      </c>
      <c r="D74" t="s">
        <v>114</v>
      </c>
      <c r="E74" t="s">
        <v>66</v>
      </c>
      <c r="F74">
        <v>3</v>
      </c>
      <c r="H74">
        <v>3</v>
      </c>
      <c r="J74">
        <v>3</v>
      </c>
      <c r="K74" t="s">
        <v>370</v>
      </c>
    </row>
    <row r="75" spans="1:11" x14ac:dyDescent="0.3">
      <c r="A75" t="s">
        <v>488</v>
      </c>
      <c r="B75" t="s">
        <v>80</v>
      </c>
      <c r="C75" t="s">
        <v>71</v>
      </c>
      <c r="D75" t="s">
        <v>116</v>
      </c>
      <c r="E75" t="s">
        <v>66</v>
      </c>
      <c r="F75">
        <v>4</v>
      </c>
      <c r="H75">
        <v>4</v>
      </c>
      <c r="J75">
        <v>4</v>
      </c>
      <c r="K75" t="s">
        <v>370</v>
      </c>
    </row>
    <row r="76" spans="1:11" x14ac:dyDescent="0.3">
      <c r="A76" t="s">
        <v>488</v>
      </c>
      <c r="B76" t="s">
        <v>80</v>
      </c>
      <c r="C76" t="s">
        <v>64</v>
      </c>
      <c r="D76" t="s">
        <v>288</v>
      </c>
      <c r="E76" t="s">
        <v>140</v>
      </c>
      <c r="F76">
        <v>0</v>
      </c>
      <c r="H76">
        <v>0</v>
      </c>
    </row>
    <row r="77" spans="1:11" x14ac:dyDescent="0.3">
      <c r="A77" t="s">
        <v>488</v>
      </c>
      <c r="B77" t="s">
        <v>80</v>
      </c>
      <c r="C77" t="s">
        <v>64</v>
      </c>
      <c r="D77" t="s">
        <v>289</v>
      </c>
      <c r="E77" t="s">
        <v>140</v>
      </c>
      <c r="F77">
        <v>0</v>
      </c>
      <c r="H77">
        <v>0</v>
      </c>
    </row>
    <row r="78" spans="1:11" x14ac:dyDescent="0.3">
      <c r="A78" t="s">
        <v>488</v>
      </c>
      <c r="B78" t="s">
        <v>80</v>
      </c>
      <c r="C78" t="s">
        <v>64</v>
      </c>
      <c r="D78" t="s">
        <v>290</v>
      </c>
      <c r="E78" t="s">
        <v>140</v>
      </c>
      <c r="F78">
        <v>0</v>
      </c>
      <c r="H78">
        <v>0</v>
      </c>
    </row>
    <row r="79" spans="1:11" x14ac:dyDescent="0.3">
      <c r="A79" t="s">
        <v>488</v>
      </c>
      <c r="B79" t="s">
        <v>80</v>
      </c>
      <c r="C79" t="s">
        <v>64</v>
      </c>
      <c r="D79" t="s">
        <v>199</v>
      </c>
      <c r="E79" t="s">
        <v>144</v>
      </c>
      <c r="F79">
        <v>0</v>
      </c>
      <c r="H79">
        <v>0</v>
      </c>
    </row>
    <row r="80" spans="1:11" x14ac:dyDescent="0.3">
      <c r="A80" t="s">
        <v>488</v>
      </c>
      <c r="B80" t="s">
        <v>80</v>
      </c>
      <c r="C80" t="s">
        <v>64</v>
      </c>
      <c r="D80" t="s">
        <v>291</v>
      </c>
      <c r="E80" t="s">
        <v>140</v>
      </c>
      <c r="F80">
        <v>0</v>
      </c>
      <c r="H80">
        <v>0</v>
      </c>
    </row>
    <row r="81" spans="1:8" x14ac:dyDescent="0.3">
      <c r="A81" t="s">
        <v>488</v>
      </c>
      <c r="B81" t="s">
        <v>80</v>
      </c>
      <c r="C81" t="s">
        <v>64</v>
      </c>
      <c r="D81" t="s">
        <v>200</v>
      </c>
      <c r="E81" t="s">
        <v>144</v>
      </c>
      <c r="F81">
        <v>0</v>
      </c>
      <c r="H81">
        <v>0</v>
      </c>
    </row>
    <row r="82" spans="1:8" x14ac:dyDescent="0.3">
      <c r="A82" t="s">
        <v>488</v>
      </c>
      <c r="B82" t="s">
        <v>80</v>
      </c>
      <c r="C82" t="s">
        <v>64</v>
      </c>
      <c r="D82" t="s">
        <v>292</v>
      </c>
      <c r="E82" t="s">
        <v>140</v>
      </c>
      <c r="F82">
        <v>0</v>
      </c>
      <c r="H82">
        <v>0</v>
      </c>
    </row>
    <row r="83" spans="1:8" x14ac:dyDescent="0.3">
      <c r="A83" t="s">
        <v>488</v>
      </c>
      <c r="B83" t="s">
        <v>80</v>
      </c>
      <c r="C83" t="s">
        <v>64</v>
      </c>
      <c r="D83" t="s">
        <v>125</v>
      </c>
      <c r="E83" t="s">
        <v>170</v>
      </c>
      <c r="F83">
        <v>0</v>
      </c>
      <c r="H83">
        <v>0</v>
      </c>
    </row>
    <row r="84" spans="1:8" x14ac:dyDescent="0.3">
      <c r="A84" t="s">
        <v>488</v>
      </c>
      <c r="B84" t="s">
        <v>80</v>
      </c>
      <c r="C84" t="s">
        <v>64</v>
      </c>
      <c r="D84" t="s">
        <v>201</v>
      </c>
      <c r="E84" t="s">
        <v>83</v>
      </c>
      <c r="F84">
        <v>0</v>
      </c>
      <c r="H84">
        <v>0</v>
      </c>
    </row>
    <row r="85" spans="1:8" x14ac:dyDescent="0.3">
      <c r="A85" t="s">
        <v>488</v>
      </c>
      <c r="B85" t="s">
        <v>80</v>
      </c>
      <c r="C85" t="s">
        <v>64</v>
      </c>
      <c r="D85" t="s">
        <v>202</v>
      </c>
      <c r="E85" t="s">
        <v>83</v>
      </c>
      <c r="F85">
        <v>0</v>
      </c>
      <c r="H85">
        <v>0</v>
      </c>
    </row>
    <row r="86" spans="1:8" x14ac:dyDescent="0.3">
      <c r="A86" t="s">
        <v>488</v>
      </c>
      <c r="B86" t="s">
        <v>80</v>
      </c>
      <c r="C86" t="s">
        <v>64</v>
      </c>
      <c r="D86" t="s">
        <v>293</v>
      </c>
      <c r="E86" t="s">
        <v>65</v>
      </c>
      <c r="F86">
        <v>0</v>
      </c>
      <c r="H86">
        <v>0</v>
      </c>
    </row>
    <row r="87" spans="1:8" x14ac:dyDescent="0.3">
      <c r="A87" t="s">
        <v>488</v>
      </c>
      <c r="B87" t="s">
        <v>80</v>
      </c>
      <c r="C87" t="s">
        <v>64</v>
      </c>
      <c r="D87" t="s">
        <v>230</v>
      </c>
      <c r="E87" t="s">
        <v>65</v>
      </c>
      <c r="F87">
        <v>0</v>
      </c>
      <c r="H87">
        <v>0</v>
      </c>
    </row>
    <row r="88" spans="1:8" x14ac:dyDescent="0.3">
      <c r="A88" t="s">
        <v>488</v>
      </c>
      <c r="B88" t="s">
        <v>80</v>
      </c>
      <c r="C88" t="s">
        <v>64</v>
      </c>
      <c r="D88" t="s">
        <v>281</v>
      </c>
      <c r="E88" t="s">
        <v>65</v>
      </c>
      <c r="F88">
        <v>0</v>
      </c>
      <c r="H88">
        <v>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B954-D30B-42D7-BB84-64D525477E74}">
  <dimension ref="A1:K20"/>
  <sheetViews>
    <sheetView workbookViewId="0">
      <selection activeCell="D28" sqref="D28"/>
    </sheetView>
  </sheetViews>
  <sheetFormatPr baseColWidth="10" defaultRowHeight="14.4" x14ac:dyDescent="0.3"/>
  <cols>
    <col min="1" max="1" width="30.77734375" bestFit="1" customWidth="1"/>
    <col min="2" max="2" width="20.44140625" bestFit="1" customWidth="1"/>
    <col min="3" max="3" width="24.77734375" bestFit="1" customWidth="1"/>
    <col min="4" max="4" width="74.88671875" bestFit="1" customWidth="1"/>
    <col min="5" max="5" width="51.441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492</v>
      </c>
      <c r="B2" t="s">
        <v>493</v>
      </c>
      <c r="C2" t="s">
        <v>21</v>
      </c>
      <c r="D2" t="s">
        <v>139</v>
      </c>
      <c r="E2" t="s">
        <v>140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492</v>
      </c>
      <c r="B3" t="s">
        <v>493</v>
      </c>
      <c r="C3" t="s">
        <v>21</v>
      </c>
      <c r="D3" t="s">
        <v>494</v>
      </c>
      <c r="E3" t="s">
        <v>170</v>
      </c>
      <c r="F3">
        <v>0</v>
      </c>
      <c r="H3">
        <v>0</v>
      </c>
      <c r="J3">
        <v>0</v>
      </c>
      <c r="K3" t="s">
        <v>370</v>
      </c>
    </row>
    <row r="4" spans="1:11" x14ac:dyDescent="0.3">
      <c r="A4" t="s">
        <v>492</v>
      </c>
      <c r="B4" t="s">
        <v>493</v>
      </c>
      <c r="C4" t="s">
        <v>21</v>
      </c>
      <c r="D4" t="s">
        <v>495</v>
      </c>
      <c r="E4" t="s">
        <v>496</v>
      </c>
      <c r="F4">
        <v>5</v>
      </c>
      <c r="H4">
        <v>5</v>
      </c>
      <c r="J4">
        <v>5</v>
      </c>
      <c r="K4" t="s">
        <v>370</v>
      </c>
    </row>
    <row r="5" spans="1:11" x14ac:dyDescent="0.3">
      <c r="A5" t="s">
        <v>492</v>
      </c>
      <c r="B5" t="s">
        <v>493</v>
      </c>
      <c r="C5" t="s">
        <v>21</v>
      </c>
      <c r="D5" t="s">
        <v>279</v>
      </c>
      <c r="E5" t="s">
        <v>140</v>
      </c>
      <c r="F5">
        <v>0</v>
      </c>
      <c r="H5">
        <v>0</v>
      </c>
      <c r="J5">
        <v>0</v>
      </c>
      <c r="K5" t="s">
        <v>370</v>
      </c>
    </row>
    <row r="6" spans="1:11" x14ac:dyDescent="0.3">
      <c r="A6" t="s">
        <v>492</v>
      </c>
      <c r="B6" t="s">
        <v>493</v>
      </c>
      <c r="C6" t="s">
        <v>21</v>
      </c>
      <c r="D6" t="s">
        <v>87</v>
      </c>
      <c r="E6" t="s">
        <v>496</v>
      </c>
      <c r="F6">
        <v>3</v>
      </c>
      <c r="H6">
        <v>3</v>
      </c>
      <c r="J6">
        <v>3</v>
      </c>
      <c r="K6" t="s">
        <v>370</v>
      </c>
    </row>
    <row r="7" spans="1:11" x14ac:dyDescent="0.3">
      <c r="A7" t="s">
        <v>492</v>
      </c>
      <c r="B7" t="s">
        <v>493</v>
      </c>
      <c r="C7" t="s">
        <v>21</v>
      </c>
      <c r="D7" t="s">
        <v>497</v>
      </c>
      <c r="E7" t="s">
        <v>496</v>
      </c>
      <c r="F7">
        <v>1</v>
      </c>
      <c r="H7">
        <v>1</v>
      </c>
      <c r="J7">
        <v>1</v>
      </c>
      <c r="K7" t="s">
        <v>370</v>
      </c>
    </row>
    <row r="8" spans="1:11" x14ac:dyDescent="0.3">
      <c r="A8" t="s">
        <v>492</v>
      </c>
      <c r="B8" t="s">
        <v>493</v>
      </c>
      <c r="C8" t="s">
        <v>21</v>
      </c>
      <c r="D8" t="s">
        <v>498</v>
      </c>
      <c r="E8" t="s">
        <v>496</v>
      </c>
      <c r="F8">
        <v>1</v>
      </c>
      <c r="H8">
        <v>1</v>
      </c>
      <c r="J8">
        <v>1</v>
      </c>
      <c r="K8" t="s">
        <v>370</v>
      </c>
    </row>
    <row r="9" spans="1:11" x14ac:dyDescent="0.3">
      <c r="A9" t="s">
        <v>492</v>
      </c>
      <c r="B9" t="s">
        <v>493</v>
      </c>
      <c r="C9" t="s">
        <v>21</v>
      </c>
      <c r="D9" t="s">
        <v>280</v>
      </c>
      <c r="E9" t="s">
        <v>496</v>
      </c>
      <c r="F9">
        <v>3</v>
      </c>
      <c r="H9">
        <v>3</v>
      </c>
      <c r="J9">
        <v>3</v>
      </c>
      <c r="K9" t="s">
        <v>370</v>
      </c>
    </row>
    <row r="10" spans="1:11" x14ac:dyDescent="0.3">
      <c r="A10" t="s">
        <v>492</v>
      </c>
      <c r="B10" t="s">
        <v>493</v>
      </c>
      <c r="C10" t="s">
        <v>21</v>
      </c>
      <c r="D10" t="s">
        <v>499</v>
      </c>
      <c r="E10" t="s">
        <v>496</v>
      </c>
      <c r="F10">
        <v>1</v>
      </c>
      <c r="H10">
        <v>1</v>
      </c>
      <c r="J10">
        <v>1</v>
      </c>
      <c r="K10" t="s">
        <v>370</v>
      </c>
    </row>
    <row r="11" spans="1:11" x14ac:dyDescent="0.3">
      <c r="A11" t="s">
        <v>492</v>
      </c>
      <c r="B11" t="s">
        <v>493</v>
      </c>
      <c r="C11" t="s">
        <v>21</v>
      </c>
      <c r="D11" t="s">
        <v>500</v>
      </c>
      <c r="E11" t="s">
        <v>496</v>
      </c>
      <c r="F11">
        <v>3</v>
      </c>
      <c r="H11">
        <v>3</v>
      </c>
      <c r="J11">
        <v>3</v>
      </c>
      <c r="K11" t="s">
        <v>370</v>
      </c>
    </row>
    <row r="12" spans="1:11" x14ac:dyDescent="0.3">
      <c r="A12" t="s">
        <v>492</v>
      </c>
      <c r="B12" t="s">
        <v>493</v>
      </c>
      <c r="C12" t="s">
        <v>21</v>
      </c>
      <c r="D12" t="s">
        <v>501</v>
      </c>
      <c r="E12" t="s">
        <v>496</v>
      </c>
      <c r="F12">
        <v>2</v>
      </c>
      <c r="H12">
        <v>2</v>
      </c>
      <c r="J12">
        <v>2</v>
      </c>
      <c r="K12" t="s">
        <v>370</v>
      </c>
    </row>
    <row r="13" spans="1:11" x14ac:dyDescent="0.3">
      <c r="A13" t="s">
        <v>492</v>
      </c>
      <c r="B13" t="s">
        <v>493</v>
      </c>
      <c r="C13" t="s">
        <v>21</v>
      </c>
      <c r="D13" t="s">
        <v>502</v>
      </c>
      <c r="E13" t="s">
        <v>496</v>
      </c>
      <c r="F13">
        <v>0.5</v>
      </c>
      <c r="H13">
        <v>0.5</v>
      </c>
      <c r="J13">
        <v>0.5</v>
      </c>
      <c r="K13" t="s">
        <v>370</v>
      </c>
    </row>
    <row r="14" spans="1:11" x14ac:dyDescent="0.3">
      <c r="A14" t="s">
        <v>492</v>
      </c>
      <c r="B14" t="s">
        <v>493</v>
      </c>
      <c r="C14" t="s">
        <v>21</v>
      </c>
      <c r="D14" t="s">
        <v>503</v>
      </c>
      <c r="E14" t="s">
        <v>496</v>
      </c>
      <c r="F14">
        <v>0</v>
      </c>
      <c r="G14">
        <v>2</v>
      </c>
      <c r="H14">
        <v>2</v>
      </c>
      <c r="J14">
        <v>2</v>
      </c>
      <c r="K14" t="s">
        <v>370</v>
      </c>
    </row>
    <row r="15" spans="1:11" x14ac:dyDescent="0.3">
      <c r="A15" t="s">
        <v>492</v>
      </c>
      <c r="B15" t="s">
        <v>493</v>
      </c>
      <c r="C15" t="s">
        <v>64</v>
      </c>
      <c r="D15" t="s">
        <v>504</v>
      </c>
      <c r="E15" t="s">
        <v>496</v>
      </c>
      <c r="F15">
        <v>0</v>
      </c>
      <c r="H15">
        <v>0</v>
      </c>
      <c r="J15">
        <v>0</v>
      </c>
      <c r="K15" t="s">
        <v>370</v>
      </c>
    </row>
    <row r="16" spans="1:11" x14ac:dyDescent="0.3">
      <c r="A16" t="s">
        <v>492</v>
      </c>
      <c r="B16" t="s">
        <v>493</v>
      </c>
      <c r="C16" t="s">
        <v>64</v>
      </c>
      <c r="D16" t="s">
        <v>125</v>
      </c>
      <c r="E16" t="s">
        <v>170</v>
      </c>
      <c r="F16">
        <v>0</v>
      </c>
      <c r="H16">
        <v>0</v>
      </c>
      <c r="J16">
        <v>0</v>
      </c>
      <c r="K16" t="s">
        <v>370</v>
      </c>
    </row>
    <row r="17" spans="1:11" x14ac:dyDescent="0.3">
      <c r="A17" t="s">
        <v>492</v>
      </c>
      <c r="B17" t="s">
        <v>493</v>
      </c>
      <c r="C17" t="s">
        <v>64</v>
      </c>
      <c r="D17" t="s">
        <v>288</v>
      </c>
      <c r="E17" t="s">
        <v>140</v>
      </c>
      <c r="F17">
        <v>0</v>
      </c>
      <c r="H17">
        <v>0</v>
      </c>
      <c r="J17">
        <v>0</v>
      </c>
      <c r="K17" t="s">
        <v>370</v>
      </c>
    </row>
    <row r="18" spans="1:11" x14ac:dyDescent="0.3">
      <c r="A18" t="s">
        <v>492</v>
      </c>
      <c r="B18" t="s">
        <v>493</v>
      </c>
      <c r="C18" t="s">
        <v>64</v>
      </c>
      <c r="D18" t="s">
        <v>289</v>
      </c>
      <c r="E18" t="s">
        <v>140</v>
      </c>
      <c r="F18">
        <v>0</v>
      </c>
      <c r="H18">
        <v>0</v>
      </c>
      <c r="J18">
        <v>0</v>
      </c>
      <c r="K18" t="s">
        <v>370</v>
      </c>
    </row>
    <row r="19" spans="1:11" x14ac:dyDescent="0.3">
      <c r="A19" t="s">
        <v>492</v>
      </c>
      <c r="B19" t="s">
        <v>493</v>
      </c>
      <c r="C19" t="s">
        <v>64</v>
      </c>
      <c r="D19" t="s">
        <v>505</v>
      </c>
      <c r="E19" t="s">
        <v>140</v>
      </c>
      <c r="F19">
        <v>0</v>
      </c>
      <c r="H19">
        <v>0</v>
      </c>
      <c r="J19">
        <v>0</v>
      </c>
      <c r="K19" t="s">
        <v>370</v>
      </c>
    </row>
    <row r="20" spans="1:11" x14ac:dyDescent="0.3">
      <c r="A20" t="s">
        <v>492</v>
      </c>
      <c r="B20" t="s">
        <v>493</v>
      </c>
      <c r="C20" t="s">
        <v>64</v>
      </c>
      <c r="D20" t="s">
        <v>506</v>
      </c>
      <c r="E20" t="s">
        <v>140</v>
      </c>
      <c r="F20">
        <v>0</v>
      </c>
      <c r="H20">
        <v>0</v>
      </c>
      <c r="J20">
        <v>0</v>
      </c>
      <c r="K20" t="s">
        <v>370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F558-B8E5-4E93-958F-E4BE9E91EA17}">
  <dimension ref="A1:K73"/>
  <sheetViews>
    <sheetView topLeftCell="A40" workbookViewId="0">
      <selection activeCell="C54" sqref="C54"/>
    </sheetView>
  </sheetViews>
  <sheetFormatPr baseColWidth="10" defaultRowHeight="14.4" x14ac:dyDescent="0.3"/>
  <cols>
    <col min="1" max="1" width="29.109375" bestFit="1" customWidth="1"/>
    <col min="2" max="2" width="20.44140625" bestFit="1" customWidth="1"/>
    <col min="3" max="3" width="24.77734375" bestFit="1" customWidth="1"/>
    <col min="4" max="4" width="80.88671875" bestFit="1" customWidth="1"/>
    <col min="5" max="5" width="51.441406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507</v>
      </c>
      <c r="B2" t="s">
        <v>80</v>
      </c>
      <c r="C2" t="s">
        <v>58</v>
      </c>
      <c r="D2" t="s">
        <v>172</v>
      </c>
      <c r="E2" t="s">
        <v>81</v>
      </c>
      <c r="F2">
        <v>3</v>
      </c>
      <c r="H2">
        <v>3</v>
      </c>
      <c r="J2">
        <v>3</v>
      </c>
      <c r="K2" t="s">
        <v>370</v>
      </c>
    </row>
    <row r="3" spans="1:11" x14ac:dyDescent="0.3">
      <c r="A3" t="s">
        <v>507</v>
      </c>
      <c r="B3" t="s">
        <v>80</v>
      </c>
      <c r="C3" t="s">
        <v>58</v>
      </c>
      <c r="D3" t="s">
        <v>508</v>
      </c>
      <c r="E3" t="s">
        <v>81</v>
      </c>
      <c r="F3">
        <v>0</v>
      </c>
      <c r="G3">
        <v>2</v>
      </c>
      <c r="H3">
        <v>2</v>
      </c>
      <c r="J3">
        <v>2</v>
      </c>
      <c r="K3" t="s">
        <v>370</v>
      </c>
    </row>
    <row r="4" spans="1:11" x14ac:dyDescent="0.3">
      <c r="A4" t="s">
        <v>507</v>
      </c>
      <c r="B4" t="s">
        <v>80</v>
      </c>
      <c r="C4" t="s">
        <v>58</v>
      </c>
      <c r="D4" t="s">
        <v>91</v>
      </c>
      <c r="E4" t="s">
        <v>81</v>
      </c>
      <c r="F4">
        <v>7</v>
      </c>
      <c r="H4">
        <v>7</v>
      </c>
      <c r="J4">
        <v>7</v>
      </c>
      <c r="K4" t="s">
        <v>370</v>
      </c>
    </row>
    <row r="5" spans="1:11" x14ac:dyDescent="0.3">
      <c r="A5" t="s">
        <v>507</v>
      </c>
      <c r="B5" t="s">
        <v>80</v>
      </c>
      <c r="C5" t="s">
        <v>58</v>
      </c>
      <c r="D5" t="s">
        <v>90</v>
      </c>
      <c r="E5" t="s">
        <v>65</v>
      </c>
      <c r="F5">
        <v>2</v>
      </c>
      <c r="H5">
        <v>2</v>
      </c>
      <c r="J5">
        <v>2</v>
      </c>
      <c r="K5" t="s">
        <v>370</v>
      </c>
    </row>
    <row r="6" spans="1:11" x14ac:dyDescent="0.3">
      <c r="A6" t="s">
        <v>507</v>
      </c>
      <c r="B6" t="s">
        <v>80</v>
      </c>
      <c r="C6" t="s">
        <v>58</v>
      </c>
      <c r="D6" t="s">
        <v>173</v>
      </c>
      <c r="E6" t="s">
        <v>65</v>
      </c>
      <c r="F6">
        <v>7</v>
      </c>
      <c r="H6">
        <v>7</v>
      </c>
      <c r="J6">
        <v>7</v>
      </c>
      <c r="K6" t="s">
        <v>370</v>
      </c>
    </row>
    <row r="7" spans="1:11" x14ac:dyDescent="0.3">
      <c r="A7" t="s">
        <v>507</v>
      </c>
      <c r="B7" t="s">
        <v>80</v>
      </c>
      <c r="C7" t="s">
        <v>58</v>
      </c>
      <c r="D7" t="s">
        <v>92</v>
      </c>
      <c r="E7" t="s">
        <v>81</v>
      </c>
      <c r="F7">
        <v>5</v>
      </c>
      <c r="H7">
        <v>5</v>
      </c>
      <c r="J7">
        <v>5</v>
      </c>
      <c r="K7" t="s">
        <v>370</v>
      </c>
    </row>
    <row r="8" spans="1:11" x14ac:dyDescent="0.3">
      <c r="A8" t="s">
        <v>507</v>
      </c>
      <c r="B8" t="s">
        <v>80</v>
      </c>
      <c r="C8" t="s">
        <v>58</v>
      </c>
      <c r="D8" t="s">
        <v>93</v>
      </c>
      <c r="E8" t="s">
        <v>81</v>
      </c>
      <c r="F8">
        <v>2</v>
      </c>
      <c r="H8">
        <v>2</v>
      </c>
      <c r="J8">
        <v>2</v>
      </c>
      <c r="K8" t="s">
        <v>370</v>
      </c>
    </row>
    <row r="9" spans="1:11" x14ac:dyDescent="0.3">
      <c r="A9" t="s">
        <v>507</v>
      </c>
      <c r="B9" t="s">
        <v>80</v>
      </c>
      <c r="C9" t="s">
        <v>58</v>
      </c>
      <c r="D9" t="s">
        <v>174</v>
      </c>
      <c r="E9" t="s">
        <v>65</v>
      </c>
      <c r="F9">
        <v>2</v>
      </c>
      <c r="H9">
        <v>2</v>
      </c>
      <c r="J9">
        <v>2</v>
      </c>
      <c r="K9" t="s">
        <v>370</v>
      </c>
    </row>
    <row r="10" spans="1:11" x14ac:dyDescent="0.3">
      <c r="A10" t="s">
        <v>507</v>
      </c>
      <c r="B10" t="s">
        <v>80</v>
      </c>
      <c r="C10" t="s">
        <v>58</v>
      </c>
      <c r="D10" t="s">
        <v>94</v>
      </c>
      <c r="E10" t="s">
        <v>81</v>
      </c>
      <c r="F10">
        <v>3</v>
      </c>
      <c r="H10">
        <v>3</v>
      </c>
      <c r="J10">
        <v>3</v>
      </c>
      <c r="K10" t="s">
        <v>370</v>
      </c>
    </row>
    <row r="11" spans="1:11" x14ac:dyDescent="0.3">
      <c r="A11" t="s">
        <v>507</v>
      </c>
      <c r="B11" t="s">
        <v>80</v>
      </c>
      <c r="C11" t="s">
        <v>58</v>
      </c>
      <c r="D11" t="s">
        <v>95</v>
      </c>
      <c r="E11" t="s">
        <v>81</v>
      </c>
      <c r="F11">
        <v>7</v>
      </c>
      <c r="H11">
        <v>7</v>
      </c>
      <c r="J11">
        <v>7</v>
      </c>
      <c r="K11" t="s">
        <v>370</v>
      </c>
    </row>
    <row r="12" spans="1:11" x14ac:dyDescent="0.3">
      <c r="A12" t="s">
        <v>507</v>
      </c>
      <c r="B12" t="s">
        <v>80</v>
      </c>
      <c r="C12" t="s">
        <v>58</v>
      </c>
      <c r="D12" t="s">
        <v>96</v>
      </c>
      <c r="E12" t="s">
        <v>81</v>
      </c>
      <c r="F12">
        <v>2</v>
      </c>
      <c r="H12">
        <v>2</v>
      </c>
      <c r="J12">
        <v>2</v>
      </c>
      <c r="K12" t="s">
        <v>370</v>
      </c>
    </row>
    <row r="13" spans="1:11" x14ac:dyDescent="0.3">
      <c r="A13" t="s">
        <v>507</v>
      </c>
      <c r="B13" t="s">
        <v>80</v>
      </c>
      <c r="C13" t="s">
        <v>58</v>
      </c>
      <c r="D13" t="s">
        <v>175</v>
      </c>
      <c r="E13" t="s">
        <v>144</v>
      </c>
      <c r="F13">
        <v>9</v>
      </c>
      <c r="H13">
        <v>9</v>
      </c>
      <c r="J13">
        <v>9</v>
      </c>
      <c r="K13" t="s">
        <v>370</v>
      </c>
    </row>
    <row r="14" spans="1:11" x14ac:dyDescent="0.3">
      <c r="A14" t="s">
        <v>507</v>
      </c>
      <c r="B14" t="s">
        <v>80</v>
      </c>
      <c r="C14" t="s">
        <v>58</v>
      </c>
      <c r="D14" t="s">
        <v>176</v>
      </c>
      <c r="E14" t="s">
        <v>83</v>
      </c>
      <c r="F14">
        <v>0</v>
      </c>
      <c r="H14">
        <v>0</v>
      </c>
      <c r="J14">
        <v>0</v>
      </c>
      <c r="K14" t="s">
        <v>370</v>
      </c>
    </row>
    <row r="15" spans="1:11" x14ac:dyDescent="0.3">
      <c r="A15" t="s">
        <v>507</v>
      </c>
      <c r="B15" t="s">
        <v>80</v>
      </c>
      <c r="C15" t="s">
        <v>58</v>
      </c>
      <c r="D15" t="s">
        <v>177</v>
      </c>
      <c r="E15" t="s">
        <v>170</v>
      </c>
      <c r="F15">
        <v>0</v>
      </c>
      <c r="H15">
        <v>0</v>
      </c>
      <c r="J15">
        <v>0</v>
      </c>
      <c r="K15" t="s">
        <v>370</v>
      </c>
    </row>
    <row r="16" spans="1:11" x14ac:dyDescent="0.3">
      <c r="A16" t="s">
        <v>507</v>
      </c>
      <c r="B16" t="s">
        <v>80</v>
      </c>
      <c r="C16" t="s">
        <v>58</v>
      </c>
      <c r="D16" t="s">
        <v>178</v>
      </c>
      <c r="E16" t="s">
        <v>144</v>
      </c>
      <c r="F16">
        <v>9</v>
      </c>
      <c r="H16">
        <v>9</v>
      </c>
      <c r="J16">
        <v>9</v>
      </c>
      <c r="K16" t="s">
        <v>370</v>
      </c>
    </row>
    <row r="17" spans="1:11" x14ac:dyDescent="0.3">
      <c r="A17" t="s">
        <v>507</v>
      </c>
      <c r="B17" t="s">
        <v>80</v>
      </c>
      <c r="C17" t="s">
        <v>58</v>
      </c>
      <c r="D17" t="s">
        <v>97</v>
      </c>
      <c r="E17" t="s">
        <v>81</v>
      </c>
      <c r="F17">
        <v>2</v>
      </c>
      <c r="H17">
        <v>2</v>
      </c>
      <c r="J17">
        <v>2</v>
      </c>
      <c r="K17" t="s">
        <v>370</v>
      </c>
    </row>
    <row r="18" spans="1:11" x14ac:dyDescent="0.3">
      <c r="A18" t="s">
        <v>507</v>
      </c>
      <c r="B18" t="s">
        <v>80</v>
      </c>
      <c r="C18" t="s">
        <v>58</v>
      </c>
      <c r="D18" t="s">
        <v>98</v>
      </c>
      <c r="E18" t="s">
        <v>81</v>
      </c>
      <c r="F18">
        <v>1</v>
      </c>
      <c r="H18">
        <v>1</v>
      </c>
      <c r="J18">
        <v>1</v>
      </c>
      <c r="K18" t="s">
        <v>370</v>
      </c>
    </row>
    <row r="19" spans="1:11" x14ac:dyDescent="0.3">
      <c r="A19" t="s">
        <v>507</v>
      </c>
      <c r="B19" t="s">
        <v>80</v>
      </c>
      <c r="C19" t="s">
        <v>58</v>
      </c>
      <c r="D19" t="s">
        <v>99</v>
      </c>
      <c r="E19" t="s">
        <v>81</v>
      </c>
      <c r="F19">
        <v>2</v>
      </c>
      <c r="H19">
        <v>2</v>
      </c>
      <c r="J19">
        <v>2</v>
      </c>
      <c r="K19" t="s">
        <v>370</v>
      </c>
    </row>
    <row r="20" spans="1:11" x14ac:dyDescent="0.3">
      <c r="A20" t="s">
        <v>507</v>
      </c>
      <c r="B20" t="s">
        <v>80</v>
      </c>
      <c r="C20" t="s">
        <v>70</v>
      </c>
      <c r="D20" t="s">
        <v>181</v>
      </c>
      <c r="E20" t="s">
        <v>81</v>
      </c>
      <c r="F20">
        <v>2</v>
      </c>
      <c r="H20">
        <v>2</v>
      </c>
      <c r="J20">
        <v>2</v>
      </c>
      <c r="K20" t="s">
        <v>370</v>
      </c>
    </row>
    <row r="21" spans="1:11" x14ac:dyDescent="0.3">
      <c r="A21" t="s">
        <v>507</v>
      </c>
      <c r="B21" t="s">
        <v>80</v>
      </c>
      <c r="C21" t="s">
        <v>70</v>
      </c>
      <c r="D21" t="s">
        <v>101</v>
      </c>
      <c r="E21" t="s">
        <v>81</v>
      </c>
      <c r="F21">
        <v>9</v>
      </c>
      <c r="H21">
        <v>9</v>
      </c>
      <c r="J21">
        <v>9</v>
      </c>
      <c r="K21" t="s">
        <v>370</v>
      </c>
    </row>
    <row r="22" spans="1:11" x14ac:dyDescent="0.3">
      <c r="A22" t="s">
        <v>507</v>
      </c>
      <c r="B22" t="s">
        <v>80</v>
      </c>
      <c r="C22" t="s">
        <v>70</v>
      </c>
      <c r="D22" t="s">
        <v>182</v>
      </c>
      <c r="E22" t="s">
        <v>81</v>
      </c>
      <c r="F22">
        <v>9</v>
      </c>
      <c r="H22">
        <v>9</v>
      </c>
      <c r="J22">
        <v>9</v>
      </c>
      <c r="K22" t="s">
        <v>370</v>
      </c>
    </row>
    <row r="23" spans="1:11" x14ac:dyDescent="0.3">
      <c r="A23" t="s">
        <v>507</v>
      </c>
      <c r="B23" t="s">
        <v>80</v>
      </c>
      <c r="C23" t="s">
        <v>70</v>
      </c>
      <c r="D23" t="s">
        <v>103</v>
      </c>
      <c r="E23" t="s">
        <v>81</v>
      </c>
      <c r="F23">
        <v>7</v>
      </c>
      <c r="H23">
        <v>7</v>
      </c>
      <c r="J23">
        <v>7</v>
      </c>
      <c r="K23" t="s">
        <v>370</v>
      </c>
    </row>
    <row r="24" spans="1:11" x14ac:dyDescent="0.3">
      <c r="A24" t="s">
        <v>507</v>
      </c>
      <c r="B24" t="s">
        <v>80</v>
      </c>
      <c r="C24" t="s">
        <v>70</v>
      </c>
      <c r="D24" t="s">
        <v>104</v>
      </c>
      <c r="E24" t="s">
        <v>81</v>
      </c>
      <c r="F24">
        <v>3</v>
      </c>
      <c r="H24">
        <v>3</v>
      </c>
      <c r="J24">
        <v>3</v>
      </c>
      <c r="K24" t="s">
        <v>370</v>
      </c>
    </row>
    <row r="25" spans="1:11" x14ac:dyDescent="0.3">
      <c r="A25" t="s">
        <v>507</v>
      </c>
      <c r="B25" t="s">
        <v>80</v>
      </c>
      <c r="C25" t="s">
        <v>70</v>
      </c>
      <c r="D25" t="s">
        <v>490</v>
      </c>
      <c r="E25" t="s">
        <v>81</v>
      </c>
      <c r="F25">
        <v>4</v>
      </c>
      <c r="H25">
        <v>4</v>
      </c>
      <c r="J25">
        <v>4</v>
      </c>
      <c r="K25" t="s">
        <v>370</v>
      </c>
    </row>
    <row r="26" spans="1:11" x14ac:dyDescent="0.3">
      <c r="A26" t="s">
        <v>507</v>
      </c>
      <c r="B26" t="s">
        <v>80</v>
      </c>
      <c r="C26" t="s">
        <v>70</v>
      </c>
      <c r="D26" t="s">
        <v>105</v>
      </c>
      <c r="E26" t="s">
        <v>81</v>
      </c>
      <c r="F26">
        <v>1</v>
      </c>
      <c r="H26">
        <v>1</v>
      </c>
      <c r="J26">
        <v>1</v>
      </c>
      <c r="K26" t="s">
        <v>370</v>
      </c>
    </row>
    <row r="27" spans="1:11" x14ac:dyDescent="0.3">
      <c r="A27" t="s">
        <v>507</v>
      </c>
      <c r="B27" t="s">
        <v>80</v>
      </c>
      <c r="C27" t="s">
        <v>70</v>
      </c>
      <c r="D27" t="s">
        <v>183</v>
      </c>
      <c r="E27" t="s">
        <v>144</v>
      </c>
      <c r="F27">
        <v>5</v>
      </c>
      <c r="H27">
        <v>5</v>
      </c>
      <c r="J27">
        <v>5</v>
      </c>
      <c r="K27" t="s">
        <v>370</v>
      </c>
    </row>
    <row r="28" spans="1:11" x14ac:dyDescent="0.3">
      <c r="A28" t="s">
        <v>507</v>
      </c>
      <c r="B28" t="s">
        <v>80</v>
      </c>
      <c r="C28" t="s">
        <v>70</v>
      </c>
      <c r="D28" t="s">
        <v>184</v>
      </c>
      <c r="E28" t="s">
        <v>83</v>
      </c>
      <c r="F28">
        <v>0</v>
      </c>
      <c r="H28">
        <v>0</v>
      </c>
      <c r="J28">
        <v>0</v>
      </c>
      <c r="K28" t="s">
        <v>370</v>
      </c>
    </row>
    <row r="29" spans="1:11" x14ac:dyDescent="0.3">
      <c r="A29" t="s">
        <v>507</v>
      </c>
      <c r="B29" t="s">
        <v>80</v>
      </c>
      <c r="C29" t="s">
        <v>70</v>
      </c>
      <c r="D29" t="s">
        <v>185</v>
      </c>
      <c r="E29" t="s">
        <v>170</v>
      </c>
      <c r="F29">
        <v>0</v>
      </c>
      <c r="H29">
        <v>0</v>
      </c>
      <c r="J29">
        <v>0</v>
      </c>
      <c r="K29" t="s">
        <v>370</v>
      </c>
    </row>
    <row r="30" spans="1:11" x14ac:dyDescent="0.3">
      <c r="A30" t="s">
        <v>507</v>
      </c>
      <c r="B30" t="s">
        <v>80</v>
      </c>
      <c r="C30" t="s">
        <v>70</v>
      </c>
      <c r="D30" t="s">
        <v>186</v>
      </c>
      <c r="E30" t="s">
        <v>144</v>
      </c>
      <c r="F30">
        <v>5</v>
      </c>
      <c r="H30">
        <v>5</v>
      </c>
      <c r="J30">
        <v>5</v>
      </c>
      <c r="K30" t="s">
        <v>370</v>
      </c>
    </row>
    <row r="31" spans="1:11" x14ac:dyDescent="0.3">
      <c r="A31" t="s">
        <v>507</v>
      </c>
      <c r="B31" t="s">
        <v>80</v>
      </c>
      <c r="C31" t="s">
        <v>70</v>
      </c>
      <c r="D31" t="s">
        <v>166</v>
      </c>
      <c r="E31" t="s">
        <v>144</v>
      </c>
      <c r="F31">
        <v>5</v>
      </c>
      <c r="H31">
        <v>5</v>
      </c>
      <c r="J31">
        <v>5</v>
      </c>
      <c r="K31" t="s">
        <v>370</v>
      </c>
    </row>
    <row r="32" spans="1:11" x14ac:dyDescent="0.3">
      <c r="A32" t="s">
        <v>507</v>
      </c>
      <c r="B32" t="s">
        <v>80</v>
      </c>
      <c r="C32" t="s">
        <v>70</v>
      </c>
      <c r="D32" t="s">
        <v>509</v>
      </c>
      <c r="E32" t="s">
        <v>81</v>
      </c>
      <c r="F32">
        <v>0</v>
      </c>
      <c r="G32">
        <v>2</v>
      </c>
      <c r="H32">
        <v>2</v>
      </c>
      <c r="J32">
        <v>2</v>
      </c>
      <c r="K32" t="s">
        <v>370</v>
      </c>
    </row>
    <row r="33" spans="1:11" x14ac:dyDescent="0.3">
      <c r="A33" t="s">
        <v>507</v>
      </c>
      <c r="B33" t="s">
        <v>80</v>
      </c>
      <c r="C33" t="s">
        <v>69</v>
      </c>
      <c r="D33" t="s">
        <v>187</v>
      </c>
      <c r="E33" t="s">
        <v>81</v>
      </c>
      <c r="F33">
        <v>5</v>
      </c>
      <c r="G33">
        <v>2</v>
      </c>
      <c r="H33">
        <v>7</v>
      </c>
      <c r="J33">
        <v>7</v>
      </c>
      <c r="K33" t="s">
        <v>370</v>
      </c>
    </row>
    <row r="34" spans="1:11" x14ac:dyDescent="0.3">
      <c r="A34" t="s">
        <v>507</v>
      </c>
      <c r="B34" t="s">
        <v>80</v>
      </c>
      <c r="C34" t="s">
        <v>69</v>
      </c>
      <c r="D34" t="s">
        <v>510</v>
      </c>
      <c r="E34" t="s">
        <v>65</v>
      </c>
      <c r="F34">
        <v>0.5</v>
      </c>
      <c r="H34">
        <v>0.5</v>
      </c>
      <c r="J34">
        <v>0.5</v>
      </c>
      <c r="K34" t="s">
        <v>370</v>
      </c>
    </row>
    <row r="35" spans="1:11" x14ac:dyDescent="0.3">
      <c r="A35" t="s">
        <v>507</v>
      </c>
      <c r="B35" t="s">
        <v>80</v>
      </c>
      <c r="C35" t="s">
        <v>69</v>
      </c>
      <c r="D35" t="s">
        <v>107</v>
      </c>
      <c r="E35" t="s">
        <v>81</v>
      </c>
      <c r="F35">
        <v>9</v>
      </c>
      <c r="H35">
        <v>9</v>
      </c>
      <c r="J35">
        <v>9</v>
      </c>
      <c r="K35" t="s">
        <v>370</v>
      </c>
    </row>
    <row r="36" spans="1:11" x14ac:dyDescent="0.3">
      <c r="A36" t="s">
        <v>507</v>
      </c>
      <c r="B36" t="s">
        <v>80</v>
      </c>
      <c r="C36" t="s">
        <v>69</v>
      </c>
      <c r="D36" t="s">
        <v>108</v>
      </c>
      <c r="E36" t="s">
        <v>81</v>
      </c>
      <c r="F36">
        <v>3</v>
      </c>
      <c r="H36">
        <v>3</v>
      </c>
      <c r="J36">
        <v>3</v>
      </c>
      <c r="K36" t="s">
        <v>370</v>
      </c>
    </row>
    <row r="37" spans="1:11" x14ac:dyDescent="0.3">
      <c r="A37" t="s">
        <v>507</v>
      </c>
      <c r="B37" t="s">
        <v>80</v>
      </c>
      <c r="C37" t="s">
        <v>69</v>
      </c>
      <c r="D37" t="s">
        <v>109</v>
      </c>
      <c r="E37" t="s">
        <v>81</v>
      </c>
      <c r="F37">
        <v>4</v>
      </c>
      <c r="H37">
        <v>4</v>
      </c>
      <c r="J37">
        <v>4</v>
      </c>
      <c r="K37" t="s">
        <v>370</v>
      </c>
    </row>
    <row r="38" spans="1:11" x14ac:dyDescent="0.3">
      <c r="A38" t="s">
        <v>507</v>
      </c>
      <c r="B38" t="s">
        <v>80</v>
      </c>
      <c r="C38" t="s">
        <v>69</v>
      </c>
      <c r="D38" t="s">
        <v>138</v>
      </c>
      <c r="E38" t="s">
        <v>81</v>
      </c>
      <c r="F38">
        <v>4</v>
      </c>
      <c r="H38">
        <v>4</v>
      </c>
      <c r="J38">
        <v>4</v>
      </c>
      <c r="K38" t="s">
        <v>370</v>
      </c>
    </row>
    <row r="39" spans="1:11" x14ac:dyDescent="0.3">
      <c r="A39" t="s">
        <v>507</v>
      </c>
      <c r="B39" t="s">
        <v>80</v>
      </c>
      <c r="C39" t="s">
        <v>69</v>
      </c>
      <c r="D39" t="s">
        <v>111</v>
      </c>
      <c r="E39" t="s">
        <v>81</v>
      </c>
      <c r="F39">
        <v>5</v>
      </c>
      <c r="H39">
        <v>5</v>
      </c>
      <c r="J39">
        <v>5</v>
      </c>
      <c r="K39" t="s">
        <v>370</v>
      </c>
    </row>
    <row r="40" spans="1:11" x14ac:dyDescent="0.3">
      <c r="A40" t="s">
        <v>507</v>
      </c>
      <c r="B40" t="s">
        <v>80</v>
      </c>
      <c r="C40" t="s">
        <v>69</v>
      </c>
      <c r="D40" t="s">
        <v>112</v>
      </c>
      <c r="E40" t="s">
        <v>81</v>
      </c>
      <c r="F40">
        <v>7</v>
      </c>
      <c r="H40">
        <v>7</v>
      </c>
      <c r="J40">
        <v>7</v>
      </c>
      <c r="K40" t="s">
        <v>370</v>
      </c>
    </row>
    <row r="41" spans="1:11" x14ac:dyDescent="0.3">
      <c r="A41" t="s">
        <v>507</v>
      </c>
      <c r="B41" t="s">
        <v>80</v>
      </c>
      <c r="C41" t="s">
        <v>69</v>
      </c>
      <c r="D41" t="s">
        <v>113</v>
      </c>
      <c r="E41" t="s">
        <v>81</v>
      </c>
      <c r="F41">
        <v>3</v>
      </c>
      <c r="H41">
        <v>3</v>
      </c>
      <c r="J41">
        <v>3</v>
      </c>
      <c r="K41" t="s">
        <v>370</v>
      </c>
    </row>
    <row r="42" spans="1:11" x14ac:dyDescent="0.3">
      <c r="A42" t="s">
        <v>507</v>
      </c>
      <c r="B42" t="s">
        <v>80</v>
      </c>
      <c r="C42" t="s">
        <v>69</v>
      </c>
      <c r="D42" t="s">
        <v>188</v>
      </c>
      <c r="E42" t="s">
        <v>144</v>
      </c>
      <c r="F42">
        <v>9</v>
      </c>
      <c r="H42">
        <v>9</v>
      </c>
      <c r="J42">
        <v>9</v>
      </c>
      <c r="K42" t="s">
        <v>370</v>
      </c>
    </row>
    <row r="43" spans="1:11" x14ac:dyDescent="0.3">
      <c r="A43" t="s">
        <v>507</v>
      </c>
      <c r="B43" t="s">
        <v>80</v>
      </c>
      <c r="C43" t="s">
        <v>69</v>
      </c>
      <c r="D43" t="s">
        <v>191</v>
      </c>
      <c r="E43" t="s">
        <v>144</v>
      </c>
      <c r="F43">
        <v>9</v>
      </c>
      <c r="H43">
        <v>9</v>
      </c>
      <c r="J43">
        <v>9</v>
      </c>
      <c r="K43" t="s">
        <v>370</v>
      </c>
    </row>
    <row r="44" spans="1:11" x14ac:dyDescent="0.3">
      <c r="A44" t="s">
        <v>507</v>
      </c>
      <c r="B44" t="s">
        <v>80</v>
      </c>
      <c r="C44" t="s">
        <v>69</v>
      </c>
      <c r="D44" t="s">
        <v>189</v>
      </c>
      <c r="E44" t="s">
        <v>170</v>
      </c>
      <c r="F44">
        <v>0</v>
      </c>
      <c r="H44">
        <v>0</v>
      </c>
      <c r="J44">
        <v>0</v>
      </c>
      <c r="K44" t="s">
        <v>370</v>
      </c>
    </row>
    <row r="45" spans="1:11" x14ac:dyDescent="0.3">
      <c r="A45" t="s">
        <v>507</v>
      </c>
      <c r="B45" t="s">
        <v>80</v>
      </c>
      <c r="C45" t="s">
        <v>69</v>
      </c>
      <c r="D45" t="s">
        <v>190</v>
      </c>
      <c r="E45" t="s">
        <v>83</v>
      </c>
      <c r="F45">
        <v>0</v>
      </c>
      <c r="H45">
        <v>0</v>
      </c>
      <c r="J45">
        <v>0</v>
      </c>
      <c r="K45" t="s">
        <v>370</v>
      </c>
    </row>
    <row r="46" spans="1:11" x14ac:dyDescent="0.3">
      <c r="A46" t="s">
        <v>507</v>
      </c>
      <c r="B46" t="s">
        <v>80</v>
      </c>
      <c r="C46" t="s">
        <v>69</v>
      </c>
      <c r="D46" t="s">
        <v>511</v>
      </c>
      <c r="E46" t="s">
        <v>81</v>
      </c>
      <c r="F46">
        <v>0</v>
      </c>
      <c r="G46">
        <v>2</v>
      </c>
      <c r="H46">
        <v>2</v>
      </c>
      <c r="J46">
        <v>2</v>
      </c>
      <c r="K46" t="s">
        <v>370</v>
      </c>
    </row>
    <row r="47" spans="1:11" x14ac:dyDescent="0.3">
      <c r="A47" t="s">
        <v>507</v>
      </c>
      <c r="B47" t="s">
        <v>80</v>
      </c>
      <c r="C47" t="s">
        <v>121</v>
      </c>
      <c r="D47" t="s">
        <v>192</v>
      </c>
      <c r="E47" t="s">
        <v>81</v>
      </c>
      <c r="F47">
        <v>1</v>
      </c>
      <c r="H47">
        <v>1</v>
      </c>
      <c r="J47">
        <v>1</v>
      </c>
      <c r="K47" t="s">
        <v>370</v>
      </c>
    </row>
    <row r="48" spans="1:11" x14ac:dyDescent="0.3">
      <c r="A48" t="s">
        <v>507</v>
      </c>
      <c r="B48" t="s">
        <v>80</v>
      </c>
      <c r="C48" t="s">
        <v>121</v>
      </c>
      <c r="D48" t="s">
        <v>193</v>
      </c>
      <c r="E48" t="s">
        <v>81</v>
      </c>
      <c r="F48">
        <v>5</v>
      </c>
      <c r="H48">
        <v>5</v>
      </c>
      <c r="J48">
        <v>5</v>
      </c>
      <c r="K48" t="s">
        <v>370</v>
      </c>
    </row>
    <row r="49" spans="1:11" x14ac:dyDescent="0.3">
      <c r="A49" t="s">
        <v>507</v>
      </c>
      <c r="B49" t="s">
        <v>80</v>
      </c>
      <c r="C49" t="s">
        <v>121</v>
      </c>
      <c r="D49" t="s">
        <v>194</v>
      </c>
      <c r="E49" t="s">
        <v>81</v>
      </c>
      <c r="F49">
        <v>5</v>
      </c>
      <c r="H49">
        <v>5</v>
      </c>
      <c r="J49">
        <v>5</v>
      </c>
      <c r="K49" t="s">
        <v>370</v>
      </c>
    </row>
    <row r="50" spans="1:11" x14ac:dyDescent="0.3">
      <c r="A50" t="s">
        <v>507</v>
      </c>
      <c r="B50" t="s">
        <v>80</v>
      </c>
      <c r="C50" t="s">
        <v>121</v>
      </c>
      <c r="D50" t="s">
        <v>195</v>
      </c>
      <c r="E50" t="s">
        <v>144</v>
      </c>
      <c r="F50">
        <v>2</v>
      </c>
      <c r="H50">
        <v>2</v>
      </c>
      <c r="J50">
        <v>2</v>
      </c>
      <c r="K50" t="s">
        <v>370</v>
      </c>
    </row>
    <row r="51" spans="1:11" x14ac:dyDescent="0.3">
      <c r="A51" t="s">
        <v>507</v>
      </c>
      <c r="B51" t="s">
        <v>80</v>
      </c>
      <c r="C51" t="s">
        <v>121</v>
      </c>
      <c r="D51" t="s">
        <v>196</v>
      </c>
      <c r="E51" t="s">
        <v>83</v>
      </c>
      <c r="F51">
        <v>0</v>
      </c>
      <c r="H51">
        <v>0</v>
      </c>
      <c r="J51">
        <v>0</v>
      </c>
      <c r="K51" t="s">
        <v>370</v>
      </c>
    </row>
    <row r="52" spans="1:11" x14ac:dyDescent="0.3">
      <c r="A52" t="s">
        <v>507</v>
      </c>
      <c r="B52" t="s">
        <v>80</v>
      </c>
      <c r="C52" t="s">
        <v>121</v>
      </c>
      <c r="D52" t="s">
        <v>197</v>
      </c>
      <c r="E52" t="s">
        <v>144</v>
      </c>
      <c r="F52">
        <v>2</v>
      </c>
      <c r="H52">
        <v>2</v>
      </c>
      <c r="J52">
        <v>2</v>
      </c>
      <c r="K52" t="s">
        <v>370</v>
      </c>
    </row>
    <row r="53" spans="1:11" x14ac:dyDescent="0.3">
      <c r="A53" t="s">
        <v>507</v>
      </c>
      <c r="B53" t="s">
        <v>80</v>
      </c>
      <c r="C53" t="s">
        <v>121</v>
      </c>
      <c r="D53" t="s">
        <v>198</v>
      </c>
      <c r="E53" t="s">
        <v>170</v>
      </c>
      <c r="F53">
        <v>0</v>
      </c>
      <c r="H53">
        <v>0</v>
      </c>
      <c r="J53">
        <v>0</v>
      </c>
      <c r="K53" t="s">
        <v>370</v>
      </c>
    </row>
    <row r="54" spans="1:11" x14ac:dyDescent="0.3">
      <c r="A54" t="s">
        <v>507</v>
      </c>
      <c r="B54" t="s">
        <v>80</v>
      </c>
      <c r="C54" t="s">
        <v>121</v>
      </c>
      <c r="D54" t="s">
        <v>487</v>
      </c>
      <c r="E54" t="s">
        <v>66</v>
      </c>
      <c r="F54">
        <v>0</v>
      </c>
      <c r="G54">
        <v>2</v>
      </c>
      <c r="H54">
        <v>2</v>
      </c>
      <c r="J54">
        <v>2</v>
      </c>
      <c r="K54" t="s">
        <v>370</v>
      </c>
    </row>
    <row r="55" spans="1:11" x14ac:dyDescent="0.3">
      <c r="A55" t="s">
        <v>507</v>
      </c>
      <c r="B55" t="s">
        <v>80</v>
      </c>
      <c r="C55" t="s">
        <v>71</v>
      </c>
      <c r="D55" t="s">
        <v>114</v>
      </c>
      <c r="E55" t="s">
        <v>66</v>
      </c>
      <c r="F55">
        <v>3</v>
      </c>
      <c r="H55">
        <v>3</v>
      </c>
      <c r="I55">
        <v>-3</v>
      </c>
      <c r="J55">
        <v>0</v>
      </c>
      <c r="K55" t="s">
        <v>370</v>
      </c>
    </row>
    <row r="56" spans="1:11" x14ac:dyDescent="0.3">
      <c r="A56" t="s">
        <v>507</v>
      </c>
      <c r="B56" t="s">
        <v>80</v>
      </c>
      <c r="C56" t="s">
        <v>71</v>
      </c>
      <c r="D56" t="s">
        <v>116</v>
      </c>
      <c r="E56" t="s">
        <v>66</v>
      </c>
      <c r="F56">
        <v>4</v>
      </c>
      <c r="H56">
        <v>4</v>
      </c>
      <c r="I56">
        <v>4</v>
      </c>
      <c r="J56">
        <v>0</v>
      </c>
      <c r="K56" t="s">
        <v>370</v>
      </c>
    </row>
    <row r="57" spans="1:11" x14ac:dyDescent="0.3">
      <c r="A57" t="s">
        <v>507</v>
      </c>
      <c r="B57" t="s">
        <v>80</v>
      </c>
      <c r="C57" t="s">
        <v>512</v>
      </c>
      <c r="D57" t="s">
        <v>513</v>
      </c>
      <c r="E57" t="s">
        <v>65</v>
      </c>
      <c r="F57">
        <v>9</v>
      </c>
      <c r="H57">
        <v>9</v>
      </c>
      <c r="J57">
        <v>0</v>
      </c>
      <c r="K57" t="s">
        <v>370</v>
      </c>
    </row>
    <row r="58" spans="1:11" x14ac:dyDescent="0.3">
      <c r="A58" t="s">
        <v>507</v>
      </c>
      <c r="B58" t="s">
        <v>80</v>
      </c>
      <c r="C58" t="s">
        <v>512</v>
      </c>
      <c r="D58" t="s">
        <v>514</v>
      </c>
      <c r="E58" t="s">
        <v>65</v>
      </c>
      <c r="F58">
        <v>6</v>
      </c>
      <c r="H58">
        <v>6</v>
      </c>
      <c r="J58">
        <v>0</v>
      </c>
      <c r="K58" t="s">
        <v>370</v>
      </c>
    </row>
    <row r="59" spans="1:11" x14ac:dyDescent="0.3">
      <c r="A59" t="s">
        <v>507</v>
      </c>
      <c r="B59" t="s">
        <v>80</v>
      </c>
      <c r="C59" t="s">
        <v>512</v>
      </c>
      <c r="D59" t="s">
        <v>515</v>
      </c>
      <c r="E59" t="s">
        <v>65</v>
      </c>
      <c r="F59">
        <v>6</v>
      </c>
      <c r="H59">
        <v>6</v>
      </c>
      <c r="I59">
        <v>-1</v>
      </c>
      <c r="J59">
        <v>0</v>
      </c>
      <c r="K59" t="s">
        <v>370</v>
      </c>
    </row>
    <row r="60" spans="1:11" x14ac:dyDescent="0.3">
      <c r="A60" t="s">
        <v>507</v>
      </c>
      <c r="B60" t="s">
        <v>80</v>
      </c>
      <c r="C60" t="s">
        <v>512</v>
      </c>
      <c r="D60" t="s">
        <v>516</v>
      </c>
      <c r="E60" t="s">
        <v>65</v>
      </c>
      <c r="F60">
        <v>2</v>
      </c>
      <c r="H60">
        <v>2</v>
      </c>
      <c r="J60">
        <v>0</v>
      </c>
      <c r="K60" t="s">
        <v>370</v>
      </c>
    </row>
    <row r="61" spans="1:11" x14ac:dyDescent="0.3">
      <c r="A61" t="s">
        <v>507</v>
      </c>
      <c r="B61" t="s">
        <v>80</v>
      </c>
      <c r="C61" t="s">
        <v>64</v>
      </c>
      <c r="D61" t="s">
        <v>288</v>
      </c>
      <c r="E61" t="s">
        <v>140</v>
      </c>
      <c r="F61">
        <v>0</v>
      </c>
      <c r="H61">
        <v>0</v>
      </c>
    </row>
    <row r="62" spans="1:11" x14ac:dyDescent="0.3">
      <c r="A62" t="s">
        <v>507</v>
      </c>
      <c r="B62" t="s">
        <v>80</v>
      </c>
      <c r="C62" t="s">
        <v>64</v>
      </c>
      <c r="D62" t="s">
        <v>289</v>
      </c>
      <c r="E62" t="s">
        <v>140</v>
      </c>
      <c r="F62">
        <v>0</v>
      </c>
      <c r="H62">
        <v>0</v>
      </c>
    </row>
    <row r="63" spans="1:11" x14ac:dyDescent="0.3">
      <c r="A63" t="s">
        <v>507</v>
      </c>
      <c r="B63" t="s">
        <v>80</v>
      </c>
      <c r="C63" t="s">
        <v>64</v>
      </c>
      <c r="D63" t="s">
        <v>290</v>
      </c>
      <c r="E63" t="s">
        <v>140</v>
      </c>
      <c r="F63">
        <v>0</v>
      </c>
      <c r="H63">
        <v>0</v>
      </c>
    </row>
    <row r="64" spans="1:11" x14ac:dyDescent="0.3">
      <c r="A64" t="s">
        <v>507</v>
      </c>
      <c r="B64" t="s">
        <v>80</v>
      </c>
      <c r="C64" t="s">
        <v>64</v>
      </c>
      <c r="D64" t="s">
        <v>199</v>
      </c>
      <c r="E64" t="s">
        <v>144</v>
      </c>
      <c r="F64">
        <v>0</v>
      </c>
      <c r="H64">
        <v>0</v>
      </c>
    </row>
    <row r="65" spans="1:8" x14ac:dyDescent="0.3">
      <c r="A65" t="s">
        <v>507</v>
      </c>
      <c r="B65" t="s">
        <v>80</v>
      </c>
      <c r="C65" t="s">
        <v>64</v>
      </c>
      <c r="D65" t="s">
        <v>291</v>
      </c>
      <c r="E65" t="s">
        <v>140</v>
      </c>
      <c r="F65">
        <v>0</v>
      </c>
      <c r="H65">
        <v>0</v>
      </c>
    </row>
    <row r="66" spans="1:8" x14ac:dyDescent="0.3">
      <c r="A66" t="s">
        <v>507</v>
      </c>
      <c r="B66" t="s">
        <v>80</v>
      </c>
      <c r="C66" t="s">
        <v>64</v>
      </c>
      <c r="D66" t="s">
        <v>200</v>
      </c>
      <c r="E66" t="s">
        <v>144</v>
      </c>
      <c r="F66">
        <v>0</v>
      </c>
      <c r="H66">
        <v>0</v>
      </c>
    </row>
    <row r="67" spans="1:8" x14ac:dyDescent="0.3">
      <c r="A67" t="s">
        <v>507</v>
      </c>
      <c r="B67" t="s">
        <v>80</v>
      </c>
      <c r="C67" t="s">
        <v>64</v>
      </c>
      <c r="D67" t="s">
        <v>292</v>
      </c>
      <c r="E67" t="s">
        <v>140</v>
      </c>
      <c r="F67">
        <v>0</v>
      </c>
      <c r="H67">
        <v>0</v>
      </c>
    </row>
    <row r="68" spans="1:8" x14ac:dyDescent="0.3">
      <c r="A68" t="s">
        <v>507</v>
      </c>
      <c r="B68" t="s">
        <v>80</v>
      </c>
      <c r="C68" t="s">
        <v>64</v>
      </c>
      <c r="D68" t="s">
        <v>125</v>
      </c>
      <c r="E68" t="s">
        <v>170</v>
      </c>
      <c r="F68">
        <v>0</v>
      </c>
      <c r="H68">
        <v>0</v>
      </c>
    </row>
    <row r="69" spans="1:8" x14ac:dyDescent="0.3">
      <c r="A69" t="s">
        <v>507</v>
      </c>
      <c r="B69" t="s">
        <v>80</v>
      </c>
      <c r="C69" t="s">
        <v>64</v>
      </c>
      <c r="D69" t="s">
        <v>201</v>
      </c>
      <c r="E69" t="s">
        <v>83</v>
      </c>
      <c r="F69">
        <v>0</v>
      </c>
      <c r="H69">
        <v>0</v>
      </c>
    </row>
    <row r="70" spans="1:8" x14ac:dyDescent="0.3">
      <c r="A70" t="s">
        <v>507</v>
      </c>
      <c r="B70" t="s">
        <v>80</v>
      </c>
      <c r="C70" t="s">
        <v>64</v>
      </c>
      <c r="D70" t="s">
        <v>202</v>
      </c>
      <c r="E70" t="s">
        <v>83</v>
      </c>
      <c r="F70">
        <v>0</v>
      </c>
      <c r="H70">
        <v>0</v>
      </c>
    </row>
    <row r="71" spans="1:8" x14ac:dyDescent="0.3">
      <c r="A71" t="s">
        <v>507</v>
      </c>
      <c r="B71" t="s">
        <v>80</v>
      </c>
      <c r="C71" t="s">
        <v>64</v>
      </c>
      <c r="D71" t="s">
        <v>293</v>
      </c>
      <c r="E71" t="s">
        <v>65</v>
      </c>
      <c r="F71">
        <v>0</v>
      </c>
      <c r="H71">
        <v>0</v>
      </c>
    </row>
    <row r="72" spans="1:8" x14ac:dyDescent="0.3">
      <c r="A72" t="s">
        <v>507</v>
      </c>
      <c r="B72" t="s">
        <v>80</v>
      </c>
      <c r="C72" t="s">
        <v>64</v>
      </c>
      <c r="D72" t="s">
        <v>230</v>
      </c>
      <c r="E72" t="s">
        <v>65</v>
      </c>
      <c r="F72">
        <v>0</v>
      </c>
      <c r="H72">
        <v>0</v>
      </c>
    </row>
    <row r="73" spans="1:8" x14ac:dyDescent="0.3">
      <c r="A73" t="s">
        <v>507</v>
      </c>
      <c r="B73" t="s">
        <v>80</v>
      </c>
      <c r="C73" t="s">
        <v>64</v>
      </c>
      <c r="D73" t="s">
        <v>281</v>
      </c>
      <c r="E73" t="s">
        <v>65</v>
      </c>
      <c r="F73">
        <v>0</v>
      </c>
      <c r="H73">
        <v>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01C5-BBD0-4D70-B28A-9EEFE29E32C3}">
  <dimension ref="A1:K34"/>
  <sheetViews>
    <sheetView topLeftCell="A5" workbookViewId="0">
      <selection activeCell="D40" sqref="D40"/>
    </sheetView>
  </sheetViews>
  <sheetFormatPr baseColWidth="10" defaultRowHeight="14.4" x14ac:dyDescent="0.3"/>
  <cols>
    <col min="1" max="1" width="29.5546875" bestFit="1" customWidth="1"/>
    <col min="2" max="2" width="22.88671875" bestFit="1" customWidth="1"/>
    <col min="3" max="3" width="15.5546875" bestFit="1" customWidth="1"/>
    <col min="4" max="4" width="67.4414062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517</v>
      </c>
      <c r="B2" t="s">
        <v>268</v>
      </c>
      <c r="C2" t="s">
        <v>58</v>
      </c>
      <c r="D2" t="s">
        <v>272</v>
      </c>
      <c r="E2" t="s">
        <v>65</v>
      </c>
      <c r="F2">
        <v>3.5</v>
      </c>
      <c r="H2">
        <v>3.5</v>
      </c>
      <c r="J2">
        <v>3.5</v>
      </c>
      <c r="K2" t="s">
        <v>370</v>
      </c>
    </row>
    <row r="3" spans="1:11" x14ac:dyDescent="0.3">
      <c r="A3" t="s">
        <v>517</v>
      </c>
      <c r="B3" t="s">
        <v>268</v>
      </c>
      <c r="C3" t="s">
        <v>58</v>
      </c>
      <c r="D3" t="s">
        <v>90</v>
      </c>
      <c r="E3" t="s">
        <v>65</v>
      </c>
      <c r="F3">
        <v>4</v>
      </c>
      <c r="H3">
        <v>4</v>
      </c>
      <c r="J3">
        <v>4</v>
      </c>
      <c r="K3" t="s">
        <v>370</v>
      </c>
    </row>
    <row r="4" spans="1:11" x14ac:dyDescent="0.3">
      <c r="A4" t="s">
        <v>517</v>
      </c>
      <c r="B4" t="s">
        <v>268</v>
      </c>
      <c r="C4" t="s">
        <v>58</v>
      </c>
      <c r="D4" t="s">
        <v>174</v>
      </c>
      <c r="E4" t="s">
        <v>66</v>
      </c>
      <c r="F4">
        <v>1.5</v>
      </c>
      <c r="H4">
        <v>1.5</v>
      </c>
      <c r="J4">
        <v>1.5</v>
      </c>
      <c r="K4" t="s">
        <v>370</v>
      </c>
    </row>
    <row r="5" spans="1:11" x14ac:dyDescent="0.3">
      <c r="A5" t="s">
        <v>517</v>
      </c>
      <c r="B5" t="s">
        <v>268</v>
      </c>
      <c r="C5" t="s">
        <v>58</v>
      </c>
      <c r="D5" t="s">
        <v>91</v>
      </c>
      <c r="E5" t="s">
        <v>66</v>
      </c>
      <c r="F5">
        <v>4.5</v>
      </c>
      <c r="H5">
        <v>4.5</v>
      </c>
      <c r="J5">
        <v>4.5</v>
      </c>
      <c r="K5" t="s">
        <v>370</v>
      </c>
    </row>
    <row r="6" spans="1:11" x14ac:dyDescent="0.3">
      <c r="A6" t="s">
        <v>517</v>
      </c>
      <c r="B6" t="s">
        <v>268</v>
      </c>
      <c r="C6" t="s">
        <v>58</v>
      </c>
      <c r="D6" t="s">
        <v>135</v>
      </c>
      <c r="E6" t="s">
        <v>66</v>
      </c>
      <c r="F6">
        <v>2</v>
      </c>
      <c r="H6">
        <v>2</v>
      </c>
      <c r="J6">
        <v>2</v>
      </c>
      <c r="K6" t="s">
        <v>370</v>
      </c>
    </row>
    <row r="7" spans="1:11" x14ac:dyDescent="0.3">
      <c r="A7" t="s">
        <v>517</v>
      </c>
      <c r="B7" t="s">
        <v>268</v>
      </c>
      <c r="C7" t="s">
        <v>58</v>
      </c>
      <c r="D7" t="s">
        <v>94</v>
      </c>
      <c r="E7" t="s">
        <v>66</v>
      </c>
      <c r="F7">
        <v>2</v>
      </c>
      <c r="H7">
        <v>2</v>
      </c>
      <c r="J7">
        <v>2</v>
      </c>
      <c r="K7" t="s">
        <v>370</v>
      </c>
    </row>
    <row r="8" spans="1:11" x14ac:dyDescent="0.3">
      <c r="A8" t="s">
        <v>517</v>
      </c>
      <c r="B8" t="s">
        <v>268</v>
      </c>
      <c r="C8" t="s">
        <v>58</v>
      </c>
      <c r="D8" t="s">
        <v>136</v>
      </c>
      <c r="E8" t="s">
        <v>66</v>
      </c>
      <c r="F8">
        <v>1</v>
      </c>
      <c r="H8">
        <v>1</v>
      </c>
      <c r="J8">
        <v>1</v>
      </c>
      <c r="K8" t="s">
        <v>370</v>
      </c>
    </row>
    <row r="9" spans="1:11" x14ac:dyDescent="0.3">
      <c r="A9" t="s">
        <v>517</v>
      </c>
      <c r="B9" t="s">
        <v>268</v>
      </c>
      <c r="C9" t="s">
        <v>58</v>
      </c>
      <c r="D9" t="s">
        <v>271</v>
      </c>
      <c r="E9" t="s">
        <v>66</v>
      </c>
      <c r="F9">
        <v>3</v>
      </c>
      <c r="H9">
        <v>3</v>
      </c>
      <c r="J9">
        <v>3</v>
      </c>
      <c r="K9" t="s">
        <v>370</v>
      </c>
    </row>
    <row r="10" spans="1:11" x14ac:dyDescent="0.3">
      <c r="A10" t="s">
        <v>517</v>
      </c>
      <c r="B10" t="s">
        <v>268</v>
      </c>
      <c r="C10" t="s">
        <v>58</v>
      </c>
      <c r="D10" t="s">
        <v>93</v>
      </c>
      <c r="E10" t="s">
        <v>66</v>
      </c>
      <c r="F10">
        <v>2</v>
      </c>
      <c r="H10">
        <v>2</v>
      </c>
      <c r="J10">
        <v>2</v>
      </c>
      <c r="K10" t="s">
        <v>370</v>
      </c>
    </row>
    <row r="11" spans="1:11" x14ac:dyDescent="0.3">
      <c r="A11" t="s">
        <v>517</v>
      </c>
      <c r="B11" t="s">
        <v>268</v>
      </c>
      <c r="C11" t="s">
        <v>58</v>
      </c>
      <c r="D11" t="s">
        <v>92</v>
      </c>
      <c r="E11" t="s">
        <v>66</v>
      </c>
      <c r="F11">
        <v>4</v>
      </c>
      <c r="H11">
        <v>4</v>
      </c>
      <c r="J11">
        <v>4</v>
      </c>
      <c r="K11" t="s">
        <v>370</v>
      </c>
    </row>
    <row r="12" spans="1:11" x14ac:dyDescent="0.3">
      <c r="A12" t="s">
        <v>517</v>
      </c>
      <c r="B12" t="s">
        <v>268</v>
      </c>
      <c r="C12" t="s">
        <v>58</v>
      </c>
      <c r="D12" t="s">
        <v>273</v>
      </c>
      <c r="E12" t="s">
        <v>65</v>
      </c>
      <c r="F12">
        <v>5</v>
      </c>
      <c r="H12">
        <v>5</v>
      </c>
      <c r="J12">
        <v>5</v>
      </c>
      <c r="K12" t="s">
        <v>370</v>
      </c>
    </row>
    <row r="13" spans="1:11" x14ac:dyDescent="0.3">
      <c r="A13" t="s">
        <v>517</v>
      </c>
      <c r="B13" t="s">
        <v>268</v>
      </c>
      <c r="C13" t="s">
        <v>58</v>
      </c>
      <c r="D13" t="s">
        <v>95</v>
      </c>
      <c r="E13" t="s">
        <v>66</v>
      </c>
      <c r="F13">
        <v>2</v>
      </c>
      <c r="H13">
        <v>2</v>
      </c>
      <c r="J13">
        <v>2</v>
      </c>
      <c r="K13" t="s">
        <v>370</v>
      </c>
    </row>
    <row r="14" spans="1:11" x14ac:dyDescent="0.3">
      <c r="A14" t="s">
        <v>517</v>
      </c>
      <c r="B14" t="s">
        <v>268</v>
      </c>
      <c r="C14" t="s">
        <v>58</v>
      </c>
      <c r="D14" t="s">
        <v>97</v>
      </c>
      <c r="E14" t="s">
        <v>66</v>
      </c>
      <c r="F14">
        <v>1</v>
      </c>
      <c r="H14">
        <v>1</v>
      </c>
      <c r="J14">
        <v>1</v>
      </c>
      <c r="K14" t="s">
        <v>370</v>
      </c>
    </row>
    <row r="15" spans="1:11" x14ac:dyDescent="0.3">
      <c r="A15" t="s">
        <v>517</v>
      </c>
      <c r="B15" t="s">
        <v>268</v>
      </c>
      <c r="C15" t="s">
        <v>58</v>
      </c>
      <c r="D15" t="s">
        <v>96</v>
      </c>
      <c r="E15" t="s">
        <v>66</v>
      </c>
      <c r="F15">
        <v>2.5</v>
      </c>
      <c r="H15">
        <v>2.5</v>
      </c>
      <c r="J15">
        <v>2.5</v>
      </c>
      <c r="K15" t="s">
        <v>370</v>
      </c>
    </row>
    <row r="16" spans="1:11" x14ac:dyDescent="0.3">
      <c r="A16" t="s">
        <v>517</v>
      </c>
      <c r="B16" t="s">
        <v>268</v>
      </c>
      <c r="C16" t="s">
        <v>58</v>
      </c>
      <c r="D16" t="s">
        <v>172</v>
      </c>
      <c r="E16" t="s">
        <v>66</v>
      </c>
      <c r="F16">
        <v>3</v>
      </c>
      <c r="H16">
        <v>3</v>
      </c>
      <c r="J16">
        <v>3</v>
      </c>
      <c r="K16" t="s">
        <v>370</v>
      </c>
    </row>
    <row r="17" spans="1:11" x14ac:dyDescent="0.3">
      <c r="A17" t="s">
        <v>517</v>
      </c>
      <c r="B17" t="s">
        <v>268</v>
      </c>
      <c r="C17" t="s">
        <v>58</v>
      </c>
      <c r="D17" t="s">
        <v>98</v>
      </c>
      <c r="E17" t="s">
        <v>66</v>
      </c>
      <c r="F17">
        <v>0.5</v>
      </c>
      <c r="H17">
        <v>0.5</v>
      </c>
      <c r="J17">
        <v>0.5</v>
      </c>
      <c r="K17" t="s">
        <v>370</v>
      </c>
    </row>
    <row r="18" spans="1:11" x14ac:dyDescent="0.3">
      <c r="A18" t="s">
        <v>517</v>
      </c>
      <c r="B18" t="s">
        <v>268</v>
      </c>
      <c r="C18" t="s">
        <v>58</v>
      </c>
      <c r="D18" t="s">
        <v>518</v>
      </c>
      <c r="E18" t="s">
        <v>66</v>
      </c>
      <c r="F18">
        <v>2</v>
      </c>
      <c r="H18">
        <v>2</v>
      </c>
      <c r="J18">
        <v>2</v>
      </c>
      <c r="K18" t="s">
        <v>370</v>
      </c>
    </row>
    <row r="19" spans="1:11" x14ac:dyDescent="0.3">
      <c r="A19" t="s">
        <v>517</v>
      </c>
      <c r="B19" t="s">
        <v>268</v>
      </c>
      <c r="C19" t="s">
        <v>58</v>
      </c>
      <c r="D19" t="s">
        <v>485</v>
      </c>
      <c r="E19" t="s">
        <v>66</v>
      </c>
      <c r="F19">
        <v>0</v>
      </c>
      <c r="G19">
        <v>4</v>
      </c>
      <c r="H19">
        <v>4</v>
      </c>
      <c r="J19">
        <v>4</v>
      </c>
      <c r="K19" t="s">
        <v>370</v>
      </c>
    </row>
    <row r="20" spans="1:11" x14ac:dyDescent="0.3">
      <c r="A20" t="s">
        <v>517</v>
      </c>
      <c r="B20" t="s">
        <v>268</v>
      </c>
      <c r="C20" t="s">
        <v>58</v>
      </c>
      <c r="D20" t="s">
        <v>124</v>
      </c>
      <c r="E20" t="s">
        <v>66</v>
      </c>
      <c r="F20">
        <v>0</v>
      </c>
      <c r="H20">
        <v>0</v>
      </c>
      <c r="J20">
        <v>0</v>
      </c>
      <c r="K20" t="s">
        <v>370</v>
      </c>
    </row>
    <row r="21" spans="1:11" x14ac:dyDescent="0.3">
      <c r="A21" t="s">
        <v>517</v>
      </c>
      <c r="B21" t="s">
        <v>268</v>
      </c>
      <c r="C21" t="s">
        <v>58</v>
      </c>
      <c r="D21" t="s">
        <v>125</v>
      </c>
      <c r="E21" t="s">
        <v>67</v>
      </c>
      <c r="F21">
        <v>0</v>
      </c>
      <c r="H21">
        <v>0</v>
      </c>
      <c r="J21">
        <v>0</v>
      </c>
      <c r="K21" t="s">
        <v>370</v>
      </c>
    </row>
    <row r="22" spans="1:11" x14ac:dyDescent="0.3">
      <c r="A22" t="s">
        <v>517</v>
      </c>
      <c r="B22" t="s">
        <v>268</v>
      </c>
      <c r="C22" t="s">
        <v>70</v>
      </c>
      <c r="D22" t="s">
        <v>182</v>
      </c>
      <c r="E22" t="s">
        <v>66</v>
      </c>
      <c r="F22">
        <v>11</v>
      </c>
      <c r="H22">
        <v>11</v>
      </c>
      <c r="J22">
        <v>11</v>
      </c>
      <c r="K22" t="s">
        <v>370</v>
      </c>
    </row>
    <row r="23" spans="1:11" x14ac:dyDescent="0.3">
      <c r="A23" t="s">
        <v>517</v>
      </c>
      <c r="B23" t="s">
        <v>268</v>
      </c>
      <c r="C23" t="s">
        <v>70</v>
      </c>
      <c r="D23" t="s">
        <v>101</v>
      </c>
      <c r="E23" t="s">
        <v>66</v>
      </c>
      <c r="F23">
        <v>9</v>
      </c>
      <c r="H23">
        <v>9</v>
      </c>
      <c r="J23">
        <v>9</v>
      </c>
      <c r="K23" t="s">
        <v>370</v>
      </c>
    </row>
    <row r="24" spans="1:11" x14ac:dyDescent="0.3">
      <c r="A24" t="s">
        <v>517</v>
      </c>
      <c r="B24" t="s">
        <v>268</v>
      </c>
      <c r="C24" t="s">
        <v>70</v>
      </c>
      <c r="D24" t="s">
        <v>104</v>
      </c>
      <c r="E24" t="s">
        <v>66</v>
      </c>
      <c r="F24">
        <v>4</v>
      </c>
      <c r="H24">
        <v>4</v>
      </c>
      <c r="J24">
        <v>4</v>
      </c>
      <c r="K24" t="s">
        <v>370</v>
      </c>
    </row>
    <row r="25" spans="1:11" x14ac:dyDescent="0.3">
      <c r="A25" t="s">
        <v>517</v>
      </c>
      <c r="B25" t="s">
        <v>268</v>
      </c>
      <c r="C25" t="s">
        <v>70</v>
      </c>
      <c r="D25" t="s">
        <v>103</v>
      </c>
      <c r="E25" t="s">
        <v>66</v>
      </c>
      <c r="F25">
        <v>0</v>
      </c>
      <c r="H25">
        <v>0</v>
      </c>
      <c r="J25">
        <v>0</v>
      </c>
      <c r="K25" t="s">
        <v>370</v>
      </c>
    </row>
    <row r="26" spans="1:11" x14ac:dyDescent="0.3">
      <c r="A26" t="s">
        <v>517</v>
      </c>
      <c r="B26" t="s">
        <v>268</v>
      </c>
      <c r="C26" t="s">
        <v>70</v>
      </c>
      <c r="D26" t="s">
        <v>362</v>
      </c>
      <c r="E26" t="s">
        <v>66</v>
      </c>
      <c r="F26">
        <v>0</v>
      </c>
      <c r="G26">
        <v>4</v>
      </c>
      <c r="H26">
        <v>4</v>
      </c>
      <c r="J26">
        <v>4</v>
      </c>
      <c r="K26" t="s">
        <v>370</v>
      </c>
    </row>
    <row r="27" spans="1:11" x14ac:dyDescent="0.3">
      <c r="A27" t="s">
        <v>517</v>
      </c>
      <c r="B27" t="s">
        <v>268</v>
      </c>
      <c r="C27" t="s">
        <v>69</v>
      </c>
      <c r="D27" t="s">
        <v>106</v>
      </c>
      <c r="E27" t="s">
        <v>65</v>
      </c>
      <c r="F27">
        <v>0.5</v>
      </c>
      <c r="H27">
        <v>0.5</v>
      </c>
      <c r="J27">
        <v>0.5</v>
      </c>
      <c r="K27" t="s">
        <v>370</v>
      </c>
    </row>
    <row r="28" spans="1:11" x14ac:dyDescent="0.3">
      <c r="A28" t="s">
        <v>517</v>
      </c>
      <c r="B28" t="s">
        <v>268</v>
      </c>
      <c r="C28" t="s">
        <v>69</v>
      </c>
      <c r="D28" t="s">
        <v>108</v>
      </c>
      <c r="E28" t="s">
        <v>66</v>
      </c>
      <c r="F28">
        <v>5</v>
      </c>
      <c r="H28">
        <v>5</v>
      </c>
      <c r="J28">
        <v>5</v>
      </c>
      <c r="K28" t="s">
        <v>370</v>
      </c>
    </row>
    <row r="29" spans="1:11" x14ac:dyDescent="0.3">
      <c r="A29" t="s">
        <v>517</v>
      </c>
      <c r="B29" t="s">
        <v>268</v>
      </c>
      <c r="C29" t="s">
        <v>69</v>
      </c>
      <c r="D29" t="s">
        <v>109</v>
      </c>
      <c r="E29" t="s">
        <v>66</v>
      </c>
      <c r="F29">
        <v>4</v>
      </c>
      <c r="H29">
        <v>4</v>
      </c>
      <c r="J29">
        <v>4</v>
      </c>
      <c r="K29" t="s">
        <v>370</v>
      </c>
    </row>
    <row r="30" spans="1:11" x14ac:dyDescent="0.3">
      <c r="A30" t="s">
        <v>517</v>
      </c>
      <c r="B30" t="s">
        <v>268</v>
      </c>
      <c r="C30" t="s">
        <v>69</v>
      </c>
      <c r="D30" t="s">
        <v>138</v>
      </c>
      <c r="E30" t="s">
        <v>66</v>
      </c>
      <c r="F30">
        <v>1</v>
      </c>
      <c r="H30">
        <v>1</v>
      </c>
      <c r="J30">
        <v>1</v>
      </c>
      <c r="K30" t="s">
        <v>370</v>
      </c>
    </row>
    <row r="31" spans="1:11" x14ac:dyDescent="0.3">
      <c r="A31" t="s">
        <v>517</v>
      </c>
      <c r="B31" t="s">
        <v>268</v>
      </c>
      <c r="C31" t="s">
        <v>69</v>
      </c>
      <c r="D31" t="s">
        <v>122</v>
      </c>
      <c r="E31" t="s">
        <v>66</v>
      </c>
      <c r="F31">
        <v>1</v>
      </c>
      <c r="H31">
        <v>1</v>
      </c>
      <c r="J31">
        <v>1</v>
      </c>
      <c r="K31" t="s">
        <v>370</v>
      </c>
    </row>
    <row r="32" spans="1:11" x14ac:dyDescent="0.3">
      <c r="A32" t="s">
        <v>517</v>
      </c>
      <c r="B32" t="s">
        <v>268</v>
      </c>
      <c r="C32" t="s">
        <v>69</v>
      </c>
      <c r="D32" t="s">
        <v>274</v>
      </c>
      <c r="E32" t="s">
        <v>66</v>
      </c>
      <c r="F32">
        <v>0</v>
      </c>
      <c r="G32">
        <v>2</v>
      </c>
      <c r="H32">
        <v>2</v>
      </c>
      <c r="J32">
        <v>2</v>
      </c>
      <c r="K32" t="s">
        <v>370</v>
      </c>
    </row>
    <row r="33" spans="1:11" x14ac:dyDescent="0.3">
      <c r="A33" t="s">
        <v>517</v>
      </c>
      <c r="B33" t="s">
        <v>268</v>
      </c>
      <c r="C33" t="s">
        <v>121</v>
      </c>
      <c r="D33" t="s">
        <v>193</v>
      </c>
      <c r="E33" t="s">
        <v>66</v>
      </c>
      <c r="F33">
        <v>5</v>
      </c>
      <c r="H33">
        <v>5</v>
      </c>
      <c r="J33">
        <v>5</v>
      </c>
      <c r="K33" t="s">
        <v>370</v>
      </c>
    </row>
    <row r="34" spans="1:11" x14ac:dyDescent="0.3">
      <c r="A34" t="s">
        <v>517</v>
      </c>
      <c r="B34" t="s">
        <v>268</v>
      </c>
      <c r="C34" t="s">
        <v>121</v>
      </c>
      <c r="D34" t="s">
        <v>487</v>
      </c>
      <c r="E34" t="s">
        <v>66</v>
      </c>
      <c r="F34">
        <v>0</v>
      </c>
      <c r="G34">
        <v>2</v>
      </c>
      <c r="H34">
        <v>2</v>
      </c>
      <c r="J34">
        <v>2</v>
      </c>
      <c r="K34" t="s">
        <v>370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2BA7-E25C-4E6F-BAB8-E65D7D28287F}">
  <dimension ref="A1:K21"/>
  <sheetViews>
    <sheetView workbookViewId="0">
      <selection activeCell="C36" sqref="C36"/>
    </sheetView>
  </sheetViews>
  <sheetFormatPr baseColWidth="10" defaultRowHeight="14.4" x14ac:dyDescent="0.3"/>
  <cols>
    <col min="1" max="1" width="42.33203125" bestFit="1" customWidth="1"/>
    <col min="2" max="2" width="29.109375" bestFit="1" customWidth="1"/>
    <col min="3" max="3" width="26.5546875" bestFit="1" customWidth="1"/>
    <col min="4" max="4" width="81.109375" bestFit="1" customWidth="1"/>
    <col min="5" max="5" width="54.44140625" bestFit="1" customWidth="1"/>
    <col min="6" max="7" width="81.109375" bestFit="1" customWidth="1"/>
    <col min="8" max="8" width="9" bestFit="1" customWidth="1"/>
    <col min="9" max="9" width="22.88671875" bestFit="1" customWidth="1"/>
    <col min="10" max="10" width="27" bestFit="1" customWidth="1"/>
    <col min="11" max="11" width="12.55468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520</v>
      </c>
      <c r="B2" t="s">
        <v>521</v>
      </c>
      <c r="C2" t="s">
        <v>21</v>
      </c>
      <c r="D2" t="s">
        <v>139</v>
      </c>
      <c r="E2" t="s">
        <v>140</v>
      </c>
      <c r="F2">
        <v>0</v>
      </c>
      <c r="H2">
        <v>0</v>
      </c>
      <c r="J2">
        <v>0</v>
      </c>
      <c r="K2" t="s">
        <v>370</v>
      </c>
    </row>
    <row r="3" spans="1:11" x14ac:dyDescent="0.3">
      <c r="A3" t="s">
        <v>520</v>
      </c>
      <c r="B3" t="s">
        <v>521</v>
      </c>
      <c r="C3" t="s">
        <v>21</v>
      </c>
      <c r="D3" t="s">
        <v>519</v>
      </c>
      <c r="E3" t="s">
        <v>496</v>
      </c>
      <c r="F3">
        <v>6</v>
      </c>
      <c r="H3">
        <v>6</v>
      </c>
      <c r="I3">
        <v>2</v>
      </c>
      <c r="J3">
        <v>0</v>
      </c>
      <c r="K3" t="s">
        <v>370</v>
      </c>
    </row>
    <row r="4" spans="1:11" x14ac:dyDescent="0.3">
      <c r="A4" t="s">
        <v>520</v>
      </c>
      <c r="B4" t="s">
        <v>521</v>
      </c>
      <c r="C4" t="s">
        <v>21</v>
      </c>
      <c r="D4" t="s">
        <v>522</v>
      </c>
      <c r="E4" t="s">
        <v>496</v>
      </c>
      <c r="F4">
        <v>4</v>
      </c>
      <c r="H4">
        <v>4</v>
      </c>
      <c r="J4">
        <v>4</v>
      </c>
      <c r="K4" t="s">
        <v>370</v>
      </c>
    </row>
    <row r="5" spans="1:11" x14ac:dyDescent="0.3">
      <c r="A5" t="s">
        <v>520</v>
      </c>
      <c r="B5" t="s">
        <v>521</v>
      </c>
      <c r="C5" t="s">
        <v>21</v>
      </c>
      <c r="D5" t="s">
        <v>280</v>
      </c>
      <c r="E5" t="s">
        <v>496</v>
      </c>
      <c r="F5">
        <v>3</v>
      </c>
      <c r="H5">
        <v>3</v>
      </c>
      <c r="J5">
        <v>0</v>
      </c>
      <c r="K5" t="s">
        <v>370</v>
      </c>
    </row>
    <row r="6" spans="1:11" x14ac:dyDescent="0.3">
      <c r="A6" t="s">
        <v>520</v>
      </c>
      <c r="B6" t="s">
        <v>521</v>
      </c>
      <c r="C6" t="s">
        <v>21</v>
      </c>
      <c r="D6" t="s">
        <v>523</v>
      </c>
      <c r="E6" t="s">
        <v>496</v>
      </c>
      <c r="F6">
        <v>1</v>
      </c>
      <c r="H6">
        <v>1</v>
      </c>
      <c r="J6">
        <v>1</v>
      </c>
      <c r="K6" t="s">
        <v>370</v>
      </c>
    </row>
    <row r="7" spans="1:11" x14ac:dyDescent="0.3">
      <c r="A7" t="s">
        <v>520</v>
      </c>
      <c r="B7" t="s">
        <v>521</v>
      </c>
      <c r="C7" t="s">
        <v>21</v>
      </c>
      <c r="D7" t="s">
        <v>500</v>
      </c>
      <c r="E7" t="s">
        <v>496</v>
      </c>
      <c r="F7">
        <v>3</v>
      </c>
      <c r="H7">
        <v>3</v>
      </c>
      <c r="I7">
        <v>-2.5</v>
      </c>
      <c r="J7">
        <v>0</v>
      </c>
      <c r="K7" t="s">
        <v>370</v>
      </c>
    </row>
    <row r="8" spans="1:11" x14ac:dyDescent="0.3">
      <c r="A8" t="s">
        <v>520</v>
      </c>
      <c r="B8" t="s">
        <v>521</v>
      </c>
      <c r="C8" t="s">
        <v>21</v>
      </c>
      <c r="D8" t="s">
        <v>502</v>
      </c>
      <c r="E8" t="s">
        <v>496</v>
      </c>
      <c r="F8">
        <v>0.5</v>
      </c>
      <c r="H8">
        <v>0.5</v>
      </c>
      <c r="I8">
        <v>0</v>
      </c>
      <c r="J8">
        <v>0</v>
      </c>
      <c r="K8" t="s">
        <v>370</v>
      </c>
    </row>
    <row r="9" spans="1:11" x14ac:dyDescent="0.3">
      <c r="A9" t="s">
        <v>520</v>
      </c>
      <c r="B9" t="s">
        <v>521</v>
      </c>
      <c r="C9" t="s">
        <v>21</v>
      </c>
      <c r="D9" t="s">
        <v>501</v>
      </c>
      <c r="E9" t="s">
        <v>496</v>
      </c>
      <c r="F9">
        <v>2</v>
      </c>
      <c r="H9">
        <v>2</v>
      </c>
      <c r="I9">
        <v>-1.5</v>
      </c>
      <c r="J9">
        <v>0</v>
      </c>
      <c r="K9" t="s">
        <v>370</v>
      </c>
    </row>
    <row r="10" spans="1:11" x14ac:dyDescent="0.3">
      <c r="A10" t="s">
        <v>520</v>
      </c>
      <c r="B10" t="s">
        <v>521</v>
      </c>
      <c r="C10" t="s">
        <v>21</v>
      </c>
      <c r="D10" t="s">
        <v>524</v>
      </c>
      <c r="E10" t="s">
        <v>496</v>
      </c>
      <c r="F10">
        <v>2</v>
      </c>
      <c r="H10">
        <v>2</v>
      </c>
      <c r="J10">
        <v>2</v>
      </c>
      <c r="K10" t="s">
        <v>370</v>
      </c>
    </row>
    <row r="11" spans="1:11" x14ac:dyDescent="0.3">
      <c r="A11" t="s">
        <v>520</v>
      </c>
      <c r="B11" t="s">
        <v>521</v>
      </c>
      <c r="C11" t="s">
        <v>21</v>
      </c>
      <c r="D11" t="s">
        <v>499</v>
      </c>
      <c r="E11" t="s">
        <v>496</v>
      </c>
      <c r="F11">
        <v>1</v>
      </c>
      <c r="H11">
        <v>1</v>
      </c>
      <c r="J11">
        <v>1</v>
      </c>
      <c r="K11" t="s">
        <v>370</v>
      </c>
    </row>
    <row r="12" spans="1:11" x14ac:dyDescent="0.3">
      <c r="A12" t="s">
        <v>520</v>
      </c>
      <c r="B12" t="s">
        <v>521</v>
      </c>
      <c r="C12" t="s">
        <v>21</v>
      </c>
      <c r="D12" t="s">
        <v>503</v>
      </c>
      <c r="E12" t="s">
        <v>496</v>
      </c>
      <c r="F12">
        <v>0</v>
      </c>
      <c r="G12">
        <v>2</v>
      </c>
      <c r="H12">
        <v>2</v>
      </c>
      <c r="J12">
        <v>2</v>
      </c>
      <c r="K12" t="s">
        <v>370</v>
      </c>
    </row>
    <row r="13" spans="1:11" x14ac:dyDescent="0.3">
      <c r="A13" t="s">
        <v>520</v>
      </c>
      <c r="B13" t="s">
        <v>521</v>
      </c>
      <c r="C13" t="s">
        <v>21</v>
      </c>
      <c r="D13" t="s">
        <v>498</v>
      </c>
      <c r="E13" t="s">
        <v>496</v>
      </c>
      <c r="F13">
        <v>1</v>
      </c>
      <c r="H13">
        <v>1</v>
      </c>
      <c r="J13">
        <v>1</v>
      </c>
      <c r="K13" t="s">
        <v>370</v>
      </c>
    </row>
    <row r="14" spans="1:11" x14ac:dyDescent="0.3">
      <c r="A14" t="s">
        <v>520</v>
      </c>
      <c r="B14" t="s">
        <v>521</v>
      </c>
      <c r="C14" t="s">
        <v>21</v>
      </c>
      <c r="D14" t="s">
        <v>497</v>
      </c>
      <c r="E14" t="s">
        <v>496</v>
      </c>
      <c r="F14">
        <v>1</v>
      </c>
      <c r="H14">
        <v>1</v>
      </c>
      <c r="J14">
        <v>1</v>
      </c>
      <c r="K14" t="s">
        <v>370</v>
      </c>
    </row>
    <row r="15" spans="1:11" x14ac:dyDescent="0.3">
      <c r="A15" t="s">
        <v>520</v>
      </c>
      <c r="B15" t="s">
        <v>521</v>
      </c>
      <c r="C15" t="s">
        <v>21</v>
      </c>
      <c r="D15" t="s">
        <v>494</v>
      </c>
      <c r="E15" t="s">
        <v>170</v>
      </c>
      <c r="F15">
        <v>0</v>
      </c>
      <c r="H15">
        <v>0</v>
      </c>
      <c r="J15">
        <v>0</v>
      </c>
      <c r="K15" t="s">
        <v>370</v>
      </c>
    </row>
    <row r="16" spans="1:11" x14ac:dyDescent="0.3">
      <c r="A16" t="s">
        <v>520</v>
      </c>
      <c r="B16" t="s">
        <v>521</v>
      </c>
      <c r="C16" t="s">
        <v>21</v>
      </c>
      <c r="D16" t="s">
        <v>495</v>
      </c>
      <c r="E16" t="s">
        <v>496</v>
      </c>
      <c r="F16">
        <v>5</v>
      </c>
      <c r="H16">
        <v>5</v>
      </c>
      <c r="J16">
        <v>5</v>
      </c>
      <c r="K16" t="s">
        <v>370</v>
      </c>
    </row>
    <row r="17" spans="1:11" x14ac:dyDescent="0.3">
      <c r="A17" t="s">
        <v>520</v>
      </c>
      <c r="B17" t="s">
        <v>521</v>
      </c>
      <c r="C17" t="s">
        <v>21</v>
      </c>
      <c r="D17" t="s">
        <v>504</v>
      </c>
      <c r="E17" t="s">
        <v>496</v>
      </c>
      <c r="F17">
        <v>0</v>
      </c>
      <c r="H17">
        <v>0</v>
      </c>
      <c r="J17">
        <v>0</v>
      </c>
      <c r="K17" t="s">
        <v>370</v>
      </c>
    </row>
    <row r="18" spans="1:11" x14ac:dyDescent="0.3">
      <c r="A18" t="s">
        <v>520</v>
      </c>
      <c r="B18" t="s">
        <v>521</v>
      </c>
      <c r="C18" t="s">
        <v>64</v>
      </c>
      <c r="D18" t="s">
        <v>288</v>
      </c>
      <c r="E18" t="s">
        <v>140</v>
      </c>
      <c r="F18">
        <v>0</v>
      </c>
      <c r="H18">
        <v>0</v>
      </c>
      <c r="J18">
        <v>0</v>
      </c>
      <c r="K18" t="s">
        <v>370</v>
      </c>
    </row>
    <row r="19" spans="1:11" x14ac:dyDescent="0.3">
      <c r="A19" t="s">
        <v>520</v>
      </c>
      <c r="B19" t="s">
        <v>521</v>
      </c>
      <c r="C19" t="s">
        <v>64</v>
      </c>
      <c r="D19" t="s">
        <v>289</v>
      </c>
      <c r="E19" t="s">
        <v>140</v>
      </c>
      <c r="F19">
        <v>0</v>
      </c>
      <c r="H19">
        <v>0</v>
      </c>
      <c r="J19">
        <v>0</v>
      </c>
      <c r="K19" t="s">
        <v>370</v>
      </c>
    </row>
    <row r="20" spans="1:11" x14ac:dyDescent="0.3">
      <c r="A20" t="s">
        <v>520</v>
      </c>
      <c r="B20" t="s">
        <v>521</v>
      </c>
      <c r="C20" t="s">
        <v>64</v>
      </c>
      <c r="D20" t="s">
        <v>505</v>
      </c>
      <c r="E20" t="s">
        <v>140</v>
      </c>
      <c r="F20">
        <v>0</v>
      </c>
      <c r="H20">
        <v>0</v>
      </c>
      <c r="J20">
        <v>0</v>
      </c>
      <c r="K20" t="s">
        <v>370</v>
      </c>
    </row>
    <row r="21" spans="1:11" x14ac:dyDescent="0.3">
      <c r="A21" t="s">
        <v>520</v>
      </c>
      <c r="B21" t="s">
        <v>521</v>
      </c>
      <c r="C21" t="s">
        <v>64</v>
      </c>
      <c r="D21" t="s">
        <v>506</v>
      </c>
      <c r="E21" t="s">
        <v>140</v>
      </c>
      <c r="F21">
        <v>0</v>
      </c>
      <c r="H21">
        <v>0</v>
      </c>
      <c r="J21">
        <v>0</v>
      </c>
      <c r="K21" t="s">
        <v>370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E8F2-5E1B-483C-B5F1-0E85615F773C}">
  <dimension ref="A1:K67"/>
  <sheetViews>
    <sheetView topLeftCell="A52" workbookViewId="0">
      <selection activeCell="E24" sqref="E24"/>
    </sheetView>
  </sheetViews>
  <sheetFormatPr baseColWidth="10" defaultRowHeight="14.4" x14ac:dyDescent="0.3"/>
  <cols>
    <col min="1" max="1" width="29.44140625" bestFit="1" customWidth="1"/>
    <col min="2" max="2" width="20.44140625" bestFit="1" customWidth="1"/>
    <col min="3" max="3" width="24.77734375" bestFit="1" customWidth="1"/>
    <col min="4" max="4" width="67.4414062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t="s">
        <v>525</v>
      </c>
      <c r="B2" t="s">
        <v>80</v>
      </c>
      <c r="C2" t="s">
        <v>58</v>
      </c>
      <c r="D2" t="s">
        <v>272</v>
      </c>
      <c r="E2" t="s">
        <v>65</v>
      </c>
      <c r="F2">
        <v>3.5</v>
      </c>
      <c r="H2">
        <v>3.5</v>
      </c>
      <c r="J2">
        <v>0</v>
      </c>
      <c r="K2" t="s">
        <v>370</v>
      </c>
    </row>
    <row r="3" spans="1:11" x14ac:dyDescent="0.3">
      <c r="A3" t="s">
        <v>525</v>
      </c>
      <c r="B3" t="s">
        <v>80</v>
      </c>
      <c r="C3" t="s">
        <v>58</v>
      </c>
      <c r="D3" t="s">
        <v>91</v>
      </c>
      <c r="E3" t="s">
        <v>81</v>
      </c>
      <c r="F3">
        <v>4.5</v>
      </c>
      <c r="H3">
        <v>4.5</v>
      </c>
      <c r="J3">
        <v>0</v>
      </c>
      <c r="K3" t="s">
        <v>370</v>
      </c>
    </row>
    <row r="4" spans="1:11" x14ac:dyDescent="0.3">
      <c r="A4" t="s">
        <v>525</v>
      </c>
      <c r="B4" t="s">
        <v>80</v>
      </c>
      <c r="C4" t="s">
        <v>58</v>
      </c>
      <c r="D4" t="s">
        <v>174</v>
      </c>
      <c r="E4" t="s">
        <v>81</v>
      </c>
      <c r="F4">
        <v>1.5</v>
      </c>
      <c r="H4">
        <v>1.5</v>
      </c>
      <c r="I4">
        <v>-1.5</v>
      </c>
      <c r="J4">
        <v>0</v>
      </c>
      <c r="K4" t="s">
        <v>370</v>
      </c>
    </row>
    <row r="5" spans="1:11" x14ac:dyDescent="0.3">
      <c r="A5" t="s">
        <v>525</v>
      </c>
      <c r="B5" t="s">
        <v>80</v>
      </c>
      <c r="C5" t="s">
        <v>58</v>
      </c>
      <c r="D5" t="s">
        <v>90</v>
      </c>
      <c r="E5" t="s">
        <v>65</v>
      </c>
      <c r="F5">
        <v>4</v>
      </c>
      <c r="H5">
        <v>4</v>
      </c>
      <c r="J5">
        <v>0</v>
      </c>
      <c r="K5" t="s">
        <v>370</v>
      </c>
    </row>
    <row r="6" spans="1:11" x14ac:dyDescent="0.3">
      <c r="A6" t="s">
        <v>525</v>
      </c>
      <c r="B6" t="s">
        <v>80</v>
      </c>
      <c r="C6" t="s">
        <v>58</v>
      </c>
      <c r="D6" t="s">
        <v>135</v>
      </c>
      <c r="E6" t="s">
        <v>81</v>
      </c>
      <c r="F6">
        <v>2</v>
      </c>
      <c r="H6">
        <v>2</v>
      </c>
      <c r="J6">
        <v>0</v>
      </c>
      <c r="K6" t="s">
        <v>370</v>
      </c>
    </row>
    <row r="7" spans="1:11" x14ac:dyDescent="0.3">
      <c r="A7" t="s">
        <v>525</v>
      </c>
      <c r="B7" t="s">
        <v>80</v>
      </c>
      <c r="C7" t="s">
        <v>58</v>
      </c>
      <c r="D7" t="s">
        <v>271</v>
      </c>
      <c r="E7" t="s">
        <v>81</v>
      </c>
      <c r="F7">
        <v>3</v>
      </c>
      <c r="H7">
        <v>3</v>
      </c>
      <c r="I7">
        <v>-3</v>
      </c>
      <c r="J7">
        <v>0</v>
      </c>
      <c r="K7" t="s">
        <v>370</v>
      </c>
    </row>
    <row r="8" spans="1:11" x14ac:dyDescent="0.3">
      <c r="A8" t="s">
        <v>525</v>
      </c>
      <c r="B8" t="s">
        <v>80</v>
      </c>
      <c r="C8" t="s">
        <v>58</v>
      </c>
      <c r="D8" t="s">
        <v>94</v>
      </c>
      <c r="E8" t="s">
        <v>81</v>
      </c>
      <c r="F8">
        <v>2</v>
      </c>
      <c r="H8">
        <v>2</v>
      </c>
      <c r="J8">
        <v>0</v>
      </c>
      <c r="K8" t="s">
        <v>370</v>
      </c>
    </row>
    <row r="9" spans="1:11" x14ac:dyDescent="0.3">
      <c r="A9" t="s">
        <v>525</v>
      </c>
      <c r="B9" t="s">
        <v>80</v>
      </c>
      <c r="C9" t="s">
        <v>58</v>
      </c>
      <c r="D9" t="s">
        <v>136</v>
      </c>
      <c r="E9" t="s">
        <v>81</v>
      </c>
      <c r="F9">
        <v>1</v>
      </c>
      <c r="H9">
        <v>1</v>
      </c>
      <c r="J9">
        <v>0</v>
      </c>
      <c r="K9" t="s">
        <v>370</v>
      </c>
    </row>
    <row r="10" spans="1:11" x14ac:dyDescent="0.3">
      <c r="A10" t="s">
        <v>525</v>
      </c>
      <c r="B10" t="s">
        <v>80</v>
      </c>
      <c r="C10" t="s">
        <v>58</v>
      </c>
      <c r="D10" t="s">
        <v>93</v>
      </c>
      <c r="E10" t="s">
        <v>81</v>
      </c>
      <c r="F10">
        <v>2</v>
      </c>
      <c r="H10">
        <v>2</v>
      </c>
      <c r="I10">
        <v>-1</v>
      </c>
      <c r="J10">
        <v>0</v>
      </c>
      <c r="K10" t="s">
        <v>370</v>
      </c>
    </row>
    <row r="11" spans="1:11" x14ac:dyDescent="0.3">
      <c r="A11" t="s">
        <v>525</v>
      </c>
      <c r="B11" t="s">
        <v>80</v>
      </c>
      <c r="C11" t="s">
        <v>58</v>
      </c>
      <c r="D11" t="s">
        <v>92</v>
      </c>
      <c r="E11" t="s">
        <v>81</v>
      </c>
      <c r="F11">
        <v>4</v>
      </c>
      <c r="H11">
        <v>4</v>
      </c>
      <c r="I11">
        <v>-1</v>
      </c>
      <c r="J11">
        <v>0</v>
      </c>
      <c r="K11" t="s">
        <v>370</v>
      </c>
    </row>
    <row r="12" spans="1:11" x14ac:dyDescent="0.3">
      <c r="A12" t="s">
        <v>525</v>
      </c>
      <c r="B12" t="s">
        <v>80</v>
      </c>
      <c r="C12" t="s">
        <v>58</v>
      </c>
      <c r="D12" t="s">
        <v>95</v>
      </c>
      <c r="E12" t="s">
        <v>81</v>
      </c>
      <c r="F12">
        <v>2</v>
      </c>
      <c r="H12">
        <v>2</v>
      </c>
      <c r="I12">
        <v>4</v>
      </c>
      <c r="J12">
        <v>0</v>
      </c>
      <c r="K12" t="s">
        <v>370</v>
      </c>
    </row>
    <row r="13" spans="1:11" x14ac:dyDescent="0.3">
      <c r="A13" t="s">
        <v>525</v>
      </c>
      <c r="B13" t="s">
        <v>80</v>
      </c>
      <c r="C13" t="s">
        <v>58</v>
      </c>
      <c r="D13" t="s">
        <v>273</v>
      </c>
      <c r="E13" t="s">
        <v>65</v>
      </c>
      <c r="F13">
        <v>5</v>
      </c>
      <c r="H13">
        <v>5</v>
      </c>
      <c r="I13">
        <v>-3</v>
      </c>
      <c r="J13">
        <v>0</v>
      </c>
      <c r="K13" t="s">
        <v>370</v>
      </c>
    </row>
    <row r="14" spans="1:11" x14ac:dyDescent="0.3">
      <c r="A14" t="s">
        <v>525</v>
      </c>
      <c r="B14" t="s">
        <v>80</v>
      </c>
      <c r="C14" t="s">
        <v>58</v>
      </c>
      <c r="D14" t="s">
        <v>97</v>
      </c>
      <c r="E14" t="s">
        <v>81</v>
      </c>
      <c r="F14">
        <v>1</v>
      </c>
      <c r="H14">
        <v>1</v>
      </c>
      <c r="J14">
        <v>0</v>
      </c>
      <c r="K14" t="s">
        <v>370</v>
      </c>
    </row>
    <row r="15" spans="1:11" x14ac:dyDescent="0.3">
      <c r="A15" t="s">
        <v>525</v>
      </c>
      <c r="B15" t="s">
        <v>80</v>
      </c>
      <c r="C15" t="s">
        <v>58</v>
      </c>
      <c r="D15" t="s">
        <v>96</v>
      </c>
      <c r="E15" t="s">
        <v>81</v>
      </c>
      <c r="F15">
        <v>2.5</v>
      </c>
      <c r="H15">
        <v>2.5</v>
      </c>
      <c r="I15">
        <v>1.5</v>
      </c>
      <c r="J15">
        <v>0</v>
      </c>
      <c r="K15" t="s">
        <v>370</v>
      </c>
    </row>
    <row r="16" spans="1:11" x14ac:dyDescent="0.3">
      <c r="A16" t="s">
        <v>525</v>
      </c>
      <c r="B16" t="s">
        <v>80</v>
      </c>
      <c r="C16" t="s">
        <v>58</v>
      </c>
      <c r="D16" t="s">
        <v>526</v>
      </c>
      <c r="E16" t="s">
        <v>81</v>
      </c>
      <c r="F16">
        <v>2</v>
      </c>
      <c r="H16">
        <v>2</v>
      </c>
      <c r="J16">
        <v>0</v>
      </c>
      <c r="K16" t="s">
        <v>370</v>
      </c>
    </row>
    <row r="17" spans="1:11" x14ac:dyDescent="0.3">
      <c r="A17" t="s">
        <v>525</v>
      </c>
      <c r="B17" t="s">
        <v>80</v>
      </c>
      <c r="C17" t="s">
        <v>58</v>
      </c>
      <c r="D17" t="s">
        <v>179</v>
      </c>
      <c r="E17" t="s">
        <v>81</v>
      </c>
      <c r="F17">
        <v>2</v>
      </c>
      <c r="H17">
        <v>2</v>
      </c>
      <c r="I17">
        <v>-2</v>
      </c>
      <c r="J17">
        <v>0</v>
      </c>
      <c r="K17" t="s">
        <v>370</v>
      </c>
    </row>
    <row r="18" spans="1:11" x14ac:dyDescent="0.3">
      <c r="A18" t="s">
        <v>525</v>
      </c>
      <c r="B18" t="s">
        <v>80</v>
      </c>
      <c r="C18" t="s">
        <v>58</v>
      </c>
      <c r="D18" t="s">
        <v>180</v>
      </c>
      <c r="E18" t="s">
        <v>81</v>
      </c>
      <c r="F18">
        <v>1</v>
      </c>
      <c r="H18">
        <v>1</v>
      </c>
      <c r="J18">
        <v>0</v>
      </c>
      <c r="K18" t="s">
        <v>370</v>
      </c>
    </row>
    <row r="19" spans="1:11" x14ac:dyDescent="0.3">
      <c r="A19" t="s">
        <v>525</v>
      </c>
      <c r="B19" t="s">
        <v>80</v>
      </c>
      <c r="C19" t="s">
        <v>58</v>
      </c>
      <c r="D19" t="s">
        <v>98</v>
      </c>
      <c r="E19" t="s">
        <v>81</v>
      </c>
      <c r="F19">
        <v>0.5</v>
      </c>
      <c r="H19">
        <v>0.5</v>
      </c>
      <c r="I19">
        <v>-0.5</v>
      </c>
      <c r="J19">
        <v>0</v>
      </c>
      <c r="K19" t="s">
        <v>370</v>
      </c>
    </row>
    <row r="20" spans="1:11" x14ac:dyDescent="0.3">
      <c r="A20" t="s">
        <v>525</v>
      </c>
      <c r="B20" t="s">
        <v>80</v>
      </c>
      <c r="C20" t="s">
        <v>58</v>
      </c>
      <c r="D20" t="s">
        <v>172</v>
      </c>
      <c r="E20" t="s">
        <v>81</v>
      </c>
      <c r="F20">
        <v>3</v>
      </c>
      <c r="H20">
        <v>3</v>
      </c>
      <c r="I20">
        <v>-1</v>
      </c>
      <c r="J20">
        <v>0</v>
      </c>
      <c r="K20" t="s">
        <v>370</v>
      </c>
    </row>
    <row r="21" spans="1:11" x14ac:dyDescent="0.3">
      <c r="A21" t="s">
        <v>525</v>
      </c>
      <c r="B21" t="s">
        <v>80</v>
      </c>
      <c r="C21" t="s">
        <v>58</v>
      </c>
      <c r="D21" t="s">
        <v>518</v>
      </c>
      <c r="E21" t="s">
        <v>81</v>
      </c>
      <c r="F21">
        <v>2</v>
      </c>
      <c r="H21">
        <v>2</v>
      </c>
      <c r="I21">
        <v>-2</v>
      </c>
      <c r="J21">
        <v>0</v>
      </c>
      <c r="K21" t="s">
        <v>370</v>
      </c>
    </row>
    <row r="22" spans="1:11" x14ac:dyDescent="0.3">
      <c r="A22" t="s">
        <v>525</v>
      </c>
      <c r="B22" t="s">
        <v>80</v>
      </c>
      <c r="C22" t="s">
        <v>58</v>
      </c>
      <c r="D22" t="s">
        <v>485</v>
      </c>
      <c r="E22" t="s">
        <v>81</v>
      </c>
      <c r="F22">
        <v>0</v>
      </c>
      <c r="G22">
        <v>4</v>
      </c>
      <c r="H22">
        <v>4</v>
      </c>
      <c r="I22">
        <v>-4</v>
      </c>
      <c r="J22">
        <v>0</v>
      </c>
      <c r="K22" t="s">
        <v>370</v>
      </c>
    </row>
    <row r="23" spans="1:11" x14ac:dyDescent="0.3">
      <c r="A23" t="s">
        <v>525</v>
      </c>
      <c r="B23" t="s">
        <v>80</v>
      </c>
      <c r="C23" t="s">
        <v>58</v>
      </c>
      <c r="D23" t="s">
        <v>527</v>
      </c>
      <c r="E23" t="s">
        <v>142</v>
      </c>
      <c r="F23">
        <v>0</v>
      </c>
      <c r="H23">
        <v>0</v>
      </c>
      <c r="J23">
        <v>0</v>
      </c>
      <c r="K23" t="s">
        <v>370</v>
      </c>
    </row>
    <row r="24" spans="1:11" x14ac:dyDescent="0.3">
      <c r="A24" t="s">
        <v>525</v>
      </c>
      <c r="B24" t="s">
        <v>80</v>
      </c>
      <c r="C24" t="s">
        <v>58</v>
      </c>
      <c r="D24" t="s">
        <v>528</v>
      </c>
      <c r="E24" t="s">
        <v>144</v>
      </c>
      <c r="F24">
        <v>5</v>
      </c>
      <c r="H24">
        <v>5</v>
      </c>
      <c r="J24">
        <v>5</v>
      </c>
      <c r="K24" t="s">
        <v>370</v>
      </c>
    </row>
    <row r="25" spans="1:11" x14ac:dyDescent="0.3">
      <c r="A25" t="s">
        <v>525</v>
      </c>
      <c r="B25" t="s">
        <v>80</v>
      </c>
      <c r="C25" t="s">
        <v>58</v>
      </c>
      <c r="D25" t="s">
        <v>164</v>
      </c>
      <c r="E25" t="s">
        <v>144</v>
      </c>
      <c r="F25">
        <v>5</v>
      </c>
      <c r="H25">
        <v>5</v>
      </c>
      <c r="J25">
        <v>5</v>
      </c>
      <c r="K25" t="s">
        <v>370</v>
      </c>
    </row>
    <row r="26" spans="1:11" x14ac:dyDescent="0.3">
      <c r="A26" t="s">
        <v>525</v>
      </c>
      <c r="B26" t="s">
        <v>80</v>
      </c>
      <c r="C26" t="s">
        <v>58</v>
      </c>
      <c r="D26" t="s">
        <v>529</v>
      </c>
      <c r="E26" t="s">
        <v>146</v>
      </c>
      <c r="F26">
        <v>0</v>
      </c>
      <c r="H26">
        <v>0</v>
      </c>
      <c r="J26">
        <v>0</v>
      </c>
      <c r="K26" t="s">
        <v>370</v>
      </c>
    </row>
    <row r="27" spans="1:11" x14ac:dyDescent="0.3">
      <c r="A27" t="s">
        <v>525</v>
      </c>
      <c r="B27" t="s">
        <v>80</v>
      </c>
      <c r="C27" t="s">
        <v>70</v>
      </c>
      <c r="D27" t="s">
        <v>101</v>
      </c>
      <c r="E27" t="s">
        <v>81</v>
      </c>
      <c r="F27">
        <v>9</v>
      </c>
      <c r="H27">
        <v>9</v>
      </c>
      <c r="I27">
        <v>-5</v>
      </c>
      <c r="J27">
        <v>0</v>
      </c>
      <c r="K27" t="s">
        <v>370</v>
      </c>
    </row>
    <row r="28" spans="1:11" x14ac:dyDescent="0.3">
      <c r="A28" t="s">
        <v>525</v>
      </c>
      <c r="B28" t="s">
        <v>80</v>
      </c>
      <c r="C28" t="s">
        <v>70</v>
      </c>
      <c r="D28" t="s">
        <v>182</v>
      </c>
      <c r="E28" t="s">
        <v>81</v>
      </c>
      <c r="F28">
        <v>11</v>
      </c>
      <c r="H28">
        <v>11</v>
      </c>
      <c r="I28">
        <v>-9</v>
      </c>
      <c r="J28">
        <v>0</v>
      </c>
      <c r="K28" t="s">
        <v>370</v>
      </c>
    </row>
    <row r="29" spans="1:11" x14ac:dyDescent="0.3">
      <c r="A29" t="s">
        <v>525</v>
      </c>
      <c r="B29" t="s">
        <v>80</v>
      </c>
      <c r="C29" t="s">
        <v>70</v>
      </c>
      <c r="D29" t="s">
        <v>104</v>
      </c>
      <c r="E29" t="s">
        <v>81</v>
      </c>
      <c r="F29">
        <v>4</v>
      </c>
      <c r="H29">
        <v>4</v>
      </c>
      <c r="I29">
        <v>-3</v>
      </c>
      <c r="J29">
        <v>0</v>
      </c>
      <c r="K29" t="s">
        <v>370</v>
      </c>
    </row>
    <row r="30" spans="1:11" x14ac:dyDescent="0.3">
      <c r="A30" t="s">
        <v>525</v>
      </c>
      <c r="B30" t="s">
        <v>80</v>
      </c>
      <c r="C30" t="s">
        <v>70</v>
      </c>
      <c r="D30" t="s">
        <v>103</v>
      </c>
      <c r="E30" t="s">
        <v>81</v>
      </c>
      <c r="F30">
        <v>0</v>
      </c>
      <c r="H30">
        <v>0</v>
      </c>
      <c r="J30">
        <v>0</v>
      </c>
      <c r="K30" t="s">
        <v>370</v>
      </c>
    </row>
    <row r="31" spans="1:11" x14ac:dyDescent="0.3">
      <c r="A31" t="s">
        <v>525</v>
      </c>
      <c r="B31" t="s">
        <v>80</v>
      </c>
      <c r="C31" t="s">
        <v>70</v>
      </c>
      <c r="D31" t="s">
        <v>530</v>
      </c>
      <c r="E31" t="s">
        <v>81</v>
      </c>
      <c r="F31">
        <v>2</v>
      </c>
      <c r="H31">
        <v>2</v>
      </c>
      <c r="I31">
        <v>-1</v>
      </c>
      <c r="J31">
        <v>0</v>
      </c>
      <c r="K31" t="s">
        <v>370</v>
      </c>
    </row>
    <row r="32" spans="1:11" x14ac:dyDescent="0.3">
      <c r="A32" t="s">
        <v>525</v>
      </c>
      <c r="B32" t="s">
        <v>80</v>
      </c>
      <c r="C32" t="s">
        <v>70</v>
      </c>
      <c r="D32" t="s">
        <v>531</v>
      </c>
      <c r="E32" t="s">
        <v>81</v>
      </c>
      <c r="F32">
        <v>2</v>
      </c>
      <c r="H32">
        <v>2</v>
      </c>
      <c r="I32">
        <v>-2</v>
      </c>
      <c r="J32">
        <v>0</v>
      </c>
      <c r="K32" t="s">
        <v>370</v>
      </c>
    </row>
    <row r="33" spans="1:11" x14ac:dyDescent="0.3">
      <c r="A33" t="s">
        <v>525</v>
      </c>
      <c r="B33" t="s">
        <v>80</v>
      </c>
      <c r="C33" t="s">
        <v>70</v>
      </c>
      <c r="D33" t="s">
        <v>532</v>
      </c>
      <c r="E33" t="s">
        <v>81</v>
      </c>
      <c r="F33">
        <v>4</v>
      </c>
      <c r="H33">
        <v>4</v>
      </c>
      <c r="J33">
        <v>0</v>
      </c>
      <c r="K33" t="s">
        <v>370</v>
      </c>
    </row>
    <row r="34" spans="1:11" x14ac:dyDescent="0.3">
      <c r="A34" t="s">
        <v>525</v>
      </c>
      <c r="B34" t="s">
        <v>80</v>
      </c>
      <c r="C34" t="s">
        <v>70</v>
      </c>
      <c r="D34" t="s">
        <v>533</v>
      </c>
      <c r="E34" t="s">
        <v>146</v>
      </c>
      <c r="F34">
        <v>0</v>
      </c>
      <c r="H34">
        <v>0</v>
      </c>
      <c r="J34">
        <v>0</v>
      </c>
      <c r="K34" t="s">
        <v>370</v>
      </c>
    </row>
    <row r="35" spans="1:11" x14ac:dyDescent="0.3">
      <c r="A35" t="s">
        <v>525</v>
      </c>
      <c r="B35" t="s">
        <v>80</v>
      </c>
      <c r="C35" t="s">
        <v>70</v>
      </c>
      <c r="D35" t="s">
        <v>153</v>
      </c>
      <c r="E35" t="s">
        <v>144</v>
      </c>
      <c r="F35">
        <v>5</v>
      </c>
      <c r="H35">
        <v>5</v>
      </c>
      <c r="J35">
        <v>5</v>
      </c>
      <c r="K35" t="s">
        <v>370</v>
      </c>
    </row>
    <row r="36" spans="1:11" x14ac:dyDescent="0.3">
      <c r="A36" t="s">
        <v>525</v>
      </c>
      <c r="B36" t="s">
        <v>80</v>
      </c>
      <c r="C36" t="s">
        <v>70</v>
      </c>
      <c r="D36" t="s">
        <v>342</v>
      </c>
      <c r="E36" t="s">
        <v>144</v>
      </c>
      <c r="F36">
        <v>5</v>
      </c>
      <c r="H36">
        <v>5</v>
      </c>
      <c r="J36">
        <v>5</v>
      </c>
      <c r="K36" t="s">
        <v>370</v>
      </c>
    </row>
    <row r="37" spans="1:11" x14ac:dyDescent="0.3">
      <c r="A37" t="s">
        <v>525</v>
      </c>
      <c r="B37" t="s">
        <v>80</v>
      </c>
      <c r="C37" t="s">
        <v>70</v>
      </c>
      <c r="D37" t="s">
        <v>340</v>
      </c>
      <c r="E37" t="s">
        <v>81</v>
      </c>
      <c r="F37">
        <v>0</v>
      </c>
      <c r="H37">
        <v>0</v>
      </c>
      <c r="J37">
        <v>0</v>
      </c>
      <c r="K37" t="s">
        <v>370</v>
      </c>
    </row>
    <row r="38" spans="1:11" x14ac:dyDescent="0.3">
      <c r="A38" t="s">
        <v>525</v>
      </c>
      <c r="B38" t="s">
        <v>80</v>
      </c>
      <c r="C38" t="s">
        <v>70</v>
      </c>
      <c r="D38" t="s">
        <v>362</v>
      </c>
      <c r="E38" t="s">
        <v>81</v>
      </c>
      <c r="F38">
        <v>4</v>
      </c>
      <c r="H38">
        <v>4</v>
      </c>
      <c r="I38">
        <v>-4</v>
      </c>
      <c r="J38">
        <v>0</v>
      </c>
      <c r="K38" t="s">
        <v>370</v>
      </c>
    </row>
    <row r="39" spans="1:11" x14ac:dyDescent="0.3">
      <c r="A39" t="s">
        <v>525</v>
      </c>
      <c r="B39" t="s">
        <v>80</v>
      </c>
      <c r="C39" t="s">
        <v>69</v>
      </c>
      <c r="D39" t="s">
        <v>106</v>
      </c>
      <c r="E39" t="s">
        <v>65</v>
      </c>
      <c r="F39">
        <v>0.5</v>
      </c>
      <c r="H39">
        <v>0.5</v>
      </c>
      <c r="I39">
        <v>-0.5</v>
      </c>
      <c r="J39">
        <v>0</v>
      </c>
      <c r="K39" t="s">
        <v>370</v>
      </c>
    </row>
    <row r="40" spans="1:11" x14ac:dyDescent="0.3">
      <c r="A40" t="s">
        <v>525</v>
      </c>
      <c r="B40" t="s">
        <v>80</v>
      </c>
      <c r="C40" t="s">
        <v>69</v>
      </c>
      <c r="D40" t="s">
        <v>108</v>
      </c>
      <c r="E40" t="s">
        <v>81</v>
      </c>
      <c r="F40">
        <v>5</v>
      </c>
      <c r="H40">
        <v>5</v>
      </c>
      <c r="I40">
        <v>4</v>
      </c>
      <c r="J40">
        <v>0</v>
      </c>
      <c r="K40" t="s">
        <v>370</v>
      </c>
    </row>
    <row r="41" spans="1:11" x14ac:dyDescent="0.3">
      <c r="A41" t="s">
        <v>525</v>
      </c>
      <c r="B41" t="s">
        <v>80</v>
      </c>
      <c r="C41" t="s">
        <v>69</v>
      </c>
      <c r="D41" t="s">
        <v>109</v>
      </c>
      <c r="E41" t="s">
        <v>81</v>
      </c>
      <c r="F41">
        <v>4</v>
      </c>
      <c r="H41">
        <v>4</v>
      </c>
      <c r="I41">
        <v>3</v>
      </c>
      <c r="J41">
        <v>1</v>
      </c>
      <c r="K41" t="s">
        <v>370</v>
      </c>
    </row>
    <row r="42" spans="1:11" x14ac:dyDescent="0.3">
      <c r="A42" t="s">
        <v>525</v>
      </c>
      <c r="B42" t="s">
        <v>80</v>
      </c>
      <c r="C42" t="s">
        <v>69</v>
      </c>
      <c r="D42" t="s">
        <v>534</v>
      </c>
      <c r="E42" t="s">
        <v>81</v>
      </c>
      <c r="F42">
        <v>6</v>
      </c>
      <c r="H42">
        <v>6</v>
      </c>
      <c r="I42">
        <v>-6</v>
      </c>
      <c r="J42">
        <v>0</v>
      </c>
      <c r="K42" t="s">
        <v>370</v>
      </c>
    </row>
    <row r="43" spans="1:11" x14ac:dyDescent="0.3">
      <c r="A43" t="s">
        <v>525</v>
      </c>
      <c r="B43" t="s">
        <v>80</v>
      </c>
      <c r="C43" t="s">
        <v>69</v>
      </c>
      <c r="D43" t="s">
        <v>138</v>
      </c>
      <c r="E43" t="s">
        <v>81</v>
      </c>
      <c r="F43">
        <v>1</v>
      </c>
      <c r="H43">
        <v>1</v>
      </c>
      <c r="I43">
        <v>-1</v>
      </c>
      <c r="J43">
        <v>0</v>
      </c>
      <c r="K43" t="s">
        <v>370</v>
      </c>
    </row>
    <row r="44" spans="1:11" x14ac:dyDescent="0.3">
      <c r="A44" t="s">
        <v>525</v>
      </c>
      <c r="B44" t="s">
        <v>80</v>
      </c>
      <c r="C44" t="s">
        <v>69</v>
      </c>
      <c r="D44" t="s">
        <v>535</v>
      </c>
      <c r="E44" t="s">
        <v>81</v>
      </c>
      <c r="F44">
        <v>2</v>
      </c>
      <c r="H44">
        <v>2</v>
      </c>
      <c r="I44">
        <v>-2</v>
      </c>
      <c r="J44">
        <v>0</v>
      </c>
      <c r="K44" t="s">
        <v>370</v>
      </c>
    </row>
    <row r="45" spans="1:11" x14ac:dyDescent="0.3">
      <c r="A45" t="s">
        <v>525</v>
      </c>
      <c r="B45" t="s">
        <v>80</v>
      </c>
      <c r="C45" t="s">
        <v>69</v>
      </c>
      <c r="D45" t="s">
        <v>536</v>
      </c>
      <c r="E45" t="s">
        <v>81</v>
      </c>
      <c r="F45">
        <v>2</v>
      </c>
      <c r="H45">
        <v>2</v>
      </c>
      <c r="I45">
        <v>-2</v>
      </c>
      <c r="J45">
        <v>0</v>
      </c>
      <c r="K45" t="s">
        <v>370</v>
      </c>
    </row>
    <row r="46" spans="1:11" x14ac:dyDescent="0.3">
      <c r="A46" t="s">
        <v>525</v>
      </c>
      <c r="B46" t="s">
        <v>80</v>
      </c>
      <c r="C46" t="s">
        <v>69</v>
      </c>
      <c r="D46" t="s">
        <v>112</v>
      </c>
      <c r="E46" t="s">
        <v>81</v>
      </c>
      <c r="F46">
        <v>4</v>
      </c>
      <c r="H46">
        <v>4</v>
      </c>
      <c r="I46">
        <v>1</v>
      </c>
      <c r="J46">
        <v>0</v>
      </c>
      <c r="K46" t="s">
        <v>370</v>
      </c>
    </row>
    <row r="47" spans="1:11" x14ac:dyDescent="0.3">
      <c r="A47" t="s">
        <v>525</v>
      </c>
      <c r="B47" t="s">
        <v>80</v>
      </c>
      <c r="C47" t="s">
        <v>69</v>
      </c>
      <c r="D47" t="s">
        <v>122</v>
      </c>
      <c r="E47" t="s">
        <v>81</v>
      </c>
      <c r="F47">
        <v>2</v>
      </c>
      <c r="H47">
        <v>2</v>
      </c>
      <c r="I47">
        <v>-2</v>
      </c>
      <c r="J47">
        <v>0</v>
      </c>
      <c r="K47" t="s">
        <v>370</v>
      </c>
    </row>
    <row r="48" spans="1:11" x14ac:dyDescent="0.3">
      <c r="A48" t="s">
        <v>525</v>
      </c>
      <c r="B48" t="s">
        <v>80</v>
      </c>
      <c r="C48" t="s">
        <v>69</v>
      </c>
      <c r="D48" t="s">
        <v>274</v>
      </c>
      <c r="E48" t="s">
        <v>81</v>
      </c>
      <c r="F48">
        <v>0</v>
      </c>
      <c r="G48">
        <v>2</v>
      </c>
      <c r="H48">
        <v>2</v>
      </c>
      <c r="I48">
        <v>-2</v>
      </c>
      <c r="J48">
        <v>0</v>
      </c>
      <c r="K48" t="s">
        <v>370</v>
      </c>
    </row>
    <row r="49" spans="1:11" x14ac:dyDescent="0.3">
      <c r="A49" t="s">
        <v>525</v>
      </c>
      <c r="B49" t="s">
        <v>80</v>
      </c>
      <c r="C49" t="s">
        <v>69</v>
      </c>
      <c r="D49" t="s">
        <v>537</v>
      </c>
      <c r="E49" t="s">
        <v>142</v>
      </c>
      <c r="F49">
        <v>0</v>
      </c>
      <c r="H49">
        <v>0</v>
      </c>
      <c r="J49">
        <v>0</v>
      </c>
      <c r="K49" t="s">
        <v>370</v>
      </c>
    </row>
    <row r="50" spans="1:11" x14ac:dyDescent="0.3">
      <c r="A50" t="s">
        <v>525</v>
      </c>
      <c r="B50" t="s">
        <v>80</v>
      </c>
      <c r="C50" t="s">
        <v>69</v>
      </c>
      <c r="D50" t="s">
        <v>538</v>
      </c>
      <c r="E50" t="s">
        <v>144</v>
      </c>
      <c r="F50">
        <v>5</v>
      </c>
      <c r="H50">
        <v>5</v>
      </c>
      <c r="J50">
        <v>5</v>
      </c>
      <c r="K50" t="s">
        <v>370</v>
      </c>
    </row>
    <row r="51" spans="1:11" x14ac:dyDescent="0.3">
      <c r="A51" t="s">
        <v>525</v>
      </c>
      <c r="B51" t="s">
        <v>80</v>
      </c>
      <c r="C51" t="s">
        <v>69</v>
      </c>
      <c r="D51" t="s">
        <v>539</v>
      </c>
      <c r="E51" t="s">
        <v>144</v>
      </c>
      <c r="F51">
        <v>5</v>
      </c>
      <c r="H51">
        <v>5</v>
      </c>
      <c r="J51">
        <v>5</v>
      </c>
      <c r="K51" t="s">
        <v>370</v>
      </c>
    </row>
    <row r="52" spans="1:11" x14ac:dyDescent="0.3">
      <c r="A52" t="s">
        <v>525</v>
      </c>
      <c r="B52" t="s">
        <v>80</v>
      </c>
      <c r="C52" t="s">
        <v>69</v>
      </c>
      <c r="D52" t="s">
        <v>540</v>
      </c>
      <c r="E52" t="s">
        <v>146</v>
      </c>
      <c r="F52">
        <v>0</v>
      </c>
      <c r="G52">
        <v>2</v>
      </c>
      <c r="H52">
        <v>2</v>
      </c>
      <c r="J52">
        <v>2</v>
      </c>
      <c r="K52" t="s">
        <v>370</v>
      </c>
    </row>
    <row r="53" spans="1:11" x14ac:dyDescent="0.3">
      <c r="A53" t="s">
        <v>525</v>
      </c>
      <c r="B53" t="s">
        <v>80</v>
      </c>
      <c r="C53" t="s">
        <v>353</v>
      </c>
      <c r="D53" t="s">
        <v>541</v>
      </c>
      <c r="E53" t="s">
        <v>81</v>
      </c>
      <c r="F53">
        <v>9</v>
      </c>
      <c r="H53">
        <v>9</v>
      </c>
      <c r="I53">
        <v>-6</v>
      </c>
      <c r="J53">
        <v>0</v>
      </c>
      <c r="K53" t="s">
        <v>370</v>
      </c>
    </row>
    <row r="54" spans="1:11" x14ac:dyDescent="0.3">
      <c r="A54" t="s">
        <v>525</v>
      </c>
      <c r="B54" t="s">
        <v>80</v>
      </c>
      <c r="C54" t="s">
        <v>353</v>
      </c>
      <c r="D54" t="s">
        <v>542</v>
      </c>
      <c r="E54" t="s">
        <v>81</v>
      </c>
      <c r="F54">
        <v>2</v>
      </c>
      <c r="H54">
        <v>2</v>
      </c>
      <c r="I54">
        <v>-1</v>
      </c>
      <c r="J54">
        <v>0</v>
      </c>
      <c r="K54" t="s">
        <v>370</v>
      </c>
    </row>
    <row r="55" spans="1:11" x14ac:dyDescent="0.3">
      <c r="A55" t="s">
        <v>525</v>
      </c>
      <c r="B55" t="s">
        <v>80</v>
      </c>
      <c r="C55" t="s">
        <v>353</v>
      </c>
      <c r="D55" t="s">
        <v>543</v>
      </c>
      <c r="E55" t="s">
        <v>142</v>
      </c>
      <c r="F55">
        <v>0</v>
      </c>
      <c r="H55">
        <v>0</v>
      </c>
      <c r="J55">
        <v>0</v>
      </c>
      <c r="K55" t="s">
        <v>370</v>
      </c>
    </row>
    <row r="56" spans="1:11" x14ac:dyDescent="0.3">
      <c r="A56" t="s">
        <v>525</v>
      </c>
      <c r="B56" t="s">
        <v>80</v>
      </c>
      <c r="C56" t="s">
        <v>353</v>
      </c>
      <c r="D56" t="s">
        <v>544</v>
      </c>
      <c r="E56" t="s">
        <v>144</v>
      </c>
      <c r="F56">
        <v>5</v>
      </c>
      <c r="H56">
        <v>5</v>
      </c>
      <c r="J56">
        <v>5</v>
      </c>
      <c r="K56" t="s">
        <v>370</v>
      </c>
    </row>
    <row r="57" spans="1:11" x14ac:dyDescent="0.3">
      <c r="A57" t="s">
        <v>525</v>
      </c>
      <c r="B57" t="s">
        <v>80</v>
      </c>
      <c r="C57" t="s">
        <v>353</v>
      </c>
      <c r="D57" t="s">
        <v>545</v>
      </c>
      <c r="E57" t="s">
        <v>144</v>
      </c>
      <c r="F57">
        <v>5</v>
      </c>
      <c r="H57">
        <v>5</v>
      </c>
      <c r="J57">
        <v>5</v>
      </c>
      <c r="K57" t="s">
        <v>370</v>
      </c>
    </row>
    <row r="58" spans="1:11" x14ac:dyDescent="0.3">
      <c r="A58" t="s">
        <v>525</v>
      </c>
      <c r="B58" t="s">
        <v>80</v>
      </c>
      <c r="C58" t="s">
        <v>353</v>
      </c>
      <c r="D58" t="s">
        <v>546</v>
      </c>
      <c r="E58" t="s">
        <v>146</v>
      </c>
      <c r="F58">
        <v>0</v>
      </c>
      <c r="H58">
        <v>0</v>
      </c>
      <c r="J58">
        <v>0</v>
      </c>
      <c r="K58" t="s">
        <v>370</v>
      </c>
    </row>
    <row r="59" spans="1:11" x14ac:dyDescent="0.3">
      <c r="A59" t="s">
        <v>525</v>
      </c>
      <c r="B59" t="s">
        <v>80</v>
      </c>
      <c r="C59" t="s">
        <v>64</v>
      </c>
      <c r="D59" t="s">
        <v>288</v>
      </c>
      <c r="E59" t="s">
        <v>140</v>
      </c>
      <c r="F59">
        <v>0</v>
      </c>
      <c r="H59">
        <v>0</v>
      </c>
    </row>
    <row r="60" spans="1:11" x14ac:dyDescent="0.3">
      <c r="A60" t="s">
        <v>525</v>
      </c>
      <c r="B60" t="s">
        <v>80</v>
      </c>
      <c r="C60" t="s">
        <v>64</v>
      </c>
      <c r="D60" t="s">
        <v>289</v>
      </c>
      <c r="E60" t="s">
        <v>140</v>
      </c>
      <c r="F60">
        <v>0</v>
      </c>
      <c r="H60">
        <v>0</v>
      </c>
    </row>
    <row r="61" spans="1:11" x14ac:dyDescent="0.3">
      <c r="A61" t="s">
        <v>525</v>
      </c>
      <c r="B61" t="s">
        <v>80</v>
      </c>
      <c r="C61" t="s">
        <v>64</v>
      </c>
      <c r="D61" t="s">
        <v>291</v>
      </c>
      <c r="E61" t="s">
        <v>140</v>
      </c>
      <c r="F61">
        <v>0</v>
      </c>
      <c r="H61">
        <v>0</v>
      </c>
    </row>
    <row r="62" spans="1:11" x14ac:dyDescent="0.3">
      <c r="A62" t="s">
        <v>525</v>
      </c>
      <c r="B62" t="s">
        <v>80</v>
      </c>
      <c r="C62" t="s">
        <v>64</v>
      </c>
      <c r="D62" t="s">
        <v>292</v>
      </c>
      <c r="E62" t="s">
        <v>140</v>
      </c>
      <c r="F62">
        <v>0</v>
      </c>
      <c r="H62">
        <v>0</v>
      </c>
    </row>
    <row r="63" spans="1:11" x14ac:dyDescent="0.3">
      <c r="A63" t="s">
        <v>525</v>
      </c>
      <c r="B63" t="s">
        <v>80</v>
      </c>
      <c r="C63" t="s">
        <v>64</v>
      </c>
      <c r="D63" t="s">
        <v>275</v>
      </c>
      <c r="E63" t="s">
        <v>140</v>
      </c>
      <c r="F63">
        <v>0</v>
      </c>
      <c r="H63">
        <v>0</v>
      </c>
    </row>
    <row r="64" spans="1:11" x14ac:dyDescent="0.3">
      <c r="A64" t="s">
        <v>525</v>
      </c>
      <c r="B64" t="s">
        <v>80</v>
      </c>
      <c r="C64" t="s">
        <v>64</v>
      </c>
      <c r="D64" t="s">
        <v>125</v>
      </c>
      <c r="E64" t="s">
        <v>142</v>
      </c>
      <c r="F64">
        <v>0</v>
      </c>
      <c r="H64">
        <v>0</v>
      </c>
    </row>
    <row r="65" spans="1:8" x14ac:dyDescent="0.3">
      <c r="A65" t="s">
        <v>525</v>
      </c>
      <c r="B65" t="s">
        <v>80</v>
      </c>
      <c r="C65" t="s">
        <v>64</v>
      </c>
      <c r="D65" t="s">
        <v>270</v>
      </c>
      <c r="E65" t="s">
        <v>81</v>
      </c>
      <c r="F65">
        <v>0</v>
      </c>
      <c r="H65">
        <v>0</v>
      </c>
    </row>
    <row r="66" spans="1:8" x14ac:dyDescent="0.3">
      <c r="A66" t="s">
        <v>525</v>
      </c>
      <c r="B66" t="s">
        <v>80</v>
      </c>
      <c r="C66" t="s">
        <v>64</v>
      </c>
      <c r="D66" t="s">
        <v>120</v>
      </c>
      <c r="E66" t="s">
        <v>81</v>
      </c>
      <c r="F66">
        <v>0</v>
      </c>
      <c r="H66">
        <v>0</v>
      </c>
    </row>
    <row r="67" spans="1:8" x14ac:dyDescent="0.3">
      <c r="A67" t="s">
        <v>525</v>
      </c>
      <c r="B67" t="s">
        <v>80</v>
      </c>
      <c r="C67" t="s">
        <v>64</v>
      </c>
      <c r="D67" t="s">
        <v>124</v>
      </c>
      <c r="E67" t="s">
        <v>81</v>
      </c>
      <c r="F67">
        <v>0</v>
      </c>
      <c r="H67">
        <v>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A3B5-7C36-400D-8407-5710307162DB}">
  <dimension ref="A1:K48"/>
  <sheetViews>
    <sheetView topLeftCell="A22" workbookViewId="0">
      <selection activeCell="D34" sqref="D34"/>
    </sheetView>
  </sheetViews>
  <sheetFormatPr baseColWidth="10" defaultRowHeight="14.4" x14ac:dyDescent="0.3"/>
  <cols>
    <col min="1" max="1" width="28.6640625" bestFit="1" customWidth="1"/>
    <col min="2" max="2" width="20.44140625" bestFit="1" customWidth="1"/>
    <col min="3" max="3" width="24.77734375" bestFit="1" customWidth="1"/>
    <col min="4" max="4" width="71.33203125" bestFit="1" customWidth="1"/>
    <col min="5" max="5" width="47.554687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0.664062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444</v>
      </c>
      <c r="J1" t="s">
        <v>367</v>
      </c>
      <c r="K1" t="s">
        <v>393</v>
      </c>
    </row>
    <row r="2" spans="1:11" x14ac:dyDescent="0.3">
      <c r="A2" t="s">
        <v>547</v>
      </c>
      <c r="B2" t="s">
        <v>117</v>
      </c>
      <c r="C2" t="s">
        <v>58</v>
      </c>
      <c r="D2" t="s">
        <v>272</v>
      </c>
      <c r="E2" t="s">
        <v>65</v>
      </c>
      <c r="F2">
        <v>3.5</v>
      </c>
      <c r="H2">
        <v>3.5</v>
      </c>
      <c r="J2">
        <v>3.5</v>
      </c>
      <c r="K2" t="s">
        <v>370</v>
      </c>
    </row>
    <row r="3" spans="1:11" x14ac:dyDescent="0.3">
      <c r="A3" t="s">
        <v>547</v>
      </c>
      <c r="B3" t="s">
        <v>117</v>
      </c>
      <c r="C3" t="s">
        <v>58</v>
      </c>
      <c r="D3" t="s">
        <v>90</v>
      </c>
      <c r="E3" t="s">
        <v>65</v>
      </c>
      <c r="F3">
        <v>1</v>
      </c>
      <c r="H3">
        <v>1</v>
      </c>
      <c r="J3">
        <v>1</v>
      </c>
      <c r="K3" t="s">
        <v>370</v>
      </c>
    </row>
    <row r="4" spans="1:11" x14ac:dyDescent="0.3">
      <c r="A4" t="s">
        <v>547</v>
      </c>
      <c r="B4" t="s">
        <v>117</v>
      </c>
      <c r="C4" t="s">
        <v>58</v>
      </c>
      <c r="D4" t="s">
        <v>174</v>
      </c>
      <c r="E4" t="s">
        <v>65</v>
      </c>
      <c r="F4">
        <v>4</v>
      </c>
      <c r="H4">
        <v>4</v>
      </c>
      <c r="J4">
        <v>4</v>
      </c>
      <c r="K4" t="s">
        <v>370</v>
      </c>
    </row>
    <row r="5" spans="1:11" x14ac:dyDescent="0.3">
      <c r="A5" t="s">
        <v>547</v>
      </c>
      <c r="B5" t="s">
        <v>117</v>
      </c>
      <c r="C5" t="s">
        <v>58</v>
      </c>
      <c r="D5" t="s">
        <v>91</v>
      </c>
      <c r="E5" t="s">
        <v>66</v>
      </c>
      <c r="F5">
        <v>3.5</v>
      </c>
      <c r="H5">
        <v>3.5</v>
      </c>
      <c r="J5">
        <v>3.5</v>
      </c>
      <c r="K5" t="s">
        <v>370</v>
      </c>
    </row>
    <row r="6" spans="1:11" x14ac:dyDescent="0.3">
      <c r="A6" t="s">
        <v>547</v>
      </c>
      <c r="B6" t="s">
        <v>117</v>
      </c>
      <c r="C6" t="s">
        <v>58</v>
      </c>
      <c r="D6" t="s">
        <v>135</v>
      </c>
      <c r="E6" t="s">
        <v>66</v>
      </c>
      <c r="F6">
        <v>2</v>
      </c>
      <c r="H6">
        <v>2</v>
      </c>
      <c r="J6">
        <v>2</v>
      </c>
      <c r="K6" t="s">
        <v>370</v>
      </c>
    </row>
    <row r="7" spans="1:11" x14ac:dyDescent="0.3">
      <c r="A7" t="s">
        <v>547</v>
      </c>
      <c r="B7" t="s">
        <v>117</v>
      </c>
      <c r="C7" t="s">
        <v>58</v>
      </c>
      <c r="D7" t="s">
        <v>98</v>
      </c>
      <c r="E7" t="s">
        <v>66</v>
      </c>
      <c r="F7">
        <v>3.5</v>
      </c>
      <c r="H7">
        <v>3.5</v>
      </c>
      <c r="J7">
        <v>3.5</v>
      </c>
      <c r="K7" t="s">
        <v>370</v>
      </c>
    </row>
    <row r="8" spans="1:11" x14ac:dyDescent="0.3">
      <c r="A8" t="s">
        <v>547</v>
      </c>
      <c r="B8" t="s">
        <v>117</v>
      </c>
      <c r="C8" t="s">
        <v>58</v>
      </c>
      <c r="D8" t="s">
        <v>94</v>
      </c>
      <c r="E8" t="s">
        <v>66</v>
      </c>
      <c r="F8">
        <v>2</v>
      </c>
      <c r="H8">
        <v>2</v>
      </c>
      <c r="J8">
        <v>2</v>
      </c>
      <c r="K8" t="s">
        <v>370</v>
      </c>
    </row>
    <row r="9" spans="1:11" x14ac:dyDescent="0.3">
      <c r="A9" t="s">
        <v>547</v>
      </c>
      <c r="B9" t="s">
        <v>117</v>
      </c>
      <c r="C9" t="s">
        <v>58</v>
      </c>
      <c r="D9" t="s">
        <v>271</v>
      </c>
      <c r="E9" t="s">
        <v>66</v>
      </c>
      <c r="F9">
        <v>3</v>
      </c>
      <c r="H9">
        <v>3</v>
      </c>
      <c r="J9">
        <v>3</v>
      </c>
      <c r="K9" t="s">
        <v>370</v>
      </c>
    </row>
    <row r="10" spans="1:11" x14ac:dyDescent="0.3">
      <c r="A10" t="s">
        <v>547</v>
      </c>
      <c r="B10" t="s">
        <v>117</v>
      </c>
      <c r="C10" t="s">
        <v>58</v>
      </c>
      <c r="D10" t="s">
        <v>95</v>
      </c>
      <c r="E10" t="s">
        <v>66</v>
      </c>
      <c r="F10">
        <v>2</v>
      </c>
      <c r="H10">
        <v>2</v>
      </c>
      <c r="J10">
        <v>2</v>
      </c>
      <c r="K10" t="s">
        <v>370</v>
      </c>
    </row>
    <row r="11" spans="1:11" x14ac:dyDescent="0.3">
      <c r="A11" t="s">
        <v>547</v>
      </c>
      <c r="B11" t="s">
        <v>117</v>
      </c>
      <c r="C11" t="s">
        <v>58</v>
      </c>
      <c r="D11" t="s">
        <v>97</v>
      </c>
      <c r="E11" t="s">
        <v>66</v>
      </c>
      <c r="F11">
        <v>1</v>
      </c>
      <c r="H11">
        <v>1</v>
      </c>
      <c r="J11">
        <v>1</v>
      </c>
      <c r="K11" t="s">
        <v>370</v>
      </c>
    </row>
    <row r="12" spans="1:11" x14ac:dyDescent="0.3">
      <c r="A12" t="s">
        <v>547</v>
      </c>
      <c r="B12" t="s">
        <v>117</v>
      </c>
      <c r="C12" t="s">
        <v>58</v>
      </c>
      <c r="D12" t="s">
        <v>96</v>
      </c>
      <c r="E12" t="s">
        <v>66</v>
      </c>
      <c r="F12">
        <v>2.5</v>
      </c>
      <c r="H12">
        <v>2.5</v>
      </c>
      <c r="J12">
        <v>2.5</v>
      </c>
      <c r="K12" t="s">
        <v>370</v>
      </c>
    </row>
    <row r="13" spans="1:11" x14ac:dyDescent="0.3">
      <c r="A13" t="s">
        <v>547</v>
      </c>
      <c r="B13" t="s">
        <v>117</v>
      </c>
      <c r="C13" t="s">
        <v>58</v>
      </c>
      <c r="D13" t="s">
        <v>136</v>
      </c>
      <c r="E13" t="s">
        <v>66</v>
      </c>
      <c r="F13">
        <v>1</v>
      </c>
      <c r="H13">
        <v>1</v>
      </c>
      <c r="J13">
        <v>1</v>
      </c>
      <c r="K13" t="s">
        <v>370</v>
      </c>
    </row>
    <row r="14" spans="1:11" x14ac:dyDescent="0.3">
      <c r="A14" t="s">
        <v>547</v>
      </c>
      <c r="B14" t="s">
        <v>117</v>
      </c>
      <c r="C14" t="s">
        <v>58</v>
      </c>
      <c r="D14" t="s">
        <v>93</v>
      </c>
      <c r="E14" t="s">
        <v>66</v>
      </c>
      <c r="F14">
        <v>2.5</v>
      </c>
      <c r="H14">
        <v>2.5</v>
      </c>
      <c r="J14">
        <v>2.5</v>
      </c>
      <c r="K14" t="s">
        <v>370</v>
      </c>
    </row>
    <row r="15" spans="1:11" x14ac:dyDescent="0.3">
      <c r="A15" t="s">
        <v>547</v>
      </c>
      <c r="B15" t="s">
        <v>117</v>
      </c>
      <c r="C15" t="s">
        <v>58</v>
      </c>
      <c r="D15" t="s">
        <v>273</v>
      </c>
      <c r="E15" t="s">
        <v>65</v>
      </c>
      <c r="F15">
        <v>5</v>
      </c>
      <c r="H15">
        <v>5</v>
      </c>
      <c r="J15">
        <v>5</v>
      </c>
      <c r="K15" t="s">
        <v>370</v>
      </c>
    </row>
    <row r="16" spans="1:11" x14ac:dyDescent="0.3">
      <c r="A16" t="s">
        <v>547</v>
      </c>
      <c r="B16" t="s">
        <v>117</v>
      </c>
      <c r="C16" t="s">
        <v>58</v>
      </c>
      <c r="D16" t="s">
        <v>92</v>
      </c>
      <c r="E16" t="s">
        <v>66</v>
      </c>
      <c r="F16">
        <v>5</v>
      </c>
      <c r="H16">
        <v>5</v>
      </c>
      <c r="J16">
        <v>5</v>
      </c>
      <c r="K16" t="s">
        <v>370</v>
      </c>
    </row>
    <row r="17" spans="1:11" x14ac:dyDescent="0.3">
      <c r="A17" t="s">
        <v>547</v>
      </c>
      <c r="B17" t="s">
        <v>117</v>
      </c>
      <c r="C17" t="s">
        <v>58</v>
      </c>
      <c r="D17" t="s">
        <v>172</v>
      </c>
      <c r="E17" t="s">
        <v>66</v>
      </c>
      <c r="F17">
        <v>3</v>
      </c>
      <c r="H17">
        <v>3</v>
      </c>
      <c r="J17">
        <v>3</v>
      </c>
      <c r="K17" t="s">
        <v>370</v>
      </c>
    </row>
    <row r="18" spans="1:11" x14ac:dyDescent="0.3">
      <c r="A18" t="s">
        <v>547</v>
      </c>
      <c r="B18" t="s">
        <v>117</v>
      </c>
      <c r="C18" t="s">
        <v>58</v>
      </c>
      <c r="D18" t="s">
        <v>322</v>
      </c>
      <c r="E18" t="s">
        <v>65</v>
      </c>
      <c r="F18">
        <v>4</v>
      </c>
      <c r="H18">
        <v>4</v>
      </c>
      <c r="J18">
        <v>4</v>
      </c>
      <c r="K18" t="s">
        <v>370</v>
      </c>
    </row>
    <row r="19" spans="1:11" x14ac:dyDescent="0.3">
      <c r="A19" t="s">
        <v>547</v>
      </c>
      <c r="B19" t="s">
        <v>117</v>
      </c>
      <c r="C19" t="s">
        <v>21</v>
      </c>
      <c r="D19" t="s">
        <v>324</v>
      </c>
      <c r="E19" t="s">
        <v>65</v>
      </c>
      <c r="F19">
        <v>27</v>
      </c>
      <c r="H19">
        <v>27</v>
      </c>
      <c r="J19">
        <v>27</v>
      </c>
      <c r="K19" t="s">
        <v>370</v>
      </c>
    </row>
    <row r="20" spans="1:11" x14ac:dyDescent="0.3">
      <c r="A20" t="s">
        <v>547</v>
      </c>
      <c r="B20" t="s">
        <v>117</v>
      </c>
      <c r="C20" t="s">
        <v>21</v>
      </c>
      <c r="D20" t="s">
        <v>230</v>
      </c>
      <c r="E20" t="s">
        <v>65</v>
      </c>
      <c r="F20">
        <v>3</v>
      </c>
      <c r="H20">
        <v>3</v>
      </c>
      <c r="J20">
        <v>3</v>
      </c>
      <c r="K20" t="s">
        <v>370</v>
      </c>
    </row>
    <row r="21" spans="1:11" x14ac:dyDescent="0.3">
      <c r="A21" t="s">
        <v>547</v>
      </c>
      <c r="B21" t="s">
        <v>117</v>
      </c>
      <c r="C21" t="s">
        <v>21</v>
      </c>
      <c r="D21" t="s">
        <v>281</v>
      </c>
      <c r="E21" t="s">
        <v>65</v>
      </c>
      <c r="F21">
        <v>6</v>
      </c>
      <c r="G21">
        <v>6</v>
      </c>
      <c r="H21">
        <v>12</v>
      </c>
      <c r="J21">
        <v>12</v>
      </c>
      <c r="K21" t="s">
        <v>370</v>
      </c>
    </row>
    <row r="22" spans="1:11" x14ac:dyDescent="0.3">
      <c r="A22" t="s">
        <v>547</v>
      </c>
      <c r="B22" t="s">
        <v>117</v>
      </c>
      <c r="C22" t="s">
        <v>21</v>
      </c>
      <c r="D22" t="s">
        <v>325</v>
      </c>
      <c r="E22" t="s">
        <v>66</v>
      </c>
      <c r="F22">
        <v>9</v>
      </c>
      <c r="H22">
        <v>9</v>
      </c>
      <c r="J22">
        <v>9</v>
      </c>
      <c r="K22" t="s">
        <v>370</v>
      </c>
    </row>
    <row r="23" spans="1:11" x14ac:dyDescent="0.3">
      <c r="A23" t="s">
        <v>547</v>
      </c>
      <c r="B23" t="s">
        <v>117</v>
      </c>
      <c r="C23" t="s">
        <v>21</v>
      </c>
      <c r="D23" t="s">
        <v>133</v>
      </c>
      <c r="E23" t="s">
        <v>66</v>
      </c>
      <c r="F23">
        <v>12</v>
      </c>
      <c r="H23">
        <v>12</v>
      </c>
      <c r="J23">
        <v>12</v>
      </c>
      <c r="K23" t="s">
        <v>370</v>
      </c>
    </row>
    <row r="24" spans="1:11" x14ac:dyDescent="0.3">
      <c r="A24" t="s">
        <v>547</v>
      </c>
      <c r="B24" t="s">
        <v>117</v>
      </c>
      <c r="C24" t="s">
        <v>21</v>
      </c>
      <c r="D24" t="s">
        <v>88</v>
      </c>
      <c r="E24" t="s">
        <v>66</v>
      </c>
      <c r="F24">
        <v>18</v>
      </c>
      <c r="H24">
        <v>18</v>
      </c>
      <c r="J24">
        <v>18</v>
      </c>
      <c r="K24" t="s">
        <v>370</v>
      </c>
    </row>
    <row r="25" spans="1:11" x14ac:dyDescent="0.3">
      <c r="A25" t="s">
        <v>547</v>
      </c>
      <c r="B25" t="s">
        <v>117</v>
      </c>
      <c r="C25" t="s">
        <v>21</v>
      </c>
      <c r="D25" t="s">
        <v>130</v>
      </c>
      <c r="E25" t="s">
        <v>66</v>
      </c>
      <c r="F25">
        <v>0</v>
      </c>
      <c r="G25">
        <v>4</v>
      </c>
      <c r="H25">
        <v>4</v>
      </c>
      <c r="J25">
        <v>4</v>
      </c>
      <c r="K25" t="s">
        <v>370</v>
      </c>
    </row>
    <row r="26" spans="1:11" x14ac:dyDescent="0.3">
      <c r="A26" t="s">
        <v>547</v>
      </c>
      <c r="B26" t="s">
        <v>117</v>
      </c>
      <c r="C26" t="s">
        <v>21</v>
      </c>
      <c r="D26" t="s">
        <v>323</v>
      </c>
      <c r="E26" t="s">
        <v>65</v>
      </c>
      <c r="F26">
        <v>4</v>
      </c>
      <c r="H26">
        <v>4</v>
      </c>
      <c r="J26">
        <v>4</v>
      </c>
      <c r="K26" t="s">
        <v>370</v>
      </c>
    </row>
    <row r="27" spans="1:11" x14ac:dyDescent="0.3">
      <c r="A27" t="s">
        <v>547</v>
      </c>
      <c r="B27" t="s">
        <v>117</v>
      </c>
      <c r="C27" t="s">
        <v>21</v>
      </c>
      <c r="D27" t="s">
        <v>119</v>
      </c>
      <c r="E27" t="s">
        <v>66</v>
      </c>
      <c r="F27">
        <v>0</v>
      </c>
      <c r="H27">
        <v>0</v>
      </c>
      <c r="J27">
        <v>0</v>
      </c>
      <c r="K27" t="s">
        <v>370</v>
      </c>
    </row>
    <row r="28" spans="1:11" x14ac:dyDescent="0.3">
      <c r="A28" t="s">
        <v>547</v>
      </c>
      <c r="B28" t="s">
        <v>117</v>
      </c>
      <c r="C28" t="s">
        <v>21</v>
      </c>
      <c r="D28" t="s">
        <v>120</v>
      </c>
      <c r="E28" t="s">
        <v>66</v>
      </c>
      <c r="F28">
        <v>4</v>
      </c>
      <c r="H28">
        <v>4</v>
      </c>
      <c r="J28">
        <v>4</v>
      </c>
      <c r="K28" t="s">
        <v>370</v>
      </c>
    </row>
    <row r="29" spans="1:11" x14ac:dyDescent="0.3">
      <c r="A29" t="s">
        <v>547</v>
      </c>
      <c r="B29" t="s">
        <v>117</v>
      </c>
      <c r="C29" t="s">
        <v>21</v>
      </c>
      <c r="D29" t="s">
        <v>89</v>
      </c>
      <c r="E29" t="s">
        <v>66</v>
      </c>
      <c r="F29">
        <v>0</v>
      </c>
      <c r="H29">
        <v>0</v>
      </c>
      <c r="J29">
        <v>0</v>
      </c>
      <c r="K29" t="s">
        <v>370</v>
      </c>
    </row>
    <row r="30" spans="1:11" x14ac:dyDescent="0.3">
      <c r="A30" t="s">
        <v>547</v>
      </c>
      <c r="B30" t="s">
        <v>117</v>
      </c>
      <c r="C30" t="s">
        <v>121</v>
      </c>
      <c r="D30" t="s">
        <v>327</v>
      </c>
      <c r="E30" t="s">
        <v>66</v>
      </c>
      <c r="F30">
        <v>5</v>
      </c>
      <c r="H30">
        <v>5</v>
      </c>
      <c r="J30">
        <v>5</v>
      </c>
      <c r="K30" t="s">
        <v>370</v>
      </c>
    </row>
    <row r="31" spans="1:11" x14ac:dyDescent="0.3">
      <c r="A31" t="s">
        <v>547</v>
      </c>
      <c r="B31" t="s">
        <v>117</v>
      </c>
      <c r="C31" t="s">
        <v>121</v>
      </c>
      <c r="D31" t="s">
        <v>326</v>
      </c>
      <c r="E31" t="s">
        <v>66</v>
      </c>
      <c r="G31">
        <v>2</v>
      </c>
      <c r="H31">
        <v>2</v>
      </c>
      <c r="J31">
        <v>2</v>
      </c>
      <c r="K31" t="s">
        <v>370</v>
      </c>
    </row>
    <row r="32" spans="1:11" x14ac:dyDescent="0.3">
      <c r="A32" t="s">
        <v>547</v>
      </c>
      <c r="B32" t="s">
        <v>117</v>
      </c>
      <c r="C32" t="s">
        <v>70</v>
      </c>
      <c r="D32" t="s">
        <v>100</v>
      </c>
      <c r="E32" t="s">
        <v>65</v>
      </c>
      <c r="F32">
        <v>6</v>
      </c>
      <c r="H32">
        <v>6</v>
      </c>
      <c r="J32">
        <v>6</v>
      </c>
      <c r="K32" t="s">
        <v>370</v>
      </c>
    </row>
    <row r="33" spans="1:11" x14ac:dyDescent="0.3">
      <c r="A33" t="s">
        <v>547</v>
      </c>
      <c r="B33" t="s">
        <v>117</v>
      </c>
      <c r="C33" t="s">
        <v>70</v>
      </c>
      <c r="D33" t="s">
        <v>329</v>
      </c>
      <c r="E33" t="s">
        <v>65</v>
      </c>
      <c r="F33">
        <v>4</v>
      </c>
      <c r="H33">
        <v>4</v>
      </c>
      <c r="J33">
        <v>4</v>
      </c>
      <c r="K33" t="s">
        <v>370</v>
      </c>
    </row>
    <row r="34" spans="1:11" x14ac:dyDescent="0.3">
      <c r="A34" t="s">
        <v>547</v>
      </c>
      <c r="B34" t="s">
        <v>117</v>
      </c>
      <c r="C34" t="s">
        <v>70</v>
      </c>
      <c r="D34" t="s">
        <v>102</v>
      </c>
      <c r="E34" t="s">
        <v>66</v>
      </c>
      <c r="F34">
        <v>9</v>
      </c>
      <c r="H34">
        <v>9</v>
      </c>
      <c r="J34">
        <v>9</v>
      </c>
      <c r="K34" t="s">
        <v>370</v>
      </c>
    </row>
    <row r="35" spans="1:11" x14ac:dyDescent="0.3">
      <c r="A35" t="s">
        <v>547</v>
      </c>
      <c r="B35" t="s">
        <v>117</v>
      </c>
      <c r="C35" t="s">
        <v>70</v>
      </c>
      <c r="D35" t="s">
        <v>101</v>
      </c>
      <c r="E35" t="s">
        <v>66</v>
      </c>
      <c r="F35">
        <v>9</v>
      </c>
      <c r="H35">
        <v>9</v>
      </c>
      <c r="J35">
        <v>9</v>
      </c>
      <c r="K35" t="s">
        <v>370</v>
      </c>
    </row>
    <row r="36" spans="1:11" x14ac:dyDescent="0.3">
      <c r="A36" t="s">
        <v>547</v>
      </c>
      <c r="B36" t="s">
        <v>117</v>
      </c>
      <c r="C36" t="s">
        <v>70</v>
      </c>
      <c r="D36" t="s">
        <v>103</v>
      </c>
      <c r="E36" t="s">
        <v>66</v>
      </c>
      <c r="F36">
        <v>3</v>
      </c>
      <c r="H36">
        <v>3</v>
      </c>
      <c r="J36">
        <v>3</v>
      </c>
      <c r="K36" t="s">
        <v>370</v>
      </c>
    </row>
    <row r="37" spans="1:11" x14ac:dyDescent="0.3">
      <c r="A37" t="s">
        <v>547</v>
      </c>
      <c r="B37" t="s">
        <v>117</v>
      </c>
      <c r="C37" t="s">
        <v>70</v>
      </c>
      <c r="D37" t="s">
        <v>104</v>
      </c>
      <c r="E37" t="s">
        <v>66</v>
      </c>
      <c r="F37">
        <v>6</v>
      </c>
      <c r="H37">
        <v>6</v>
      </c>
      <c r="J37">
        <v>6</v>
      </c>
      <c r="K37" t="s">
        <v>370</v>
      </c>
    </row>
    <row r="38" spans="1:11" x14ac:dyDescent="0.3">
      <c r="A38" t="s">
        <v>547</v>
      </c>
      <c r="B38" t="s">
        <v>117</v>
      </c>
      <c r="C38" t="s">
        <v>70</v>
      </c>
      <c r="D38" t="s">
        <v>328</v>
      </c>
      <c r="E38" t="s">
        <v>66</v>
      </c>
      <c r="F38">
        <v>0</v>
      </c>
      <c r="G38">
        <v>4</v>
      </c>
      <c r="H38">
        <v>4</v>
      </c>
      <c r="J38">
        <v>4</v>
      </c>
      <c r="K38" t="s">
        <v>370</v>
      </c>
    </row>
    <row r="39" spans="1:11" x14ac:dyDescent="0.3">
      <c r="A39" t="s">
        <v>547</v>
      </c>
      <c r="B39" t="s">
        <v>117</v>
      </c>
      <c r="C39" t="s">
        <v>69</v>
      </c>
      <c r="D39" t="s">
        <v>106</v>
      </c>
      <c r="E39" t="s">
        <v>65</v>
      </c>
      <c r="F39">
        <v>0.5</v>
      </c>
      <c r="H39">
        <v>0.5</v>
      </c>
      <c r="J39">
        <v>0.5</v>
      </c>
      <c r="K39" t="s">
        <v>370</v>
      </c>
    </row>
    <row r="40" spans="1:11" x14ac:dyDescent="0.3">
      <c r="A40" t="s">
        <v>547</v>
      </c>
      <c r="B40" t="s">
        <v>117</v>
      </c>
      <c r="C40" t="s">
        <v>69</v>
      </c>
      <c r="D40" t="s">
        <v>108</v>
      </c>
      <c r="E40" t="s">
        <v>66</v>
      </c>
      <c r="F40">
        <v>6</v>
      </c>
      <c r="H40">
        <v>6</v>
      </c>
      <c r="J40">
        <v>6</v>
      </c>
      <c r="K40" t="s">
        <v>370</v>
      </c>
    </row>
    <row r="41" spans="1:11" x14ac:dyDescent="0.3">
      <c r="A41" t="s">
        <v>547</v>
      </c>
      <c r="B41" t="s">
        <v>117</v>
      </c>
      <c r="C41" t="s">
        <v>69</v>
      </c>
      <c r="D41" t="s">
        <v>109</v>
      </c>
      <c r="E41" t="s">
        <v>66</v>
      </c>
      <c r="F41">
        <v>4</v>
      </c>
      <c r="H41">
        <v>4</v>
      </c>
      <c r="J41">
        <v>4</v>
      </c>
      <c r="K41" t="s">
        <v>370</v>
      </c>
    </row>
    <row r="42" spans="1:11" x14ac:dyDescent="0.3">
      <c r="A42" t="s">
        <v>547</v>
      </c>
      <c r="B42" t="s">
        <v>117</v>
      </c>
      <c r="C42" t="s">
        <v>69</v>
      </c>
      <c r="D42" t="s">
        <v>107</v>
      </c>
      <c r="E42" t="s">
        <v>66</v>
      </c>
      <c r="F42">
        <v>5</v>
      </c>
      <c r="H42">
        <v>5</v>
      </c>
      <c r="J42">
        <v>5</v>
      </c>
      <c r="K42" t="s">
        <v>370</v>
      </c>
    </row>
    <row r="43" spans="1:11" x14ac:dyDescent="0.3">
      <c r="A43" t="s">
        <v>547</v>
      </c>
      <c r="B43" t="s">
        <v>117</v>
      </c>
      <c r="C43" t="s">
        <v>69</v>
      </c>
      <c r="D43" t="s">
        <v>138</v>
      </c>
      <c r="E43" t="s">
        <v>66</v>
      </c>
      <c r="F43">
        <v>6</v>
      </c>
      <c r="H43">
        <v>6</v>
      </c>
      <c r="J43">
        <v>6</v>
      </c>
      <c r="K43" t="s">
        <v>370</v>
      </c>
    </row>
    <row r="44" spans="1:11" x14ac:dyDescent="0.3">
      <c r="A44" t="s">
        <v>547</v>
      </c>
      <c r="B44" t="s">
        <v>117</v>
      </c>
      <c r="C44" t="s">
        <v>69</v>
      </c>
      <c r="D44" t="s">
        <v>330</v>
      </c>
      <c r="E44" t="s">
        <v>65</v>
      </c>
      <c r="F44">
        <v>2</v>
      </c>
      <c r="H44">
        <v>2</v>
      </c>
      <c r="J44">
        <v>2</v>
      </c>
      <c r="K44" t="s">
        <v>370</v>
      </c>
    </row>
    <row r="45" spans="1:11" x14ac:dyDescent="0.3">
      <c r="A45" t="s">
        <v>547</v>
      </c>
      <c r="B45" t="s">
        <v>117</v>
      </c>
      <c r="C45" t="s">
        <v>71</v>
      </c>
      <c r="D45" t="s">
        <v>114</v>
      </c>
      <c r="E45" t="s">
        <v>66</v>
      </c>
      <c r="F45">
        <v>3</v>
      </c>
      <c r="H45">
        <v>3</v>
      </c>
      <c r="J45">
        <v>3</v>
      </c>
      <c r="K45" t="s">
        <v>370</v>
      </c>
    </row>
    <row r="46" spans="1:11" x14ac:dyDescent="0.3">
      <c r="A46" t="s">
        <v>547</v>
      </c>
      <c r="B46" t="s">
        <v>117</v>
      </c>
      <c r="C46" t="s">
        <v>71</v>
      </c>
      <c r="D46" t="s">
        <v>116</v>
      </c>
      <c r="E46" t="s">
        <v>66</v>
      </c>
      <c r="F46">
        <v>4</v>
      </c>
      <c r="H46">
        <v>4</v>
      </c>
      <c r="J46">
        <v>4</v>
      </c>
      <c r="K46" t="s">
        <v>370</v>
      </c>
    </row>
    <row r="47" spans="1:11" x14ac:dyDescent="0.3">
      <c r="A47" t="s">
        <v>547</v>
      </c>
      <c r="B47" t="s">
        <v>117</v>
      </c>
      <c r="C47" t="s">
        <v>64</v>
      </c>
      <c r="D47" t="s">
        <v>275</v>
      </c>
      <c r="E47" t="s">
        <v>140</v>
      </c>
      <c r="F47">
        <v>1</v>
      </c>
      <c r="H47">
        <v>1</v>
      </c>
      <c r="J47">
        <v>1</v>
      </c>
      <c r="K47" t="s">
        <v>370</v>
      </c>
    </row>
    <row r="48" spans="1:11" x14ac:dyDescent="0.3">
      <c r="A48" t="s">
        <v>547</v>
      </c>
      <c r="B48" t="s">
        <v>117</v>
      </c>
      <c r="C48" t="s">
        <v>64</v>
      </c>
      <c r="D48" t="s">
        <v>124</v>
      </c>
      <c r="E48" t="s">
        <v>66</v>
      </c>
      <c r="F48">
        <v>0.5</v>
      </c>
      <c r="H48">
        <v>0.5</v>
      </c>
      <c r="J48">
        <v>0.5</v>
      </c>
      <c r="K48" t="s">
        <v>370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C192-0B65-4BEA-898A-244DDC06AF19}">
  <dimension ref="A1:K6"/>
  <sheetViews>
    <sheetView workbookViewId="0">
      <selection activeCell="C6" sqref="C6"/>
    </sheetView>
  </sheetViews>
  <sheetFormatPr baseColWidth="10" defaultRowHeight="14.4" x14ac:dyDescent="0.3"/>
  <cols>
    <col min="1" max="1" width="32.21875" bestFit="1" customWidth="1"/>
    <col min="2" max="2" width="20.44140625" bestFit="1" customWidth="1"/>
    <col min="3" max="3" width="24.77734375" bestFit="1" customWidth="1"/>
    <col min="4" max="4" width="62.33203125" bestFit="1" customWidth="1"/>
    <col min="5" max="5" width="52.33203125" bestFit="1" customWidth="1"/>
    <col min="6" max="6" width="78.33203125" bestFit="1" customWidth="1"/>
    <col min="7" max="7" width="80.88671875" bestFit="1" customWidth="1"/>
    <col min="8" max="8" width="8.44140625" bestFit="1" customWidth="1"/>
    <col min="9" max="9" width="21.21875" bestFit="1" customWidth="1"/>
    <col min="10" max="10" width="24.88671875" bestFit="1" customWidth="1"/>
    <col min="11" max="11" width="11.777343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392</v>
      </c>
      <c r="J1" t="s">
        <v>367</v>
      </c>
      <c r="K1" t="s">
        <v>393</v>
      </c>
    </row>
    <row r="2" spans="1:11" x14ac:dyDescent="0.3">
      <c r="A2" s="292" t="s">
        <v>79</v>
      </c>
      <c r="B2" s="292" t="s">
        <v>80</v>
      </c>
      <c r="C2" s="292" t="s">
        <v>21</v>
      </c>
      <c r="D2" s="292" t="s">
        <v>368</v>
      </c>
      <c r="E2" s="292" t="s">
        <v>369</v>
      </c>
      <c r="F2">
        <v>4</v>
      </c>
      <c r="G2">
        <v>0</v>
      </c>
      <c r="H2">
        <v>4</v>
      </c>
      <c r="J2">
        <v>0</v>
      </c>
      <c r="K2" s="292" t="s">
        <v>370</v>
      </c>
    </row>
    <row r="3" spans="1:11" x14ac:dyDescent="0.3">
      <c r="A3" s="292" t="s">
        <v>79</v>
      </c>
      <c r="B3" s="292" t="s">
        <v>80</v>
      </c>
      <c r="C3" s="292" t="s">
        <v>21</v>
      </c>
      <c r="D3" s="292" t="s">
        <v>371</v>
      </c>
      <c r="E3" s="292" t="s">
        <v>369</v>
      </c>
      <c r="F3">
        <v>2</v>
      </c>
      <c r="G3">
        <v>0</v>
      </c>
      <c r="H3">
        <v>2</v>
      </c>
      <c r="J3">
        <v>0</v>
      </c>
      <c r="K3" s="292" t="s">
        <v>370</v>
      </c>
    </row>
    <row r="4" spans="1:11" x14ac:dyDescent="0.3">
      <c r="A4" s="292" t="s">
        <v>79</v>
      </c>
      <c r="B4" s="292" t="s">
        <v>80</v>
      </c>
      <c r="C4" s="292" t="s">
        <v>21</v>
      </c>
      <c r="D4" s="292" t="s">
        <v>372</v>
      </c>
      <c r="E4" s="292" t="s">
        <v>369</v>
      </c>
      <c r="F4">
        <v>3</v>
      </c>
      <c r="G4">
        <v>0</v>
      </c>
      <c r="H4">
        <v>3</v>
      </c>
      <c r="J4">
        <v>0</v>
      </c>
      <c r="K4" s="292" t="s">
        <v>370</v>
      </c>
    </row>
    <row r="5" spans="1:11" x14ac:dyDescent="0.3">
      <c r="A5" s="292" t="s">
        <v>79</v>
      </c>
      <c r="B5" s="292" t="s">
        <v>80</v>
      </c>
      <c r="C5" s="292" t="s">
        <v>64</v>
      </c>
      <c r="D5" s="292" t="s">
        <v>82</v>
      </c>
      <c r="E5" s="292" t="s">
        <v>83</v>
      </c>
      <c r="F5">
        <v>0</v>
      </c>
      <c r="G5">
        <v>0</v>
      </c>
      <c r="H5">
        <v>0</v>
      </c>
      <c r="J5">
        <v>0</v>
      </c>
      <c r="K5" s="292" t="s">
        <v>370</v>
      </c>
    </row>
    <row r="6" spans="1:11" x14ac:dyDescent="0.3">
      <c r="A6" s="292" t="s">
        <v>79</v>
      </c>
      <c r="B6" s="292" t="s">
        <v>80</v>
      </c>
      <c r="C6" s="292" t="s">
        <v>64</v>
      </c>
      <c r="D6" s="292" t="s">
        <v>84</v>
      </c>
      <c r="E6" s="292" t="s">
        <v>83</v>
      </c>
      <c r="F6">
        <v>0</v>
      </c>
      <c r="G6">
        <v>0</v>
      </c>
      <c r="H6">
        <v>0</v>
      </c>
      <c r="J6">
        <v>0</v>
      </c>
      <c r="K6" s="292" t="s">
        <v>370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B995-D524-421B-848A-DE3CCD26C3AB}">
  <dimension ref="A1:K93"/>
  <sheetViews>
    <sheetView topLeftCell="F1" workbookViewId="0"/>
  </sheetViews>
  <sheetFormatPr baseColWidth="10" defaultRowHeight="14.4" x14ac:dyDescent="0.3"/>
  <cols>
    <col min="1" max="1" width="42.109375" bestFit="1" customWidth="1"/>
    <col min="2" max="2" width="20.33203125" bestFit="1" customWidth="1"/>
    <col min="3" max="3" width="24.6640625" bestFit="1" customWidth="1"/>
    <col min="4" max="4" width="80.88671875" bestFit="1" customWidth="1"/>
    <col min="5" max="5" width="51.33203125" bestFit="1" customWidth="1"/>
    <col min="6" max="6" width="78.21875" bestFit="1" customWidth="1"/>
    <col min="7" max="7" width="80.88671875" bestFit="1" customWidth="1"/>
    <col min="8" max="8" width="8.33203125" bestFit="1" customWidth="1"/>
    <col min="9" max="9" width="21.88671875" bestFit="1" customWidth="1"/>
    <col min="10" max="10" width="24.77734375" bestFit="1" customWidth="1"/>
    <col min="11" max="11" width="11.664062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86</v>
      </c>
      <c r="F1" t="s">
        <v>77</v>
      </c>
      <c r="G1" t="s">
        <v>78</v>
      </c>
      <c r="H1" t="s">
        <v>2</v>
      </c>
      <c r="I1" t="s">
        <v>552</v>
      </c>
      <c r="J1" t="s">
        <v>367</v>
      </c>
      <c r="K1" t="s">
        <v>393</v>
      </c>
    </row>
    <row r="2" spans="1:11" x14ac:dyDescent="0.3">
      <c r="A2" s="292" t="s">
        <v>553</v>
      </c>
      <c r="B2" s="292" t="s">
        <v>80</v>
      </c>
      <c r="C2" s="292" t="s">
        <v>21</v>
      </c>
      <c r="D2" s="292" t="s">
        <v>87</v>
      </c>
      <c r="E2" s="292" t="s">
        <v>269</v>
      </c>
      <c r="F2">
        <v>9</v>
      </c>
      <c r="H2">
        <v>9</v>
      </c>
      <c r="J2">
        <v>0</v>
      </c>
      <c r="K2" t="s">
        <v>370</v>
      </c>
    </row>
    <row r="3" spans="1:11" x14ac:dyDescent="0.3">
      <c r="A3" s="292" t="s">
        <v>553</v>
      </c>
      <c r="B3" s="292" t="s">
        <v>80</v>
      </c>
      <c r="C3" s="292" t="s">
        <v>21</v>
      </c>
      <c r="D3" s="292" t="s">
        <v>230</v>
      </c>
      <c r="E3" s="292" t="s">
        <v>65</v>
      </c>
      <c r="F3">
        <v>0</v>
      </c>
      <c r="H3">
        <v>0</v>
      </c>
      <c r="J3">
        <v>0</v>
      </c>
      <c r="K3" t="s">
        <v>370</v>
      </c>
    </row>
    <row r="4" spans="1:11" x14ac:dyDescent="0.3">
      <c r="A4" s="292" t="s">
        <v>553</v>
      </c>
      <c r="B4" s="292" t="s">
        <v>80</v>
      </c>
      <c r="C4" s="292" t="s">
        <v>21</v>
      </c>
      <c r="D4" s="292" t="s">
        <v>554</v>
      </c>
      <c r="E4" s="292" t="s">
        <v>140</v>
      </c>
      <c r="F4">
        <v>3</v>
      </c>
      <c r="H4">
        <v>3</v>
      </c>
      <c r="I4">
        <v>1.5</v>
      </c>
      <c r="J4">
        <v>0</v>
      </c>
      <c r="K4" t="s">
        <v>370</v>
      </c>
    </row>
    <row r="5" spans="1:11" x14ac:dyDescent="0.3">
      <c r="A5" s="292" t="s">
        <v>553</v>
      </c>
      <c r="B5" s="292" t="s">
        <v>80</v>
      </c>
      <c r="C5" s="292" t="s">
        <v>21</v>
      </c>
      <c r="D5" s="292" t="s">
        <v>133</v>
      </c>
      <c r="E5" s="292" t="s">
        <v>81</v>
      </c>
      <c r="F5">
        <v>18</v>
      </c>
      <c r="H5">
        <v>18</v>
      </c>
      <c r="J5">
        <v>18</v>
      </c>
      <c r="K5" t="s">
        <v>370</v>
      </c>
    </row>
    <row r="6" spans="1:11" x14ac:dyDescent="0.3">
      <c r="A6" s="292" t="s">
        <v>553</v>
      </c>
      <c r="B6" s="292" t="s">
        <v>80</v>
      </c>
      <c r="C6" s="292" t="s">
        <v>21</v>
      </c>
      <c r="D6" s="292" t="s">
        <v>280</v>
      </c>
      <c r="E6" s="292" t="s">
        <v>81</v>
      </c>
      <c r="F6">
        <v>2</v>
      </c>
      <c r="H6">
        <v>2</v>
      </c>
      <c r="J6">
        <v>2</v>
      </c>
      <c r="K6" t="s">
        <v>370</v>
      </c>
    </row>
    <row r="7" spans="1:11" x14ac:dyDescent="0.3">
      <c r="A7" s="292" t="s">
        <v>553</v>
      </c>
      <c r="B7" s="292" t="s">
        <v>80</v>
      </c>
      <c r="C7" s="292" t="s">
        <v>21</v>
      </c>
      <c r="D7" s="292" t="s">
        <v>283</v>
      </c>
      <c r="E7" s="292" t="s">
        <v>81</v>
      </c>
      <c r="F7">
        <v>0.5</v>
      </c>
      <c r="H7">
        <v>0.5</v>
      </c>
      <c r="J7">
        <v>0.5</v>
      </c>
      <c r="K7" t="s">
        <v>370</v>
      </c>
    </row>
    <row r="8" spans="1:11" x14ac:dyDescent="0.3">
      <c r="A8" s="292" t="s">
        <v>553</v>
      </c>
      <c r="B8" s="292" t="s">
        <v>80</v>
      </c>
      <c r="C8" s="292" t="s">
        <v>21</v>
      </c>
      <c r="D8" s="292" t="s">
        <v>282</v>
      </c>
      <c r="E8" s="292" t="s">
        <v>81</v>
      </c>
      <c r="F8">
        <v>3</v>
      </c>
      <c r="H8">
        <v>3</v>
      </c>
      <c r="J8">
        <v>3</v>
      </c>
      <c r="K8" t="s">
        <v>370</v>
      </c>
    </row>
    <row r="9" spans="1:11" x14ac:dyDescent="0.3">
      <c r="A9" s="292" t="s">
        <v>553</v>
      </c>
      <c r="B9" s="292" t="s">
        <v>80</v>
      </c>
      <c r="C9" s="292" t="s">
        <v>21</v>
      </c>
      <c r="D9" s="292" t="s">
        <v>118</v>
      </c>
      <c r="E9" s="292" t="s">
        <v>81</v>
      </c>
      <c r="F9">
        <v>0.5</v>
      </c>
      <c r="H9">
        <v>0.5</v>
      </c>
      <c r="J9">
        <v>0.5</v>
      </c>
      <c r="K9" t="s">
        <v>370</v>
      </c>
    </row>
    <row r="10" spans="1:11" x14ac:dyDescent="0.3">
      <c r="A10" s="292" t="s">
        <v>553</v>
      </c>
      <c r="B10" s="292" t="s">
        <v>80</v>
      </c>
      <c r="C10" s="292" t="s">
        <v>21</v>
      </c>
      <c r="D10" s="292" t="s">
        <v>285</v>
      </c>
      <c r="E10" s="292" t="s">
        <v>81</v>
      </c>
      <c r="F10">
        <v>2</v>
      </c>
      <c r="H10">
        <v>2</v>
      </c>
      <c r="J10">
        <v>2</v>
      </c>
      <c r="K10" t="s">
        <v>370</v>
      </c>
    </row>
    <row r="11" spans="1:11" x14ac:dyDescent="0.3">
      <c r="A11" s="292" t="s">
        <v>553</v>
      </c>
      <c r="B11" s="292" t="s">
        <v>80</v>
      </c>
      <c r="C11" s="292" t="s">
        <v>21</v>
      </c>
      <c r="D11" s="292" t="s">
        <v>204</v>
      </c>
      <c r="E11" s="292" t="s">
        <v>81</v>
      </c>
      <c r="F11">
        <v>2</v>
      </c>
      <c r="H11">
        <v>2</v>
      </c>
      <c r="J11">
        <v>2</v>
      </c>
      <c r="K11" t="s">
        <v>370</v>
      </c>
    </row>
    <row r="12" spans="1:11" x14ac:dyDescent="0.3">
      <c r="A12" s="292" t="s">
        <v>553</v>
      </c>
      <c r="B12" s="292" t="s">
        <v>80</v>
      </c>
      <c r="C12" s="292" t="s">
        <v>21</v>
      </c>
      <c r="D12" s="292" t="s">
        <v>171</v>
      </c>
      <c r="E12" s="292" t="s">
        <v>170</v>
      </c>
      <c r="F12">
        <v>0</v>
      </c>
      <c r="H12">
        <v>0</v>
      </c>
      <c r="J12">
        <v>0</v>
      </c>
      <c r="K12" t="s">
        <v>370</v>
      </c>
    </row>
    <row r="13" spans="1:11" x14ac:dyDescent="0.3">
      <c r="A13" s="292" t="s">
        <v>553</v>
      </c>
      <c r="B13" s="292" t="s">
        <v>80</v>
      </c>
      <c r="C13" s="292" t="s">
        <v>21</v>
      </c>
      <c r="D13" s="292" t="s">
        <v>169</v>
      </c>
      <c r="E13" s="292" t="s">
        <v>144</v>
      </c>
      <c r="F13">
        <v>5</v>
      </c>
      <c r="H13">
        <v>5</v>
      </c>
      <c r="J13">
        <v>5</v>
      </c>
      <c r="K13" t="s">
        <v>370</v>
      </c>
    </row>
    <row r="14" spans="1:11" x14ac:dyDescent="0.3">
      <c r="A14" s="292" t="s">
        <v>553</v>
      </c>
      <c r="B14" s="292" t="s">
        <v>80</v>
      </c>
      <c r="C14" s="292" t="s">
        <v>21</v>
      </c>
      <c r="D14" s="292" t="s">
        <v>459</v>
      </c>
      <c r="E14" s="292" t="s">
        <v>81</v>
      </c>
      <c r="F14">
        <v>5</v>
      </c>
      <c r="H14">
        <v>5</v>
      </c>
      <c r="J14">
        <v>5</v>
      </c>
      <c r="K14" t="s">
        <v>370</v>
      </c>
    </row>
    <row r="15" spans="1:11" x14ac:dyDescent="0.3">
      <c r="A15" s="292" t="s">
        <v>553</v>
      </c>
      <c r="B15" s="292" t="s">
        <v>80</v>
      </c>
      <c r="C15" s="292" t="s">
        <v>21</v>
      </c>
      <c r="D15" s="292" t="s">
        <v>166</v>
      </c>
      <c r="E15" s="292" t="s">
        <v>144</v>
      </c>
      <c r="F15">
        <v>3.5</v>
      </c>
      <c r="H15">
        <v>3.5</v>
      </c>
      <c r="J15">
        <v>3.5</v>
      </c>
      <c r="K15" t="s">
        <v>370</v>
      </c>
    </row>
    <row r="16" spans="1:11" x14ac:dyDescent="0.3">
      <c r="A16" s="292" t="s">
        <v>553</v>
      </c>
      <c r="B16" s="292" t="s">
        <v>80</v>
      </c>
      <c r="C16" s="292" t="s">
        <v>21</v>
      </c>
      <c r="D16" s="292" t="s">
        <v>199</v>
      </c>
      <c r="E16" s="292" t="s">
        <v>144</v>
      </c>
      <c r="F16">
        <v>0</v>
      </c>
      <c r="H16">
        <v>0</v>
      </c>
      <c r="J16">
        <v>0</v>
      </c>
      <c r="K16" t="s">
        <v>370</v>
      </c>
    </row>
    <row r="17" spans="1:11" x14ac:dyDescent="0.3">
      <c r="A17" s="292" t="s">
        <v>553</v>
      </c>
      <c r="B17" s="292" t="s">
        <v>80</v>
      </c>
      <c r="C17" s="292" t="s">
        <v>21</v>
      </c>
      <c r="D17" s="292" t="s">
        <v>200</v>
      </c>
      <c r="E17" s="292" t="s">
        <v>144</v>
      </c>
      <c r="F17">
        <v>0</v>
      </c>
      <c r="H17">
        <v>0</v>
      </c>
      <c r="J17">
        <v>0</v>
      </c>
      <c r="K17" t="s">
        <v>370</v>
      </c>
    </row>
    <row r="18" spans="1:11" x14ac:dyDescent="0.3">
      <c r="A18" s="292" t="s">
        <v>553</v>
      </c>
      <c r="B18" s="292" t="s">
        <v>80</v>
      </c>
      <c r="C18" s="292" t="s">
        <v>21</v>
      </c>
      <c r="D18" s="292" t="s">
        <v>167</v>
      </c>
      <c r="E18" s="292" t="s">
        <v>144</v>
      </c>
      <c r="F18">
        <v>5</v>
      </c>
      <c r="H18">
        <v>5</v>
      </c>
      <c r="J18">
        <v>5</v>
      </c>
      <c r="K18" t="s">
        <v>370</v>
      </c>
    </row>
    <row r="19" spans="1:11" x14ac:dyDescent="0.3">
      <c r="A19" s="292" t="s">
        <v>553</v>
      </c>
      <c r="B19" s="292" t="s">
        <v>80</v>
      </c>
      <c r="C19" s="292" t="s">
        <v>21</v>
      </c>
      <c r="D19" s="292" t="s">
        <v>168</v>
      </c>
      <c r="E19" s="292" t="s">
        <v>83</v>
      </c>
      <c r="F19">
        <v>0</v>
      </c>
      <c r="H19">
        <v>0</v>
      </c>
      <c r="J19">
        <v>0</v>
      </c>
      <c r="K19" t="s">
        <v>370</v>
      </c>
    </row>
    <row r="20" spans="1:11" x14ac:dyDescent="0.3">
      <c r="A20" s="292" t="s">
        <v>553</v>
      </c>
      <c r="B20" s="292" t="s">
        <v>80</v>
      </c>
      <c r="C20" s="292" t="s">
        <v>21</v>
      </c>
      <c r="D20" s="292" t="s">
        <v>201</v>
      </c>
      <c r="E20" s="292" t="s">
        <v>83</v>
      </c>
      <c r="F20">
        <v>0</v>
      </c>
      <c r="H20">
        <v>0</v>
      </c>
      <c r="J20">
        <v>0</v>
      </c>
      <c r="K20" t="s">
        <v>370</v>
      </c>
    </row>
    <row r="21" spans="1:11" x14ac:dyDescent="0.3">
      <c r="A21" s="292" t="s">
        <v>553</v>
      </c>
      <c r="B21" s="292" t="s">
        <v>80</v>
      </c>
      <c r="C21" s="292" t="s">
        <v>21</v>
      </c>
      <c r="D21" s="292" t="s">
        <v>202</v>
      </c>
      <c r="E21" s="292" t="s">
        <v>83</v>
      </c>
      <c r="F21">
        <v>0</v>
      </c>
      <c r="H21">
        <v>0</v>
      </c>
      <c r="J21">
        <v>0</v>
      </c>
      <c r="K21" t="s">
        <v>370</v>
      </c>
    </row>
    <row r="22" spans="1:11" x14ac:dyDescent="0.3">
      <c r="A22" s="292" t="s">
        <v>553</v>
      </c>
      <c r="B22" s="292" t="s">
        <v>80</v>
      </c>
      <c r="C22" s="292" t="s">
        <v>58</v>
      </c>
      <c r="D22" s="292" t="s">
        <v>173</v>
      </c>
      <c r="E22" s="292" t="s">
        <v>65</v>
      </c>
      <c r="F22">
        <v>7</v>
      </c>
      <c r="H22">
        <v>7</v>
      </c>
      <c r="J22">
        <v>7</v>
      </c>
      <c r="K22" t="s">
        <v>370</v>
      </c>
    </row>
    <row r="23" spans="1:11" x14ac:dyDescent="0.3">
      <c r="A23" s="292" t="s">
        <v>553</v>
      </c>
      <c r="B23" s="292" t="s">
        <v>80</v>
      </c>
      <c r="C23" s="292" t="s">
        <v>58</v>
      </c>
      <c r="D23" s="292" t="s">
        <v>90</v>
      </c>
      <c r="E23" s="292" t="s">
        <v>65</v>
      </c>
      <c r="F23">
        <v>2</v>
      </c>
      <c r="H23">
        <v>2</v>
      </c>
      <c r="J23">
        <v>2</v>
      </c>
      <c r="K23" t="s">
        <v>370</v>
      </c>
    </row>
    <row r="24" spans="1:11" x14ac:dyDescent="0.3">
      <c r="A24" s="292" t="s">
        <v>553</v>
      </c>
      <c r="B24" s="292" t="s">
        <v>80</v>
      </c>
      <c r="C24" s="292" t="s">
        <v>58</v>
      </c>
      <c r="D24" s="292" t="s">
        <v>174</v>
      </c>
      <c r="E24" s="292" t="s">
        <v>65</v>
      </c>
      <c r="F24">
        <v>2</v>
      </c>
      <c r="H24">
        <v>2</v>
      </c>
      <c r="J24">
        <v>2</v>
      </c>
      <c r="K24" t="s">
        <v>370</v>
      </c>
    </row>
    <row r="25" spans="1:11" x14ac:dyDescent="0.3">
      <c r="A25" s="292" t="s">
        <v>553</v>
      </c>
      <c r="B25" s="292" t="s">
        <v>80</v>
      </c>
      <c r="C25" s="292" t="s">
        <v>58</v>
      </c>
      <c r="D25" s="292" t="s">
        <v>91</v>
      </c>
      <c r="E25" s="292" t="s">
        <v>81</v>
      </c>
      <c r="F25">
        <v>7</v>
      </c>
      <c r="H25">
        <v>7</v>
      </c>
      <c r="J25">
        <v>7</v>
      </c>
      <c r="K25" t="s">
        <v>370</v>
      </c>
    </row>
    <row r="26" spans="1:11" x14ac:dyDescent="0.3">
      <c r="A26" s="292" t="s">
        <v>553</v>
      </c>
      <c r="B26" s="292" t="s">
        <v>80</v>
      </c>
      <c r="C26" s="292" t="s">
        <v>58</v>
      </c>
      <c r="D26" s="292" t="s">
        <v>94</v>
      </c>
      <c r="E26" s="292" t="s">
        <v>81</v>
      </c>
      <c r="F26">
        <v>3</v>
      </c>
      <c r="H26">
        <v>3</v>
      </c>
      <c r="J26">
        <v>3</v>
      </c>
      <c r="K26" t="s">
        <v>370</v>
      </c>
    </row>
    <row r="27" spans="1:11" x14ac:dyDescent="0.3">
      <c r="A27" s="292" t="s">
        <v>553</v>
      </c>
      <c r="B27" s="292" t="s">
        <v>80</v>
      </c>
      <c r="C27" s="292" t="s">
        <v>58</v>
      </c>
      <c r="D27" s="292" t="s">
        <v>93</v>
      </c>
      <c r="E27" s="292" t="s">
        <v>81</v>
      </c>
      <c r="F27">
        <v>2</v>
      </c>
      <c r="H27">
        <v>2</v>
      </c>
      <c r="J27">
        <v>2</v>
      </c>
      <c r="K27" t="s">
        <v>370</v>
      </c>
    </row>
    <row r="28" spans="1:11" x14ac:dyDescent="0.3">
      <c r="A28" s="292" t="s">
        <v>553</v>
      </c>
      <c r="B28" s="292" t="s">
        <v>80</v>
      </c>
      <c r="C28" s="292" t="s">
        <v>58</v>
      </c>
      <c r="D28" s="292" t="s">
        <v>92</v>
      </c>
      <c r="E28" s="292" t="s">
        <v>81</v>
      </c>
      <c r="F28">
        <v>5</v>
      </c>
      <c r="H28">
        <v>5</v>
      </c>
      <c r="J28">
        <v>5</v>
      </c>
      <c r="K28" t="s">
        <v>370</v>
      </c>
    </row>
    <row r="29" spans="1:11" x14ac:dyDescent="0.3">
      <c r="A29" s="292" t="s">
        <v>553</v>
      </c>
      <c r="B29" s="292" t="s">
        <v>80</v>
      </c>
      <c r="C29" s="292" t="s">
        <v>58</v>
      </c>
      <c r="D29" s="292" t="s">
        <v>96</v>
      </c>
      <c r="E29" s="292" t="s">
        <v>81</v>
      </c>
      <c r="F29">
        <v>2</v>
      </c>
      <c r="H29">
        <v>2</v>
      </c>
      <c r="J29">
        <v>2</v>
      </c>
      <c r="K29" t="s">
        <v>370</v>
      </c>
    </row>
    <row r="30" spans="1:11" x14ac:dyDescent="0.3">
      <c r="A30" s="292" t="s">
        <v>553</v>
      </c>
      <c r="B30" s="292" t="s">
        <v>80</v>
      </c>
      <c r="C30" s="292" t="s">
        <v>58</v>
      </c>
      <c r="D30" s="292" t="s">
        <v>95</v>
      </c>
      <c r="E30" s="292" t="s">
        <v>81</v>
      </c>
      <c r="F30">
        <v>7</v>
      </c>
      <c r="H30">
        <v>7</v>
      </c>
      <c r="J30">
        <v>7</v>
      </c>
      <c r="K30" t="s">
        <v>370</v>
      </c>
    </row>
    <row r="31" spans="1:11" x14ac:dyDescent="0.3">
      <c r="A31" s="292" t="s">
        <v>553</v>
      </c>
      <c r="B31" s="292" t="s">
        <v>80</v>
      </c>
      <c r="C31" s="292" t="s">
        <v>58</v>
      </c>
      <c r="D31" s="292" t="s">
        <v>526</v>
      </c>
      <c r="E31" s="292" t="s">
        <v>81</v>
      </c>
      <c r="F31">
        <v>2</v>
      </c>
      <c r="H31">
        <v>2</v>
      </c>
      <c r="J31">
        <v>2</v>
      </c>
      <c r="K31" t="s">
        <v>370</v>
      </c>
    </row>
    <row r="32" spans="1:11" x14ac:dyDescent="0.3">
      <c r="A32" s="292" t="s">
        <v>553</v>
      </c>
      <c r="B32" s="292" t="s">
        <v>80</v>
      </c>
      <c r="C32" s="292" t="s">
        <v>58</v>
      </c>
      <c r="D32" s="292" t="s">
        <v>179</v>
      </c>
      <c r="E32" s="292" t="s">
        <v>81</v>
      </c>
      <c r="F32">
        <v>2</v>
      </c>
      <c r="H32">
        <v>2</v>
      </c>
      <c r="J32">
        <v>2</v>
      </c>
      <c r="K32" t="s">
        <v>370</v>
      </c>
    </row>
    <row r="33" spans="1:11" x14ac:dyDescent="0.3">
      <c r="A33" s="292" t="s">
        <v>553</v>
      </c>
      <c r="B33" s="292" t="s">
        <v>80</v>
      </c>
      <c r="C33" s="292" t="s">
        <v>58</v>
      </c>
      <c r="D33" s="292" t="s">
        <v>97</v>
      </c>
      <c r="E33" s="292" t="s">
        <v>81</v>
      </c>
      <c r="F33">
        <v>2</v>
      </c>
      <c r="H33">
        <v>2</v>
      </c>
      <c r="J33">
        <v>2</v>
      </c>
      <c r="K33" t="s">
        <v>370</v>
      </c>
    </row>
    <row r="34" spans="1:11" x14ac:dyDescent="0.3">
      <c r="A34" s="292" t="s">
        <v>553</v>
      </c>
      <c r="B34" s="292" t="s">
        <v>80</v>
      </c>
      <c r="C34" s="292" t="s">
        <v>58</v>
      </c>
      <c r="D34" s="292" t="s">
        <v>98</v>
      </c>
      <c r="E34" s="292" t="s">
        <v>81</v>
      </c>
      <c r="F34">
        <v>1</v>
      </c>
      <c r="H34">
        <v>1</v>
      </c>
      <c r="J34">
        <v>1</v>
      </c>
      <c r="K34" t="s">
        <v>370</v>
      </c>
    </row>
    <row r="35" spans="1:11" x14ac:dyDescent="0.3">
      <c r="A35" s="292" t="s">
        <v>553</v>
      </c>
      <c r="B35" s="292" t="s">
        <v>80</v>
      </c>
      <c r="C35" s="292" t="s">
        <v>58</v>
      </c>
      <c r="D35" s="292" t="s">
        <v>99</v>
      </c>
      <c r="E35" s="292" t="s">
        <v>81</v>
      </c>
      <c r="F35">
        <v>2</v>
      </c>
      <c r="H35">
        <v>2</v>
      </c>
      <c r="J35">
        <v>2</v>
      </c>
      <c r="K35" t="s">
        <v>370</v>
      </c>
    </row>
    <row r="36" spans="1:11" x14ac:dyDescent="0.3">
      <c r="A36" s="292" t="s">
        <v>553</v>
      </c>
      <c r="B36" s="292" t="s">
        <v>80</v>
      </c>
      <c r="C36" s="292" t="s">
        <v>58</v>
      </c>
      <c r="D36" s="292" t="s">
        <v>180</v>
      </c>
      <c r="E36" s="292" t="s">
        <v>81</v>
      </c>
      <c r="F36">
        <v>1</v>
      </c>
      <c r="H36">
        <v>1</v>
      </c>
      <c r="J36">
        <v>1</v>
      </c>
      <c r="K36" t="s">
        <v>370</v>
      </c>
    </row>
    <row r="37" spans="1:11" x14ac:dyDescent="0.3">
      <c r="A37" s="292" t="s">
        <v>553</v>
      </c>
      <c r="B37" s="292" t="s">
        <v>80</v>
      </c>
      <c r="C37" s="292" t="s">
        <v>58</v>
      </c>
      <c r="D37" s="292" t="s">
        <v>172</v>
      </c>
      <c r="E37" s="292" t="s">
        <v>81</v>
      </c>
      <c r="F37">
        <v>3</v>
      </c>
      <c r="H37">
        <v>3</v>
      </c>
      <c r="J37">
        <v>3</v>
      </c>
      <c r="K37" t="s">
        <v>370</v>
      </c>
    </row>
    <row r="38" spans="1:11" x14ac:dyDescent="0.3">
      <c r="A38" s="292" t="s">
        <v>553</v>
      </c>
      <c r="B38" s="292" t="s">
        <v>80</v>
      </c>
      <c r="C38" s="292" t="s">
        <v>58</v>
      </c>
      <c r="D38" s="292" t="s">
        <v>508</v>
      </c>
      <c r="E38" s="292" t="s">
        <v>81</v>
      </c>
      <c r="F38">
        <v>0</v>
      </c>
      <c r="G38">
        <v>2</v>
      </c>
      <c r="H38">
        <v>2</v>
      </c>
      <c r="J38">
        <v>2</v>
      </c>
      <c r="K38" t="s">
        <v>370</v>
      </c>
    </row>
    <row r="39" spans="1:11" x14ac:dyDescent="0.3">
      <c r="A39" s="292" t="s">
        <v>553</v>
      </c>
      <c r="B39" s="292" t="s">
        <v>80</v>
      </c>
      <c r="C39" s="292" t="s">
        <v>58</v>
      </c>
      <c r="D39" s="292" t="s">
        <v>178</v>
      </c>
      <c r="E39" s="292" t="s">
        <v>144</v>
      </c>
      <c r="F39">
        <v>9</v>
      </c>
      <c r="H39">
        <v>9</v>
      </c>
      <c r="J39">
        <v>9</v>
      </c>
      <c r="K39" t="s">
        <v>370</v>
      </c>
    </row>
    <row r="40" spans="1:11" x14ac:dyDescent="0.3">
      <c r="A40" s="292" t="s">
        <v>553</v>
      </c>
      <c r="B40" s="292" t="s">
        <v>80</v>
      </c>
      <c r="C40" s="292" t="s">
        <v>58</v>
      </c>
      <c r="D40" s="292" t="s">
        <v>177</v>
      </c>
      <c r="E40" s="292" t="s">
        <v>170</v>
      </c>
      <c r="F40">
        <v>0</v>
      </c>
      <c r="H40">
        <v>0</v>
      </c>
      <c r="J40">
        <v>0</v>
      </c>
      <c r="K40" t="s">
        <v>370</v>
      </c>
    </row>
    <row r="41" spans="1:11" x14ac:dyDescent="0.3">
      <c r="A41" s="292" t="s">
        <v>553</v>
      </c>
      <c r="B41" s="292" t="s">
        <v>80</v>
      </c>
      <c r="C41" s="292" t="s">
        <v>58</v>
      </c>
      <c r="D41" s="292" t="s">
        <v>176</v>
      </c>
      <c r="E41" s="292" t="s">
        <v>83</v>
      </c>
      <c r="F41">
        <v>0</v>
      </c>
      <c r="H41">
        <v>0</v>
      </c>
      <c r="J41">
        <v>0</v>
      </c>
      <c r="K41" t="s">
        <v>370</v>
      </c>
    </row>
    <row r="42" spans="1:11" x14ac:dyDescent="0.3">
      <c r="A42" s="292" t="s">
        <v>553</v>
      </c>
      <c r="B42" s="292" t="s">
        <v>80</v>
      </c>
      <c r="C42" s="292" t="s">
        <v>58</v>
      </c>
      <c r="D42" s="292" t="s">
        <v>175</v>
      </c>
      <c r="E42" s="292" t="s">
        <v>144</v>
      </c>
      <c r="F42">
        <v>9</v>
      </c>
      <c r="H42">
        <v>9</v>
      </c>
      <c r="J42">
        <v>9</v>
      </c>
      <c r="K42" t="s">
        <v>370</v>
      </c>
    </row>
    <row r="43" spans="1:11" x14ac:dyDescent="0.3">
      <c r="A43" s="292" t="s">
        <v>553</v>
      </c>
      <c r="B43" s="292" t="s">
        <v>80</v>
      </c>
      <c r="C43" s="292" t="s">
        <v>70</v>
      </c>
      <c r="D43" s="292" t="s">
        <v>101</v>
      </c>
      <c r="E43" s="292" t="s">
        <v>81</v>
      </c>
      <c r="F43">
        <v>9</v>
      </c>
      <c r="H43">
        <v>9</v>
      </c>
      <c r="J43">
        <v>9</v>
      </c>
      <c r="K43" t="s">
        <v>370</v>
      </c>
    </row>
    <row r="44" spans="1:11" x14ac:dyDescent="0.3">
      <c r="A44" s="292" t="s">
        <v>553</v>
      </c>
      <c r="B44" s="292" t="s">
        <v>80</v>
      </c>
      <c r="C44" s="292" t="s">
        <v>70</v>
      </c>
      <c r="D44" s="292" t="s">
        <v>182</v>
      </c>
      <c r="E44" s="292" t="s">
        <v>81</v>
      </c>
      <c r="F44">
        <v>9</v>
      </c>
      <c r="H44">
        <v>9</v>
      </c>
      <c r="J44">
        <v>9</v>
      </c>
      <c r="K44" t="s">
        <v>370</v>
      </c>
    </row>
    <row r="45" spans="1:11" x14ac:dyDescent="0.3">
      <c r="A45" s="292" t="s">
        <v>553</v>
      </c>
      <c r="B45" s="292" t="s">
        <v>80</v>
      </c>
      <c r="C45" s="292" t="s">
        <v>70</v>
      </c>
      <c r="D45" s="292" t="s">
        <v>491</v>
      </c>
      <c r="E45" s="292" t="s">
        <v>81</v>
      </c>
      <c r="F45">
        <v>0</v>
      </c>
      <c r="G45">
        <v>2</v>
      </c>
      <c r="H45">
        <v>2</v>
      </c>
      <c r="J45">
        <v>2</v>
      </c>
      <c r="K45" t="s">
        <v>370</v>
      </c>
    </row>
    <row r="46" spans="1:11" x14ac:dyDescent="0.3">
      <c r="A46" s="292" t="s">
        <v>553</v>
      </c>
      <c r="B46" s="292" t="s">
        <v>80</v>
      </c>
      <c r="C46" s="292" t="s">
        <v>70</v>
      </c>
      <c r="D46" s="292" t="s">
        <v>104</v>
      </c>
      <c r="E46" s="292" t="s">
        <v>81</v>
      </c>
      <c r="F46">
        <v>3</v>
      </c>
      <c r="H46">
        <v>3</v>
      </c>
      <c r="J46">
        <v>3</v>
      </c>
      <c r="K46" t="s">
        <v>370</v>
      </c>
    </row>
    <row r="47" spans="1:11" x14ac:dyDescent="0.3">
      <c r="A47" s="292" t="s">
        <v>553</v>
      </c>
      <c r="B47" s="292" t="s">
        <v>80</v>
      </c>
      <c r="C47" s="292" t="s">
        <v>70</v>
      </c>
      <c r="D47" s="292" t="s">
        <v>103</v>
      </c>
      <c r="E47" s="292" t="s">
        <v>81</v>
      </c>
      <c r="F47">
        <v>7</v>
      </c>
      <c r="H47">
        <v>7</v>
      </c>
      <c r="J47">
        <v>7</v>
      </c>
      <c r="K47" t="s">
        <v>370</v>
      </c>
    </row>
    <row r="48" spans="1:11" x14ac:dyDescent="0.3">
      <c r="A48" s="292" t="s">
        <v>553</v>
      </c>
      <c r="B48" s="292" t="s">
        <v>80</v>
      </c>
      <c r="C48" s="292" t="s">
        <v>70</v>
      </c>
      <c r="D48" s="292" t="s">
        <v>105</v>
      </c>
      <c r="E48" s="292" t="s">
        <v>81</v>
      </c>
      <c r="F48">
        <v>1</v>
      </c>
      <c r="H48">
        <v>1</v>
      </c>
      <c r="J48">
        <v>1</v>
      </c>
      <c r="K48" t="s">
        <v>370</v>
      </c>
    </row>
    <row r="49" spans="1:11" x14ac:dyDescent="0.3">
      <c r="A49" s="292" t="s">
        <v>553</v>
      </c>
      <c r="B49" s="292" t="s">
        <v>80</v>
      </c>
      <c r="C49" s="292" t="s">
        <v>70</v>
      </c>
      <c r="D49" s="292" t="s">
        <v>181</v>
      </c>
      <c r="E49" s="292" t="s">
        <v>81</v>
      </c>
      <c r="F49">
        <v>2</v>
      </c>
      <c r="H49">
        <v>2</v>
      </c>
      <c r="J49">
        <v>2</v>
      </c>
      <c r="K49" t="s">
        <v>370</v>
      </c>
    </row>
    <row r="50" spans="1:11" x14ac:dyDescent="0.3">
      <c r="A50" s="292" t="s">
        <v>553</v>
      </c>
      <c r="B50" s="292" t="s">
        <v>80</v>
      </c>
      <c r="C50" s="292" t="s">
        <v>70</v>
      </c>
      <c r="D50" s="292" t="s">
        <v>185</v>
      </c>
      <c r="E50" s="292" t="s">
        <v>170</v>
      </c>
      <c r="F50">
        <v>0</v>
      </c>
      <c r="H50">
        <v>0</v>
      </c>
      <c r="J50">
        <v>0</v>
      </c>
      <c r="K50" t="s">
        <v>370</v>
      </c>
    </row>
    <row r="51" spans="1:11" x14ac:dyDescent="0.3">
      <c r="A51" s="292" t="s">
        <v>553</v>
      </c>
      <c r="B51" s="292" t="s">
        <v>80</v>
      </c>
      <c r="C51" s="292" t="s">
        <v>70</v>
      </c>
      <c r="D51" s="292" t="s">
        <v>186</v>
      </c>
      <c r="E51" s="292" t="s">
        <v>144</v>
      </c>
      <c r="F51">
        <v>5</v>
      </c>
      <c r="H51">
        <v>5</v>
      </c>
      <c r="J51">
        <v>5</v>
      </c>
      <c r="K51" t="s">
        <v>370</v>
      </c>
    </row>
    <row r="52" spans="1:11" x14ac:dyDescent="0.3">
      <c r="A52" s="292" t="s">
        <v>553</v>
      </c>
      <c r="B52" s="292" t="s">
        <v>80</v>
      </c>
      <c r="C52" s="292" t="s">
        <v>70</v>
      </c>
      <c r="D52" s="292" t="s">
        <v>184</v>
      </c>
      <c r="E52" s="292" t="s">
        <v>83</v>
      </c>
      <c r="F52">
        <v>0</v>
      </c>
      <c r="H52">
        <v>0</v>
      </c>
      <c r="J52">
        <v>0</v>
      </c>
      <c r="K52" t="s">
        <v>370</v>
      </c>
    </row>
    <row r="53" spans="1:11" x14ac:dyDescent="0.3">
      <c r="A53" s="292" t="s">
        <v>553</v>
      </c>
      <c r="B53" s="292" t="s">
        <v>80</v>
      </c>
      <c r="C53" s="292" t="s">
        <v>70</v>
      </c>
      <c r="D53" s="292" t="s">
        <v>183</v>
      </c>
      <c r="E53" s="292" t="s">
        <v>144</v>
      </c>
      <c r="F53">
        <v>5</v>
      </c>
      <c r="H53">
        <v>5</v>
      </c>
      <c r="J53">
        <v>5</v>
      </c>
      <c r="K53" t="s">
        <v>370</v>
      </c>
    </row>
    <row r="54" spans="1:11" x14ac:dyDescent="0.3">
      <c r="A54" s="292" t="s">
        <v>553</v>
      </c>
      <c r="B54" s="292" t="s">
        <v>80</v>
      </c>
      <c r="C54" s="292" t="s">
        <v>69</v>
      </c>
      <c r="D54" s="292" t="s">
        <v>510</v>
      </c>
      <c r="E54" s="292" t="s">
        <v>65</v>
      </c>
      <c r="F54">
        <v>0.5</v>
      </c>
      <c r="H54">
        <v>0.5</v>
      </c>
      <c r="J54">
        <v>0.5</v>
      </c>
      <c r="K54" t="s">
        <v>370</v>
      </c>
    </row>
    <row r="55" spans="1:11" x14ac:dyDescent="0.3">
      <c r="A55" s="292" t="s">
        <v>553</v>
      </c>
      <c r="B55" s="292" t="s">
        <v>80</v>
      </c>
      <c r="C55" s="292" t="s">
        <v>69</v>
      </c>
      <c r="D55" s="292" t="s">
        <v>108</v>
      </c>
      <c r="E55" s="292" t="s">
        <v>81</v>
      </c>
      <c r="F55">
        <v>3</v>
      </c>
      <c r="H55">
        <v>3</v>
      </c>
      <c r="J55">
        <v>3</v>
      </c>
      <c r="K55" t="s">
        <v>370</v>
      </c>
    </row>
    <row r="56" spans="1:11" x14ac:dyDescent="0.3">
      <c r="A56" s="292" t="s">
        <v>553</v>
      </c>
      <c r="B56" s="292" t="s">
        <v>80</v>
      </c>
      <c r="C56" s="292" t="s">
        <v>69</v>
      </c>
      <c r="D56" s="292" t="s">
        <v>109</v>
      </c>
      <c r="E56" s="292" t="s">
        <v>81</v>
      </c>
      <c r="F56">
        <v>4</v>
      </c>
      <c r="H56">
        <v>4</v>
      </c>
      <c r="J56">
        <v>4</v>
      </c>
      <c r="K56" t="s">
        <v>370</v>
      </c>
    </row>
    <row r="57" spans="1:11" x14ac:dyDescent="0.3">
      <c r="A57" s="292" t="s">
        <v>553</v>
      </c>
      <c r="B57" s="292" t="s">
        <v>80</v>
      </c>
      <c r="C57" s="292" t="s">
        <v>69</v>
      </c>
      <c r="D57" s="292" t="s">
        <v>274</v>
      </c>
      <c r="E57" s="292" t="s">
        <v>81</v>
      </c>
      <c r="F57">
        <v>0</v>
      </c>
      <c r="G57">
        <v>2</v>
      </c>
      <c r="H57">
        <v>2</v>
      </c>
      <c r="J57">
        <v>2</v>
      </c>
      <c r="K57" t="s">
        <v>370</v>
      </c>
    </row>
    <row r="58" spans="1:11" x14ac:dyDescent="0.3">
      <c r="A58" s="292" t="s">
        <v>553</v>
      </c>
      <c r="B58" s="292" t="s">
        <v>80</v>
      </c>
      <c r="C58" s="292" t="s">
        <v>69</v>
      </c>
      <c r="D58" s="292" t="s">
        <v>138</v>
      </c>
      <c r="E58" s="292" t="s">
        <v>81</v>
      </c>
      <c r="F58">
        <v>4</v>
      </c>
      <c r="H58">
        <v>4</v>
      </c>
      <c r="J58">
        <v>4</v>
      </c>
      <c r="K58" t="s">
        <v>370</v>
      </c>
    </row>
    <row r="59" spans="1:11" x14ac:dyDescent="0.3">
      <c r="A59" s="292" t="s">
        <v>553</v>
      </c>
      <c r="B59" s="292" t="s">
        <v>80</v>
      </c>
      <c r="C59" s="292" t="s">
        <v>69</v>
      </c>
      <c r="D59" s="292" t="s">
        <v>107</v>
      </c>
      <c r="E59" s="292" t="s">
        <v>81</v>
      </c>
      <c r="F59">
        <v>9</v>
      </c>
      <c r="H59">
        <v>9</v>
      </c>
      <c r="J59">
        <v>9</v>
      </c>
      <c r="K59" t="s">
        <v>370</v>
      </c>
    </row>
    <row r="60" spans="1:11" x14ac:dyDescent="0.3">
      <c r="A60" s="292" t="s">
        <v>553</v>
      </c>
      <c r="B60" s="292" t="s">
        <v>80</v>
      </c>
      <c r="C60" s="292" t="s">
        <v>69</v>
      </c>
      <c r="D60" s="292" t="s">
        <v>113</v>
      </c>
      <c r="E60" s="292" t="s">
        <v>81</v>
      </c>
      <c r="F60">
        <v>3</v>
      </c>
      <c r="H60">
        <v>3</v>
      </c>
      <c r="J60">
        <v>3</v>
      </c>
      <c r="K60" t="s">
        <v>370</v>
      </c>
    </row>
    <row r="61" spans="1:11" x14ac:dyDescent="0.3">
      <c r="A61" s="292" t="s">
        <v>553</v>
      </c>
      <c r="B61" s="292" t="s">
        <v>80</v>
      </c>
      <c r="C61" s="292" t="s">
        <v>69</v>
      </c>
      <c r="D61" s="292" t="s">
        <v>112</v>
      </c>
      <c r="E61" s="292" t="s">
        <v>81</v>
      </c>
      <c r="F61">
        <v>7</v>
      </c>
      <c r="H61">
        <v>7</v>
      </c>
      <c r="J61">
        <v>7</v>
      </c>
      <c r="K61" t="s">
        <v>370</v>
      </c>
    </row>
    <row r="62" spans="1:11" x14ac:dyDescent="0.3">
      <c r="A62" s="292" t="s">
        <v>553</v>
      </c>
      <c r="B62" s="292" t="s">
        <v>80</v>
      </c>
      <c r="C62" s="292" t="s">
        <v>69</v>
      </c>
      <c r="D62" s="292" t="s">
        <v>187</v>
      </c>
      <c r="E62" s="292" t="s">
        <v>81</v>
      </c>
      <c r="F62">
        <v>2</v>
      </c>
      <c r="H62">
        <v>2</v>
      </c>
      <c r="J62">
        <v>2</v>
      </c>
      <c r="K62" t="s">
        <v>370</v>
      </c>
    </row>
    <row r="63" spans="1:11" x14ac:dyDescent="0.3">
      <c r="A63" s="292" t="s">
        <v>553</v>
      </c>
      <c r="B63" s="292" t="s">
        <v>80</v>
      </c>
      <c r="C63" s="292" t="s">
        <v>69</v>
      </c>
      <c r="D63" s="292" t="s">
        <v>189</v>
      </c>
      <c r="E63" s="292" t="s">
        <v>170</v>
      </c>
      <c r="F63">
        <v>0</v>
      </c>
      <c r="H63">
        <v>0</v>
      </c>
      <c r="J63">
        <v>0</v>
      </c>
      <c r="K63" t="s">
        <v>370</v>
      </c>
    </row>
    <row r="64" spans="1:11" x14ac:dyDescent="0.3">
      <c r="A64" s="292" t="s">
        <v>553</v>
      </c>
      <c r="B64" s="292" t="s">
        <v>80</v>
      </c>
      <c r="C64" s="292" t="s">
        <v>69</v>
      </c>
      <c r="D64" s="292" t="s">
        <v>191</v>
      </c>
      <c r="E64" s="292" t="s">
        <v>144</v>
      </c>
      <c r="F64">
        <v>9</v>
      </c>
      <c r="H64">
        <v>9</v>
      </c>
      <c r="J64">
        <v>9</v>
      </c>
      <c r="K64" t="s">
        <v>370</v>
      </c>
    </row>
    <row r="65" spans="1:11" x14ac:dyDescent="0.3">
      <c r="A65" s="292" t="s">
        <v>553</v>
      </c>
      <c r="B65" s="292" t="s">
        <v>80</v>
      </c>
      <c r="C65" s="292" t="s">
        <v>69</v>
      </c>
      <c r="D65" s="292" t="s">
        <v>190</v>
      </c>
      <c r="E65" s="292" t="s">
        <v>83</v>
      </c>
      <c r="F65">
        <v>0</v>
      </c>
      <c r="H65">
        <v>0</v>
      </c>
      <c r="J65">
        <v>0</v>
      </c>
      <c r="K65" t="s">
        <v>370</v>
      </c>
    </row>
    <row r="66" spans="1:11" x14ac:dyDescent="0.3">
      <c r="A66" s="292" t="s">
        <v>553</v>
      </c>
      <c r="B66" s="292" t="s">
        <v>80</v>
      </c>
      <c r="C66" s="292" t="s">
        <v>69</v>
      </c>
      <c r="D66" s="292" t="s">
        <v>188</v>
      </c>
      <c r="E66" s="292" t="s">
        <v>144</v>
      </c>
      <c r="F66">
        <v>9</v>
      </c>
      <c r="H66">
        <v>9</v>
      </c>
      <c r="J66">
        <v>9</v>
      </c>
      <c r="K66" t="s">
        <v>370</v>
      </c>
    </row>
    <row r="67" spans="1:11" x14ac:dyDescent="0.3">
      <c r="A67" s="292" t="s">
        <v>553</v>
      </c>
      <c r="B67" s="292" t="s">
        <v>80</v>
      </c>
      <c r="C67" s="292" t="s">
        <v>121</v>
      </c>
      <c r="D67" s="292" t="s">
        <v>193</v>
      </c>
      <c r="E67" s="292" t="s">
        <v>81</v>
      </c>
      <c r="F67">
        <v>5</v>
      </c>
      <c r="H67">
        <v>5</v>
      </c>
      <c r="J67">
        <v>5</v>
      </c>
      <c r="K67" t="s">
        <v>370</v>
      </c>
    </row>
    <row r="68" spans="1:11" x14ac:dyDescent="0.3">
      <c r="A68" s="292" t="s">
        <v>553</v>
      </c>
      <c r="B68" s="292" t="s">
        <v>80</v>
      </c>
      <c r="C68" s="292" t="s">
        <v>121</v>
      </c>
      <c r="D68" s="292" t="s">
        <v>192</v>
      </c>
      <c r="E68" s="292" t="s">
        <v>81</v>
      </c>
      <c r="F68">
        <v>1</v>
      </c>
      <c r="H68">
        <v>1</v>
      </c>
      <c r="J68">
        <v>1</v>
      </c>
      <c r="K68" t="s">
        <v>370</v>
      </c>
    </row>
    <row r="69" spans="1:11" x14ac:dyDescent="0.3">
      <c r="A69" s="292" t="s">
        <v>553</v>
      </c>
      <c r="B69" s="292" t="s">
        <v>80</v>
      </c>
      <c r="C69" s="292" t="s">
        <v>121</v>
      </c>
      <c r="D69" s="292" t="s">
        <v>194</v>
      </c>
      <c r="E69" s="292" t="s">
        <v>81</v>
      </c>
      <c r="F69">
        <v>5</v>
      </c>
      <c r="H69">
        <v>5</v>
      </c>
      <c r="J69">
        <v>5</v>
      </c>
      <c r="K69" t="s">
        <v>370</v>
      </c>
    </row>
    <row r="70" spans="1:11" x14ac:dyDescent="0.3">
      <c r="A70" s="292" t="s">
        <v>553</v>
      </c>
      <c r="B70" s="292" t="s">
        <v>80</v>
      </c>
      <c r="C70" s="292" t="s">
        <v>121</v>
      </c>
      <c r="D70" s="292" t="s">
        <v>487</v>
      </c>
      <c r="E70" s="292" t="s">
        <v>81</v>
      </c>
      <c r="F70">
        <v>0</v>
      </c>
      <c r="G70">
        <v>2</v>
      </c>
      <c r="H70">
        <v>2</v>
      </c>
      <c r="J70">
        <v>2</v>
      </c>
      <c r="K70" t="s">
        <v>370</v>
      </c>
    </row>
    <row r="71" spans="1:11" x14ac:dyDescent="0.3">
      <c r="A71" s="292" t="s">
        <v>553</v>
      </c>
      <c r="B71" s="292" t="s">
        <v>80</v>
      </c>
      <c r="C71" s="292" t="s">
        <v>121</v>
      </c>
      <c r="D71" s="292" t="s">
        <v>198</v>
      </c>
      <c r="E71" s="292" t="s">
        <v>170</v>
      </c>
      <c r="F71">
        <v>0</v>
      </c>
      <c r="H71">
        <v>0</v>
      </c>
      <c r="J71">
        <v>0</v>
      </c>
      <c r="K71" t="s">
        <v>370</v>
      </c>
    </row>
    <row r="72" spans="1:11" x14ac:dyDescent="0.3">
      <c r="A72" s="292" t="s">
        <v>553</v>
      </c>
      <c r="B72" s="292" t="s">
        <v>80</v>
      </c>
      <c r="C72" s="292" t="s">
        <v>121</v>
      </c>
      <c r="D72" s="292" t="s">
        <v>197</v>
      </c>
      <c r="E72" s="292" t="s">
        <v>144</v>
      </c>
      <c r="F72">
        <v>2</v>
      </c>
      <c r="H72">
        <v>2</v>
      </c>
      <c r="J72">
        <v>2</v>
      </c>
      <c r="K72" t="s">
        <v>370</v>
      </c>
    </row>
    <row r="73" spans="1:11" x14ac:dyDescent="0.3">
      <c r="A73" s="292" t="s">
        <v>553</v>
      </c>
      <c r="B73" s="292" t="s">
        <v>80</v>
      </c>
      <c r="C73" s="292" t="s">
        <v>121</v>
      </c>
      <c r="D73" s="292" t="s">
        <v>195</v>
      </c>
      <c r="E73" s="292" t="s">
        <v>144</v>
      </c>
      <c r="F73">
        <v>2</v>
      </c>
      <c r="H73">
        <v>2</v>
      </c>
      <c r="J73">
        <v>2</v>
      </c>
      <c r="K73" t="s">
        <v>370</v>
      </c>
    </row>
    <row r="74" spans="1:11" x14ac:dyDescent="0.3">
      <c r="A74" s="292" t="s">
        <v>553</v>
      </c>
      <c r="B74" s="292" t="s">
        <v>80</v>
      </c>
      <c r="C74" s="292" t="s">
        <v>121</v>
      </c>
      <c r="D74" s="292" t="s">
        <v>196</v>
      </c>
      <c r="E74" s="292" t="s">
        <v>83</v>
      </c>
      <c r="F74">
        <v>0</v>
      </c>
      <c r="H74">
        <v>0</v>
      </c>
      <c r="J74">
        <v>0</v>
      </c>
      <c r="K74" t="s">
        <v>370</v>
      </c>
    </row>
    <row r="75" spans="1:11" x14ac:dyDescent="0.3">
      <c r="A75" s="292" t="s">
        <v>553</v>
      </c>
      <c r="B75" s="292" t="s">
        <v>80</v>
      </c>
      <c r="C75" s="292" t="s">
        <v>71</v>
      </c>
      <c r="D75" s="292" t="s">
        <v>114</v>
      </c>
      <c r="E75" s="292" t="s">
        <v>65</v>
      </c>
      <c r="F75">
        <v>3</v>
      </c>
      <c r="H75">
        <v>3</v>
      </c>
      <c r="J75">
        <v>0</v>
      </c>
      <c r="K75" t="s">
        <v>370</v>
      </c>
    </row>
    <row r="76" spans="1:11" x14ac:dyDescent="0.3">
      <c r="A76" s="292" t="s">
        <v>553</v>
      </c>
      <c r="B76" s="292" t="s">
        <v>80</v>
      </c>
      <c r="C76" s="292" t="s">
        <v>71</v>
      </c>
      <c r="D76" s="292" t="s">
        <v>116</v>
      </c>
      <c r="E76" s="292" t="s">
        <v>81</v>
      </c>
      <c r="F76">
        <v>4</v>
      </c>
      <c r="H76">
        <v>4</v>
      </c>
      <c r="J76">
        <v>0</v>
      </c>
      <c r="K76" t="s">
        <v>370</v>
      </c>
    </row>
    <row r="77" spans="1:11" x14ac:dyDescent="0.3">
      <c r="A77" s="292" t="s">
        <v>553</v>
      </c>
      <c r="B77" s="292" t="s">
        <v>80</v>
      </c>
      <c r="C77" s="292" t="s">
        <v>512</v>
      </c>
      <c r="D77" s="292" t="s">
        <v>516</v>
      </c>
      <c r="E77" s="292" t="s">
        <v>65</v>
      </c>
      <c r="F77">
        <v>2</v>
      </c>
      <c r="H77">
        <v>2</v>
      </c>
      <c r="J77">
        <v>0</v>
      </c>
      <c r="K77" t="s">
        <v>370</v>
      </c>
    </row>
    <row r="78" spans="1:11" x14ac:dyDescent="0.3">
      <c r="A78" s="292" t="s">
        <v>553</v>
      </c>
      <c r="B78" s="292" t="s">
        <v>80</v>
      </c>
      <c r="C78" s="292" t="s">
        <v>512</v>
      </c>
      <c r="D78" s="292" t="s">
        <v>515</v>
      </c>
      <c r="E78" s="292" t="s">
        <v>65</v>
      </c>
      <c r="F78">
        <v>6</v>
      </c>
      <c r="H78">
        <v>6</v>
      </c>
      <c r="I78">
        <v>1</v>
      </c>
      <c r="J78">
        <v>0</v>
      </c>
      <c r="K78" t="s">
        <v>370</v>
      </c>
    </row>
    <row r="79" spans="1:11" x14ac:dyDescent="0.3">
      <c r="A79" s="292" t="s">
        <v>553</v>
      </c>
      <c r="B79" s="292" t="s">
        <v>80</v>
      </c>
      <c r="C79" s="292" t="s">
        <v>512</v>
      </c>
      <c r="D79" s="292" t="s">
        <v>514</v>
      </c>
      <c r="E79" s="292" t="s">
        <v>65</v>
      </c>
      <c r="F79">
        <v>6</v>
      </c>
      <c r="H79">
        <v>6</v>
      </c>
      <c r="I79">
        <v>1</v>
      </c>
      <c r="J79">
        <v>0</v>
      </c>
      <c r="K79" t="s">
        <v>370</v>
      </c>
    </row>
    <row r="80" spans="1:11" x14ac:dyDescent="0.3">
      <c r="A80" s="292" t="s">
        <v>553</v>
      </c>
      <c r="B80" s="292" t="s">
        <v>80</v>
      </c>
      <c r="C80" s="292" t="s">
        <v>512</v>
      </c>
      <c r="D80" s="292" t="s">
        <v>513</v>
      </c>
      <c r="E80" s="292" t="s">
        <v>65</v>
      </c>
      <c r="F80">
        <v>9</v>
      </c>
      <c r="H80">
        <v>9</v>
      </c>
      <c r="J80">
        <v>0</v>
      </c>
      <c r="K80" t="s">
        <v>370</v>
      </c>
    </row>
    <row r="81" spans="1:11" x14ac:dyDescent="0.3">
      <c r="A81" s="292" t="s">
        <v>553</v>
      </c>
      <c r="B81" s="292" t="s">
        <v>80</v>
      </c>
      <c r="C81" s="292" t="s">
        <v>64</v>
      </c>
      <c r="D81" s="292" t="s">
        <v>288</v>
      </c>
      <c r="E81" s="292" t="s">
        <v>140</v>
      </c>
      <c r="F81">
        <v>0</v>
      </c>
      <c r="H81">
        <v>0</v>
      </c>
    </row>
    <row r="82" spans="1:11" x14ac:dyDescent="0.3">
      <c r="A82" s="292" t="s">
        <v>553</v>
      </c>
      <c r="B82" s="292" t="s">
        <v>80</v>
      </c>
      <c r="C82" s="292" t="s">
        <v>64</v>
      </c>
      <c r="D82" s="292" t="s">
        <v>289</v>
      </c>
      <c r="E82" s="292" t="s">
        <v>140</v>
      </c>
      <c r="F82">
        <v>0</v>
      </c>
      <c r="H82">
        <v>0</v>
      </c>
    </row>
    <row r="83" spans="1:11" x14ac:dyDescent="0.3">
      <c r="A83" s="292" t="s">
        <v>553</v>
      </c>
      <c r="B83" s="292" t="s">
        <v>80</v>
      </c>
      <c r="C83" s="292" t="s">
        <v>64</v>
      </c>
      <c r="D83" s="292" t="s">
        <v>290</v>
      </c>
      <c r="E83" s="292" t="s">
        <v>140</v>
      </c>
      <c r="F83">
        <v>0</v>
      </c>
      <c r="H83">
        <v>0</v>
      </c>
    </row>
    <row r="84" spans="1:11" x14ac:dyDescent="0.3">
      <c r="A84" s="292" t="s">
        <v>553</v>
      </c>
      <c r="B84" s="292" t="s">
        <v>80</v>
      </c>
      <c r="C84" s="292" t="s">
        <v>64</v>
      </c>
      <c r="D84" s="292" t="s">
        <v>199</v>
      </c>
      <c r="E84" s="292" t="s">
        <v>144</v>
      </c>
      <c r="F84">
        <v>0</v>
      </c>
      <c r="H84">
        <v>0</v>
      </c>
      <c r="J84">
        <v>0</v>
      </c>
      <c r="K84" t="s">
        <v>370</v>
      </c>
    </row>
    <row r="85" spans="1:11" x14ac:dyDescent="0.3">
      <c r="A85" s="292" t="s">
        <v>553</v>
      </c>
      <c r="B85" s="292" t="s">
        <v>80</v>
      </c>
      <c r="C85" s="292" t="s">
        <v>64</v>
      </c>
      <c r="D85" s="292" t="s">
        <v>291</v>
      </c>
      <c r="E85" s="292" t="s">
        <v>140</v>
      </c>
      <c r="F85">
        <v>0</v>
      </c>
      <c r="H85">
        <v>0</v>
      </c>
    </row>
    <row r="86" spans="1:11" x14ac:dyDescent="0.3">
      <c r="A86" s="292" t="s">
        <v>553</v>
      </c>
      <c r="B86" s="292" t="s">
        <v>80</v>
      </c>
      <c r="C86" s="292" t="s">
        <v>64</v>
      </c>
      <c r="D86" s="292" t="s">
        <v>292</v>
      </c>
      <c r="E86" s="292" t="s">
        <v>140</v>
      </c>
      <c r="F86">
        <v>0</v>
      </c>
      <c r="H86">
        <v>0</v>
      </c>
    </row>
    <row r="87" spans="1:11" x14ac:dyDescent="0.3">
      <c r="A87" s="292" t="s">
        <v>553</v>
      </c>
      <c r="B87" s="292" t="s">
        <v>80</v>
      </c>
      <c r="C87" s="292" t="s">
        <v>64</v>
      </c>
      <c r="D87" s="292" t="s">
        <v>200</v>
      </c>
      <c r="E87" s="292" t="s">
        <v>144</v>
      </c>
      <c r="F87">
        <v>0</v>
      </c>
      <c r="H87">
        <v>0</v>
      </c>
      <c r="J87">
        <v>0</v>
      </c>
      <c r="K87" t="s">
        <v>370</v>
      </c>
    </row>
    <row r="88" spans="1:11" x14ac:dyDescent="0.3">
      <c r="A88" s="292" t="s">
        <v>553</v>
      </c>
      <c r="B88" s="292" t="s">
        <v>80</v>
      </c>
      <c r="C88" s="292" t="s">
        <v>64</v>
      </c>
      <c r="D88" s="292" t="s">
        <v>125</v>
      </c>
      <c r="E88" s="292" t="s">
        <v>170</v>
      </c>
      <c r="F88">
        <v>0</v>
      </c>
      <c r="H88">
        <v>0</v>
      </c>
    </row>
    <row r="89" spans="1:11" x14ac:dyDescent="0.3">
      <c r="A89" s="292" t="s">
        <v>553</v>
      </c>
      <c r="B89" s="292" t="s">
        <v>80</v>
      </c>
      <c r="C89" s="292" t="s">
        <v>64</v>
      </c>
      <c r="D89" s="292" t="s">
        <v>293</v>
      </c>
      <c r="E89" s="292" t="s">
        <v>65</v>
      </c>
      <c r="F89">
        <v>0</v>
      </c>
      <c r="H89">
        <v>0</v>
      </c>
    </row>
    <row r="90" spans="1:11" x14ac:dyDescent="0.3">
      <c r="A90" s="292" t="s">
        <v>553</v>
      </c>
      <c r="B90" s="292" t="s">
        <v>80</v>
      </c>
      <c r="C90" s="292" t="s">
        <v>64</v>
      </c>
      <c r="D90" s="292" t="s">
        <v>202</v>
      </c>
      <c r="E90" s="292" t="s">
        <v>83</v>
      </c>
      <c r="F90">
        <v>0</v>
      </c>
      <c r="H90">
        <v>0</v>
      </c>
      <c r="J90">
        <v>0</v>
      </c>
      <c r="K90" t="s">
        <v>370</v>
      </c>
    </row>
    <row r="91" spans="1:11" x14ac:dyDescent="0.3">
      <c r="A91" s="292" t="s">
        <v>553</v>
      </c>
      <c r="B91" s="292" t="s">
        <v>80</v>
      </c>
      <c r="C91" s="292" t="s">
        <v>64</v>
      </c>
      <c r="D91" s="292" t="s">
        <v>201</v>
      </c>
      <c r="E91" s="292" t="s">
        <v>83</v>
      </c>
      <c r="F91">
        <v>0</v>
      </c>
      <c r="H91">
        <v>0</v>
      </c>
      <c r="J91">
        <v>0</v>
      </c>
      <c r="K91" t="s">
        <v>370</v>
      </c>
    </row>
    <row r="92" spans="1:11" x14ac:dyDescent="0.3">
      <c r="A92" s="292" t="s">
        <v>553</v>
      </c>
      <c r="B92" s="292" t="s">
        <v>80</v>
      </c>
      <c r="C92" s="292" t="s">
        <v>64</v>
      </c>
      <c r="D92" s="292" t="s">
        <v>230</v>
      </c>
      <c r="E92" s="292" t="s">
        <v>65</v>
      </c>
      <c r="F92">
        <v>0</v>
      </c>
      <c r="H92">
        <v>0</v>
      </c>
      <c r="J92">
        <v>0</v>
      </c>
      <c r="K92" t="s">
        <v>370</v>
      </c>
    </row>
    <row r="93" spans="1:11" x14ac:dyDescent="0.3">
      <c r="A93" s="292" t="s">
        <v>553</v>
      </c>
      <c r="B93" s="292" t="s">
        <v>80</v>
      </c>
      <c r="C93" s="292" t="s">
        <v>64</v>
      </c>
      <c r="D93" s="292" t="s">
        <v>281</v>
      </c>
      <c r="E93" s="292" t="s">
        <v>65</v>
      </c>
      <c r="F93">
        <v>0</v>
      </c>
      <c r="H93">
        <v>0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BC9A-7879-4C83-8AB9-9CC59F9145F8}">
  <dimension ref="A1:K84"/>
  <sheetViews>
    <sheetView workbookViewId="0"/>
  </sheetViews>
  <sheetFormatPr baseColWidth="10" defaultRowHeight="14.4" x14ac:dyDescent="0.3"/>
  <cols>
    <col min="1" max="1" width="29.21875" bestFit="1" customWidth="1"/>
    <col min="2" max="2" width="20.33203125" bestFit="1" customWidth="1"/>
    <col min="3" max="3" width="24.6640625" bestFit="1" customWidth="1"/>
    <col min="4" max="4" width="72.77734375" bestFit="1" customWidth="1"/>
    <col min="5" max="5" width="51.33203125" bestFit="1" customWidth="1"/>
    <col min="6" max="6" width="78.21875" bestFit="1" customWidth="1"/>
    <col min="7" max="7" width="80.88671875" bestFit="1" customWidth="1"/>
    <col min="8" max="8" width="8.33203125" bestFit="1" customWidth="1"/>
    <col min="9" max="9" width="20.5546875" bestFit="1" customWidth="1"/>
    <col min="10" max="10" width="24.77734375" bestFit="1" customWidth="1"/>
    <col min="11" max="11" width="11.664062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444</v>
      </c>
      <c r="J1" t="s">
        <v>367</v>
      </c>
      <c r="K1" t="s">
        <v>393</v>
      </c>
    </row>
    <row r="2" spans="1:11" x14ac:dyDescent="0.3">
      <c r="A2" s="292" t="s">
        <v>564</v>
      </c>
      <c r="B2" s="292" t="s">
        <v>80</v>
      </c>
      <c r="C2" s="292" t="s">
        <v>58</v>
      </c>
      <c r="D2" s="292" t="s">
        <v>272</v>
      </c>
      <c r="E2" s="292" t="s">
        <v>65</v>
      </c>
      <c r="F2">
        <v>3.5</v>
      </c>
      <c r="H2">
        <v>3.5</v>
      </c>
      <c r="J2">
        <v>3.5</v>
      </c>
      <c r="K2" t="s">
        <v>370</v>
      </c>
    </row>
    <row r="3" spans="1:11" x14ac:dyDescent="0.3">
      <c r="A3" s="292" t="s">
        <v>564</v>
      </c>
      <c r="B3" s="292" t="s">
        <v>80</v>
      </c>
      <c r="C3" s="292" t="s">
        <v>58</v>
      </c>
      <c r="D3" s="292" t="s">
        <v>91</v>
      </c>
      <c r="E3" s="292" t="s">
        <v>81</v>
      </c>
      <c r="F3">
        <v>3.5</v>
      </c>
      <c r="H3">
        <v>3.5</v>
      </c>
      <c r="J3">
        <v>3.5</v>
      </c>
      <c r="K3" t="s">
        <v>370</v>
      </c>
    </row>
    <row r="4" spans="1:11" x14ac:dyDescent="0.3">
      <c r="A4" s="292" t="s">
        <v>564</v>
      </c>
      <c r="B4" s="292" t="s">
        <v>80</v>
      </c>
      <c r="C4" s="292" t="s">
        <v>58</v>
      </c>
      <c r="D4" s="292" t="s">
        <v>90</v>
      </c>
      <c r="E4" s="292" t="s">
        <v>65</v>
      </c>
      <c r="F4">
        <v>3.5</v>
      </c>
      <c r="H4">
        <v>3.5</v>
      </c>
      <c r="J4">
        <v>3.5</v>
      </c>
      <c r="K4" t="s">
        <v>370</v>
      </c>
    </row>
    <row r="5" spans="1:11" x14ac:dyDescent="0.3">
      <c r="A5" s="292" t="s">
        <v>564</v>
      </c>
      <c r="B5" s="292" t="s">
        <v>80</v>
      </c>
      <c r="C5" s="292" t="s">
        <v>58</v>
      </c>
      <c r="D5" s="292" t="s">
        <v>174</v>
      </c>
      <c r="E5" s="292" t="s">
        <v>65</v>
      </c>
      <c r="F5">
        <v>1.5</v>
      </c>
      <c r="H5">
        <v>1.5</v>
      </c>
      <c r="J5">
        <v>1.5</v>
      </c>
      <c r="K5" t="s">
        <v>370</v>
      </c>
    </row>
    <row r="6" spans="1:11" x14ac:dyDescent="0.3">
      <c r="A6" s="292" t="s">
        <v>564</v>
      </c>
      <c r="B6" s="292" t="s">
        <v>80</v>
      </c>
      <c r="C6" s="292" t="s">
        <v>58</v>
      </c>
      <c r="D6" s="292" t="s">
        <v>135</v>
      </c>
      <c r="E6" s="292" t="s">
        <v>81</v>
      </c>
      <c r="F6">
        <v>2</v>
      </c>
      <c r="H6">
        <v>2</v>
      </c>
      <c r="J6">
        <v>2</v>
      </c>
      <c r="K6" t="s">
        <v>370</v>
      </c>
    </row>
    <row r="7" spans="1:11" x14ac:dyDescent="0.3">
      <c r="A7" s="292" t="s">
        <v>564</v>
      </c>
      <c r="B7" s="292" t="s">
        <v>80</v>
      </c>
      <c r="C7" s="292" t="s">
        <v>58</v>
      </c>
      <c r="D7" s="292" t="s">
        <v>93</v>
      </c>
      <c r="E7" s="292" t="s">
        <v>81</v>
      </c>
      <c r="F7">
        <v>2</v>
      </c>
      <c r="H7">
        <v>2</v>
      </c>
      <c r="J7">
        <v>2</v>
      </c>
      <c r="K7" t="s">
        <v>370</v>
      </c>
    </row>
    <row r="8" spans="1:11" x14ac:dyDescent="0.3">
      <c r="A8" s="292" t="s">
        <v>564</v>
      </c>
      <c r="B8" s="292" t="s">
        <v>80</v>
      </c>
      <c r="C8" s="292" t="s">
        <v>58</v>
      </c>
      <c r="D8" s="292" t="s">
        <v>271</v>
      </c>
      <c r="E8" s="292" t="s">
        <v>81</v>
      </c>
      <c r="F8">
        <v>3</v>
      </c>
      <c r="H8">
        <v>3</v>
      </c>
      <c r="J8">
        <v>3</v>
      </c>
      <c r="K8" t="s">
        <v>370</v>
      </c>
    </row>
    <row r="9" spans="1:11" x14ac:dyDescent="0.3">
      <c r="A9" s="292" t="s">
        <v>564</v>
      </c>
      <c r="B9" s="292" t="s">
        <v>80</v>
      </c>
      <c r="C9" s="292" t="s">
        <v>58</v>
      </c>
      <c r="D9" s="292" t="s">
        <v>92</v>
      </c>
      <c r="E9" s="292" t="s">
        <v>81</v>
      </c>
      <c r="F9">
        <v>4</v>
      </c>
      <c r="H9">
        <v>4</v>
      </c>
      <c r="J9">
        <v>4</v>
      </c>
      <c r="K9" t="s">
        <v>370</v>
      </c>
    </row>
    <row r="10" spans="1:11" x14ac:dyDescent="0.3">
      <c r="A10" s="292" t="s">
        <v>564</v>
      </c>
      <c r="B10" s="292" t="s">
        <v>80</v>
      </c>
      <c r="C10" s="292" t="s">
        <v>58</v>
      </c>
      <c r="D10" s="292" t="s">
        <v>136</v>
      </c>
      <c r="E10" s="292" t="s">
        <v>81</v>
      </c>
      <c r="F10">
        <v>1</v>
      </c>
      <c r="H10">
        <v>1</v>
      </c>
      <c r="J10">
        <v>1</v>
      </c>
      <c r="K10" t="s">
        <v>370</v>
      </c>
    </row>
    <row r="11" spans="1:11" x14ac:dyDescent="0.3">
      <c r="A11" s="292" t="s">
        <v>564</v>
      </c>
      <c r="B11" s="292" t="s">
        <v>80</v>
      </c>
      <c r="C11" s="292" t="s">
        <v>58</v>
      </c>
      <c r="D11" s="292" t="s">
        <v>94</v>
      </c>
      <c r="E11" s="292" t="s">
        <v>81</v>
      </c>
      <c r="F11">
        <v>2</v>
      </c>
      <c r="H11">
        <v>2</v>
      </c>
      <c r="J11">
        <v>2</v>
      </c>
      <c r="K11" t="s">
        <v>370</v>
      </c>
    </row>
    <row r="12" spans="1:11" x14ac:dyDescent="0.3">
      <c r="A12" s="292" t="s">
        <v>564</v>
      </c>
      <c r="B12" s="292" t="s">
        <v>80</v>
      </c>
      <c r="C12" s="292" t="s">
        <v>58</v>
      </c>
      <c r="D12" s="292" t="s">
        <v>98</v>
      </c>
      <c r="E12" s="292" t="s">
        <v>81</v>
      </c>
      <c r="F12">
        <v>0.5</v>
      </c>
      <c r="H12">
        <v>0.5</v>
      </c>
      <c r="J12">
        <v>0.5</v>
      </c>
      <c r="K12" t="s">
        <v>370</v>
      </c>
    </row>
    <row r="13" spans="1:11" x14ac:dyDescent="0.3">
      <c r="A13" s="292" t="s">
        <v>564</v>
      </c>
      <c r="B13" s="292" t="s">
        <v>80</v>
      </c>
      <c r="C13" s="292" t="s">
        <v>58</v>
      </c>
      <c r="D13" s="292" t="s">
        <v>172</v>
      </c>
      <c r="E13" s="292" t="s">
        <v>81</v>
      </c>
      <c r="F13">
        <v>3</v>
      </c>
      <c r="H13">
        <v>3</v>
      </c>
      <c r="J13">
        <v>3</v>
      </c>
      <c r="K13" t="s">
        <v>370</v>
      </c>
    </row>
    <row r="14" spans="1:11" x14ac:dyDescent="0.3">
      <c r="A14" s="292" t="s">
        <v>564</v>
      </c>
      <c r="B14" s="292" t="s">
        <v>80</v>
      </c>
      <c r="C14" s="292" t="s">
        <v>58</v>
      </c>
      <c r="D14" s="292" t="s">
        <v>99</v>
      </c>
      <c r="E14" s="292" t="s">
        <v>81</v>
      </c>
      <c r="F14">
        <v>2</v>
      </c>
      <c r="H14">
        <v>2</v>
      </c>
      <c r="J14">
        <v>2</v>
      </c>
      <c r="K14" t="s">
        <v>370</v>
      </c>
    </row>
    <row r="15" spans="1:11" x14ac:dyDescent="0.3">
      <c r="A15" s="292" t="s">
        <v>564</v>
      </c>
      <c r="B15" s="292" t="s">
        <v>80</v>
      </c>
      <c r="C15" s="292" t="s">
        <v>58</v>
      </c>
      <c r="D15" s="292" t="s">
        <v>95</v>
      </c>
      <c r="E15" s="292" t="s">
        <v>81</v>
      </c>
      <c r="F15">
        <v>2</v>
      </c>
      <c r="H15">
        <v>2</v>
      </c>
      <c r="J15">
        <v>2</v>
      </c>
      <c r="K15" t="s">
        <v>370</v>
      </c>
    </row>
    <row r="16" spans="1:11" x14ac:dyDescent="0.3">
      <c r="A16" s="292" t="s">
        <v>564</v>
      </c>
      <c r="B16" s="292" t="s">
        <v>80</v>
      </c>
      <c r="C16" s="292" t="s">
        <v>58</v>
      </c>
      <c r="D16" s="292" t="s">
        <v>273</v>
      </c>
      <c r="E16" s="292" t="s">
        <v>81</v>
      </c>
      <c r="F16">
        <v>5</v>
      </c>
      <c r="H16">
        <v>5</v>
      </c>
      <c r="J16">
        <v>5</v>
      </c>
      <c r="K16" t="s">
        <v>370</v>
      </c>
    </row>
    <row r="17" spans="1:11" x14ac:dyDescent="0.3">
      <c r="A17" s="292" t="s">
        <v>564</v>
      </c>
      <c r="B17" s="292" t="s">
        <v>80</v>
      </c>
      <c r="C17" s="292" t="s">
        <v>58</v>
      </c>
      <c r="D17" s="292" t="s">
        <v>97</v>
      </c>
      <c r="E17" s="292" t="s">
        <v>81</v>
      </c>
      <c r="F17">
        <v>1</v>
      </c>
      <c r="H17">
        <v>1</v>
      </c>
      <c r="J17">
        <v>1</v>
      </c>
      <c r="K17" t="s">
        <v>370</v>
      </c>
    </row>
    <row r="18" spans="1:11" x14ac:dyDescent="0.3">
      <c r="A18" s="292" t="s">
        <v>564</v>
      </c>
      <c r="B18" s="292" t="s">
        <v>80</v>
      </c>
      <c r="C18" s="292" t="s">
        <v>58</v>
      </c>
      <c r="D18" s="292" t="s">
        <v>96</v>
      </c>
      <c r="E18" s="292" t="s">
        <v>81</v>
      </c>
      <c r="F18">
        <v>2.5</v>
      </c>
      <c r="H18">
        <v>2.5</v>
      </c>
    </row>
    <row r="19" spans="1:11" x14ac:dyDescent="0.3">
      <c r="A19" s="292" t="s">
        <v>564</v>
      </c>
      <c r="B19" s="292" t="s">
        <v>80</v>
      </c>
      <c r="C19" s="292" t="s">
        <v>58</v>
      </c>
      <c r="D19" s="292" t="s">
        <v>565</v>
      </c>
      <c r="E19" s="292" t="s">
        <v>81</v>
      </c>
      <c r="F19">
        <v>4</v>
      </c>
      <c r="H19">
        <v>4</v>
      </c>
    </row>
    <row r="20" spans="1:11" x14ac:dyDescent="0.3">
      <c r="A20" s="292" t="s">
        <v>564</v>
      </c>
      <c r="B20" s="292" t="s">
        <v>80</v>
      </c>
      <c r="C20" s="292" t="s">
        <v>58</v>
      </c>
      <c r="D20" s="292" t="s">
        <v>177</v>
      </c>
      <c r="E20" s="292" t="s">
        <v>170</v>
      </c>
      <c r="F20">
        <v>0</v>
      </c>
      <c r="H20">
        <v>0</v>
      </c>
    </row>
    <row r="21" spans="1:11" x14ac:dyDescent="0.3">
      <c r="A21" s="292" t="s">
        <v>564</v>
      </c>
      <c r="B21" s="292" t="s">
        <v>80</v>
      </c>
      <c r="C21" s="292" t="s">
        <v>58</v>
      </c>
      <c r="D21" s="292" t="s">
        <v>178</v>
      </c>
      <c r="E21" s="292" t="s">
        <v>170</v>
      </c>
      <c r="F21">
        <v>9</v>
      </c>
      <c r="H21">
        <v>9</v>
      </c>
    </row>
    <row r="22" spans="1:11" x14ac:dyDescent="0.3">
      <c r="A22" s="292" t="s">
        <v>564</v>
      </c>
      <c r="B22" s="292" t="s">
        <v>80</v>
      </c>
      <c r="C22" s="292" t="s">
        <v>58</v>
      </c>
      <c r="D22" s="292" t="s">
        <v>176</v>
      </c>
      <c r="E22" s="292" t="s">
        <v>284</v>
      </c>
      <c r="F22">
        <v>0</v>
      </c>
      <c r="H22">
        <v>0</v>
      </c>
    </row>
    <row r="23" spans="1:11" x14ac:dyDescent="0.3">
      <c r="A23" s="292" t="s">
        <v>564</v>
      </c>
      <c r="B23" s="292" t="s">
        <v>80</v>
      </c>
      <c r="C23" s="292" t="s">
        <v>58</v>
      </c>
      <c r="D23" s="292" t="s">
        <v>175</v>
      </c>
      <c r="E23" s="292" t="s">
        <v>144</v>
      </c>
      <c r="F23">
        <v>9</v>
      </c>
      <c r="H23">
        <v>9</v>
      </c>
    </row>
    <row r="24" spans="1:11" x14ac:dyDescent="0.3">
      <c r="A24" s="292" t="s">
        <v>564</v>
      </c>
      <c r="B24" s="292" t="s">
        <v>80</v>
      </c>
      <c r="C24" s="292" t="s">
        <v>21</v>
      </c>
      <c r="D24" s="292" t="s">
        <v>139</v>
      </c>
      <c r="E24" s="292" t="s">
        <v>140</v>
      </c>
      <c r="F24">
        <v>0</v>
      </c>
      <c r="H24">
        <v>0</v>
      </c>
      <c r="J24">
        <v>0</v>
      </c>
      <c r="K24" t="s">
        <v>370</v>
      </c>
    </row>
    <row r="25" spans="1:11" x14ac:dyDescent="0.3">
      <c r="A25" s="292" t="s">
        <v>564</v>
      </c>
      <c r="B25" s="292" t="s">
        <v>80</v>
      </c>
      <c r="C25" s="292" t="s">
        <v>21</v>
      </c>
      <c r="D25" s="292" t="s">
        <v>279</v>
      </c>
      <c r="E25" s="292" t="s">
        <v>140</v>
      </c>
      <c r="F25">
        <v>0</v>
      </c>
      <c r="H25">
        <v>0</v>
      </c>
      <c r="J25">
        <v>0</v>
      </c>
      <c r="K25" t="s">
        <v>370</v>
      </c>
    </row>
    <row r="26" spans="1:11" x14ac:dyDescent="0.3">
      <c r="A26" s="292" t="s">
        <v>564</v>
      </c>
      <c r="B26" s="292" t="s">
        <v>80</v>
      </c>
      <c r="C26" s="292" t="s">
        <v>21</v>
      </c>
      <c r="D26" s="292" t="s">
        <v>566</v>
      </c>
      <c r="E26" s="292" t="s">
        <v>81</v>
      </c>
      <c r="F26">
        <v>9</v>
      </c>
      <c r="H26">
        <v>9</v>
      </c>
      <c r="J26">
        <v>9</v>
      </c>
      <c r="K26" t="s">
        <v>370</v>
      </c>
    </row>
    <row r="27" spans="1:11" x14ac:dyDescent="0.3">
      <c r="A27" s="292" t="s">
        <v>564</v>
      </c>
      <c r="B27" s="292" t="s">
        <v>80</v>
      </c>
      <c r="C27" s="292" t="s">
        <v>21</v>
      </c>
      <c r="D27" s="292" t="s">
        <v>567</v>
      </c>
      <c r="E27" s="292" t="s">
        <v>81</v>
      </c>
      <c r="F27">
        <v>4</v>
      </c>
      <c r="H27">
        <v>4</v>
      </c>
      <c r="J27">
        <v>4</v>
      </c>
      <c r="K27" t="s">
        <v>370</v>
      </c>
    </row>
    <row r="28" spans="1:11" x14ac:dyDescent="0.3">
      <c r="A28" s="292" t="s">
        <v>564</v>
      </c>
      <c r="B28" s="292" t="s">
        <v>80</v>
      </c>
      <c r="C28" s="292" t="s">
        <v>21</v>
      </c>
      <c r="D28" s="292" t="s">
        <v>230</v>
      </c>
      <c r="E28" s="292" t="s">
        <v>65</v>
      </c>
      <c r="F28">
        <v>4</v>
      </c>
      <c r="H28">
        <v>4</v>
      </c>
      <c r="J28">
        <v>4</v>
      </c>
      <c r="K28" t="s">
        <v>370</v>
      </c>
    </row>
    <row r="29" spans="1:11" x14ac:dyDescent="0.3">
      <c r="A29" s="292" t="s">
        <v>564</v>
      </c>
      <c r="B29" s="292" t="s">
        <v>80</v>
      </c>
      <c r="C29" s="292" t="s">
        <v>21</v>
      </c>
      <c r="D29" s="292" t="s">
        <v>87</v>
      </c>
      <c r="E29" s="292" t="s">
        <v>269</v>
      </c>
      <c r="F29">
        <v>9</v>
      </c>
      <c r="H29">
        <v>9</v>
      </c>
      <c r="J29">
        <v>9</v>
      </c>
      <c r="K29" t="s">
        <v>370</v>
      </c>
    </row>
    <row r="30" spans="1:11" x14ac:dyDescent="0.3">
      <c r="A30" s="292" t="s">
        <v>564</v>
      </c>
      <c r="B30" s="292" t="s">
        <v>80</v>
      </c>
      <c r="C30" s="292" t="s">
        <v>21</v>
      </c>
      <c r="D30" s="292" t="s">
        <v>133</v>
      </c>
      <c r="E30" s="292" t="s">
        <v>81</v>
      </c>
      <c r="F30">
        <v>9</v>
      </c>
      <c r="H30">
        <v>9</v>
      </c>
      <c r="J30">
        <v>9</v>
      </c>
      <c r="K30" t="s">
        <v>370</v>
      </c>
    </row>
    <row r="31" spans="1:11" x14ac:dyDescent="0.3">
      <c r="A31" s="292" t="s">
        <v>564</v>
      </c>
      <c r="B31" s="292" t="s">
        <v>80</v>
      </c>
      <c r="C31" s="292" t="s">
        <v>21</v>
      </c>
      <c r="D31" s="292" t="s">
        <v>280</v>
      </c>
      <c r="E31" s="292" t="s">
        <v>81</v>
      </c>
      <c r="F31">
        <v>2</v>
      </c>
      <c r="H31">
        <v>2</v>
      </c>
    </row>
    <row r="32" spans="1:11" x14ac:dyDescent="0.3">
      <c r="A32" s="292" t="s">
        <v>564</v>
      </c>
      <c r="B32" s="292" t="s">
        <v>80</v>
      </c>
      <c r="C32" s="292" t="s">
        <v>21</v>
      </c>
      <c r="D32" s="292" t="s">
        <v>282</v>
      </c>
      <c r="E32" s="292" t="s">
        <v>81</v>
      </c>
      <c r="F32">
        <v>4</v>
      </c>
      <c r="H32">
        <v>4</v>
      </c>
    </row>
    <row r="33" spans="1:8" x14ac:dyDescent="0.3">
      <c r="A33" s="292" t="s">
        <v>564</v>
      </c>
      <c r="B33" s="292" t="s">
        <v>80</v>
      </c>
      <c r="C33" s="292" t="s">
        <v>21</v>
      </c>
      <c r="D33" s="292" t="s">
        <v>568</v>
      </c>
      <c r="E33" s="292" t="s">
        <v>81</v>
      </c>
      <c r="F33">
        <v>18</v>
      </c>
      <c r="H33">
        <v>18</v>
      </c>
    </row>
    <row r="34" spans="1:8" x14ac:dyDescent="0.3">
      <c r="A34" s="292" t="s">
        <v>564</v>
      </c>
      <c r="B34" s="292" t="s">
        <v>80</v>
      </c>
      <c r="C34" s="292" t="s">
        <v>21</v>
      </c>
      <c r="D34" s="292" t="s">
        <v>569</v>
      </c>
      <c r="E34" s="292" t="s">
        <v>81</v>
      </c>
      <c r="F34">
        <v>4</v>
      </c>
      <c r="H34">
        <v>4</v>
      </c>
    </row>
    <row r="35" spans="1:8" x14ac:dyDescent="0.3">
      <c r="A35" s="292" t="s">
        <v>564</v>
      </c>
      <c r="B35" s="292" t="s">
        <v>80</v>
      </c>
      <c r="C35" s="292" t="s">
        <v>21</v>
      </c>
      <c r="D35" s="292" t="s">
        <v>118</v>
      </c>
      <c r="E35" s="292" t="s">
        <v>81</v>
      </c>
      <c r="F35">
        <v>0.5</v>
      </c>
      <c r="H35">
        <v>0.5</v>
      </c>
    </row>
    <row r="36" spans="1:8" x14ac:dyDescent="0.3">
      <c r="A36" s="292" t="s">
        <v>564</v>
      </c>
      <c r="B36" s="292" t="s">
        <v>80</v>
      </c>
      <c r="C36" s="292" t="s">
        <v>21</v>
      </c>
      <c r="D36" s="292" t="s">
        <v>285</v>
      </c>
      <c r="E36" s="292" t="s">
        <v>81</v>
      </c>
      <c r="F36">
        <v>2</v>
      </c>
      <c r="H36">
        <v>2</v>
      </c>
    </row>
    <row r="37" spans="1:8" x14ac:dyDescent="0.3">
      <c r="A37" s="292" t="s">
        <v>564</v>
      </c>
      <c r="B37" s="292" t="s">
        <v>80</v>
      </c>
      <c r="C37" s="292" t="s">
        <v>21</v>
      </c>
      <c r="D37" s="292" t="s">
        <v>283</v>
      </c>
      <c r="E37" s="292" t="s">
        <v>81</v>
      </c>
      <c r="F37">
        <v>0.5</v>
      </c>
      <c r="H37">
        <v>0.5</v>
      </c>
    </row>
    <row r="38" spans="1:8" x14ac:dyDescent="0.3">
      <c r="A38" s="292" t="s">
        <v>564</v>
      </c>
      <c r="B38" s="292" t="s">
        <v>80</v>
      </c>
      <c r="C38" s="292" t="s">
        <v>21</v>
      </c>
      <c r="D38" s="292" t="s">
        <v>204</v>
      </c>
      <c r="E38" s="292" t="s">
        <v>81</v>
      </c>
      <c r="F38">
        <v>2</v>
      </c>
      <c r="H38">
        <v>2</v>
      </c>
    </row>
    <row r="39" spans="1:8" x14ac:dyDescent="0.3">
      <c r="A39" s="292" t="s">
        <v>564</v>
      </c>
      <c r="B39" s="292" t="s">
        <v>80</v>
      </c>
      <c r="C39" s="292" t="s">
        <v>21</v>
      </c>
      <c r="D39" s="292" t="s">
        <v>278</v>
      </c>
      <c r="E39" s="292" t="s">
        <v>81</v>
      </c>
      <c r="F39">
        <v>3</v>
      </c>
      <c r="H39">
        <v>3</v>
      </c>
    </row>
    <row r="40" spans="1:8" x14ac:dyDescent="0.3">
      <c r="A40" s="292" t="s">
        <v>564</v>
      </c>
      <c r="B40" s="292" t="s">
        <v>80</v>
      </c>
      <c r="C40" s="292" t="s">
        <v>21</v>
      </c>
      <c r="D40" s="292" t="s">
        <v>119</v>
      </c>
      <c r="E40" s="292" t="s">
        <v>81</v>
      </c>
      <c r="F40">
        <v>0</v>
      </c>
      <c r="H40">
        <v>0</v>
      </c>
    </row>
    <row r="41" spans="1:8" x14ac:dyDescent="0.3">
      <c r="A41" s="292" t="s">
        <v>564</v>
      </c>
      <c r="B41" s="292" t="s">
        <v>80</v>
      </c>
      <c r="C41" s="292" t="s">
        <v>21</v>
      </c>
      <c r="D41" s="292" t="s">
        <v>570</v>
      </c>
      <c r="E41" s="292" t="s">
        <v>81</v>
      </c>
      <c r="F41">
        <v>4</v>
      </c>
      <c r="H41">
        <v>4</v>
      </c>
    </row>
    <row r="42" spans="1:8" x14ac:dyDescent="0.3">
      <c r="A42" s="292" t="s">
        <v>564</v>
      </c>
      <c r="B42" s="292" t="s">
        <v>80</v>
      </c>
      <c r="C42" s="292" t="s">
        <v>21</v>
      </c>
      <c r="D42" s="292" t="s">
        <v>120</v>
      </c>
      <c r="E42" s="292" t="s">
        <v>81</v>
      </c>
      <c r="F42">
        <v>3</v>
      </c>
      <c r="H42">
        <v>3</v>
      </c>
    </row>
    <row r="43" spans="1:8" x14ac:dyDescent="0.3">
      <c r="A43" s="292" t="s">
        <v>564</v>
      </c>
      <c r="B43" s="292" t="s">
        <v>80</v>
      </c>
      <c r="C43" s="292" t="s">
        <v>21</v>
      </c>
      <c r="D43" s="292" t="s">
        <v>166</v>
      </c>
      <c r="E43" s="292" t="s">
        <v>144</v>
      </c>
      <c r="F43">
        <v>0.5</v>
      </c>
      <c r="H43">
        <v>0.5</v>
      </c>
    </row>
    <row r="44" spans="1:8" x14ac:dyDescent="0.3">
      <c r="A44" s="292" t="s">
        <v>564</v>
      </c>
      <c r="B44" s="292" t="s">
        <v>80</v>
      </c>
      <c r="C44" s="292" t="s">
        <v>21</v>
      </c>
      <c r="D44" s="292" t="s">
        <v>200</v>
      </c>
      <c r="E44" s="292" t="s">
        <v>144</v>
      </c>
      <c r="F44">
        <v>2</v>
      </c>
      <c r="H44">
        <v>2</v>
      </c>
    </row>
    <row r="45" spans="1:8" x14ac:dyDescent="0.3">
      <c r="A45" s="292" t="s">
        <v>564</v>
      </c>
      <c r="B45" s="292" t="s">
        <v>80</v>
      </c>
      <c r="C45" s="292" t="s">
        <v>21</v>
      </c>
      <c r="D45" s="292" t="s">
        <v>171</v>
      </c>
      <c r="E45" s="292" t="s">
        <v>170</v>
      </c>
      <c r="F45">
        <v>0</v>
      </c>
      <c r="H45">
        <v>0</v>
      </c>
    </row>
    <row r="46" spans="1:8" x14ac:dyDescent="0.3">
      <c r="A46" s="292" t="s">
        <v>564</v>
      </c>
      <c r="B46" s="292" t="s">
        <v>80</v>
      </c>
      <c r="C46" s="292" t="s">
        <v>21</v>
      </c>
      <c r="D46" s="292" t="s">
        <v>169</v>
      </c>
      <c r="E46" s="292" t="s">
        <v>144</v>
      </c>
      <c r="F46">
        <v>5</v>
      </c>
      <c r="H46">
        <v>5</v>
      </c>
    </row>
    <row r="47" spans="1:8" x14ac:dyDescent="0.3">
      <c r="A47" s="292" t="s">
        <v>564</v>
      </c>
      <c r="B47" s="292" t="s">
        <v>80</v>
      </c>
      <c r="C47" s="292" t="s">
        <v>21</v>
      </c>
      <c r="D47" s="292" t="s">
        <v>168</v>
      </c>
      <c r="E47" s="292" t="s">
        <v>284</v>
      </c>
      <c r="F47">
        <v>0</v>
      </c>
      <c r="H47">
        <v>0</v>
      </c>
    </row>
    <row r="48" spans="1:8" x14ac:dyDescent="0.3">
      <c r="A48" s="292" t="s">
        <v>564</v>
      </c>
      <c r="B48" s="292" t="s">
        <v>80</v>
      </c>
      <c r="C48" s="292" t="s">
        <v>21</v>
      </c>
      <c r="D48" s="292" t="s">
        <v>167</v>
      </c>
      <c r="E48" s="292" t="s">
        <v>144</v>
      </c>
      <c r="F48">
        <v>5</v>
      </c>
      <c r="H48">
        <v>5</v>
      </c>
    </row>
    <row r="49" spans="1:11" x14ac:dyDescent="0.3">
      <c r="A49" s="292" t="s">
        <v>564</v>
      </c>
      <c r="B49" s="292" t="s">
        <v>80</v>
      </c>
      <c r="C49" s="292" t="s">
        <v>121</v>
      </c>
      <c r="D49" s="292" t="s">
        <v>193</v>
      </c>
      <c r="E49" s="292" t="s">
        <v>81</v>
      </c>
      <c r="F49">
        <v>4</v>
      </c>
      <c r="H49">
        <v>4</v>
      </c>
      <c r="J49">
        <v>4</v>
      </c>
      <c r="K49" t="s">
        <v>370</v>
      </c>
    </row>
    <row r="50" spans="1:11" x14ac:dyDescent="0.3">
      <c r="A50" s="292" t="s">
        <v>564</v>
      </c>
      <c r="B50" s="292" t="s">
        <v>80</v>
      </c>
      <c r="C50" s="292" t="s">
        <v>121</v>
      </c>
      <c r="D50" s="292" t="s">
        <v>192</v>
      </c>
      <c r="E50" s="292" t="s">
        <v>81</v>
      </c>
      <c r="F50">
        <v>1</v>
      </c>
      <c r="H50">
        <v>1</v>
      </c>
      <c r="J50">
        <v>1</v>
      </c>
      <c r="K50" t="s">
        <v>370</v>
      </c>
    </row>
    <row r="51" spans="1:11" x14ac:dyDescent="0.3">
      <c r="A51" s="292" t="s">
        <v>564</v>
      </c>
      <c r="B51" s="292" t="s">
        <v>80</v>
      </c>
      <c r="C51" s="292" t="s">
        <v>121</v>
      </c>
      <c r="D51" s="292" t="s">
        <v>287</v>
      </c>
      <c r="E51" s="292" t="s">
        <v>81</v>
      </c>
      <c r="F51">
        <v>5</v>
      </c>
      <c r="H51">
        <v>5</v>
      </c>
      <c r="J51">
        <v>5</v>
      </c>
      <c r="K51" t="s">
        <v>370</v>
      </c>
    </row>
    <row r="52" spans="1:11" x14ac:dyDescent="0.3">
      <c r="A52" s="292" t="s">
        <v>564</v>
      </c>
      <c r="B52" s="292" t="s">
        <v>80</v>
      </c>
      <c r="C52" s="292" t="s">
        <v>121</v>
      </c>
      <c r="D52" s="292" t="s">
        <v>194</v>
      </c>
      <c r="E52" s="292" t="s">
        <v>81</v>
      </c>
      <c r="F52">
        <v>5</v>
      </c>
      <c r="H52">
        <v>5</v>
      </c>
      <c r="J52">
        <v>5</v>
      </c>
      <c r="K52" t="s">
        <v>370</v>
      </c>
    </row>
    <row r="53" spans="1:11" x14ac:dyDescent="0.3">
      <c r="A53" s="292" t="s">
        <v>564</v>
      </c>
      <c r="B53" s="292" t="s">
        <v>80</v>
      </c>
      <c r="C53" s="292" t="s">
        <v>121</v>
      </c>
      <c r="D53" s="292" t="s">
        <v>286</v>
      </c>
      <c r="E53" s="292" t="s">
        <v>81</v>
      </c>
      <c r="F53">
        <v>0</v>
      </c>
      <c r="H53">
        <v>0</v>
      </c>
      <c r="J53">
        <v>0</v>
      </c>
      <c r="K53" t="s">
        <v>370</v>
      </c>
    </row>
    <row r="54" spans="1:11" x14ac:dyDescent="0.3">
      <c r="A54" s="292" t="s">
        <v>564</v>
      </c>
      <c r="B54" s="292" t="s">
        <v>80</v>
      </c>
      <c r="C54" s="292" t="s">
        <v>121</v>
      </c>
      <c r="D54" s="292" t="s">
        <v>571</v>
      </c>
      <c r="E54" s="292" t="s">
        <v>81</v>
      </c>
      <c r="F54">
        <v>2</v>
      </c>
      <c r="H54">
        <v>2</v>
      </c>
      <c r="J54">
        <v>2</v>
      </c>
      <c r="K54" t="s">
        <v>370</v>
      </c>
    </row>
    <row r="55" spans="1:11" x14ac:dyDescent="0.3">
      <c r="A55" s="292" t="s">
        <v>564</v>
      </c>
      <c r="B55" s="292" t="s">
        <v>80</v>
      </c>
      <c r="C55" s="292" t="s">
        <v>121</v>
      </c>
      <c r="D55" s="292" t="s">
        <v>197</v>
      </c>
      <c r="E55" s="292" t="s">
        <v>144</v>
      </c>
      <c r="F55">
        <v>2</v>
      </c>
      <c r="H55">
        <v>2</v>
      </c>
      <c r="J55">
        <v>2</v>
      </c>
      <c r="K55" t="s">
        <v>370</v>
      </c>
    </row>
    <row r="56" spans="1:11" x14ac:dyDescent="0.3">
      <c r="A56" s="292" t="s">
        <v>564</v>
      </c>
      <c r="B56" s="292" t="s">
        <v>80</v>
      </c>
      <c r="C56" s="292" t="s">
        <v>121</v>
      </c>
      <c r="D56" s="292" t="s">
        <v>198</v>
      </c>
      <c r="E56" s="292" t="s">
        <v>170</v>
      </c>
      <c r="F56">
        <v>0</v>
      </c>
      <c r="H56">
        <v>0</v>
      </c>
      <c r="J56">
        <v>0</v>
      </c>
      <c r="K56" t="s">
        <v>370</v>
      </c>
    </row>
    <row r="57" spans="1:11" x14ac:dyDescent="0.3">
      <c r="A57" s="292" t="s">
        <v>564</v>
      </c>
      <c r="B57" s="292" t="s">
        <v>80</v>
      </c>
      <c r="C57" s="292" t="s">
        <v>121</v>
      </c>
      <c r="D57" s="292" t="s">
        <v>195</v>
      </c>
      <c r="E57" s="292" t="s">
        <v>144</v>
      </c>
      <c r="F57">
        <v>2</v>
      </c>
      <c r="H57">
        <v>2</v>
      </c>
      <c r="J57">
        <v>2</v>
      </c>
      <c r="K57" t="s">
        <v>370</v>
      </c>
    </row>
    <row r="58" spans="1:11" x14ac:dyDescent="0.3">
      <c r="A58" s="292" t="s">
        <v>564</v>
      </c>
      <c r="B58" s="292" t="s">
        <v>80</v>
      </c>
      <c r="C58" s="292" t="s">
        <v>121</v>
      </c>
      <c r="D58" s="292" t="s">
        <v>196</v>
      </c>
      <c r="E58" s="292" t="s">
        <v>284</v>
      </c>
      <c r="F58">
        <v>0</v>
      </c>
      <c r="H58">
        <v>0</v>
      </c>
      <c r="J58">
        <v>0</v>
      </c>
      <c r="K58" t="s">
        <v>370</v>
      </c>
    </row>
    <row r="59" spans="1:11" x14ac:dyDescent="0.3">
      <c r="A59" s="292" t="s">
        <v>564</v>
      </c>
      <c r="B59" s="292" t="s">
        <v>80</v>
      </c>
      <c r="C59" s="292" t="s">
        <v>70</v>
      </c>
      <c r="D59" s="292" t="s">
        <v>101</v>
      </c>
      <c r="E59" s="292" t="s">
        <v>81</v>
      </c>
      <c r="F59">
        <v>9</v>
      </c>
      <c r="H59">
        <v>9</v>
      </c>
      <c r="J59">
        <v>9</v>
      </c>
      <c r="K59" t="s">
        <v>370</v>
      </c>
    </row>
    <row r="60" spans="1:11" x14ac:dyDescent="0.3">
      <c r="A60" s="292" t="s">
        <v>564</v>
      </c>
      <c r="B60" s="292" t="s">
        <v>80</v>
      </c>
      <c r="C60" s="292" t="s">
        <v>70</v>
      </c>
      <c r="D60" s="292" t="s">
        <v>182</v>
      </c>
      <c r="E60" s="292" t="s">
        <v>81</v>
      </c>
      <c r="F60">
        <v>9</v>
      </c>
      <c r="H60">
        <v>9</v>
      </c>
      <c r="J60">
        <v>9</v>
      </c>
      <c r="K60" t="s">
        <v>370</v>
      </c>
    </row>
    <row r="61" spans="1:11" x14ac:dyDescent="0.3">
      <c r="A61" s="292" t="s">
        <v>564</v>
      </c>
      <c r="B61" s="292" t="s">
        <v>80</v>
      </c>
      <c r="C61" s="292" t="s">
        <v>70</v>
      </c>
      <c r="D61" s="292" t="s">
        <v>103</v>
      </c>
      <c r="E61" s="292" t="s">
        <v>81</v>
      </c>
      <c r="F61">
        <v>7</v>
      </c>
      <c r="H61">
        <v>7</v>
      </c>
      <c r="J61">
        <v>7</v>
      </c>
      <c r="K61" t="s">
        <v>370</v>
      </c>
    </row>
    <row r="62" spans="1:11" x14ac:dyDescent="0.3">
      <c r="A62" s="292" t="s">
        <v>564</v>
      </c>
      <c r="B62" s="292" t="s">
        <v>80</v>
      </c>
      <c r="C62" s="292" t="s">
        <v>70</v>
      </c>
      <c r="D62" s="292" t="s">
        <v>104</v>
      </c>
      <c r="E62" s="292" t="s">
        <v>81</v>
      </c>
      <c r="F62">
        <v>3</v>
      </c>
      <c r="H62">
        <v>3</v>
      </c>
      <c r="J62">
        <v>3</v>
      </c>
      <c r="K62" t="s">
        <v>370</v>
      </c>
    </row>
    <row r="63" spans="1:11" x14ac:dyDescent="0.3">
      <c r="A63" s="292" t="s">
        <v>564</v>
      </c>
      <c r="B63" s="292" t="s">
        <v>80</v>
      </c>
      <c r="C63" s="292" t="s">
        <v>70</v>
      </c>
      <c r="D63" s="292" t="s">
        <v>572</v>
      </c>
      <c r="E63" s="292" t="s">
        <v>81</v>
      </c>
      <c r="F63">
        <v>4</v>
      </c>
      <c r="H63">
        <v>4</v>
      </c>
      <c r="J63">
        <v>4</v>
      </c>
      <c r="K63" t="s">
        <v>370</v>
      </c>
    </row>
    <row r="64" spans="1:11" x14ac:dyDescent="0.3">
      <c r="A64" s="292" t="s">
        <v>564</v>
      </c>
      <c r="B64" s="292" t="s">
        <v>80</v>
      </c>
      <c r="C64" s="292" t="s">
        <v>70</v>
      </c>
      <c r="D64" s="292" t="s">
        <v>105</v>
      </c>
      <c r="E64" s="292" t="s">
        <v>81</v>
      </c>
      <c r="F64">
        <v>1</v>
      </c>
      <c r="H64">
        <v>1</v>
      </c>
      <c r="J64">
        <v>1</v>
      </c>
      <c r="K64" t="s">
        <v>370</v>
      </c>
    </row>
    <row r="65" spans="1:11" x14ac:dyDescent="0.3">
      <c r="A65" s="292" t="s">
        <v>564</v>
      </c>
      <c r="B65" s="292" t="s">
        <v>80</v>
      </c>
      <c r="C65" s="292" t="s">
        <v>70</v>
      </c>
      <c r="D65" s="292" t="s">
        <v>181</v>
      </c>
      <c r="E65" s="292" t="s">
        <v>81</v>
      </c>
      <c r="F65">
        <v>2</v>
      </c>
      <c r="H65">
        <v>2</v>
      </c>
      <c r="J65">
        <v>2</v>
      </c>
      <c r="K65" t="s">
        <v>370</v>
      </c>
    </row>
    <row r="66" spans="1:11" x14ac:dyDescent="0.3">
      <c r="A66" s="292" t="s">
        <v>564</v>
      </c>
      <c r="B66" s="292" t="s">
        <v>80</v>
      </c>
      <c r="C66" s="292" t="s">
        <v>70</v>
      </c>
      <c r="D66" s="292" t="s">
        <v>183</v>
      </c>
      <c r="E66" s="292" t="s">
        <v>144</v>
      </c>
      <c r="F66">
        <v>5</v>
      </c>
      <c r="H66">
        <v>5</v>
      </c>
      <c r="J66">
        <v>5</v>
      </c>
      <c r="K66" t="s">
        <v>370</v>
      </c>
    </row>
    <row r="67" spans="1:11" x14ac:dyDescent="0.3">
      <c r="A67" s="292" t="s">
        <v>564</v>
      </c>
      <c r="B67" s="292" t="s">
        <v>80</v>
      </c>
      <c r="C67" s="292" t="s">
        <v>70</v>
      </c>
      <c r="D67" s="292" t="s">
        <v>185</v>
      </c>
      <c r="E67" s="292" t="s">
        <v>170</v>
      </c>
      <c r="F67">
        <v>0</v>
      </c>
      <c r="H67">
        <v>0</v>
      </c>
      <c r="J67">
        <v>0</v>
      </c>
      <c r="K67" t="s">
        <v>370</v>
      </c>
    </row>
    <row r="68" spans="1:11" x14ac:dyDescent="0.3">
      <c r="A68" s="292" t="s">
        <v>564</v>
      </c>
      <c r="B68" s="292" t="s">
        <v>80</v>
      </c>
      <c r="C68" s="292" t="s">
        <v>70</v>
      </c>
      <c r="D68" s="292" t="s">
        <v>184</v>
      </c>
      <c r="E68" s="292" t="s">
        <v>284</v>
      </c>
      <c r="F68">
        <v>0</v>
      </c>
      <c r="H68">
        <v>0</v>
      </c>
      <c r="J68">
        <v>0</v>
      </c>
      <c r="K68" t="s">
        <v>370</v>
      </c>
    </row>
    <row r="69" spans="1:11" x14ac:dyDescent="0.3">
      <c r="A69" s="292" t="s">
        <v>564</v>
      </c>
      <c r="B69" s="292" t="s">
        <v>80</v>
      </c>
      <c r="C69" s="292" t="s">
        <v>70</v>
      </c>
      <c r="D69" s="292" t="s">
        <v>186</v>
      </c>
      <c r="E69" s="292" t="s">
        <v>144</v>
      </c>
      <c r="F69">
        <v>5</v>
      </c>
      <c r="H69">
        <v>5</v>
      </c>
      <c r="J69">
        <v>5</v>
      </c>
      <c r="K69" t="s">
        <v>370</v>
      </c>
    </row>
    <row r="70" spans="1:11" x14ac:dyDescent="0.3">
      <c r="A70" s="292" t="s">
        <v>564</v>
      </c>
      <c r="B70" s="292" t="s">
        <v>80</v>
      </c>
      <c r="C70" s="292" t="s">
        <v>69</v>
      </c>
      <c r="D70" s="292" t="s">
        <v>108</v>
      </c>
      <c r="E70" s="292" t="s">
        <v>81</v>
      </c>
      <c r="F70">
        <v>4</v>
      </c>
      <c r="H70">
        <v>4</v>
      </c>
      <c r="J70">
        <v>4</v>
      </c>
      <c r="K70" t="s">
        <v>370</v>
      </c>
    </row>
    <row r="71" spans="1:11" x14ac:dyDescent="0.3">
      <c r="A71" s="292" t="s">
        <v>564</v>
      </c>
      <c r="B71" s="292" t="s">
        <v>80</v>
      </c>
      <c r="C71" s="292" t="s">
        <v>69</v>
      </c>
      <c r="D71" s="292" t="s">
        <v>109</v>
      </c>
      <c r="E71" s="292" t="s">
        <v>81</v>
      </c>
      <c r="F71">
        <v>4</v>
      </c>
      <c r="H71">
        <v>4</v>
      </c>
      <c r="J71">
        <v>4</v>
      </c>
      <c r="K71" t="s">
        <v>370</v>
      </c>
    </row>
    <row r="72" spans="1:11" x14ac:dyDescent="0.3">
      <c r="A72" s="292" t="s">
        <v>564</v>
      </c>
      <c r="B72" s="292" t="s">
        <v>80</v>
      </c>
      <c r="C72" s="292" t="s">
        <v>69</v>
      </c>
      <c r="D72" s="292" t="s">
        <v>138</v>
      </c>
      <c r="E72" s="292" t="s">
        <v>81</v>
      </c>
      <c r="F72">
        <v>1</v>
      </c>
      <c r="H72">
        <v>1</v>
      </c>
      <c r="J72">
        <v>1</v>
      </c>
      <c r="K72" t="s">
        <v>370</v>
      </c>
    </row>
    <row r="73" spans="1:11" x14ac:dyDescent="0.3">
      <c r="A73" s="292" t="s">
        <v>564</v>
      </c>
      <c r="B73" s="292" t="s">
        <v>80</v>
      </c>
      <c r="C73" s="292" t="s">
        <v>69</v>
      </c>
      <c r="D73" s="292" t="s">
        <v>112</v>
      </c>
      <c r="E73" s="292" t="s">
        <v>81</v>
      </c>
      <c r="F73">
        <v>4</v>
      </c>
      <c r="H73">
        <v>4</v>
      </c>
      <c r="J73">
        <v>4</v>
      </c>
      <c r="K73" t="s">
        <v>370</v>
      </c>
    </row>
    <row r="74" spans="1:11" x14ac:dyDescent="0.3">
      <c r="A74" s="292" t="s">
        <v>564</v>
      </c>
      <c r="B74" s="292" t="s">
        <v>80</v>
      </c>
      <c r="C74" s="292" t="s">
        <v>69</v>
      </c>
      <c r="D74" s="292" t="s">
        <v>106</v>
      </c>
      <c r="E74" s="292" t="s">
        <v>65</v>
      </c>
      <c r="F74">
        <v>0.5</v>
      </c>
      <c r="H74">
        <v>0.5</v>
      </c>
      <c r="J74">
        <v>0.5</v>
      </c>
      <c r="K74" t="s">
        <v>370</v>
      </c>
    </row>
    <row r="75" spans="1:11" x14ac:dyDescent="0.3">
      <c r="A75" s="292" t="s">
        <v>564</v>
      </c>
      <c r="B75" s="292" t="s">
        <v>80</v>
      </c>
      <c r="C75" s="292" t="s">
        <v>69</v>
      </c>
      <c r="D75" s="292" t="s">
        <v>111</v>
      </c>
      <c r="E75" s="292" t="s">
        <v>81</v>
      </c>
      <c r="F75">
        <v>5</v>
      </c>
      <c r="H75">
        <v>5</v>
      </c>
      <c r="J75">
        <v>5</v>
      </c>
      <c r="K75" t="s">
        <v>370</v>
      </c>
    </row>
    <row r="76" spans="1:11" x14ac:dyDescent="0.3">
      <c r="A76" s="292" t="s">
        <v>564</v>
      </c>
      <c r="B76" s="292" t="s">
        <v>80</v>
      </c>
      <c r="C76" s="292" t="s">
        <v>69</v>
      </c>
      <c r="D76" s="292" t="s">
        <v>573</v>
      </c>
      <c r="E76" s="292" t="s">
        <v>81</v>
      </c>
      <c r="F76">
        <v>4</v>
      </c>
      <c r="H76">
        <v>4</v>
      </c>
      <c r="J76">
        <v>4</v>
      </c>
      <c r="K76" t="s">
        <v>370</v>
      </c>
    </row>
    <row r="77" spans="1:11" x14ac:dyDescent="0.3">
      <c r="A77" s="292" t="s">
        <v>564</v>
      </c>
      <c r="B77" s="292" t="s">
        <v>80</v>
      </c>
      <c r="C77" s="292" t="s">
        <v>69</v>
      </c>
      <c r="D77" s="292" t="s">
        <v>113</v>
      </c>
      <c r="E77" s="292" t="s">
        <v>81</v>
      </c>
      <c r="F77">
        <v>3</v>
      </c>
      <c r="H77">
        <v>3</v>
      </c>
      <c r="J77">
        <v>3</v>
      </c>
      <c r="K77" t="s">
        <v>370</v>
      </c>
    </row>
    <row r="78" spans="1:11" x14ac:dyDescent="0.3">
      <c r="A78" s="292" t="s">
        <v>564</v>
      </c>
      <c r="B78" s="292" t="s">
        <v>80</v>
      </c>
      <c r="C78" s="292" t="s">
        <v>69</v>
      </c>
      <c r="D78" s="292" t="s">
        <v>187</v>
      </c>
      <c r="E78" s="292" t="s">
        <v>81</v>
      </c>
      <c r="F78">
        <v>0</v>
      </c>
      <c r="H78">
        <v>0</v>
      </c>
    </row>
    <row r="79" spans="1:11" x14ac:dyDescent="0.3">
      <c r="A79" s="292" t="s">
        <v>564</v>
      </c>
      <c r="B79" s="292" t="s">
        <v>80</v>
      </c>
      <c r="C79" s="292" t="s">
        <v>69</v>
      </c>
      <c r="D79" s="292" t="s">
        <v>188</v>
      </c>
      <c r="E79" s="292" t="s">
        <v>144</v>
      </c>
      <c r="F79">
        <v>9</v>
      </c>
      <c r="H79">
        <v>9</v>
      </c>
    </row>
    <row r="80" spans="1:11" x14ac:dyDescent="0.3">
      <c r="A80" s="292" t="s">
        <v>564</v>
      </c>
      <c r="B80" s="292" t="s">
        <v>80</v>
      </c>
      <c r="C80" s="292" t="s">
        <v>69</v>
      </c>
      <c r="D80" s="292" t="s">
        <v>190</v>
      </c>
      <c r="E80" s="292" t="s">
        <v>284</v>
      </c>
      <c r="F80">
        <v>0</v>
      </c>
      <c r="H80">
        <v>0</v>
      </c>
      <c r="J80">
        <v>0</v>
      </c>
      <c r="K80" t="s">
        <v>370</v>
      </c>
    </row>
    <row r="81" spans="1:11" x14ac:dyDescent="0.3">
      <c r="A81" s="292" t="s">
        <v>564</v>
      </c>
      <c r="B81" s="292" t="s">
        <v>80</v>
      </c>
      <c r="C81" s="292" t="s">
        <v>69</v>
      </c>
      <c r="D81" s="292" t="s">
        <v>189</v>
      </c>
      <c r="E81" s="292" t="s">
        <v>170</v>
      </c>
      <c r="F81">
        <v>0</v>
      </c>
      <c r="H81">
        <v>0</v>
      </c>
      <c r="J81">
        <v>0</v>
      </c>
      <c r="K81" t="s">
        <v>370</v>
      </c>
    </row>
    <row r="82" spans="1:11" x14ac:dyDescent="0.3">
      <c r="A82" s="292" t="s">
        <v>564</v>
      </c>
      <c r="B82" s="292" t="s">
        <v>80</v>
      </c>
      <c r="C82" s="292" t="s">
        <v>69</v>
      </c>
      <c r="D82" s="292" t="s">
        <v>191</v>
      </c>
      <c r="E82" s="292" t="s">
        <v>144</v>
      </c>
      <c r="F82">
        <v>9</v>
      </c>
      <c r="H82">
        <v>9</v>
      </c>
      <c r="J82">
        <v>9</v>
      </c>
      <c r="K82" t="s">
        <v>370</v>
      </c>
    </row>
    <row r="83" spans="1:11" x14ac:dyDescent="0.3">
      <c r="A83" s="292" t="s">
        <v>564</v>
      </c>
      <c r="B83" s="292" t="s">
        <v>80</v>
      </c>
      <c r="C83" s="292" t="s">
        <v>64</v>
      </c>
      <c r="D83" s="292" t="s">
        <v>275</v>
      </c>
      <c r="E83" s="292" t="s">
        <v>140</v>
      </c>
      <c r="F83">
        <v>0</v>
      </c>
      <c r="H83">
        <v>0</v>
      </c>
      <c r="J83">
        <v>0</v>
      </c>
      <c r="K83" t="s">
        <v>370</v>
      </c>
    </row>
    <row r="84" spans="1:11" x14ac:dyDescent="0.3">
      <c r="A84" s="292" t="s">
        <v>564</v>
      </c>
      <c r="B84" s="292" t="s">
        <v>80</v>
      </c>
      <c r="C84" s="292" t="s">
        <v>64</v>
      </c>
      <c r="D84" s="292" t="s">
        <v>124</v>
      </c>
      <c r="E84" s="292" t="s">
        <v>66</v>
      </c>
      <c r="F84">
        <v>0</v>
      </c>
      <c r="H84">
        <v>0</v>
      </c>
      <c r="J84">
        <v>0</v>
      </c>
      <c r="K84" t="s">
        <v>370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FCD2-B7D1-425B-9A72-F9B65CEC192D}">
  <dimension ref="A1:K42"/>
  <sheetViews>
    <sheetView workbookViewId="0"/>
  </sheetViews>
  <sheetFormatPr baseColWidth="10" defaultRowHeight="14.4" x14ac:dyDescent="0.3"/>
  <cols>
    <col min="1" max="1" width="43.21875" bestFit="1" customWidth="1"/>
    <col min="2" max="2" width="22.77734375" bestFit="1" customWidth="1"/>
    <col min="3" max="3" width="24.6640625" bestFit="1" customWidth="1"/>
    <col min="4" max="4" width="67.33203125" bestFit="1" customWidth="1"/>
    <col min="5" max="5" width="47.44140625" bestFit="1" customWidth="1"/>
    <col min="6" max="6" width="78.21875" bestFit="1" customWidth="1"/>
    <col min="7" max="7" width="80.88671875" bestFit="1" customWidth="1"/>
    <col min="8" max="8" width="8.33203125" bestFit="1" customWidth="1"/>
    <col min="9" max="9" width="20.5546875" bestFit="1" customWidth="1"/>
    <col min="10" max="10" width="24.77734375" bestFit="1" customWidth="1"/>
    <col min="11" max="11" width="11.664062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444</v>
      </c>
      <c r="J1" t="s">
        <v>367</v>
      </c>
      <c r="K1" t="s">
        <v>393</v>
      </c>
    </row>
    <row r="2" spans="1:11" x14ac:dyDescent="0.3">
      <c r="A2" s="292" t="s">
        <v>563</v>
      </c>
      <c r="B2" s="292" t="s">
        <v>268</v>
      </c>
      <c r="C2" s="292" t="s">
        <v>58</v>
      </c>
      <c r="D2" s="292" t="s">
        <v>90</v>
      </c>
      <c r="E2" s="292" t="s">
        <v>65</v>
      </c>
      <c r="F2">
        <v>3</v>
      </c>
      <c r="H2">
        <v>3</v>
      </c>
      <c r="J2">
        <v>3</v>
      </c>
      <c r="K2" t="s">
        <v>370</v>
      </c>
    </row>
    <row r="3" spans="1:11" x14ac:dyDescent="0.3">
      <c r="A3" s="292" t="s">
        <v>563</v>
      </c>
      <c r="B3" s="292" t="s">
        <v>268</v>
      </c>
      <c r="C3" s="292" t="s">
        <v>58</v>
      </c>
      <c r="D3" s="292" t="s">
        <v>272</v>
      </c>
      <c r="E3" s="292" t="s">
        <v>65</v>
      </c>
      <c r="F3">
        <v>3.5</v>
      </c>
      <c r="H3">
        <v>3.5</v>
      </c>
      <c r="J3">
        <v>3.5</v>
      </c>
      <c r="K3" t="s">
        <v>370</v>
      </c>
    </row>
    <row r="4" spans="1:11" x14ac:dyDescent="0.3">
      <c r="A4" s="292" t="s">
        <v>563</v>
      </c>
      <c r="B4" s="292" t="s">
        <v>268</v>
      </c>
      <c r="C4" s="292" t="s">
        <v>58</v>
      </c>
      <c r="D4" s="292" t="s">
        <v>174</v>
      </c>
      <c r="E4" s="292" t="s">
        <v>66</v>
      </c>
      <c r="F4">
        <v>1.5</v>
      </c>
      <c r="H4">
        <v>1.5</v>
      </c>
      <c r="J4">
        <v>1.5</v>
      </c>
      <c r="K4" t="s">
        <v>370</v>
      </c>
    </row>
    <row r="5" spans="1:11" x14ac:dyDescent="0.3">
      <c r="A5" s="292" t="s">
        <v>563</v>
      </c>
      <c r="B5" s="292" t="s">
        <v>268</v>
      </c>
      <c r="C5" s="292" t="s">
        <v>58</v>
      </c>
      <c r="D5" s="292" t="s">
        <v>91</v>
      </c>
      <c r="E5" s="292" t="s">
        <v>66</v>
      </c>
      <c r="F5">
        <v>3.5</v>
      </c>
      <c r="H5">
        <v>3.5</v>
      </c>
      <c r="J5">
        <v>3.5</v>
      </c>
      <c r="K5" t="s">
        <v>370</v>
      </c>
    </row>
    <row r="6" spans="1:11" x14ac:dyDescent="0.3">
      <c r="A6" s="292" t="s">
        <v>563</v>
      </c>
      <c r="B6" s="292" t="s">
        <v>268</v>
      </c>
      <c r="C6" s="292" t="s">
        <v>58</v>
      </c>
      <c r="D6" s="292" t="s">
        <v>135</v>
      </c>
      <c r="E6" s="292" t="s">
        <v>66</v>
      </c>
      <c r="F6">
        <v>2</v>
      </c>
      <c r="H6">
        <v>2</v>
      </c>
      <c r="J6">
        <v>2</v>
      </c>
      <c r="K6" t="s">
        <v>370</v>
      </c>
    </row>
    <row r="7" spans="1:11" x14ac:dyDescent="0.3">
      <c r="A7" s="292" t="s">
        <v>563</v>
      </c>
      <c r="B7" s="292" t="s">
        <v>268</v>
      </c>
      <c r="C7" s="292" t="s">
        <v>58</v>
      </c>
      <c r="D7" s="292" t="s">
        <v>94</v>
      </c>
      <c r="E7" s="292" t="s">
        <v>66</v>
      </c>
      <c r="F7">
        <v>2</v>
      </c>
      <c r="H7">
        <v>2</v>
      </c>
      <c r="J7">
        <v>2</v>
      </c>
      <c r="K7" t="s">
        <v>370</v>
      </c>
    </row>
    <row r="8" spans="1:11" x14ac:dyDescent="0.3">
      <c r="A8" s="292" t="s">
        <v>563</v>
      </c>
      <c r="B8" s="292" t="s">
        <v>268</v>
      </c>
      <c r="C8" s="292" t="s">
        <v>58</v>
      </c>
      <c r="D8" s="292" t="s">
        <v>136</v>
      </c>
      <c r="E8" s="292" t="s">
        <v>66</v>
      </c>
      <c r="F8">
        <v>1</v>
      </c>
      <c r="H8">
        <v>1</v>
      </c>
      <c r="J8">
        <v>1</v>
      </c>
      <c r="K8" t="s">
        <v>370</v>
      </c>
    </row>
    <row r="9" spans="1:11" x14ac:dyDescent="0.3">
      <c r="A9" s="292" t="s">
        <v>563</v>
      </c>
      <c r="B9" s="292" t="s">
        <v>268</v>
      </c>
      <c r="C9" s="292" t="s">
        <v>58</v>
      </c>
      <c r="D9" s="292" t="s">
        <v>92</v>
      </c>
      <c r="E9" s="292" t="s">
        <v>66</v>
      </c>
      <c r="F9">
        <v>4</v>
      </c>
      <c r="H9">
        <v>4</v>
      </c>
      <c r="J9">
        <v>4</v>
      </c>
      <c r="K9" t="s">
        <v>370</v>
      </c>
    </row>
    <row r="10" spans="1:11" x14ac:dyDescent="0.3">
      <c r="A10" s="292" t="s">
        <v>563</v>
      </c>
      <c r="B10" s="292" t="s">
        <v>268</v>
      </c>
      <c r="C10" s="292" t="s">
        <v>58</v>
      </c>
      <c r="D10" s="292" t="s">
        <v>93</v>
      </c>
      <c r="E10" s="292" t="s">
        <v>66</v>
      </c>
      <c r="F10">
        <v>2</v>
      </c>
      <c r="H10">
        <v>2</v>
      </c>
      <c r="J10">
        <v>2</v>
      </c>
      <c r="K10" t="s">
        <v>370</v>
      </c>
    </row>
    <row r="11" spans="1:11" x14ac:dyDescent="0.3">
      <c r="A11" s="292" t="s">
        <v>563</v>
      </c>
      <c r="B11" s="292" t="s">
        <v>268</v>
      </c>
      <c r="C11" s="292" t="s">
        <v>58</v>
      </c>
      <c r="D11" s="292" t="s">
        <v>95</v>
      </c>
      <c r="E11" s="292" t="s">
        <v>66</v>
      </c>
      <c r="F11">
        <v>2</v>
      </c>
      <c r="H11">
        <v>2</v>
      </c>
      <c r="J11">
        <v>2</v>
      </c>
      <c r="K11" t="s">
        <v>370</v>
      </c>
    </row>
    <row r="12" spans="1:11" x14ac:dyDescent="0.3">
      <c r="A12" s="292" t="s">
        <v>563</v>
      </c>
      <c r="B12" s="292" t="s">
        <v>268</v>
      </c>
      <c r="C12" s="292" t="s">
        <v>58</v>
      </c>
      <c r="D12" s="292" t="s">
        <v>273</v>
      </c>
      <c r="E12" s="292" t="s">
        <v>65</v>
      </c>
      <c r="F12">
        <v>5</v>
      </c>
      <c r="H12">
        <v>5</v>
      </c>
      <c r="J12">
        <v>5</v>
      </c>
      <c r="K12" t="s">
        <v>370</v>
      </c>
    </row>
    <row r="13" spans="1:11" x14ac:dyDescent="0.3">
      <c r="A13" s="292" t="s">
        <v>563</v>
      </c>
      <c r="B13" s="292" t="s">
        <v>268</v>
      </c>
      <c r="C13" s="292" t="s">
        <v>58</v>
      </c>
      <c r="D13" s="292" t="s">
        <v>526</v>
      </c>
      <c r="E13" s="292" t="s">
        <v>65</v>
      </c>
      <c r="F13">
        <v>2</v>
      </c>
      <c r="H13">
        <v>2</v>
      </c>
      <c r="J13">
        <v>2</v>
      </c>
      <c r="K13" t="s">
        <v>370</v>
      </c>
    </row>
    <row r="14" spans="1:11" x14ac:dyDescent="0.3">
      <c r="A14" s="292" t="s">
        <v>563</v>
      </c>
      <c r="B14" s="292" t="s">
        <v>268</v>
      </c>
      <c r="C14" s="292" t="s">
        <v>58</v>
      </c>
      <c r="D14" s="292" t="s">
        <v>180</v>
      </c>
      <c r="E14" s="292" t="s">
        <v>65</v>
      </c>
      <c r="F14">
        <v>2</v>
      </c>
      <c r="H14">
        <v>2</v>
      </c>
      <c r="J14">
        <v>2</v>
      </c>
      <c r="K14" t="s">
        <v>370</v>
      </c>
    </row>
    <row r="15" spans="1:11" x14ac:dyDescent="0.3">
      <c r="A15" s="292" t="s">
        <v>563</v>
      </c>
      <c r="B15" s="292" t="s">
        <v>268</v>
      </c>
      <c r="C15" s="292" t="s">
        <v>58</v>
      </c>
      <c r="D15" s="292" t="s">
        <v>97</v>
      </c>
      <c r="E15" s="292" t="s">
        <v>66</v>
      </c>
      <c r="F15">
        <v>1</v>
      </c>
      <c r="H15">
        <v>1</v>
      </c>
      <c r="J15">
        <v>1</v>
      </c>
      <c r="K15" t="s">
        <v>370</v>
      </c>
    </row>
    <row r="16" spans="1:11" x14ac:dyDescent="0.3">
      <c r="A16" s="292" t="s">
        <v>563</v>
      </c>
      <c r="B16" s="292" t="s">
        <v>268</v>
      </c>
      <c r="C16" s="292" t="s">
        <v>58</v>
      </c>
      <c r="D16" s="292" t="s">
        <v>271</v>
      </c>
      <c r="E16" s="292" t="s">
        <v>66</v>
      </c>
      <c r="F16">
        <v>3</v>
      </c>
      <c r="H16">
        <v>3</v>
      </c>
      <c r="J16">
        <v>3</v>
      </c>
      <c r="K16" t="s">
        <v>370</v>
      </c>
    </row>
    <row r="17" spans="1:11" x14ac:dyDescent="0.3">
      <c r="A17" s="292" t="s">
        <v>563</v>
      </c>
      <c r="B17" s="292" t="s">
        <v>268</v>
      </c>
      <c r="C17" s="292" t="s">
        <v>58</v>
      </c>
      <c r="D17" s="292" t="s">
        <v>96</v>
      </c>
      <c r="E17" s="292" t="s">
        <v>66</v>
      </c>
      <c r="F17">
        <v>2.5</v>
      </c>
      <c r="H17">
        <v>2.5</v>
      </c>
      <c r="J17">
        <v>2.5</v>
      </c>
      <c r="K17" t="s">
        <v>370</v>
      </c>
    </row>
    <row r="18" spans="1:11" x14ac:dyDescent="0.3">
      <c r="A18" s="292" t="s">
        <v>563</v>
      </c>
      <c r="B18" s="292" t="s">
        <v>268</v>
      </c>
      <c r="C18" s="292" t="s">
        <v>58</v>
      </c>
      <c r="D18" s="292" t="s">
        <v>98</v>
      </c>
      <c r="E18" s="292" t="s">
        <v>66</v>
      </c>
      <c r="F18">
        <v>0.5</v>
      </c>
      <c r="H18">
        <v>0.5</v>
      </c>
    </row>
    <row r="19" spans="1:11" x14ac:dyDescent="0.3">
      <c r="A19" s="292" t="s">
        <v>563</v>
      </c>
      <c r="B19" s="292" t="s">
        <v>268</v>
      </c>
      <c r="C19" s="292" t="s">
        <v>58</v>
      </c>
      <c r="D19" s="292" t="s">
        <v>172</v>
      </c>
      <c r="E19" s="292" t="s">
        <v>66</v>
      </c>
      <c r="F19">
        <v>3</v>
      </c>
      <c r="H19">
        <v>3</v>
      </c>
    </row>
    <row r="20" spans="1:11" x14ac:dyDescent="0.3">
      <c r="A20" s="292" t="s">
        <v>563</v>
      </c>
      <c r="B20" s="292" t="s">
        <v>268</v>
      </c>
      <c r="C20" s="292" t="s">
        <v>58</v>
      </c>
      <c r="D20" s="292" t="s">
        <v>384</v>
      </c>
      <c r="E20" s="292" t="s">
        <v>66</v>
      </c>
      <c r="F20">
        <v>0</v>
      </c>
      <c r="G20">
        <v>4</v>
      </c>
      <c r="H20">
        <v>4</v>
      </c>
    </row>
    <row r="21" spans="1:11" x14ac:dyDescent="0.3">
      <c r="A21" s="292" t="s">
        <v>563</v>
      </c>
      <c r="B21" s="292" t="s">
        <v>268</v>
      </c>
      <c r="C21" s="292" t="s">
        <v>21</v>
      </c>
      <c r="D21" s="292" t="s">
        <v>87</v>
      </c>
      <c r="E21" s="292" t="s">
        <v>269</v>
      </c>
      <c r="F21">
        <v>18</v>
      </c>
      <c r="H21">
        <v>18</v>
      </c>
      <c r="J21">
        <v>18</v>
      </c>
      <c r="K21" t="s">
        <v>370</v>
      </c>
    </row>
    <row r="22" spans="1:11" x14ac:dyDescent="0.3">
      <c r="A22" s="292" t="s">
        <v>563</v>
      </c>
      <c r="B22" s="292" t="s">
        <v>268</v>
      </c>
      <c r="C22" s="292" t="s">
        <v>21</v>
      </c>
      <c r="D22" s="292" t="s">
        <v>361</v>
      </c>
      <c r="E22" s="292" t="s">
        <v>269</v>
      </c>
      <c r="F22">
        <v>4</v>
      </c>
      <c r="H22">
        <v>4</v>
      </c>
      <c r="J22">
        <v>4</v>
      </c>
      <c r="K22" t="s">
        <v>370</v>
      </c>
    </row>
    <row r="23" spans="1:11" x14ac:dyDescent="0.3">
      <c r="A23" s="292" t="s">
        <v>563</v>
      </c>
      <c r="B23" s="292" t="s">
        <v>268</v>
      </c>
      <c r="C23" s="292" t="s">
        <v>21</v>
      </c>
      <c r="D23" s="292" t="s">
        <v>133</v>
      </c>
      <c r="E23" s="292" t="s">
        <v>66</v>
      </c>
      <c r="F23">
        <v>9</v>
      </c>
      <c r="H23">
        <v>9</v>
      </c>
      <c r="J23">
        <v>9</v>
      </c>
      <c r="K23" t="s">
        <v>370</v>
      </c>
    </row>
    <row r="24" spans="1:11" x14ac:dyDescent="0.3">
      <c r="A24" s="292" t="s">
        <v>563</v>
      </c>
      <c r="B24" s="292" t="s">
        <v>268</v>
      </c>
      <c r="C24" s="292" t="s">
        <v>21</v>
      </c>
      <c r="D24" s="292" t="s">
        <v>270</v>
      </c>
      <c r="E24" s="292" t="s">
        <v>66</v>
      </c>
      <c r="F24">
        <v>3</v>
      </c>
      <c r="H24">
        <v>3</v>
      </c>
      <c r="J24">
        <v>3</v>
      </c>
      <c r="K24" t="s">
        <v>370</v>
      </c>
    </row>
    <row r="25" spans="1:11" x14ac:dyDescent="0.3">
      <c r="A25" s="292" t="s">
        <v>563</v>
      </c>
      <c r="B25" s="292" t="s">
        <v>268</v>
      </c>
      <c r="C25" s="292" t="s">
        <v>21</v>
      </c>
      <c r="D25" s="292" t="s">
        <v>120</v>
      </c>
      <c r="E25" s="292" t="s">
        <v>66</v>
      </c>
      <c r="F25">
        <v>2</v>
      </c>
      <c r="H25">
        <v>2</v>
      </c>
      <c r="J25">
        <v>2</v>
      </c>
      <c r="K25" t="s">
        <v>370</v>
      </c>
    </row>
    <row r="26" spans="1:11" x14ac:dyDescent="0.3">
      <c r="A26" s="292" t="s">
        <v>563</v>
      </c>
      <c r="B26" s="292" t="s">
        <v>268</v>
      </c>
      <c r="C26" s="292" t="s">
        <v>21</v>
      </c>
      <c r="D26" s="292" t="s">
        <v>89</v>
      </c>
      <c r="E26" s="292" t="s">
        <v>66</v>
      </c>
      <c r="F26">
        <v>4</v>
      </c>
      <c r="H26">
        <v>4</v>
      </c>
      <c r="J26">
        <v>4</v>
      </c>
      <c r="K26" t="s">
        <v>370</v>
      </c>
    </row>
    <row r="27" spans="1:11" x14ac:dyDescent="0.3">
      <c r="A27" s="292" t="s">
        <v>563</v>
      </c>
      <c r="B27" s="292" t="s">
        <v>268</v>
      </c>
      <c r="C27" s="292" t="s">
        <v>121</v>
      </c>
      <c r="D27" s="292" t="s">
        <v>558</v>
      </c>
      <c r="E27" s="292" t="s">
        <v>66</v>
      </c>
      <c r="F27">
        <v>7</v>
      </c>
      <c r="H27">
        <v>7</v>
      </c>
      <c r="J27">
        <v>7</v>
      </c>
      <c r="K27" t="s">
        <v>370</v>
      </c>
    </row>
    <row r="28" spans="1:11" x14ac:dyDescent="0.3">
      <c r="A28" s="292" t="s">
        <v>563</v>
      </c>
      <c r="B28" s="292" t="s">
        <v>268</v>
      </c>
      <c r="C28" s="292" t="s">
        <v>121</v>
      </c>
      <c r="D28" s="292" t="s">
        <v>559</v>
      </c>
      <c r="E28" s="292" t="s">
        <v>66</v>
      </c>
      <c r="F28">
        <v>0</v>
      </c>
      <c r="G28">
        <v>2</v>
      </c>
      <c r="H28">
        <v>2</v>
      </c>
      <c r="J28">
        <v>2</v>
      </c>
      <c r="K28" t="s">
        <v>370</v>
      </c>
    </row>
    <row r="29" spans="1:11" x14ac:dyDescent="0.3">
      <c r="A29" s="292" t="s">
        <v>563</v>
      </c>
      <c r="B29" s="292" t="s">
        <v>268</v>
      </c>
      <c r="C29" s="292" t="s">
        <v>70</v>
      </c>
      <c r="D29" s="292" t="s">
        <v>101</v>
      </c>
      <c r="E29" s="292" t="s">
        <v>66</v>
      </c>
      <c r="F29">
        <v>9</v>
      </c>
      <c r="H29">
        <v>9</v>
      </c>
      <c r="J29">
        <v>9</v>
      </c>
      <c r="K29" t="s">
        <v>370</v>
      </c>
    </row>
    <row r="30" spans="1:11" x14ac:dyDescent="0.3">
      <c r="A30" s="292" t="s">
        <v>563</v>
      </c>
      <c r="B30" s="292" t="s">
        <v>268</v>
      </c>
      <c r="C30" s="292" t="s">
        <v>70</v>
      </c>
      <c r="D30" s="292" t="s">
        <v>182</v>
      </c>
      <c r="E30" s="292" t="s">
        <v>66</v>
      </c>
      <c r="F30">
        <v>2</v>
      </c>
      <c r="H30">
        <v>2</v>
      </c>
      <c r="J30">
        <v>2</v>
      </c>
      <c r="K30" t="s">
        <v>370</v>
      </c>
    </row>
    <row r="31" spans="1:11" x14ac:dyDescent="0.3">
      <c r="A31" s="292" t="s">
        <v>563</v>
      </c>
      <c r="B31" s="292" t="s">
        <v>268</v>
      </c>
      <c r="C31" s="292" t="s">
        <v>70</v>
      </c>
      <c r="D31" s="292" t="s">
        <v>103</v>
      </c>
      <c r="E31" s="292" t="s">
        <v>66</v>
      </c>
      <c r="F31">
        <v>1</v>
      </c>
      <c r="H31">
        <v>1</v>
      </c>
      <c r="J31">
        <v>1</v>
      </c>
      <c r="K31" t="s">
        <v>370</v>
      </c>
    </row>
    <row r="32" spans="1:11" x14ac:dyDescent="0.3">
      <c r="A32" s="292" t="s">
        <v>563</v>
      </c>
      <c r="B32" s="292" t="s">
        <v>268</v>
      </c>
      <c r="C32" s="292" t="s">
        <v>70</v>
      </c>
      <c r="D32" s="292" t="s">
        <v>104</v>
      </c>
      <c r="E32" s="292" t="s">
        <v>66</v>
      </c>
      <c r="F32">
        <v>3</v>
      </c>
      <c r="H32">
        <v>3</v>
      </c>
      <c r="J32">
        <v>3</v>
      </c>
      <c r="K32" t="s">
        <v>370</v>
      </c>
    </row>
    <row r="33" spans="1:11" x14ac:dyDescent="0.3">
      <c r="A33" s="292" t="s">
        <v>563</v>
      </c>
      <c r="B33" s="292" t="s">
        <v>268</v>
      </c>
      <c r="C33" s="292" t="s">
        <v>70</v>
      </c>
      <c r="D33" s="292" t="s">
        <v>362</v>
      </c>
      <c r="E33" s="292" t="s">
        <v>66</v>
      </c>
      <c r="F33">
        <v>0</v>
      </c>
      <c r="G33">
        <v>4</v>
      </c>
      <c r="H33">
        <v>4</v>
      </c>
      <c r="J33">
        <v>4</v>
      </c>
      <c r="K33" t="s">
        <v>370</v>
      </c>
    </row>
    <row r="34" spans="1:11" x14ac:dyDescent="0.3">
      <c r="A34" s="292" t="s">
        <v>563</v>
      </c>
      <c r="B34" s="292" t="s">
        <v>268</v>
      </c>
      <c r="C34" s="292" t="s">
        <v>70</v>
      </c>
      <c r="D34" s="292" t="s">
        <v>385</v>
      </c>
      <c r="E34" s="292" t="s">
        <v>66</v>
      </c>
      <c r="F34">
        <v>2</v>
      </c>
      <c r="H34">
        <v>2</v>
      </c>
      <c r="J34">
        <v>2</v>
      </c>
      <c r="K34" t="s">
        <v>370</v>
      </c>
    </row>
    <row r="35" spans="1:11" x14ac:dyDescent="0.3">
      <c r="A35" s="292" t="s">
        <v>563</v>
      </c>
      <c r="B35" s="292" t="s">
        <v>268</v>
      </c>
      <c r="C35" s="292" t="s">
        <v>69</v>
      </c>
      <c r="D35" s="292" t="s">
        <v>108</v>
      </c>
      <c r="E35" s="292" t="s">
        <v>66</v>
      </c>
      <c r="F35">
        <v>5</v>
      </c>
      <c r="H35">
        <v>5</v>
      </c>
      <c r="J35">
        <v>5</v>
      </c>
      <c r="K35" t="s">
        <v>370</v>
      </c>
    </row>
    <row r="36" spans="1:11" x14ac:dyDescent="0.3">
      <c r="A36" s="292" t="s">
        <v>563</v>
      </c>
      <c r="B36" s="292" t="s">
        <v>268</v>
      </c>
      <c r="C36" s="292" t="s">
        <v>69</v>
      </c>
      <c r="D36" s="292" t="s">
        <v>109</v>
      </c>
      <c r="E36" s="292" t="s">
        <v>66</v>
      </c>
      <c r="F36">
        <v>4</v>
      </c>
      <c r="H36">
        <v>4</v>
      </c>
      <c r="J36">
        <v>4</v>
      </c>
      <c r="K36" t="s">
        <v>370</v>
      </c>
    </row>
    <row r="37" spans="1:11" x14ac:dyDescent="0.3">
      <c r="A37" s="292" t="s">
        <v>563</v>
      </c>
      <c r="B37" s="292" t="s">
        <v>268</v>
      </c>
      <c r="C37" s="292" t="s">
        <v>69</v>
      </c>
      <c r="D37" s="292" t="s">
        <v>138</v>
      </c>
      <c r="E37" s="292" t="s">
        <v>66</v>
      </c>
      <c r="F37">
        <v>1</v>
      </c>
      <c r="H37">
        <v>1</v>
      </c>
      <c r="J37">
        <v>1</v>
      </c>
      <c r="K37" t="s">
        <v>370</v>
      </c>
    </row>
    <row r="38" spans="1:11" x14ac:dyDescent="0.3">
      <c r="A38" s="292" t="s">
        <v>563</v>
      </c>
      <c r="B38" s="292" t="s">
        <v>268</v>
      </c>
      <c r="C38" s="292" t="s">
        <v>69</v>
      </c>
      <c r="D38" s="292" t="s">
        <v>106</v>
      </c>
      <c r="E38" s="292" t="s">
        <v>65</v>
      </c>
      <c r="F38">
        <v>0.5</v>
      </c>
      <c r="H38">
        <v>0.5</v>
      </c>
      <c r="J38">
        <v>0.5</v>
      </c>
      <c r="K38" t="s">
        <v>370</v>
      </c>
    </row>
    <row r="39" spans="1:11" x14ac:dyDescent="0.3">
      <c r="A39" s="292" t="s">
        <v>563</v>
      </c>
      <c r="B39" s="292" t="s">
        <v>268</v>
      </c>
      <c r="C39" s="292" t="s">
        <v>69</v>
      </c>
      <c r="D39" s="292" t="s">
        <v>274</v>
      </c>
      <c r="E39" s="292" t="s">
        <v>66</v>
      </c>
      <c r="F39">
        <v>0</v>
      </c>
      <c r="G39">
        <v>2</v>
      </c>
      <c r="H39">
        <v>2</v>
      </c>
      <c r="J39">
        <v>2</v>
      </c>
      <c r="K39" t="s">
        <v>370</v>
      </c>
    </row>
    <row r="40" spans="1:11" x14ac:dyDescent="0.3">
      <c r="A40" s="292" t="s">
        <v>563</v>
      </c>
      <c r="B40" s="292" t="s">
        <v>268</v>
      </c>
      <c r="C40" s="292" t="s">
        <v>69</v>
      </c>
      <c r="D40" s="292" t="s">
        <v>122</v>
      </c>
      <c r="E40" s="292" t="s">
        <v>66</v>
      </c>
      <c r="F40">
        <v>1</v>
      </c>
      <c r="H40">
        <v>1</v>
      </c>
      <c r="J40">
        <v>1</v>
      </c>
      <c r="K40" t="s">
        <v>370</v>
      </c>
    </row>
    <row r="41" spans="1:11" x14ac:dyDescent="0.3">
      <c r="A41" s="292" t="s">
        <v>563</v>
      </c>
      <c r="B41" s="292" t="s">
        <v>268</v>
      </c>
      <c r="C41" s="292" t="s">
        <v>64</v>
      </c>
      <c r="D41" s="292" t="s">
        <v>275</v>
      </c>
      <c r="E41" s="292" t="s">
        <v>140</v>
      </c>
      <c r="F41">
        <v>0</v>
      </c>
      <c r="H41">
        <v>0</v>
      </c>
      <c r="J41">
        <v>0</v>
      </c>
      <c r="K41" t="s">
        <v>370</v>
      </c>
    </row>
    <row r="42" spans="1:11" x14ac:dyDescent="0.3">
      <c r="A42" s="292" t="s">
        <v>563</v>
      </c>
      <c r="B42" s="292" t="s">
        <v>268</v>
      </c>
      <c r="C42" s="292" t="s">
        <v>64</v>
      </c>
      <c r="D42" s="292" t="s">
        <v>124</v>
      </c>
      <c r="E42" s="292" t="s">
        <v>66</v>
      </c>
      <c r="F42">
        <v>0</v>
      </c>
      <c r="H42">
        <v>0</v>
      </c>
      <c r="J42">
        <v>0</v>
      </c>
      <c r="K42" t="s">
        <v>370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895F-D2E8-451D-B1E6-E4F83B03E090}">
  <dimension ref="A1:K46"/>
  <sheetViews>
    <sheetView workbookViewId="0">
      <selection activeCell="D49" sqref="D49"/>
    </sheetView>
  </sheetViews>
  <sheetFormatPr baseColWidth="10" defaultRowHeight="14.4" x14ac:dyDescent="0.3"/>
  <cols>
    <col min="1" max="1" width="32.44140625" bestFit="1" customWidth="1"/>
    <col min="2" max="2" width="20.33203125" bestFit="1" customWidth="1"/>
    <col min="3" max="3" width="24.6640625" bestFit="1" customWidth="1"/>
    <col min="4" max="4" width="71.21875" bestFit="1" customWidth="1"/>
    <col min="5" max="5" width="47.44140625" bestFit="1" customWidth="1"/>
    <col min="6" max="6" width="78.21875" bestFit="1" customWidth="1"/>
    <col min="7" max="7" width="80.88671875" bestFit="1" customWidth="1"/>
    <col min="8" max="8" width="8.33203125" bestFit="1" customWidth="1"/>
    <col min="9" max="9" width="20.5546875" bestFit="1" customWidth="1"/>
    <col min="10" max="10" width="24.77734375" bestFit="1" customWidth="1"/>
    <col min="11" max="11" width="11.664062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2</v>
      </c>
      <c r="I1" t="s">
        <v>444</v>
      </c>
      <c r="J1" t="s">
        <v>367</v>
      </c>
      <c r="K1" t="s">
        <v>393</v>
      </c>
    </row>
    <row r="2" spans="1:11" x14ac:dyDescent="0.3">
      <c r="A2" s="292" t="s">
        <v>555</v>
      </c>
      <c r="B2" s="292" t="s">
        <v>117</v>
      </c>
      <c r="C2" s="292" t="s">
        <v>58</v>
      </c>
      <c r="D2" s="292" t="s">
        <v>90</v>
      </c>
      <c r="E2" s="292" t="s">
        <v>65</v>
      </c>
      <c r="F2">
        <v>9</v>
      </c>
      <c r="H2">
        <v>9</v>
      </c>
      <c r="J2">
        <v>9</v>
      </c>
      <c r="K2" s="292" t="s">
        <v>370</v>
      </c>
    </row>
    <row r="3" spans="1:11" x14ac:dyDescent="0.3">
      <c r="A3" s="292" t="s">
        <v>555</v>
      </c>
      <c r="B3" s="292" t="s">
        <v>117</v>
      </c>
      <c r="C3" s="292" t="s">
        <v>58</v>
      </c>
      <c r="D3" s="292" t="s">
        <v>223</v>
      </c>
      <c r="E3" s="292" t="s">
        <v>65</v>
      </c>
      <c r="F3">
        <v>5</v>
      </c>
      <c r="H3">
        <v>5</v>
      </c>
      <c r="J3">
        <v>5</v>
      </c>
      <c r="K3" s="292" t="s">
        <v>370</v>
      </c>
    </row>
    <row r="4" spans="1:11" x14ac:dyDescent="0.3">
      <c r="A4" s="292" t="s">
        <v>555</v>
      </c>
      <c r="B4" s="292" t="s">
        <v>117</v>
      </c>
      <c r="C4" s="292" t="s">
        <v>58</v>
      </c>
      <c r="D4" s="292" t="s">
        <v>172</v>
      </c>
      <c r="E4" s="292" t="s">
        <v>66</v>
      </c>
      <c r="F4">
        <v>3</v>
      </c>
      <c r="H4">
        <v>3</v>
      </c>
      <c r="J4">
        <v>3</v>
      </c>
      <c r="K4" s="292" t="s">
        <v>370</v>
      </c>
    </row>
    <row r="5" spans="1:11" x14ac:dyDescent="0.3">
      <c r="A5" s="292" t="s">
        <v>555</v>
      </c>
      <c r="B5" s="292" t="s">
        <v>117</v>
      </c>
      <c r="C5" s="292" t="s">
        <v>58</v>
      </c>
      <c r="D5" s="292" t="s">
        <v>91</v>
      </c>
      <c r="E5" s="292" t="s">
        <v>66</v>
      </c>
      <c r="F5">
        <v>8</v>
      </c>
      <c r="H5">
        <v>8</v>
      </c>
      <c r="J5">
        <v>8</v>
      </c>
      <c r="K5" s="292" t="s">
        <v>370</v>
      </c>
    </row>
    <row r="6" spans="1:11" x14ac:dyDescent="0.3">
      <c r="A6" s="292" t="s">
        <v>555</v>
      </c>
      <c r="B6" s="292" t="s">
        <v>117</v>
      </c>
      <c r="C6" s="292" t="s">
        <v>58</v>
      </c>
      <c r="D6" s="292" t="s">
        <v>225</v>
      </c>
      <c r="E6" s="292" t="s">
        <v>66</v>
      </c>
      <c r="F6">
        <v>2</v>
      </c>
      <c r="H6">
        <v>2</v>
      </c>
      <c r="J6">
        <v>2</v>
      </c>
      <c r="K6" s="292" t="s">
        <v>370</v>
      </c>
    </row>
    <row r="7" spans="1:11" x14ac:dyDescent="0.3">
      <c r="A7" s="292" t="s">
        <v>555</v>
      </c>
      <c r="B7" s="292" t="s">
        <v>117</v>
      </c>
      <c r="C7" s="292" t="s">
        <v>58</v>
      </c>
      <c r="D7" s="292" t="s">
        <v>227</v>
      </c>
      <c r="E7" s="292" t="s">
        <v>66</v>
      </c>
      <c r="F7">
        <v>2</v>
      </c>
      <c r="H7">
        <v>2</v>
      </c>
      <c r="J7">
        <v>2</v>
      </c>
      <c r="K7" s="292" t="s">
        <v>370</v>
      </c>
    </row>
    <row r="8" spans="1:11" x14ac:dyDescent="0.3">
      <c r="A8" s="292" t="s">
        <v>555</v>
      </c>
      <c r="B8" s="292" t="s">
        <v>117</v>
      </c>
      <c r="C8" s="292" t="s">
        <v>58</v>
      </c>
      <c r="D8" s="292" t="s">
        <v>94</v>
      </c>
      <c r="E8" s="292" t="s">
        <v>66</v>
      </c>
      <c r="F8">
        <v>2</v>
      </c>
      <c r="H8">
        <v>2</v>
      </c>
      <c r="J8">
        <v>2</v>
      </c>
      <c r="K8" s="292" t="s">
        <v>370</v>
      </c>
    </row>
    <row r="9" spans="1:11" x14ac:dyDescent="0.3">
      <c r="A9" s="292" t="s">
        <v>555</v>
      </c>
      <c r="B9" s="292" t="s">
        <v>117</v>
      </c>
      <c r="C9" s="292" t="s">
        <v>58</v>
      </c>
      <c r="D9" s="292" t="s">
        <v>462</v>
      </c>
      <c r="E9" s="292" t="s">
        <v>66</v>
      </c>
      <c r="F9">
        <v>2</v>
      </c>
      <c r="H9">
        <v>2</v>
      </c>
      <c r="J9">
        <v>2</v>
      </c>
      <c r="K9" s="292" t="s">
        <v>370</v>
      </c>
    </row>
    <row r="10" spans="1:11" x14ac:dyDescent="0.3">
      <c r="A10" s="292" t="s">
        <v>555</v>
      </c>
      <c r="B10" s="292" t="s">
        <v>117</v>
      </c>
      <c r="C10" s="292" t="s">
        <v>58</v>
      </c>
      <c r="D10" s="292" t="s">
        <v>95</v>
      </c>
      <c r="E10" s="292" t="s">
        <v>66</v>
      </c>
      <c r="F10">
        <v>9</v>
      </c>
      <c r="H10">
        <v>9</v>
      </c>
      <c r="J10">
        <v>9</v>
      </c>
      <c r="K10" s="292" t="s">
        <v>370</v>
      </c>
    </row>
    <row r="11" spans="1:11" x14ac:dyDescent="0.3">
      <c r="A11" s="292" t="s">
        <v>555</v>
      </c>
      <c r="B11" s="292" t="s">
        <v>117</v>
      </c>
      <c r="C11" s="292" t="s">
        <v>58</v>
      </c>
      <c r="D11" s="292" t="s">
        <v>226</v>
      </c>
      <c r="E11" s="292" t="s">
        <v>66</v>
      </c>
      <c r="F11">
        <v>5</v>
      </c>
      <c r="H11">
        <v>5</v>
      </c>
      <c r="J11">
        <v>5</v>
      </c>
      <c r="K11" s="292" t="s">
        <v>370</v>
      </c>
    </row>
    <row r="12" spans="1:11" x14ac:dyDescent="0.3">
      <c r="A12" s="292" t="s">
        <v>555</v>
      </c>
      <c r="B12" s="292" t="s">
        <v>117</v>
      </c>
      <c r="C12" s="292" t="s">
        <v>58</v>
      </c>
      <c r="D12" s="292" t="s">
        <v>99</v>
      </c>
      <c r="E12" s="292" t="s">
        <v>66</v>
      </c>
      <c r="F12">
        <v>1</v>
      </c>
      <c r="H12">
        <v>1</v>
      </c>
      <c r="J12">
        <v>1</v>
      </c>
      <c r="K12" s="292" t="s">
        <v>370</v>
      </c>
    </row>
    <row r="13" spans="1:11" x14ac:dyDescent="0.3">
      <c r="A13" s="292" t="s">
        <v>555</v>
      </c>
      <c r="B13" s="292" t="s">
        <v>117</v>
      </c>
      <c r="C13" s="292" t="s">
        <v>58</v>
      </c>
      <c r="D13" s="292" t="s">
        <v>98</v>
      </c>
      <c r="E13" s="292" t="s">
        <v>66</v>
      </c>
      <c r="F13">
        <v>2</v>
      </c>
      <c r="H13">
        <v>2</v>
      </c>
      <c r="J13">
        <v>2</v>
      </c>
      <c r="K13" s="292" t="s">
        <v>370</v>
      </c>
    </row>
    <row r="14" spans="1:11" x14ac:dyDescent="0.3">
      <c r="A14" s="292" t="s">
        <v>555</v>
      </c>
      <c r="B14" s="292" t="s">
        <v>117</v>
      </c>
      <c r="C14" s="292" t="s">
        <v>58</v>
      </c>
      <c r="D14" s="292" t="s">
        <v>224</v>
      </c>
      <c r="E14" s="292" t="s">
        <v>66</v>
      </c>
      <c r="F14">
        <v>0</v>
      </c>
      <c r="G14">
        <v>3</v>
      </c>
      <c r="H14">
        <v>3</v>
      </c>
      <c r="J14">
        <v>3</v>
      </c>
      <c r="K14" s="292" t="s">
        <v>370</v>
      </c>
    </row>
    <row r="15" spans="1:11" x14ac:dyDescent="0.3">
      <c r="A15" s="292" t="s">
        <v>555</v>
      </c>
      <c r="B15" s="292" t="s">
        <v>117</v>
      </c>
      <c r="C15" s="292" t="s">
        <v>21</v>
      </c>
      <c r="D15" s="292" t="s">
        <v>139</v>
      </c>
      <c r="E15" s="292" t="s">
        <v>140</v>
      </c>
      <c r="F15">
        <v>0</v>
      </c>
      <c r="H15">
        <v>0</v>
      </c>
      <c r="J15">
        <v>0</v>
      </c>
      <c r="K15" s="292" t="s">
        <v>370</v>
      </c>
    </row>
    <row r="16" spans="1:11" x14ac:dyDescent="0.3">
      <c r="A16" s="292" t="s">
        <v>555</v>
      </c>
      <c r="B16" s="292" t="s">
        <v>117</v>
      </c>
      <c r="C16" s="292" t="s">
        <v>21</v>
      </c>
      <c r="D16" s="292" t="s">
        <v>291</v>
      </c>
      <c r="E16" s="292" t="s">
        <v>140</v>
      </c>
      <c r="F16">
        <v>0</v>
      </c>
      <c r="H16">
        <v>0</v>
      </c>
      <c r="J16">
        <v>0</v>
      </c>
      <c r="K16" s="292" t="s">
        <v>370</v>
      </c>
    </row>
    <row r="17" spans="1:11" x14ac:dyDescent="0.3">
      <c r="A17" s="292" t="s">
        <v>555</v>
      </c>
      <c r="B17" s="292" t="s">
        <v>117</v>
      </c>
      <c r="C17" s="292" t="s">
        <v>21</v>
      </c>
      <c r="D17" s="292" t="s">
        <v>292</v>
      </c>
      <c r="E17" s="292" t="s">
        <v>140</v>
      </c>
      <c r="F17">
        <v>0</v>
      </c>
      <c r="G17">
        <v>2</v>
      </c>
      <c r="H17">
        <v>2</v>
      </c>
      <c r="J17">
        <v>2</v>
      </c>
      <c r="K17" s="292" t="s">
        <v>370</v>
      </c>
    </row>
    <row r="18" spans="1:11" x14ac:dyDescent="0.3">
      <c r="A18" s="292" t="s">
        <v>555</v>
      </c>
      <c r="B18" s="292" t="s">
        <v>117</v>
      </c>
      <c r="C18" s="292" t="s">
        <v>21</v>
      </c>
      <c r="D18" s="292" t="s">
        <v>556</v>
      </c>
      <c r="E18" s="292" t="s">
        <v>269</v>
      </c>
      <c r="F18">
        <v>6.5</v>
      </c>
      <c r="H18">
        <v>6.5</v>
      </c>
      <c r="J18">
        <v>6.5</v>
      </c>
      <c r="K18" s="292" t="s">
        <v>370</v>
      </c>
    </row>
    <row r="19" spans="1:11" x14ac:dyDescent="0.3">
      <c r="A19" s="292" t="s">
        <v>555</v>
      </c>
      <c r="B19" s="292" t="s">
        <v>117</v>
      </c>
      <c r="C19" s="292" t="s">
        <v>21</v>
      </c>
      <c r="D19" s="292" t="s">
        <v>281</v>
      </c>
      <c r="E19" s="292" t="s">
        <v>65</v>
      </c>
      <c r="F19">
        <v>0</v>
      </c>
      <c r="G19">
        <v>10</v>
      </c>
      <c r="H19">
        <v>10</v>
      </c>
      <c r="J19">
        <v>10</v>
      </c>
      <c r="K19" s="292" t="s">
        <v>370</v>
      </c>
    </row>
    <row r="20" spans="1:11" x14ac:dyDescent="0.3">
      <c r="A20" s="292" t="s">
        <v>555</v>
      </c>
      <c r="B20" s="292" t="s">
        <v>117</v>
      </c>
      <c r="C20" s="292" t="s">
        <v>21</v>
      </c>
      <c r="D20" s="292" t="s">
        <v>557</v>
      </c>
      <c r="E20" s="292" t="s">
        <v>269</v>
      </c>
      <c r="F20">
        <v>27</v>
      </c>
      <c r="H20">
        <v>27</v>
      </c>
      <c r="J20">
        <v>27</v>
      </c>
      <c r="K20" s="292" t="s">
        <v>370</v>
      </c>
    </row>
    <row r="21" spans="1:11" x14ac:dyDescent="0.3">
      <c r="A21" s="292" t="s">
        <v>555</v>
      </c>
      <c r="B21" s="292" t="s">
        <v>117</v>
      </c>
      <c r="C21" s="292" t="s">
        <v>21</v>
      </c>
      <c r="D21" s="292" t="s">
        <v>120</v>
      </c>
      <c r="E21" s="292" t="s">
        <v>66</v>
      </c>
      <c r="F21">
        <v>4</v>
      </c>
      <c r="H21">
        <v>4</v>
      </c>
      <c r="J21">
        <v>4</v>
      </c>
      <c r="K21" s="292" t="s">
        <v>370</v>
      </c>
    </row>
    <row r="22" spans="1:11" x14ac:dyDescent="0.3">
      <c r="A22" s="292" t="s">
        <v>555</v>
      </c>
      <c r="B22" s="292" t="s">
        <v>117</v>
      </c>
      <c r="C22" s="292" t="s">
        <v>21</v>
      </c>
      <c r="D22" s="292" t="s">
        <v>133</v>
      </c>
      <c r="E22" s="292" t="s">
        <v>66</v>
      </c>
      <c r="F22">
        <v>0</v>
      </c>
      <c r="H22">
        <v>0</v>
      </c>
      <c r="J22">
        <v>0</v>
      </c>
      <c r="K22" s="292" t="s">
        <v>370</v>
      </c>
    </row>
    <row r="23" spans="1:11" x14ac:dyDescent="0.3">
      <c r="A23" s="292" t="s">
        <v>555</v>
      </c>
      <c r="B23" s="292" t="s">
        <v>117</v>
      </c>
      <c r="C23" s="292" t="s">
        <v>21</v>
      </c>
      <c r="D23" s="292" t="s">
        <v>88</v>
      </c>
      <c r="E23" s="292" t="s">
        <v>66</v>
      </c>
      <c r="F23">
        <v>6</v>
      </c>
      <c r="H23">
        <v>6</v>
      </c>
      <c r="J23">
        <v>6</v>
      </c>
      <c r="K23" s="292" t="s">
        <v>370</v>
      </c>
    </row>
    <row r="24" spans="1:11" x14ac:dyDescent="0.3">
      <c r="A24" s="292" t="s">
        <v>555</v>
      </c>
      <c r="B24" s="292" t="s">
        <v>117</v>
      </c>
      <c r="C24" s="292" t="s">
        <v>21</v>
      </c>
      <c r="D24" s="292" t="s">
        <v>130</v>
      </c>
      <c r="E24" s="292" t="s">
        <v>66</v>
      </c>
      <c r="F24">
        <v>0</v>
      </c>
      <c r="G24">
        <v>9</v>
      </c>
      <c r="H24">
        <v>9</v>
      </c>
      <c r="J24">
        <v>9</v>
      </c>
      <c r="K24" s="292" t="s">
        <v>370</v>
      </c>
    </row>
    <row r="25" spans="1:11" x14ac:dyDescent="0.3">
      <c r="A25" s="292" t="s">
        <v>555</v>
      </c>
      <c r="B25" s="292" t="s">
        <v>117</v>
      </c>
      <c r="C25" s="292" t="s">
        <v>21</v>
      </c>
      <c r="D25" s="292" t="s">
        <v>221</v>
      </c>
      <c r="E25" s="292" t="s">
        <v>66</v>
      </c>
      <c r="F25">
        <v>1</v>
      </c>
      <c r="H25">
        <v>1</v>
      </c>
      <c r="J25">
        <v>1</v>
      </c>
      <c r="K25" s="292" t="s">
        <v>370</v>
      </c>
    </row>
    <row r="26" spans="1:11" x14ac:dyDescent="0.3">
      <c r="A26" s="292" t="s">
        <v>555</v>
      </c>
      <c r="B26" s="292" t="s">
        <v>117</v>
      </c>
      <c r="C26" s="292" t="s">
        <v>21</v>
      </c>
      <c r="D26" s="292" t="s">
        <v>119</v>
      </c>
      <c r="E26" s="292" t="s">
        <v>66</v>
      </c>
      <c r="F26">
        <v>0</v>
      </c>
      <c r="H26">
        <v>0</v>
      </c>
      <c r="J26">
        <v>0</v>
      </c>
      <c r="K26" s="292" t="s">
        <v>370</v>
      </c>
    </row>
    <row r="27" spans="1:11" x14ac:dyDescent="0.3">
      <c r="A27" s="292" t="s">
        <v>555</v>
      </c>
      <c r="B27" s="292" t="s">
        <v>117</v>
      </c>
      <c r="C27" s="292" t="s">
        <v>21</v>
      </c>
      <c r="D27" s="292" t="s">
        <v>222</v>
      </c>
      <c r="E27" s="292" t="s">
        <v>66</v>
      </c>
      <c r="F27">
        <v>3</v>
      </c>
      <c r="H27">
        <v>3</v>
      </c>
      <c r="J27">
        <v>3</v>
      </c>
      <c r="K27" s="292" t="s">
        <v>370</v>
      </c>
    </row>
    <row r="28" spans="1:11" x14ac:dyDescent="0.3">
      <c r="A28" s="292" t="s">
        <v>555</v>
      </c>
      <c r="B28" s="292" t="s">
        <v>117</v>
      </c>
      <c r="C28" s="292" t="s">
        <v>21</v>
      </c>
      <c r="D28" s="292" t="s">
        <v>89</v>
      </c>
      <c r="E28" s="292" t="s">
        <v>66</v>
      </c>
      <c r="F28">
        <v>0</v>
      </c>
      <c r="H28">
        <v>0</v>
      </c>
      <c r="J28">
        <v>0</v>
      </c>
      <c r="K28" s="292" t="s">
        <v>370</v>
      </c>
    </row>
    <row r="29" spans="1:11" x14ac:dyDescent="0.3">
      <c r="A29" s="292" t="s">
        <v>555</v>
      </c>
      <c r="B29" s="292" t="s">
        <v>117</v>
      </c>
      <c r="C29" s="292" t="s">
        <v>121</v>
      </c>
      <c r="D29" s="292" t="s">
        <v>558</v>
      </c>
      <c r="E29" s="292" t="s">
        <v>66</v>
      </c>
      <c r="F29">
        <v>7</v>
      </c>
      <c r="H29">
        <v>7</v>
      </c>
      <c r="J29">
        <v>7</v>
      </c>
      <c r="K29" s="292" t="s">
        <v>370</v>
      </c>
    </row>
    <row r="30" spans="1:11" x14ac:dyDescent="0.3">
      <c r="A30" s="292" t="s">
        <v>555</v>
      </c>
      <c r="B30" s="292" t="s">
        <v>117</v>
      </c>
      <c r="C30" s="292" t="s">
        <v>121</v>
      </c>
      <c r="D30" s="292" t="s">
        <v>192</v>
      </c>
      <c r="E30" s="292" t="s">
        <v>66</v>
      </c>
      <c r="F30">
        <v>1</v>
      </c>
      <c r="H30">
        <v>1</v>
      </c>
      <c r="J30">
        <v>1</v>
      </c>
      <c r="K30" s="292" t="s">
        <v>370</v>
      </c>
    </row>
    <row r="31" spans="1:11" x14ac:dyDescent="0.3">
      <c r="A31" s="292" t="s">
        <v>555</v>
      </c>
      <c r="B31" s="292" t="s">
        <v>117</v>
      </c>
      <c r="C31" s="292" t="s">
        <v>121</v>
      </c>
      <c r="D31" s="292" t="s">
        <v>559</v>
      </c>
      <c r="E31" s="292" t="s">
        <v>66</v>
      </c>
      <c r="F31">
        <v>0</v>
      </c>
      <c r="G31">
        <v>2</v>
      </c>
      <c r="H31">
        <v>2</v>
      </c>
      <c r="J31">
        <v>2</v>
      </c>
      <c r="K31" s="292" t="s">
        <v>370</v>
      </c>
    </row>
    <row r="32" spans="1:11" x14ac:dyDescent="0.3">
      <c r="A32" s="292" t="s">
        <v>555</v>
      </c>
      <c r="B32" s="292" t="s">
        <v>117</v>
      </c>
      <c r="C32" s="292" t="s">
        <v>70</v>
      </c>
      <c r="D32" s="292" t="s">
        <v>560</v>
      </c>
      <c r="E32" s="292" t="s">
        <v>66</v>
      </c>
      <c r="F32">
        <v>18</v>
      </c>
      <c r="H32">
        <v>18</v>
      </c>
      <c r="J32">
        <v>18</v>
      </c>
      <c r="K32" s="292" t="s">
        <v>370</v>
      </c>
    </row>
    <row r="33" spans="1:11" x14ac:dyDescent="0.3">
      <c r="A33" s="292" t="s">
        <v>555</v>
      </c>
      <c r="B33" s="292" t="s">
        <v>117</v>
      </c>
      <c r="C33" s="292" t="s">
        <v>70</v>
      </c>
      <c r="D33" s="292" t="s">
        <v>104</v>
      </c>
      <c r="E33" s="292" t="s">
        <v>66</v>
      </c>
      <c r="F33">
        <v>2</v>
      </c>
      <c r="H33">
        <v>2</v>
      </c>
      <c r="J33">
        <v>2</v>
      </c>
      <c r="K33" s="292" t="s">
        <v>370</v>
      </c>
    </row>
    <row r="34" spans="1:11" x14ac:dyDescent="0.3">
      <c r="A34" s="292" t="s">
        <v>555</v>
      </c>
      <c r="B34" s="292" t="s">
        <v>117</v>
      </c>
      <c r="C34" s="292" t="s">
        <v>70</v>
      </c>
      <c r="D34" s="292" t="s">
        <v>103</v>
      </c>
      <c r="E34" s="292" t="s">
        <v>66</v>
      </c>
      <c r="F34">
        <v>2</v>
      </c>
      <c r="H34">
        <v>2</v>
      </c>
      <c r="J34">
        <v>2</v>
      </c>
      <c r="K34" s="292" t="s">
        <v>370</v>
      </c>
    </row>
    <row r="35" spans="1:11" x14ac:dyDescent="0.3">
      <c r="A35" s="292" t="s">
        <v>555</v>
      </c>
      <c r="B35" s="292" t="s">
        <v>117</v>
      </c>
      <c r="C35" s="292" t="s">
        <v>70</v>
      </c>
      <c r="D35" s="292" t="s">
        <v>561</v>
      </c>
      <c r="E35" s="292" t="s">
        <v>66</v>
      </c>
      <c r="F35">
        <v>2</v>
      </c>
      <c r="H35">
        <v>2</v>
      </c>
      <c r="J35">
        <v>2</v>
      </c>
      <c r="K35" s="292" t="s">
        <v>370</v>
      </c>
    </row>
    <row r="36" spans="1:11" x14ac:dyDescent="0.3">
      <c r="A36" s="292" t="s">
        <v>555</v>
      </c>
      <c r="B36" s="292" t="s">
        <v>117</v>
      </c>
      <c r="C36" s="292" t="s">
        <v>70</v>
      </c>
      <c r="D36" s="292" t="s">
        <v>228</v>
      </c>
      <c r="E36" s="292" t="s">
        <v>66</v>
      </c>
      <c r="F36">
        <v>4</v>
      </c>
      <c r="H36">
        <v>4</v>
      </c>
      <c r="J36">
        <v>4</v>
      </c>
      <c r="K36" s="292" t="s">
        <v>370</v>
      </c>
    </row>
    <row r="37" spans="1:11" x14ac:dyDescent="0.3">
      <c r="A37" s="292" t="s">
        <v>555</v>
      </c>
      <c r="B37" s="292" t="s">
        <v>117</v>
      </c>
      <c r="C37" s="292" t="s">
        <v>69</v>
      </c>
      <c r="D37" s="292" t="s">
        <v>108</v>
      </c>
      <c r="E37" s="292" t="s">
        <v>66</v>
      </c>
      <c r="F37">
        <v>6</v>
      </c>
      <c r="H37">
        <v>6</v>
      </c>
      <c r="J37">
        <v>6</v>
      </c>
      <c r="K37" s="292" t="s">
        <v>370</v>
      </c>
    </row>
    <row r="38" spans="1:11" x14ac:dyDescent="0.3">
      <c r="A38" s="292" t="s">
        <v>555</v>
      </c>
      <c r="B38" s="292" t="s">
        <v>117</v>
      </c>
      <c r="C38" s="292" t="s">
        <v>69</v>
      </c>
      <c r="D38" s="292" t="s">
        <v>109</v>
      </c>
      <c r="E38" s="292" t="s">
        <v>66</v>
      </c>
      <c r="F38">
        <v>9</v>
      </c>
      <c r="H38">
        <v>9</v>
      </c>
      <c r="J38">
        <v>9</v>
      </c>
      <c r="K38" s="292" t="s">
        <v>370</v>
      </c>
    </row>
    <row r="39" spans="1:11" x14ac:dyDescent="0.3">
      <c r="A39" s="292" t="s">
        <v>555</v>
      </c>
      <c r="B39" s="292" t="s">
        <v>117</v>
      </c>
      <c r="C39" s="292" t="s">
        <v>69</v>
      </c>
      <c r="D39" s="292" t="s">
        <v>107</v>
      </c>
      <c r="E39" s="292" t="s">
        <v>66</v>
      </c>
      <c r="F39">
        <v>3</v>
      </c>
      <c r="H39">
        <v>3</v>
      </c>
      <c r="J39">
        <v>3</v>
      </c>
      <c r="K39" s="292" t="s">
        <v>370</v>
      </c>
    </row>
    <row r="40" spans="1:11" x14ac:dyDescent="0.3">
      <c r="A40" s="292" t="s">
        <v>555</v>
      </c>
      <c r="B40" s="292" t="s">
        <v>117</v>
      </c>
      <c r="C40" s="292" t="s">
        <v>69</v>
      </c>
      <c r="D40" s="292" t="s">
        <v>562</v>
      </c>
      <c r="E40" s="292" t="s">
        <v>66</v>
      </c>
      <c r="F40">
        <v>2</v>
      </c>
      <c r="H40">
        <v>2</v>
      </c>
      <c r="J40">
        <v>2</v>
      </c>
      <c r="K40" s="292" t="s">
        <v>370</v>
      </c>
    </row>
    <row r="41" spans="1:11" x14ac:dyDescent="0.3">
      <c r="A41" s="292" t="s">
        <v>555</v>
      </c>
      <c r="B41" s="292" t="s">
        <v>117</v>
      </c>
      <c r="C41" s="292" t="s">
        <v>69</v>
      </c>
      <c r="D41" s="292" t="s">
        <v>113</v>
      </c>
      <c r="E41" s="292" t="s">
        <v>66</v>
      </c>
      <c r="F41">
        <v>1</v>
      </c>
      <c r="H41">
        <v>1</v>
      </c>
      <c r="J41">
        <v>1</v>
      </c>
      <c r="K41" s="292" t="s">
        <v>370</v>
      </c>
    </row>
    <row r="42" spans="1:11" x14ac:dyDescent="0.3">
      <c r="A42" s="292" t="s">
        <v>555</v>
      </c>
      <c r="B42" s="292" t="s">
        <v>117</v>
      </c>
      <c r="C42" s="292" t="s">
        <v>69</v>
      </c>
      <c r="D42" s="292" t="s">
        <v>364</v>
      </c>
      <c r="E42" s="292" t="s">
        <v>66</v>
      </c>
      <c r="F42">
        <v>4</v>
      </c>
      <c r="H42">
        <v>4</v>
      </c>
      <c r="J42">
        <v>4</v>
      </c>
      <c r="K42" s="292" t="s">
        <v>370</v>
      </c>
    </row>
    <row r="43" spans="1:11" x14ac:dyDescent="0.3">
      <c r="A43" s="292" t="s">
        <v>555</v>
      </c>
      <c r="B43" s="292" t="s">
        <v>117</v>
      </c>
      <c r="C43" s="292" t="s">
        <v>71</v>
      </c>
      <c r="D43" s="292" t="s">
        <v>114</v>
      </c>
      <c r="E43" s="292" t="s">
        <v>66</v>
      </c>
      <c r="F43">
        <v>3</v>
      </c>
      <c r="H43">
        <v>3</v>
      </c>
      <c r="J43">
        <v>3</v>
      </c>
      <c r="K43" s="292" t="s">
        <v>370</v>
      </c>
    </row>
    <row r="44" spans="1:11" x14ac:dyDescent="0.3">
      <c r="A44" s="292" t="s">
        <v>555</v>
      </c>
      <c r="B44" s="292" t="s">
        <v>117</v>
      </c>
      <c r="C44" s="292" t="s">
        <v>71</v>
      </c>
      <c r="D44" s="292" t="s">
        <v>116</v>
      </c>
      <c r="E44" s="292" t="s">
        <v>66</v>
      </c>
      <c r="F44">
        <v>4</v>
      </c>
      <c r="H44">
        <v>4</v>
      </c>
      <c r="J44">
        <v>4</v>
      </c>
      <c r="K44" s="292" t="s">
        <v>370</v>
      </c>
    </row>
    <row r="45" spans="1:11" x14ac:dyDescent="0.3">
      <c r="A45" s="292" t="s">
        <v>555</v>
      </c>
      <c r="B45" s="292" t="s">
        <v>117</v>
      </c>
      <c r="C45" s="292" t="s">
        <v>64</v>
      </c>
      <c r="D45" s="292" t="s">
        <v>275</v>
      </c>
      <c r="E45" s="292" t="s">
        <v>140</v>
      </c>
      <c r="F45">
        <v>0</v>
      </c>
      <c r="H45">
        <v>0</v>
      </c>
      <c r="J45">
        <v>0</v>
      </c>
      <c r="K45" s="292" t="s">
        <v>370</v>
      </c>
    </row>
    <row r="46" spans="1:11" x14ac:dyDescent="0.3">
      <c r="A46" s="292" t="s">
        <v>555</v>
      </c>
      <c r="B46" s="292" t="s">
        <v>117</v>
      </c>
      <c r="C46" s="292" t="s">
        <v>64</v>
      </c>
      <c r="D46" s="292" t="s">
        <v>124</v>
      </c>
      <c r="E46" s="292" t="s">
        <v>66</v>
      </c>
      <c r="F46">
        <v>0</v>
      </c>
      <c r="H46">
        <v>0</v>
      </c>
      <c r="J46">
        <v>0</v>
      </c>
      <c r="K46" s="292" t="s">
        <v>370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9CD2-FA26-43B9-A370-89250A729E12}">
  <sheetPr>
    <pageSetUpPr fitToPage="1"/>
  </sheetPr>
  <dimension ref="A1:R112"/>
  <sheetViews>
    <sheetView tabSelected="1" zoomScale="61" zoomScaleNormal="70" zoomScaleSheetLayoutView="70" workbookViewId="0">
      <pane ySplit="1" topLeftCell="A2" activePane="bottomLeft" state="frozen"/>
      <selection activeCell="C4" sqref="C4"/>
      <selection pane="bottomLeft" activeCell="A11" sqref="A11"/>
    </sheetView>
  </sheetViews>
  <sheetFormatPr baseColWidth="10" defaultRowHeight="23.4" outlineLevelCol="1" x14ac:dyDescent="0.45"/>
  <cols>
    <col min="1" max="1" width="110.44140625" style="98" customWidth="1"/>
    <col min="2" max="2" width="90.88671875" style="266" customWidth="1"/>
    <col min="3" max="3" width="20.109375" style="49" customWidth="1" outlineLevel="1"/>
    <col min="4" max="4" width="19.6640625" style="49" customWidth="1" outlineLevel="1"/>
    <col min="5" max="5" width="13" style="49" customWidth="1" outlineLevel="1"/>
    <col min="6" max="6" width="16.44140625" style="49" customWidth="1" outlineLevel="1"/>
    <col min="7" max="7" width="17.5546875" style="49" customWidth="1" outlineLevel="1"/>
    <col min="8" max="8" width="13" style="49" customWidth="1" outlineLevel="1"/>
    <col min="9" max="9" width="21.33203125" style="49" customWidth="1" outlineLevel="1"/>
    <col min="10" max="10" width="14.33203125" style="225" customWidth="1"/>
    <col min="11" max="11" width="13.44140625" style="226" customWidth="1"/>
    <col min="12" max="12" width="30.33203125" style="99" bestFit="1" customWidth="1"/>
    <col min="13" max="13" width="20.33203125" style="227" customWidth="1"/>
    <col min="14" max="14" width="22.5546875" style="226" hidden="1" customWidth="1"/>
    <col min="15" max="15" width="19.44140625" style="274" customWidth="1"/>
    <col min="16" max="16" width="24.33203125" customWidth="1"/>
    <col min="18" max="18" width="17.44140625" customWidth="1"/>
  </cols>
  <sheetData>
    <row r="1" spans="1:18" ht="52.5" customHeight="1" thickBot="1" x14ac:dyDescent="0.35">
      <c r="A1" s="294" t="s">
        <v>27</v>
      </c>
      <c r="B1" s="295" t="s">
        <v>20</v>
      </c>
      <c r="C1" s="293" t="s">
        <v>21</v>
      </c>
      <c r="D1" s="293" t="s">
        <v>58</v>
      </c>
      <c r="E1" s="293" t="s">
        <v>71</v>
      </c>
      <c r="F1" s="293" t="s">
        <v>69</v>
      </c>
      <c r="G1" s="293" t="s">
        <v>70</v>
      </c>
      <c r="H1" s="293" t="s">
        <v>121</v>
      </c>
      <c r="I1" s="293" t="s">
        <v>64</v>
      </c>
      <c r="J1" s="296" t="s">
        <v>261</v>
      </c>
      <c r="K1" s="297" t="s">
        <v>22</v>
      </c>
      <c r="L1" s="297" t="s">
        <v>23</v>
      </c>
      <c r="M1" s="297" t="s">
        <v>56</v>
      </c>
      <c r="N1" s="297" t="s">
        <v>452</v>
      </c>
      <c r="O1" s="298" t="s">
        <v>363</v>
      </c>
    </row>
    <row r="2" spans="1:18" s="7" customFormat="1" ht="18" customHeight="1" x14ac:dyDescent="0.4">
      <c r="A2" s="60" t="str">
        <f>MH_LMM5_La_Victoria_Carmen_Baq[[#This Row],[NOMBRE DE PROYECTO]]</f>
        <v>LMM5 - La Victoria - Carmen Baquerizo</v>
      </c>
      <c r="B2" s="228" t="s">
        <v>369</v>
      </c>
      <c r="C2" s="45">
        <f>$J2*SUMIFS(
MH_LMM5_La_Victoria_Carmen_Baq[[TOTAL HORAS RESTANTES]:[TOTAL HORAS RESTANTES]],
MH_LMM5_La_Victoria_Carmen_Baq[[VERSIÓN]:[VERSIÓN]],
TRIM(CLEAN('HOJAS DE HORA PROY.'!$B2)),
MH_LMM5_La_Victoria_Carmen_Baq[ESPECIALIDAD],
TRIM(CLEAN('HOJAS DE HORA PROY.'!C$1)))</f>
        <v>0</v>
      </c>
      <c r="D2" s="45">
        <f>$J2*SUMIFS(
MH_LMM5_La_Victoria_Carmen_Baq[[TOTAL HORAS RESTANTES]:[TOTAL HORAS RESTANTES]],
MH_LMM5_La_Victoria_Carmen_Baq[[VERSIÓN]:[VERSIÓN]],
TRIM(CLEAN('HOJAS DE HORA PROY.'!$B2)),
MH_LMM5_La_Victoria_Carmen_Baq[PARTIDA],
TRIM(CLEAN('HOJAS DE HORA PROY.'!D$1)))</f>
        <v>0</v>
      </c>
      <c r="E2" s="45">
        <f>$J2*SUMIFS(
MH_LMM5_La_Victoria_Carmen_Baq[[TOTAL HORAS RESTANTES]:[TOTAL HORAS RESTANTES]],
MH_LMM5_La_Victoria_Carmen_Baq[[VERSIÓN]:[VERSIÓN]],
TRIM(CLEAN('HOJAS DE HORA PROY.'!$B2)),
MH_LMM5_La_Victoria_Carmen_Baq[VERSIÓN],
TRIM(CLEAN('HOJAS DE HORA PROY.'!E$1)))</f>
        <v>0</v>
      </c>
      <c r="F2" s="45">
        <f>$J2*SUMIFS(
MH_LMM5_La_Victoria_Carmen_Baq[[TOTAL HORAS RESTANTES]:[TOTAL HORAS RESTANTES]],
MH_LMM5_La_Victoria_Carmen_Baq[[VERSIÓN]:[VERSIÓN]],
TRIM(CLEAN('HOJAS DE HORA PROY.'!$B2)),
MH_LMM5_La_Victoria_Carmen_Baq[HORAS CALENDARIO TECNICOS LABORADOS PARA PERSONA CON RENDIMIENTO AL 100%],
TRIM(CLEAN('HOJAS DE HORA PROY.'!F$1)))</f>
        <v>0</v>
      </c>
      <c r="G2" s="45">
        <f>$J2*SUMIFS(
MH_LMM5_La_Victoria_Carmen_Baq[[TOTAL HORAS RESTANTES]:[TOTAL HORAS RESTANTES]],
MH_LMM5_La_Victoria_Carmen_Baq[[VERSIÓN]:[VERSIÓN]],
TRIM(CLEAN('HOJAS DE HORA PROY.'!$B2)),
MH_LMM5_La_Victoria_Carmen_Baq[HORAS CALENDARIO EN REUNIONES CON CLIENTES PARA PERSONA CON RENDIMIENTO AL 100%],
TRIM(CLEAN('HOJAS DE HORA PROY.'!G$1)))</f>
        <v>0</v>
      </c>
      <c r="H2" s="45">
        <f>$J2*SUMIFS(
MH_LMM5_La_Victoria_Carmen_Baq[[TOTAL HORAS RESTANTES]:[TOTAL HORAS RESTANTES]],
MH_LMM5_La_Victoria_Carmen_Baq[[VERSIÓN]:[VERSIÓN]],
TRIM(CLEAN('HOJAS DE HORA PROY.'!$B2)),
MH_LMM5_La_Victoria_Carmen_Baq[TOTAL],
TRIM(CLEAN('HOJAS DE HORA PROY.'!H$1)))</f>
        <v>0</v>
      </c>
      <c r="I2" s="45">
        <f>$J2*SUMIFS(
MH_LMM5_La_Victoria_Carmen_Baq[[TOTAL HORAS RESTANTES]:[TOTAL HORAS RESTANTES]],
MH_LMM5_La_Victoria_Carmen_Baq[[VERSIÓN]:[VERSIÓN]],
TRIM(CLEAN('HOJAS DE HORA PROY.'!$B2)),
MH_LMM5_La_Victoria_Carmen_Baq[HORAS ADICIONALES],
TRIM(CLEAN('HOJAS DE HORA PROY.'!I$1)))</f>
        <v>0</v>
      </c>
      <c r="J2" s="100">
        <v>1</v>
      </c>
      <c r="K2" s="101">
        <f t="shared" ref="K2:K26" si="0">SUM(C2:I2)*J2</f>
        <v>0</v>
      </c>
      <c r="L2" s="101"/>
      <c r="M2" s="102"/>
      <c r="N2" s="103" t="s">
        <v>331</v>
      </c>
      <c r="O2" s="267">
        <v>0</v>
      </c>
    </row>
    <row r="3" spans="1:18" s="7" customFormat="1" ht="18" customHeight="1" thickBot="1" x14ac:dyDescent="0.45">
      <c r="A3" s="61" t="str">
        <f>MH_LMM5_La_Victoria_Carmen_Baq[[#This Row],[NOMBRE DE PROYECTO]]</f>
        <v>LMM5 - La Victoria - Carmen Baquerizo</v>
      </c>
      <c r="B3" s="229" t="s">
        <v>83</v>
      </c>
      <c r="C3" s="46">
        <f>$J3*SUMIFS(
MH_LMM5_La_Victoria_Carmen_Baq[[TOTAL HORAS RESTANTES]:[TOTAL HORAS RESTANTES]],
MH_LMM5_La_Victoria_Carmen_Baq[[VERSIÓN]:[VERSIÓN]],
TRIM(CLEAN('HOJAS DE HORA PROY.'!$B3)),
MH_LMM5_La_Victoria_Carmen_Baq[ESPECIALIDAD],
TRIM(CLEAN('HOJAS DE HORA PROY.'!C$1)))</f>
        <v>0</v>
      </c>
      <c r="D3" s="46">
        <f>$J3*SUMIFS(
MH_LMM5_La_Victoria_Carmen_Baq[[TOTAL HORAS RESTANTES]:[TOTAL HORAS RESTANTES]],
MH_LMM5_La_Victoria_Carmen_Baq[[VERSIÓN]:[VERSIÓN]],
TRIM(CLEAN('HOJAS DE HORA PROY.'!$B3)),
MH_LMM5_La_Victoria_Carmen_Baq[PARTIDA],
TRIM(CLEAN('HOJAS DE HORA PROY.'!D$1)))</f>
        <v>0</v>
      </c>
      <c r="E3" s="46">
        <f>$J3*SUMIFS(
MH_LMM5_La_Victoria_Carmen_Baq[[TOTAL HORAS RESTANTES]:[TOTAL HORAS RESTANTES]],
MH_LMM5_La_Victoria_Carmen_Baq[[VERSIÓN]:[VERSIÓN]],
TRIM(CLEAN('HOJAS DE HORA PROY.'!$B3)),
MH_LMM5_La_Victoria_Carmen_Baq[VERSIÓN],
TRIM(CLEAN('HOJAS DE HORA PROY.'!E$1)))</f>
        <v>0</v>
      </c>
      <c r="F3" s="46">
        <f>$J3*SUMIFS(
MH_LMM5_La_Victoria_Carmen_Baq[[TOTAL HORAS RESTANTES]:[TOTAL HORAS RESTANTES]],
MH_LMM5_La_Victoria_Carmen_Baq[[VERSIÓN]:[VERSIÓN]],
TRIM(CLEAN('HOJAS DE HORA PROY.'!$B3)),
MH_LMM5_La_Victoria_Carmen_Baq[HORAS CALENDARIO TECNICOS LABORADOS PARA PERSONA CON RENDIMIENTO AL 100%],
TRIM(CLEAN('HOJAS DE HORA PROY.'!F$1)))</f>
        <v>0</v>
      </c>
      <c r="G3" s="46">
        <f>$J3*SUMIFS(
MH_LMM5_La_Victoria_Carmen_Baq[[TOTAL HORAS RESTANTES]:[TOTAL HORAS RESTANTES]],
MH_LMM5_La_Victoria_Carmen_Baq[[VERSIÓN]:[VERSIÓN]],
TRIM(CLEAN('HOJAS DE HORA PROY.'!$B3)),
MH_LMM5_La_Victoria_Carmen_Baq[HORAS CALENDARIO EN REUNIONES CON CLIENTES PARA PERSONA CON RENDIMIENTO AL 100%],
TRIM(CLEAN('HOJAS DE HORA PROY.'!G$1)))</f>
        <v>0</v>
      </c>
      <c r="H3" s="46">
        <f>$J3*SUMIFS(
MH_LMM5_La_Victoria_Carmen_Baq[[TOTAL HORAS RESTANTES]:[TOTAL HORAS RESTANTES]],
MH_LMM5_La_Victoria_Carmen_Baq[[VERSIÓN]:[VERSIÓN]],
TRIM(CLEAN('HOJAS DE HORA PROY.'!$B3)),
MH_LMM5_La_Victoria_Carmen_Baq[TOTAL],
TRIM(CLEAN('HOJAS DE HORA PROY.'!H$1)))</f>
        <v>0</v>
      </c>
      <c r="I3" s="46">
        <f>$J3*SUMIFS(
MH_LMM5_La_Victoria_Carmen_Baq[[TOTAL HORAS RESTANTES]:[TOTAL HORAS RESTANTES]],
MH_LMM5_La_Victoria_Carmen_Baq[[VERSIÓN]:[VERSIÓN]],
TRIM(CLEAN('HOJAS DE HORA PROY.'!$B3)),
MH_LMM5_La_Victoria_Carmen_Baq[HORAS ADICIONALES],
TRIM(CLEAN('HOJAS DE HORA PROY.'!I$1)))</f>
        <v>0</v>
      </c>
      <c r="J3" s="104">
        <v>1</v>
      </c>
      <c r="K3" s="105">
        <f t="shared" si="0"/>
        <v>0</v>
      </c>
      <c r="L3" s="105"/>
      <c r="M3" s="106"/>
      <c r="N3" s="107" t="s">
        <v>331</v>
      </c>
      <c r="O3" s="268">
        <v>630</v>
      </c>
      <c r="P3" s="357"/>
    </row>
    <row r="4" spans="1:18" ht="18" customHeight="1" x14ac:dyDescent="0.4">
      <c r="A4" s="299" t="str">
        <f>'MP-0525 - Surco - Arq  Edin'!A2</f>
        <v>LNM7 - 0525 - Surco - Arq. Edinson Rufasto</v>
      </c>
      <c r="B4" s="300" t="s">
        <v>335</v>
      </c>
      <c r="C4" s="283">
        <f>$J4*SUMIFS(MP_0525___Surco___Arq__Edin[[TOTAL HORAS RESTANTES]:[TOTAL HORAS RESTANTES]],MP_0525___Surco___Arq__Edin[[VERSION]:[VERSION]],"="&amp;TRIM(CLEAN('HOJAS DE HORA PROY.'!$B4)),MP_0525___Surco___Arq__Edin[[ESPECIALIDAD]:[ESPECIALIDAD]],"="&amp;TRIM(CLEAN('HOJAS DE HORA PROY.'!C$1)))</f>
        <v>2</v>
      </c>
      <c r="D4" s="283">
        <f>$J4*SUMIFS(MP_0525___Surco___Arq__Edin[[TOTAL HORAS RESTANTES]:[TOTAL HORAS RESTANTES]],MP_0525___Surco___Arq__Edin[[VERSION]:[VERSION]],"="&amp;TRIM(CLEAN('HOJAS DE HORA PROY.'!$B4)),MP_0525___Surco___Arq__Edin[[ESPECIALIDAD]:[ESPECIALIDAD]],"="&amp;TRIM(CLEAN('HOJAS DE HORA PROY.'!D$1)))</f>
        <v>0</v>
      </c>
      <c r="E4" s="283">
        <f>$J4*SUMIFS(MP_0525___Surco___Arq__Edin[[TOTAL HORAS RESTANTES]:[TOTAL HORAS RESTANTES]],MP_0525___Surco___Arq__Edin[[VERSION]:[VERSION]],"="&amp;TRIM(CLEAN('HOJAS DE HORA PROY.'!$B4)),MP_0525___Surco___Arq__Edin[[ESPECIALIDAD]:[ESPECIALIDAD]],"="&amp;TRIM(CLEAN('HOJAS DE HORA PROY.'!E$1)))</f>
        <v>0</v>
      </c>
      <c r="F4" s="283">
        <f>$J4*SUMIFS(MP_0525___Surco___Arq__Edin[[TOTAL HORAS RESTANTES]:[TOTAL HORAS RESTANTES]],MP_0525___Surco___Arq__Edin[[VERSION]:[VERSION]],"="&amp;TRIM(CLEAN('HOJAS DE HORA PROY.'!$B4)),MP_0525___Surco___Arq__Edin[[ESPECIALIDAD]:[ESPECIALIDAD]],"="&amp;TRIM(CLEAN('HOJAS DE HORA PROY.'!F$1)))</f>
        <v>0</v>
      </c>
      <c r="G4" s="283">
        <f>$J4*SUMIFS(MP_0525___Surco___Arq__Edin[[TOTAL HORAS RESTANTES]:[TOTAL HORAS RESTANTES]],MP_0525___Surco___Arq__Edin[[VERSION]:[VERSION]],"="&amp;TRIM(CLEAN('HOJAS DE HORA PROY.'!$B4)),MP_0525___Surco___Arq__Edin[[ESPECIALIDAD]:[ESPECIALIDAD]],"="&amp;TRIM(CLEAN('HOJAS DE HORA PROY.'!G$1)))</f>
        <v>0</v>
      </c>
      <c r="H4" s="283">
        <f>$J4*SUMIFS(MP_0525___Surco___Arq__Edin[[TOTAL HORAS RESTANTES]:[TOTAL HORAS RESTANTES]],MP_0525___Surco___Arq__Edin[[VERSION]:[VERSION]],"="&amp;TRIM(CLEAN('HOJAS DE HORA PROY.'!$B4)),MP_0525___Surco___Arq__Edin[[ESPECIALIDAD]:[ESPECIALIDAD]],"="&amp;TRIM(CLEAN('HOJAS DE HORA PROY.'!H$1)))</f>
        <v>0</v>
      </c>
      <c r="I4" s="283">
        <f>$J4*SUMIFS(MP_0525___Surco___Arq__Edin[[TOTAL HORAS RESTANTES]:[TOTAL HORAS RESTANTES]],MP_0525___Surco___Arq__Edin[[VERSION]:[VERSION]],"="&amp;TRIM(CLEAN('HOJAS DE HORA PROY.'!$B4)),MP_0525___Surco___Arq__Edin[[ESPECIALIDAD]:[ESPECIALIDAD]],"="&amp;TRIM(CLEAN('HOJAS DE HORA PROY.'!I$1)))</f>
        <v>0</v>
      </c>
      <c r="J4" s="301">
        <v>1</v>
      </c>
      <c r="K4" s="302">
        <f t="shared" si="0"/>
        <v>2</v>
      </c>
      <c r="L4" s="302" t="s">
        <v>24</v>
      </c>
      <c r="M4" s="303" t="s">
        <v>43</v>
      </c>
      <c r="N4" s="287" t="s">
        <v>331</v>
      </c>
      <c r="O4" s="288"/>
    </row>
    <row r="5" spans="1:18" ht="18" customHeight="1" x14ac:dyDescent="0.4">
      <c r="A5" s="63" t="str">
        <f>'MP-0525 - Surco - Arq  Edin'!A3</f>
        <v>LNM7 - 0525 - Surco - Arq. Edinson Rufasto</v>
      </c>
      <c r="B5" s="231" t="s">
        <v>339</v>
      </c>
      <c r="C5" s="47">
        <f>$J5*SUMIFS(MP_0525___Surco___Arq__Edin[[TOTAL HORAS RESTANTES]:[TOTAL HORAS RESTANTES]],MP_0525___Surco___Arq__Edin[[VERSION]:[VERSION]],"="&amp;TRIM(CLEAN('HOJAS DE HORA PROY.'!$B5)),MP_0525___Surco___Arq__Edin[[ESPECIALIDAD]:[ESPECIALIDAD]],"="&amp;TRIM(CLEAN('HOJAS DE HORA PROY.'!C$1)))</f>
        <v>0</v>
      </c>
      <c r="D5" s="47">
        <f>$J5*SUMIFS(MP_0525___Surco___Arq__Edin[[TOTAL HORAS RESTANTES]:[TOTAL HORAS RESTANTES]],MP_0525___Surco___Arq__Edin[[VERSION]:[VERSION]],"="&amp;TRIM(CLEAN('HOJAS DE HORA PROY.'!$B5)),MP_0525___Surco___Arq__Edin[[ESPECIALIDAD]:[ESPECIALIDAD]],"="&amp;TRIM(CLEAN('HOJAS DE HORA PROY.'!D$1)))</f>
        <v>0</v>
      </c>
      <c r="E5" s="47">
        <f>$J5*SUMIFS(MP_0525___Surco___Arq__Edin[[TOTAL HORAS RESTANTES]:[TOTAL HORAS RESTANTES]],MP_0525___Surco___Arq__Edin[[VERSION]:[VERSION]],"="&amp;TRIM(CLEAN('HOJAS DE HORA PROY.'!$B5)),MP_0525___Surco___Arq__Edin[[ESPECIALIDAD]:[ESPECIALIDAD]],"="&amp;TRIM(CLEAN('HOJAS DE HORA PROY.'!E$1)))</f>
        <v>0</v>
      </c>
      <c r="F5" s="47">
        <f>$J5*SUMIFS(MP_0525___Surco___Arq__Edin[[TOTAL HORAS RESTANTES]:[TOTAL HORAS RESTANTES]],MP_0525___Surco___Arq__Edin[[VERSION]:[VERSION]],"="&amp;TRIM(CLEAN('HOJAS DE HORA PROY.'!$B5)),MP_0525___Surco___Arq__Edin[[ESPECIALIDAD]:[ESPECIALIDAD]],"="&amp;TRIM(CLEAN('HOJAS DE HORA PROY.'!F$1)))</f>
        <v>0</v>
      </c>
      <c r="G5" s="47">
        <f>$J5*SUMIFS(MP_0525___Surco___Arq__Edin[[TOTAL HORAS RESTANTES]:[TOTAL HORAS RESTANTES]],MP_0525___Surco___Arq__Edin[[VERSION]:[VERSION]],"="&amp;TRIM(CLEAN('HOJAS DE HORA PROY.'!$B5)),MP_0525___Surco___Arq__Edin[[ESPECIALIDAD]:[ESPECIALIDAD]],"="&amp;TRIM(CLEAN('HOJAS DE HORA PROY.'!G$1)))</f>
        <v>0</v>
      </c>
      <c r="H5" s="47">
        <f>$J5*SUMIFS(MP_0525___Surco___Arq__Edin[[TOTAL HORAS RESTANTES]:[TOTAL HORAS RESTANTES]],MP_0525___Surco___Arq__Edin[[VERSION]:[VERSION]],"="&amp;TRIM(CLEAN('HOJAS DE HORA PROY.'!$B5)),MP_0525___Surco___Arq__Edin[[ESPECIALIDAD]:[ESPECIALIDAD]],"="&amp;TRIM(CLEAN('HOJAS DE HORA PROY.'!H$1)))</f>
        <v>0</v>
      </c>
      <c r="I5" s="47">
        <f>$J5*SUMIFS(MP_0525___Surco___Arq__Edin[[TOTAL HORAS RESTANTES]:[TOTAL HORAS RESTANTES]],MP_0525___Surco___Arq__Edin[[VERSION]:[VERSION]],"="&amp;TRIM(CLEAN('HOJAS DE HORA PROY.'!$B5)),MP_0525___Surco___Arq__Edin[[ESPECIALIDAD]:[ESPECIALIDAD]],"="&amp;TRIM(CLEAN('HOJAS DE HORA PROY.'!I$1)))</f>
        <v>0</v>
      </c>
      <c r="J5" s="109">
        <v>1</v>
      </c>
      <c r="K5" s="110">
        <f t="shared" si="0"/>
        <v>0</v>
      </c>
      <c r="L5" s="110" t="s">
        <v>25</v>
      </c>
      <c r="M5" s="111"/>
      <c r="N5" s="112" t="s">
        <v>331</v>
      </c>
      <c r="O5" s="270">
        <v>0</v>
      </c>
    </row>
    <row r="6" spans="1:18" ht="18" customHeight="1" x14ac:dyDescent="0.4">
      <c r="A6" s="63" t="str">
        <f>'MP-0525 - Surco - Arq  Edin'!A4</f>
        <v>LNM7 - 0525 - Surco - Arq. Edinson Rufasto</v>
      </c>
      <c r="B6" s="231" t="s">
        <v>334</v>
      </c>
      <c r="C6" s="47">
        <f>$J6*SUMIFS(MP_0525___Surco___Arq__Edin[[TOTAL HORAS RESTANTES]:[TOTAL HORAS RESTANTES]],MP_0525___Surco___Arq__Edin[[VERSION]:[VERSION]],"="&amp;TRIM(CLEAN('HOJAS DE HORA PROY.'!$B6)),MP_0525___Surco___Arq__Edin[[ESPECIALIDAD]:[ESPECIALIDAD]],"="&amp;TRIM(CLEAN('HOJAS DE HORA PROY.'!C$1)))</f>
        <v>4.5</v>
      </c>
      <c r="D6" s="47">
        <f>$J6*SUMIFS(MP_0525___Surco___Arq__Edin[[TOTAL HORAS RESTANTES]:[TOTAL HORAS RESTANTES]],MP_0525___Surco___Arq__Edin[[VERSION]:[VERSION]],"="&amp;TRIM(CLEAN('HOJAS DE HORA PROY.'!$B6)),MP_0525___Surco___Arq__Edin[[ESPECIALIDAD]:[ESPECIALIDAD]],"="&amp;TRIM(CLEAN('HOJAS DE HORA PROY.'!D$1)))</f>
        <v>9</v>
      </c>
      <c r="E6" s="47">
        <f>$J6*SUMIFS(MP_0525___Surco___Arq__Edin[[TOTAL HORAS RESTANTES]:[TOTAL HORAS RESTANTES]],MP_0525___Surco___Arq__Edin[[VERSION]:[VERSION]],"="&amp;TRIM(CLEAN('HOJAS DE HORA PROY.'!$B6)),MP_0525___Surco___Arq__Edin[[ESPECIALIDAD]:[ESPECIALIDAD]],"="&amp;TRIM(CLEAN('HOJAS DE HORA PROY.'!E$1)))</f>
        <v>0</v>
      </c>
      <c r="F6" s="47">
        <f>$J6*SUMIFS(MP_0525___Surco___Arq__Edin[[TOTAL HORAS RESTANTES]:[TOTAL HORAS RESTANTES]],MP_0525___Surco___Arq__Edin[[VERSION]:[VERSION]],"="&amp;TRIM(CLEAN('HOJAS DE HORA PROY.'!$B6)),MP_0525___Surco___Arq__Edin[[ESPECIALIDAD]:[ESPECIALIDAD]],"="&amp;TRIM(CLEAN('HOJAS DE HORA PROY.'!F$1)))</f>
        <v>5</v>
      </c>
      <c r="G6" s="47">
        <f>$J6*SUMIFS(MP_0525___Surco___Arq__Edin[[TOTAL HORAS RESTANTES]:[TOTAL HORAS RESTANTES]],MP_0525___Surco___Arq__Edin[[VERSION]:[VERSION]],"="&amp;TRIM(CLEAN('HOJAS DE HORA PROY.'!$B6)),MP_0525___Surco___Arq__Edin[[ESPECIALIDAD]:[ESPECIALIDAD]],"="&amp;TRIM(CLEAN('HOJAS DE HORA PROY.'!G$1)))</f>
        <v>8</v>
      </c>
      <c r="H6" s="47">
        <f>$J6*SUMIFS(MP_0525___Surco___Arq__Edin[[TOTAL HORAS RESTANTES]:[TOTAL HORAS RESTANTES]],MP_0525___Surco___Arq__Edin[[VERSION]:[VERSION]],"="&amp;TRIM(CLEAN('HOJAS DE HORA PROY.'!$B6)),MP_0525___Surco___Arq__Edin[[ESPECIALIDAD]:[ESPECIALIDAD]],"="&amp;TRIM(CLEAN('HOJAS DE HORA PROY.'!H$1)))</f>
        <v>0</v>
      </c>
      <c r="I6" s="47">
        <f>$J6*SUMIFS(MP_0525___Surco___Arq__Edin[[TOTAL HORAS RESTANTES]:[TOTAL HORAS RESTANTES]],MP_0525___Surco___Arq__Edin[[VERSION]:[VERSION]],"="&amp;TRIM(CLEAN('HOJAS DE HORA PROY.'!$B6)),MP_0525___Surco___Arq__Edin[[ESPECIALIDAD]:[ESPECIALIDAD]],"="&amp;TRIM(CLEAN('HOJAS DE HORA PROY.'!I$1)))</f>
        <v>0</v>
      </c>
      <c r="J6" s="109">
        <v>1</v>
      </c>
      <c r="K6" s="110">
        <f t="shared" si="0"/>
        <v>26.5</v>
      </c>
      <c r="L6" s="110" t="s">
        <v>26</v>
      </c>
      <c r="M6" s="111" t="s">
        <v>40</v>
      </c>
      <c r="N6" s="112" t="s">
        <v>331</v>
      </c>
      <c r="O6" s="270">
        <v>0</v>
      </c>
      <c r="Q6" s="356"/>
      <c r="R6" t="s">
        <v>574</v>
      </c>
    </row>
    <row r="7" spans="1:18" ht="18" customHeight="1" thickBot="1" x14ac:dyDescent="0.45">
      <c r="A7" s="64" t="str">
        <f>'MP-0525 - Surco - Arq  Edin'!A5</f>
        <v>LNM7 - 0525 - Surco - Arq. Edinson Rufasto</v>
      </c>
      <c r="B7" s="232" t="s">
        <v>333</v>
      </c>
      <c r="C7" s="46">
        <f>$J7*SUMIFS(MP_0525___Surco___Arq__Edin[[TOTAL HORAS RESTANTES]:[TOTAL HORAS RESTANTES]],MP_0525___Surco___Arq__Edin[[VERSION]:[VERSION]],"="&amp;TRIM(CLEAN('HOJAS DE HORA PROY.'!$B7)),MP_0525___Surco___Arq__Edin[[ESPECIALIDAD]:[ESPECIALIDAD]],"="&amp;TRIM(CLEAN('HOJAS DE HORA PROY.'!C$1)))</f>
        <v>0</v>
      </c>
      <c r="D7" s="46">
        <f>$J7*SUMIFS(MP_0525___Surco___Arq__Edin[[TOTAL HORAS RESTANTES]:[TOTAL HORAS RESTANTES]],MP_0525___Surco___Arq__Edin[[VERSION]:[VERSION]],"="&amp;TRIM(CLEAN('HOJAS DE HORA PROY.'!$B7)),MP_0525___Surco___Arq__Edin[[ESPECIALIDAD]:[ESPECIALIDAD]],"="&amp;TRIM(CLEAN('HOJAS DE HORA PROY.'!D$1)))</f>
        <v>9</v>
      </c>
      <c r="E7" s="46">
        <f>$J7*SUMIFS(MP_0525___Surco___Arq__Edin[[TOTAL HORAS RESTANTES]:[TOTAL HORAS RESTANTES]],MP_0525___Surco___Arq__Edin[[VERSION]:[VERSION]],"="&amp;TRIM(CLEAN('HOJAS DE HORA PROY.'!$B7)),MP_0525___Surco___Arq__Edin[[ESPECIALIDAD]:[ESPECIALIDAD]],"="&amp;TRIM(CLEAN('HOJAS DE HORA PROY.'!E$1)))</f>
        <v>0</v>
      </c>
      <c r="F7" s="46">
        <f>$J7*SUMIFS(MP_0525___Surco___Arq__Edin[[TOTAL HORAS RESTANTES]:[TOTAL HORAS RESTANTES]],MP_0525___Surco___Arq__Edin[[VERSION]:[VERSION]],"="&amp;TRIM(CLEAN('HOJAS DE HORA PROY.'!$B7)),MP_0525___Surco___Arq__Edin[[ESPECIALIDAD]:[ESPECIALIDAD]],"="&amp;TRIM(CLEAN('HOJAS DE HORA PROY.'!F$1)))</f>
        <v>5</v>
      </c>
      <c r="G7" s="46">
        <f>$J7*SUMIFS(MP_0525___Surco___Arq__Edin[[TOTAL HORAS RESTANTES]:[TOTAL HORAS RESTANTES]],MP_0525___Surco___Arq__Edin[[VERSION]:[VERSION]],"="&amp;TRIM(CLEAN('HOJAS DE HORA PROY.'!$B7)),MP_0525___Surco___Arq__Edin[[ESPECIALIDAD]:[ESPECIALIDAD]],"="&amp;TRIM(CLEAN('HOJAS DE HORA PROY.'!G$1)))</f>
        <v>0</v>
      </c>
      <c r="H7" s="46">
        <f>$J7*SUMIFS(MP_0525___Surco___Arq__Edin[[TOTAL HORAS RESTANTES]:[TOTAL HORAS RESTANTES]],MP_0525___Surco___Arq__Edin[[VERSION]:[VERSION]],"="&amp;TRIM(CLEAN('HOJAS DE HORA PROY.'!$B7)),MP_0525___Surco___Arq__Edin[[ESPECIALIDAD]:[ESPECIALIDAD]],"="&amp;TRIM(CLEAN('HOJAS DE HORA PROY.'!H$1)))</f>
        <v>0</v>
      </c>
      <c r="I7" s="46">
        <f>$J7*SUMIFS(MP_0525___Surco___Arq__Edin[[TOTAL HORAS RESTANTES]:[TOTAL HORAS RESTANTES]],MP_0525___Surco___Arq__Edin[[VERSION]:[VERSION]],"="&amp;TRIM(CLEAN('HOJAS DE HORA PROY.'!$B7)),MP_0525___Surco___Arq__Edin[[ESPECIALIDAD]:[ESPECIALIDAD]],"="&amp;TRIM(CLEAN('HOJAS DE HORA PROY.'!I$1)))</f>
        <v>0</v>
      </c>
      <c r="J7" s="113">
        <v>1</v>
      </c>
      <c r="K7" s="114">
        <f t="shared" si="0"/>
        <v>14</v>
      </c>
      <c r="L7" s="114" t="s">
        <v>25</v>
      </c>
      <c r="M7" s="115" t="s">
        <v>43</v>
      </c>
      <c r="N7" s="107" t="s">
        <v>331</v>
      </c>
      <c r="O7" s="271">
        <v>3000</v>
      </c>
    </row>
    <row r="8" spans="1:18" ht="18" customHeight="1" x14ac:dyDescent="0.4">
      <c r="A8" s="65" t="str">
        <f>'MH-ONX8 - 0825 - Breña - Dario'!A2</f>
        <v>ONX8 - 0825 - Breña - Dario</v>
      </c>
      <c r="B8" s="233" t="s">
        <v>65</v>
      </c>
      <c r="C8" s="45">
        <f>$J8*SUMIFS(MH_ONX8___0825___Breña___Dario[[TOTAL HORAS RESTANTES]:[TOTAL HORAS RESTANTES]],MH_ONX8___0825___Breña___Dario[[VERSIÓN]:[VERSIÓN]],"="&amp;TRIM(CLEAN('HOJAS DE HORA PROY.'!$B8)),MH_ONX8___0825___Breña___Dario[[ESPECIALIDAD]:[ESPECIALIDAD]],"="&amp;TRIM(CLEAN('HOJAS DE HORA PROY.'!C$1)))</f>
        <v>9.9916666666666671</v>
      </c>
      <c r="D8" s="45">
        <f>$J8*SUMIFS(MH_ONX8___0825___Breña___Dario[[TOTAL HORAS RESTANTES]:[TOTAL HORAS RESTANTES]],MH_ONX8___0825___Breña___Dario[[VERSIÓN]:[VERSIÓN]],"="&amp;TRIM(CLEAN('HOJAS DE HORA PROY.'!$B8)),MH_ONX8___0825___Breña___Dario[[ESPECIALIDAD]:[ESPECIALIDAD]],"="&amp;TRIM(CLEAN('HOJAS DE HORA PROY.'!D$1)))</f>
        <v>0</v>
      </c>
      <c r="E8" s="45">
        <f>$J8*SUMIFS(MH_ONX8___0825___Breña___Dario[[TOTAL HORAS RESTANTES]:[TOTAL HORAS RESTANTES]],MH_ONX8___0825___Breña___Dario[[VERSIÓN]:[VERSIÓN]],"="&amp;TRIM(CLEAN('HOJAS DE HORA PROY.'!$B8)),MH_ONX8___0825___Breña___Dario[[ESPECIALIDAD]:[ESPECIALIDAD]],"="&amp;TRIM(CLEAN('HOJAS DE HORA PROY.'!E$1)))</f>
        <v>0</v>
      </c>
      <c r="F8" s="45">
        <f>$J8*SUMIFS(MH_ONX8___0825___Breña___Dario[[TOTAL HORAS RESTANTES]:[TOTAL HORAS RESTANTES]],MH_ONX8___0825___Breña___Dario[[VERSIÓN]:[VERSIÓN]],"="&amp;TRIM(CLEAN('HOJAS DE HORA PROY.'!$B8)),MH_ONX8___0825___Breña___Dario[[ESPECIALIDAD]:[ESPECIALIDAD]],"="&amp;TRIM(CLEAN('HOJAS DE HORA PROY.'!F$1)))</f>
        <v>0</v>
      </c>
      <c r="G8" s="45">
        <f>$J8*SUMIFS(MH_ONX8___0825___Breña___Dario[[TOTAL HORAS RESTANTES]:[TOTAL HORAS RESTANTES]],MH_ONX8___0825___Breña___Dario[[VERSIÓN]:[VERSIÓN]],"="&amp;TRIM(CLEAN('HOJAS DE HORA PROY.'!$B8)),MH_ONX8___0825___Breña___Dario[[ESPECIALIDAD]:[ESPECIALIDAD]],"="&amp;TRIM(CLEAN('HOJAS DE HORA PROY.'!G$1)))</f>
        <v>0</v>
      </c>
      <c r="H8" s="45">
        <f>$J8*SUMIFS(MH_ONX8___0825___Breña___Dario[[TOTAL HORAS RESTANTES]:[TOTAL HORAS RESTANTES]],MH_ONX8___0825___Breña___Dario[[VERSIÓN]:[VERSIÓN]],"="&amp;TRIM(CLEAN('HOJAS DE HORA PROY.'!$B8)),MH_ONX8___0825___Breña___Dario[[ESPECIALIDAD]:[ESPECIALIDAD]],"="&amp;TRIM(CLEAN('HOJAS DE HORA PROY.'!H$1)))</f>
        <v>0</v>
      </c>
      <c r="I8" s="45">
        <f>$J8*SUMIFS(MH_ONX8___0825___Breña___Dario[[TOTAL HORAS RESTANTES]:[TOTAL HORAS RESTANTES]],MH_ONX8___0825___Breña___Dario[[VERSIÓN]:[VERSIÓN]],"="&amp;TRIM(CLEAN('HOJAS DE HORA PROY.'!$B8)),MH_ONX8___0825___Breña___Dario[[ESPECIALIDAD]:[ESPECIALIDAD]],"="&amp;TRIM(CLEAN('HOJAS DE HORA PROY.'!I$1)))</f>
        <v>0</v>
      </c>
      <c r="J8" s="116">
        <v>1</v>
      </c>
      <c r="K8" s="117">
        <f t="shared" si="0"/>
        <v>9.9916666666666671</v>
      </c>
      <c r="L8" s="117"/>
      <c r="M8" s="118" t="s">
        <v>40</v>
      </c>
      <c r="N8" s="103" t="s">
        <v>331</v>
      </c>
      <c r="O8" s="269">
        <v>0</v>
      </c>
    </row>
    <row r="9" spans="1:18" ht="18" customHeight="1" x14ac:dyDescent="0.4">
      <c r="A9" s="66" t="str">
        <f>'MH-ONX8 - 0825 - Breña - Dario'!A3</f>
        <v>ONX8 - 0825 - Breña - Dario</v>
      </c>
      <c r="B9" s="234" t="s">
        <v>66</v>
      </c>
      <c r="C9" s="47">
        <f>$J9*SUMIFS(MH_ONX8___0825___Breña___Dario[[TOTAL HORAS RESTANTES]:[TOTAL HORAS RESTANTES]],MH_ONX8___0825___Breña___Dario[[VERSIÓN]:[VERSIÓN]],"="&amp;TRIM(CLEAN('HOJAS DE HORA PROY.'!$B9)),MH_ONX8___0825___Breña___Dario[[ESPECIALIDAD]:[ESPECIALIDAD]],"="&amp;TRIM(CLEAN('HOJAS DE HORA PROY.'!C$1)))</f>
        <v>13</v>
      </c>
      <c r="D9" s="47">
        <f>$J9*SUMIFS(MH_ONX8___0825___Breña___Dario[[TOTAL HORAS RESTANTES]:[TOTAL HORAS RESTANTES]],MH_ONX8___0825___Breña___Dario[[VERSIÓN]:[VERSIÓN]],"="&amp;TRIM(CLEAN('HOJAS DE HORA PROY.'!$B9)),MH_ONX8___0825___Breña___Dario[[ESPECIALIDAD]:[ESPECIALIDAD]],"="&amp;TRIM(CLEAN('HOJAS DE HORA PROY.'!D$1)))</f>
        <v>0</v>
      </c>
      <c r="E9" s="47">
        <f>$J9*SUMIFS(MH_ONX8___0825___Breña___Dario[[TOTAL HORAS RESTANTES]:[TOTAL HORAS RESTANTES]],MH_ONX8___0825___Breña___Dario[[VERSIÓN]:[VERSIÓN]],"="&amp;TRIM(CLEAN('HOJAS DE HORA PROY.'!$B9)),MH_ONX8___0825___Breña___Dario[[ESPECIALIDAD]:[ESPECIALIDAD]],"="&amp;TRIM(CLEAN('HOJAS DE HORA PROY.'!E$1)))</f>
        <v>0</v>
      </c>
      <c r="F9" s="47">
        <f>$J9*SUMIFS(MH_ONX8___0825___Breña___Dario[[TOTAL HORAS RESTANTES]:[TOTAL HORAS RESTANTES]],MH_ONX8___0825___Breña___Dario[[VERSIÓN]:[VERSIÓN]],"="&amp;TRIM(CLEAN('HOJAS DE HORA PROY.'!$B9)),MH_ONX8___0825___Breña___Dario[[ESPECIALIDAD]:[ESPECIALIDAD]],"="&amp;TRIM(CLEAN('HOJAS DE HORA PROY.'!F$1)))</f>
        <v>0</v>
      </c>
      <c r="G9" s="47">
        <f>$J9*SUMIFS(MH_ONX8___0825___Breña___Dario[[TOTAL HORAS RESTANTES]:[TOTAL HORAS RESTANTES]],MH_ONX8___0825___Breña___Dario[[VERSIÓN]:[VERSIÓN]],"="&amp;TRIM(CLEAN('HOJAS DE HORA PROY.'!$B9)),MH_ONX8___0825___Breña___Dario[[ESPECIALIDAD]:[ESPECIALIDAD]],"="&amp;TRIM(CLEAN('HOJAS DE HORA PROY.'!G$1)))</f>
        <v>0</v>
      </c>
      <c r="H9" s="47">
        <f>$J9*SUMIFS(MH_ONX8___0825___Breña___Dario[[TOTAL HORAS RESTANTES]:[TOTAL HORAS RESTANTES]],MH_ONX8___0825___Breña___Dario[[VERSIÓN]:[VERSIÓN]],"="&amp;TRIM(CLEAN('HOJAS DE HORA PROY.'!$B9)),MH_ONX8___0825___Breña___Dario[[ESPECIALIDAD]:[ESPECIALIDAD]],"="&amp;TRIM(CLEAN('HOJAS DE HORA PROY.'!H$1)))</f>
        <v>0</v>
      </c>
      <c r="I9" s="47">
        <f>$J9*SUMIFS(MH_ONX8___0825___Breña___Dario[[TOTAL HORAS RESTANTES]:[TOTAL HORAS RESTANTES]],MH_ONX8___0825___Breña___Dario[[VERSIÓN]:[VERSIÓN]],"="&amp;TRIM(CLEAN('HOJAS DE HORA PROY.'!$B9)),MH_ONX8___0825___Breña___Dario[[ESPECIALIDAD]:[ESPECIALIDAD]],"="&amp;TRIM(CLEAN('HOJAS DE HORA PROY.'!I$1)))</f>
        <v>0</v>
      </c>
      <c r="J9" s="119">
        <v>1</v>
      </c>
      <c r="K9" s="120">
        <f t="shared" si="0"/>
        <v>13</v>
      </c>
      <c r="L9" s="120"/>
      <c r="M9" s="121" t="s">
        <v>39</v>
      </c>
      <c r="N9" s="112" t="s">
        <v>331</v>
      </c>
      <c r="O9" s="270">
        <v>0</v>
      </c>
    </row>
    <row r="10" spans="1:18" ht="18" customHeight="1" x14ac:dyDescent="0.4">
      <c r="A10" s="276" t="str">
        <f>'MH-ONX8 - 0825 - Breña - Dario'!A4</f>
        <v>ONX8 - 0825 - Breña - Dario</v>
      </c>
      <c r="B10" s="277" t="s">
        <v>67</v>
      </c>
      <c r="C10" s="52">
        <f>$J10*SUMIFS(MH_ONX8___0825___Breña___Dario[[TOTAL HORAS RESTANTES]:[TOTAL HORAS RESTANTES]],MH_ONX8___0825___Breña___Dario[[VERSIÓN]:[VERSIÓN]],"="&amp;TRIM(CLEAN('HOJAS DE HORA PROY.'!$B10)),MH_ONX8___0825___Breña___Dario[[ESPECIALIDAD]:[ESPECIALIDAD]],"="&amp;TRIM(CLEAN('HOJAS DE HORA PROY.'!C$1)))</f>
        <v>0</v>
      </c>
      <c r="D10" s="52">
        <f>$J10*SUMIFS(MH_ONX8___0825___Breña___Dario[[TOTAL HORAS RESTANTES]:[TOTAL HORAS RESTANTES]],MH_ONX8___0825___Breña___Dario[[VERSIÓN]:[VERSIÓN]],"="&amp;TRIM(CLEAN('HOJAS DE HORA PROY.'!$B10)),MH_ONX8___0825___Breña___Dario[[ESPECIALIDAD]:[ESPECIALIDAD]],"="&amp;TRIM(CLEAN('HOJAS DE HORA PROY.'!D$1)))</f>
        <v>0</v>
      </c>
      <c r="E10" s="52">
        <f>$J10*SUMIFS(MH_ONX8___0825___Breña___Dario[[TOTAL HORAS RESTANTES]:[TOTAL HORAS RESTANTES]],MH_ONX8___0825___Breña___Dario[[VERSIÓN]:[VERSIÓN]],"="&amp;TRIM(CLEAN('HOJAS DE HORA PROY.'!$B10)),MH_ONX8___0825___Breña___Dario[[ESPECIALIDAD]:[ESPECIALIDAD]],"="&amp;TRIM(CLEAN('HOJAS DE HORA PROY.'!E$1)))</f>
        <v>0</v>
      </c>
      <c r="F10" s="52">
        <f>$J10*SUMIFS(MH_ONX8___0825___Breña___Dario[[TOTAL HORAS RESTANTES]:[TOTAL HORAS RESTANTES]],MH_ONX8___0825___Breña___Dario[[VERSIÓN]:[VERSIÓN]],"="&amp;TRIM(CLEAN('HOJAS DE HORA PROY.'!$B10)),MH_ONX8___0825___Breña___Dario[[ESPECIALIDAD]:[ESPECIALIDAD]],"="&amp;TRIM(CLEAN('HOJAS DE HORA PROY.'!F$1)))</f>
        <v>0</v>
      </c>
      <c r="G10" s="52">
        <f>$J10*SUMIFS(MH_ONX8___0825___Breña___Dario[[TOTAL HORAS RESTANTES]:[TOTAL HORAS RESTANTES]],MH_ONX8___0825___Breña___Dario[[VERSIÓN]:[VERSIÓN]],"="&amp;TRIM(CLEAN('HOJAS DE HORA PROY.'!$B10)),MH_ONX8___0825___Breña___Dario[[ESPECIALIDAD]:[ESPECIALIDAD]],"="&amp;TRIM(CLEAN('HOJAS DE HORA PROY.'!G$1)))</f>
        <v>0</v>
      </c>
      <c r="H10" s="52">
        <f>$J10*SUMIFS(MH_ONX8___0825___Breña___Dario[[TOTAL HORAS RESTANTES]:[TOTAL HORAS RESTANTES]],MH_ONX8___0825___Breña___Dario[[VERSIÓN]:[VERSIÓN]],"="&amp;TRIM(CLEAN('HOJAS DE HORA PROY.'!$B10)),MH_ONX8___0825___Breña___Dario[[ESPECIALIDAD]:[ESPECIALIDAD]],"="&amp;TRIM(CLEAN('HOJAS DE HORA PROY.'!H$1)))</f>
        <v>0</v>
      </c>
      <c r="I10" s="52">
        <f>$J10*SUMIFS(MH_ONX8___0825___Breña___Dario[[TOTAL HORAS RESTANTES]:[TOTAL HORAS RESTANTES]],MH_ONX8___0825___Breña___Dario[[VERSIÓN]:[VERSIÓN]],"="&amp;TRIM(CLEAN('HOJAS DE HORA PROY.'!$B10)),MH_ONX8___0825___Breña___Dario[[ESPECIALIDAD]:[ESPECIALIDAD]],"="&amp;TRIM(CLEAN('HOJAS DE HORA PROY.'!I$1)))</f>
        <v>0</v>
      </c>
      <c r="J10" s="278">
        <v>1</v>
      </c>
      <c r="K10" s="279">
        <f t="shared" si="0"/>
        <v>0</v>
      </c>
      <c r="L10" s="279"/>
      <c r="M10" s="280" t="s">
        <v>39</v>
      </c>
      <c r="N10" s="214" t="s">
        <v>331</v>
      </c>
      <c r="O10" s="273">
        <v>7200</v>
      </c>
    </row>
    <row r="11" spans="1:18" ht="18" customHeight="1" x14ac:dyDescent="0.4">
      <c r="A11" s="281" t="str">
        <f>'MH-LNM5_0425-SAN MIGUEL-CAR'!A2</f>
        <v>LNM5_0425 - SAN MIGUEL - CARLOS Y ANA.</v>
      </c>
      <c r="B11" s="282" t="s">
        <v>81</v>
      </c>
      <c r="C11" s="283">
        <f>$J11*SUMIFS(MH_LNM5_0425_SAN_MIGUEL_CAR[[#All],[TOTAL HORAS RESTANTES]],MH_LNM5_0425_SAN_MIGUEL_CAR[[#All],[VERSIÓN]],"="&amp;TRIM(CLEAN($B11)),MH_LNM5_0425_SAN_MIGUEL_CAR[[#All],[ESPECIALIDAD]],"="&amp;TRIM(CLEAN('HOJAS DE HORA PROY.'!C$1)))</f>
        <v>0</v>
      </c>
      <c r="D11" s="283">
        <f>$J11*SUMIFS(MH_LNM5_0425_SAN_MIGUEL_CAR[[#All],[TOTAL HORAS RESTANTES]],MH_LNM5_0425_SAN_MIGUEL_CAR[[#All],[VERSIÓN]],"="&amp;TRIM(CLEAN($B11)),MH_LNM5_0425_SAN_MIGUEL_CAR[[#All],[ESPECIALIDAD]],"="&amp;TRIM(CLEAN('HOJAS DE HORA PROY.'!D$1)))</f>
        <v>0</v>
      </c>
      <c r="E11" s="283">
        <f>$J11*SUMIFS(MH_LNM5_0425_SAN_MIGUEL_CAR[[#All],[TOTAL HORAS RESTANTES]],MH_LNM5_0425_SAN_MIGUEL_CAR[[#All],[VERSIÓN]],"="&amp;TRIM(CLEAN($B11)),MH_LNM5_0425_SAN_MIGUEL_CAR[[#All],[ESPECIALIDAD]],"="&amp;TRIM(CLEAN('HOJAS DE HORA PROY.'!E$1)))</f>
        <v>0</v>
      </c>
      <c r="F11" s="283">
        <f>$J11*SUMIFS(MH_LNM5_0425_SAN_MIGUEL_CAR[[#All],[TOTAL HORAS RESTANTES]],MH_LNM5_0425_SAN_MIGUEL_CAR[[#All],[VERSIÓN]],"="&amp;TRIM(CLEAN($B11)),MH_LNM5_0425_SAN_MIGUEL_CAR[[#All],[ESPECIALIDAD]],"="&amp;TRIM(CLEAN('HOJAS DE HORA PROY.'!F$1)))</f>
        <v>0</v>
      </c>
      <c r="G11" s="283">
        <f>$J11*SUMIFS(MH_LNM5_0425_SAN_MIGUEL_CAR[[#All],[TOTAL HORAS RESTANTES]],MH_LNM5_0425_SAN_MIGUEL_CAR[[#All],[VERSIÓN]],"="&amp;TRIM(CLEAN($B11)),MH_LNM5_0425_SAN_MIGUEL_CAR[[#All],[ESPECIALIDAD]],"="&amp;TRIM(CLEAN('HOJAS DE HORA PROY.'!G$1)))</f>
        <v>0</v>
      </c>
      <c r="H11" s="283">
        <f>$J11*SUMIFS(MH_LNM5_0425_SAN_MIGUEL_CAR[[#All],[TOTAL HORAS RESTANTES]],MH_LNM5_0425_SAN_MIGUEL_CAR[[#All],[VERSIÓN]],"="&amp;TRIM(CLEAN($B11)),MH_LNM5_0425_SAN_MIGUEL_CAR[[#All],[ESPECIALIDAD]],"="&amp;TRIM(CLEAN('HOJAS DE HORA PROY.'!H$1)))</f>
        <v>0</v>
      </c>
      <c r="I11" s="283">
        <f>$J11*SUMIFS(MH_LNM5_0425_SAN_MIGUEL_CAR[[#All],[TOTAL HORAS RESTANTES]],MH_LNM5_0425_SAN_MIGUEL_CAR[[#All],[VERSIÓN]],"="&amp;TRIM(CLEAN($B11)),MH_LNM5_0425_SAN_MIGUEL_CAR[[#All],[ESPECIALIDAD]],"="&amp;TRIM(CLEAN('HOJAS DE HORA PROY.'!I$1)))</f>
        <v>0</v>
      </c>
      <c r="J11" s="284">
        <v>1</v>
      </c>
      <c r="K11" s="285">
        <f t="shared" si="0"/>
        <v>0</v>
      </c>
      <c r="L11" s="285"/>
      <c r="M11" s="286"/>
      <c r="N11" s="287" t="s">
        <v>365</v>
      </c>
      <c r="O11" s="288">
        <v>0</v>
      </c>
    </row>
    <row r="12" spans="1:18" ht="18" customHeight="1" x14ac:dyDescent="0.4">
      <c r="A12" s="68" t="str">
        <f>'MH-LNM5_0425-SAN MIGUEL-CAR'!A3</f>
        <v>LNM5_0425 - SAN MIGUEL - CARLOS Y ANA.</v>
      </c>
      <c r="B12" s="236" t="s">
        <v>142</v>
      </c>
      <c r="C12" s="47">
        <f>$J12*SUMIFS(MH_LNM5_0425_SAN_MIGUEL_CAR[[#All],[TOTAL HORAS RESTANTES]],MH_LNM5_0425_SAN_MIGUEL_CAR[[#All],[VERSIÓN]],"="&amp;TRIM(CLEAN($B12)),MH_LNM5_0425_SAN_MIGUEL_CAR[[#All],[ESPECIALIDAD]],"="&amp;TRIM(CLEAN('HOJAS DE HORA PROY.'!C$1)))</f>
        <v>0</v>
      </c>
      <c r="D12" s="47">
        <f>$J12*SUMIFS(MH_LNM5_0425_SAN_MIGUEL_CAR[[#All],[TOTAL HORAS RESTANTES]],MH_LNM5_0425_SAN_MIGUEL_CAR[[#All],[VERSIÓN]],"="&amp;TRIM(CLEAN($B12)),MH_LNM5_0425_SAN_MIGUEL_CAR[[#All],[ESPECIALIDAD]],"="&amp;TRIM(CLEAN('HOJAS DE HORA PROY.'!D$1)))</f>
        <v>0</v>
      </c>
      <c r="E12" s="47">
        <f>$J12*SUMIFS(MH_LNM5_0425_SAN_MIGUEL_CAR[[#All],[TOTAL HORAS RESTANTES]],MH_LNM5_0425_SAN_MIGUEL_CAR[[#All],[VERSIÓN]],"="&amp;TRIM(CLEAN($B12)),MH_LNM5_0425_SAN_MIGUEL_CAR[[#All],[ESPECIALIDAD]],"="&amp;TRIM(CLEAN('HOJAS DE HORA PROY.'!E$1)))</f>
        <v>0</v>
      </c>
      <c r="F12" s="47">
        <f>$J12*SUMIFS(MH_LNM5_0425_SAN_MIGUEL_CAR[[#All],[TOTAL HORAS RESTANTES]],MH_LNM5_0425_SAN_MIGUEL_CAR[[#All],[VERSIÓN]],"="&amp;TRIM(CLEAN($B12)),MH_LNM5_0425_SAN_MIGUEL_CAR[[#All],[ESPECIALIDAD]],"="&amp;TRIM(CLEAN('HOJAS DE HORA PROY.'!F$1)))</f>
        <v>0</v>
      </c>
      <c r="G12" s="47">
        <f>$J12*SUMIFS(MH_LNM5_0425_SAN_MIGUEL_CAR[[#All],[TOTAL HORAS RESTANTES]],MH_LNM5_0425_SAN_MIGUEL_CAR[[#All],[VERSIÓN]],"="&amp;TRIM(CLEAN($B12)),MH_LNM5_0425_SAN_MIGUEL_CAR[[#All],[ESPECIALIDAD]],"="&amp;TRIM(CLEAN('HOJAS DE HORA PROY.'!G$1)))</f>
        <v>0</v>
      </c>
      <c r="H12" s="47">
        <f>$J12*SUMIFS(MH_LNM5_0425_SAN_MIGUEL_CAR[[#All],[TOTAL HORAS RESTANTES]],MH_LNM5_0425_SAN_MIGUEL_CAR[[#All],[VERSIÓN]],"="&amp;TRIM(CLEAN($B12)),MH_LNM5_0425_SAN_MIGUEL_CAR[[#All],[ESPECIALIDAD]],"="&amp;TRIM(CLEAN('HOJAS DE HORA PROY.'!H$1)))</f>
        <v>0</v>
      </c>
      <c r="I12" s="47">
        <f>$J12*SUMIFS(MH_LNM5_0425_SAN_MIGUEL_CAR[[#All],[TOTAL HORAS RESTANTES]],MH_LNM5_0425_SAN_MIGUEL_CAR[[#All],[VERSIÓN]],"="&amp;TRIM(CLEAN($B12)),MH_LNM5_0425_SAN_MIGUEL_CAR[[#All],[ESPECIALIDAD]],"="&amp;TRIM(CLEAN('HOJAS DE HORA PROY.'!I$1)))</f>
        <v>0</v>
      </c>
      <c r="J12" s="125">
        <v>1</v>
      </c>
      <c r="K12" s="59">
        <f t="shared" si="0"/>
        <v>0</v>
      </c>
      <c r="L12" s="59"/>
      <c r="M12" s="126"/>
      <c r="N12" s="112" t="s">
        <v>365</v>
      </c>
      <c r="O12" s="270">
        <v>0</v>
      </c>
    </row>
    <row r="13" spans="1:18" ht="18" customHeight="1" x14ac:dyDescent="0.4">
      <c r="A13" s="68" t="str">
        <f>'MH-LNM5_0425-SAN MIGUEL-CAR'!A4</f>
        <v>LNM5_0425 - SAN MIGUEL - CARLOS Y ANA.</v>
      </c>
      <c r="B13" s="236" t="s">
        <v>144</v>
      </c>
      <c r="C13" s="47">
        <f>$J13*SUMIFS(MH_LNM5_0425_SAN_MIGUEL_CAR[[#All],[TOTAL HORAS RESTANTES]],MH_LNM5_0425_SAN_MIGUEL_CAR[[#All],[VERSIÓN]],"="&amp;TRIM(CLEAN($B13)),MH_LNM5_0425_SAN_MIGUEL_CAR[[#All],[ESPECIALIDAD]],"="&amp;TRIM(CLEAN('HOJAS DE HORA PROY.'!C$1)))</f>
        <v>50</v>
      </c>
      <c r="D13" s="47">
        <f>$J13*SUMIFS(MH_LNM5_0425_SAN_MIGUEL_CAR[[#All],[TOTAL HORAS RESTANTES]],MH_LNM5_0425_SAN_MIGUEL_CAR[[#All],[VERSIÓN]],"="&amp;TRIM(CLEAN($B13)),MH_LNM5_0425_SAN_MIGUEL_CAR[[#All],[ESPECIALIDAD]],"="&amp;TRIM(CLEAN('HOJAS DE HORA PROY.'!D$1)))</f>
        <v>4</v>
      </c>
      <c r="E13" s="47">
        <f>$J13*SUMIFS(MH_LNM5_0425_SAN_MIGUEL_CAR[[#All],[TOTAL HORAS RESTANTES]],MH_LNM5_0425_SAN_MIGUEL_CAR[[#All],[VERSIÓN]],"="&amp;TRIM(CLEAN($B13)),MH_LNM5_0425_SAN_MIGUEL_CAR[[#All],[ESPECIALIDAD]],"="&amp;TRIM(CLEAN('HOJAS DE HORA PROY.'!E$1)))</f>
        <v>0</v>
      </c>
      <c r="F13" s="47">
        <f>$J13*SUMIFS(MH_LNM5_0425_SAN_MIGUEL_CAR[[#All],[TOTAL HORAS RESTANTES]],MH_LNM5_0425_SAN_MIGUEL_CAR[[#All],[VERSIÓN]],"="&amp;TRIM(CLEAN($B13)),MH_LNM5_0425_SAN_MIGUEL_CAR[[#All],[ESPECIALIDAD]],"="&amp;TRIM(CLEAN('HOJAS DE HORA PROY.'!F$1)))</f>
        <v>4</v>
      </c>
      <c r="G13" s="47">
        <f>$J13*SUMIFS(MH_LNM5_0425_SAN_MIGUEL_CAR[[#All],[TOTAL HORAS RESTANTES]],MH_LNM5_0425_SAN_MIGUEL_CAR[[#All],[VERSIÓN]],"="&amp;TRIM(CLEAN($B13)),MH_LNM5_0425_SAN_MIGUEL_CAR[[#All],[ESPECIALIDAD]],"="&amp;TRIM(CLEAN('HOJAS DE HORA PROY.'!G$1)))</f>
        <v>4</v>
      </c>
      <c r="H13" s="47">
        <f>$J13*SUMIFS(MH_LNM5_0425_SAN_MIGUEL_CAR[[#All],[TOTAL HORAS RESTANTES]],MH_LNM5_0425_SAN_MIGUEL_CAR[[#All],[VERSIÓN]],"="&amp;TRIM(CLEAN($B13)),MH_LNM5_0425_SAN_MIGUEL_CAR[[#All],[ESPECIALIDAD]],"="&amp;TRIM(CLEAN('HOJAS DE HORA PROY.'!H$1)))</f>
        <v>0</v>
      </c>
      <c r="I13" s="47">
        <f>$J13*SUMIFS(MH_LNM5_0425_SAN_MIGUEL_CAR[[#All],[TOTAL HORAS RESTANTES]],MH_LNM5_0425_SAN_MIGUEL_CAR[[#All],[VERSIÓN]],"="&amp;TRIM(CLEAN($B13)),MH_LNM5_0425_SAN_MIGUEL_CAR[[#All],[ESPECIALIDAD]],"="&amp;TRIM(CLEAN('HOJAS DE HORA PROY.'!I$1)))</f>
        <v>0</v>
      </c>
      <c r="J13" s="125">
        <v>1</v>
      </c>
      <c r="K13" s="59">
        <f t="shared" si="0"/>
        <v>62</v>
      </c>
      <c r="L13" s="59"/>
      <c r="M13" s="126"/>
      <c r="N13" s="112" t="s">
        <v>365</v>
      </c>
      <c r="O13" s="270">
        <v>3000</v>
      </c>
      <c r="Q13" s="356"/>
      <c r="R13" t="s">
        <v>574</v>
      </c>
    </row>
    <row r="14" spans="1:18" ht="18" customHeight="1" thickBot="1" x14ac:dyDescent="0.45">
      <c r="A14" s="69" t="str">
        <f>'MH-LNM5_0425-SAN MIGUEL-CAR'!A5</f>
        <v>LNM5_0425 - SAN MIGUEL - CARLOS Y ANA.</v>
      </c>
      <c r="B14" s="237" t="s">
        <v>146</v>
      </c>
      <c r="C14" s="46">
        <f>$J14*SUMIFS(MH_LNM5_0425_SAN_MIGUEL_CAR[[#All],[TOTAL HORAS RESTANTES]],MH_LNM5_0425_SAN_MIGUEL_CAR[[#All],[VERSIÓN]],"="&amp;TRIM(CLEAN($B14)),MH_LNM5_0425_SAN_MIGUEL_CAR[[#All],[ESPECIALIDAD]],"="&amp;TRIM(CLEAN('HOJAS DE HORA PROY.'!C$1)))</f>
        <v>4</v>
      </c>
      <c r="D14" s="46">
        <f>$J14*SUMIFS(MH_LNM5_0425_SAN_MIGUEL_CAR[[#All],[TOTAL HORAS RESTANTES]],MH_LNM5_0425_SAN_MIGUEL_CAR[[#All],[VERSIÓN]],"="&amp;TRIM(CLEAN($B14)),MH_LNM5_0425_SAN_MIGUEL_CAR[[#All],[ESPECIALIDAD]],"="&amp;TRIM(CLEAN('HOJAS DE HORA PROY.'!D$1)))</f>
        <v>4</v>
      </c>
      <c r="E14" s="46">
        <f>$J14*SUMIFS(MH_LNM5_0425_SAN_MIGUEL_CAR[[#All],[TOTAL HORAS RESTANTES]],MH_LNM5_0425_SAN_MIGUEL_CAR[[#All],[VERSIÓN]],"="&amp;TRIM(CLEAN($B14)),MH_LNM5_0425_SAN_MIGUEL_CAR[[#All],[ESPECIALIDAD]],"="&amp;TRIM(CLEAN('HOJAS DE HORA PROY.'!E$1)))</f>
        <v>0</v>
      </c>
      <c r="F14" s="46">
        <f>$J14*SUMIFS(MH_LNM5_0425_SAN_MIGUEL_CAR[[#All],[TOTAL HORAS RESTANTES]],MH_LNM5_0425_SAN_MIGUEL_CAR[[#All],[VERSIÓN]],"="&amp;TRIM(CLEAN($B14)),MH_LNM5_0425_SAN_MIGUEL_CAR[[#All],[ESPECIALIDAD]],"="&amp;TRIM(CLEAN('HOJAS DE HORA PROY.'!F$1)))</f>
        <v>4</v>
      </c>
      <c r="G14" s="46">
        <f>$J14*SUMIFS(MH_LNM5_0425_SAN_MIGUEL_CAR[[#All],[TOTAL HORAS RESTANTES]],MH_LNM5_0425_SAN_MIGUEL_CAR[[#All],[VERSIÓN]],"="&amp;TRIM(CLEAN($B14)),MH_LNM5_0425_SAN_MIGUEL_CAR[[#All],[ESPECIALIDAD]],"="&amp;TRIM(CLEAN('HOJAS DE HORA PROY.'!G$1)))</f>
        <v>4</v>
      </c>
      <c r="H14" s="46">
        <f>$J14*SUMIFS(MH_LNM5_0425_SAN_MIGUEL_CAR[[#All],[TOTAL HORAS RESTANTES]],MH_LNM5_0425_SAN_MIGUEL_CAR[[#All],[VERSIÓN]],"="&amp;TRIM(CLEAN($B14)),MH_LNM5_0425_SAN_MIGUEL_CAR[[#All],[ESPECIALIDAD]],"="&amp;TRIM(CLEAN('HOJAS DE HORA PROY.'!H$1)))</f>
        <v>0</v>
      </c>
      <c r="I14" s="46">
        <f>$J14*SUMIFS(MH_LNM5_0425_SAN_MIGUEL_CAR[[#All],[TOTAL HORAS RESTANTES]],MH_LNM5_0425_SAN_MIGUEL_CAR[[#All],[VERSIÓN]],"="&amp;TRIM(CLEAN($B14)),MH_LNM5_0425_SAN_MIGUEL_CAR[[#All],[ESPECIALIDAD]],"="&amp;TRIM(CLEAN('HOJAS DE HORA PROY.'!I$1)))</f>
        <v>0</v>
      </c>
      <c r="J14" s="127">
        <v>1</v>
      </c>
      <c r="K14" s="128">
        <f t="shared" si="0"/>
        <v>16</v>
      </c>
      <c r="L14" s="128"/>
      <c r="M14" s="129" t="s">
        <v>39</v>
      </c>
      <c r="N14" s="107" t="s">
        <v>365</v>
      </c>
      <c r="O14" s="271">
        <v>1500</v>
      </c>
    </row>
    <row r="15" spans="1:18" ht="18" customHeight="1" thickBot="1" x14ac:dyDescent="0.45">
      <c r="A15" s="70" t="str">
        <f>'MH-LNX1 - 0325 - Breña - Juan C'!A2</f>
        <v>LNX1 - 0325 - Breña - Juan Cano</v>
      </c>
      <c r="B15" s="238" t="s">
        <v>162</v>
      </c>
      <c r="C15" s="48">
        <f>$J15*SUMIFS(MH_LNX1___0325___Breña___Juan_C[[TOTAL HORAS RESTANTES]:[TOTAL HORAS RESTANTES]],MH_LNX1___0325___Breña___Juan_C[[VERSIÓN]:[VERSIÓN]],"="&amp;TRIM(CLEAN('HOJAS DE HORA PROY.'!$B15)),MH_LNX1___0325___Breña___Juan_C[[ESPECIALIDAD]:[ESPECIALIDAD]],"="&amp;TRIM(CLEAN('HOJAS DE HORA PROY.'!C$1)))</f>
        <v>0</v>
      </c>
      <c r="D15" s="48">
        <f>$J15*SUMIFS(MH_LNX1___0325___Breña___Juan_C[[TOTAL HORAS RESTANTES]:[TOTAL HORAS RESTANTES]],MH_LNX1___0325___Breña___Juan_C[[VERSIÓN]:[VERSIÓN]],"="&amp;TRIM(CLEAN('HOJAS DE HORA PROY.'!$B15)),MH_LNX1___0325___Breña___Juan_C[[ESPECIALIDAD]:[ESPECIALIDAD]],"="&amp;TRIM(CLEAN('HOJAS DE HORA PROY.'!D$1)))</f>
        <v>0</v>
      </c>
      <c r="E15" s="48">
        <f>$J15*SUMIFS(MH_LNX1___0325___Breña___Juan_C[[TOTAL HORAS RESTANTES]:[TOTAL HORAS RESTANTES]],MH_LNX1___0325___Breña___Juan_C[[VERSIÓN]:[VERSIÓN]],"="&amp;TRIM(CLEAN('HOJAS DE HORA PROY.'!$B15)),MH_LNX1___0325___Breña___Juan_C[[ESPECIALIDAD]:[ESPECIALIDAD]],"="&amp;TRIM(CLEAN('HOJAS DE HORA PROY.'!E$1)))</f>
        <v>0</v>
      </c>
      <c r="F15" s="48">
        <f>$J15*SUMIFS(MH_LNX1___0325___Breña___Juan_C[[TOTAL HORAS RESTANTES]:[TOTAL HORAS RESTANTES]],MH_LNX1___0325___Breña___Juan_C[[VERSIÓN]:[VERSIÓN]],"="&amp;TRIM(CLEAN('HOJAS DE HORA PROY.'!$B15)),MH_LNX1___0325___Breña___Juan_C[[ESPECIALIDAD]:[ESPECIALIDAD]],"="&amp;TRIM(CLEAN('HOJAS DE HORA PROY.'!F$1)))</f>
        <v>0</v>
      </c>
      <c r="G15" s="48">
        <f>$J15*SUMIFS(MH_LNX1___0325___Breña___Juan_C[[TOTAL HORAS RESTANTES]:[TOTAL HORAS RESTANTES]],MH_LNX1___0325___Breña___Juan_C[[VERSIÓN]:[VERSIÓN]],"="&amp;TRIM(CLEAN('HOJAS DE HORA PROY.'!$B15)),MH_LNX1___0325___Breña___Juan_C[[ESPECIALIDAD]:[ESPECIALIDAD]],"="&amp;TRIM(CLEAN('HOJAS DE HORA PROY.'!G$1)))</f>
        <v>0</v>
      </c>
      <c r="H15" s="48">
        <f>$J15*SUMIFS(MH_LNX1___0325___Breña___Juan_C[[TOTAL HORAS RESTANTES]:[TOTAL HORAS RESTANTES]],MH_LNX1___0325___Breña___Juan_C[[VERSIÓN]:[VERSIÓN]],"="&amp;TRIM(CLEAN('HOJAS DE HORA PROY.'!$B15)),MH_LNX1___0325___Breña___Juan_C[[ESPECIALIDAD]:[ESPECIALIDAD]],"="&amp;TRIM(CLEAN('HOJAS DE HORA PROY.'!H$1)))</f>
        <v>0</v>
      </c>
      <c r="I15" s="48">
        <f>$J15*SUMIFS(MH_LNX1___0325___Breña___Juan_C[[TOTAL HORAS RESTANTES]:[TOTAL HORAS RESTANTES]],MH_LNX1___0325___Breña___Juan_C[[VERSIÓN]:[VERSIÓN]],"="&amp;TRIM(CLEAN('HOJAS DE HORA PROY.'!$B15)),MH_LNX1___0325___Breña___Juan_C[[ESPECIALIDAD]:[ESPECIALIDAD]],"="&amp;TRIM(CLEAN('HOJAS DE HORA PROY.'!I$1)))</f>
        <v>0</v>
      </c>
      <c r="J15" s="130">
        <v>1</v>
      </c>
      <c r="K15" s="131">
        <f t="shared" si="0"/>
        <v>0</v>
      </c>
      <c r="L15" s="131"/>
      <c r="M15" s="132" t="s">
        <v>40</v>
      </c>
      <c r="N15" s="133" t="s">
        <v>366</v>
      </c>
      <c r="O15" s="272">
        <v>0</v>
      </c>
    </row>
    <row r="16" spans="1:18" ht="18" customHeight="1" x14ac:dyDescent="0.4">
      <c r="A16" s="60" t="str">
        <f>'MH-LNM7 - 0925 - Cedros - Ninah'!A4</f>
        <v>LNM7 - 0925 - Cedros de Villa Chorrillos - Arq. Martin Ninahuanca</v>
      </c>
      <c r="B16" s="228" t="s">
        <v>81</v>
      </c>
      <c r="C16" s="45">
        <f>$J16*SUMIFS(MH_LNM7___0925___Cedros___Ninah[[TOTAL HORAS RESTANTES]:[TOTAL HORAS RESTANTES]],MH_LNM7___0925___Cedros___Ninah[[VERSIÓN]:[VERSIÓN]],"="&amp;TRIM(CLEAN('HOJAS DE HORA PROY.'!$B16)),MH_LNM7___0925___Cedros___Ninah[[ESPECIALIDAD]:[ESPECIALIDAD]],"="&amp;TRIM(CLEAN('HOJAS DE HORA PROY.'!C$1)))</f>
        <v>0</v>
      </c>
      <c r="D16" s="45">
        <f>$J16*SUMIFS(MH_LNM7___0925___Cedros___Ninah[[TOTAL HORAS RESTANTES]:[TOTAL HORAS RESTANTES]],MH_LNM7___0925___Cedros___Ninah[[VERSIÓN]:[VERSIÓN]],"="&amp;TRIM(CLEAN('HOJAS DE HORA PROY.'!$B16)),MH_LNM7___0925___Cedros___Ninah[[ESPECIALIDAD]:[ESPECIALIDAD]],"="&amp;TRIM(CLEAN('HOJAS DE HORA PROY.'!D$1)))</f>
        <v>0</v>
      </c>
      <c r="E16" s="45">
        <f>$J16*SUMIFS(MH_LNM7___0925___Cedros___Ninah[[TOTAL HORAS RESTANTES]:[TOTAL HORAS RESTANTES]],MH_LNM7___0925___Cedros___Ninah[[VERSIÓN]:[VERSIÓN]],"="&amp;TRIM(CLEAN('HOJAS DE HORA PROY.'!$B16)),MH_LNM7___0925___Cedros___Ninah[[ESPECIALIDAD]:[ESPECIALIDAD]],"="&amp;TRIM(CLEAN('HOJAS DE HORA PROY.'!E$1)))</f>
        <v>0</v>
      </c>
      <c r="F16" s="45">
        <f>$J16*SUMIFS(MH_LNM7___0925___Cedros___Ninah[[TOTAL HORAS RESTANTES]:[TOTAL HORAS RESTANTES]],MH_LNM7___0925___Cedros___Ninah[[VERSIÓN]:[VERSIÓN]],"="&amp;TRIM(CLEAN('HOJAS DE HORA PROY.'!$B16)),MH_LNM7___0925___Cedros___Ninah[[ESPECIALIDAD]:[ESPECIALIDAD]],"="&amp;TRIM(CLEAN('HOJAS DE HORA PROY.'!F$1)))</f>
        <v>0</v>
      </c>
      <c r="G16" s="45">
        <f>$J16*SUMIFS(MH_LNM7___0925___Cedros___Ninah[[TOTAL HORAS RESTANTES]:[TOTAL HORAS RESTANTES]],MH_LNM7___0925___Cedros___Ninah[[VERSIÓN]:[VERSIÓN]],"="&amp;TRIM(CLEAN('HOJAS DE HORA PROY.'!$B16)),MH_LNM7___0925___Cedros___Ninah[[ESPECIALIDAD]:[ESPECIALIDAD]],"="&amp;TRIM(CLEAN('HOJAS DE HORA PROY.'!G$1)))</f>
        <v>0</v>
      </c>
      <c r="H16" s="45">
        <f>$J16*SUMIFS(MH_LNM7___0925___Cedros___Ninah[[TOTAL HORAS RESTANTES]:[TOTAL HORAS RESTANTES]],MH_LNM7___0925___Cedros___Ninah[[VERSIÓN]:[VERSIÓN]],"="&amp;TRIM(CLEAN('HOJAS DE HORA PROY.'!$B16)),MH_LNM7___0925___Cedros___Ninah[[ESPECIALIDAD]:[ESPECIALIDAD]],"="&amp;TRIM(CLEAN('HOJAS DE HORA PROY.'!H$1)))</f>
        <v>0</v>
      </c>
      <c r="I16" s="45">
        <f>$J16*SUMIFS(MH_LNM7___0925___Cedros___Ninah[[TOTAL HORAS RESTANTES]:[TOTAL HORAS RESTANTES]],MH_LNM7___0925___Cedros___Ninah[[VERSIÓN]:[VERSIÓN]],"="&amp;TRIM(CLEAN('HOJAS DE HORA PROY.'!$B16)),MH_LNM7___0925___Cedros___Ninah[[ESPECIALIDAD]:[ESPECIALIDAD]],"="&amp;TRIM(CLEAN('HOJAS DE HORA PROY.'!I$1)))</f>
        <v>0</v>
      </c>
      <c r="J16" s="100">
        <v>1</v>
      </c>
      <c r="K16" s="101">
        <f t="shared" si="0"/>
        <v>0</v>
      </c>
      <c r="L16" s="101"/>
      <c r="M16" s="102"/>
      <c r="N16" s="103" t="s">
        <v>331</v>
      </c>
      <c r="O16" s="269">
        <v>0</v>
      </c>
    </row>
    <row r="17" spans="1:18" ht="18" customHeight="1" x14ac:dyDescent="0.4">
      <c r="A17" s="71" t="str">
        <f>'MH-LNM7 - 0925 - Cedros - Ninah'!A4</f>
        <v>LNM7 - 0925 - Cedros de Villa Chorrillos - Arq. Martin Ninahuanca</v>
      </c>
      <c r="B17" s="239" t="s">
        <v>170</v>
      </c>
      <c r="C17" s="47">
        <f>$J17*SUMIFS(MH_LNM7___0925___Cedros___Ninah[[TOTAL HORAS RESTANTES]:[TOTAL HORAS RESTANTES]],MH_LNM7___0925___Cedros___Ninah[[VERSIÓN]:[VERSIÓN]],"="&amp;TRIM(CLEAN('HOJAS DE HORA PROY.'!$B17)),MH_LNM7___0925___Cedros___Ninah[[ESPECIALIDAD]:[ESPECIALIDAD]],"="&amp;TRIM(CLEAN('HOJAS DE HORA PROY.'!C$1)))</f>
        <v>0</v>
      </c>
      <c r="D17" s="47">
        <f>$J17*SUMIFS(MH_LNM7___0925___Cedros___Ninah[[TOTAL HORAS RESTANTES]:[TOTAL HORAS RESTANTES]],MH_LNM7___0925___Cedros___Ninah[[VERSIÓN]:[VERSIÓN]],"="&amp;TRIM(CLEAN('HOJAS DE HORA PROY.'!$B17)),MH_LNM7___0925___Cedros___Ninah[[ESPECIALIDAD]:[ESPECIALIDAD]],"="&amp;TRIM(CLEAN('HOJAS DE HORA PROY.'!D$1)))</f>
        <v>0</v>
      </c>
      <c r="E17" s="47">
        <f>$J17*SUMIFS(MH_LNM7___0925___Cedros___Ninah[[TOTAL HORAS RESTANTES]:[TOTAL HORAS RESTANTES]],MH_LNM7___0925___Cedros___Ninah[[VERSIÓN]:[VERSIÓN]],"="&amp;TRIM(CLEAN('HOJAS DE HORA PROY.'!$B17)),MH_LNM7___0925___Cedros___Ninah[[ESPECIALIDAD]:[ESPECIALIDAD]],"="&amp;TRIM(CLEAN('HOJAS DE HORA PROY.'!E$1)))</f>
        <v>0</v>
      </c>
      <c r="F17" s="47">
        <f>$J17*SUMIFS(MH_LNM7___0925___Cedros___Ninah[[TOTAL HORAS RESTANTES]:[TOTAL HORAS RESTANTES]],MH_LNM7___0925___Cedros___Ninah[[VERSIÓN]:[VERSIÓN]],"="&amp;TRIM(CLEAN('HOJAS DE HORA PROY.'!$B17)),MH_LNM7___0925___Cedros___Ninah[[ESPECIALIDAD]:[ESPECIALIDAD]],"="&amp;TRIM(CLEAN('HOJAS DE HORA PROY.'!F$1)))</f>
        <v>0</v>
      </c>
      <c r="G17" s="47">
        <f>$J17*SUMIFS(MH_LNM7___0925___Cedros___Ninah[[TOTAL HORAS RESTANTES]:[TOTAL HORAS RESTANTES]],MH_LNM7___0925___Cedros___Ninah[[VERSIÓN]:[VERSIÓN]],"="&amp;TRIM(CLEAN('HOJAS DE HORA PROY.'!$B17)),MH_LNM7___0925___Cedros___Ninah[[ESPECIALIDAD]:[ESPECIALIDAD]],"="&amp;TRIM(CLEAN('HOJAS DE HORA PROY.'!G$1)))</f>
        <v>0</v>
      </c>
      <c r="H17" s="47">
        <f>$J17*SUMIFS(MH_LNM7___0925___Cedros___Ninah[[TOTAL HORAS RESTANTES]:[TOTAL HORAS RESTANTES]],MH_LNM7___0925___Cedros___Ninah[[VERSIÓN]:[VERSIÓN]],"="&amp;TRIM(CLEAN('HOJAS DE HORA PROY.'!$B17)),MH_LNM7___0925___Cedros___Ninah[[ESPECIALIDAD]:[ESPECIALIDAD]],"="&amp;TRIM(CLEAN('HOJAS DE HORA PROY.'!H$1)))</f>
        <v>0</v>
      </c>
      <c r="I17" s="47">
        <f>$J17*SUMIFS(MH_LNM7___0925___Cedros___Ninah[[TOTAL HORAS RESTANTES]:[TOTAL HORAS RESTANTES]],MH_LNM7___0925___Cedros___Ninah[[VERSIÓN]:[VERSIÓN]],"="&amp;TRIM(CLEAN('HOJAS DE HORA PROY.'!$B17)),MH_LNM7___0925___Cedros___Ninah[[ESPECIALIDAD]:[ESPECIALIDAD]],"="&amp;TRIM(CLEAN('HOJAS DE HORA PROY.'!I$1)))</f>
        <v>0</v>
      </c>
      <c r="J17" s="134">
        <v>1</v>
      </c>
      <c r="K17" s="135">
        <f t="shared" si="0"/>
        <v>0</v>
      </c>
      <c r="L17" s="135"/>
      <c r="M17" s="136"/>
      <c r="N17" s="112" t="s">
        <v>331</v>
      </c>
      <c r="O17" s="270"/>
    </row>
    <row r="18" spans="1:18" ht="18" customHeight="1" x14ac:dyDescent="0.4">
      <c r="A18" s="71" t="str">
        <f>'MH-LNM7 - 0925 - Cedros - Ninah'!A5</f>
        <v>LNM7 - 0925 - Cedros de Villa Chorrillos - Arq. Martin Ninahuanca</v>
      </c>
      <c r="B18" s="239" t="s">
        <v>144</v>
      </c>
      <c r="C18" s="47">
        <f>$J18*SUMIFS(MH_LNM7___0925___Cedros___Ninah[[TOTAL HORAS RESTANTES]:[TOTAL HORAS RESTANTES]],MH_LNM7___0925___Cedros___Ninah[[VERSIÓN]:[VERSIÓN]],"="&amp;TRIM(CLEAN('HOJAS DE HORA PROY.'!$B18)),MH_LNM7___0925___Cedros___Ninah[[ESPECIALIDAD]:[ESPECIALIDAD]],"="&amp;TRIM(CLEAN('HOJAS DE HORA PROY.'!C$1)))</f>
        <v>12.5</v>
      </c>
      <c r="D18" s="47">
        <f>$J18*SUMIFS(MH_LNM7___0925___Cedros___Ninah[[TOTAL HORAS RESTANTES]:[TOTAL HORAS RESTANTES]],MH_LNM7___0925___Cedros___Ninah[[VERSIÓN]:[VERSIÓN]],"="&amp;TRIM(CLEAN('HOJAS DE HORA PROY.'!$B18)),MH_LNM7___0925___Cedros___Ninah[[ESPECIALIDAD]:[ESPECIALIDAD]],"="&amp;TRIM(CLEAN('HOJAS DE HORA PROY.'!D$1)))</f>
        <v>9</v>
      </c>
      <c r="E18" s="47">
        <f>$J18*SUMIFS(MH_LNM7___0925___Cedros___Ninah[[TOTAL HORAS RESTANTES]:[TOTAL HORAS RESTANTES]],MH_LNM7___0925___Cedros___Ninah[[VERSIÓN]:[VERSIÓN]],"="&amp;TRIM(CLEAN('HOJAS DE HORA PROY.'!$B18)),MH_LNM7___0925___Cedros___Ninah[[ESPECIALIDAD]:[ESPECIALIDAD]],"="&amp;TRIM(CLEAN('HOJAS DE HORA PROY.'!E$1)))</f>
        <v>0</v>
      </c>
      <c r="F18" s="47">
        <f>$J18*SUMIFS(MH_LNM7___0925___Cedros___Ninah[[TOTAL HORAS RESTANTES]:[TOTAL HORAS RESTANTES]],MH_LNM7___0925___Cedros___Ninah[[VERSIÓN]:[VERSIÓN]],"="&amp;TRIM(CLEAN('HOJAS DE HORA PROY.'!$B18)),MH_LNM7___0925___Cedros___Ninah[[ESPECIALIDAD]:[ESPECIALIDAD]],"="&amp;TRIM(CLEAN('HOJAS DE HORA PROY.'!F$1)))</f>
        <v>4</v>
      </c>
      <c r="G18" s="47">
        <f>$J18*SUMIFS(MH_LNM7___0925___Cedros___Ninah[[TOTAL HORAS RESTANTES]:[TOTAL HORAS RESTANTES]],MH_LNM7___0925___Cedros___Ninah[[VERSIÓN]:[VERSIÓN]],"="&amp;TRIM(CLEAN('HOJAS DE HORA PROY.'!$B18)),MH_LNM7___0925___Cedros___Ninah[[ESPECIALIDAD]:[ESPECIALIDAD]],"="&amp;TRIM(CLEAN('HOJAS DE HORA PROY.'!G$1)))</f>
        <v>5</v>
      </c>
      <c r="H18" s="47">
        <f>$J18*SUMIFS(MH_LNM7___0925___Cedros___Ninah[[TOTAL HORAS RESTANTES]:[TOTAL HORAS RESTANTES]],MH_LNM7___0925___Cedros___Ninah[[VERSIÓN]:[VERSIÓN]],"="&amp;TRIM(CLEAN('HOJAS DE HORA PROY.'!$B18)),MH_LNM7___0925___Cedros___Ninah[[ESPECIALIDAD]:[ESPECIALIDAD]],"="&amp;TRIM(CLEAN('HOJAS DE HORA PROY.'!H$1)))</f>
        <v>0</v>
      </c>
      <c r="I18" s="47">
        <f>$J18*SUMIFS(MH_LNM7___0925___Cedros___Ninah[[TOTAL HORAS RESTANTES]:[TOTAL HORAS RESTANTES]],MH_LNM7___0925___Cedros___Ninah[[VERSIÓN]:[VERSIÓN]],"="&amp;TRIM(CLEAN('HOJAS DE HORA PROY.'!$B18)),MH_LNM7___0925___Cedros___Ninah[[ESPECIALIDAD]:[ESPECIALIDAD]],"="&amp;TRIM(CLEAN('HOJAS DE HORA PROY.'!I$1)))</f>
        <v>0</v>
      </c>
      <c r="J18" s="134">
        <v>1</v>
      </c>
      <c r="K18" s="135">
        <f t="shared" si="0"/>
        <v>30.5</v>
      </c>
      <c r="L18" s="135"/>
      <c r="M18" s="136" t="s">
        <v>40</v>
      </c>
      <c r="N18" s="112" t="s">
        <v>331</v>
      </c>
      <c r="O18" s="270">
        <v>0</v>
      </c>
    </row>
    <row r="19" spans="1:18" ht="18" customHeight="1" thickBot="1" x14ac:dyDescent="0.45">
      <c r="A19" s="61" t="str">
        <f>'MH-LNM7 - 0925 - Cedros - Ninah'!A6</f>
        <v>LNM7 - 0925 - Cedros de Villa Chorrillos - Arq. Martin Ninahuanca</v>
      </c>
      <c r="B19" s="229" t="s">
        <v>83</v>
      </c>
      <c r="C19" s="46">
        <f>$J19*SUMIFS(MH_LNM7___0925___Cedros___Ninah[[TOTAL HORAS RESTANTES]:[TOTAL HORAS RESTANTES]],MH_LNM7___0925___Cedros___Ninah[[VERSIÓN]:[VERSIÓN]],"="&amp;TRIM(CLEAN('HOJAS DE HORA PROY.'!$B19)),MH_LNM7___0925___Cedros___Ninah[[ESPECIALIDAD]:[ESPECIALIDAD]],"="&amp;TRIM(CLEAN('HOJAS DE HORA PROY.'!C$1)))</f>
        <v>0</v>
      </c>
      <c r="D19" s="46">
        <f>$J19*SUMIFS(MH_LNM7___0925___Cedros___Ninah[[TOTAL HORAS RESTANTES]:[TOTAL HORAS RESTANTES]],MH_LNM7___0925___Cedros___Ninah[[VERSIÓN]:[VERSIÓN]],"="&amp;TRIM(CLEAN('HOJAS DE HORA PROY.'!$B19)),MH_LNM7___0925___Cedros___Ninah[[ESPECIALIDAD]:[ESPECIALIDAD]],"="&amp;TRIM(CLEAN('HOJAS DE HORA PROY.'!D$1)))</f>
        <v>0</v>
      </c>
      <c r="E19" s="46">
        <f>$J19*SUMIFS(MH_LNM7___0925___Cedros___Ninah[[TOTAL HORAS RESTANTES]:[TOTAL HORAS RESTANTES]],MH_LNM7___0925___Cedros___Ninah[[VERSIÓN]:[VERSIÓN]],"="&amp;TRIM(CLEAN('HOJAS DE HORA PROY.'!$B19)),MH_LNM7___0925___Cedros___Ninah[[ESPECIALIDAD]:[ESPECIALIDAD]],"="&amp;TRIM(CLEAN('HOJAS DE HORA PROY.'!E$1)))</f>
        <v>0</v>
      </c>
      <c r="F19" s="46">
        <f>$J19*SUMIFS(MH_LNM7___0925___Cedros___Ninah[[TOTAL HORAS RESTANTES]:[TOTAL HORAS RESTANTES]],MH_LNM7___0925___Cedros___Ninah[[VERSIÓN]:[VERSIÓN]],"="&amp;TRIM(CLEAN('HOJAS DE HORA PROY.'!$B19)),MH_LNM7___0925___Cedros___Ninah[[ESPECIALIDAD]:[ESPECIALIDAD]],"="&amp;TRIM(CLEAN('HOJAS DE HORA PROY.'!F$1)))</f>
        <v>0</v>
      </c>
      <c r="G19" s="46">
        <f>$J19*SUMIFS(MH_LNM7___0925___Cedros___Ninah[[TOTAL HORAS RESTANTES]:[TOTAL HORAS RESTANTES]],MH_LNM7___0925___Cedros___Ninah[[VERSIÓN]:[VERSIÓN]],"="&amp;TRIM(CLEAN('HOJAS DE HORA PROY.'!$B19)),MH_LNM7___0925___Cedros___Ninah[[ESPECIALIDAD]:[ESPECIALIDAD]],"="&amp;TRIM(CLEAN('HOJAS DE HORA PROY.'!G$1)))</f>
        <v>0</v>
      </c>
      <c r="H19" s="46">
        <f>$J19*SUMIFS(MH_LNM7___0925___Cedros___Ninah[[TOTAL HORAS RESTANTES]:[TOTAL HORAS RESTANTES]],MH_LNM7___0925___Cedros___Ninah[[VERSIÓN]:[VERSIÓN]],"="&amp;TRIM(CLEAN('HOJAS DE HORA PROY.'!$B19)),MH_LNM7___0925___Cedros___Ninah[[ESPECIALIDAD]:[ESPECIALIDAD]],"="&amp;TRIM(CLEAN('HOJAS DE HORA PROY.'!H$1)))</f>
        <v>0</v>
      </c>
      <c r="I19" s="46">
        <f>$J19*SUMIFS(MH_LNM7___0925___Cedros___Ninah[[TOTAL HORAS RESTANTES]:[TOTAL HORAS RESTANTES]],MH_LNM7___0925___Cedros___Ninah[[VERSIÓN]:[VERSIÓN]],"="&amp;TRIM(CLEAN('HOJAS DE HORA PROY.'!$B19)),MH_LNM7___0925___Cedros___Ninah[[ESPECIALIDAD]:[ESPECIALIDAD]],"="&amp;TRIM(CLEAN('HOJAS DE HORA PROY.'!I$1)))</f>
        <v>0</v>
      </c>
      <c r="J19" s="104">
        <v>1</v>
      </c>
      <c r="K19" s="105">
        <f t="shared" si="0"/>
        <v>0</v>
      </c>
      <c r="L19" s="105"/>
      <c r="M19" s="106" t="s">
        <v>40</v>
      </c>
      <c r="N19" s="107" t="s">
        <v>331</v>
      </c>
      <c r="O19" s="271">
        <v>1000</v>
      </c>
    </row>
    <row r="20" spans="1:18" ht="18" customHeight="1" x14ac:dyDescent="0.4">
      <c r="A20" s="72" t="s">
        <v>203</v>
      </c>
      <c r="B20" s="240" t="s">
        <v>65</v>
      </c>
      <c r="C20" s="45">
        <f>$J20*SUMIFS(MH_ONC2_0725_SAN_ANTONIO_PEDRO[[TOTAL HORAS RESTANTES]:[TOTAL HORAS RESTANTES]],MH_ONC2_0725_SAN_ANTONIO_PEDRO[[VERSIÓN]:[VERSIÓN]],"="&amp;TRIM(CLEAN('HOJAS DE HORA PROY.'!$B20)),MH_ONC2_0725_SAN_ANTONIO_PEDRO[[ESPECIALIDAD]:[ESPECIALIDAD]],"="&amp;TRIM(CLEAN('HOJAS DE HORA PROY.'!C$1)))</f>
        <v>0</v>
      </c>
      <c r="D20" s="45">
        <f>$J20*SUMIFS(MH_ONC2_0725_SAN_ANTONIO_PEDRO[[TOTAL HORAS RESTANTES]:[TOTAL HORAS RESTANTES]],MH_ONC2_0725_SAN_ANTONIO_PEDRO[[VERSIÓN]:[VERSIÓN]],"="&amp;TRIM(CLEAN('HOJAS DE HORA PROY.'!$B20)),MH_ONC2_0725_SAN_ANTONIO_PEDRO[[ESPECIALIDAD]:[ESPECIALIDAD]],"="&amp;TRIM(CLEAN('HOJAS DE HORA PROY.'!D$1)))</f>
        <v>0</v>
      </c>
      <c r="E20" s="45">
        <f>$J20*SUMIFS(MH_ONC2_0725_SAN_ANTONIO_PEDRO[[TOTAL HORAS RESTANTES]:[TOTAL HORAS RESTANTES]],MH_ONC2_0725_SAN_ANTONIO_PEDRO[[VERSIÓN]:[VERSIÓN]],"="&amp;TRIM(CLEAN('HOJAS DE HORA PROY.'!$B20)),MH_ONC2_0725_SAN_ANTONIO_PEDRO[[ESPECIALIDAD]:[ESPECIALIDAD]],"="&amp;TRIM(CLEAN('HOJAS DE HORA PROY.'!E$1)))</f>
        <v>0</v>
      </c>
      <c r="F20" s="45">
        <f>$J20*SUMIFS(MH_ONC2_0725_SAN_ANTONIO_PEDRO[[TOTAL HORAS RESTANTES]:[TOTAL HORAS RESTANTES]],MH_ONC2_0725_SAN_ANTONIO_PEDRO[[VERSIÓN]:[VERSIÓN]],"="&amp;TRIM(CLEAN('HOJAS DE HORA PROY.'!$B20)),MH_ONC2_0725_SAN_ANTONIO_PEDRO[[ESPECIALIDAD]:[ESPECIALIDAD]],"="&amp;TRIM(CLEAN('HOJAS DE HORA PROY.'!F$1)))</f>
        <v>0</v>
      </c>
      <c r="G20" s="45">
        <f>$J20*SUMIFS(MH_ONC2_0725_SAN_ANTONIO_PEDRO[[TOTAL HORAS RESTANTES]:[TOTAL HORAS RESTANTES]],MH_ONC2_0725_SAN_ANTONIO_PEDRO[[VERSIÓN]:[VERSIÓN]],"="&amp;TRIM(CLEAN('HOJAS DE HORA PROY.'!$B20)),MH_ONC2_0725_SAN_ANTONIO_PEDRO[[ESPECIALIDAD]:[ESPECIALIDAD]],"="&amp;TRIM(CLEAN('HOJAS DE HORA PROY.'!G$1)))</f>
        <v>0</v>
      </c>
      <c r="H20" s="45">
        <f>$J20*SUMIFS(MH_ONC2_0725_SAN_ANTONIO_PEDRO[[TOTAL HORAS RESTANTES]:[TOTAL HORAS RESTANTES]],MH_ONC2_0725_SAN_ANTONIO_PEDRO[[VERSIÓN]:[VERSIÓN]],"="&amp;TRIM(CLEAN('HOJAS DE HORA PROY.'!$B20)),MH_ONC2_0725_SAN_ANTONIO_PEDRO[[ESPECIALIDAD]:[ESPECIALIDAD]],"="&amp;TRIM(CLEAN('HOJAS DE HORA PROY.'!H$1)))</f>
        <v>0</v>
      </c>
      <c r="I20" s="45">
        <f>$J20*SUMIFS(MH_ONC2_0725_SAN_ANTONIO_PEDRO[[TOTAL HORAS RESTANTES]:[TOTAL HORAS RESTANTES]],MH_ONC2_0725_SAN_ANTONIO_PEDRO[[VERSIÓN]:[VERSIÓN]],"="&amp;TRIM(CLEAN('HOJAS DE HORA PROY.'!$B20)),MH_ONC2_0725_SAN_ANTONIO_PEDRO[[ESPECIALIDAD]:[ESPECIALIDAD]],"="&amp;TRIM(CLEAN('HOJAS DE HORA PROY.'!I$1)))</f>
        <v>0</v>
      </c>
      <c r="J20" s="137">
        <v>1</v>
      </c>
      <c r="K20" s="138">
        <f t="shared" si="0"/>
        <v>0</v>
      </c>
      <c r="L20" s="138"/>
      <c r="M20" s="139"/>
      <c r="N20" s="103" t="s">
        <v>366</v>
      </c>
      <c r="O20" s="269">
        <v>0</v>
      </c>
    </row>
    <row r="21" spans="1:18" ht="18" customHeight="1" x14ac:dyDescent="0.4">
      <c r="A21" s="73" t="s">
        <v>203</v>
      </c>
      <c r="B21" s="241" t="s">
        <v>206</v>
      </c>
      <c r="C21" s="47">
        <f>$J21*SUMIFS(MH_ONC2_0725_SAN_ANTONIO_PEDRO[[TOTAL HORAS RESTANTES]:[TOTAL HORAS RESTANTES]],MH_ONC2_0725_SAN_ANTONIO_PEDRO[[VERSIÓN]:[VERSIÓN]],"="&amp;TRIM(CLEAN('HOJAS DE HORA PROY.'!$B21)),MH_ONC2_0725_SAN_ANTONIO_PEDRO[[ESPECIALIDAD]:[ESPECIALIDAD]],"="&amp;TRIM(CLEAN('HOJAS DE HORA PROY.'!C$1)))</f>
        <v>5</v>
      </c>
      <c r="D21" s="47">
        <f>$J21*SUMIFS(MH_ONC2_0725_SAN_ANTONIO_PEDRO[[TOTAL HORAS RESTANTES]:[TOTAL HORAS RESTANTES]],MH_ONC2_0725_SAN_ANTONIO_PEDRO[[VERSIÓN]:[VERSIÓN]],"="&amp;TRIM(CLEAN('HOJAS DE HORA PROY.'!$B21)),MH_ONC2_0725_SAN_ANTONIO_PEDRO[[ESPECIALIDAD]:[ESPECIALIDAD]],"="&amp;TRIM(CLEAN('HOJAS DE HORA PROY.'!D$1)))</f>
        <v>0</v>
      </c>
      <c r="E21" s="47">
        <f>$J21*SUMIFS(MH_ONC2_0725_SAN_ANTONIO_PEDRO[[TOTAL HORAS RESTANTES]:[TOTAL HORAS RESTANTES]],MH_ONC2_0725_SAN_ANTONIO_PEDRO[[VERSIÓN]:[VERSIÓN]],"="&amp;TRIM(CLEAN('HOJAS DE HORA PROY.'!$B21)),MH_ONC2_0725_SAN_ANTONIO_PEDRO[[ESPECIALIDAD]:[ESPECIALIDAD]],"="&amp;TRIM(CLEAN('HOJAS DE HORA PROY.'!E$1)))</f>
        <v>0</v>
      </c>
      <c r="F21" s="47">
        <f>$J21*SUMIFS(MH_ONC2_0725_SAN_ANTONIO_PEDRO[[TOTAL HORAS RESTANTES]:[TOTAL HORAS RESTANTES]],MH_ONC2_0725_SAN_ANTONIO_PEDRO[[VERSIÓN]:[VERSIÓN]],"="&amp;TRIM(CLEAN('HOJAS DE HORA PROY.'!$B21)),MH_ONC2_0725_SAN_ANTONIO_PEDRO[[ESPECIALIDAD]:[ESPECIALIDAD]],"="&amp;TRIM(CLEAN('HOJAS DE HORA PROY.'!F$1)))</f>
        <v>0</v>
      </c>
      <c r="G21" s="47">
        <f>$J21*SUMIFS(MH_ONC2_0725_SAN_ANTONIO_PEDRO[[TOTAL HORAS RESTANTES]:[TOTAL HORAS RESTANTES]],MH_ONC2_0725_SAN_ANTONIO_PEDRO[[VERSIÓN]:[VERSIÓN]],"="&amp;TRIM(CLEAN('HOJAS DE HORA PROY.'!$B21)),MH_ONC2_0725_SAN_ANTONIO_PEDRO[[ESPECIALIDAD]:[ESPECIALIDAD]],"="&amp;TRIM(CLEAN('HOJAS DE HORA PROY.'!G$1)))</f>
        <v>0</v>
      </c>
      <c r="H21" s="47">
        <f>$J21*SUMIFS(MH_ONC2_0725_SAN_ANTONIO_PEDRO[[TOTAL HORAS RESTANTES]:[TOTAL HORAS RESTANTES]],MH_ONC2_0725_SAN_ANTONIO_PEDRO[[VERSIÓN]:[VERSIÓN]],"="&amp;TRIM(CLEAN('HOJAS DE HORA PROY.'!$B21)),MH_ONC2_0725_SAN_ANTONIO_PEDRO[[ESPECIALIDAD]:[ESPECIALIDAD]],"="&amp;TRIM(CLEAN('HOJAS DE HORA PROY.'!H$1)))</f>
        <v>0</v>
      </c>
      <c r="I21" s="47">
        <f>$J21*SUMIFS(MH_ONC2_0725_SAN_ANTONIO_PEDRO[[TOTAL HORAS RESTANTES]:[TOTAL HORAS RESTANTES]],MH_ONC2_0725_SAN_ANTONIO_PEDRO[[VERSIÓN]:[VERSIÓN]],"="&amp;TRIM(CLEAN('HOJAS DE HORA PROY.'!$B21)),MH_ONC2_0725_SAN_ANTONIO_PEDRO[[ESPECIALIDAD]:[ESPECIALIDAD]],"="&amp;TRIM(CLEAN('HOJAS DE HORA PROY.'!I$1)))</f>
        <v>0</v>
      </c>
      <c r="J21" s="140">
        <v>1</v>
      </c>
      <c r="K21" s="141">
        <f t="shared" si="0"/>
        <v>5</v>
      </c>
      <c r="L21" s="141"/>
      <c r="M21" s="142"/>
      <c r="N21" s="112" t="s">
        <v>366</v>
      </c>
      <c r="O21" s="270">
        <v>0</v>
      </c>
    </row>
    <row r="22" spans="1:18" ht="18" customHeight="1" x14ac:dyDescent="0.4">
      <c r="A22" s="73" t="s">
        <v>203</v>
      </c>
      <c r="B22" s="241" t="s">
        <v>205</v>
      </c>
      <c r="C22" s="47">
        <f>$J22*SUMIFS(MH_ONC2_0725_SAN_ANTONIO_PEDRO[[TOTAL HORAS RESTANTES]:[TOTAL HORAS RESTANTES]],MH_ONC2_0725_SAN_ANTONIO_PEDRO[[VERSIÓN]:[VERSIÓN]],"="&amp;TRIM(CLEAN('HOJAS DE HORA PROY.'!$B22)),MH_ONC2_0725_SAN_ANTONIO_PEDRO[[ESPECIALIDAD]:[ESPECIALIDAD]],"="&amp;TRIM(CLEAN('HOJAS DE HORA PROY.'!C$1)))</f>
        <v>9</v>
      </c>
      <c r="D22" s="47">
        <f>$J22*SUMIFS(MH_ONC2_0725_SAN_ANTONIO_PEDRO[[TOTAL HORAS RESTANTES]:[TOTAL HORAS RESTANTES]],MH_ONC2_0725_SAN_ANTONIO_PEDRO[[VERSIÓN]:[VERSIÓN]],"="&amp;TRIM(CLEAN('HOJAS DE HORA PROY.'!$B22)),MH_ONC2_0725_SAN_ANTONIO_PEDRO[[ESPECIALIDAD]:[ESPECIALIDAD]],"="&amp;TRIM(CLEAN('HOJAS DE HORA PROY.'!D$1)))</f>
        <v>4</v>
      </c>
      <c r="E22" s="47">
        <f>$J22*SUMIFS(MH_ONC2_0725_SAN_ANTONIO_PEDRO[[TOTAL HORAS RESTANTES]:[TOTAL HORAS RESTANTES]],MH_ONC2_0725_SAN_ANTONIO_PEDRO[[VERSIÓN]:[VERSIÓN]],"="&amp;TRIM(CLEAN('HOJAS DE HORA PROY.'!$B22)),MH_ONC2_0725_SAN_ANTONIO_PEDRO[[ESPECIALIDAD]:[ESPECIALIDAD]],"="&amp;TRIM(CLEAN('HOJAS DE HORA PROY.'!E$1)))</f>
        <v>5</v>
      </c>
      <c r="F22" s="47">
        <f>$J22*SUMIFS(MH_ONC2_0725_SAN_ANTONIO_PEDRO[[TOTAL HORAS RESTANTES]:[TOTAL HORAS RESTANTES]],MH_ONC2_0725_SAN_ANTONIO_PEDRO[[VERSIÓN]:[VERSIÓN]],"="&amp;TRIM(CLEAN('HOJAS DE HORA PROY.'!$B22)),MH_ONC2_0725_SAN_ANTONIO_PEDRO[[ESPECIALIDAD]:[ESPECIALIDAD]],"="&amp;TRIM(CLEAN('HOJAS DE HORA PROY.'!F$1)))</f>
        <v>2</v>
      </c>
      <c r="G22" s="47">
        <f>$J22*SUMIFS(MH_ONC2_0725_SAN_ANTONIO_PEDRO[[TOTAL HORAS RESTANTES]:[TOTAL HORAS RESTANTES]],MH_ONC2_0725_SAN_ANTONIO_PEDRO[[VERSIÓN]:[VERSIÓN]],"="&amp;TRIM(CLEAN('HOJAS DE HORA PROY.'!$B22)),MH_ONC2_0725_SAN_ANTONIO_PEDRO[[ESPECIALIDAD]:[ESPECIALIDAD]],"="&amp;TRIM(CLEAN('HOJAS DE HORA PROY.'!G$1)))</f>
        <v>5</v>
      </c>
      <c r="H22" s="47">
        <f>$J22*SUMIFS(MH_ONC2_0725_SAN_ANTONIO_PEDRO[[TOTAL HORAS RESTANTES]:[TOTAL HORAS RESTANTES]],MH_ONC2_0725_SAN_ANTONIO_PEDRO[[VERSIÓN]:[VERSIÓN]],"="&amp;TRIM(CLEAN('HOJAS DE HORA PROY.'!$B22)),MH_ONC2_0725_SAN_ANTONIO_PEDRO[[ESPECIALIDAD]:[ESPECIALIDAD]],"="&amp;TRIM(CLEAN('HOJAS DE HORA PROY.'!H$1)))</f>
        <v>0</v>
      </c>
      <c r="I22" s="47">
        <f>$J22*SUMIFS(MH_ONC2_0725_SAN_ANTONIO_PEDRO[[TOTAL HORAS RESTANTES]:[TOTAL HORAS RESTANTES]],MH_ONC2_0725_SAN_ANTONIO_PEDRO[[VERSIÓN]:[VERSIÓN]],"="&amp;TRIM(CLEAN('HOJAS DE HORA PROY.'!$B22)),MH_ONC2_0725_SAN_ANTONIO_PEDRO[[ESPECIALIDAD]:[ESPECIALIDAD]],"="&amp;TRIM(CLEAN('HOJAS DE HORA PROY.'!I$1)))</f>
        <v>0</v>
      </c>
      <c r="J22" s="140">
        <v>1</v>
      </c>
      <c r="K22" s="141">
        <f t="shared" si="0"/>
        <v>25</v>
      </c>
      <c r="L22" s="141"/>
      <c r="M22" s="142"/>
      <c r="N22" s="112" t="s">
        <v>366</v>
      </c>
      <c r="O22" s="270">
        <v>0</v>
      </c>
    </row>
    <row r="23" spans="1:18" ht="18" customHeight="1" thickBot="1" x14ac:dyDescent="0.45">
      <c r="A23" s="74" t="s">
        <v>203</v>
      </c>
      <c r="B23" s="242" t="s">
        <v>207</v>
      </c>
      <c r="C23" s="46">
        <f>$J23*SUMIFS(MH_ONC2_0725_SAN_ANTONIO_PEDRO[[TOTAL HORAS RESTANTES]:[TOTAL HORAS RESTANTES]],MH_ONC2_0725_SAN_ANTONIO_PEDRO[[VERSIÓN]:[VERSIÓN]],"="&amp;TRIM(CLEAN('HOJAS DE HORA PROY.'!$B23)),MH_ONC2_0725_SAN_ANTONIO_PEDRO[[ESPECIALIDAD]:[ESPECIALIDAD]],"="&amp;TRIM(CLEAN('HOJAS DE HORA PROY.'!C$1)))</f>
        <v>0</v>
      </c>
      <c r="D23" s="46">
        <f>$J23*SUMIFS(MH_ONC2_0725_SAN_ANTONIO_PEDRO[[TOTAL HORAS RESTANTES]:[TOTAL HORAS RESTANTES]],MH_ONC2_0725_SAN_ANTONIO_PEDRO[[VERSIÓN]:[VERSIÓN]],"="&amp;TRIM(CLEAN('HOJAS DE HORA PROY.'!$B23)),MH_ONC2_0725_SAN_ANTONIO_PEDRO[[ESPECIALIDAD]:[ESPECIALIDAD]],"="&amp;TRIM(CLEAN('HOJAS DE HORA PROY.'!D$1)))</f>
        <v>0</v>
      </c>
      <c r="E23" s="46">
        <f>$J23*SUMIFS(MH_ONC2_0725_SAN_ANTONIO_PEDRO[[TOTAL HORAS RESTANTES]:[TOTAL HORAS RESTANTES]],MH_ONC2_0725_SAN_ANTONIO_PEDRO[[VERSIÓN]:[VERSIÓN]],"="&amp;TRIM(CLEAN('HOJAS DE HORA PROY.'!$B23)),MH_ONC2_0725_SAN_ANTONIO_PEDRO[[ESPECIALIDAD]:[ESPECIALIDAD]],"="&amp;TRIM(CLEAN('HOJAS DE HORA PROY.'!E$1)))</f>
        <v>0</v>
      </c>
      <c r="F23" s="46">
        <f>$J23*SUMIFS(MH_ONC2_0725_SAN_ANTONIO_PEDRO[[TOTAL HORAS RESTANTES]:[TOTAL HORAS RESTANTES]],MH_ONC2_0725_SAN_ANTONIO_PEDRO[[VERSIÓN]:[VERSIÓN]],"="&amp;TRIM(CLEAN('HOJAS DE HORA PROY.'!$B23)),MH_ONC2_0725_SAN_ANTONIO_PEDRO[[ESPECIALIDAD]:[ESPECIALIDAD]],"="&amp;TRIM(CLEAN('HOJAS DE HORA PROY.'!F$1)))</f>
        <v>0</v>
      </c>
      <c r="G23" s="46">
        <f>$J23*SUMIFS(MH_ONC2_0725_SAN_ANTONIO_PEDRO[[TOTAL HORAS RESTANTES]:[TOTAL HORAS RESTANTES]],MH_ONC2_0725_SAN_ANTONIO_PEDRO[[VERSIÓN]:[VERSIÓN]],"="&amp;TRIM(CLEAN('HOJAS DE HORA PROY.'!$B23)),MH_ONC2_0725_SAN_ANTONIO_PEDRO[[ESPECIALIDAD]:[ESPECIALIDAD]],"="&amp;TRIM(CLEAN('HOJAS DE HORA PROY.'!G$1)))</f>
        <v>0</v>
      </c>
      <c r="H23" s="46">
        <f>$J23*SUMIFS(MH_ONC2_0725_SAN_ANTONIO_PEDRO[[TOTAL HORAS RESTANTES]:[TOTAL HORAS RESTANTES]],MH_ONC2_0725_SAN_ANTONIO_PEDRO[[VERSIÓN]:[VERSIÓN]],"="&amp;TRIM(CLEAN('HOJAS DE HORA PROY.'!$B23)),MH_ONC2_0725_SAN_ANTONIO_PEDRO[[ESPECIALIDAD]:[ESPECIALIDAD]],"="&amp;TRIM(CLEAN('HOJAS DE HORA PROY.'!H$1)))</f>
        <v>0</v>
      </c>
      <c r="I23" s="46">
        <f>$J23*SUMIFS(MH_ONC2_0725_SAN_ANTONIO_PEDRO[[TOTAL HORAS RESTANTES]:[TOTAL HORAS RESTANTES]],MH_ONC2_0725_SAN_ANTONIO_PEDRO[[VERSIÓN]:[VERSIÓN]],"="&amp;TRIM(CLEAN('HOJAS DE HORA PROY.'!$B23)),MH_ONC2_0725_SAN_ANTONIO_PEDRO[[ESPECIALIDAD]:[ESPECIALIDAD]],"="&amp;TRIM(CLEAN('HOJAS DE HORA PROY.'!I$1)))</f>
        <v>0</v>
      </c>
      <c r="J23" s="143">
        <v>1</v>
      </c>
      <c r="K23" s="144">
        <f t="shared" si="0"/>
        <v>0</v>
      </c>
      <c r="L23" s="144"/>
      <c r="M23" s="145"/>
      <c r="N23" s="107" t="s">
        <v>366</v>
      </c>
      <c r="O23" s="271">
        <v>0</v>
      </c>
    </row>
    <row r="24" spans="1:18" ht="18" customHeight="1" x14ac:dyDescent="0.4">
      <c r="A24" s="75" t="str">
        <f>'MH-LNC2-Cieneguilla-Sanny &amp; Bry'!A2</f>
        <v>LNC2-Cieneguilla-Sanny &amp; Bryan</v>
      </c>
      <c r="B24" s="243" t="s">
        <v>81</v>
      </c>
      <c r="C24" s="45">
        <f>$J24*SUMIFS(MH_LNC2_Cieneguilla_Sanny___Bry[[#All],[TOTAL HORAS RESTANTES]],MH_LNC2_Cieneguilla_Sanny___Bry[[#All],[VERSIÓN]],"="&amp;TRIM(CLEAN($B24)),MH_LNC2_Cieneguilla_Sanny___Bry[[#All],[ESPECIALIDAD]],"="&amp;TRIM(CLEAN('HOJAS DE HORA PROY.'!C$1)))</f>
        <v>0</v>
      </c>
      <c r="D24" s="45">
        <f>$J24*SUMIFS(MH_LNC2_Cieneguilla_Sanny___Bry[[#All],[TOTAL HORAS RESTANTES]],MH_LNC2_Cieneguilla_Sanny___Bry[[#All],[VERSIÓN]],"="&amp;TRIM(CLEAN($B24)),MH_LNC2_Cieneguilla_Sanny___Bry[[#All],[ESPECIALIDAD]],"="&amp;TRIM(CLEAN('HOJAS DE HORA PROY.'!D$1)))</f>
        <v>0</v>
      </c>
      <c r="E24" s="45">
        <f>$J24*SUMIFS(MH_LNC2_Cieneguilla_Sanny___Bry[[#All],[TOTAL HORAS RESTANTES]],MH_LNC2_Cieneguilla_Sanny___Bry[[#All],[VERSIÓN]],"="&amp;TRIM(CLEAN($B24)),MH_LNC2_Cieneguilla_Sanny___Bry[[#All],[ESPECIALIDAD]],"="&amp;TRIM(CLEAN('HOJAS DE HORA PROY.'!E$1)))</f>
        <v>0</v>
      </c>
      <c r="F24" s="45">
        <f>$J24*SUMIFS(MH_LNC2_Cieneguilla_Sanny___Bry[[#All],[TOTAL HORAS RESTANTES]],MH_LNC2_Cieneguilla_Sanny___Bry[[#All],[VERSIÓN]],"="&amp;TRIM(CLEAN($B24)),MH_LNC2_Cieneguilla_Sanny___Bry[[#All],[ESPECIALIDAD]],"="&amp;TRIM(CLEAN('HOJAS DE HORA PROY.'!F$1)))</f>
        <v>0</v>
      </c>
      <c r="G24" s="45">
        <f>$J24*SUMIFS(MH_LNC2_Cieneguilla_Sanny___Bry[[#All],[TOTAL HORAS RESTANTES]],MH_LNC2_Cieneguilla_Sanny___Bry[[#All],[VERSIÓN]],"="&amp;TRIM(CLEAN($B24)),MH_LNC2_Cieneguilla_Sanny___Bry[[#All],[ESPECIALIDAD]],"="&amp;TRIM(CLEAN('HOJAS DE HORA PROY.'!G$1)))</f>
        <v>0</v>
      </c>
      <c r="H24" s="45">
        <f>$J24*SUMIFS(MH_LNC2_Cieneguilla_Sanny___Bry[[#All],[TOTAL HORAS RESTANTES]],MH_LNC2_Cieneguilla_Sanny___Bry[[#All],[VERSIÓN]],"="&amp;TRIM(CLEAN($B24)),MH_LNC2_Cieneguilla_Sanny___Bry[[#All],[ESPECIALIDAD]],"="&amp;TRIM(CLEAN('HOJAS DE HORA PROY.'!H$1)))</f>
        <v>0</v>
      </c>
      <c r="I24" s="45">
        <f>$J24*SUMIFS(MH_LNC2_Cieneguilla_Sanny___Bry[[#All],[TOTAL HORAS RESTANTES]],MH_LNC2_Cieneguilla_Sanny___Bry[[#All],[VERSIÓN]],"="&amp;TRIM(CLEAN($B24)),MH_LNC2_Cieneguilla_Sanny___Bry[[#All],[ESPECIALIDAD]],"="&amp;TRIM(CLEAN('HOJAS DE HORA PROY.'!I$1)))</f>
        <v>0</v>
      </c>
      <c r="J24" s="146">
        <v>1</v>
      </c>
      <c r="K24" s="147">
        <f t="shared" si="0"/>
        <v>0</v>
      </c>
      <c r="L24" s="147"/>
      <c r="M24" s="148"/>
      <c r="N24" s="103" t="s">
        <v>331</v>
      </c>
      <c r="O24" s="269">
        <v>0</v>
      </c>
    </row>
    <row r="25" spans="1:18" ht="18" customHeight="1" x14ac:dyDescent="0.4">
      <c r="A25" s="76" t="str">
        <f>'MH-LNC2-Cieneguilla-Sanny &amp; Bry'!A2</f>
        <v>LNC2-Cieneguilla-Sanny &amp; Bryan</v>
      </c>
      <c r="B25" s="244" t="s">
        <v>170</v>
      </c>
      <c r="C25" s="47">
        <f>$J25*SUMIFS(MH_LNC2_Cieneguilla_Sanny___Bry[[#All],[TOTAL HORAS RESTANTES]],MH_LNC2_Cieneguilla_Sanny___Bry[[#All],[VERSIÓN]],"="&amp;TRIM(CLEAN($B25)),MH_LNC2_Cieneguilla_Sanny___Bry[[#All],[ESPECIALIDAD]],"="&amp;TRIM(CLEAN('HOJAS DE HORA PROY.'!C$1)))</f>
        <v>0</v>
      </c>
      <c r="D25" s="47">
        <f>$J25*SUMIFS(MH_LNC2_Cieneguilla_Sanny___Bry[[#All],[TOTAL HORAS RESTANTES]],MH_LNC2_Cieneguilla_Sanny___Bry[[#All],[VERSIÓN]],"="&amp;TRIM(CLEAN($B25)),MH_LNC2_Cieneguilla_Sanny___Bry[[#All],[ESPECIALIDAD]],"="&amp;TRIM(CLEAN('HOJAS DE HORA PROY.'!D$1)))</f>
        <v>0</v>
      </c>
      <c r="E25" s="47">
        <f>$J25*SUMIFS(MH_LNC2_Cieneguilla_Sanny___Bry[[#All],[TOTAL HORAS RESTANTES]],MH_LNC2_Cieneguilla_Sanny___Bry[[#All],[VERSIÓN]],"="&amp;TRIM(CLEAN($B25)),MH_LNC2_Cieneguilla_Sanny___Bry[[#All],[ESPECIALIDAD]],"="&amp;TRIM(CLEAN('HOJAS DE HORA PROY.'!E$1)))</f>
        <v>0</v>
      </c>
      <c r="F25" s="47">
        <f>$J25*SUMIFS(MH_LNC2_Cieneguilla_Sanny___Bry[[#All],[TOTAL HORAS RESTANTES]],MH_LNC2_Cieneguilla_Sanny___Bry[[#All],[VERSIÓN]],"="&amp;TRIM(CLEAN($B25)),MH_LNC2_Cieneguilla_Sanny___Bry[[#All],[ESPECIALIDAD]],"="&amp;TRIM(CLEAN('HOJAS DE HORA PROY.'!F$1)))</f>
        <v>0</v>
      </c>
      <c r="G25" s="47">
        <f>$J25*SUMIFS(MH_LNC2_Cieneguilla_Sanny___Bry[[#All],[TOTAL HORAS RESTANTES]],MH_LNC2_Cieneguilla_Sanny___Bry[[#All],[VERSIÓN]],"="&amp;TRIM(CLEAN($B25)),MH_LNC2_Cieneguilla_Sanny___Bry[[#All],[ESPECIALIDAD]],"="&amp;TRIM(CLEAN('HOJAS DE HORA PROY.'!G$1)))</f>
        <v>0</v>
      </c>
      <c r="H25" s="47">
        <f>$J25*SUMIFS(MH_LNC2_Cieneguilla_Sanny___Bry[[#All],[TOTAL HORAS RESTANTES]],MH_LNC2_Cieneguilla_Sanny___Bry[[#All],[VERSIÓN]],"="&amp;TRIM(CLEAN($B25)),MH_LNC2_Cieneguilla_Sanny___Bry[[#All],[ESPECIALIDAD]],"="&amp;TRIM(CLEAN('HOJAS DE HORA PROY.'!H$1)))</f>
        <v>0</v>
      </c>
      <c r="I25" s="47">
        <f>$J25*SUMIFS(MH_LNC2_Cieneguilla_Sanny___Bry[[#All],[TOTAL HORAS RESTANTES]],MH_LNC2_Cieneguilla_Sanny___Bry[[#All],[VERSIÓN]],"="&amp;TRIM(CLEAN($B25)),MH_LNC2_Cieneguilla_Sanny___Bry[[#All],[ESPECIALIDAD]],"="&amp;TRIM(CLEAN('HOJAS DE HORA PROY.'!I$1)))</f>
        <v>0</v>
      </c>
      <c r="J25" s="149">
        <v>1</v>
      </c>
      <c r="K25" s="150">
        <f t="shared" ref="K25" si="1">SUM(C25:I25)*J25</f>
        <v>0</v>
      </c>
      <c r="L25" s="150"/>
      <c r="M25" s="151"/>
      <c r="N25" s="112" t="s">
        <v>365</v>
      </c>
      <c r="O25" s="270">
        <v>0</v>
      </c>
    </row>
    <row r="26" spans="1:18" ht="18" customHeight="1" x14ac:dyDescent="0.4">
      <c r="A26" s="76" t="str">
        <f>'MH-LNC2-Cieneguilla-Sanny &amp; Bry'!A3</f>
        <v>LNC2-Cieneguilla-Sanny &amp; Bryan</v>
      </c>
      <c r="B26" s="244" t="s">
        <v>144</v>
      </c>
      <c r="C26" s="47">
        <f>$J26*SUMIFS(MH_LNC2_Cieneguilla_Sanny___Bry[[#All],[TOTAL HORAS RESTANTES]],MH_LNC2_Cieneguilla_Sanny___Bry[[#All],[VERSIÓN]],"="&amp;TRIM(CLEAN($B26)),MH_LNC2_Cieneguilla_Sanny___Bry[[#All],[ESPECIALIDAD]],"="&amp;TRIM(CLEAN('HOJAS DE HORA PROY.'!C$1)))</f>
        <v>12.5</v>
      </c>
      <c r="D26" s="47">
        <f>$J26*SUMIFS(MH_LNC2_Cieneguilla_Sanny___Bry[[#All],[TOTAL HORAS RESTANTES]],MH_LNC2_Cieneguilla_Sanny___Bry[[#All],[VERSIÓN]],"="&amp;TRIM(CLEAN($B26)),MH_LNC2_Cieneguilla_Sanny___Bry[[#All],[ESPECIALIDAD]],"="&amp;TRIM(CLEAN('HOJAS DE HORA PROY.'!D$1)))</f>
        <v>18</v>
      </c>
      <c r="E26" s="47">
        <f>$J26*SUMIFS(MH_LNC2_Cieneguilla_Sanny___Bry[[#All],[TOTAL HORAS RESTANTES]],MH_LNC2_Cieneguilla_Sanny___Bry[[#All],[VERSIÓN]],"="&amp;TRIM(CLEAN($B26)),MH_LNC2_Cieneguilla_Sanny___Bry[[#All],[ESPECIALIDAD]],"="&amp;TRIM(CLEAN('HOJAS DE HORA PROY.'!E$1)))</f>
        <v>0</v>
      </c>
      <c r="F26" s="47">
        <f>$J26*SUMIFS(MH_LNC2_Cieneguilla_Sanny___Bry[[#All],[TOTAL HORAS RESTANTES]],MH_LNC2_Cieneguilla_Sanny___Bry[[#All],[VERSIÓN]],"="&amp;TRIM(CLEAN($B26)),MH_LNC2_Cieneguilla_Sanny___Bry[[#All],[ESPECIALIDAD]],"="&amp;TRIM(CLEAN('HOJAS DE HORA PROY.'!F$1)))</f>
        <v>10</v>
      </c>
      <c r="G26" s="47">
        <f>$J26*SUMIFS(MH_LNC2_Cieneguilla_Sanny___Bry[[#All],[TOTAL HORAS RESTANTES]],MH_LNC2_Cieneguilla_Sanny___Bry[[#All],[VERSIÓN]],"="&amp;TRIM(CLEAN($B26)),MH_LNC2_Cieneguilla_Sanny___Bry[[#All],[ESPECIALIDAD]],"="&amp;TRIM(CLEAN('HOJAS DE HORA PROY.'!G$1)))</f>
        <v>10</v>
      </c>
      <c r="H26" s="47">
        <f>$J26*SUMIFS(MH_LNC2_Cieneguilla_Sanny___Bry[[#All],[TOTAL HORAS RESTANTES]],MH_LNC2_Cieneguilla_Sanny___Bry[[#All],[VERSIÓN]],"="&amp;TRIM(CLEAN($B26)),MH_LNC2_Cieneguilla_Sanny___Bry[[#All],[ESPECIALIDAD]],"="&amp;TRIM(CLEAN('HOJAS DE HORA PROY.'!H$1)))</f>
        <v>0</v>
      </c>
      <c r="I26" s="47">
        <f>$J26*SUMIFS(MH_LNC2_Cieneguilla_Sanny___Bry[[#All],[TOTAL HORAS RESTANTES]],MH_LNC2_Cieneguilla_Sanny___Bry[[#All],[VERSIÓN]],"="&amp;TRIM(CLEAN($B26)),MH_LNC2_Cieneguilla_Sanny___Bry[[#All],[ESPECIALIDAD]],"="&amp;TRIM(CLEAN('HOJAS DE HORA PROY.'!I$1)))</f>
        <v>0</v>
      </c>
      <c r="J26" s="149">
        <v>1</v>
      </c>
      <c r="K26" s="150">
        <f t="shared" si="0"/>
        <v>50.5</v>
      </c>
      <c r="L26" s="150"/>
      <c r="M26" s="151" t="s">
        <v>40</v>
      </c>
      <c r="N26" s="112" t="s">
        <v>365</v>
      </c>
      <c r="O26" s="270">
        <v>0</v>
      </c>
    </row>
    <row r="27" spans="1:18" ht="18" customHeight="1" thickBot="1" x14ac:dyDescent="0.45">
      <c r="A27" s="77" t="str">
        <f>'MH-LNC2-Cieneguilla-Sanny &amp; Bry'!A4</f>
        <v>LNC2-Cieneguilla-Sanny &amp; Bryan</v>
      </c>
      <c r="B27" s="245" t="s">
        <v>83</v>
      </c>
      <c r="C27" s="46">
        <f>$J27*SUMIFS(MH_LNC2_Cieneguilla_Sanny___Bry[[#All],[TOTAL HORAS RESTANTES]],MH_LNC2_Cieneguilla_Sanny___Bry[[#All],[VERSIÓN]],"="&amp;TRIM(CLEAN($B27)),MH_LNC2_Cieneguilla_Sanny___Bry[[#All],[ESPECIALIDAD]],"="&amp;TRIM(CLEAN('HOJAS DE HORA PROY.'!C$1)))</f>
        <v>0</v>
      </c>
      <c r="D27" s="46">
        <f>$J27*SUMIFS(MH_LNC2_Cieneguilla_Sanny___Bry[[#All],[TOTAL HORAS RESTANTES]],MH_LNC2_Cieneguilla_Sanny___Bry[[#All],[VERSIÓN]],"="&amp;TRIM(CLEAN($B27)),MH_LNC2_Cieneguilla_Sanny___Bry[[#All],[ESPECIALIDAD]],"="&amp;TRIM(CLEAN('HOJAS DE HORA PROY.'!D$1)))</f>
        <v>0</v>
      </c>
      <c r="E27" s="46">
        <f>$J27*SUMIFS(MH_LNC2_Cieneguilla_Sanny___Bry[[#All],[TOTAL HORAS RESTANTES]],MH_LNC2_Cieneguilla_Sanny___Bry[[#All],[VERSIÓN]],"="&amp;TRIM(CLEAN($B27)),MH_LNC2_Cieneguilla_Sanny___Bry[[#All],[ESPECIALIDAD]],"="&amp;TRIM(CLEAN('HOJAS DE HORA PROY.'!E$1)))</f>
        <v>0</v>
      </c>
      <c r="F27" s="46">
        <f>$J27*SUMIFS(MH_LNC2_Cieneguilla_Sanny___Bry[[#All],[TOTAL HORAS RESTANTES]],MH_LNC2_Cieneguilla_Sanny___Bry[[#All],[VERSIÓN]],"="&amp;TRIM(CLEAN($B27)),MH_LNC2_Cieneguilla_Sanny___Bry[[#All],[ESPECIALIDAD]],"="&amp;TRIM(CLEAN('HOJAS DE HORA PROY.'!F$1)))</f>
        <v>0</v>
      </c>
      <c r="G27" s="46">
        <f>$J27*SUMIFS(MH_LNC2_Cieneguilla_Sanny___Bry[[#All],[TOTAL HORAS RESTANTES]],MH_LNC2_Cieneguilla_Sanny___Bry[[#All],[VERSIÓN]],"="&amp;TRIM(CLEAN($B27)),MH_LNC2_Cieneguilla_Sanny___Bry[[#All],[ESPECIALIDAD]],"="&amp;TRIM(CLEAN('HOJAS DE HORA PROY.'!G$1)))</f>
        <v>0</v>
      </c>
      <c r="H27" s="46">
        <f>$J27*SUMIFS(MH_LNC2_Cieneguilla_Sanny___Bry[[#All],[TOTAL HORAS RESTANTES]],MH_LNC2_Cieneguilla_Sanny___Bry[[#All],[VERSIÓN]],"="&amp;TRIM(CLEAN($B27)),MH_LNC2_Cieneguilla_Sanny___Bry[[#All],[ESPECIALIDAD]],"="&amp;TRIM(CLEAN('HOJAS DE HORA PROY.'!H$1)))</f>
        <v>0</v>
      </c>
      <c r="I27" s="46">
        <f>$J27*SUMIFS(MH_LNC2_Cieneguilla_Sanny___Bry[[#All],[TOTAL HORAS RESTANTES]],MH_LNC2_Cieneguilla_Sanny___Bry[[#All],[VERSIÓN]],"="&amp;TRIM(CLEAN($B27)),MH_LNC2_Cieneguilla_Sanny___Bry[[#All],[ESPECIALIDAD]],"="&amp;TRIM(CLEAN('HOJAS DE HORA PROY.'!I$1)))</f>
        <v>5</v>
      </c>
      <c r="J27" s="152">
        <v>1</v>
      </c>
      <c r="K27" s="153">
        <f t="shared" ref="K27:K38" si="2">SUM(C27:I27)*J27</f>
        <v>5</v>
      </c>
      <c r="L27" s="153"/>
      <c r="M27" s="154" t="s">
        <v>39</v>
      </c>
      <c r="N27" s="107" t="s">
        <v>365</v>
      </c>
      <c r="O27" s="271">
        <v>0</v>
      </c>
    </row>
    <row r="28" spans="1:18" ht="18" customHeight="1" x14ac:dyDescent="0.4">
      <c r="A28" s="65" t="str">
        <f>'MH-LNM5 - San Miguel - Ing  Mar'!$A$2</f>
        <v>LNM5 - San Miguel - Ing. Mario Martín</v>
      </c>
      <c r="B28" s="233" t="s">
        <v>213</v>
      </c>
      <c r="C28" s="45">
        <f>$J28*SUMIFS(MH_LNM5___San_Miguel___Ing__Mar[[TOTAL HORAS RESTANTES]:[TOTAL HORAS RESTANTES]],MH_LNM5___San_Miguel___Ing__Mar[[VERSIÓN]:[VERSIÓN]],"="&amp;TRIM(CLEAN('HOJAS DE HORA PROY.'!$B28)),MH_LNM5___San_Miguel___Ing__Mar[[ESPECIALIDAD]:[ESPECIALIDAD]],"="&amp;TRIM(CLEAN('HOJAS DE HORA PROY.'!C$1)))</f>
        <v>0</v>
      </c>
      <c r="D28" s="45">
        <f>$J28*SUMIFS(MH_LNM5___San_Miguel___Ing__Mar[[TOTAL HORAS RESTANTES]:[TOTAL HORAS RESTANTES]],MH_LNM5___San_Miguel___Ing__Mar[[VERSIÓN]:[VERSIÓN]],"="&amp;TRIM(CLEAN('HOJAS DE HORA PROY.'!$B28)),MH_LNM5___San_Miguel___Ing__Mar[[ESPECIALIDAD]:[ESPECIALIDAD]],"="&amp;TRIM(CLEAN('HOJAS DE HORA PROY.'!D$1)))</f>
        <v>0</v>
      </c>
      <c r="E28" s="45">
        <f>$J28*SUMIFS(MH_LNM5___San_Miguel___Ing__Mar[[TOTAL HORAS RESTANTES]:[TOTAL HORAS RESTANTES]],MH_LNM5___San_Miguel___Ing__Mar[[VERSIÓN]:[VERSIÓN]],"="&amp;TRIM(CLEAN('HOJAS DE HORA PROY.'!$B28)),MH_LNM5___San_Miguel___Ing__Mar[[ESPECIALIDAD]:[ESPECIALIDAD]],"="&amp;TRIM(CLEAN('HOJAS DE HORA PROY.'!E$1)))</f>
        <v>0</v>
      </c>
      <c r="F28" s="45">
        <f>$J28*SUMIFS(MH_LNM5___San_Miguel___Ing__Mar[[TOTAL HORAS RESTANTES]:[TOTAL HORAS RESTANTES]],MH_LNM5___San_Miguel___Ing__Mar[[VERSIÓN]:[VERSIÓN]],"="&amp;TRIM(CLEAN('HOJAS DE HORA PROY.'!$B28)),MH_LNM5___San_Miguel___Ing__Mar[[ESPECIALIDAD]:[ESPECIALIDAD]],"="&amp;TRIM(CLEAN('HOJAS DE HORA PROY.'!F$1)))</f>
        <v>0</v>
      </c>
      <c r="G28" s="45">
        <f>$J28*SUMIFS(MH_LNM5___San_Miguel___Ing__Mar[[TOTAL HORAS RESTANTES]:[TOTAL HORAS RESTANTES]],MH_LNM5___San_Miguel___Ing__Mar[[VERSIÓN]:[VERSIÓN]],"="&amp;TRIM(CLEAN('HOJAS DE HORA PROY.'!$B28)),MH_LNM5___San_Miguel___Ing__Mar[[ESPECIALIDAD]:[ESPECIALIDAD]],"="&amp;TRIM(CLEAN('HOJAS DE HORA PROY.'!G$1)))</f>
        <v>0</v>
      </c>
      <c r="H28" s="45">
        <f>$J28*SUMIFS(MH_LNM5___San_Miguel___Ing__Mar[[TOTAL HORAS RESTANTES]:[TOTAL HORAS RESTANTES]],MH_LNM5___San_Miguel___Ing__Mar[[VERSIÓN]:[VERSIÓN]],"="&amp;TRIM(CLEAN('HOJAS DE HORA PROY.'!$B28)),MH_LNM5___San_Miguel___Ing__Mar[[ESPECIALIDAD]:[ESPECIALIDAD]],"="&amp;TRIM(CLEAN('HOJAS DE HORA PROY.'!H$1)))</f>
        <v>0</v>
      </c>
      <c r="I28" s="45">
        <f>$J28*SUMIFS(MH_LNM5___San_Miguel___Ing__Mar[[TOTAL HORAS RESTANTES]:[TOTAL HORAS RESTANTES]],MH_LNM5___San_Miguel___Ing__Mar[[VERSIÓN]:[VERSIÓN]],"="&amp;TRIM(CLEAN('HOJAS DE HORA PROY.'!$B28)),MH_LNM5___San_Miguel___Ing__Mar[[ESPECIALIDAD]:[ESPECIALIDAD]],"="&amp;TRIM(CLEAN('HOJAS DE HORA PROY.'!I$1)))</f>
        <v>0</v>
      </c>
      <c r="J28" s="155">
        <v>1</v>
      </c>
      <c r="K28" s="156">
        <f t="shared" si="2"/>
        <v>0</v>
      </c>
      <c r="L28" s="156"/>
      <c r="M28" s="118"/>
      <c r="N28" s="103" t="s">
        <v>365</v>
      </c>
      <c r="O28" s="269">
        <v>0</v>
      </c>
    </row>
    <row r="29" spans="1:18" ht="18" customHeight="1" thickBot="1" x14ac:dyDescent="0.45">
      <c r="A29" s="276" t="str">
        <f>'MH-LNM5 - San Miguel - Ing  Mar'!$A$2</f>
        <v>LNM5 - San Miguel - Ing. Mario Martín</v>
      </c>
      <c r="B29" s="277" t="s">
        <v>207</v>
      </c>
      <c r="C29" s="52">
        <f>$J29*SUMIFS(MH_LNM5___San_Miguel___Ing__Mar[[TOTAL HORAS RESTANTES]:[TOTAL HORAS RESTANTES]],MH_LNM5___San_Miguel___Ing__Mar[[VERSIÓN]:[VERSIÓN]],"="&amp;TRIM(CLEAN('HOJAS DE HORA PROY.'!$B29)),MH_LNM5___San_Miguel___Ing__Mar[[ESPECIALIDAD]:[ESPECIALIDAD]],"="&amp;TRIM(CLEAN('HOJAS DE HORA PROY.'!C$1)))</f>
        <v>0</v>
      </c>
      <c r="D29" s="52">
        <f>$J29*SUMIFS(MH_LNM5___San_Miguel___Ing__Mar[[TOTAL HORAS RESTANTES]:[TOTAL HORAS RESTANTES]],MH_LNM5___San_Miguel___Ing__Mar[[VERSIÓN]:[VERSIÓN]],"="&amp;TRIM(CLEAN('HOJAS DE HORA PROY.'!$B29)),MH_LNM5___San_Miguel___Ing__Mar[[ESPECIALIDAD]:[ESPECIALIDAD]],"="&amp;TRIM(CLEAN('HOJAS DE HORA PROY.'!D$1)))</f>
        <v>0</v>
      </c>
      <c r="E29" s="52">
        <f>$J29*SUMIFS(MH_LNM5___San_Miguel___Ing__Mar[[TOTAL HORAS RESTANTES]:[TOTAL HORAS RESTANTES]],MH_LNM5___San_Miguel___Ing__Mar[[VERSIÓN]:[VERSIÓN]],"="&amp;TRIM(CLEAN('HOJAS DE HORA PROY.'!$B29)),MH_LNM5___San_Miguel___Ing__Mar[[ESPECIALIDAD]:[ESPECIALIDAD]],"="&amp;TRIM(CLEAN('HOJAS DE HORA PROY.'!E$1)))</f>
        <v>0</v>
      </c>
      <c r="F29" s="52">
        <f>$J29*SUMIFS(MH_LNM5___San_Miguel___Ing__Mar[[TOTAL HORAS RESTANTES]:[TOTAL HORAS RESTANTES]],MH_LNM5___San_Miguel___Ing__Mar[[VERSIÓN]:[VERSIÓN]],"="&amp;TRIM(CLEAN('HOJAS DE HORA PROY.'!$B29)),MH_LNM5___San_Miguel___Ing__Mar[[ESPECIALIDAD]:[ESPECIALIDAD]],"="&amp;TRIM(CLEAN('HOJAS DE HORA PROY.'!F$1)))</f>
        <v>0</v>
      </c>
      <c r="G29" s="52">
        <f>$J29*SUMIFS(MH_LNM5___San_Miguel___Ing__Mar[[TOTAL HORAS RESTANTES]:[TOTAL HORAS RESTANTES]],MH_LNM5___San_Miguel___Ing__Mar[[VERSIÓN]:[VERSIÓN]],"="&amp;TRIM(CLEAN('HOJAS DE HORA PROY.'!$B29)),MH_LNM5___San_Miguel___Ing__Mar[[ESPECIALIDAD]:[ESPECIALIDAD]],"="&amp;TRIM(CLEAN('HOJAS DE HORA PROY.'!G$1)))</f>
        <v>0</v>
      </c>
      <c r="H29" s="52">
        <f>$J29*SUMIFS(MH_LNM5___San_Miguel___Ing__Mar[[TOTAL HORAS RESTANTES]:[TOTAL HORAS RESTANTES]],MH_LNM5___San_Miguel___Ing__Mar[[VERSIÓN]:[VERSIÓN]],"="&amp;TRIM(CLEAN('HOJAS DE HORA PROY.'!$B29)),MH_LNM5___San_Miguel___Ing__Mar[[ESPECIALIDAD]:[ESPECIALIDAD]],"="&amp;TRIM(CLEAN('HOJAS DE HORA PROY.'!H$1)))</f>
        <v>0</v>
      </c>
      <c r="I29" s="52">
        <f>$J29*SUMIFS(MH_LNM5___San_Miguel___Ing__Mar[[TOTAL HORAS RESTANTES]:[TOTAL HORAS RESTANTES]],MH_LNM5___San_Miguel___Ing__Mar[[VERSIÓN]:[VERSIÓN]],"="&amp;TRIM(CLEAN('HOJAS DE HORA PROY.'!$B29)),MH_LNM5___San_Miguel___Ing__Mar[[ESPECIALIDAD]:[ESPECIALIDAD]],"="&amp;TRIM(CLEAN('HOJAS DE HORA PROY.'!I$1)))</f>
        <v>0</v>
      </c>
      <c r="J29" s="290">
        <v>1</v>
      </c>
      <c r="K29" s="291">
        <f t="shared" si="2"/>
        <v>0</v>
      </c>
      <c r="L29" s="291"/>
      <c r="M29" s="280"/>
      <c r="N29" s="214" t="s">
        <v>365</v>
      </c>
      <c r="O29" s="273">
        <v>0</v>
      </c>
    </row>
    <row r="30" spans="1:18" ht="18" customHeight="1" x14ac:dyDescent="0.4">
      <c r="A30" s="78" t="str">
        <f>'MH-ORX5-1125-Surquillo-LuzSuare'!$A$2</f>
        <v>ORX5 - 1125 - Surquillo - Luz suarez</v>
      </c>
      <c r="B30" s="246" t="s">
        <v>140</v>
      </c>
      <c r="C30" s="45">
        <f>$J30*SUMIFS(MH_ORX5_1125_Surquillo_LuzSuare[[TOTAL HORAS RESTANTES]:[TOTAL HORAS RESTANTES]],MH_ORX5_1125_Surquillo_LuzSuare[[VERSIÓN]:[VERSIÓN]],"="&amp;TRIM(CLEAN('HOJAS DE HORA PROY.'!$B30)),MH_ORX5_1125_Surquillo_LuzSuare[[ESPECIALIDAD]:[ESPECIALIDAD]],"="&amp;TRIM(CLEAN('HOJAS DE HORA PROY.'!C$1)))</f>
        <v>0</v>
      </c>
      <c r="D30" s="45">
        <f>$J30*SUMIFS(MH_ORX5_1125_Surquillo_LuzSuare[[TOTAL HORAS RESTANTES]:[TOTAL HORAS RESTANTES]],MH_ORX5_1125_Surquillo_LuzSuare[[VERSIÓN]:[VERSIÓN]],"="&amp;TRIM(CLEAN('HOJAS DE HORA PROY.'!$B30)),MH_ORX5_1125_Surquillo_LuzSuare[[ESPECIALIDAD]:[ESPECIALIDAD]],"="&amp;TRIM(CLEAN('HOJAS DE HORA PROY.'!D$1)))</f>
        <v>0</v>
      </c>
      <c r="E30" s="45">
        <f>$J30*SUMIFS(MH_ORX5_1125_Surquillo_LuzSuare[[TOTAL HORAS RESTANTES]:[TOTAL HORAS RESTANTES]],MH_ORX5_1125_Surquillo_LuzSuare[[VERSIÓN]:[VERSIÓN]],"="&amp;TRIM(CLEAN('HOJAS DE HORA PROY.'!$B30)),MH_ORX5_1125_Surquillo_LuzSuare[[ESPECIALIDAD]:[ESPECIALIDAD]],"="&amp;TRIM(CLEAN('HOJAS DE HORA PROY.'!E$1)))</f>
        <v>0</v>
      </c>
      <c r="F30" s="45">
        <f>$J30*SUMIFS(MH_ORX5_1125_Surquillo_LuzSuare[[TOTAL HORAS RESTANTES]:[TOTAL HORAS RESTANTES]],MH_ORX5_1125_Surquillo_LuzSuare[[VERSIÓN]:[VERSIÓN]],"="&amp;TRIM(CLEAN('HOJAS DE HORA PROY.'!$B30)),MH_ORX5_1125_Surquillo_LuzSuare[[ESPECIALIDAD]:[ESPECIALIDAD]],"="&amp;TRIM(CLEAN('HOJAS DE HORA PROY.'!F$1)))</f>
        <v>0</v>
      </c>
      <c r="G30" s="45">
        <f>$J30*SUMIFS(MH_ORX5_1125_Surquillo_LuzSuare[[TOTAL HORAS RESTANTES]:[TOTAL HORAS RESTANTES]],MH_ORX5_1125_Surquillo_LuzSuare[[VERSIÓN]:[VERSIÓN]],"="&amp;TRIM(CLEAN('HOJAS DE HORA PROY.'!$B30)),MH_ORX5_1125_Surquillo_LuzSuare[[ESPECIALIDAD]:[ESPECIALIDAD]],"="&amp;TRIM(CLEAN('HOJAS DE HORA PROY.'!G$1)))</f>
        <v>0</v>
      </c>
      <c r="H30" s="45">
        <f>$J30*SUMIFS(MH_ORX5_1125_Surquillo_LuzSuare[[TOTAL HORAS RESTANTES]:[TOTAL HORAS RESTANTES]],MH_ORX5_1125_Surquillo_LuzSuare[[VERSIÓN]:[VERSIÓN]],"="&amp;TRIM(CLEAN('HOJAS DE HORA PROY.'!$B30)),MH_ORX5_1125_Surquillo_LuzSuare[[ESPECIALIDAD]:[ESPECIALIDAD]],"="&amp;TRIM(CLEAN('HOJAS DE HORA PROY.'!H$1)))</f>
        <v>0</v>
      </c>
      <c r="I30" s="45">
        <f>$J30*SUMIFS(MH_ORX5_1125_Surquillo_LuzSuare[[TOTAL HORAS RESTANTES]:[TOTAL HORAS RESTANTES]],MH_ORX5_1125_Surquillo_LuzSuare[[VERSIÓN]:[VERSIÓN]],"="&amp;TRIM(CLEAN('HOJAS DE HORA PROY.'!$B30)),MH_ORX5_1125_Surquillo_LuzSuare[[ESPECIALIDAD]:[ESPECIALIDAD]],"="&amp;TRIM(CLEAN('HOJAS DE HORA PROY.'!I$1)))</f>
        <v>0</v>
      </c>
      <c r="J30" s="157">
        <v>1</v>
      </c>
      <c r="K30" s="158">
        <f t="shared" si="2"/>
        <v>0</v>
      </c>
      <c r="L30" s="158"/>
      <c r="M30" s="159"/>
      <c r="N30" s="103" t="s">
        <v>365</v>
      </c>
      <c r="O30" s="269">
        <v>0</v>
      </c>
    </row>
    <row r="31" spans="1:18" ht="18" customHeight="1" x14ac:dyDescent="0.4">
      <c r="A31" s="79" t="str">
        <f>'MH-ORX5-1125-Surquillo-LuzSuare'!$A$2</f>
        <v>ORX5 - 1125 - Surquillo - Luz suarez</v>
      </c>
      <c r="B31" s="247" t="s">
        <v>65</v>
      </c>
      <c r="C31" s="47">
        <f>$J31*SUMIFS(MH_ORX5_1125_Surquillo_LuzSuare[[TOTAL HORAS RESTANTES]:[TOTAL HORAS RESTANTES]],MH_ORX5_1125_Surquillo_LuzSuare[[VERSIÓN]:[VERSIÓN]],"="&amp;TRIM(CLEAN('HOJAS DE HORA PROY.'!$B31)),MH_ORX5_1125_Surquillo_LuzSuare[[ESPECIALIDAD]:[ESPECIALIDAD]],"="&amp;TRIM(CLEAN('HOJAS DE HORA PROY.'!C$1)))</f>
        <v>0</v>
      </c>
      <c r="D31" s="47">
        <f>$J31*SUMIFS(MH_ORX5_1125_Surquillo_LuzSuare[[TOTAL HORAS RESTANTES]:[TOTAL HORAS RESTANTES]],MH_ORX5_1125_Surquillo_LuzSuare[[VERSIÓN]:[VERSIÓN]],"="&amp;TRIM(CLEAN('HOJAS DE HORA PROY.'!$B31)),MH_ORX5_1125_Surquillo_LuzSuare[[ESPECIALIDAD]:[ESPECIALIDAD]],"="&amp;TRIM(CLEAN('HOJAS DE HORA PROY.'!D$1)))</f>
        <v>5</v>
      </c>
      <c r="E31" s="47">
        <f>$J31*SUMIFS(MH_ORX5_1125_Surquillo_LuzSuare[[TOTAL HORAS RESTANTES]:[TOTAL HORAS RESTANTES]],MH_ORX5_1125_Surquillo_LuzSuare[[VERSIÓN]:[VERSIÓN]],"="&amp;TRIM(CLEAN('HOJAS DE HORA PROY.'!$B31)),MH_ORX5_1125_Surquillo_LuzSuare[[ESPECIALIDAD]:[ESPECIALIDAD]],"="&amp;TRIM(CLEAN('HOJAS DE HORA PROY.'!E$1)))</f>
        <v>0</v>
      </c>
      <c r="F31" s="47">
        <f>$J31*SUMIFS(MH_ORX5_1125_Surquillo_LuzSuare[[TOTAL HORAS RESTANTES]:[TOTAL HORAS RESTANTES]],MH_ORX5_1125_Surquillo_LuzSuare[[VERSIÓN]:[VERSIÓN]],"="&amp;TRIM(CLEAN('HOJAS DE HORA PROY.'!$B31)),MH_ORX5_1125_Surquillo_LuzSuare[[ESPECIALIDAD]:[ESPECIALIDAD]],"="&amp;TRIM(CLEAN('HOJAS DE HORA PROY.'!F$1)))</f>
        <v>0</v>
      </c>
      <c r="G31" s="47">
        <f>$J31*SUMIFS(MH_ORX5_1125_Surquillo_LuzSuare[[TOTAL HORAS RESTANTES]:[TOTAL HORAS RESTANTES]],MH_ORX5_1125_Surquillo_LuzSuare[[VERSIÓN]:[VERSIÓN]],"="&amp;TRIM(CLEAN('HOJAS DE HORA PROY.'!$B31)),MH_ORX5_1125_Surquillo_LuzSuare[[ESPECIALIDAD]:[ESPECIALIDAD]],"="&amp;TRIM(CLEAN('HOJAS DE HORA PROY.'!G$1)))</f>
        <v>0</v>
      </c>
      <c r="H31" s="47">
        <f>$J31*SUMIFS(MH_ORX5_1125_Surquillo_LuzSuare[[TOTAL HORAS RESTANTES]:[TOTAL HORAS RESTANTES]],MH_ORX5_1125_Surquillo_LuzSuare[[VERSIÓN]:[VERSIÓN]],"="&amp;TRIM(CLEAN('HOJAS DE HORA PROY.'!$B31)),MH_ORX5_1125_Surquillo_LuzSuare[[ESPECIALIDAD]:[ESPECIALIDAD]],"="&amp;TRIM(CLEAN('HOJAS DE HORA PROY.'!H$1)))</f>
        <v>0</v>
      </c>
      <c r="I31" s="47">
        <f>$J31*SUMIFS(MH_ORX5_1125_Surquillo_LuzSuare[[TOTAL HORAS RESTANTES]:[TOTAL HORAS RESTANTES]],MH_ORX5_1125_Surquillo_LuzSuare[[VERSIÓN]:[VERSIÓN]],"="&amp;TRIM(CLEAN('HOJAS DE HORA PROY.'!$B31)),MH_ORX5_1125_Surquillo_LuzSuare[[ESPECIALIDAD]:[ESPECIALIDAD]],"="&amp;TRIM(CLEAN('HOJAS DE HORA PROY.'!I$1)))</f>
        <v>0</v>
      </c>
      <c r="J31" s="160">
        <v>1</v>
      </c>
      <c r="K31" s="161">
        <f t="shared" si="2"/>
        <v>5</v>
      </c>
      <c r="L31" s="161"/>
      <c r="M31" s="289"/>
      <c r="N31" s="112" t="s">
        <v>331</v>
      </c>
      <c r="O31" s="270">
        <v>0</v>
      </c>
      <c r="Q31" s="356"/>
      <c r="R31" t="s">
        <v>575</v>
      </c>
    </row>
    <row r="32" spans="1:18" ht="18" customHeight="1" x14ac:dyDescent="0.4">
      <c r="A32" s="79" t="str">
        <f>'MH-ORX5-1125-Surquillo-LuzSuare'!$A$2</f>
        <v>ORX5 - 1125 - Surquillo - Luz suarez</v>
      </c>
      <c r="B32" s="247" t="s">
        <v>66</v>
      </c>
      <c r="C32" s="47">
        <f>$J32*SUMIFS(MH_ORX5_1125_Surquillo_LuzSuare[[TOTAL HORAS RESTANTES]:[TOTAL HORAS RESTANTES]],MH_ORX5_1125_Surquillo_LuzSuare[[VERSIÓN]:[VERSIÓN]],"="&amp;TRIM(CLEAN('HOJAS DE HORA PROY.'!$B32)),MH_ORX5_1125_Surquillo_LuzSuare[[ESPECIALIDAD]:[ESPECIALIDAD]],"="&amp;TRIM(CLEAN('HOJAS DE HORA PROY.'!C$1)))</f>
        <v>8</v>
      </c>
      <c r="D32" s="47">
        <f>$J32*SUMIFS(MH_ORX5_1125_Surquillo_LuzSuare[[TOTAL HORAS RESTANTES]:[TOTAL HORAS RESTANTES]],MH_ORX5_1125_Surquillo_LuzSuare[[VERSIÓN]:[VERSIÓN]],"="&amp;TRIM(CLEAN('HOJAS DE HORA PROY.'!$B32)),MH_ORX5_1125_Surquillo_LuzSuare[[ESPECIALIDAD]:[ESPECIALIDAD]],"="&amp;TRIM(CLEAN('HOJAS DE HORA PROY.'!D$1)))</f>
        <v>36</v>
      </c>
      <c r="E32" s="47">
        <f>$J32*SUMIFS(MH_ORX5_1125_Surquillo_LuzSuare[[TOTAL HORAS RESTANTES]:[TOTAL HORAS RESTANTES]],MH_ORX5_1125_Surquillo_LuzSuare[[VERSIÓN]:[VERSIÓN]],"="&amp;TRIM(CLEAN('HOJAS DE HORA PROY.'!$B32)),MH_ORX5_1125_Surquillo_LuzSuare[[ESPECIALIDAD]:[ESPECIALIDAD]],"="&amp;TRIM(CLEAN('HOJAS DE HORA PROY.'!E$1)))</f>
        <v>8</v>
      </c>
      <c r="F32" s="47">
        <f>$J32*SUMIFS(MH_ORX5_1125_Surquillo_LuzSuare[[TOTAL HORAS RESTANTES]:[TOTAL HORAS RESTANTES]],MH_ORX5_1125_Surquillo_LuzSuare[[VERSIÓN]:[VERSIÓN]],"="&amp;TRIM(CLEAN('HOJAS DE HORA PROY.'!$B32)),MH_ORX5_1125_Surquillo_LuzSuare[[ESPECIALIDAD]:[ESPECIALIDAD]],"="&amp;TRIM(CLEAN('HOJAS DE HORA PROY.'!F$1)))</f>
        <v>13</v>
      </c>
      <c r="G32" s="47">
        <f>$J32*SUMIFS(MH_ORX5_1125_Surquillo_LuzSuare[[TOTAL HORAS RESTANTES]:[TOTAL HORAS RESTANTES]],MH_ORX5_1125_Surquillo_LuzSuare[[VERSIÓN]:[VERSIÓN]],"="&amp;TRIM(CLEAN('HOJAS DE HORA PROY.'!$B32)),MH_ORX5_1125_Surquillo_LuzSuare[[ESPECIALIDAD]:[ESPECIALIDAD]],"="&amp;TRIM(CLEAN('HOJAS DE HORA PROY.'!G$1)))</f>
        <v>21</v>
      </c>
      <c r="H32" s="47">
        <f>$J32*SUMIFS(MH_ORX5_1125_Surquillo_LuzSuare[[TOTAL HORAS RESTANTES]:[TOTAL HORAS RESTANTES]],MH_ORX5_1125_Surquillo_LuzSuare[[VERSIÓN]:[VERSIÓN]],"="&amp;TRIM(CLEAN('HOJAS DE HORA PROY.'!$B32)),MH_ORX5_1125_Surquillo_LuzSuare[[ESPECIALIDAD]:[ESPECIALIDAD]],"="&amp;TRIM(CLEAN('HOJAS DE HORA PROY.'!H$1)))</f>
        <v>0</v>
      </c>
      <c r="I32" s="47">
        <f>$J32*SUMIFS(MH_ORX5_1125_Surquillo_LuzSuare[[TOTAL HORAS RESTANTES]:[TOTAL HORAS RESTANTES]],MH_ORX5_1125_Surquillo_LuzSuare[[VERSIÓN]:[VERSIÓN]],"="&amp;TRIM(CLEAN('HOJAS DE HORA PROY.'!$B32)),MH_ORX5_1125_Surquillo_LuzSuare[[ESPECIALIDAD]:[ESPECIALIDAD]],"="&amp;TRIM(CLEAN('HOJAS DE HORA PROY.'!I$1)))</f>
        <v>0</v>
      </c>
      <c r="J32" s="160">
        <v>1</v>
      </c>
      <c r="K32" s="161">
        <f t="shared" si="2"/>
        <v>86</v>
      </c>
      <c r="L32" s="161"/>
      <c r="M32" s="162" t="s">
        <v>40</v>
      </c>
      <c r="N32" s="112" t="s">
        <v>331</v>
      </c>
      <c r="O32" s="270">
        <v>0</v>
      </c>
    </row>
    <row r="33" spans="1:18" ht="18" customHeight="1" thickBot="1" x14ac:dyDescent="0.45">
      <c r="A33" s="80" t="str">
        <f>'MH-ORX5-1125-Surquillo-LuzSuare'!$A$2</f>
        <v>ORX5 - 1125 - Surquillo - Luz suarez</v>
      </c>
      <c r="B33" s="248" t="s">
        <v>67</v>
      </c>
      <c r="C33" s="46">
        <f>$J33*SUMIFS(MH_ORX5_1125_Surquillo_LuzSuare[[TOTAL HORAS RESTANTES]:[TOTAL HORAS RESTANTES]],MH_ORX5_1125_Surquillo_LuzSuare[[VERSIÓN]:[VERSIÓN]],"="&amp;TRIM(CLEAN('HOJAS DE HORA PROY.'!$B33)),MH_ORX5_1125_Surquillo_LuzSuare[[ESPECIALIDAD]:[ESPECIALIDAD]],"="&amp;TRIM(CLEAN('HOJAS DE HORA PROY.'!C$1)))</f>
        <v>0</v>
      </c>
      <c r="D33" s="46">
        <f>$J33*SUMIFS(MH_ORX5_1125_Surquillo_LuzSuare[[TOTAL HORAS RESTANTES]:[TOTAL HORAS RESTANTES]],MH_ORX5_1125_Surquillo_LuzSuare[[VERSIÓN]:[VERSIÓN]],"="&amp;TRIM(CLEAN('HOJAS DE HORA PROY.'!$B33)),MH_ORX5_1125_Surquillo_LuzSuare[[ESPECIALIDAD]:[ESPECIALIDAD]],"="&amp;TRIM(CLEAN('HOJAS DE HORA PROY.'!D$1)))</f>
        <v>0</v>
      </c>
      <c r="E33" s="46">
        <f>$J33*SUMIFS(MH_ORX5_1125_Surquillo_LuzSuare[[TOTAL HORAS RESTANTES]:[TOTAL HORAS RESTANTES]],MH_ORX5_1125_Surquillo_LuzSuare[[VERSIÓN]:[VERSIÓN]],"="&amp;TRIM(CLEAN('HOJAS DE HORA PROY.'!$B33)),MH_ORX5_1125_Surquillo_LuzSuare[[ESPECIALIDAD]:[ESPECIALIDAD]],"="&amp;TRIM(CLEAN('HOJAS DE HORA PROY.'!E$1)))</f>
        <v>0</v>
      </c>
      <c r="F33" s="46">
        <f>$J33*SUMIFS(MH_ORX5_1125_Surquillo_LuzSuare[[TOTAL HORAS RESTANTES]:[TOTAL HORAS RESTANTES]],MH_ORX5_1125_Surquillo_LuzSuare[[VERSIÓN]:[VERSIÓN]],"="&amp;TRIM(CLEAN('HOJAS DE HORA PROY.'!$B33)),MH_ORX5_1125_Surquillo_LuzSuare[[ESPECIALIDAD]:[ESPECIALIDAD]],"="&amp;TRIM(CLEAN('HOJAS DE HORA PROY.'!F$1)))</f>
        <v>0</v>
      </c>
      <c r="G33" s="46">
        <f>$J33*SUMIFS(MH_ORX5_1125_Surquillo_LuzSuare[[TOTAL HORAS RESTANTES]:[TOTAL HORAS RESTANTES]],MH_ORX5_1125_Surquillo_LuzSuare[[VERSIÓN]:[VERSIÓN]],"="&amp;TRIM(CLEAN('HOJAS DE HORA PROY.'!$B33)),MH_ORX5_1125_Surquillo_LuzSuare[[ESPECIALIDAD]:[ESPECIALIDAD]],"="&amp;TRIM(CLEAN('HOJAS DE HORA PROY.'!G$1)))</f>
        <v>0</v>
      </c>
      <c r="H33" s="46">
        <f>$J33*SUMIFS(MH_ORX5_1125_Surquillo_LuzSuare[[TOTAL HORAS RESTANTES]:[TOTAL HORAS RESTANTES]],MH_ORX5_1125_Surquillo_LuzSuare[[VERSIÓN]:[VERSIÓN]],"="&amp;TRIM(CLEAN('HOJAS DE HORA PROY.'!$B33)),MH_ORX5_1125_Surquillo_LuzSuare[[ESPECIALIDAD]:[ESPECIALIDAD]],"="&amp;TRIM(CLEAN('HOJAS DE HORA PROY.'!H$1)))</f>
        <v>0</v>
      </c>
      <c r="I33" s="46">
        <f>$J33*SUMIFS(MH_ORX5_1125_Surquillo_LuzSuare[[TOTAL HORAS RESTANTES]:[TOTAL HORAS RESTANTES]],MH_ORX5_1125_Surquillo_LuzSuare[[VERSIÓN]:[VERSIÓN]],"="&amp;TRIM(CLEAN('HOJAS DE HORA PROY.'!$B33)),MH_ORX5_1125_Surquillo_LuzSuare[[ESPECIALIDAD]:[ESPECIALIDAD]],"="&amp;TRIM(CLEAN('HOJAS DE HORA PROY.'!I$1)))</f>
        <v>0.5</v>
      </c>
      <c r="J33" s="163">
        <v>1</v>
      </c>
      <c r="K33" s="164">
        <f t="shared" si="2"/>
        <v>0.5</v>
      </c>
      <c r="L33" s="164"/>
      <c r="M33" s="165" t="s">
        <v>40</v>
      </c>
      <c r="N33" s="107" t="s">
        <v>331</v>
      </c>
      <c r="O33" s="271">
        <v>2000</v>
      </c>
    </row>
    <row r="34" spans="1:18" ht="18" customHeight="1" x14ac:dyDescent="0.4">
      <c r="A34" s="81" t="str">
        <f>'MH-LNM5-1025-Callao-CarlosCelis'!$A$2</f>
        <v>LNM5 - 1025 - Callao - Carlos Celis</v>
      </c>
      <c r="B34" s="249" t="s">
        <v>232</v>
      </c>
      <c r="C34" s="45">
        <f>$J34*SUMIFS(MH_LNM5_1025_Callao_CarlosCelis[[TOTAL HORAS RESTANTES]:[TOTAL HORAS RESTANTES]],MH_LNM5_1025_Callao_CarlosCelis[[VERSIÓN]:[VERSIÓN]],"="&amp;TRIM(CLEAN('HOJAS DE HORA PROY.'!$B34)),MH_LNM5_1025_Callao_CarlosCelis[[ESPECIALIDAD]:[ESPECIALIDAD]],"="&amp;TRIM(CLEAN('HOJAS DE HORA PROY.'!C$1)))</f>
        <v>18</v>
      </c>
      <c r="D34" s="45">
        <f>$J34*SUMIFS(MH_LNM5_1025_Callao_CarlosCelis[[TOTAL HORAS RESTANTES]:[TOTAL HORAS RESTANTES]],MH_LNM5_1025_Callao_CarlosCelis[[VERSIÓN]:[VERSIÓN]],"="&amp;TRIM(CLEAN('HOJAS DE HORA PROY.'!$B34)),MH_LNM5_1025_Callao_CarlosCelis[[ESPECIALIDAD]:[ESPECIALIDAD]],"="&amp;TRIM(CLEAN('HOJAS DE HORA PROY.'!D$1)))</f>
        <v>6</v>
      </c>
      <c r="E34" s="45">
        <f>$J34*SUMIFS(MH_LNM5_1025_Callao_CarlosCelis[[TOTAL HORAS RESTANTES]:[TOTAL HORAS RESTANTES]],MH_LNM5_1025_Callao_CarlosCelis[[VERSIÓN]:[VERSIÓN]],"="&amp;TRIM(CLEAN('HOJAS DE HORA PROY.'!$B34)),MH_LNM5_1025_Callao_CarlosCelis[[ESPECIALIDAD]:[ESPECIALIDAD]],"="&amp;TRIM(CLEAN('HOJAS DE HORA PROY.'!E$1)))</f>
        <v>0.5</v>
      </c>
      <c r="F34" s="45">
        <f>$J34*SUMIFS(MH_LNM5_1025_Callao_CarlosCelis[[TOTAL HORAS RESTANTES]:[TOTAL HORAS RESTANTES]],MH_LNM5_1025_Callao_CarlosCelis[[VERSIÓN]:[VERSIÓN]],"="&amp;TRIM(CLEAN('HOJAS DE HORA PROY.'!$B34)),MH_LNM5_1025_Callao_CarlosCelis[[ESPECIALIDAD]:[ESPECIALIDAD]],"="&amp;TRIM(CLEAN('HOJAS DE HORA PROY.'!F$1)))</f>
        <v>2</v>
      </c>
      <c r="G34" s="45">
        <f>$J34*SUMIFS(MH_LNM5_1025_Callao_CarlosCelis[[TOTAL HORAS RESTANTES]:[TOTAL HORAS RESTANTES]],MH_LNM5_1025_Callao_CarlosCelis[[VERSIÓN]:[VERSIÓN]],"="&amp;TRIM(CLEAN('HOJAS DE HORA PROY.'!$B34)),MH_LNM5_1025_Callao_CarlosCelis[[ESPECIALIDAD]:[ESPECIALIDAD]],"="&amp;TRIM(CLEAN('HOJAS DE HORA PROY.'!G$1)))</f>
        <v>2</v>
      </c>
      <c r="H34" s="45">
        <f>$J34*SUMIFS(MH_LNM5_1025_Callao_CarlosCelis[[TOTAL HORAS RESTANTES]:[TOTAL HORAS RESTANTES]],MH_LNM5_1025_Callao_CarlosCelis[[VERSIÓN]:[VERSIÓN]],"="&amp;TRIM(CLEAN('HOJAS DE HORA PROY.'!$B34)),MH_LNM5_1025_Callao_CarlosCelis[[ESPECIALIDAD]:[ESPECIALIDAD]],"="&amp;TRIM(CLEAN('HOJAS DE HORA PROY.'!H$1)))</f>
        <v>5</v>
      </c>
      <c r="I34" s="45">
        <f>$J34*SUMIFS(MH_LNM5_1025_Callao_CarlosCelis[[TOTAL HORAS RESTANTES]:[TOTAL HORAS RESTANTES]],MH_LNM5_1025_Callao_CarlosCelis[[VERSIÓN]:[VERSIÓN]],"="&amp;TRIM(CLEAN('HOJAS DE HORA PROY.'!$B34)),MH_LNM5_1025_Callao_CarlosCelis[[ESPECIALIDAD]:[ESPECIALIDAD]],"="&amp;TRIM(CLEAN('HOJAS DE HORA PROY.'!I$1)))</f>
        <v>0.5</v>
      </c>
      <c r="J34" s="166">
        <v>1</v>
      </c>
      <c r="K34" s="167">
        <f t="shared" si="2"/>
        <v>34</v>
      </c>
      <c r="L34" s="167"/>
      <c r="M34" s="168" t="s">
        <v>40</v>
      </c>
      <c r="N34" s="103" t="s">
        <v>331</v>
      </c>
      <c r="O34" s="269"/>
    </row>
    <row r="35" spans="1:18" ht="18" customHeight="1" thickBot="1" x14ac:dyDescent="0.45">
      <c r="A35" s="82" t="str">
        <f>'MH-LNM5-1025-Callao-CarlosCelis'!$A$2</f>
        <v>LNM5 - 1025 - Callao - Carlos Celis</v>
      </c>
      <c r="B35" s="250" t="s">
        <v>235</v>
      </c>
      <c r="C35" s="46">
        <f>$J35*SUMIFS(MH_LNM5_1025_Callao_CarlosCelis[[TOTAL HORAS RESTANTES]:[TOTAL HORAS RESTANTES]],MH_LNM5_1025_Callao_CarlosCelis[[VERSIÓN]:[VERSIÓN]],"="&amp;TRIM(CLEAN('HOJAS DE HORA PROY.'!$B35)),MH_LNM5_1025_Callao_CarlosCelis[[ESPECIALIDAD]:[ESPECIALIDAD]],"="&amp;TRIM(CLEAN('HOJAS DE HORA PROY.'!C$1)))</f>
        <v>0</v>
      </c>
      <c r="D35" s="46">
        <f>$J35*SUMIFS(MH_LNM5_1025_Callao_CarlosCelis[[TOTAL HORAS RESTANTES]:[TOTAL HORAS RESTANTES]],MH_LNM5_1025_Callao_CarlosCelis[[VERSIÓN]:[VERSIÓN]],"="&amp;TRIM(CLEAN('HOJAS DE HORA PROY.'!$B35)),MH_LNM5_1025_Callao_CarlosCelis[[ESPECIALIDAD]:[ESPECIALIDAD]],"="&amp;TRIM(CLEAN('HOJAS DE HORA PROY.'!D$1)))</f>
        <v>0</v>
      </c>
      <c r="E35" s="46">
        <f>$J35*SUMIFS(MH_LNM5_1025_Callao_CarlosCelis[[TOTAL HORAS RESTANTES]:[TOTAL HORAS RESTANTES]],MH_LNM5_1025_Callao_CarlosCelis[[VERSIÓN]:[VERSIÓN]],"="&amp;TRIM(CLEAN('HOJAS DE HORA PROY.'!$B35)),MH_LNM5_1025_Callao_CarlosCelis[[ESPECIALIDAD]:[ESPECIALIDAD]],"="&amp;TRIM(CLEAN('HOJAS DE HORA PROY.'!E$1)))</f>
        <v>0</v>
      </c>
      <c r="F35" s="46">
        <f>$J35*SUMIFS(MH_LNM5_1025_Callao_CarlosCelis[[TOTAL HORAS RESTANTES]:[TOTAL HORAS RESTANTES]],MH_LNM5_1025_Callao_CarlosCelis[[VERSIÓN]:[VERSIÓN]],"="&amp;TRIM(CLEAN('HOJAS DE HORA PROY.'!$B35)),MH_LNM5_1025_Callao_CarlosCelis[[ESPECIALIDAD]:[ESPECIALIDAD]],"="&amp;TRIM(CLEAN('HOJAS DE HORA PROY.'!F$1)))</f>
        <v>0</v>
      </c>
      <c r="G35" s="46">
        <f>$J35*SUMIFS(MH_LNM5_1025_Callao_CarlosCelis[[TOTAL HORAS RESTANTES]:[TOTAL HORAS RESTANTES]],MH_LNM5_1025_Callao_CarlosCelis[[VERSIÓN]:[VERSIÓN]],"="&amp;TRIM(CLEAN('HOJAS DE HORA PROY.'!$B35)),MH_LNM5_1025_Callao_CarlosCelis[[ESPECIALIDAD]:[ESPECIALIDAD]],"="&amp;TRIM(CLEAN('HOJAS DE HORA PROY.'!G$1)))</f>
        <v>0</v>
      </c>
      <c r="H35" s="46">
        <f>$J35*SUMIFS(MH_LNM5_1025_Callao_CarlosCelis[[TOTAL HORAS RESTANTES]:[TOTAL HORAS RESTANTES]],MH_LNM5_1025_Callao_CarlosCelis[[VERSIÓN]:[VERSIÓN]],"="&amp;TRIM(CLEAN('HOJAS DE HORA PROY.'!$B35)),MH_LNM5_1025_Callao_CarlosCelis[[ESPECIALIDAD]:[ESPECIALIDAD]],"="&amp;TRIM(CLEAN('HOJAS DE HORA PROY.'!H$1)))</f>
        <v>0</v>
      </c>
      <c r="I35" s="46">
        <f>$J35*SUMIFS(MH_LNM5_1025_Callao_CarlosCelis[[TOTAL HORAS RESTANTES]:[TOTAL HORAS RESTANTES]],MH_LNM5_1025_Callao_CarlosCelis[[VERSIÓN]:[VERSIÓN]],"="&amp;TRIM(CLEAN('HOJAS DE HORA PROY.'!$B35)),MH_LNM5_1025_Callao_CarlosCelis[[ESPECIALIDAD]:[ESPECIALIDAD]],"="&amp;TRIM(CLEAN('HOJAS DE HORA PROY.'!I$1)))</f>
        <v>0</v>
      </c>
      <c r="J35" s="169">
        <v>1</v>
      </c>
      <c r="K35" s="170">
        <f t="shared" si="2"/>
        <v>0</v>
      </c>
      <c r="L35" s="170"/>
      <c r="M35" s="171" t="s">
        <v>39</v>
      </c>
      <c r="N35" s="107" t="s">
        <v>331</v>
      </c>
      <c r="O35" s="271">
        <v>750</v>
      </c>
    </row>
    <row r="36" spans="1:18" ht="18" customHeight="1" thickBot="1" x14ac:dyDescent="0.45">
      <c r="A36" s="83" t="str">
        <f>'MH-LNM11_0925-PUEBLO LIBRE-TAF'!A2</f>
        <v>LNM11_0925 - PUEBLO LIBRE - HUGO TAFUR</v>
      </c>
      <c r="B36" s="251" t="s">
        <v>81</v>
      </c>
      <c r="C36" s="48">
        <f>$J36*SUMIFS(MH_LNM11_0925_PUEBLO_LIBRE_TAF[[TOTAL HORAS RESTANTES]:[TOTAL HORAS RESTANTES]],MH_LNM11_0925_PUEBLO_LIBRE_TAF[[VERSIÓN]:[VERSIÓN]],"="&amp;TRIM(CLEAN('HOJAS DE HORA PROY.'!$B36)),MH_LNM11_0925_PUEBLO_LIBRE_TAF[[ESPECIALIDAD]:[ESPECIALIDAD]],"="&amp;TRIM(CLEAN('HOJAS DE HORA PROY.'!C$1)))</f>
        <v>0</v>
      </c>
      <c r="D36" s="48">
        <f>$J36*SUMIFS(MH_LNM11_0925_PUEBLO_LIBRE_TAF[[TOTAL HORAS RESTANTES]:[TOTAL HORAS RESTANTES]],MH_LNM11_0925_PUEBLO_LIBRE_TAF[[VERSIÓN]:[VERSIÓN]],"="&amp;TRIM(CLEAN('HOJAS DE HORA PROY.'!$B36)),MH_LNM11_0925_PUEBLO_LIBRE_TAF[[ESPECIALIDAD]:[ESPECIALIDAD]],"="&amp;TRIM(CLEAN('HOJAS DE HORA PROY.'!D$1)))</f>
        <v>0</v>
      </c>
      <c r="E36" s="48">
        <f>$J36*SUMIFS(MH_LNM11_0925_PUEBLO_LIBRE_TAF[[TOTAL HORAS RESTANTES]:[TOTAL HORAS RESTANTES]],MH_LNM11_0925_PUEBLO_LIBRE_TAF[[VERSIÓN]:[VERSIÓN]],"="&amp;TRIM(CLEAN('HOJAS DE HORA PROY.'!$B36)),MH_LNM11_0925_PUEBLO_LIBRE_TAF[[ESPECIALIDAD]:[ESPECIALIDAD]],"="&amp;TRIM(CLEAN('HOJAS DE HORA PROY.'!E$1)))</f>
        <v>0</v>
      </c>
      <c r="F36" s="48">
        <f>$J36*SUMIFS(MH_LNM11_0925_PUEBLO_LIBRE_TAF[[TOTAL HORAS RESTANTES]:[TOTAL HORAS RESTANTES]],MH_LNM11_0925_PUEBLO_LIBRE_TAF[[VERSIÓN]:[VERSIÓN]],"="&amp;TRIM(CLEAN('HOJAS DE HORA PROY.'!$B36)),MH_LNM11_0925_PUEBLO_LIBRE_TAF[[ESPECIALIDAD]:[ESPECIALIDAD]],"="&amp;TRIM(CLEAN('HOJAS DE HORA PROY.'!F$1)))</f>
        <v>8</v>
      </c>
      <c r="G36" s="48">
        <f>$J36*SUMIFS(MH_LNM11_0925_PUEBLO_LIBRE_TAF[[TOTAL HORAS RESTANTES]:[TOTAL HORAS RESTANTES]],MH_LNM11_0925_PUEBLO_LIBRE_TAF[[VERSIÓN]:[VERSIÓN]],"="&amp;TRIM(CLEAN('HOJAS DE HORA PROY.'!$B36)),MH_LNM11_0925_PUEBLO_LIBRE_TAF[[ESPECIALIDAD]:[ESPECIALIDAD]],"="&amp;TRIM(CLEAN('HOJAS DE HORA PROY.'!G$1)))</f>
        <v>16</v>
      </c>
      <c r="H36" s="48">
        <f>$J36*SUMIFS(MH_LNM11_0925_PUEBLO_LIBRE_TAF[[TOTAL HORAS RESTANTES]:[TOTAL HORAS RESTANTES]],MH_LNM11_0925_PUEBLO_LIBRE_TAF[[VERSIÓN]:[VERSIÓN]],"="&amp;TRIM(CLEAN('HOJAS DE HORA PROY.'!$B36)),MH_LNM11_0925_PUEBLO_LIBRE_TAF[[ESPECIALIDAD]:[ESPECIALIDAD]],"="&amp;TRIM(CLEAN('HOJAS DE HORA PROY.'!H$1)))</f>
        <v>0</v>
      </c>
      <c r="I36" s="48">
        <f>$J36*SUMIFS(MH_LNM11_0925_PUEBLO_LIBRE_TAF[[TOTAL HORAS RESTANTES]:[TOTAL HORAS RESTANTES]],MH_LNM11_0925_PUEBLO_LIBRE_TAF[[VERSIÓN]:[VERSIÓN]],"="&amp;TRIM(CLEAN('HOJAS DE HORA PROY.'!$B36)),MH_LNM11_0925_PUEBLO_LIBRE_TAF[[ESPECIALIDAD]:[ESPECIALIDAD]],"="&amp;TRIM(CLEAN('HOJAS DE HORA PROY.'!I$1)))</f>
        <v>0</v>
      </c>
      <c r="J36" s="172">
        <v>1</v>
      </c>
      <c r="K36" s="173">
        <f t="shared" si="2"/>
        <v>24</v>
      </c>
      <c r="L36" s="173"/>
      <c r="M36" s="174"/>
      <c r="N36" s="133" t="s">
        <v>331</v>
      </c>
      <c r="O36" s="272"/>
    </row>
    <row r="37" spans="1:18" ht="18" customHeight="1" thickBot="1" x14ac:dyDescent="0.45">
      <c r="A37" s="84" t="str">
        <f>'MH-METRADO_0525 - SAN ISIDROCEL'!A2</f>
        <v>METRADO_0525 - SAN ISIDRO - CARLOS CELIS EXPONERLE A CLIENTE 2</v>
      </c>
      <c r="B37" s="252" t="s">
        <v>266</v>
      </c>
      <c r="C37" s="48">
        <f>$J37*SUMIFS(MH_METRADO_0525___SAN_ISIDROCEL[[TOTAL HORAS RESTANTES]:[TOTAL HORAS RESTANTES]],MH_METRADO_0525___SAN_ISIDROCEL[[VERSIÓN]:[VERSIÓN]],"="&amp;TRIM(CLEAN('HOJAS DE HORA PROY.'!$B37)),MH_METRADO_0525___SAN_ISIDROCEL[[ESPECIALIDAD]:[ESPECIALIDAD]],"="&amp;TRIM(CLEAN('HOJAS DE HORA PROY.'!C$1)))</f>
        <v>0</v>
      </c>
      <c r="D37" s="48">
        <f>$J37*SUMIFS(MH_METRADO_0525___SAN_ISIDROCEL[[TOTAL HORAS RESTANTES]:[TOTAL HORAS RESTANTES]],MH_METRADO_0525___SAN_ISIDROCEL[[VERSIÓN]:[VERSIÓN]],"="&amp;TRIM(CLEAN('HOJAS DE HORA PROY.'!$B37)),MH_METRADO_0525___SAN_ISIDROCEL[[ESPECIALIDAD]:[ESPECIALIDAD]],"="&amp;TRIM(CLEAN('HOJAS DE HORA PROY.'!D$1)))</f>
        <v>0</v>
      </c>
      <c r="E37" s="48">
        <f>$J37*SUMIFS(MH_METRADO_0525___SAN_ISIDROCEL[[TOTAL HORAS RESTANTES]:[TOTAL HORAS RESTANTES]],MH_METRADO_0525___SAN_ISIDROCEL[[VERSIÓN]:[VERSIÓN]],"="&amp;TRIM(CLEAN('HOJAS DE HORA PROY.'!$B37)),MH_METRADO_0525___SAN_ISIDROCEL[[ESPECIALIDAD]:[ESPECIALIDAD]],"="&amp;TRIM(CLEAN('HOJAS DE HORA PROY.'!E$1)))</f>
        <v>0</v>
      </c>
      <c r="F37" s="48">
        <f>$J37*SUMIFS(MH_METRADO_0525___SAN_ISIDROCEL[[TOTAL HORAS RESTANTES]:[TOTAL HORAS RESTANTES]],MH_METRADO_0525___SAN_ISIDROCEL[[VERSIÓN]:[VERSIÓN]],"="&amp;TRIM(CLEAN('HOJAS DE HORA PROY.'!$B37)),MH_METRADO_0525___SAN_ISIDROCEL[[ESPECIALIDAD]:[ESPECIALIDAD]],"="&amp;TRIM(CLEAN('HOJAS DE HORA PROY.'!F$1)))</f>
        <v>0</v>
      </c>
      <c r="G37" s="48">
        <f>$J37*SUMIFS(MH_METRADO_0525___SAN_ISIDROCEL[[TOTAL HORAS RESTANTES]:[TOTAL HORAS RESTANTES]],MH_METRADO_0525___SAN_ISIDROCEL[[VERSIÓN]:[VERSIÓN]],"="&amp;TRIM(CLEAN('HOJAS DE HORA PROY.'!$B37)),MH_METRADO_0525___SAN_ISIDROCEL[[ESPECIALIDAD]:[ESPECIALIDAD]],"="&amp;TRIM(CLEAN('HOJAS DE HORA PROY.'!G$1)))</f>
        <v>0</v>
      </c>
      <c r="H37" s="48">
        <f>$J37*SUMIFS(MH_METRADO_0525___SAN_ISIDROCEL[[TOTAL HORAS RESTANTES]:[TOTAL HORAS RESTANTES]],MH_METRADO_0525___SAN_ISIDROCEL[[VERSIÓN]:[VERSIÓN]],"="&amp;TRIM(CLEAN('HOJAS DE HORA PROY.'!$B37)),MH_METRADO_0525___SAN_ISIDROCEL[[ESPECIALIDAD]:[ESPECIALIDAD]],"="&amp;TRIM(CLEAN('HOJAS DE HORA PROY.'!H$1)))</f>
        <v>0</v>
      </c>
      <c r="I37" s="48">
        <f>$J37*SUMIFS(MH_METRADO_0525___SAN_ISIDROCEL[[TOTAL HORAS RESTANTES]:[TOTAL HORAS RESTANTES]],MH_METRADO_0525___SAN_ISIDROCEL[[VERSIÓN]:[VERSIÓN]],"="&amp;TRIM(CLEAN('HOJAS DE HORA PROY.'!$B37)),MH_METRADO_0525___SAN_ISIDROCEL[[ESPECIALIDAD]:[ESPECIALIDAD]],"="&amp;TRIM(CLEAN('HOJAS DE HORA PROY.'!I$1)))</f>
        <v>0</v>
      </c>
      <c r="J37" s="175">
        <v>1</v>
      </c>
      <c r="K37" s="176">
        <f t="shared" si="2"/>
        <v>0</v>
      </c>
      <c r="L37" s="176"/>
      <c r="M37" s="177" t="s">
        <v>38</v>
      </c>
      <c r="N37" s="133" t="s">
        <v>331</v>
      </c>
      <c r="O37" s="272">
        <v>1250</v>
      </c>
    </row>
    <row r="38" spans="1:18" ht="18" customHeight="1" x14ac:dyDescent="0.4">
      <c r="A38" s="88" t="str">
        <f>'MH-LAM4 -1225-San Miguel-Antoni'!A2</f>
        <v>LAM4 -1225- San Miguel - Antonio Burneo</v>
      </c>
      <c r="B38" s="256" t="s">
        <v>65</v>
      </c>
      <c r="C38" s="45">
        <f>$J38*SUMIFS(MH_LAM4__1225_San_Miguel_Antoni[[TOTAL HORAS RESTANTES]:[TOTAL HORAS RESTANTES]],MH_LAM4__1225_San_Miguel_Antoni[[VERSIÓN]:[VERSIÓN]],"="&amp;TRIM(CLEAN('HOJAS DE HORA PROY.'!$B38)),MH_LAM4__1225_San_Miguel_Antoni[[ESPECIALIDAD]:[ESPECIALIDAD]],"="&amp;TRIM(CLEAN('HOJAS DE HORA PROY.'!C$1)))</f>
        <v>0</v>
      </c>
      <c r="D38" s="45">
        <f>$J38*SUMIFS(MH_LAM4__1225_San_Miguel_Antoni[[TOTAL HORAS RESTANTES]:[TOTAL HORAS RESTANTES]],MH_LAM4__1225_San_Miguel_Antoni[[VERSIÓN]:[VERSIÓN]],"="&amp;TRIM(CLEAN('HOJAS DE HORA PROY.'!$B38)),MH_LAM4__1225_San_Miguel_Antoni[[ESPECIALIDAD]:[ESPECIALIDAD]],"="&amp;TRIM(CLEAN('HOJAS DE HORA PROY.'!D$1)))</f>
        <v>0</v>
      </c>
      <c r="E38" s="45">
        <f>$J38*SUMIFS(MH_LAM4__1225_San_Miguel_Antoni[[TOTAL HORAS RESTANTES]:[TOTAL HORAS RESTANTES]],MH_LAM4__1225_San_Miguel_Antoni[[VERSIÓN]:[VERSIÓN]],"="&amp;TRIM(CLEAN('HOJAS DE HORA PROY.'!$B38)),MH_LAM4__1225_San_Miguel_Antoni[[ESPECIALIDAD]:[ESPECIALIDAD]],"="&amp;TRIM(CLEAN('HOJAS DE HORA PROY.'!E$1)))</f>
        <v>0</v>
      </c>
      <c r="F38" s="45">
        <f>$J38*SUMIFS(MH_LAM4__1225_San_Miguel_Antoni[[TOTAL HORAS RESTANTES]:[TOTAL HORAS RESTANTES]],MH_LAM4__1225_San_Miguel_Antoni[[VERSIÓN]:[VERSIÓN]],"="&amp;TRIM(CLEAN('HOJAS DE HORA PROY.'!$B38)),MH_LAM4__1225_San_Miguel_Antoni[[ESPECIALIDAD]:[ESPECIALIDAD]],"="&amp;TRIM(CLEAN('HOJAS DE HORA PROY.'!F$1)))</f>
        <v>0</v>
      </c>
      <c r="G38" s="45">
        <f>$J38*SUMIFS(MH_LAM4__1225_San_Miguel_Antoni[[TOTAL HORAS RESTANTES]:[TOTAL HORAS RESTANTES]],MH_LAM4__1225_San_Miguel_Antoni[[VERSIÓN]:[VERSIÓN]],"="&amp;TRIM(CLEAN('HOJAS DE HORA PROY.'!$B38)),MH_LAM4__1225_San_Miguel_Antoni[[ESPECIALIDAD]:[ESPECIALIDAD]],"="&amp;TRIM(CLEAN('HOJAS DE HORA PROY.'!G$1)))</f>
        <v>0</v>
      </c>
      <c r="H38" s="45">
        <f>$J38*SUMIFS(MH_LAM4__1225_San_Miguel_Antoni[[TOTAL HORAS RESTANTES]:[TOTAL HORAS RESTANTES]],MH_LAM4__1225_San_Miguel_Antoni[[VERSIÓN]:[VERSIÓN]],"="&amp;TRIM(CLEAN('HOJAS DE HORA PROY.'!$B38)),MH_LAM4__1225_San_Miguel_Antoni[[ESPECIALIDAD]:[ESPECIALIDAD]],"="&amp;TRIM(CLEAN('HOJAS DE HORA PROY.'!H$1)))</f>
        <v>0</v>
      </c>
      <c r="I38" s="45">
        <f>$J38*SUMIFS(MH_LAM4__1225_San_Miguel_Antoni[[TOTAL HORAS RESTANTES]:[TOTAL HORAS RESTANTES]],MH_LAM4__1225_San_Miguel_Antoni[[VERSIÓN]:[VERSIÓN]],"="&amp;TRIM(CLEAN('HOJAS DE HORA PROY.'!$B38)),MH_LAM4__1225_San_Miguel_Antoni[[ESPECIALIDAD]:[ESPECIALIDAD]],"="&amp;TRIM(CLEAN('HOJAS DE HORA PROY.'!I$1)))</f>
        <v>0</v>
      </c>
      <c r="J38" s="185">
        <v>1</v>
      </c>
      <c r="K38" s="186">
        <f t="shared" si="2"/>
        <v>0</v>
      </c>
      <c r="L38" s="186"/>
      <c r="M38" s="187"/>
      <c r="N38" s="103" t="s">
        <v>365</v>
      </c>
      <c r="O38" s="269">
        <v>0</v>
      </c>
    </row>
    <row r="39" spans="1:18" ht="18" customHeight="1" x14ac:dyDescent="0.4">
      <c r="A39" s="89" t="str">
        <f>'MH-LAM4 -1225-San Miguel-Antoni'!A3</f>
        <v>LAM4 -1225- San Miguel - Antonio Burneo</v>
      </c>
      <c r="B39" s="257" t="s">
        <v>269</v>
      </c>
      <c r="C39" s="47">
        <f>$J39*SUMIFS(MH_LAM4__1225_San_Miguel_Antoni[[TOTAL HORAS RESTANTES]:[TOTAL HORAS RESTANTES]],MH_LAM4__1225_San_Miguel_Antoni[[VERSIÓN]:[VERSIÓN]],"="&amp;TRIM(CLEAN('HOJAS DE HORA PROY.'!$B39)),MH_LAM4__1225_San_Miguel_Antoni[[ESPECIALIDAD]:[ESPECIALIDAD]],"="&amp;TRIM(CLEAN('HOJAS DE HORA PROY.'!C$1)))</f>
        <v>0</v>
      </c>
      <c r="D39" s="47">
        <f>$J39*SUMIFS(MH_LAM4__1225_San_Miguel_Antoni[[TOTAL HORAS RESTANTES]:[TOTAL HORAS RESTANTES]],MH_LAM4__1225_San_Miguel_Antoni[[VERSIÓN]:[VERSIÓN]],"="&amp;TRIM(CLEAN('HOJAS DE HORA PROY.'!$B39)),MH_LAM4__1225_San_Miguel_Antoni[[ESPECIALIDAD]:[ESPECIALIDAD]],"="&amp;TRIM(CLEAN('HOJAS DE HORA PROY.'!D$1)))</f>
        <v>0</v>
      </c>
      <c r="E39" s="47">
        <f>$J39*SUMIFS(MH_LAM4__1225_San_Miguel_Antoni[[TOTAL HORAS RESTANTES]:[TOTAL HORAS RESTANTES]],MH_LAM4__1225_San_Miguel_Antoni[[VERSIÓN]:[VERSIÓN]],"="&amp;TRIM(CLEAN('HOJAS DE HORA PROY.'!$B39)),MH_LAM4__1225_San_Miguel_Antoni[[ESPECIALIDAD]:[ESPECIALIDAD]],"="&amp;TRIM(CLEAN('HOJAS DE HORA PROY.'!E$1)))</f>
        <v>0</v>
      </c>
      <c r="F39" s="47">
        <f>$J39*SUMIFS(MH_LAM4__1225_San_Miguel_Antoni[[TOTAL HORAS RESTANTES]:[TOTAL HORAS RESTANTES]],MH_LAM4__1225_San_Miguel_Antoni[[VERSIÓN]:[VERSIÓN]],"="&amp;TRIM(CLEAN('HOJAS DE HORA PROY.'!$B39)),MH_LAM4__1225_San_Miguel_Antoni[[ESPECIALIDAD]:[ESPECIALIDAD]],"="&amp;TRIM(CLEAN('HOJAS DE HORA PROY.'!F$1)))</f>
        <v>0</v>
      </c>
      <c r="G39" s="47">
        <f>$J39*SUMIFS(MH_LAM4__1225_San_Miguel_Antoni[[TOTAL HORAS RESTANTES]:[TOTAL HORAS RESTANTES]],MH_LAM4__1225_San_Miguel_Antoni[[VERSIÓN]:[VERSIÓN]],"="&amp;TRIM(CLEAN('HOJAS DE HORA PROY.'!$B39)),MH_LAM4__1225_San_Miguel_Antoni[[ESPECIALIDAD]:[ESPECIALIDAD]],"="&amp;TRIM(CLEAN('HOJAS DE HORA PROY.'!G$1)))</f>
        <v>0</v>
      </c>
      <c r="H39" s="47">
        <f>$J39*SUMIFS(MH_LAM4__1225_San_Miguel_Antoni[[TOTAL HORAS RESTANTES]:[TOTAL HORAS RESTANTES]],MH_LAM4__1225_San_Miguel_Antoni[[VERSIÓN]:[VERSIÓN]],"="&amp;TRIM(CLEAN('HOJAS DE HORA PROY.'!$B39)),MH_LAM4__1225_San_Miguel_Antoni[[ESPECIALIDAD]:[ESPECIALIDAD]],"="&amp;TRIM(CLEAN('HOJAS DE HORA PROY.'!H$1)))</f>
        <v>0</v>
      </c>
      <c r="I39" s="47">
        <f>$J39*SUMIFS(MH_LAM4__1225_San_Miguel_Antoni[[TOTAL HORAS RESTANTES]:[TOTAL HORAS RESTANTES]],MH_LAM4__1225_San_Miguel_Antoni[[VERSIÓN]:[VERSIÓN]],"="&amp;TRIM(CLEAN('HOJAS DE HORA PROY.'!$B39)),MH_LAM4__1225_San_Miguel_Antoni[[ESPECIALIDAD]:[ESPECIALIDAD]],"="&amp;TRIM(CLEAN('HOJAS DE HORA PROY.'!I$1)))</f>
        <v>0</v>
      </c>
      <c r="J39" s="188">
        <v>1</v>
      </c>
      <c r="K39" s="189">
        <f t="shared" ref="K39:K47" si="3">SUM(C39:I39)*J39</f>
        <v>0</v>
      </c>
      <c r="L39" s="189"/>
      <c r="M39" s="190"/>
      <c r="N39" s="112" t="s">
        <v>365</v>
      </c>
      <c r="O39" s="270">
        <v>0</v>
      </c>
    </row>
    <row r="40" spans="1:18" ht="18" customHeight="1" x14ac:dyDescent="0.4">
      <c r="A40" s="89" t="str">
        <f>'MH-LAM4 -1225-San Miguel-Antoni'!A4</f>
        <v>LAM4 -1225- San Miguel - Antonio Burneo</v>
      </c>
      <c r="B40" s="257" t="s">
        <v>81</v>
      </c>
      <c r="C40" s="47">
        <f>$J40*SUMIFS(MH_LAM4__1225_San_Miguel_Antoni[[TOTAL HORAS RESTANTES]:[TOTAL HORAS RESTANTES]],MH_LAM4__1225_San_Miguel_Antoni[[VERSIÓN]:[VERSIÓN]],"="&amp;TRIM(CLEAN('HOJAS DE HORA PROY.'!$B40)),MH_LAM4__1225_San_Miguel_Antoni[[ESPECIALIDAD]:[ESPECIALIDAD]],"="&amp;TRIM(CLEAN('HOJAS DE HORA PROY.'!C$1)))</f>
        <v>0</v>
      </c>
      <c r="D40" s="47">
        <f>$J40*SUMIFS(MH_LAM4__1225_San_Miguel_Antoni[[TOTAL HORAS RESTANTES]:[TOTAL HORAS RESTANTES]],MH_LAM4__1225_San_Miguel_Antoni[[VERSIÓN]:[VERSIÓN]],"="&amp;TRIM(CLEAN('HOJAS DE HORA PROY.'!$B40)),MH_LAM4__1225_San_Miguel_Antoni[[ESPECIALIDAD]:[ESPECIALIDAD]],"="&amp;TRIM(CLEAN('HOJAS DE HORA PROY.'!D$1)))</f>
        <v>0</v>
      </c>
      <c r="E40" s="47">
        <f>$J40*SUMIFS(MH_LAM4__1225_San_Miguel_Antoni[[TOTAL HORAS RESTANTES]:[TOTAL HORAS RESTANTES]],MH_LAM4__1225_San_Miguel_Antoni[[VERSIÓN]:[VERSIÓN]],"="&amp;TRIM(CLEAN('HOJAS DE HORA PROY.'!$B40)),MH_LAM4__1225_San_Miguel_Antoni[[ESPECIALIDAD]:[ESPECIALIDAD]],"="&amp;TRIM(CLEAN('HOJAS DE HORA PROY.'!E$1)))</f>
        <v>0</v>
      </c>
      <c r="F40" s="47">
        <f>$J40*SUMIFS(MH_LAM4__1225_San_Miguel_Antoni[[TOTAL HORAS RESTANTES]:[TOTAL HORAS RESTANTES]],MH_LAM4__1225_San_Miguel_Antoni[[VERSIÓN]:[VERSIÓN]],"="&amp;TRIM(CLEAN('HOJAS DE HORA PROY.'!$B40)),MH_LAM4__1225_San_Miguel_Antoni[[ESPECIALIDAD]:[ESPECIALIDAD]],"="&amp;TRIM(CLEAN('HOJAS DE HORA PROY.'!F$1)))</f>
        <v>0</v>
      </c>
      <c r="G40" s="47">
        <f>$J40*SUMIFS(MH_LAM4__1225_San_Miguel_Antoni[[TOTAL HORAS RESTANTES]:[TOTAL HORAS RESTANTES]],MH_LAM4__1225_San_Miguel_Antoni[[VERSIÓN]:[VERSIÓN]],"="&amp;TRIM(CLEAN('HOJAS DE HORA PROY.'!$B40)),MH_LAM4__1225_San_Miguel_Antoni[[ESPECIALIDAD]:[ESPECIALIDAD]],"="&amp;TRIM(CLEAN('HOJAS DE HORA PROY.'!G$1)))</f>
        <v>0</v>
      </c>
      <c r="H40" s="47">
        <f>$J40*SUMIFS(MH_LAM4__1225_San_Miguel_Antoni[[TOTAL HORAS RESTANTES]:[TOTAL HORAS RESTANTES]],MH_LAM4__1225_San_Miguel_Antoni[[VERSIÓN]:[VERSIÓN]],"="&amp;TRIM(CLEAN('HOJAS DE HORA PROY.'!$B40)),MH_LAM4__1225_San_Miguel_Antoni[[ESPECIALIDAD]:[ESPECIALIDAD]],"="&amp;TRIM(CLEAN('HOJAS DE HORA PROY.'!H$1)))</f>
        <v>0</v>
      </c>
      <c r="I40" s="47">
        <f>$J40*SUMIFS(MH_LAM4__1225_San_Miguel_Antoni[[TOTAL HORAS RESTANTES]:[TOTAL HORAS RESTANTES]],MH_LAM4__1225_San_Miguel_Antoni[[VERSIÓN]:[VERSIÓN]],"="&amp;TRIM(CLEAN('HOJAS DE HORA PROY.'!$B40)),MH_LAM4__1225_San_Miguel_Antoni[[ESPECIALIDAD]:[ESPECIALIDAD]],"="&amp;TRIM(CLEAN('HOJAS DE HORA PROY.'!I$1)))</f>
        <v>0</v>
      </c>
      <c r="J40" s="188">
        <v>1</v>
      </c>
      <c r="K40" s="189">
        <f t="shared" si="3"/>
        <v>0</v>
      </c>
      <c r="L40" s="189"/>
      <c r="M40" s="190"/>
      <c r="N40" s="112" t="s">
        <v>365</v>
      </c>
      <c r="O40" s="270">
        <v>0</v>
      </c>
    </row>
    <row r="41" spans="1:18" ht="18" customHeight="1" x14ac:dyDescent="0.4">
      <c r="A41" s="89" t="str">
        <f>'MH-LAM4 -1225-San Miguel-Antoni'!A5</f>
        <v>LAM4 -1225- San Miguel - Antonio Burneo</v>
      </c>
      <c r="B41" s="257" t="s">
        <v>142</v>
      </c>
      <c r="C41" s="47">
        <f>$J41*SUMIFS(MH_LAM4__1225_San_Miguel_Antoni[[TOTAL HORAS RESTANTES]:[TOTAL HORAS RESTANTES]],MH_LAM4__1225_San_Miguel_Antoni[[VERSIÓN]:[VERSIÓN]],"="&amp;TRIM(CLEAN('HOJAS DE HORA PROY.'!$B41)),MH_LAM4__1225_San_Miguel_Antoni[[ESPECIALIDAD]:[ESPECIALIDAD]],"="&amp;TRIM(CLEAN('HOJAS DE HORA PROY.'!C$1)))</f>
        <v>0</v>
      </c>
      <c r="D41" s="47">
        <f>$J41*SUMIFS(MH_LAM4__1225_San_Miguel_Antoni[[TOTAL HORAS RESTANTES]:[TOTAL HORAS RESTANTES]],MH_LAM4__1225_San_Miguel_Antoni[[VERSIÓN]:[VERSIÓN]],"="&amp;TRIM(CLEAN('HOJAS DE HORA PROY.'!$B41)),MH_LAM4__1225_San_Miguel_Antoni[[ESPECIALIDAD]:[ESPECIALIDAD]],"="&amp;TRIM(CLEAN('HOJAS DE HORA PROY.'!D$1)))</f>
        <v>0</v>
      </c>
      <c r="E41" s="47">
        <f>$J41*SUMIFS(MH_LAM4__1225_San_Miguel_Antoni[[TOTAL HORAS RESTANTES]:[TOTAL HORAS RESTANTES]],MH_LAM4__1225_San_Miguel_Antoni[[VERSIÓN]:[VERSIÓN]],"="&amp;TRIM(CLEAN('HOJAS DE HORA PROY.'!$B41)),MH_LAM4__1225_San_Miguel_Antoni[[ESPECIALIDAD]:[ESPECIALIDAD]],"="&amp;TRIM(CLEAN('HOJAS DE HORA PROY.'!E$1)))</f>
        <v>0</v>
      </c>
      <c r="F41" s="47">
        <f>$J41*SUMIFS(MH_LAM4__1225_San_Miguel_Antoni[[TOTAL HORAS RESTANTES]:[TOTAL HORAS RESTANTES]],MH_LAM4__1225_San_Miguel_Antoni[[VERSIÓN]:[VERSIÓN]],"="&amp;TRIM(CLEAN('HOJAS DE HORA PROY.'!$B41)),MH_LAM4__1225_San_Miguel_Antoni[[ESPECIALIDAD]:[ESPECIALIDAD]],"="&amp;TRIM(CLEAN('HOJAS DE HORA PROY.'!F$1)))</f>
        <v>0</v>
      </c>
      <c r="G41" s="47">
        <f>$J41*SUMIFS(MH_LAM4__1225_San_Miguel_Antoni[[TOTAL HORAS RESTANTES]:[TOTAL HORAS RESTANTES]],MH_LAM4__1225_San_Miguel_Antoni[[VERSIÓN]:[VERSIÓN]],"="&amp;TRIM(CLEAN('HOJAS DE HORA PROY.'!$B41)),MH_LAM4__1225_San_Miguel_Antoni[[ESPECIALIDAD]:[ESPECIALIDAD]],"="&amp;TRIM(CLEAN('HOJAS DE HORA PROY.'!G$1)))</f>
        <v>0</v>
      </c>
      <c r="H41" s="47">
        <f>$J41*SUMIFS(MH_LAM4__1225_San_Miguel_Antoni[[TOTAL HORAS RESTANTES]:[TOTAL HORAS RESTANTES]],MH_LAM4__1225_San_Miguel_Antoni[[VERSIÓN]:[VERSIÓN]],"="&amp;TRIM(CLEAN('HOJAS DE HORA PROY.'!$B41)),MH_LAM4__1225_San_Miguel_Antoni[[ESPECIALIDAD]:[ESPECIALIDAD]],"="&amp;TRIM(CLEAN('HOJAS DE HORA PROY.'!H$1)))</f>
        <v>0</v>
      </c>
      <c r="I41" s="47">
        <f>$J41*SUMIFS(MH_LAM4__1225_San_Miguel_Antoni[[TOTAL HORAS RESTANTES]:[TOTAL HORAS RESTANTES]],MH_LAM4__1225_San_Miguel_Antoni[[VERSIÓN]:[VERSIÓN]],"="&amp;TRIM(CLEAN('HOJAS DE HORA PROY.'!$B41)),MH_LAM4__1225_San_Miguel_Antoni[[ESPECIALIDAD]:[ESPECIALIDAD]],"="&amp;TRIM(CLEAN('HOJAS DE HORA PROY.'!I$1)))</f>
        <v>0</v>
      </c>
      <c r="J41" s="188">
        <v>1</v>
      </c>
      <c r="K41" s="189">
        <f t="shared" si="3"/>
        <v>0</v>
      </c>
      <c r="L41" s="189"/>
      <c r="M41" s="190"/>
      <c r="N41" s="112" t="s">
        <v>365</v>
      </c>
      <c r="O41" s="270">
        <v>0</v>
      </c>
    </row>
    <row r="42" spans="1:18" ht="18" customHeight="1" x14ac:dyDescent="0.4">
      <c r="A42" s="89" t="str">
        <f>'MH-LAM4 -1225-San Miguel-Antoni'!A6</f>
        <v>LAM4 -1225- San Miguel - Antonio Burneo</v>
      </c>
      <c r="B42" s="257" t="s">
        <v>144</v>
      </c>
      <c r="C42" s="47">
        <f>$J42*SUMIFS(MH_LAM4__1225_San_Miguel_Antoni[[TOTAL HORAS RESTANTES]:[TOTAL HORAS RESTANTES]],MH_LAM4__1225_San_Miguel_Antoni[[VERSIÓN]:[VERSIÓN]],"="&amp;TRIM(CLEAN('HOJAS DE HORA PROY.'!$B42)),MH_LAM4__1225_San_Miguel_Antoni[[ESPECIALIDAD]:[ESPECIALIDAD]],"="&amp;TRIM(CLEAN('HOJAS DE HORA PROY.'!C$1)))</f>
        <v>33</v>
      </c>
      <c r="D42" s="47">
        <f>$J42*SUMIFS(MH_LAM4__1225_San_Miguel_Antoni[[TOTAL HORAS RESTANTES]:[TOTAL HORAS RESTANTES]],MH_LAM4__1225_San_Miguel_Antoni[[VERSIÓN]:[VERSIÓN]],"="&amp;TRIM(CLEAN('HOJAS DE HORA PROY.'!$B42)),MH_LAM4__1225_San_Miguel_Antoni[[ESPECIALIDAD]:[ESPECIALIDAD]],"="&amp;TRIM(CLEAN('HOJAS DE HORA PROY.'!D$1)))</f>
        <v>9</v>
      </c>
      <c r="E42" s="47">
        <f>$J42*SUMIFS(MH_LAM4__1225_San_Miguel_Antoni[[TOTAL HORAS RESTANTES]:[TOTAL HORAS RESTANTES]],MH_LAM4__1225_San_Miguel_Antoni[[VERSIÓN]:[VERSIÓN]],"="&amp;TRIM(CLEAN('HOJAS DE HORA PROY.'!$B42)),MH_LAM4__1225_San_Miguel_Antoni[[ESPECIALIDAD]:[ESPECIALIDAD]],"="&amp;TRIM(CLEAN('HOJAS DE HORA PROY.'!E$1)))</f>
        <v>0</v>
      </c>
      <c r="F42" s="47">
        <f>$J42*SUMIFS(MH_LAM4__1225_San_Miguel_Antoni[[TOTAL HORAS RESTANTES]:[TOTAL HORAS RESTANTES]],MH_LAM4__1225_San_Miguel_Antoni[[VERSIÓN]:[VERSIÓN]],"="&amp;TRIM(CLEAN('HOJAS DE HORA PROY.'!$B42)),MH_LAM4__1225_San_Miguel_Antoni[[ESPECIALIDAD]:[ESPECIALIDAD]],"="&amp;TRIM(CLEAN('HOJAS DE HORA PROY.'!F$1)))</f>
        <v>5</v>
      </c>
      <c r="G42" s="47">
        <f>$J42*SUMIFS(MH_LAM4__1225_San_Miguel_Antoni[[TOTAL HORAS RESTANTES]:[TOTAL HORAS RESTANTES]],MH_LAM4__1225_San_Miguel_Antoni[[VERSIÓN]:[VERSIÓN]],"="&amp;TRIM(CLEAN('HOJAS DE HORA PROY.'!$B42)),MH_LAM4__1225_San_Miguel_Antoni[[ESPECIALIDAD]:[ESPECIALIDAD]],"="&amp;TRIM(CLEAN('HOJAS DE HORA PROY.'!G$1)))</f>
        <v>4</v>
      </c>
      <c r="H42" s="47">
        <f>$J42*SUMIFS(MH_LAM4__1225_San_Miguel_Antoni[[TOTAL HORAS RESTANTES]:[TOTAL HORAS RESTANTES]],MH_LAM4__1225_San_Miguel_Antoni[[VERSIÓN]:[VERSIÓN]],"="&amp;TRIM(CLEAN('HOJAS DE HORA PROY.'!$B42)),MH_LAM4__1225_San_Miguel_Antoni[[ESPECIALIDAD]:[ESPECIALIDAD]],"="&amp;TRIM(CLEAN('HOJAS DE HORA PROY.'!H$1)))</f>
        <v>1</v>
      </c>
      <c r="I42" s="47">
        <f>$J42*SUMIFS(MH_LAM4__1225_San_Miguel_Antoni[[TOTAL HORAS RESTANTES]:[TOTAL HORAS RESTANTES]],MH_LAM4__1225_San_Miguel_Antoni[[VERSIÓN]:[VERSIÓN]],"="&amp;TRIM(CLEAN('HOJAS DE HORA PROY.'!$B42)),MH_LAM4__1225_San_Miguel_Antoni[[ESPECIALIDAD]:[ESPECIALIDAD]],"="&amp;TRIM(CLEAN('HOJAS DE HORA PROY.'!I$1)))</f>
        <v>0</v>
      </c>
      <c r="J42" s="188">
        <v>1</v>
      </c>
      <c r="K42" s="189">
        <f t="shared" si="3"/>
        <v>52</v>
      </c>
      <c r="L42" s="189"/>
      <c r="M42" s="190" t="s">
        <v>38</v>
      </c>
      <c r="N42" s="112" t="s">
        <v>365</v>
      </c>
      <c r="O42" s="270">
        <v>0</v>
      </c>
      <c r="Q42" s="356"/>
      <c r="R42" t="s">
        <v>574</v>
      </c>
    </row>
    <row r="43" spans="1:18" ht="18" customHeight="1" thickBot="1" x14ac:dyDescent="0.45">
      <c r="A43" s="90" t="str">
        <f>'MH-LAM4 -1225-San Miguel-Antoni'!A7</f>
        <v>LAM4 -1225- San Miguel - Antonio Burneo</v>
      </c>
      <c r="B43" s="258" t="s">
        <v>146</v>
      </c>
      <c r="C43" s="46">
        <f>$J43*SUMIFS(MH_LAM4__1225_San_Miguel_Antoni[[TOTAL HORAS RESTANTES]:[TOTAL HORAS RESTANTES]],MH_LAM4__1225_San_Miguel_Antoni[[VERSIÓN]:[VERSIÓN]],"="&amp;TRIM(CLEAN('HOJAS DE HORA PROY.'!$B43)),MH_LAM4__1225_San_Miguel_Antoni[[ESPECIALIDAD]:[ESPECIALIDAD]],"="&amp;TRIM(CLEAN('HOJAS DE HORA PROY.'!C$1)))</f>
        <v>0</v>
      </c>
      <c r="D43" s="46">
        <f>$J43*SUMIFS(MH_LAM4__1225_San_Miguel_Antoni[[TOTAL HORAS RESTANTES]:[TOTAL HORAS RESTANTES]],MH_LAM4__1225_San_Miguel_Antoni[[VERSIÓN]:[VERSIÓN]],"="&amp;TRIM(CLEAN('HOJAS DE HORA PROY.'!$B43)),MH_LAM4__1225_San_Miguel_Antoni[[ESPECIALIDAD]:[ESPECIALIDAD]],"="&amp;TRIM(CLEAN('HOJAS DE HORA PROY.'!D$1)))</f>
        <v>0</v>
      </c>
      <c r="E43" s="46">
        <f>$J43*SUMIFS(MH_LAM4__1225_San_Miguel_Antoni[[TOTAL HORAS RESTANTES]:[TOTAL HORAS RESTANTES]],MH_LAM4__1225_San_Miguel_Antoni[[VERSIÓN]:[VERSIÓN]],"="&amp;TRIM(CLEAN('HOJAS DE HORA PROY.'!$B43)),MH_LAM4__1225_San_Miguel_Antoni[[ESPECIALIDAD]:[ESPECIALIDAD]],"="&amp;TRIM(CLEAN('HOJAS DE HORA PROY.'!E$1)))</f>
        <v>0</v>
      </c>
      <c r="F43" s="46">
        <f>$J43*SUMIFS(MH_LAM4__1225_San_Miguel_Antoni[[TOTAL HORAS RESTANTES]:[TOTAL HORAS RESTANTES]],MH_LAM4__1225_San_Miguel_Antoni[[VERSIÓN]:[VERSIÓN]],"="&amp;TRIM(CLEAN('HOJAS DE HORA PROY.'!$B43)),MH_LAM4__1225_San_Miguel_Antoni[[ESPECIALIDAD]:[ESPECIALIDAD]],"="&amp;TRIM(CLEAN('HOJAS DE HORA PROY.'!F$1)))</f>
        <v>0</v>
      </c>
      <c r="G43" s="46">
        <f>$J43*SUMIFS(MH_LAM4__1225_San_Miguel_Antoni[[TOTAL HORAS RESTANTES]:[TOTAL HORAS RESTANTES]],MH_LAM4__1225_San_Miguel_Antoni[[VERSIÓN]:[VERSIÓN]],"="&amp;TRIM(CLEAN('HOJAS DE HORA PROY.'!$B43)),MH_LAM4__1225_San_Miguel_Antoni[[ESPECIALIDAD]:[ESPECIALIDAD]],"="&amp;TRIM(CLEAN('HOJAS DE HORA PROY.'!G$1)))</f>
        <v>0</v>
      </c>
      <c r="H43" s="46">
        <f>$J43*SUMIFS(MH_LAM4__1225_San_Miguel_Antoni[[TOTAL HORAS RESTANTES]:[TOTAL HORAS RESTANTES]],MH_LAM4__1225_San_Miguel_Antoni[[VERSIÓN]:[VERSIÓN]],"="&amp;TRIM(CLEAN('HOJAS DE HORA PROY.'!$B43)),MH_LAM4__1225_San_Miguel_Antoni[[ESPECIALIDAD]:[ESPECIALIDAD]],"="&amp;TRIM(CLEAN('HOJAS DE HORA PROY.'!H$1)))</f>
        <v>0</v>
      </c>
      <c r="I43" s="46">
        <f>$J43*SUMIFS(MH_LAM4__1225_San_Miguel_Antoni[[TOTAL HORAS RESTANTES]:[TOTAL HORAS RESTANTES]],MH_LAM4__1225_San_Miguel_Antoni[[VERSIÓN]:[VERSIÓN]],"="&amp;TRIM(CLEAN('HOJAS DE HORA PROY.'!$B43)),MH_LAM4__1225_San_Miguel_Antoni[[ESPECIALIDAD]:[ESPECIALIDAD]],"="&amp;TRIM(CLEAN('HOJAS DE HORA PROY.'!I$1)))</f>
        <v>0</v>
      </c>
      <c r="J43" s="191">
        <v>1</v>
      </c>
      <c r="K43" s="192">
        <f t="shared" si="3"/>
        <v>0</v>
      </c>
      <c r="L43" s="192"/>
      <c r="M43" s="190" t="s">
        <v>39</v>
      </c>
      <c r="N43" s="107" t="s">
        <v>365</v>
      </c>
      <c r="O43" s="271">
        <v>1100</v>
      </c>
    </row>
    <row r="44" spans="1:18" ht="18" customHeight="1" x14ac:dyDescent="0.4">
      <c r="A44" s="85" t="str">
        <f>'MH-LNM10-0425-San Bartolo-Tafur'!A2</f>
        <v>LNM10 - 0425 - San Bartolo 02 (SAN MARTIN) - Arq. Tafur</v>
      </c>
      <c r="B44" s="253" t="s">
        <v>308</v>
      </c>
      <c r="C44" s="45">
        <f>$J44*SUMIFS(MH_LNM10_0425_San_Bartolo_Tafur[[TOTAL HORAS RESTANTES]:[TOTAL HORAS RESTANTES]],MH_LNM10_0425_San_Bartolo_Tafur[[VERSIÓN]:[VERSIÓN]],"="&amp;TRIM(CLEAN('HOJAS DE HORA PROY.'!$B44)),MH_LNM10_0425_San_Bartolo_Tafur[[ESPECIALIDAD]:[ESPECIALIDAD]],"="&amp;TRIM(CLEAN('HOJAS DE HORA PROY.'!C$1)))</f>
        <v>0</v>
      </c>
      <c r="D44" s="45">
        <f>$J44*SUMIFS(MH_LNM10_0425_San_Bartolo_Tafur[[TOTAL HORAS RESTANTES]:[TOTAL HORAS RESTANTES]],MH_LNM10_0425_San_Bartolo_Tafur[[VERSIÓN]:[VERSIÓN]],"="&amp;TRIM(CLEAN('HOJAS DE HORA PROY.'!$B44)),MH_LNM10_0425_San_Bartolo_Tafur[[ESPECIALIDAD]:[ESPECIALIDAD]],"="&amp;TRIM(CLEAN('HOJAS DE HORA PROY.'!D$1)))</f>
        <v>0</v>
      </c>
      <c r="E44" s="45">
        <f>$J44*SUMIFS(MH_LNM10_0425_San_Bartolo_Tafur[[TOTAL HORAS RESTANTES]:[TOTAL HORAS RESTANTES]],MH_LNM10_0425_San_Bartolo_Tafur[[VERSIÓN]:[VERSIÓN]],"="&amp;TRIM(CLEAN('HOJAS DE HORA PROY.'!$B44)),MH_LNM10_0425_San_Bartolo_Tafur[[ESPECIALIDAD]:[ESPECIALIDAD]],"="&amp;TRIM(CLEAN('HOJAS DE HORA PROY.'!E$1)))</f>
        <v>0</v>
      </c>
      <c r="F44" s="45">
        <f>$J44*SUMIFS(MH_LNM10_0425_San_Bartolo_Tafur[[TOTAL HORAS RESTANTES]:[TOTAL HORAS RESTANTES]],MH_LNM10_0425_San_Bartolo_Tafur[[VERSIÓN]:[VERSIÓN]],"="&amp;TRIM(CLEAN('HOJAS DE HORA PROY.'!$B44)),MH_LNM10_0425_San_Bartolo_Tafur[[ESPECIALIDAD]:[ESPECIALIDAD]],"="&amp;TRIM(CLEAN('HOJAS DE HORA PROY.'!F$1)))</f>
        <v>0</v>
      </c>
      <c r="G44" s="45">
        <f>$J44*SUMIFS(MH_LNM10_0425_San_Bartolo_Tafur[[TOTAL HORAS RESTANTES]:[TOTAL HORAS RESTANTES]],MH_LNM10_0425_San_Bartolo_Tafur[[VERSIÓN]:[VERSIÓN]],"="&amp;TRIM(CLEAN('HOJAS DE HORA PROY.'!$B44)),MH_LNM10_0425_San_Bartolo_Tafur[[ESPECIALIDAD]:[ESPECIALIDAD]],"="&amp;TRIM(CLEAN('HOJAS DE HORA PROY.'!G$1)))</f>
        <v>0</v>
      </c>
      <c r="H44" s="45">
        <f>$J44*SUMIFS(MH_LNM10_0425_San_Bartolo_Tafur[[TOTAL HORAS RESTANTES]:[TOTAL HORAS RESTANTES]],MH_LNM10_0425_San_Bartolo_Tafur[[VERSIÓN]:[VERSIÓN]],"="&amp;TRIM(CLEAN('HOJAS DE HORA PROY.'!$B44)),MH_LNM10_0425_San_Bartolo_Tafur[[ESPECIALIDAD]:[ESPECIALIDAD]],"="&amp;TRIM(CLEAN('HOJAS DE HORA PROY.'!H$1)))</f>
        <v>0</v>
      </c>
      <c r="I44" s="45">
        <f>$J44*SUMIFS(MH_LNM10_0425_San_Bartolo_Tafur[[TOTAL HORAS RESTANTES]:[TOTAL HORAS RESTANTES]],MH_LNM10_0425_San_Bartolo_Tafur[[VERSIÓN]:[VERSIÓN]],"="&amp;TRIM(CLEAN('HOJAS DE HORA PROY.'!$B44)),MH_LNM10_0425_San_Bartolo_Tafur[[ESPECIALIDAD]:[ESPECIALIDAD]],"="&amp;TRIM(CLEAN('HOJAS DE HORA PROY.'!I$1)))</f>
        <v>3.5</v>
      </c>
      <c r="J44" s="178">
        <v>1</v>
      </c>
      <c r="K44" s="179">
        <f t="shared" si="3"/>
        <v>3.5</v>
      </c>
      <c r="L44" s="179"/>
      <c r="M44" s="148"/>
      <c r="N44" s="112" t="s">
        <v>365</v>
      </c>
      <c r="O44" s="269">
        <v>1000</v>
      </c>
    </row>
    <row r="45" spans="1:18" ht="18" customHeight="1" x14ac:dyDescent="0.4">
      <c r="A45" s="86" t="str">
        <f>'MH-LNM10-0425-San Bartolo-Tafur'!A3</f>
        <v>LNM10 - 0425 - San Bartolo 02 (SAN MARTIN) - Arq. Tafur</v>
      </c>
      <c r="B45" s="254" t="s">
        <v>310</v>
      </c>
      <c r="C45" s="47">
        <f>$J45*SUMIFS(MH_LNM10_0425_San_Bartolo_Tafur[[TOTAL HORAS RESTANTES]:[TOTAL HORAS RESTANTES]],MH_LNM10_0425_San_Bartolo_Tafur[[VERSIÓN]:[VERSIÓN]],"="&amp;TRIM(CLEAN('HOJAS DE HORA PROY.'!$B45)),MH_LNM10_0425_San_Bartolo_Tafur[[ESPECIALIDAD]:[ESPECIALIDAD]],"="&amp;TRIM(CLEAN('HOJAS DE HORA PROY.'!C$1)))</f>
        <v>0</v>
      </c>
      <c r="D45" s="47">
        <f>$J45*SUMIFS(MH_LNM10_0425_San_Bartolo_Tafur[[TOTAL HORAS RESTANTES]:[TOTAL HORAS RESTANTES]],MH_LNM10_0425_San_Bartolo_Tafur[[VERSIÓN]:[VERSIÓN]],"="&amp;TRIM(CLEAN('HOJAS DE HORA PROY.'!$B45)),MH_LNM10_0425_San_Bartolo_Tafur[[ESPECIALIDAD]:[ESPECIALIDAD]],"="&amp;TRIM(CLEAN('HOJAS DE HORA PROY.'!D$1)))</f>
        <v>0</v>
      </c>
      <c r="E45" s="47">
        <f>$J45*SUMIFS(MH_LNM10_0425_San_Bartolo_Tafur[[TOTAL HORAS RESTANTES]:[TOTAL HORAS RESTANTES]],MH_LNM10_0425_San_Bartolo_Tafur[[VERSIÓN]:[VERSIÓN]],"="&amp;TRIM(CLEAN('HOJAS DE HORA PROY.'!$B45)),MH_LNM10_0425_San_Bartolo_Tafur[[ESPECIALIDAD]:[ESPECIALIDAD]],"="&amp;TRIM(CLEAN('HOJAS DE HORA PROY.'!E$1)))</f>
        <v>0</v>
      </c>
      <c r="F45" s="47">
        <f>$J45*SUMIFS(MH_LNM10_0425_San_Bartolo_Tafur[[TOTAL HORAS RESTANTES]:[TOTAL HORAS RESTANTES]],MH_LNM10_0425_San_Bartolo_Tafur[[VERSIÓN]:[VERSIÓN]],"="&amp;TRIM(CLEAN('HOJAS DE HORA PROY.'!$B45)),MH_LNM10_0425_San_Bartolo_Tafur[[ESPECIALIDAD]:[ESPECIALIDAD]],"="&amp;TRIM(CLEAN('HOJAS DE HORA PROY.'!F$1)))</f>
        <v>0</v>
      </c>
      <c r="G45" s="47">
        <f>$J45*SUMIFS(MH_LNM10_0425_San_Bartolo_Tafur[[TOTAL HORAS RESTANTES]:[TOTAL HORAS RESTANTES]],MH_LNM10_0425_San_Bartolo_Tafur[[VERSIÓN]:[VERSIÓN]],"="&amp;TRIM(CLEAN('HOJAS DE HORA PROY.'!$B45)),MH_LNM10_0425_San_Bartolo_Tafur[[ESPECIALIDAD]:[ESPECIALIDAD]],"="&amp;TRIM(CLEAN('HOJAS DE HORA PROY.'!G$1)))</f>
        <v>0</v>
      </c>
      <c r="H45" s="47">
        <f>$J45*SUMIFS(MH_LNM10_0425_San_Bartolo_Tafur[[TOTAL HORAS RESTANTES]:[TOTAL HORAS RESTANTES]],MH_LNM10_0425_San_Bartolo_Tafur[[VERSIÓN]:[VERSIÓN]],"="&amp;TRIM(CLEAN('HOJAS DE HORA PROY.'!$B45)),MH_LNM10_0425_San_Bartolo_Tafur[[ESPECIALIDAD]:[ESPECIALIDAD]],"="&amp;TRIM(CLEAN('HOJAS DE HORA PROY.'!H$1)))</f>
        <v>0</v>
      </c>
      <c r="I45" s="47">
        <f>$J45*SUMIFS(MH_LNM10_0425_San_Bartolo_Tafur[[TOTAL HORAS RESTANTES]:[TOTAL HORAS RESTANTES]],MH_LNM10_0425_San_Bartolo_Tafur[[VERSIÓN]:[VERSIÓN]],"="&amp;TRIM(CLEAN('HOJAS DE HORA PROY.'!$B45)),MH_LNM10_0425_San_Bartolo_Tafur[[ESPECIALIDAD]:[ESPECIALIDAD]],"="&amp;TRIM(CLEAN('HOJAS DE HORA PROY.'!I$1)))</f>
        <v>0.5</v>
      </c>
      <c r="J45" s="180">
        <v>1</v>
      </c>
      <c r="K45" s="181">
        <f t="shared" si="3"/>
        <v>0.5</v>
      </c>
      <c r="L45" s="181"/>
      <c r="M45" s="151"/>
      <c r="N45" s="112" t="s">
        <v>365</v>
      </c>
      <c r="O45" s="270">
        <v>0</v>
      </c>
    </row>
    <row r="46" spans="1:18" ht="18" customHeight="1" x14ac:dyDescent="0.4">
      <c r="A46" s="86" t="str">
        <f>'MH-LNM10-0425-San Bartolo-Tafur'!A4</f>
        <v>LNM10 - 0425 - San Bartolo 02 (SAN MARTIN) - Arq. Tafur</v>
      </c>
      <c r="B46" s="254" t="s">
        <v>314</v>
      </c>
      <c r="C46" s="47">
        <f>$J46*SUMIFS(MH_LNM10_0425_San_Bartolo_Tafur[[TOTAL HORAS RESTANTES]:[TOTAL HORAS RESTANTES]],MH_LNM10_0425_San_Bartolo_Tafur[[VERSIÓN]:[VERSIÓN]],"="&amp;TRIM(CLEAN('HOJAS DE HORA PROY.'!$B46)),MH_LNM10_0425_San_Bartolo_Tafur[[ESPECIALIDAD]:[ESPECIALIDAD]],"="&amp;TRIM(CLEAN('HOJAS DE HORA PROY.'!C$1)))</f>
        <v>0</v>
      </c>
      <c r="D46" s="47">
        <f>$J46*SUMIFS(MH_LNM10_0425_San_Bartolo_Tafur[[TOTAL HORAS RESTANTES]:[TOTAL HORAS RESTANTES]],MH_LNM10_0425_San_Bartolo_Tafur[[VERSIÓN]:[VERSIÓN]],"="&amp;TRIM(CLEAN('HOJAS DE HORA PROY.'!$B46)),MH_LNM10_0425_San_Bartolo_Tafur[[ESPECIALIDAD]:[ESPECIALIDAD]],"="&amp;TRIM(CLEAN('HOJAS DE HORA PROY.'!D$1)))</f>
        <v>0</v>
      </c>
      <c r="E46" s="47">
        <f>$J46*SUMIFS(MH_LNM10_0425_San_Bartolo_Tafur[[TOTAL HORAS RESTANTES]:[TOTAL HORAS RESTANTES]],MH_LNM10_0425_San_Bartolo_Tafur[[VERSIÓN]:[VERSIÓN]],"="&amp;TRIM(CLEAN('HOJAS DE HORA PROY.'!$B46)),MH_LNM10_0425_San_Bartolo_Tafur[[ESPECIALIDAD]:[ESPECIALIDAD]],"="&amp;TRIM(CLEAN('HOJAS DE HORA PROY.'!E$1)))</f>
        <v>0</v>
      </c>
      <c r="F46" s="47">
        <f>$J46*SUMIFS(MH_LNM10_0425_San_Bartolo_Tafur[[TOTAL HORAS RESTANTES]:[TOTAL HORAS RESTANTES]],MH_LNM10_0425_San_Bartolo_Tafur[[VERSIÓN]:[VERSIÓN]],"="&amp;TRIM(CLEAN('HOJAS DE HORA PROY.'!$B46)),MH_LNM10_0425_San_Bartolo_Tafur[[ESPECIALIDAD]:[ESPECIALIDAD]],"="&amp;TRIM(CLEAN('HOJAS DE HORA PROY.'!F$1)))</f>
        <v>0</v>
      </c>
      <c r="G46" s="47">
        <f>$J46*SUMIFS(MH_LNM10_0425_San_Bartolo_Tafur[[TOTAL HORAS RESTANTES]:[TOTAL HORAS RESTANTES]],MH_LNM10_0425_San_Bartolo_Tafur[[VERSIÓN]:[VERSIÓN]],"="&amp;TRIM(CLEAN('HOJAS DE HORA PROY.'!$B46)),MH_LNM10_0425_San_Bartolo_Tafur[[ESPECIALIDAD]:[ESPECIALIDAD]],"="&amp;TRIM(CLEAN('HOJAS DE HORA PROY.'!G$1)))</f>
        <v>4</v>
      </c>
      <c r="H46" s="47">
        <f>$J46*SUMIFS(MH_LNM10_0425_San_Bartolo_Tafur[[TOTAL HORAS RESTANTES]:[TOTAL HORAS RESTANTES]],MH_LNM10_0425_San_Bartolo_Tafur[[VERSIÓN]:[VERSIÓN]],"="&amp;TRIM(CLEAN('HOJAS DE HORA PROY.'!$B46)),MH_LNM10_0425_San_Bartolo_Tafur[[ESPECIALIDAD]:[ESPECIALIDAD]],"="&amp;TRIM(CLEAN('HOJAS DE HORA PROY.'!H$1)))</f>
        <v>0</v>
      </c>
      <c r="I46" s="47">
        <f>$J46*SUMIFS(MH_LNM10_0425_San_Bartolo_Tafur[[TOTAL HORAS RESTANTES]:[TOTAL HORAS RESTANTES]],MH_LNM10_0425_San_Bartolo_Tafur[[VERSIÓN]:[VERSIÓN]],"="&amp;TRIM(CLEAN('HOJAS DE HORA PROY.'!$B46)),MH_LNM10_0425_San_Bartolo_Tafur[[ESPECIALIDAD]:[ESPECIALIDAD]],"="&amp;TRIM(CLEAN('HOJAS DE HORA PROY.'!I$1)))</f>
        <v>0</v>
      </c>
      <c r="J46" s="180">
        <v>1</v>
      </c>
      <c r="K46" s="181">
        <f t="shared" si="3"/>
        <v>4</v>
      </c>
      <c r="L46" s="181"/>
      <c r="M46" s="151"/>
      <c r="N46" s="112" t="s">
        <v>365</v>
      </c>
      <c r="O46" s="270">
        <v>0</v>
      </c>
    </row>
    <row r="47" spans="1:18" ht="18" customHeight="1" thickBot="1" x14ac:dyDescent="0.45">
      <c r="A47" s="87" t="str">
        <f>'MH-LNM10-0425-San Bartolo-Tafur'!A5</f>
        <v>LNM10 - 0425 - San Bartolo 02 (SAN MARTIN) - Arq. Tafur</v>
      </c>
      <c r="B47" s="255" t="s">
        <v>312</v>
      </c>
      <c r="C47" s="46">
        <f>$J47*SUMIFS(MH_LNM10_0425_San_Bartolo_Tafur[[TOTAL HORAS RESTANTES]:[TOTAL HORAS RESTANTES]],MH_LNM10_0425_San_Bartolo_Tafur[[VERSIÓN]:[VERSIÓN]],"="&amp;TRIM(CLEAN('HOJAS DE HORA PROY.'!$B47)),MH_LNM10_0425_San_Bartolo_Tafur[[ESPECIALIDAD]:[ESPECIALIDAD]],"="&amp;TRIM(CLEAN('HOJAS DE HORA PROY.'!C$1)))</f>
        <v>0</v>
      </c>
      <c r="D47" s="46">
        <f>$J47*SUMIFS(MH_LNM10_0425_San_Bartolo_Tafur[[TOTAL HORAS RESTANTES]:[TOTAL HORAS RESTANTES]],MH_LNM10_0425_San_Bartolo_Tafur[[VERSIÓN]:[VERSIÓN]],"="&amp;TRIM(CLEAN('HOJAS DE HORA PROY.'!$B47)),MH_LNM10_0425_San_Bartolo_Tafur[[ESPECIALIDAD]:[ESPECIALIDAD]],"="&amp;TRIM(CLEAN('HOJAS DE HORA PROY.'!D$1)))</f>
        <v>0</v>
      </c>
      <c r="E47" s="46">
        <f>$J47*SUMIFS(MH_LNM10_0425_San_Bartolo_Tafur[[TOTAL HORAS RESTANTES]:[TOTAL HORAS RESTANTES]],MH_LNM10_0425_San_Bartolo_Tafur[[VERSIÓN]:[VERSIÓN]],"="&amp;TRIM(CLEAN('HOJAS DE HORA PROY.'!$B47)),MH_LNM10_0425_San_Bartolo_Tafur[[ESPECIALIDAD]:[ESPECIALIDAD]],"="&amp;TRIM(CLEAN('HOJAS DE HORA PROY.'!E$1)))</f>
        <v>0</v>
      </c>
      <c r="F47" s="46">
        <f>$J47*SUMIFS(MH_LNM10_0425_San_Bartolo_Tafur[[TOTAL HORAS RESTANTES]:[TOTAL HORAS RESTANTES]],MH_LNM10_0425_San_Bartolo_Tafur[[VERSIÓN]:[VERSIÓN]],"="&amp;TRIM(CLEAN('HOJAS DE HORA PROY.'!$B47)),MH_LNM10_0425_San_Bartolo_Tafur[[ESPECIALIDAD]:[ESPECIALIDAD]],"="&amp;TRIM(CLEAN('HOJAS DE HORA PROY.'!F$1)))</f>
        <v>0</v>
      </c>
      <c r="G47" s="46">
        <f>$J47*SUMIFS(MH_LNM10_0425_San_Bartolo_Tafur[[TOTAL HORAS RESTANTES]:[TOTAL HORAS RESTANTES]],MH_LNM10_0425_San_Bartolo_Tafur[[VERSIÓN]:[VERSIÓN]],"="&amp;TRIM(CLEAN('HOJAS DE HORA PROY.'!$B47)),MH_LNM10_0425_San_Bartolo_Tafur[[ESPECIALIDAD]:[ESPECIALIDAD]],"="&amp;TRIM(CLEAN('HOJAS DE HORA PROY.'!G$1)))</f>
        <v>9</v>
      </c>
      <c r="H47" s="46">
        <f>$J47*SUMIFS(MH_LNM10_0425_San_Bartolo_Tafur[[TOTAL HORAS RESTANTES]:[TOTAL HORAS RESTANTES]],MH_LNM10_0425_San_Bartolo_Tafur[[VERSIÓN]:[VERSIÓN]],"="&amp;TRIM(CLEAN('HOJAS DE HORA PROY.'!$B47)),MH_LNM10_0425_San_Bartolo_Tafur[[ESPECIALIDAD]:[ESPECIALIDAD]],"="&amp;TRIM(CLEAN('HOJAS DE HORA PROY.'!H$1)))</f>
        <v>0</v>
      </c>
      <c r="I47" s="46">
        <f>$J47*SUMIFS(MH_LNM10_0425_San_Bartolo_Tafur[[TOTAL HORAS RESTANTES]:[TOTAL HORAS RESTANTES]],MH_LNM10_0425_San_Bartolo_Tafur[[VERSIÓN]:[VERSIÓN]],"="&amp;TRIM(CLEAN('HOJAS DE HORA PROY.'!$B47)),MH_LNM10_0425_San_Bartolo_Tafur[[ESPECIALIDAD]:[ESPECIALIDAD]],"="&amp;TRIM(CLEAN('HOJAS DE HORA PROY.'!I$1)))</f>
        <v>0</v>
      </c>
      <c r="J47" s="183">
        <v>1</v>
      </c>
      <c r="K47" s="184">
        <f t="shared" si="3"/>
        <v>9</v>
      </c>
      <c r="L47" s="184"/>
      <c r="M47" s="154"/>
      <c r="N47" s="107" t="s">
        <v>365</v>
      </c>
      <c r="O47" s="271">
        <v>0</v>
      </c>
    </row>
    <row r="48" spans="1:18" ht="18" customHeight="1" x14ac:dyDescent="0.4">
      <c r="A48" s="91" t="str">
        <f>'MP-OAM4 -0226- ATE -Maria'!A14</f>
        <v>OAM4 -0226- ATE Salamanca - María Jhong</v>
      </c>
      <c r="B48" s="259" t="s">
        <v>140</v>
      </c>
      <c r="C48" s="45">
        <f>$J48*SUMIFS(MP_OAM4__0226__ATE__Maria[[#All],[TOTAL HORAS RESTANTES]],MP_OAM4__0226__ATE__Maria[[#All],[VERSION]],"="&amp;TRIM(CLEAN('HOJAS DE HORA PROY.'!$B48)),MP_OAM4__0226__ATE__Maria[[#All],[ESPECIALIDAD]],"="&amp;TRIM(CLEAN('HOJAS DE HORA PROY.'!C$1)))</f>
        <v>0</v>
      </c>
      <c r="D48" s="45">
        <f>$J48*SUMIFS(MP_OAM4__0226__ATE__Maria[[#All],[TOTAL HORAS RESTANTES]],MP_OAM4__0226__ATE__Maria[[#All],[VERSION]],"="&amp;TRIM(CLEAN('HOJAS DE HORA PROY.'!$B48)),MP_OAM4__0226__ATE__Maria[[#All],[ESPECIALIDAD]],"="&amp;TRIM(CLEAN('HOJAS DE HORA PROY.'!D$1)))</f>
        <v>0</v>
      </c>
      <c r="E48" s="45">
        <f>$J48*SUMIFS(MP_OAM4__0226__ATE__Maria[[#All],[TOTAL HORAS RESTANTES]],MP_OAM4__0226__ATE__Maria[[#All],[VERSION]],"="&amp;TRIM(CLEAN('HOJAS DE HORA PROY.'!$B48)),MP_OAM4__0226__ATE__Maria[[#All],[ESPECIALIDAD]],"="&amp;TRIM(CLEAN('HOJAS DE HORA PROY.'!E$1)))</f>
        <v>0</v>
      </c>
      <c r="F48" s="45">
        <f>$J48*SUMIFS(MP_OAM4__0226__ATE__Maria[[#All],[TOTAL HORAS RESTANTES]],MP_OAM4__0226__ATE__Maria[[#All],[VERSION]],"="&amp;TRIM(CLEAN('HOJAS DE HORA PROY.'!$B48)),MP_OAM4__0226__ATE__Maria[[#All],[ESPECIALIDAD]],"="&amp;TRIM(CLEAN('HOJAS DE HORA PROY.'!F$1)))</f>
        <v>0</v>
      </c>
      <c r="G48" s="45">
        <f>$J48*SUMIFS(MP_OAM4__0226__ATE__Maria[[#All],[TOTAL HORAS RESTANTES]],MP_OAM4__0226__ATE__Maria[[#All],[VERSION]],"="&amp;TRIM(CLEAN('HOJAS DE HORA PROY.'!$B48)),MP_OAM4__0226__ATE__Maria[[#All],[ESPECIALIDAD]],"="&amp;TRIM(CLEAN('HOJAS DE HORA PROY.'!G$1)))</f>
        <v>0</v>
      </c>
      <c r="H48" s="45">
        <f>$J48*SUMIFS(MP_OAM4__0226__ATE__Maria[[#All],[TOTAL HORAS RESTANTES]],MP_OAM4__0226__ATE__Maria[[#All],[VERSION]],"="&amp;TRIM(CLEAN('HOJAS DE HORA PROY.'!$B48)),MP_OAM4__0226__ATE__Maria[[#All],[ESPECIALIDAD]],"="&amp;TRIM(CLEAN('HOJAS DE HORA PROY.'!H$1)))</f>
        <v>0</v>
      </c>
      <c r="I48" s="45">
        <f>$J48*SUMIFS(MP_OAM4__0226__ATE__Maria[[#All],[TOTAL HORAS RESTANTES]],MP_OAM4__0226__ATE__Maria[[#All],[VERSION]],"="&amp;TRIM(CLEAN('HOJAS DE HORA PROY.'!$B48)),MP_OAM4__0226__ATE__Maria[[#All],[ESPECIALIDAD]],"="&amp;TRIM(CLEAN('HOJAS DE HORA PROY.'!I$1)))</f>
        <v>0</v>
      </c>
      <c r="J48" s="193">
        <v>1</v>
      </c>
      <c r="K48" s="194">
        <f t="shared" ref="K48:K57" si="4">SUM(C48:I48)*J48</f>
        <v>0</v>
      </c>
      <c r="L48" s="194"/>
      <c r="M48" s="195"/>
      <c r="N48" s="103" t="s">
        <v>365</v>
      </c>
      <c r="O48" s="269">
        <v>0</v>
      </c>
    </row>
    <row r="49" spans="1:18" ht="18" customHeight="1" x14ac:dyDescent="0.4">
      <c r="A49" s="92" t="str">
        <f>'MP-OAM4 -0226- ATE -Maria'!A15</f>
        <v>OAM4 -0226- ATE Salamanca - María Jhong</v>
      </c>
      <c r="B49" s="260" t="s">
        <v>65</v>
      </c>
      <c r="C49" s="47">
        <f>$J49*SUMIFS(MP_OAM4__0226__ATE__Maria[[#All],[TOTAL HORAS RESTANTES]],MP_OAM4__0226__ATE__Maria[[#All],[VERSION]],"="&amp;TRIM(CLEAN('HOJAS DE HORA PROY.'!$B49)),MP_OAM4__0226__ATE__Maria[[#All],[ESPECIALIDAD]],"="&amp;TRIM(CLEAN('HOJAS DE HORA PROY.'!C$1)))</f>
        <v>4</v>
      </c>
      <c r="D49" s="47">
        <f>$J49*SUMIFS(MP_OAM4__0226__ATE__Maria[[#All],[TOTAL HORAS RESTANTES]],MP_OAM4__0226__ATE__Maria[[#All],[VERSION]],"="&amp;TRIM(CLEAN('HOJAS DE HORA PROY.'!$B49)),MP_OAM4__0226__ATE__Maria[[#All],[ESPECIALIDAD]],"="&amp;TRIM(CLEAN('HOJAS DE HORA PROY.'!D$1)))</f>
        <v>0</v>
      </c>
      <c r="E49" s="47">
        <f>$J49*SUMIFS(MP_OAM4__0226__ATE__Maria[[#All],[TOTAL HORAS RESTANTES]],MP_OAM4__0226__ATE__Maria[[#All],[VERSION]],"="&amp;TRIM(CLEAN('HOJAS DE HORA PROY.'!$B49)),MP_OAM4__0226__ATE__Maria[[#All],[ESPECIALIDAD]],"="&amp;TRIM(CLEAN('HOJAS DE HORA PROY.'!E$1)))</f>
        <v>0</v>
      </c>
      <c r="F49" s="47">
        <f>$J49*SUMIFS(MP_OAM4__0226__ATE__Maria[[#All],[TOTAL HORAS RESTANTES]],MP_OAM4__0226__ATE__Maria[[#All],[VERSION]],"="&amp;TRIM(CLEAN('HOJAS DE HORA PROY.'!$B49)),MP_OAM4__0226__ATE__Maria[[#All],[ESPECIALIDAD]],"="&amp;TRIM(CLEAN('HOJAS DE HORA PROY.'!F$1)))</f>
        <v>0.5</v>
      </c>
      <c r="G49" s="47">
        <f>$J49*SUMIFS(MP_OAM4__0226__ATE__Maria[[#All],[TOTAL HORAS RESTANTES]],MP_OAM4__0226__ATE__Maria[[#All],[VERSION]],"="&amp;TRIM(CLEAN('HOJAS DE HORA PROY.'!$B49)),MP_OAM4__0226__ATE__Maria[[#All],[ESPECIALIDAD]],"="&amp;TRIM(CLEAN('HOJAS DE HORA PROY.'!G$1)))</f>
        <v>0</v>
      </c>
      <c r="H49" s="47">
        <f>$J49*SUMIFS(MP_OAM4__0226__ATE__Maria[[#All],[TOTAL HORAS RESTANTES]],MP_OAM4__0226__ATE__Maria[[#All],[VERSION]],"="&amp;TRIM(CLEAN('HOJAS DE HORA PROY.'!$B49)),MP_OAM4__0226__ATE__Maria[[#All],[ESPECIALIDAD]],"="&amp;TRIM(CLEAN('HOJAS DE HORA PROY.'!H$1)))</f>
        <v>0</v>
      </c>
      <c r="I49" s="47">
        <f>$J49*SUMIFS(MP_OAM4__0226__ATE__Maria[[#All],[TOTAL HORAS RESTANTES]],MP_OAM4__0226__ATE__Maria[[#All],[VERSION]],"="&amp;TRIM(CLEAN('HOJAS DE HORA PROY.'!$B49)),MP_OAM4__0226__ATE__Maria[[#All],[ESPECIALIDAD]],"="&amp;TRIM(CLEAN('HOJAS DE HORA PROY.'!I$1)))</f>
        <v>0</v>
      </c>
      <c r="J49" s="196">
        <v>1</v>
      </c>
      <c r="K49" s="197">
        <f t="shared" si="4"/>
        <v>4.5</v>
      </c>
      <c r="L49" s="197"/>
      <c r="M49" s="198" t="s">
        <v>37</v>
      </c>
      <c r="N49" s="112" t="s">
        <v>365</v>
      </c>
      <c r="O49" s="270">
        <v>0</v>
      </c>
    </row>
    <row r="50" spans="1:18" ht="18" customHeight="1" x14ac:dyDescent="0.4">
      <c r="A50" s="92" t="str">
        <f>'MP-OAM4 -0226- ATE -Maria'!A16</f>
        <v>OAM4 -0226- ATE Salamanca - María Jhong</v>
      </c>
      <c r="B50" s="260" t="s">
        <v>66</v>
      </c>
      <c r="C50" s="47">
        <f>$J50*SUMIFS(MP_OAM4__0226__ATE__Maria[[#All],[TOTAL HORAS RESTANTES]],MP_OAM4__0226__ATE__Maria[[#All],[VERSION]],"="&amp;TRIM(CLEAN('HOJAS DE HORA PROY.'!$B50)),MP_OAM4__0226__ATE__Maria[[#All],[ESPECIALIDAD]],"="&amp;TRIM(CLEAN('HOJAS DE HORA PROY.'!C$1)))</f>
        <v>0</v>
      </c>
      <c r="D50" s="47">
        <f>$J50*SUMIFS(MP_OAM4__0226__ATE__Maria[[#All],[TOTAL HORAS RESTANTES]],MP_OAM4__0226__ATE__Maria[[#All],[VERSION]],"="&amp;TRIM(CLEAN('HOJAS DE HORA PROY.'!$B50)),MP_OAM4__0226__ATE__Maria[[#All],[ESPECIALIDAD]],"="&amp;TRIM(CLEAN('HOJAS DE HORA PROY.'!D$1)))</f>
        <v>0</v>
      </c>
      <c r="E50" s="47">
        <f>$J50*SUMIFS(MP_OAM4__0226__ATE__Maria[[#All],[TOTAL HORAS RESTANTES]],MP_OAM4__0226__ATE__Maria[[#All],[VERSION]],"="&amp;TRIM(CLEAN('HOJAS DE HORA PROY.'!$B50)),MP_OAM4__0226__ATE__Maria[[#All],[ESPECIALIDAD]],"="&amp;TRIM(CLEAN('HOJAS DE HORA PROY.'!E$1)))</f>
        <v>0</v>
      </c>
      <c r="F50" s="47">
        <f>$J50*SUMIFS(MP_OAM4__0226__ATE__Maria[[#All],[TOTAL HORAS RESTANTES]],MP_OAM4__0226__ATE__Maria[[#All],[VERSION]],"="&amp;TRIM(CLEAN('HOJAS DE HORA PROY.'!$B50)),MP_OAM4__0226__ATE__Maria[[#All],[ESPECIALIDAD]],"="&amp;TRIM(CLEAN('HOJAS DE HORA PROY.'!F$1)))</f>
        <v>0</v>
      </c>
      <c r="G50" s="47">
        <f>$J50*SUMIFS(MP_OAM4__0226__ATE__Maria[[#All],[TOTAL HORAS RESTANTES]],MP_OAM4__0226__ATE__Maria[[#All],[VERSION]],"="&amp;TRIM(CLEAN('HOJAS DE HORA PROY.'!$B50)),MP_OAM4__0226__ATE__Maria[[#All],[ESPECIALIDAD]],"="&amp;TRIM(CLEAN('HOJAS DE HORA PROY.'!G$1)))</f>
        <v>0</v>
      </c>
      <c r="H50" s="47">
        <f>$J50*SUMIFS(MP_OAM4__0226__ATE__Maria[[#All],[TOTAL HORAS RESTANTES]],MP_OAM4__0226__ATE__Maria[[#All],[VERSION]],"="&amp;TRIM(CLEAN('HOJAS DE HORA PROY.'!$B50)),MP_OAM4__0226__ATE__Maria[[#All],[ESPECIALIDAD]],"="&amp;TRIM(CLEAN('HOJAS DE HORA PROY.'!H$1)))</f>
        <v>0</v>
      </c>
      <c r="I50" s="47">
        <f>$J50*SUMIFS(MP_OAM4__0226__ATE__Maria[[#All],[TOTAL HORAS RESTANTES]],MP_OAM4__0226__ATE__Maria[[#All],[VERSION]],"="&amp;TRIM(CLEAN('HOJAS DE HORA PROY.'!$B50)),MP_OAM4__0226__ATE__Maria[[#All],[ESPECIALIDAD]],"="&amp;TRIM(CLEAN('HOJAS DE HORA PROY.'!I$1)))</f>
        <v>0</v>
      </c>
      <c r="J50" s="196">
        <v>1</v>
      </c>
      <c r="K50" s="197">
        <f t="shared" si="4"/>
        <v>0</v>
      </c>
      <c r="L50" s="197"/>
      <c r="M50" s="198"/>
      <c r="N50" s="112" t="s">
        <v>365</v>
      </c>
      <c r="O50" s="270">
        <v>0</v>
      </c>
    </row>
    <row r="51" spans="1:18" ht="18" customHeight="1" thickBot="1" x14ac:dyDescent="0.45">
      <c r="A51" s="343" t="str">
        <f>'MP-OAM4 -0226- ATE -Maria'!A17</f>
        <v>OAM4 -0226- ATE Salamanca - María Jhong</v>
      </c>
      <c r="B51" s="344" t="s">
        <v>67</v>
      </c>
      <c r="C51" s="52">
        <f>$J51*SUMIFS(MP_OAM4__0226__ATE__Maria[[#All],[TOTAL HORAS RESTANTES]],MP_OAM4__0226__ATE__Maria[[#All],[VERSION]],"="&amp;TRIM(CLEAN('HOJAS DE HORA PROY.'!$B51)),MP_OAM4__0226__ATE__Maria[[#All],[ESPECIALIDAD]],"="&amp;TRIM(CLEAN('HOJAS DE HORA PROY.'!C$1)))</f>
        <v>0</v>
      </c>
      <c r="D51" s="52">
        <f>$J51*SUMIFS(MP_OAM4__0226__ATE__Maria[[#All],[TOTAL HORAS RESTANTES]],MP_OAM4__0226__ATE__Maria[[#All],[VERSION]],"="&amp;TRIM(CLEAN('HOJAS DE HORA PROY.'!$B51)),MP_OAM4__0226__ATE__Maria[[#All],[ESPECIALIDAD]],"="&amp;TRIM(CLEAN('HOJAS DE HORA PROY.'!D$1)))</f>
        <v>0</v>
      </c>
      <c r="E51" s="52">
        <f>$J51*SUMIFS(MP_OAM4__0226__ATE__Maria[[#All],[TOTAL HORAS RESTANTES]],MP_OAM4__0226__ATE__Maria[[#All],[VERSION]],"="&amp;TRIM(CLEAN('HOJAS DE HORA PROY.'!$B51)),MP_OAM4__0226__ATE__Maria[[#All],[ESPECIALIDAD]],"="&amp;TRIM(CLEAN('HOJAS DE HORA PROY.'!E$1)))</f>
        <v>0</v>
      </c>
      <c r="F51" s="52">
        <f>$J51*SUMIFS(MP_OAM4__0226__ATE__Maria[[#All],[TOTAL HORAS RESTANTES]],MP_OAM4__0226__ATE__Maria[[#All],[VERSION]],"="&amp;TRIM(CLEAN('HOJAS DE HORA PROY.'!$B51)),MP_OAM4__0226__ATE__Maria[[#All],[ESPECIALIDAD]],"="&amp;TRIM(CLEAN('HOJAS DE HORA PROY.'!F$1)))</f>
        <v>0</v>
      </c>
      <c r="G51" s="52">
        <f>$J51*SUMIFS(MP_OAM4__0226__ATE__Maria[[#All],[TOTAL HORAS RESTANTES]],MP_OAM4__0226__ATE__Maria[[#All],[VERSION]],"="&amp;TRIM(CLEAN('HOJAS DE HORA PROY.'!$B51)),MP_OAM4__0226__ATE__Maria[[#All],[ESPECIALIDAD]],"="&amp;TRIM(CLEAN('HOJAS DE HORA PROY.'!G$1)))</f>
        <v>0</v>
      </c>
      <c r="H51" s="52">
        <f>$J51*SUMIFS(MP_OAM4__0226__ATE__Maria[[#All],[TOTAL HORAS RESTANTES]],MP_OAM4__0226__ATE__Maria[[#All],[VERSION]],"="&amp;TRIM(CLEAN('HOJAS DE HORA PROY.'!$B51)),MP_OAM4__0226__ATE__Maria[[#All],[ESPECIALIDAD]],"="&amp;TRIM(CLEAN('HOJAS DE HORA PROY.'!H$1)))</f>
        <v>0</v>
      </c>
      <c r="I51" s="52">
        <f>$J51*SUMIFS(MP_OAM4__0226__ATE__Maria[[#All],[TOTAL HORAS RESTANTES]],MP_OAM4__0226__ATE__Maria[[#All],[VERSION]],"="&amp;TRIM(CLEAN('HOJAS DE HORA PROY.'!$B51)),MP_OAM4__0226__ATE__Maria[[#All],[ESPECIALIDAD]],"="&amp;TRIM(CLEAN('HOJAS DE HORA PROY.'!I$1)))</f>
        <v>0</v>
      </c>
      <c r="J51" s="345">
        <v>1</v>
      </c>
      <c r="K51" s="346">
        <f t="shared" si="4"/>
        <v>0</v>
      </c>
      <c r="L51" s="346"/>
      <c r="M51" s="347"/>
      <c r="N51" s="214" t="s">
        <v>365</v>
      </c>
      <c r="O51" s="273">
        <v>2000</v>
      </c>
    </row>
    <row r="52" spans="1:18" ht="18" customHeight="1" x14ac:dyDescent="0.4">
      <c r="A52" s="94" t="str">
        <f>'MP-LAM4 -0226- ATE -Maria'!A2</f>
        <v>LAM4 -0226- ATE Salamanca - María Jhong</v>
      </c>
      <c r="B52" s="262" t="s">
        <v>140</v>
      </c>
      <c r="C52" s="45">
        <f>$J52*SUMIFS(MP_LAM4__0226__ATE__Maria[[#All],[TOTAL HORAS RESTANTES]],MP_LAM4__0226__ATE__Maria[[#All],[VERSION]],"="&amp;TRIM(CLEAN('HOJAS DE HORA PROY.'!$B52)),MP_LAM4__0226__ATE__Maria[[#All],[ESPECIALIDAD]],"="&amp;TRIM(CLEAN('HOJAS DE HORA PROY.'!C$1)))</f>
        <v>0</v>
      </c>
      <c r="D52" s="45">
        <f>$J52*SUMIFS(MP_LAM4__0226__ATE__Maria[[#All],[TOTAL HORAS RESTANTES]],MP_LAM4__0226__ATE__Maria[[#All],[VERSION]],"="&amp;TRIM(CLEAN('HOJAS DE HORA PROY.'!$B52)),MP_LAM4__0226__ATE__Maria[[#All],[ESPECIALIDAD]],"="&amp;TRIM(CLEAN('HOJAS DE HORA PROY.'!D$1)))</f>
        <v>0</v>
      </c>
      <c r="E52" s="45">
        <f>$J52*SUMIFS(MP_LAM4__0226__ATE__Maria[[#All],[TOTAL HORAS RESTANTES]],MP_LAM4__0226__ATE__Maria[[#All],[VERSION]],"="&amp;TRIM(CLEAN('HOJAS DE HORA PROY.'!$B52)),MP_LAM4__0226__ATE__Maria[[#All],[ESPECIALIDAD]],"="&amp;TRIM(CLEAN('HOJAS DE HORA PROY.'!E$1)))</f>
        <v>0</v>
      </c>
      <c r="F52" s="45">
        <f>$J52*SUMIFS(MP_LAM4__0226__ATE__Maria[[#All],[TOTAL HORAS RESTANTES]],MP_LAM4__0226__ATE__Maria[[#All],[VERSION]],"="&amp;TRIM(CLEAN('HOJAS DE HORA PROY.'!$B52)),MP_LAM4__0226__ATE__Maria[[#All],[ESPECIALIDAD]],"="&amp;TRIM(CLEAN('HOJAS DE HORA PROY.'!F$1)))</f>
        <v>0</v>
      </c>
      <c r="G52" s="45">
        <f>$J52*SUMIFS(MP_LAM4__0226__ATE__Maria[[#All],[TOTAL HORAS RESTANTES]],MP_LAM4__0226__ATE__Maria[[#All],[VERSION]],"="&amp;TRIM(CLEAN('HOJAS DE HORA PROY.'!$B52)),MP_LAM4__0226__ATE__Maria[[#All],[ESPECIALIDAD]],"="&amp;TRIM(CLEAN('HOJAS DE HORA PROY.'!G$1)))</f>
        <v>0</v>
      </c>
      <c r="H52" s="45">
        <f>$J52*SUMIFS(MP_LAM4__0226__ATE__Maria[[#All],[TOTAL HORAS RESTANTES]],MP_LAM4__0226__ATE__Maria[[#All],[VERSION]],"="&amp;TRIM(CLEAN('HOJAS DE HORA PROY.'!$B52)),MP_LAM4__0226__ATE__Maria[[#All],[ESPECIALIDAD]],"="&amp;TRIM(CLEAN('HOJAS DE HORA PROY.'!H$1)))</f>
        <v>0</v>
      </c>
      <c r="I52" s="45">
        <f>$J52*SUMIFS(MP_LAM4__0226__ATE__Maria[[#All],[TOTAL HORAS RESTANTES]],MP_LAM4__0226__ATE__Maria[[#All],[VERSION]],"="&amp;TRIM(CLEAN('HOJAS DE HORA PROY.'!$B52)),MP_LAM4__0226__ATE__Maria[[#All],[ESPECIALIDAD]],"="&amp;TRIM(CLEAN('HOJAS DE HORA PROY.'!I$1)))</f>
        <v>0</v>
      </c>
      <c r="J52" s="201">
        <v>1</v>
      </c>
      <c r="K52" s="202">
        <f t="shared" si="4"/>
        <v>0</v>
      </c>
      <c r="L52" s="202"/>
      <c r="M52" s="203"/>
      <c r="N52" s="103" t="s">
        <v>365</v>
      </c>
      <c r="O52" s="269">
        <v>0</v>
      </c>
    </row>
    <row r="53" spans="1:18" ht="18" customHeight="1" x14ac:dyDescent="0.4">
      <c r="A53" s="95" t="str">
        <f>'MP-LAM4 -0226- ATE -Maria'!A3</f>
        <v>LAM4 -0226- ATE Salamanca - María Jhong</v>
      </c>
      <c r="B53" s="263" t="s">
        <v>65</v>
      </c>
      <c r="C53" s="47">
        <f>$J53*SUMIFS(MP_LAM4__0226__ATE__Maria[[#All],[TOTAL HORAS RESTANTES]],MP_LAM4__0226__ATE__Maria[[#All],[VERSION]],"="&amp;TRIM(CLEAN('HOJAS DE HORA PROY.'!$B53)),MP_LAM4__0226__ATE__Maria[[#All],[ESPECIALIDAD]],"="&amp;TRIM(CLEAN('HOJAS DE HORA PROY.'!C$1)))</f>
        <v>9.5</v>
      </c>
      <c r="D53" s="47">
        <f>$J53*SUMIFS(MP_LAM4__0226__ATE__Maria[[#All],[TOTAL HORAS RESTANTES]],MP_LAM4__0226__ATE__Maria[[#All],[VERSION]],"="&amp;TRIM(CLEAN('HOJAS DE HORA PROY.'!$B53)),MP_LAM4__0226__ATE__Maria[[#All],[ESPECIALIDAD]],"="&amp;TRIM(CLEAN('HOJAS DE HORA PROY.'!D$1)))</f>
        <v>8</v>
      </c>
      <c r="E53" s="47">
        <f>$J53*SUMIFS(MP_LAM4__0226__ATE__Maria[[#All],[TOTAL HORAS RESTANTES]],MP_LAM4__0226__ATE__Maria[[#All],[VERSION]],"="&amp;TRIM(CLEAN('HOJAS DE HORA PROY.'!$B53)),MP_LAM4__0226__ATE__Maria[[#All],[ESPECIALIDAD]],"="&amp;TRIM(CLEAN('HOJAS DE HORA PROY.'!E$1)))</f>
        <v>3</v>
      </c>
      <c r="F53" s="47">
        <f>$J53*SUMIFS(MP_LAM4__0226__ATE__Maria[[#All],[TOTAL HORAS RESTANTES]],MP_LAM4__0226__ATE__Maria[[#All],[VERSION]],"="&amp;TRIM(CLEAN('HOJAS DE HORA PROY.'!$B53)),MP_LAM4__0226__ATE__Maria[[#All],[ESPECIALIDAD]],"="&amp;TRIM(CLEAN('HOJAS DE HORA PROY.'!F$1)))</f>
        <v>0.5</v>
      </c>
      <c r="G53" s="47">
        <f>$J53*SUMIFS(MP_LAM4__0226__ATE__Maria[[#All],[TOTAL HORAS RESTANTES]],MP_LAM4__0226__ATE__Maria[[#All],[VERSION]],"="&amp;TRIM(CLEAN('HOJAS DE HORA PROY.'!$B53)),MP_LAM4__0226__ATE__Maria[[#All],[ESPECIALIDAD]],"="&amp;TRIM(CLEAN('HOJAS DE HORA PROY.'!G$1)))</f>
        <v>0</v>
      </c>
      <c r="H53" s="47">
        <f>$J53*SUMIFS(MP_LAM4__0226__ATE__Maria[[#All],[TOTAL HORAS RESTANTES]],MP_LAM4__0226__ATE__Maria[[#All],[VERSION]],"="&amp;TRIM(CLEAN('HOJAS DE HORA PROY.'!$B53)),MP_LAM4__0226__ATE__Maria[[#All],[ESPECIALIDAD]],"="&amp;TRIM(CLEAN('HOJAS DE HORA PROY.'!H$1)))</f>
        <v>0</v>
      </c>
      <c r="I53" s="47">
        <f>$J53*SUMIFS(MP_LAM4__0226__ATE__Maria[[#All],[TOTAL HORAS RESTANTES]],MP_LAM4__0226__ATE__Maria[[#All],[VERSION]],"="&amp;TRIM(CLEAN('HOJAS DE HORA PROY.'!$B53)),MP_LAM4__0226__ATE__Maria[[#All],[ESPECIALIDAD]],"="&amp;TRIM(CLEAN('HOJAS DE HORA PROY.'!I$1)))</f>
        <v>0</v>
      </c>
      <c r="J53" s="204">
        <v>1</v>
      </c>
      <c r="K53" s="205">
        <f t="shared" si="4"/>
        <v>21</v>
      </c>
      <c r="L53" s="205"/>
      <c r="M53" s="206" t="s">
        <v>38</v>
      </c>
      <c r="N53" s="112" t="s">
        <v>365</v>
      </c>
      <c r="O53" s="270">
        <v>0</v>
      </c>
      <c r="Q53" s="356"/>
      <c r="R53" t="s">
        <v>577</v>
      </c>
    </row>
    <row r="54" spans="1:18" ht="18" customHeight="1" x14ac:dyDescent="0.4">
      <c r="A54" s="95" t="str">
        <f>'MP-LAM4 -0226- ATE -Maria'!A4</f>
        <v>LAM4 -0226- ATE Salamanca - María Jhong</v>
      </c>
      <c r="B54" s="263" t="s">
        <v>81</v>
      </c>
      <c r="C54" s="47">
        <f>$J54*SUMIFS(MP_LAM4__0226__ATE__Maria[[#All],[TOTAL HORAS RESTANTES]],MP_LAM4__0226__ATE__Maria[[#All],[VERSION]],"="&amp;TRIM(CLEAN('HOJAS DE HORA PROY.'!$B54)),MP_LAM4__0226__ATE__Maria[[#All],[ESPECIALIDAD]],"="&amp;TRIM(CLEAN('HOJAS DE HORA PROY.'!C$1)))</f>
        <v>28</v>
      </c>
      <c r="D54" s="47">
        <f>$J54*SUMIFS(MP_LAM4__0226__ATE__Maria[[#All],[TOTAL HORAS RESTANTES]],MP_LAM4__0226__ATE__Maria[[#All],[VERSION]],"="&amp;TRIM(CLEAN('HOJAS DE HORA PROY.'!$B54)),MP_LAM4__0226__ATE__Maria[[#All],[ESPECIALIDAD]],"="&amp;TRIM(CLEAN('HOJAS DE HORA PROY.'!D$1)))</f>
        <v>29</v>
      </c>
      <c r="E54" s="47">
        <f>$J54*SUMIFS(MP_LAM4__0226__ATE__Maria[[#All],[TOTAL HORAS RESTANTES]],MP_LAM4__0226__ATE__Maria[[#All],[VERSION]],"="&amp;TRIM(CLEAN('HOJAS DE HORA PROY.'!$B54)),MP_LAM4__0226__ATE__Maria[[#All],[ESPECIALIDAD]],"="&amp;TRIM(CLEAN('HOJAS DE HORA PROY.'!E$1)))</f>
        <v>4</v>
      </c>
      <c r="F54" s="47">
        <f>$J54*SUMIFS(MP_LAM4__0226__ATE__Maria[[#All],[TOTAL HORAS RESTANTES]],MP_LAM4__0226__ATE__Maria[[#All],[VERSION]],"="&amp;TRIM(CLEAN('HOJAS DE HORA PROY.'!$B54)),MP_LAM4__0226__ATE__Maria[[#All],[ESPECIALIDAD]],"="&amp;TRIM(CLEAN('HOJAS DE HORA PROY.'!F$1)))</f>
        <v>30</v>
      </c>
      <c r="G54" s="47">
        <f>$J54*SUMIFS(MP_LAM4__0226__ATE__Maria[[#All],[TOTAL HORAS RESTANTES]],MP_LAM4__0226__ATE__Maria[[#All],[VERSION]],"="&amp;TRIM(CLEAN('HOJAS DE HORA PROY.'!$B54)),MP_LAM4__0226__ATE__Maria[[#All],[ESPECIALIDAD]],"="&amp;TRIM(CLEAN('HOJAS DE HORA PROY.'!G$1)))</f>
        <v>31</v>
      </c>
      <c r="H54" s="47">
        <f>$J54*SUMIFS(MP_LAM4__0226__ATE__Maria[[#All],[TOTAL HORAS RESTANTES]],MP_LAM4__0226__ATE__Maria[[#All],[VERSION]],"="&amp;TRIM(CLEAN('HOJAS DE HORA PROY.'!$B54)),MP_LAM4__0226__ATE__Maria[[#All],[ESPECIALIDAD]],"="&amp;TRIM(CLEAN('HOJAS DE HORA PROY.'!H$1)))</f>
        <v>11</v>
      </c>
      <c r="I54" s="47">
        <f>$J54*SUMIFS(MP_LAM4__0226__ATE__Maria[[#All],[TOTAL HORAS RESTANTES]],MP_LAM4__0226__ATE__Maria[[#All],[VERSION]],"="&amp;TRIM(CLEAN('HOJAS DE HORA PROY.'!$B54)),MP_LAM4__0226__ATE__Maria[[#All],[ESPECIALIDAD]],"="&amp;TRIM(CLEAN('HOJAS DE HORA PROY.'!I$1)))</f>
        <v>0</v>
      </c>
      <c r="J54" s="204">
        <v>1</v>
      </c>
      <c r="K54" s="205">
        <f t="shared" si="4"/>
        <v>133</v>
      </c>
      <c r="L54" s="205"/>
      <c r="M54" s="206" t="s">
        <v>40</v>
      </c>
      <c r="N54" s="112" t="s">
        <v>365</v>
      </c>
      <c r="O54" s="270">
        <v>0</v>
      </c>
    </row>
    <row r="55" spans="1:18" ht="18" customHeight="1" x14ac:dyDescent="0.4">
      <c r="A55" s="95" t="str">
        <f>'MP-LAM4 -0226- ATE -Maria'!A5</f>
        <v>LAM4 -0226- ATE Salamanca - María Jhong</v>
      </c>
      <c r="B55" s="263" t="s">
        <v>170</v>
      </c>
      <c r="C55" s="47">
        <f>$J55*SUMIFS(MP_LAM4__0226__ATE__Maria[[#All],[TOTAL HORAS RESTANTES]],MP_LAM4__0226__ATE__Maria[[#All],[VERSION]],"="&amp;TRIM(CLEAN('HOJAS DE HORA PROY.'!$B55)),MP_LAM4__0226__ATE__Maria[[#All],[ESPECIALIDAD]],"="&amp;TRIM(CLEAN('HOJAS DE HORA PROY.'!C$1)))</f>
        <v>0</v>
      </c>
      <c r="D55" s="47">
        <f>$J55*SUMIFS(MP_LAM4__0226__ATE__Maria[[#All],[TOTAL HORAS RESTANTES]],MP_LAM4__0226__ATE__Maria[[#All],[VERSION]],"="&amp;TRIM(CLEAN('HOJAS DE HORA PROY.'!$B55)),MP_LAM4__0226__ATE__Maria[[#All],[ESPECIALIDAD]],"="&amp;TRIM(CLEAN('HOJAS DE HORA PROY.'!D$1)))</f>
        <v>0</v>
      </c>
      <c r="E55" s="47">
        <f>$J55*SUMIFS(MP_LAM4__0226__ATE__Maria[[#All],[TOTAL HORAS RESTANTES]],MP_LAM4__0226__ATE__Maria[[#All],[VERSION]],"="&amp;TRIM(CLEAN('HOJAS DE HORA PROY.'!$B55)),MP_LAM4__0226__ATE__Maria[[#All],[ESPECIALIDAD]],"="&amp;TRIM(CLEAN('HOJAS DE HORA PROY.'!E$1)))</f>
        <v>0</v>
      </c>
      <c r="F55" s="47">
        <f>$J55*SUMIFS(MP_LAM4__0226__ATE__Maria[[#All],[TOTAL HORAS RESTANTES]],MP_LAM4__0226__ATE__Maria[[#All],[VERSION]],"="&amp;TRIM(CLEAN('HOJAS DE HORA PROY.'!$B55)),MP_LAM4__0226__ATE__Maria[[#All],[ESPECIALIDAD]],"="&amp;TRIM(CLEAN('HOJAS DE HORA PROY.'!F$1)))</f>
        <v>0</v>
      </c>
      <c r="G55" s="47">
        <f>$J55*SUMIFS(MP_LAM4__0226__ATE__Maria[[#All],[TOTAL HORAS RESTANTES]],MP_LAM4__0226__ATE__Maria[[#All],[VERSION]],"="&amp;TRIM(CLEAN('HOJAS DE HORA PROY.'!$B55)),MP_LAM4__0226__ATE__Maria[[#All],[ESPECIALIDAD]],"="&amp;TRIM(CLEAN('HOJAS DE HORA PROY.'!G$1)))</f>
        <v>0</v>
      </c>
      <c r="H55" s="47">
        <f>$J55*SUMIFS(MP_LAM4__0226__ATE__Maria[[#All],[TOTAL HORAS RESTANTES]],MP_LAM4__0226__ATE__Maria[[#All],[VERSION]],"="&amp;TRIM(CLEAN('HOJAS DE HORA PROY.'!$B55)),MP_LAM4__0226__ATE__Maria[[#All],[ESPECIALIDAD]],"="&amp;TRIM(CLEAN('HOJAS DE HORA PROY.'!H$1)))</f>
        <v>0</v>
      </c>
      <c r="I55" s="47">
        <f>$J55*SUMIFS(MP_LAM4__0226__ATE__Maria[[#All],[TOTAL HORAS RESTANTES]],MP_LAM4__0226__ATE__Maria[[#All],[VERSION]],"="&amp;TRIM(CLEAN('HOJAS DE HORA PROY.'!$B55)),MP_LAM4__0226__ATE__Maria[[#All],[ESPECIALIDAD]],"="&amp;TRIM(CLEAN('HOJAS DE HORA PROY.'!I$1)))</f>
        <v>0</v>
      </c>
      <c r="J55" s="204">
        <v>1</v>
      </c>
      <c r="K55" s="205">
        <f t="shared" si="4"/>
        <v>0</v>
      </c>
      <c r="L55" s="354"/>
      <c r="M55" s="206" t="s">
        <v>40</v>
      </c>
      <c r="N55" s="355" t="s">
        <v>365</v>
      </c>
      <c r="O55" s="270">
        <v>2000</v>
      </c>
    </row>
    <row r="56" spans="1:18" ht="18" customHeight="1" x14ac:dyDescent="0.4">
      <c r="A56" s="95" t="str">
        <f>'MP-LAM4 -0226- ATE -Maria'!A6</f>
        <v>LAM4 -0226- ATE Salamanca - María Jhong</v>
      </c>
      <c r="B56" s="263" t="s">
        <v>144</v>
      </c>
      <c r="C56" s="47">
        <f>$J56*SUMIFS(MP_LAM4__0226__ATE__Maria[[#All],[TOTAL HORAS RESTANTES]],MP_LAM4__0226__ATE__Maria[[#All],[VERSION]],"="&amp;TRIM(CLEAN('HOJAS DE HORA PROY.'!$B56)),MP_LAM4__0226__ATE__Maria[[#All],[ESPECIALIDAD]],"="&amp;TRIM(CLEAN('HOJAS DE HORA PROY.'!C$1)))</f>
        <v>15</v>
      </c>
      <c r="D56" s="47">
        <f>$J56*SUMIFS(MP_LAM4__0226__ATE__Maria[[#All],[TOTAL HORAS RESTANTES]],MP_LAM4__0226__ATE__Maria[[#All],[VERSION]],"="&amp;TRIM(CLEAN('HOJAS DE HORA PROY.'!$B56)),MP_LAM4__0226__ATE__Maria[[#All],[ESPECIALIDAD]],"="&amp;TRIM(CLEAN('HOJAS DE HORA PROY.'!D$1)))</f>
        <v>18</v>
      </c>
      <c r="E56" s="47">
        <f>$J56*SUMIFS(MP_LAM4__0226__ATE__Maria[[#All],[TOTAL HORAS RESTANTES]],MP_LAM4__0226__ATE__Maria[[#All],[VERSION]],"="&amp;TRIM(CLEAN('HOJAS DE HORA PROY.'!$B56)),MP_LAM4__0226__ATE__Maria[[#All],[ESPECIALIDAD]],"="&amp;TRIM(CLEAN('HOJAS DE HORA PROY.'!E$1)))</f>
        <v>0</v>
      </c>
      <c r="F56" s="47">
        <f>$J56*SUMIFS(MP_LAM4__0226__ATE__Maria[[#All],[TOTAL HORAS RESTANTES]],MP_LAM4__0226__ATE__Maria[[#All],[VERSION]],"="&amp;TRIM(CLEAN('HOJAS DE HORA PROY.'!$B56)),MP_LAM4__0226__ATE__Maria[[#All],[ESPECIALIDAD]],"="&amp;TRIM(CLEAN('HOJAS DE HORA PROY.'!F$1)))</f>
        <v>18</v>
      </c>
      <c r="G56" s="47">
        <f>$J56*SUMIFS(MP_LAM4__0226__ATE__Maria[[#All],[TOTAL HORAS RESTANTES]],MP_LAM4__0226__ATE__Maria[[#All],[VERSION]],"="&amp;TRIM(CLEAN('HOJAS DE HORA PROY.'!$B56)),MP_LAM4__0226__ATE__Maria[[#All],[ESPECIALIDAD]],"="&amp;TRIM(CLEAN('HOJAS DE HORA PROY.'!G$1)))</f>
        <v>10</v>
      </c>
      <c r="H56" s="47">
        <f>$J56*SUMIFS(MP_LAM4__0226__ATE__Maria[[#All],[TOTAL HORAS RESTANTES]],MP_LAM4__0226__ATE__Maria[[#All],[VERSION]],"="&amp;TRIM(CLEAN('HOJAS DE HORA PROY.'!$B56)),MP_LAM4__0226__ATE__Maria[[#All],[ESPECIALIDAD]],"="&amp;TRIM(CLEAN('HOJAS DE HORA PROY.'!H$1)))</f>
        <v>0</v>
      </c>
      <c r="I56" s="47">
        <f>$J56*SUMIFS(MP_LAM4__0226__ATE__Maria[[#All],[TOTAL HORAS RESTANTES]],MP_LAM4__0226__ATE__Maria[[#All],[VERSION]],"="&amp;TRIM(CLEAN('HOJAS DE HORA PROY.'!$B56)),MP_LAM4__0226__ATE__Maria[[#All],[ESPECIALIDAD]],"="&amp;TRIM(CLEAN('HOJAS DE HORA PROY.'!I$1)))</f>
        <v>0</v>
      </c>
      <c r="J56" s="204">
        <v>1</v>
      </c>
      <c r="K56" s="205">
        <f t="shared" si="4"/>
        <v>61</v>
      </c>
      <c r="L56" s="205"/>
      <c r="M56" s="206" t="s">
        <v>42</v>
      </c>
      <c r="N56" s="112" t="s">
        <v>365</v>
      </c>
      <c r="O56" s="270">
        <v>0</v>
      </c>
    </row>
    <row r="57" spans="1:18" ht="18" customHeight="1" thickBot="1" x14ac:dyDescent="0.45">
      <c r="A57" s="96" t="str">
        <f>'MP-LAM4 -0226- ATE -Maria'!A7</f>
        <v>LAM4 -0226- ATE Salamanca - María Jhong</v>
      </c>
      <c r="B57" s="264" t="s">
        <v>83</v>
      </c>
      <c r="C57" s="46">
        <f>$J57*SUMIFS(MP_LAM4__0226__ATE__Maria[[#All],[TOTAL HORAS RESTANTES]],MP_LAM4__0226__ATE__Maria[[#All],[VERSION]],"="&amp;TRIM(CLEAN('HOJAS DE HORA PROY.'!$B57)),MP_LAM4__0226__ATE__Maria[[#All],[ESPECIALIDAD]],"="&amp;TRIM(CLEAN('HOJAS DE HORA PROY.'!C$1)))</f>
        <v>0</v>
      </c>
      <c r="D57" s="46">
        <f>$J57*SUMIFS(MP_LAM4__0226__ATE__Maria[[#All],[TOTAL HORAS RESTANTES]],MP_LAM4__0226__ATE__Maria[[#All],[VERSION]],"="&amp;TRIM(CLEAN('HOJAS DE HORA PROY.'!$B57)),MP_LAM4__0226__ATE__Maria[[#All],[ESPECIALIDAD]],"="&amp;TRIM(CLEAN('HOJAS DE HORA PROY.'!D$1)))</f>
        <v>0</v>
      </c>
      <c r="E57" s="46">
        <f>$J57*SUMIFS(MP_LAM4__0226__ATE__Maria[[#All],[TOTAL HORAS RESTANTES]],MP_LAM4__0226__ATE__Maria[[#All],[VERSION]],"="&amp;TRIM(CLEAN('HOJAS DE HORA PROY.'!$B57)),MP_LAM4__0226__ATE__Maria[[#All],[ESPECIALIDAD]],"="&amp;TRIM(CLEAN('HOJAS DE HORA PROY.'!E$1)))</f>
        <v>0</v>
      </c>
      <c r="F57" s="46">
        <f>$J57*SUMIFS(MP_LAM4__0226__ATE__Maria[[#All],[TOTAL HORAS RESTANTES]],MP_LAM4__0226__ATE__Maria[[#All],[VERSION]],"="&amp;TRIM(CLEAN('HOJAS DE HORA PROY.'!$B57)),MP_LAM4__0226__ATE__Maria[[#All],[ESPECIALIDAD]],"="&amp;TRIM(CLEAN('HOJAS DE HORA PROY.'!F$1)))</f>
        <v>0</v>
      </c>
      <c r="G57" s="46">
        <f>$J57*SUMIFS(MP_LAM4__0226__ATE__Maria[[#All],[TOTAL HORAS RESTANTES]],MP_LAM4__0226__ATE__Maria[[#All],[VERSION]],"="&amp;TRIM(CLEAN('HOJAS DE HORA PROY.'!$B57)),MP_LAM4__0226__ATE__Maria[[#All],[ESPECIALIDAD]],"="&amp;TRIM(CLEAN('HOJAS DE HORA PROY.'!G$1)))</f>
        <v>0</v>
      </c>
      <c r="H57" s="46">
        <f>$J57*SUMIFS(MP_LAM4__0226__ATE__Maria[[#All],[TOTAL HORAS RESTANTES]],MP_LAM4__0226__ATE__Maria[[#All],[VERSION]],"="&amp;TRIM(CLEAN('HOJAS DE HORA PROY.'!$B57)),MP_LAM4__0226__ATE__Maria[[#All],[ESPECIALIDAD]],"="&amp;TRIM(CLEAN('HOJAS DE HORA PROY.'!H$1)))</f>
        <v>0</v>
      </c>
      <c r="I57" s="46">
        <f>$J57*SUMIFS(MP_LAM4__0226__ATE__Maria[[#All],[TOTAL HORAS RESTANTES]],MP_LAM4__0226__ATE__Maria[[#All],[VERSION]],"="&amp;TRIM(CLEAN('HOJAS DE HORA PROY.'!$B57)),MP_LAM4__0226__ATE__Maria[[#All],[ESPECIALIDAD]],"="&amp;TRIM(CLEAN('HOJAS DE HORA PROY.'!I$1)))</f>
        <v>0</v>
      </c>
      <c r="J57" s="207">
        <v>1</v>
      </c>
      <c r="K57" s="208">
        <f t="shared" si="4"/>
        <v>0</v>
      </c>
      <c r="L57" s="208"/>
      <c r="M57" s="353" t="s">
        <v>43</v>
      </c>
      <c r="N57" s="107" t="s">
        <v>365</v>
      </c>
      <c r="O57" s="271">
        <v>4000</v>
      </c>
    </row>
    <row r="58" spans="1:18" ht="18" customHeight="1" x14ac:dyDescent="0.4">
      <c r="A58" s="348" t="s">
        <v>553</v>
      </c>
      <c r="B58" s="349" t="s">
        <v>140</v>
      </c>
      <c r="C58" s="283">
        <f>$J58*SUMIFS(LNM3_0226_Punta_Hermosa_Farah[[#All],[TOTAL HORAS RESTANTES]],LNM3_0226_Punta_Hermosa_Farah[[#All],[VERSION]],"="&amp;TRIM(CLEAN('HOJAS DE HORA PROY.'!$B58)),LNM3_0226_Punta_Hermosa_Farah[[#All],[ESPECIALIDAD]],"="&amp;TRIM(CLEAN('HOJAS DE HORA PROY.'!C$1)))</f>
        <v>0</v>
      </c>
      <c r="D58" s="283">
        <f>$J58*SUMIFS(LNM3_0226_Punta_Hermosa_Farah[[#All],[TOTAL HORAS RESTANTES]],LNM3_0226_Punta_Hermosa_Farah[[#All],[VERSION]],"="&amp;TRIM(CLEAN('HOJAS DE HORA PROY.'!$B58)),LNM3_0226_Punta_Hermosa_Farah[[#All],[ESPECIALIDAD]],"="&amp;TRIM(CLEAN('HOJAS DE HORA PROY.'!D$1)))</f>
        <v>0</v>
      </c>
      <c r="E58" s="283">
        <f>$J58*SUMIFS(LNM3_0226_Punta_Hermosa_Farah[[#All],[TOTAL HORAS RESTANTES]],LNM3_0226_Punta_Hermosa_Farah[[#All],[VERSION]],"="&amp;TRIM(CLEAN('HOJAS DE HORA PROY.'!$B58)),LNM3_0226_Punta_Hermosa_Farah[[#All],[ESPECIALIDAD]],"="&amp;TRIM(CLEAN('HOJAS DE HORA PROY.'!E$1)))</f>
        <v>0</v>
      </c>
      <c r="F58" s="283">
        <f>$J58*SUMIFS(LNM3_0226_Punta_Hermosa_Farah[[#All],[TOTAL HORAS RESTANTES]],LNM3_0226_Punta_Hermosa_Farah[[#All],[VERSION]],"="&amp;TRIM(CLEAN('HOJAS DE HORA PROY.'!$B58)),LNM3_0226_Punta_Hermosa_Farah[[#All],[ESPECIALIDAD]],"="&amp;TRIM(CLEAN('HOJAS DE HORA PROY.'!F$1)))</f>
        <v>0</v>
      </c>
      <c r="G58" s="283">
        <f>$J58*SUMIFS(LNM3_0226_Punta_Hermosa_Farah[[#All],[TOTAL HORAS RESTANTES]],LNM3_0226_Punta_Hermosa_Farah[[#All],[VERSION]],"="&amp;TRIM(CLEAN('HOJAS DE HORA PROY.'!$B58)),LNM3_0226_Punta_Hermosa_Farah[[#All],[ESPECIALIDAD]],"="&amp;TRIM(CLEAN('HOJAS DE HORA PROY.'!G$1)))</f>
        <v>0</v>
      </c>
      <c r="H58" s="283">
        <f>$J58*SUMIFS(LNM3_0226_Punta_Hermosa_Farah[[#All],[TOTAL HORAS RESTANTES]],LNM3_0226_Punta_Hermosa_Farah[[#All],[VERSION]],"="&amp;TRIM(CLEAN('HOJAS DE HORA PROY.'!$B58)),LNM3_0226_Punta_Hermosa_Farah[[#All],[ESPECIALIDAD]],"="&amp;TRIM(CLEAN('HOJAS DE HORA PROY.'!H$1)))</f>
        <v>0</v>
      </c>
      <c r="I58" s="283">
        <f>$J58*SUMIFS(LNM3_0226_Punta_Hermosa_Farah[[#All],[TOTAL HORAS RESTANTES]],LNM3_0226_Punta_Hermosa_Farah[[#All],[VERSION]],"="&amp;TRIM(CLEAN('HOJAS DE HORA PROY.'!$B58)),LNM3_0226_Punta_Hermosa_Farah[[#All],[ESPECIALIDAD]],"="&amp;TRIM(CLEAN('HOJAS DE HORA PROY.'!I$1)))</f>
        <v>0</v>
      </c>
      <c r="J58" s="350">
        <v>1</v>
      </c>
      <c r="K58" s="351">
        <f t="shared" ref="K58:K62" si="5">SUM(C58:I58)*J58</f>
        <v>0</v>
      </c>
      <c r="L58" s="351"/>
      <c r="M58" s="352"/>
      <c r="N58" s="287" t="s">
        <v>365</v>
      </c>
      <c r="O58" s="288">
        <v>0</v>
      </c>
    </row>
    <row r="59" spans="1:18" ht="18" customHeight="1" x14ac:dyDescent="0.4">
      <c r="A59" s="342" t="s">
        <v>553</v>
      </c>
      <c r="B59" s="339" t="s">
        <v>65</v>
      </c>
      <c r="C59" s="47">
        <f>$J59*SUMIFS(LNM3_0226_Punta_Hermosa_Farah[[#All],[TOTAL HORAS RESTANTES]],LNM3_0226_Punta_Hermosa_Farah[[#All],[VERSION]],"="&amp;TRIM(CLEAN('HOJAS DE HORA PROY.'!$B59)),LNM3_0226_Punta_Hermosa_Farah[[#All],[ESPECIALIDAD]],"="&amp;TRIM(CLEAN('HOJAS DE HORA PROY.'!C$1)))</f>
        <v>0</v>
      </c>
      <c r="D59" s="47">
        <f>$J59*SUMIFS(LNM3_0226_Punta_Hermosa_Farah[[#All],[TOTAL HORAS RESTANTES]],LNM3_0226_Punta_Hermosa_Farah[[#All],[VERSION]],"="&amp;TRIM(CLEAN('HOJAS DE HORA PROY.'!$B59)),LNM3_0226_Punta_Hermosa_Farah[[#All],[ESPECIALIDAD]],"="&amp;TRIM(CLEAN('HOJAS DE HORA PROY.'!D$1)))</f>
        <v>11</v>
      </c>
      <c r="E59" s="47">
        <f>$J59*SUMIFS(LNM3_0226_Punta_Hermosa_Farah[[#All],[TOTAL HORAS RESTANTES]],LNM3_0226_Punta_Hermosa_Farah[[#All],[VERSION]],"="&amp;TRIM(CLEAN('HOJAS DE HORA PROY.'!$B59)),LNM3_0226_Punta_Hermosa_Farah[[#All],[ESPECIALIDAD]],"="&amp;TRIM(CLEAN('HOJAS DE HORA PROY.'!E$1)))</f>
        <v>0</v>
      </c>
      <c r="F59" s="47">
        <f>$J59*SUMIFS(LNM3_0226_Punta_Hermosa_Farah[[#All],[TOTAL HORAS RESTANTES]],LNM3_0226_Punta_Hermosa_Farah[[#All],[VERSION]],"="&amp;TRIM(CLEAN('HOJAS DE HORA PROY.'!$B59)),LNM3_0226_Punta_Hermosa_Farah[[#All],[ESPECIALIDAD]],"="&amp;TRIM(CLEAN('HOJAS DE HORA PROY.'!F$1)))</f>
        <v>0.5</v>
      </c>
      <c r="G59" s="47">
        <f>$J59*SUMIFS(LNM3_0226_Punta_Hermosa_Farah[[#All],[TOTAL HORAS RESTANTES]],LNM3_0226_Punta_Hermosa_Farah[[#All],[VERSION]],"="&amp;TRIM(CLEAN('HOJAS DE HORA PROY.'!$B59)),LNM3_0226_Punta_Hermosa_Farah[[#All],[ESPECIALIDAD]],"="&amp;TRIM(CLEAN('HOJAS DE HORA PROY.'!G$1)))</f>
        <v>0</v>
      </c>
      <c r="H59" s="47">
        <f>$J59*SUMIFS(LNM3_0226_Punta_Hermosa_Farah[[#All],[TOTAL HORAS RESTANTES]],LNM3_0226_Punta_Hermosa_Farah[[#All],[VERSION]],"="&amp;TRIM(CLEAN('HOJAS DE HORA PROY.'!$B59)),LNM3_0226_Punta_Hermosa_Farah[[#All],[ESPECIALIDAD]],"="&amp;TRIM(CLEAN('HOJAS DE HORA PROY.'!H$1)))</f>
        <v>0</v>
      </c>
      <c r="I59" s="47">
        <f>$J59*SUMIFS(LNM3_0226_Punta_Hermosa_Farah[[#All],[TOTAL HORAS RESTANTES]],LNM3_0226_Punta_Hermosa_Farah[[#All],[VERSION]],"="&amp;TRIM(CLEAN('HOJAS DE HORA PROY.'!$B59)),LNM3_0226_Punta_Hermosa_Farah[[#All],[ESPECIALIDAD]],"="&amp;TRIM(CLEAN('HOJAS DE HORA PROY.'!I$1)))</f>
        <v>0</v>
      </c>
      <c r="J59" s="340">
        <v>1</v>
      </c>
      <c r="K59" s="341">
        <f t="shared" si="5"/>
        <v>11.5</v>
      </c>
      <c r="L59" s="341"/>
      <c r="M59" s="182"/>
      <c r="N59" s="112" t="s">
        <v>365</v>
      </c>
      <c r="O59" s="270">
        <v>0</v>
      </c>
    </row>
    <row r="60" spans="1:18" ht="18" customHeight="1" x14ac:dyDescent="0.4">
      <c r="A60" s="342" t="s">
        <v>553</v>
      </c>
      <c r="B60" s="339" t="s">
        <v>269</v>
      </c>
      <c r="C60" s="47">
        <f>$J60*SUMIFS(LNM3_0226_Punta_Hermosa_Farah[[#All],[TOTAL HORAS RESTANTES]],LNM3_0226_Punta_Hermosa_Farah[[#All],[VERSION]],"="&amp;TRIM(CLEAN('HOJAS DE HORA PROY.'!$B60)),LNM3_0226_Punta_Hermosa_Farah[[#All],[ESPECIALIDAD]],"="&amp;TRIM(CLEAN('HOJAS DE HORA PROY.'!C$1)))</f>
        <v>0</v>
      </c>
      <c r="D60" s="47">
        <f>$J60*SUMIFS(LNM3_0226_Punta_Hermosa_Farah[[#All],[TOTAL HORAS RESTANTES]],LNM3_0226_Punta_Hermosa_Farah[[#All],[VERSION]],"="&amp;TRIM(CLEAN('HOJAS DE HORA PROY.'!$B60)),LNM3_0226_Punta_Hermosa_Farah[[#All],[ESPECIALIDAD]],"="&amp;TRIM(CLEAN('HOJAS DE HORA PROY.'!D$1)))</f>
        <v>0</v>
      </c>
      <c r="E60" s="47">
        <f>$J60*SUMIFS(LNM3_0226_Punta_Hermosa_Farah[[#All],[TOTAL HORAS RESTANTES]],LNM3_0226_Punta_Hermosa_Farah[[#All],[VERSION]],"="&amp;TRIM(CLEAN('HOJAS DE HORA PROY.'!$B60)),LNM3_0226_Punta_Hermosa_Farah[[#All],[ESPECIALIDAD]],"="&amp;TRIM(CLEAN('HOJAS DE HORA PROY.'!E$1)))</f>
        <v>0</v>
      </c>
      <c r="F60" s="47">
        <f>$J60*SUMIFS(LNM3_0226_Punta_Hermosa_Farah[[#All],[TOTAL HORAS RESTANTES]],LNM3_0226_Punta_Hermosa_Farah[[#All],[VERSION]],"="&amp;TRIM(CLEAN('HOJAS DE HORA PROY.'!$B60)),LNM3_0226_Punta_Hermosa_Farah[[#All],[ESPECIALIDAD]],"="&amp;TRIM(CLEAN('HOJAS DE HORA PROY.'!F$1)))</f>
        <v>0</v>
      </c>
      <c r="G60" s="47">
        <f>$J60*SUMIFS(LNM3_0226_Punta_Hermosa_Farah[[#All],[TOTAL HORAS RESTANTES]],LNM3_0226_Punta_Hermosa_Farah[[#All],[VERSION]],"="&amp;TRIM(CLEAN('HOJAS DE HORA PROY.'!$B60)),LNM3_0226_Punta_Hermosa_Farah[[#All],[ESPECIALIDAD]],"="&amp;TRIM(CLEAN('HOJAS DE HORA PROY.'!G$1)))</f>
        <v>0</v>
      </c>
      <c r="H60" s="47">
        <f>$J60*SUMIFS(LNM3_0226_Punta_Hermosa_Farah[[#All],[TOTAL HORAS RESTANTES]],LNM3_0226_Punta_Hermosa_Farah[[#All],[VERSION]],"="&amp;TRIM(CLEAN('HOJAS DE HORA PROY.'!$B60)),LNM3_0226_Punta_Hermosa_Farah[[#All],[ESPECIALIDAD]],"="&amp;TRIM(CLEAN('HOJAS DE HORA PROY.'!H$1)))</f>
        <v>0</v>
      </c>
      <c r="I60" s="47">
        <f>$J60*SUMIFS(LNM3_0226_Punta_Hermosa_Farah[[#All],[TOTAL HORAS RESTANTES]],LNM3_0226_Punta_Hermosa_Farah[[#All],[VERSION]],"="&amp;TRIM(CLEAN('HOJAS DE HORA PROY.'!$B60)),LNM3_0226_Punta_Hermosa_Farah[[#All],[ESPECIALIDAD]],"="&amp;TRIM(CLEAN('HOJAS DE HORA PROY.'!I$1)))</f>
        <v>0</v>
      </c>
      <c r="J60" s="340">
        <v>1</v>
      </c>
      <c r="K60" s="341">
        <f t="shared" si="5"/>
        <v>0</v>
      </c>
      <c r="L60" s="341"/>
      <c r="M60" s="182"/>
      <c r="N60" s="112" t="s">
        <v>365</v>
      </c>
      <c r="O60" s="270">
        <v>0</v>
      </c>
    </row>
    <row r="61" spans="1:18" ht="18" customHeight="1" x14ac:dyDescent="0.4">
      <c r="A61" s="342" t="s">
        <v>553</v>
      </c>
      <c r="B61" s="339" t="s">
        <v>81</v>
      </c>
      <c r="C61" s="47">
        <f>$J61*SUMIFS(LNM3_0226_Punta_Hermosa_Farah[[#All],[TOTAL HORAS RESTANTES]],LNM3_0226_Punta_Hermosa_Farah[[#All],[VERSION]],"="&amp;TRIM(CLEAN('HOJAS DE HORA PROY.'!$B61)),LNM3_0226_Punta_Hermosa_Farah[[#All],[ESPECIALIDAD]],"="&amp;TRIM(CLEAN('HOJAS DE HORA PROY.'!C$1)))</f>
        <v>33</v>
      </c>
      <c r="D61" s="47">
        <f>$J61*SUMIFS(LNM3_0226_Punta_Hermosa_Farah[[#All],[TOTAL HORAS RESTANTES]],LNM3_0226_Punta_Hermosa_Farah[[#All],[VERSION]],"="&amp;TRIM(CLEAN('HOJAS DE HORA PROY.'!$B61)),LNM3_0226_Punta_Hermosa_Farah[[#All],[ESPECIALIDAD]],"="&amp;TRIM(CLEAN('HOJAS DE HORA PROY.'!D$1)))</f>
        <v>41</v>
      </c>
      <c r="E61" s="47">
        <f>$J61*SUMIFS(LNM3_0226_Punta_Hermosa_Farah[[#All],[TOTAL HORAS RESTANTES]],LNM3_0226_Punta_Hermosa_Farah[[#All],[VERSION]],"="&amp;TRIM(CLEAN('HOJAS DE HORA PROY.'!$B61)),LNM3_0226_Punta_Hermosa_Farah[[#All],[ESPECIALIDAD]],"="&amp;TRIM(CLEAN('HOJAS DE HORA PROY.'!E$1)))</f>
        <v>0</v>
      </c>
      <c r="F61" s="47">
        <f>$J61*SUMIFS(LNM3_0226_Punta_Hermosa_Farah[[#All],[TOTAL HORAS RESTANTES]],LNM3_0226_Punta_Hermosa_Farah[[#All],[VERSION]],"="&amp;TRIM(CLEAN('HOJAS DE HORA PROY.'!$B61)),LNM3_0226_Punta_Hermosa_Farah[[#All],[ESPECIALIDAD]],"="&amp;TRIM(CLEAN('HOJAS DE HORA PROY.'!F$1)))</f>
        <v>34</v>
      </c>
      <c r="G61" s="47">
        <f>$J61*SUMIFS(LNM3_0226_Punta_Hermosa_Farah[[#All],[TOTAL HORAS RESTANTES]],LNM3_0226_Punta_Hermosa_Farah[[#All],[VERSION]],"="&amp;TRIM(CLEAN('HOJAS DE HORA PROY.'!$B61)),LNM3_0226_Punta_Hermosa_Farah[[#All],[ESPECIALIDAD]],"="&amp;TRIM(CLEAN('HOJAS DE HORA PROY.'!G$1)))</f>
        <v>33</v>
      </c>
      <c r="H61" s="47">
        <f>$J61*SUMIFS(LNM3_0226_Punta_Hermosa_Farah[[#All],[TOTAL HORAS RESTANTES]],LNM3_0226_Punta_Hermosa_Farah[[#All],[VERSION]],"="&amp;TRIM(CLEAN('HOJAS DE HORA PROY.'!$B61)),LNM3_0226_Punta_Hermosa_Farah[[#All],[ESPECIALIDAD]],"="&amp;TRIM(CLEAN('HOJAS DE HORA PROY.'!H$1)))</f>
        <v>13</v>
      </c>
      <c r="I61" s="47">
        <f>$J61*SUMIFS(LNM3_0226_Punta_Hermosa_Farah[[#All],[TOTAL HORAS RESTANTES]],LNM3_0226_Punta_Hermosa_Farah[[#All],[VERSION]],"="&amp;TRIM(CLEAN('HOJAS DE HORA PROY.'!$B61)),LNM3_0226_Punta_Hermosa_Farah[[#All],[ESPECIALIDAD]],"="&amp;TRIM(CLEAN('HOJAS DE HORA PROY.'!I$1)))</f>
        <v>0</v>
      </c>
      <c r="J61" s="340">
        <v>1</v>
      </c>
      <c r="K61" s="341">
        <f t="shared" si="5"/>
        <v>154</v>
      </c>
      <c r="L61" s="341"/>
      <c r="M61" s="182"/>
      <c r="N61" s="112" t="s">
        <v>365</v>
      </c>
      <c r="O61" s="270">
        <v>0</v>
      </c>
    </row>
    <row r="62" spans="1:18" ht="18" customHeight="1" x14ac:dyDescent="0.4">
      <c r="A62" s="342" t="s">
        <v>553</v>
      </c>
      <c r="B62" s="339" t="s">
        <v>170</v>
      </c>
      <c r="C62" s="47">
        <f>$J62*SUMIFS(LNM3_0226_Punta_Hermosa_Farah[[#All],[TOTAL HORAS RESTANTES]],LNM3_0226_Punta_Hermosa_Farah[[#All],[VERSION]],"="&amp;TRIM(CLEAN('HOJAS DE HORA PROY.'!$B62)),LNM3_0226_Punta_Hermosa_Farah[[#All],[ESPECIALIDAD]],"="&amp;TRIM(CLEAN('HOJAS DE HORA PROY.'!C$1)))</f>
        <v>0</v>
      </c>
      <c r="D62" s="47">
        <f>$J62*SUMIFS(LNM3_0226_Punta_Hermosa_Farah[[#All],[TOTAL HORAS RESTANTES]],LNM3_0226_Punta_Hermosa_Farah[[#All],[VERSION]],"="&amp;TRIM(CLEAN('HOJAS DE HORA PROY.'!$B62)),LNM3_0226_Punta_Hermosa_Farah[[#All],[ESPECIALIDAD]],"="&amp;TRIM(CLEAN('HOJAS DE HORA PROY.'!D$1)))</f>
        <v>0</v>
      </c>
      <c r="E62" s="47">
        <f>$J62*SUMIFS(LNM3_0226_Punta_Hermosa_Farah[[#All],[TOTAL HORAS RESTANTES]],LNM3_0226_Punta_Hermosa_Farah[[#All],[VERSION]],"="&amp;TRIM(CLEAN('HOJAS DE HORA PROY.'!$B62)),LNM3_0226_Punta_Hermosa_Farah[[#All],[ESPECIALIDAD]],"="&amp;TRIM(CLEAN('HOJAS DE HORA PROY.'!E$1)))</f>
        <v>0</v>
      </c>
      <c r="F62" s="47">
        <f>$J62*SUMIFS(LNM3_0226_Punta_Hermosa_Farah[[#All],[TOTAL HORAS RESTANTES]],LNM3_0226_Punta_Hermosa_Farah[[#All],[VERSION]],"="&amp;TRIM(CLEAN('HOJAS DE HORA PROY.'!$B62)),LNM3_0226_Punta_Hermosa_Farah[[#All],[ESPECIALIDAD]],"="&amp;TRIM(CLEAN('HOJAS DE HORA PROY.'!F$1)))</f>
        <v>0</v>
      </c>
      <c r="G62" s="47">
        <f>$J62*SUMIFS(LNM3_0226_Punta_Hermosa_Farah[[#All],[TOTAL HORAS RESTANTES]],LNM3_0226_Punta_Hermosa_Farah[[#All],[VERSION]],"="&amp;TRIM(CLEAN('HOJAS DE HORA PROY.'!$B62)),LNM3_0226_Punta_Hermosa_Farah[[#All],[ESPECIALIDAD]],"="&amp;TRIM(CLEAN('HOJAS DE HORA PROY.'!G$1)))</f>
        <v>0</v>
      </c>
      <c r="H62" s="47">
        <f>$J62*SUMIFS(LNM3_0226_Punta_Hermosa_Farah[[#All],[TOTAL HORAS RESTANTES]],LNM3_0226_Punta_Hermosa_Farah[[#All],[VERSION]],"="&amp;TRIM(CLEAN('HOJAS DE HORA PROY.'!$B62)),LNM3_0226_Punta_Hermosa_Farah[[#All],[ESPECIALIDAD]],"="&amp;TRIM(CLEAN('HOJAS DE HORA PROY.'!H$1)))</f>
        <v>0</v>
      </c>
      <c r="I62" s="47">
        <f>$J62*SUMIFS(LNM3_0226_Punta_Hermosa_Farah[[#All],[TOTAL HORAS RESTANTES]],LNM3_0226_Punta_Hermosa_Farah[[#All],[VERSION]],"="&amp;TRIM(CLEAN('HOJAS DE HORA PROY.'!$B62)),LNM3_0226_Punta_Hermosa_Farah[[#All],[ESPECIALIDAD]],"="&amp;TRIM(CLEAN('HOJAS DE HORA PROY.'!I$1)))</f>
        <v>0</v>
      </c>
      <c r="J62" s="340">
        <v>1</v>
      </c>
      <c r="K62" s="341">
        <f t="shared" si="5"/>
        <v>0</v>
      </c>
      <c r="L62" s="341"/>
      <c r="M62" s="182"/>
      <c r="N62" s="112" t="s">
        <v>365</v>
      </c>
      <c r="O62" s="270"/>
    </row>
    <row r="63" spans="1:18" ht="18" customHeight="1" x14ac:dyDescent="0.4">
      <c r="A63" s="342" t="s">
        <v>553</v>
      </c>
      <c r="B63" s="339" t="s">
        <v>144</v>
      </c>
      <c r="C63" s="47">
        <f>$J63*SUMIFS(LNM3_0226_Punta_Hermosa_Farah[[#All],[TOTAL HORAS RESTANTES]],LNM3_0226_Punta_Hermosa_Farah[[#All],[VERSION]],"="&amp;TRIM(CLEAN('HOJAS DE HORA PROY.'!$B63)),LNM3_0226_Punta_Hermosa_Farah[[#All],[ESPECIALIDAD]],"="&amp;TRIM(CLEAN('HOJAS DE HORA PROY.'!C$1)))</f>
        <v>13.5</v>
      </c>
      <c r="D63" s="47">
        <f>$J63*SUMIFS(LNM3_0226_Punta_Hermosa_Farah[[#All],[TOTAL HORAS RESTANTES]],LNM3_0226_Punta_Hermosa_Farah[[#All],[VERSION]],"="&amp;TRIM(CLEAN('HOJAS DE HORA PROY.'!$B63)),LNM3_0226_Punta_Hermosa_Farah[[#All],[ESPECIALIDAD]],"="&amp;TRIM(CLEAN('HOJAS DE HORA PROY.'!D$1)))</f>
        <v>18</v>
      </c>
      <c r="E63" s="47">
        <f>$J63*SUMIFS(LNM3_0226_Punta_Hermosa_Farah[[#All],[TOTAL HORAS RESTANTES]],LNM3_0226_Punta_Hermosa_Farah[[#All],[VERSION]],"="&amp;TRIM(CLEAN('HOJAS DE HORA PROY.'!$B63)),LNM3_0226_Punta_Hermosa_Farah[[#All],[ESPECIALIDAD]],"="&amp;TRIM(CLEAN('HOJAS DE HORA PROY.'!E$1)))</f>
        <v>0</v>
      </c>
      <c r="F63" s="47">
        <f>$J63*SUMIFS(LNM3_0226_Punta_Hermosa_Farah[[#All],[TOTAL HORAS RESTANTES]],LNM3_0226_Punta_Hermosa_Farah[[#All],[VERSION]],"="&amp;TRIM(CLEAN('HOJAS DE HORA PROY.'!$B63)),LNM3_0226_Punta_Hermosa_Farah[[#All],[ESPECIALIDAD]],"="&amp;TRIM(CLEAN('HOJAS DE HORA PROY.'!F$1)))</f>
        <v>18</v>
      </c>
      <c r="G63" s="47">
        <f>$J63*SUMIFS(LNM3_0226_Punta_Hermosa_Farah[[#All],[TOTAL HORAS RESTANTES]],LNM3_0226_Punta_Hermosa_Farah[[#All],[VERSION]],"="&amp;TRIM(CLEAN('HOJAS DE HORA PROY.'!$B63)),LNM3_0226_Punta_Hermosa_Farah[[#All],[ESPECIALIDAD]],"="&amp;TRIM(CLEAN('HOJAS DE HORA PROY.'!G$1)))</f>
        <v>10</v>
      </c>
      <c r="H63" s="47">
        <f>$J63*SUMIFS(LNM3_0226_Punta_Hermosa_Farah[[#All],[TOTAL HORAS RESTANTES]],LNM3_0226_Punta_Hermosa_Farah[[#All],[VERSION]],"="&amp;TRIM(CLEAN('HOJAS DE HORA PROY.'!$B63)),LNM3_0226_Punta_Hermosa_Farah[[#All],[ESPECIALIDAD]],"="&amp;TRIM(CLEAN('HOJAS DE HORA PROY.'!H$1)))</f>
        <v>4</v>
      </c>
      <c r="I63" s="47">
        <f>$J63*SUMIFS(LNM3_0226_Punta_Hermosa_Farah[[#All],[TOTAL HORAS RESTANTES]],LNM3_0226_Punta_Hermosa_Farah[[#All],[VERSION]],"="&amp;TRIM(CLEAN('HOJAS DE HORA PROY.'!$B63)),LNM3_0226_Punta_Hermosa_Farah[[#All],[ESPECIALIDAD]],"="&amp;TRIM(CLEAN('HOJAS DE HORA PROY.'!I$1)))</f>
        <v>0</v>
      </c>
      <c r="J63" s="340">
        <v>1</v>
      </c>
      <c r="K63" s="341">
        <f t="shared" ref="K63:K64" si="6">SUM(C63:I63)*J63</f>
        <v>63.5</v>
      </c>
      <c r="L63" s="341"/>
      <c r="M63" s="182" t="s">
        <v>40</v>
      </c>
      <c r="N63" s="112" t="s">
        <v>365</v>
      </c>
      <c r="O63" s="270">
        <v>0</v>
      </c>
    </row>
    <row r="64" spans="1:18" ht="18" customHeight="1" thickBot="1" x14ac:dyDescent="0.45">
      <c r="A64" s="82" t="s">
        <v>553</v>
      </c>
      <c r="B64" s="250" t="s">
        <v>83</v>
      </c>
      <c r="C64" s="46">
        <f>$J64*SUMIFS(LNM3_0226_Punta_Hermosa_Farah[[#All],[TOTAL HORAS RESTANTES]],LNM3_0226_Punta_Hermosa_Farah[[#All],[VERSION]],"="&amp;TRIM(CLEAN('HOJAS DE HORA PROY.'!$B64)),LNM3_0226_Punta_Hermosa_Farah[[#All],[ESPECIALIDAD]],"="&amp;TRIM(CLEAN('HOJAS DE HORA PROY.'!C$1)))</f>
        <v>0</v>
      </c>
      <c r="D64" s="46">
        <f>$J64*SUMIFS(LNM3_0226_Punta_Hermosa_Farah[[#All],[TOTAL HORAS RESTANTES]],LNM3_0226_Punta_Hermosa_Farah[[#All],[VERSION]],"="&amp;TRIM(CLEAN('HOJAS DE HORA PROY.'!$B64)),LNM3_0226_Punta_Hermosa_Farah[[#All],[ESPECIALIDAD]],"="&amp;TRIM(CLEAN('HOJAS DE HORA PROY.'!D$1)))</f>
        <v>0</v>
      </c>
      <c r="E64" s="46">
        <f>$J64*SUMIFS(LNM3_0226_Punta_Hermosa_Farah[[#All],[TOTAL HORAS RESTANTES]],LNM3_0226_Punta_Hermosa_Farah[[#All],[VERSION]],"="&amp;TRIM(CLEAN('HOJAS DE HORA PROY.'!$B64)),LNM3_0226_Punta_Hermosa_Farah[[#All],[ESPECIALIDAD]],"="&amp;TRIM(CLEAN('HOJAS DE HORA PROY.'!E$1)))</f>
        <v>0</v>
      </c>
      <c r="F64" s="46">
        <f>$J64*SUMIFS(LNM3_0226_Punta_Hermosa_Farah[[#All],[TOTAL HORAS RESTANTES]],LNM3_0226_Punta_Hermosa_Farah[[#All],[VERSION]],"="&amp;TRIM(CLEAN('HOJAS DE HORA PROY.'!$B64)),LNM3_0226_Punta_Hermosa_Farah[[#All],[ESPECIALIDAD]],"="&amp;TRIM(CLEAN('HOJAS DE HORA PROY.'!F$1)))</f>
        <v>0</v>
      </c>
      <c r="G64" s="46">
        <f>$J64*SUMIFS(LNM3_0226_Punta_Hermosa_Farah[[#All],[TOTAL HORAS RESTANTES]],LNM3_0226_Punta_Hermosa_Farah[[#All],[VERSION]],"="&amp;TRIM(CLEAN('HOJAS DE HORA PROY.'!$B64)),LNM3_0226_Punta_Hermosa_Farah[[#All],[ESPECIALIDAD]],"="&amp;TRIM(CLEAN('HOJAS DE HORA PROY.'!G$1)))</f>
        <v>0</v>
      </c>
      <c r="H64" s="46">
        <f>$J64*SUMIFS(LNM3_0226_Punta_Hermosa_Farah[[#All],[TOTAL HORAS RESTANTES]],LNM3_0226_Punta_Hermosa_Farah[[#All],[VERSION]],"="&amp;TRIM(CLEAN('HOJAS DE HORA PROY.'!$B64)),LNM3_0226_Punta_Hermosa_Farah[[#All],[ESPECIALIDAD]],"="&amp;TRIM(CLEAN('HOJAS DE HORA PROY.'!H$1)))</f>
        <v>0</v>
      </c>
      <c r="I64" s="46">
        <f>$J64*SUMIFS(LNM3_0226_Punta_Hermosa_Farah[[#All],[TOTAL HORAS RESTANTES]],LNM3_0226_Punta_Hermosa_Farah[[#All],[VERSION]],"="&amp;TRIM(CLEAN('HOJAS DE HORA PROY.'!$B64)),LNM3_0226_Punta_Hermosa_Farah[[#All],[ESPECIALIDAD]],"="&amp;TRIM(CLEAN('HOJAS DE HORA PROY.'!I$1)))</f>
        <v>0</v>
      </c>
      <c r="J64" s="169">
        <v>1</v>
      </c>
      <c r="K64" s="170">
        <f t="shared" si="6"/>
        <v>0</v>
      </c>
      <c r="L64" s="170"/>
      <c r="M64" s="171" t="s">
        <v>41</v>
      </c>
      <c r="N64" s="107" t="s">
        <v>365</v>
      </c>
      <c r="O64" s="271">
        <v>1300</v>
      </c>
    </row>
    <row r="65" spans="1:18" ht="18" customHeight="1" x14ac:dyDescent="0.4">
      <c r="A65" s="334" t="str">
        <f>'MH-ESTRU-LAM5-0226-Surqu-Mirtha'!A2</f>
        <v>LAM5 - 0226 - Surquillo - Mirtha Inga &amp; Marco Gordillo</v>
      </c>
      <c r="B65" s="335" t="s">
        <v>140</v>
      </c>
      <c r="C65" s="283">
        <f>$J65*SUMIFS(MH_ESTRU_LAM5_0226_Surqu_Mirtha[[#All],[TOTAL HORAS RESTANTES]],MH_ESTRU_LAM5_0226_Surqu_Mirtha[[#All],[VERSION]],"="&amp;TRIM(CLEAN('HOJAS DE HORA PROY.'!$B65)),MH_ESTRU_LAM5_0226_Surqu_Mirtha[[#All],[ESPECIALIDAD]],"="&amp;TRIM(CLEAN('HOJAS DE HORA PROY.'!C$1)))</f>
        <v>0</v>
      </c>
      <c r="D65" s="283">
        <f>$J65*SUMIFS(MH_ESTRU_LAM5_0226_Surqu_Mirtha[[#All],[TOTAL HORAS RESTANTES]],MH_ESTRU_LAM5_0226_Surqu_Mirtha[[#All],[VERSION]],"="&amp;TRIM(CLEAN('HOJAS DE HORA PROY.'!$B65)),MH_ESTRU_LAM5_0226_Surqu_Mirtha[[#All],[ESPECIALIDAD]],"="&amp;TRIM(CLEAN('HOJAS DE HORA PROY.'!D$1)))</f>
        <v>0</v>
      </c>
      <c r="E65" s="283">
        <f>$J65*SUMIFS(MH_ESTRU_LAM5_0226_Surqu_Mirtha[[#All],[TOTAL HORAS RESTANTES]],MH_ESTRU_LAM5_0226_Surqu_Mirtha[[#All],[VERSION]],"="&amp;TRIM(CLEAN('HOJAS DE HORA PROY.'!$B65)),MH_ESTRU_LAM5_0226_Surqu_Mirtha[[#All],[ESPECIALIDAD]],"="&amp;TRIM(CLEAN('HOJAS DE HORA PROY.'!E$1)))</f>
        <v>0</v>
      </c>
      <c r="F65" s="283">
        <f>$J65*SUMIFS(MH_ESTRU_LAM5_0226_Surqu_Mirtha[[#All],[TOTAL HORAS RESTANTES]],MH_ESTRU_LAM5_0226_Surqu_Mirtha[[#All],[VERSION]],"="&amp;TRIM(CLEAN('HOJAS DE HORA PROY.'!$B65)),MH_ESTRU_LAM5_0226_Surqu_Mirtha[[#All],[ESPECIALIDAD]],"="&amp;TRIM(CLEAN('HOJAS DE HORA PROY.'!F$1)))</f>
        <v>0</v>
      </c>
      <c r="G65" s="283">
        <f>$J65*SUMIFS(MH_ESTRU_LAM5_0226_Surqu_Mirtha[[#All],[TOTAL HORAS RESTANTES]],MH_ESTRU_LAM5_0226_Surqu_Mirtha[[#All],[VERSION]],"="&amp;TRIM(CLEAN('HOJAS DE HORA PROY.'!$B65)),MH_ESTRU_LAM5_0226_Surqu_Mirtha[[#All],[ESPECIALIDAD]],"="&amp;TRIM(CLEAN('HOJAS DE HORA PROY.'!G$1)))</f>
        <v>0</v>
      </c>
      <c r="H65" s="283">
        <f>$J65*SUMIFS(MH_ESTRU_LAM5_0226_Surqu_Mirtha[[#All],[TOTAL HORAS RESTANTES]],MH_ESTRU_LAM5_0226_Surqu_Mirtha[[#All],[VERSION]],"="&amp;TRIM(CLEAN('HOJAS DE HORA PROY.'!$B65)),MH_ESTRU_LAM5_0226_Surqu_Mirtha[[#All],[ESPECIALIDAD]],"="&amp;TRIM(CLEAN('HOJAS DE HORA PROY.'!H$1)))</f>
        <v>0</v>
      </c>
      <c r="I65" s="283">
        <f>$J65*SUMIFS(MH_ESTRU_LAM5_0226_Surqu_Mirtha[[#All],[TOTAL HORAS RESTANTES]],MH_ESTRU_LAM5_0226_Surqu_Mirtha[[#All],[VERSION]],"="&amp;TRIM(CLEAN('HOJAS DE HORA PROY.'!$B65)),MH_ESTRU_LAM5_0226_Surqu_Mirtha[[#All],[ESPECIALIDAD]],"="&amp;TRIM(CLEAN('HOJAS DE HORA PROY.'!I$1)))</f>
        <v>0</v>
      </c>
      <c r="J65" s="336">
        <v>1</v>
      </c>
      <c r="K65" s="337">
        <f t="shared" ref="K65:K72" si="7">SUM(C65:I65)*J65</f>
        <v>0</v>
      </c>
      <c r="L65" s="337"/>
      <c r="M65" s="338"/>
      <c r="N65" s="287" t="s">
        <v>331</v>
      </c>
      <c r="O65" s="288">
        <v>0</v>
      </c>
    </row>
    <row r="66" spans="1:18" ht="18.75" customHeight="1" x14ac:dyDescent="0.4">
      <c r="A66" s="73" t="str">
        <f>'MH-ESTRU-LAM5-0226-Surqu-Mirtha'!A3</f>
        <v>LAM5 - 0226 - Surquillo - Mirtha Inga &amp; Marco Gordillo</v>
      </c>
      <c r="B66" s="241" t="s">
        <v>65</v>
      </c>
      <c r="C66" s="47">
        <f>$J66*SUMIFS(MH_ESTRU_LAM5_0226_Surqu_Mirtha[[#All],[TOTAL HORAS RESTANTES]],MH_ESTRU_LAM5_0226_Surqu_Mirtha[[#All],[VERSION]],"="&amp;TRIM(CLEAN('HOJAS DE HORA PROY.'!$B66)),MH_ESTRU_LAM5_0226_Surqu_Mirtha[[#All],[ESPECIALIDAD]],"="&amp;TRIM(CLEAN('HOJAS DE HORA PROY.'!C$1)))</f>
        <v>0</v>
      </c>
      <c r="D66" s="47">
        <f>$J66*SUMIFS(MH_ESTRU_LAM5_0226_Surqu_Mirtha[[#All],[TOTAL HORAS RESTANTES]],MH_ESTRU_LAM5_0226_Surqu_Mirtha[[#All],[VERSION]],"="&amp;TRIM(CLEAN('HOJAS DE HORA PROY.'!$B66)),MH_ESTRU_LAM5_0226_Surqu_Mirtha[[#All],[ESPECIALIDAD]],"="&amp;TRIM(CLEAN('HOJAS DE HORA PROY.'!D$1)))</f>
        <v>13</v>
      </c>
      <c r="E66" s="47">
        <f>$J66*SUMIFS(MH_ESTRU_LAM5_0226_Surqu_Mirtha[[#All],[TOTAL HORAS RESTANTES]],MH_ESTRU_LAM5_0226_Surqu_Mirtha[[#All],[VERSION]],"="&amp;TRIM(CLEAN('HOJAS DE HORA PROY.'!$B66)),MH_ESTRU_LAM5_0226_Surqu_Mirtha[[#All],[ESPECIALIDAD]],"="&amp;TRIM(CLEAN('HOJAS DE HORA PROY.'!E$1)))</f>
        <v>0</v>
      </c>
      <c r="F66" s="47">
        <f>$J66*SUMIFS(MH_ESTRU_LAM5_0226_Surqu_Mirtha[[#All],[TOTAL HORAS RESTANTES]],MH_ESTRU_LAM5_0226_Surqu_Mirtha[[#All],[VERSION]],"="&amp;TRIM(CLEAN('HOJAS DE HORA PROY.'!$B66)),MH_ESTRU_LAM5_0226_Surqu_Mirtha[[#All],[ESPECIALIDAD]],"="&amp;TRIM(CLEAN('HOJAS DE HORA PROY.'!F$1)))</f>
        <v>0.5</v>
      </c>
      <c r="G66" s="47">
        <f>$J66*SUMIFS(MH_ESTRU_LAM5_0226_Surqu_Mirtha[[#All],[TOTAL HORAS RESTANTES]],MH_ESTRU_LAM5_0226_Surqu_Mirtha[[#All],[VERSION]],"="&amp;TRIM(CLEAN('HOJAS DE HORA PROY.'!$B66)),MH_ESTRU_LAM5_0226_Surqu_Mirtha[[#All],[ESPECIALIDAD]],"="&amp;TRIM(CLEAN('HOJAS DE HORA PROY.'!G$1)))</f>
        <v>0</v>
      </c>
      <c r="H66" s="47">
        <f>$J66*SUMIFS(MH_ESTRU_LAM5_0226_Surqu_Mirtha[[#All],[TOTAL HORAS RESTANTES]],MH_ESTRU_LAM5_0226_Surqu_Mirtha[[#All],[VERSION]],"="&amp;TRIM(CLEAN('HOJAS DE HORA PROY.'!$B66)),MH_ESTRU_LAM5_0226_Surqu_Mirtha[[#All],[ESPECIALIDAD]],"="&amp;TRIM(CLEAN('HOJAS DE HORA PROY.'!H$1)))</f>
        <v>0</v>
      </c>
      <c r="I66" s="47">
        <f>$J66*SUMIFS(MH_ESTRU_LAM5_0226_Surqu_Mirtha[[#All],[TOTAL HORAS RESTANTES]],MH_ESTRU_LAM5_0226_Surqu_Mirtha[[#All],[VERSION]],"="&amp;TRIM(CLEAN('HOJAS DE HORA PROY.'!$B66)),MH_ESTRU_LAM5_0226_Surqu_Mirtha[[#All],[ESPECIALIDAD]],"="&amp;TRIM(CLEAN('HOJAS DE HORA PROY.'!I$1)))</f>
        <v>0</v>
      </c>
      <c r="J66" s="140">
        <v>1</v>
      </c>
      <c r="K66" s="141">
        <f t="shared" si="7"/>
        <v>13.5</v>
      </c>
      <c r="L66" s="141"/>
      <c r="M66" s="142"/>
      <c r="N66" s="112" t="s">
        <v>331</v>
      </c>
      <c r="O66" s="270">
        <v>0</v>
      </c>
    </row>
    <row r="67" spans="1:18" ht="18" customHeight="1" x14ac:dyDescent="0.4">
      <c r="A67" s="73" t="str">
        <f>'MH-ESTRU-LAM5-0226-Surqu-Mirtha'!A4</f>
        <v>LAM5 - 0226 - Surquillo - Mirtha Inga &amp; Marco Gordillo</v>
      </c>
      <c r="B67" s="241" t="s">
        <v>269</v>
      </c>
      <c r="C67" s="47">
        <f>$J67*SUMIFS(MH_ESTRU_LAM5_0226_Surqu_Mirtha[[#All],[TOTAL HORAS RESTANTES]],MH_ESTRU_LAM5_0226_Surqu_Mirtha[[#All],[VERSION]],"="&amp;TRIM(CLEAN('HOJAS DE HORA PROY.'!$B67)),MH_ESTRU_LAM5_0226_Surqu_Mirtha[[#All],[ESPECIALIDAD]],"="&amp;TRIM(CLEAN('HOJAS DE HORA PROY.'!C$1)))</f>
        <v>8.75</v>
      </c>
      <c r="D67" s="47">
        <f>$J67*SUMIFS(MH_ESTRU_LAM5_0226_Surqu_Mirtha[[#All],[TOTAL HORAS RESTANTES]],MH_ESTRU_LAM5_0226_Surqu_Mirtha[[#All],[VERSION]],"="&amp;TRIM(CLEAN('HOJAS DE HORA PROY.'!$B67)),MH_ESTRU_LAM5_0226_Surqu_Mirtha[[#All],[ESPECIALIDAD]],"="&amp;TRIM(CLEAN('HOJAS DE HORA PROY.'!D$1)))</f>
        <v>0</v>
      </c>
      <c r="E67" s="47">
        <f>$J67*SUMIFS(MH_ESTRU_LAM5_0226_Surqu_Mirtha[[#All],[TOTAL HORAS RESTANTES]],MH_ESTRU_LAM5_0226_Surqu_Mirtha[[#All],[VERSION]],"="&amp;TRIM(CLEAN('HOJAS DE HORA PROY.'!$B67)),MH_ESTRU_LAM5_0226_Surqu_Mirtha[[#All],[ESPECIALIDAD]],"="&amp;TRIM(CLEAN('HOJAS DE HORA PROY.'!E$1)))</f>
        <v>0</v>
      </c>
      <c r="F67" s="47">
        <f>$J67*SUMIFS(MH_ESTRU_LAM5_0226_Surqu_Mirtha[[#All],[TOTAL HORAS RESTANTES]],MH_ESTRU_LAM5_0226_Surqu_Mirtha[[#All],[VERSION]],"="&amp;TRIM(CLEAN('HOJAS DE HORA PROY.'!$B67)),MH_ESTRU_LAM5_0226_Surqu_Mirtha[[#All],[ESPECIALIDAD]],"="&amp;TRIM(CLEAN('HOJAS DE HORA PROY.'!F$1)))</f>
        <v>0</v>
      </c>
      <c r="G67" s="47">
        <f>$J67*SUMIFS(MH_ESTRU_LAM5_0226_Surqu_Mirtha[[#All],[TOTAL HORAS RESTANTES]],MH_ESTRU_LAM5_0226_Surqu_Mirtha[[#All],[VERSION]],"="&amp;TRIM(CLEAN('HOJAS DE HORA PROY.'!$B67)),MH_ESTRU_LAM5_0226_Surqu_Mirtha[[#All],[ESPECIALIDAD]],"="&amp;TRIM(CLEAN('HOJAS DE HORA PROY.'!G$1)))</f>
        <v>0</v>
      </c>
      <c r="H67" s="47">
        <f>$J67*SUMIFS(MH_ESTRU_LAM5_0226_Surqu_Mirtha[[#All],[TOTAL HORAS RESTANTES]],MH_ESTRU_LAM5_0226_Surqu_Mirtha[[#All],[VERSION]],"="&amp;TRIM(CLEAN('HOJAS DE HORA PROY.'!$B67)),MH_ESTRU_LAM5_0226_Surqu_Mirtha[[#All],[ESPECIALIDAD]],"="&amp;TRIM(CLEAN('HOJAS DE HORA PROY.'!H$1)))</f>
        <v>0</v>
      </c>
      <c r="I67" s="47">
        <f>$J67*SUMIFS(MH_ESTRU_LAM5_0226_Surqu_Mirtha[[#All],[TOTAL HORAS RESTANTES]],MH_ESTRU_LAM5_0226_Surqu_Mirtha[[#All],[VERSION]],"="&amp;TRIM(CLEAN('HOJAS DE HORA PROY.'!$B67)),MH_ESTRU_LAM5_0226_Surqu_Mirtha[[#All],[ESPECIALIDAD]],"="&amp;TRIM(CLEAN('HOJAS DE HORA PROY.'!I$1)))</f>
        <v>0</v>
      </c>
      <c r="J67" s="140">
        <v>0.35</v>
      </c>
      <c r="K67" s="141">
        <f t="shared" si="7"/>
        <v>3.0625</v>
      </c>
      <c r="L67" s="141"/>
      <c r="M67" s="142" t="s">
        <v>38</v>
      </c>
      <c r="N67" s="112" t="s">
        <v>331</v>
      </c>
      <c r="O67" s="270">
        <v>2550</v>
      </c>
    </row>
    <row r="68" spans="1:18" ht="18" customHeight="1" x14ac:dyDescent="0.4">
      <c r="A68" s="73" t="str">
        <f>'MH-ESTRU-LAM5-0226-Surqu-Mirtha'!A5</f>
        <v>LAM5 - 0226 - Surquillo - Mirtha Inga &amp; Marco Gordillo</v>
      </c>
      <c r="B68" s="241" t="s">
        <v>269</v>
      </c>
      <c r="C68" s="47">
        <f>$J68*SUMIFS(MH_ESTRU_LAM5_0226_Surqu_Mirtha[[#All],[TOTAL HORAS RESTANTES]],MH_ESTRU_LAM5_0226_Surqu_Mirtha[[#All],[VERSION]],"="&amp;TRIM(CLEAN('HOJAS DE HORA PROY.'!$B68)),MH_ESTRU_LAM5_0226_Surqu_Mirtha[[#All],[ESPECIALIDAD]],"="&amp;TRIM(CLEAN('HOJAS DE HORA PROY.'!C$1)))</f>
        <v>16.25</v>
      </c>
      <c r="D68" s="47">
        <f>$J68*SUMIFS(MH_ESTRU_LAM5_0226_Surqu_Mirtha[[#All],[TOTAL HORAS RESTANTES]],MH_ESTRU_LAM5_0226_Surqu_Mirtha[[#All],[VERSION]],"="&amp;TRIM(CLEAN('HOJAS DE HORA PROY.'!$B68)),MH_ESTRU_LAM5_0226_Surqu_Mirtha[[#All],[ESPECIALIDAD]],"="&amp;TRIM(CLEAN('HOJAS DE HORA PROY.'!D$1)))</f>
        <v>0</v>
      </c>
      <c r="E68" s="47">
        <f>$J68*SUMIFS(MH_ESTRU_LAM5_0226_Surqu_Mirtha[[#All],[TOTAL HORAS RESTANTES]],MH_ESTRU_LAM5_0226_Surqu_Mirtha[[#All],[VERSION]],"="&amp;TRIM(CLEAN('HOJAS DE HORA PROY.'!$B68)),MH_ESTRU_LAM5_0226_Surqu_Mirtha[[#All],[ESPECIALIDAD]],"="&amp;TRIM(CLEAN('HOJAS DE HORA PROY.'!E$1)))</f>
        <v>0</v>
      </c>
      <c r="F68" s="47">
        <f>$J68*SUMIFS(MH_ESTRU_LAM5_0226_Surqu_Mirtha[[#All],[TOTAL HORAS RESTANTES]],MH_ESTRU_LAM5_0226_Surqu_Mirtha[[#All],[VERSION]],"="&amp;TRIM(CLEAN('HOJAS DE HORA PROY.'!$B68)),MH_ESTRU_LAM5_0226_Surqu_Mirtha[[#All],[ESPECIALIDAD]],"="&amp;TRIM(CLEAN('HOJAS DE HORA PROY.'!F$1)))</f>
        <v>0</v>
      </c>
      <c r="G68" s="47">
        <f>$J68*SUMIFS(MH_ESTRU_LAM5_0226_Surqu_Mirtha[[#All],[TOTAL HORAS RESTANTES]],MH_ESTRU_LAM5_0226_Surqu_Mirtha[[#All],[VERSION]],"="&amp;TRIM(CLEAN('HOJAS DE HORA PROY.'!$B68)),MH_ESTRU_LAM5_0226_Surqu_Mirtha[[#All],[ESPECIALIDAD]],"="&amp;TRIM(CLEAN('HOJAS DE HORA PROY.'!G$1)))</f>
        <v>0</v>
      </c>
      <c r="H68" s="47">
        <f>$J68*SUMIFS(MH_ESTRU_LAM5_0226_Surqu_Mirtha[[#All],[TOTAL HORAS RESTANTES]],MH_ESTRU_LAM5_0226_Surqu_Mirtha[[#All],[VERSION]],"="&amp;TRIM(CLEAN('HOJAS DE HORA PROY.'!$B68)),MH_ESTRU_LAM5_0226_Surqu_Mirtha[[#All],[ESPECIALIDAD]],"="&amp;TRIM(CLEAN('HOJAS DE HORA PROY.'!H$1)))</f>
        <v>0</v>
      </c>
      <c r="I68" s="47">
        <f>$J68*SUMIFS(MH_ESTRU_LAM5_0226_Surqu_Mirtha[[#All],[TOTAL HORAS RESTANTES]],MH_ESTRU_LAM5_0226_Surqu_Mirtha[[#All],[VERSION]],"="&amp;TRIM(CLEAN('HOJAS DE HORA PROY.'!$B68)),MH_ESTRU_LAM5_0226_Surqu_Mirtha[[#All],[ESPECIALIDAD]],"="&amp;TRIM(CLEAN('HOJAS DE HORA PROY.'!I$1)))</f>
        <v>0</v>
      </c>
      <c r="J68" s="140">
        <v>0.65</v>
      </c>
      <c r="K68" s="141">
        <f t="shared" ref="K68" si="8">SUM(C68:I68)*J68</f>
        <v>10.5625</v>
      </c>
      <c r="L68" s="141"/>
      <c r="M68" s="142" t="s">
        <v>38</v>
      </c>
      <c r="N68" s="112" t="s">
        <v>331</v>
      </c>
      <c r="O68" s="270">
        <v>2550</v>
      </c>
      <c r="Q68" s="356"/>
      <c r="R68" t="s">
        <v>577</v>
      </c>
    </row>
    <row r="69" spans="1:18" ht="18" customHeight="1" x14ac:dyDescent="0.4">
      <c r="A69" s="73" t="str">
        <f>'MH-ESTRU-LAM5-0226-Surqu-Mirtha'!A5</f>
        <v>LAM5 - 0226 - Surquillo - Mirtha Inga &amp; Marco Gordillo</v>
      </c>
      <c r="B69" s="241" t="s">
        <v>81</v>
      </c>
      <c r="C69" s="47">
        <f>$J69*SUMIFS(MH_ESTRU_LAM5_0226_Surqu_Mirtha[[#All],[TOTAL HORAS RESTANTES]],MH_ESTRU_LAM5_0226_Surqu_Mirtha[[#All],[VERSION]],"="&amp;TRIM(CLEAN('HOJAS DE HORA PROY.'!$B69)),MH_ESTRU_LAM5_0226_Surqu_Mirtha[[#All],[ESPECIALIDAD]],"="&amp;TRIM(CLEAN('HOJAS DE HORA PROY.'!C$1)))</f>
        <v>31</v>
      </c>
      <c r="D69" s="47">
        <f>$J69*SUMIFS(MH_ESTRU_LAM5_0226_Surqu_Mirtha[[#All],[TOTAL HORAS RESTANTES]],MH_ESTRU_LAM5_0226_Surqu_Mirtha[[#All],[VERSION]],"="&amp;TRIM(CLEAN('HOJAS DE HORA PROY.'!$B69)),MH_ESTRU_LAM5_0226_Surqu_Mirtha[[#All],[ESPECIALIDAD]],"="&amp;TRIM(CLEAN('HOJAS DE HORA PROY.'!D$1)))</f>
        <v>31</v>
      </c>
      <c r="E69" s="47">
        <f>$J69*SUMIFS(MH_ESTRU_LAM5_0226_Surqu_Mirtha[[#All],[TOTAL HORAS RESTANTES]],MH_ESTRU_LAM5_0226_Surqu_Mirtha[[#All],[VERSION]],"="&amp;TRIM(CLEAN('HOJAS DE HORA PROY.'!$B69)),MH_ESTRU_LAM5_0226_Surqu_Mirtha[[#All],[ESPECIALIDAD]],"="&amp;TRIM(CLEAN('HOJAS DE HORA PROY.'!E$1)))</f>
        <v>0</v>
      </c>
      <c r="F69" s="47">
        <f>$J69*SUMIFS(MH_ESTRU_LAM5_0226_Surqu_Mirtha[[#All],[TOTAL HORAS RESTANTES]],MH_ESTRU_LAM5_0226_Surqu_Mirtha[[#All],[VERSION]],"="&amp;TRIM(CLEAN('HOJAS DE HORA PROY.'!$B69)),MH_ESTRU_LAM5_0226_Surqu_Mirtha[[#All],[ESPECIALIDAD]],"="&amp;TRIM(CLEAN('HOJAS DE HORA PROY.'!F$1)))</f>
        <v>40</v>
      </c>
      <c r="G69" s="47">
        <f>$J69*SUMIFS(MH_ESTRU_LAM5_0226_Surqu_Mirtha[[#All],[TOTAL HORAS RESTANTES]],MH_ESTRU_LAM5_0226_Surqu_Mirtha[[#All],[VERSION]],"="&amp;TRIM(CLEAN('HOJAS DE HORA PROY.'!$B69)),MH_ESTRU_LAM5_0226_Surqu_Mirtha[[#All],[ESPECIALIDAD]],"="&amp;TRIM(CLEAN('HOJAS DE HORA PROY.'!G$1)))</f>
        <v>38</v>
      </c>
      <c r="H69" s="47">
        <f>$J69*SUMIFS(MH_ESTRU_LAM5_0226_Surqu_Mirtha[[#All],[TOTAL HORAS RESTANTES]],MH_ESTRU_LAM5_0226_Surqu_Mirtha[[#All],[VERSION]],"="&amp;TRIM(CLEAN('HOJAS DE HORA PROY.'!$B69)),MH_ESTRU_LAM5_0226_Surqu_Mirtha[[#All],[ESPECIALIDAD]],"="&amp;TRIM(CLEAN('HOJAS DE HORA PROY.'!H$1)))</f>
        <v>11</v>
      </c>
      <c r="I69" s="47">
        <f>$J69*SUMIFS(MH_ESTRU_LAM5_0226_Surqu_Mirtha[[#All],[TOTAL HORAS RESTANTES]],MH_ESTRU_LAM5_0226_Surqu_Mirtha[[#All],[VERSION]],"="&amp;TRIM(CLEAN('HOJAS DE HORA PROY.'!$B69)),MH_ESTRU_LAM5_0226_Surqu_Mirtha[[#All],[ESPECIALIDAD]],"="&amp;TRIM(CLEAN('HOJAS DE HORA PROY.'!I$1)))</f>
        <v>0</v>
      </c>
      <c r="J69" s="140">
        <v>1</v>
      </c>
      <c r="K69" s="141">
        <f t="shared" ref="K69" si="9">SUM(C69:I69)*J69</f>
        <v>151</v>
      </c>
      <c r="L69" s="141"/>
      <c r="M69" s="142" t="s">
        <v>38</v>
      </c>
      <c r="N69" s="112" t="s">
        <v>331</v>
      </c>
      <c r="O69" s="270"/>
    </row>
    <row r="70" spans="1:18" ht="18" customHeight="1" x14ac:dyDescent="0.4">
      <c r="A70" s="73" t="str">
        <f>'MH-ESTRU-LAM5-0226-Surqu-Mirtha'!A5</f>
        <v>LAM5 - 0226 - Surquillo - Mirtha Inga &amp; Marco Gordillo</v>
      </c>
      <c r="B70" s="241" t="s">
        <v>170</v>
      </c>
      <c r="C70" s="47">
        <f>$J70*SUMIFS(MH_ESTRU_LAM5_0226_Surqu_Mirtha[[#All],[TOTAL HORAS RESTANTES]],MH_ESTRU_LAM5_0226_Surqu_Mirtha[[#All],[VERSION]],"="&amp;TRIM(CLEAN('HOJAS DE HORA PROY.'!$B70)),MH_ESTRU_LAM5_0226_Surqu_Mirtha[[#All],[ESPECIALIDAD]],"="&amp;TRIM(CLEAN('HOJAS DE HORA PROY.'!C$1)))</f>
        <v>0</v>
      </c>
      <c r="D70" s="47">
        <f>$J70*SUMIFS(MH_ESTRU_LAM5_0226_Surqu_Mirtha[[#All],[TOTAL HORAS RESTANTES]],MH_ESTRU_LAM5_0226_Surqu_Mirtha[[#All],[VERSION]],"="&amp;TRIM(CLEAN('HOJAS DE HORA PROY.'!$B70)),MH_ESTRU_LAM5_0226_Surqu_Mirtha[[#All],[ESPECIALIDAD]],"="&amp;TRIM(CLEAN('HOJAS DE HORA PROY.'!D$1)))</f>
        <v>0</v>
      </c>
      <c r="E70" s="47">
        <f>$J70*SUMIFS(MH_ESTRU_LAM5_0226_Surqu_Mirtha[[#All],[TOTAL HORAS RESTANTES]],MH_ESTRU_LAM5_0226_Surqu_Mirtha[[#All],[VERSION]],"="&amp;TRIM(CLEAN('HOJAS DE HORA PROY.'!$B70)),MH_ESTRU_LAM5_0226_Surqu_Mirtha[[#All],[ESPECIALIDAD]],"="&amp;TRIM(CLEAN('HOJAS DE HORA PROY.'!E$1)))</f>
        <v>0</v>
      </c>
      <c r="F70" s="47">
        <f>$J70*SUMIFS(MH_ESTRU_LAM5_0226_Surqu_Mirtha[[#All],[TOTAL HORAS RESTANTES]],MH_ESTRU_LAM5_0226_Surqu_Mirtha[[#All],[VERSION]],"="&amp;TRIM(CLEAN('HOJAS DE HORA PROY.'!$B70)),MH_ESTRU_LAM5_0226_Surqu_Mirtha[[#All],[ESPECIALIDAD]],"="&amp;TRIM(CLEAN('HOJAS DE HORA PROY.'!F$1)))</f>
        <v>0</v>
      </c>
      <c r="G70" s="47">
        <f>$J70*SUMIFS(MH_ESTRU_LAM5_0226_Surqu_Mirtha[[#All],[TOTAL HORAS RESTANTES]],MH_ESTRU_LAM5_0226_Surqu_Mirtha[[#All],[VERSION]],"="&amp;TRIM(CLEAN('HOJAS DE HORA PROY.'!$B70)),MH_ESTRU_LAM5_0226_Surqu_Mirtha[[#All],[ESPECIALIDAD]],"="&amp;TRIM(CLEAN('HOJAS DE HORA PROY.'!G$1)))</f>
        <v>0</v>
      </c>
      <c r="H70" s="47">
        <f>$J70*SUMIFS(MH_ESTRU_LAM5_0226_Surqu_Mirtha[[#All],[TOTAL HORAS RESTANTES]],MH_ESTRU_LAM5_0226_Surqu_Mirtha[[#All],[VERSION]],"="&amp;TRIM(CLEAN('HOJAS DE HORA PROY.'!$B70)),MH_ESTRU_LAM5_0226_Surqu_Mirtha[[#All],[ESPECIALIDAD]],"="&amp;TRIM(CLEAN('HOJAS DE HORA PROY.'!H$1)))</f>
        <v>0</v>
      </c>
      <c r="I70" s="47">
        <f>$J70*SUMIFS(MH_ESTRU_LAM5_0226_Surqu_Mirtha[[#All],[TOTAL HORAS RESTANTES]],MH_ESTRU_LAM5_0226_Surqu_Mirtha[[#All],[VERSION]],"="&amp;TRIM(CLEAN('HOJAS DE HORA PROY.'!$B70)),MH_ESTRU_LAM5_0226_Surqu_Mirtha[[#All],[ESPECIALIDAD]],"="&amp;TRIM(CLEAN('HOJAS DE HORA PROY.'!I$1)))</f>
        <v>0</v>
      </c>
      <c r="J70" s="140">
        <v>1</v>
      </c>
      <c r="K70" s="141">
        <f t="shared" si="7"/>
        <v>0</v>
      </c>
      <c r="L70" s="141"/>
      <c r="M70" s="142" t="s">
        <v>40</v>
      </c>
      <c r="N70" s="112" t="s">
        <v>331</v>
      </c>
      <c r="O70" s="270">
        <v>2550</v>
      </c>
    </row>
    <row r="71" spans="1:18" ht="18" customHeight="1" x14ac:dyDescent="0.4">
      <c r="A71" s="73" t="str">
        <f>'MH-ESTRU-LAM5-0226-Surqu-Mirtha'!A6</f>
        <v>LAM5 - 0226 - Surquillo - Mirtha Inga &amp; Marco Gordillo</v>
      </c>
      <c r="B71" s="241" t="s">
        <v>144</v>
      </c>
      <c r="C71" s="47">
        <f>$J71*SUMIFS(MH_ESTRU_LAM5_0226_Surqu_Mirtha[[#All],[TOTAL HORAS RESTANTES]],MH_ESTRU_LAM5_0226_Surqu_Mirtha[[#All],[VERSION]],"="&amp;TRIM(CLEAN('HOJAS DE HORA PROY.'!$B71)),MH_ESTRU_LAM5_0226_Surqu_Mirtha[[#All],[ESPECIALIDAD]],"="&amp;TRIM(CLEAN('HOJAS DE HORA PROY.'!C$1)))</f>
        <v>15</v>
      </c>
      <c r="D71" s="47">
        <f>$J71*SUMIFS(MH_ESTRU_LAM5_0226_Surqu_Mirtha[[#All],[TOTAL HORAS RESTANTES]],MH_ESTRU_LAM5_0226_Surqu_Mirtha[[#All],[VERSION]],"="&amp;TRIM(CLEAN('HOJAS DE HORA PROY.'!$B71)),MH_ESTRU_LAM5_0226_Surqu_Mirtha[[#All],[ESPECIALIDAD]],"="&amp;TRIM(CLEAN('HOJAS DE HORA PROY.'!D$1)))</f>
        <v>18</v>
      </c>
      <c r="E71" s="47">
        <f>$J71*SUMIFS(MH_ESTRU_LAM5_0226_Surqu_Mirtha[[#All],[TOTAL HORAS RESTANTES]],MH_ESTRU_LAM5_0226_Surqu_Mirtha[[#All],[VERSION]],"="&amp;TRIM(CLEAN('HOJAS DE HORA PROY.'!$B71)),MH_ESTRU_LAM5_0226_Surqu_Mirtha[[#All],[ESPECIALIDAD]],"="&amp;TRIM(CLEAN('HOJAS DE HORA PROY.'!E$1)))</f>
        <v>0</v>
      </c>
      <c r="F71" s="47">
        <f>$J71*SUMIFS(MH_ESTRU_LAM5_0226_Surqu_Mirtha[[#All],[TOTAL HORAS RESTANTES]],MH_ESTRU_LAM5_0226_Surqu_Mirtha[[#All],[VERSION]],"="&amp;TRIM(CLEAN('HOJAS DE HORA PROY.'!$B71)),MH_ESTRU_LAM5_0226_Surqu_Mirtha[[#All],[ESPECIALIDAD]],"="&amp;TRIM(CLEAN('HOJAS DE HORA PROY.'!F$1)))</f>
        <v>20</v>
      </c>
      <c r="G71" s="47">
        <f>$J71*SUMIFS(MH_ESTRU_LAM5_0226_Surqu_Mirtha[[#All],[TOTAL HORAS RESTANTES]],MH_ESTRU_LAM5_0226_Surqu_Mirtha[[#All],[VERSION]],"="&amp;TRIM(CLEAN('HOJAS DE HORA PROY.'!$B71)),MH_ESTRU_LAM5_0226_Surqu_Mirtha[[#All],[ESPECIALIDAD]],"="&amp;TRIM(CLEAN('HOJAS DE HORA PROY.'!G$1)))</f>
        <v>6</v>
      </c>
      <c r="H71" s="47">
        <f>$J71*SUMIFS(MH_ESTRU_LAM5_0226_Surqu_Mirtha[[#All],[TOTAL HORAS RESTANTES]],MH_ESTRU_LAM5_0226_Surqu_Mirtha[[#All],[VERSION]],"="&amp;TRIM(CLEAN('HOJAS DE HORA PROY.'!$B71)),MH_ESTRU_LAM5_0226_Surqu_Mirtha[[#All],[ESPECIALIDAD]],"="&amp;TRIM(CLEAN('HOJAS DE HORA PROY.'!H$1)))</f>
        <v>4</v>
      </c>
      <c r="I71" s="47">
        <f>$J71*SUMIFS(MH_ESTRU_LAM5_0226_Surqu_Mirtha[[#All],[TOTAL HORAS RESTANTES]],MH_ESTRU_LAM5_0226_Surqu_Mirtha[[#All],[VERSION]],"="&amp;TRIM(CLEAN('HOJAS DE HORA PROY.'!$B71)),MH_ESTRU_LAM5_0226_Surqu_Mirtha[[#All],[ESPECIALIDAD]],"="&amp;TRIM(CLEAN('HOJAS DE HORA PROY.'!I$1)))</f>
        <v>0</v>
      </c>
      <c r="J71" s="140">
        <v>1</v>
      </c>
      <c r="K71" s="141">
        <f t="shared" si="7"/>
        <v>63</v>
      </c>
      <c r="L71" s="141"/>
      <c r="M71" s="142" t="s">
        <v>39</v>
      </c>
      <c r="N71" s="112" t="s">
        <v>331</v>
      </c>
      <c r="O71" s="270"/>
    </row>
    <row r="72" spans="1:18" ht="18" customHeight="1" thickBot="1" x14ac:dyDescent="0.45">
      <c r="A72" s="74" t="str">
        <f>'MH-ESTRU-LAM5-0226-Surqu-Mirtha'!A7</f>
        <v>LAM5 - 0226 - Surquillo - Mirtha Inga &amp; Marco Gordillo</v>
      </c>
      <c r="B72" s="242" t="s">
        <v>83</v>
      </c>
      <c r="C72" s="46">
        <f>$J72*SUMIFS(MH_ESTRU_LAM5_0226_Surqu_Mirtha[[#All],[TOTAL HORAS RESTANTES]],MH_ESTRU_LAM5_0226_Surqu_Mirtha[[#All],[VERSION]],"="&amp;TRIM(CLEAN('HOJAS DE HORA PROY.'!$B72)),MH_ESTRU_LAM5_0226_Surqu_Mirtha[[#All],[ESPECIALIDAD]],"="&amp;TRIM(CLEAN('HOJAS DE HORA PROY.'!C$1)))</f>
        <v>0</v>
      </c>
      <c r="D72" s="46">
        <f>$J72*SUMIFS(MH_ESTRU_LAM5_0226_Surqu_Mirtha[[#All],[TOTAL HORAS RESTANTES]],MH_ESTRU_LAM5_0226_Surqu_Mirtha[[#All],[VERSION]],"="&amp;TRIM(CLEAN('HOJAS DE HORA PROY.'!$B72)),MH_ESTRU_LAM5_0226_Surqu_Mirtha[[#All],[ESPECIALIDAD]],"="&amp;TRIM(CLEAN('HOJAS DE HORA PROY.'!D$1)))</f>
        <v>0</v>
      </c>
      <c r="E72" s="46">
        <f>$J72*SUMIFS(MH_ESTRU_LAM5_0226_Surqu_Mirtha[[#All],[TOTAL HORAS RESTANTES]],MH_ESTRU_LAM5_0226_Surqu_Mirtha[[#All],[VERSION]],"="&amp;TRIM(CLEAN('HOJAS DE HORA PROY.'!$B72)),MH_ESTRU_LAM5_0226_Surqu_Mirtha[[#All],[ESPECIALIDAD]],"="&amp;TRIM(CLEAN('HOJAS DE HORA PROY.'!E$1)))</f>
        <v>0</v>
      </c>
      <c r="F72" s="46">
        <f>$J72*SUMIFS(MH_ESTRU_LAM5_0226_Surqu_Mirtha[[#All],[TOTAL HORAS RESTANTES]],MH_ESTRU_LAM5_0226_Surqu_Mirtha[[#All],[VERSION]],"="&amp;TRIM(CLEAN('HOJAS DE HORA PROY.'!$B72)),MH_ESTRU_LAM5_0226_Surqu_Mirtha[[#All],[ESPECIALIDAD]],"="&amp;TRIM(CLEAN('HOJAS DE HORA PROY.'!F$1)))</f>
        <v>0</v>
      </c>
      <c r="G72" s="46">
        <f>$J72*SUMIFS(MH_ESTRU_LAM5_0226_Surqu_Mirtha[[#All],[TOTAL HORAS RESTANTES]],MH_ESTRU_LAM5_0226_Surqu_Mirtha[[#All],[VERSION]],"="&amp;TRIM(CLEAN('HOJAS DE HORA PROY.'!$B72)),MH_ESTRU_LAM5_0226_Surqu_Mirtha[[#All],[ESPECIALIDAD]],"="&amp;TRIM(CLEAN('HOJAS DE HORA PROY.'!G$1)))</f>
        <v>5</v>
      </c>
      <c r="H72" s="46">
        <f>$J72*SUMIFS(MH_ESTRU_LAM5_0226_Surqu_Mirtha[[#All],[TOTAL HORAS RESTANTES]],MH_ESTRU_LAM5_0226_Surqu_Mirtha[[#All],[VERSION]],"="&amp;TRIM(CLEAN('HOJAS DE HORA PROY.'!$B72)),MH_ESTRU_LAM5_0226_Surqu_Mirtha[[#All],[ESPECIALIDAD]],"="&amp;TRIM(CLEAN('HOJAS DE HORA PROY.'!H$1)))</f>
        <v>0</v>
      </c>
      <c r="I72" s="46">
        <f>$J72*SUMIFS(MH_ESTRU_LAM5_0226_Surqu_Mirtha[[#All],[TOTAL HORAS RESTANTES]],MH_ESTRU_LAM5_0226_Surqu_Mirtha[[#All],[VERSION]],"="&amp;TRIM(CLEAN('HOJAS DE HORA PROY.'!$B72)),MH_ESTRU_LAM5_0226_Surqu_Mirtha[[#All],[ESPECIALIDAD]],"="&amp;TRIM(CLEAN('HOJAS DE HORA PROY.'!I$1)))</f>
        <v>0</v>
      </c>
      <c r="J72" s="143">
        <v>1</v>
      </c>
      <c r="K72" s="144">
        <f t="shared" si="7"/>
        <v>5</v>
      </c>
      <c r="L72" s="144"/>
      <c r="M72" s="142" t="s">
        <v>39</v>
      </c>
      <c r="N72" s="107" t="s">
        <v>331</v>
      </c>
      <c r="O72" s="271">
        <v>850</v>
      </c>
    </row>
    <row r="73" spans="1:18" ht="18" customHeight="1" x14ac:dyDescent="0.4">
      <c r="A73" s="85" t="str">
        <f>'MH-DF - 0226 - Surquillo-Mirtha'!A2</f>
        <v>DF - 0226 - Surquillo - Mirtha &amp; Marco</v>
      </c>
      <c r="B73" s="253" t="s">
        <v>140</v>
      </c>
      <c r="C73" s="45">
        <f>$J73*SUMIFS(MH_DF___0226___Surquillo_Mirtha[[#All],[TOTAL HORAS RESTANTES]],MH_DF___0226___Surquillo_Mirtha[[#All],[VERSION]],"="&amp;TRIM(CLEAN('HOJAS DE HORA PROY.'!$B73)),MH_DF___0226___Surquillo_Mirtha[[#All],[ESPECIALIDAD]],"="&amp;TRIM(CLEAN('HOJAS DE HORA PROY.'!C$1)))</f>
        <v>0</v>
      </c>
      <c r="D73" s="45">
        <f>$J73*SUMIFS(MH_DF___0226___Surquillo_Mirtha[[#All],[TOTAL HORAS RESTANTES]],MH_DF___0226___Surquillo_Mirtha[[#All],[VERSION]],"="&amp;TRIM(CLEAN('HOJAS DE HORA PROY.'!$B73)),MH_DF___0226___Surquillo_Mirtha[[#All],[ESPECIALIDAD]],"="&amp;TRIM(CLEAN('HOJAS DE HORA PROY.'!D$1)))</f>
        <v>0</v>
      </c>
      <c r="E73" s="45">
        <f>$J73*SUMIFS(MH_DF___0226___Surquillo_Mirtha[[#All],[TOTAL HORAS RESTANTES]],MH_DF___0226___Surquillo_Mirtha[[#All],[VERSION]],"="&amp;TRIM(CLEAN('HOJAS DE HORA PROY.'!$B73)),MH_DF___0226___Surquillo_Mirtha[[#All],[ESPECIALIDAD]],"="&amp;TRIM(CLEAN('HOJAS DE HORA PROY.'!E$1)))</f>
        <v>0</v>
      </c>
      <c r="F73" s="45">
        <f>$J73*SUMIFS(MH_DF___0226___Surquillo_Mirtha[[#All],[TOTAL HORAS RESTANTES]],MH_DF___0226___Surquillo_Mirtha[[#All],[VERSION]],"="&amp;TRIM(CLEAN('HOJAS DE HORA PROY.'!$B73)),MH_DF___0226___Surquillo_Mirtha[[#All],[ESPECIALIDAD]],"="&amp;TRIM(CLEAN('HOJAS DE HORA PROY.'!F$1)))</f>
        <v>0</v>
      </c>
      <c r="G73" s="45">
        <f>$J73*SUMIFS(MH_DF___0226___Surquillo_Mirtha[[#All],[TOTAL HORAS RESTANTES]],MH_DF___0226___Surquillo_Mirtha[[#All],[VERSION]],"="&amp;TRIM(CLEAN('HOJAS DE HORA PROY.'!$B73)),MH_DF___0226___Surquillo_Mirtha[[#All],[ESPECIALIDAD]],"="&amp;TRIM(CLEAN('HOJAS DE HORA PROY.'!G$1)))</f>
        <v>0</v>
      </c>
      <c r="H73" s="45">
        <f>$J73*SUMIFS(MH_DF___0226___Surquillo_Mirtha[[#All],[TOTAL HORAS RESTANTES]],MH_DF___0226___Surquillo_Mirtha[[#All],[VERSION]],"="&amp;TRIM(CLEAN('HOJAS DE HORA PROY.'!$B73)),MH_DF___0226___Surquillo_Mirtha[[#All],[ESPECIALIDAD]],"="&amp;TRIM(CLEAN('HOJAS DE HORA PROY.'!H$1)))</f>
        <v>0</v>
      </c>
      <c r="I73" s="45">
        <f>$J73*SUMIFS(MH_DF___0226___Surquillo_Mirtha[[#All],[TOTAL HORAS RESTANTES]],MH_DF___0226___Surquillo_Mirtha[[#All],[VERSION]],"="&amp;TRIM(CLEAN('HOJAS DE HORA PROY.'!$B73)),MH_DF___0226___Surquillo_Mirtha[[#All],[ESPECIALIDAD]],"="&amp;TRIM(CLEAN('HOJAS DE HORA PROY.'!I$1)))</f>
        <v>0</v>
      </c>
      <c r="J73" s="178">
        <v>1</v>
      </c>
      <c r="K73" s="179">
        <f t="shared" ref="K73:K81" si="10">SUM(C73:I73)*J73</f>
        <v>0</v>
      </c>
      <c r="L73" s="179"/>
      <c r="M73" s="209"/>
      <c r="N73" s="103" t="s">
        <v>331</v>
      </c>
      <c r="O73" s="269">
        <v>0</v>
      </c>
      <c r="Q73" s="356"/>
      <c r="R73" t="s">
        <v>574</v>
      </c>
    </row>
    <row r="74" spans="1:18" ht="18" customHeight="1" x14ac:dyDescent="0.4">
      <c r="A74" s="86" t="str">
        <f>'MH-DF - 0226 - Surquillo-Mirtha'!A3</f>
        <v>DF - 0226 - Surquillo - Mirtha &amp; Marco</v>
      </c>
      <c r="B74" s="254" t="s">
        <v>496</v>
      </c>
      <c r="C74" s="47">
        <f>$J74*SUMIFS(MH_DF___0226___Surquillo_Mirtha[[#All],[TOTAL HORAS RESTANTES]],MH_DF___0226___Surquillo_Mirtha[[#All],[VERSION]],"="&amp;TRIM(CLEAN('HOJAS DE HORA PROY.'!$B74)),MH_DF___0226___Surquillo_Mirtha[[#All],[ESPECIALIDAD]],"="&amp;TRIM(CLEAN('HOJAS DE HORA PROY.'!C$1)))</f>
        <v>21.5</v>
      </c>
      <c r="D74" s="47">
        <f>$J74*SUMIFS(MH_DF___0226___Surquillo_Mirtha[[#All],[TOTAL HORAS RESTANTES]],MH_DF___0226___Surquillo_Mirtha[[#All],[VERSION]],"="&amp;TRIM(CLEAN('HOJAS DE HORA PROY.'!$B74)),MH_DF___0226___Surquillo_Mirtha[[#All],[ESPECIALIDAD]],"="&amp;TRIM(CLEAN('HOJAS DE HORA PROY.'!D$1)))</f>
        <v>0</v>
      </c>
      <c r="E74" s="47">
        <f>$J74*SUMIFS(MH_DF___0226___Surquillo_Mirtha[[#All],[TOTAL HORAS RESTANTES]],MH_DF___0226___Surquillo_Mirtha[[#All],[VERSION]],"="&amp;TRIM(CLEAN('HOJAS DE HORA PROY.'!$B74)),MH_DF___0226___Surquillo_Mirtha[[#All],[ESPECIALIDAD]],"="&amp;TRIM(CLEAN('HOJAS DE HORA PROY.'!E$1)))</f>
        <v>0</v>
      </c>
      <c r="F74" s="47">
        <f>$J74*SUMIFS(MH_DF___0226___Surquillo_Mirtha[[#All],[TOTAL HORAS RESTANTES]],MH_DF___0226___Surquillo_Mirtha[[#All],[VERSION]],"="&amp;TRIM(CLEAN('HOJAS DE HORA PROY.'!$B74)),MH_DF___0226___Surquillo_Mirtha[[#All],[ESPECIALIDAD]],"="&amp;TRIM(CLEAN('HOJAS DE HORA PROY.'!F$1)))</f>
        <v>0</v>
      </c>
      <c r="G74" s="47">
        <f>$J74*SUMIFS(MH_DF___0226___Surquillo_Mirtha[[#All],[TOTAL HORAS RESTANTES]],MH_DF___0226___Surquillo_Mirtha[[#All],[VERSION]],"="&amp;TRIM(CLEAN('HOJAS DE HORA PROY.'!$B74)),MH_DF___0226___Surquillo_Mirtha[[#All],[ESPECIALIDAD]],"="&amp;TRIM(CLEAN('HOJAS DE HORA PROY.'!G$1)))</f>
        <v>0</v>
      </c>
      <c r="H74" s="47">
        <f>$J74*SUMIFS(MH_DF___0226___Surquillo_Mirtha[[#All],[TOTAL HORAS RESTANTES]],MH_DF___0226___Surquillo_Mirtha[[#All],[VERSION]],"="&amp;TRIM(CLEAN('HOJAS DE HORA PROY.'!$B74)),MH_DF___0226___Surquillo_Mirtha[[#All],[ESPECIALIDAD]],"="&amp;TRIM(CLEAN('HOJAS DE HORA PROY.'!H$1)))</f>
        <v>0</v>
      </c>
      <c r="I74" s="47">
        <f>$J74*SUMIFS(MH_DF___0226___Surquillo_Mirtha[[#All],[TOTAL HORAS RESTANTES]],MH_DF___0226___Surquillo_Mirtha[[#All],[VERSION]],"="&amp;TRIM(CLEAN('HOJAS DE HORA PROY.'!$B74)),MH_DF___0226___Surquillo_Mirtha[[#All],[ESPECIALIDAD]],"="&amp;TRIM(CLEAN('HOJAS DE HORA PROY.'!I$1)))</f>
        <v>0</v>
      </c>
      <c r="J74" s="180">
        <v>1</v>
      </c>
      <c r="K74" s="181">
        <f t="shared" si="10"/>
        <v>21.5</v>
      </c>
      <c r="L74" s="181"/>
      <c r="M74" s="210" t="s">
        <v>40</v>
      </c>
      <c r="N74" s="112" t="s">
        <v>331</v>
      </c>
      <c r="O74" s="270">
        <v>0</v>
      </c>
      <c r="Q74" s="356"/>
      <c r="R74" t="s">
        <v>574</v>
      </c>
    </row>
    <row r="75" spans="1:18" ht="18" customHeight="1" thickBot="1" x14ac:dyDescent="0.45">
      <c r="A75" s="97" t="str">
        <f>'MH-DF - 0226 - Surquillo-Mirtha'!A4</f>
        <v>DF - 0226 - Surquillo - Mirtha &amp; Marco</v>
      </c>
      <c r="B75" s="265" t="s">
        <v>170</v>
      </c>
      <c r="C75" s="52">
        <f>$J75*SUMIFS(MH_DF___0226___Surquillo_Mirtha[[#All],[TOTAL HORAS RESTANTES]],MH_DF___0226___Surquillo_Mirtha[[#All],[VERSION]],"="&amp;TRIM(CLEAN('HOJAS DE HORA PROY.'!$B75)),MH_DF___0226___Surquillo_Mirtha[[#All],[ESPECIALIDAD]],"="&amp;TRIM(CLEAN('HOJAS DE HORA PROY.'!C$1)))</f>
        <v>0</v>
      </c>
      <c r="D75" s="52">
        <f>$J75*SUMIFS(MH_DF___0226___Surquillo_Mirtha[[#All],[TOTAL HORAS RESTANTES]],MH_DF___0226___Surquillo_Mirtha[[#All],[VERSION]],"="&amp;TRIM(CLEAN('HOJAS DE HORA PROY.'!$B75)),MH_DF___0226___Surquillo_Mirtha[[#All],[ESPECIALIDAD]],"="&amp;TRIM(CLEAN('HOJAS DE HORA PROY.'!D$1)))</f>
        <v>0</v>
      </c>
      <c r="E75" s="52">
        <f>$J75*SUMIFS(MH_DF___0226___Surquillo_Mirtha[[#All],[TOTAL HORAS RESTANTES]],MH_DF___0226___Surquillo_Mirtha[[#All],[VERSION]],"="&amp;TRIM(CLEAN('HOJAS DE HORA PROY.'!$B75)),MH_DF___0226___Surquillo_Mirtha[[#All],[ESPECIALIDAD]],"="&amp;TRIM(CLEAN('HOJAS DE HORA PROY.'!E$1)))</f>
        <v>0</v>
      </c>
      <c r="F75" s="52">
        <f>$J75*SUMIFS(MH_DF___0226___Surquillo_Mirtha[[#All],[TOTAL HORAS RESTANTES]],MH_DF___0226___Surquillo_Mirtha[[#All],[VERSION]],"="&amp;TRIM(CLEAN('HOJAS DE HORA PROY.'!$B75)),MH_DF___0226___Surquillo_Mirtha[[#All],[ESPECIALIDAD]],"="&amp;TRIM(CLEAN('HOJAS DE HORA PROY.'!F$1)))</f>
        <v>0</v>
      </c>
      <c r="G75" s="52">
        <f>$J75*SUMIFS(MH_DF___0226___Surquillo_Mirtha[[#All],[TOTAL HORAS RESTANTES]],MH_DF___0226___Surquillo_Mirtha[[#All],[VERSION]],"="&amp;TRIM(CLEAN('HOJAS DE HORA PROY.'!$B75)),MH_DF___0226___Surquillo_Mirtha[[#All],[ESPECIALIDAD]],"="&amp;TRIM(CLEAN('HOJAS DE HORA PROY.'!G$1)))</f>
        <v>0</v>
      </c>
      <c r="H75" s="52">
        <f>$J75*SUMIFS(MH_DF___0226___Surquillo_Mirtha[[#All],[TOTAL HORAS RESTANTES]],MH_DF___0226___Surquillo_Mirtha[[#All],[VERSION]],"="&amp;TRIM(CLEAN('HOJAS DE HORA PROY.'!$B75)),MH_DF___0226___Surquillo_Mirtha[[#All],[ESPECIALIDAD]],"="&amp;TRIM(CLEAN('HOJAS DE HORA PROY.'!H$1)))</f>
        <v>0</v>
      </c>
      <c r="I75" s="52">
        <f>$J75*SUMIFS(MH_DF___0226___Surquillo_Mirtha[[#All],[TOTAL HORAS RESTANTES]],MH_DF___0226___Surquillo_Mirtha[[#All],[VERSION]],"="&amp;TRIM(CLEAN('HOJAS DE HORA PROY.'!$B75)),MH_DF___0226___Surquillo_Mirtha[[#All],[ESPECIALIDAD]],"="&amp;TRIM(CLEAN('HOJAS DE HORA PROY.'!I$1)))</f>
        <v>0</v>
      </c>
      <c r="J75" s="211">
        <v>1</v>
      </c>
      <c r="K75" s="212">
        <f t="shared" si="10"/>
        <v>0</v>
      </c>
      <c r="L75" s="212"/>
      <c r="M75" s="213" t="s">
        <v>39</v>
      </c>
      <c r="N75" s="214" t="s">
        <v>331</v>
      </c>
      <c r="O75" s="273">
        <v>0</v>
      </c>
    </row>
    <row r="76" spans="1:18" ht="18" customHeight="1" x14ac:dyDescent="0.4">
      <c r="A76" s="91" t="str">
        <f>'MH-LNM5 - 0226 - SJL - MONTERO'!A2</f>
        <v>LNM5 - 0226 - SJL - MONTERO RUIZ</v>
      </c>
      <c r="B76" s="259" t="s">
        <v>140</v>
      </c>
      <c r="C76" s="45">
        <f>$J76*SUMIFS(MH_LNM5___0226___SJL___MONTERO[[#All],[TOTAL HORAS RESTANTES]],MH_LNM5___0226___SJL___MONTERO[[#All],[VERSION]],"="&amp;TRIM(CLEAN('HOJAS DE HORA PROY.'!$B76)),MH_LNM5___0226___SJL___MONTERO[[#All],[ESPECIALIDAD]],"="&amp;TRIM(CLEAN('HOJAS DE HORA PROY.'!C$1)))</f>
        <v>0</v>
      </c>
      <c r="D76" s="45">
        <f>$J76*SUMIFS(MH_LNM5___0226___SJL___MONTERO[[#All],[TOTAL HORAS RESTANTES]],MH_LNM5___0226___SJL___MONTERO[[#All],[VERSION]],"="&amp;TRIM(CLEAN('HOJAS DE HORA PROY.'!$B76)),MH_LNM5___0226___SJL___MONTERO[[#All],[ESPECIALIDAD]],"="&amp;TRIM(CLEAN('HOJAS DE HORA PROY.'!D$1)))</f>
        <v>0</v>
      </c>
      <c r="E76" s="45">
        <f>$J76*SUMIFS(MH_LNM5___0226___SJL___MONTERO[[#All],[TOTAL HORAS RESTANTES]],MH_LNM5___0226___SJL___MONTERO[[#All],[VERSION]],"="&amp;TRIM(CLEAN('HOJAS DE HORA PROY.'!$B76)),MH_LNM5___0226___SJL___MONTERO[[#All],[ESPECIALIDAD]],"="&amp;TRIM(CLEAN('HOJAS DE HORA PROY.'!E$1)))</f>
        <v>0</v>
      </c>
      <c r="F76" s="45">
        <f>$J76*SUMIFS(MH_LNM5___0226___SJL___MONTERO[[#All],[TOTAL HORAS RESTANTES]],MH_LNM5___0226___SJL___MONTERO[[#All],[VERSION]],"="&amp;TRIM(CLEAN('HOJAS DE HORA PROY.'!$B76)),MH_LNM5___0226___SJL___MONTERO[[#All],[ESPECIALIDAD]],"="&amp;TRIM(CLEAN('HOJAS DE HORA PROY.'!F$1)))</f>
        <v>0</v>
      </c>
      <c r="G76" s="45">
        <f>$J76*SUMIFS(MH_LNM5___0226___SJL___MONTERO[[#All],[TOTAL HORAS RESTANTES]],MH_LNM5___0226___SJL___MONTERO[[#All],[VERSION]],"="&amp;TRIM(CLEAN('HOJAS DE HORA PROY.'!$B76)),MH_LNM5___0226___SJL___MONTERO[[#All],[ESPECIALIDAD]],"="&amp;TRIM(CLEAN('HOJAS DE HORA PROY.'!G$1)))</f>
        <v>0</v>
      </c>
      <c r="H76" s="45">
        <f>$J76*SUMIFS(MH_LNM5___0226___SJL___MONTERO[[#All],[TOTAL HORAS RESTANTES]],MH_LNM5___0226___SJL___MONTERO[[#All],[VERSION]],"="&amp;TRIM(CLEAN('HOJAS DE HORA PROY.'!$B76)),MH_LNM5___0226___SJL___MONTERO[[#All],[ESPECIALIDAD]],"="&amp;TRIM(CLEAN('HOJAS DE HORA PROY.'!H$1)))</f>
        <v>0</v>
      </c>
      <c r="I76" s="45">
        <f>$J76*SUMIFS(MH_LNM5___0226___SJL___MONTERO[[#All],[TOTAL HORAS RESTANTES]],MH_LNM5___0226___SJL___MONTERO[[#All],[VERSION]],"="&amp;TRIM(CLEAN('HOJAS DE HORA PROY.'!$B76)),MH_LNM5___0226___SJL___MONTERO[[#All],[ESPECIALIDAD]],"="&amp;TRIM(CLEAN('HOJAS DE HORA PROY.'!I$1)))</f>
        <v>0</v>
      </c>
      <c r="J76" s="193">
        <v>1</v>
      </c>
      <c r="K76" s="194">
        <f t="shared" si="10"/>
        <v>0</v>
      </c>
      <c r="L76" s="194"/>
      <c r="M76" s="195"/>
      <c r="N76" s="103" t="s">
        <v>366</v>
      </c>
      <c r="O76" s="269"/>
    </row>
    <row r="77" spans="1:18" ht="18" customHeight="1" x14ac:dyDescent="0.4">
      <c r="A77" s="92" t="str">
        <f>'MH-LNM5 - 0226 - SJL - MONTERO'!A3</f>
        <v>LNM5 - 0226 - SJL - MONTERO RUIZ</v>
      </c>
      <c r="B77" s="260" t="s">
        <v>65</v>
      </c>
      <c r="C77" s="47">
        <f>$J77*SUMIFS(MH_LNM5___0226___SJL___MONTERO[[#All],[TOTAL HORAS RESTANTES]],MH_LNM5___0226___SJL___MONTERO[[#All],[VERSION]],"="&amp;TRIM(CLEAN('HOJAS DE HORA PROY.'!$B77)),MH_LNM5___0226___SJL___MONTERO[[#All],[ESPECIALIDAD]],"="&amp;TRIM(CLEAN('HOJAS DE HORA PROY.'!C$1)))</f>
        <v>0</v>
      </c>
      <c r="D77" s="47">
        <f>$J77*SUMIFS(MH_LNM5___0226___SJL___MONTERO[[#All],[TOTAL HORAS RESTANTES]],MH_LNM5___0226___SJL___MONTERO[[#All],[VERSION]],"="&amp;TRIM(CLEAN('HOJAS DE HORA PROY.'!$B77)),MH_LNM5___0226___SJL___MONTERO[[#All],[ESPECIALIDAD]],"="&amp;TRIM(CLEAN('HOJAS DE HORA PROY.'!D$1)))</f>
        <v>11</v>
      </c>
      <c r="E77" s="47">
        <f>$J77*SUMIFS(MH_LNM5___0226___SJL___MONTERO[[#All],[TOTAL HORAS RESTANTES]],MH_LNM5___0226___SJL___MONTERO[[#All],[VERSION]],"="&amp;TRIM(CLEAN('HOJAS DE HORA PROY.'!$B77)),MH_LNM5___0226___SJL___MONTERO[[#All],[ESPECIALIDAD]],"="&amp;TRIM(CLEAN('HOJAS DE HORA PROY.'!E$1)))</f>
        <v>0</v>
      </c>
      <c r="F77" s="47">
        <f>$J77*SUMIFS(MH_LNM5___0226___SJL___MONTERO[[#All],[TOTAL HORAS RESTANTES]],MH_LNM5___0226___SJL___MONTERO[[#All],[VERSION]],"="&amp;TRIM(CLEAN('HOJAS DE HORA PROY.'!$B77)),MH_LNM5___0226___SJL___MONTERO[[#All],[ESPECIALIDAD]],"="&amp;TRIM(CLEAN('HOJAS DE HORA PROY.'!F$1)))</f>
        <v>0.5</v>
      </c>
      <c r="G77" s="47">
        <f>$J77*SUMIFS(MH_LNM5___0226___SJL___MONTERO[[#All],[TOTAL HORAS RESTANTES]],MH_LNM5___0226___SJL___MONTERO[[#All],[VERSION]],"="&amp;TRIM(CLEAN('HOJAS DE HORA PROY.'!$B77)),MH_LNM5___0226___SJL___MONTERO[[#All],[ESPECIALIDAD]],"="&amp;TRIM(CLEAN('HOJAS DE HORA PROY.'!G$1)))</f>
        <v>0</v>
      </c>
      <c r="H77" s="47">
        <f>$J77*SUMIFS(MH_LNM5___0226___SJL___MONTERO[[#All],[TOTAL HORAS RESTANTES]],MH_LNM5___0226___SJL___MONTERO[[#All],[VERSION]],"="&amp;TRIM(CLEAN('HOJAS DE HORA PROY.'!$B77)),MH_LNM5___0226___SJL___MONTERO[[#All],[ESPECIALIDAD]],"="&amp;TRIM(CLEAN('HOJAS DE HORA PROY.'!H$1)))</f>
        <v>0</v>
      </c>
      <c r="I77" s="47">
        <f>$J77*SUMIFS(MH_LNM5___0226___SJL___MONTERO[[#All],[TOTAL HORAS RESTANTES]],MH_LNM5___0226___SJL___MONTERO[[#All],[VERSION]],"="&amp;TRIM(CLEAN('HOJAS DE HORA PROY.'!$B77)),MH_LNM5___0226___SJL___MONTERO[[#All],[ESPECIALIDAD]],"="&amp;TRIM(CLEAN('HOJAS DE HORA PROY.'!I$1)))</f>
        <v>0</v>
      </c>
      <c r="J77" s="196">
        <v>1</v>
      </c>
      <c r="K77" s="197">
        <f t="shared" si="10"/>
        <v>11.5</v>
      </c>
      <c r="L77" s="197"/>
      <c r="M77" s="198"/>
      <c r="N77" s="112" t="s">
        <v>366</v>
      </c>
      <c r="O77" s="270">
        <v>0</v>
      </c>
    </row>
    <row r="78" spans="1:18" ht="18" customHeight="1" x14ac:dyDescent="0.4">
      <c r="A78" s="92" t="str">
        <f>'MH-LNM5 - 0226 - SJL - MONTERO'!A4</f>
        <v>LNM5 - 0226 - SJL - MONTERO RUIZ</v>
      </c>
      <c r="B78" s="260" t="s">
        <v>81</v>
      </c>
      <c r="C78" s="47">
        <f>$J78*SUMIFS(MH_LNM5___0226___SJL___MONTERO[[#All],[TOTAL HORAS RESTANTES]],MH_LNM5___0226___SJL___MONTERO[[#All],[VERSION]],"="&amp;TRIM(CLEAN('HOJAS DE HORA PROY.'!$B78)),MH_LNM5___0226___SJL___MONTERO[[#All],[ESPECIALIDAD]],"="&amp;TRIM(CLEAN('HOJAS DE HORA PROY.'!C$1)))</f>
        <v>0</v>
      </c>
      <c r="D78" s="47">
        <f>$J78*SUMIFS(MH_LNM5___0226___SJL___MONTERO[[#All],[TOTAL HORAS RESTANTES]],MH_LNM5___0226___SJL___MONTERO[[#All],[VERSION]],"="&amp;TRIM(CLEAN('HOJAS DE HORA PROY.'!$B78)),MH_LNM5___0226___SJL___MONTERO[[#All],[ESPECIALIDAD]],"="&amp;TRIM(CLEAN('HOJAS DE HORA PROY.'!D$1)))</f>
        <v>36</v>
      </c>
      <c r="E78" s="47">
        <f>$J78*SUMIFS(MH_LNM5___0226___SJL___MONTERO[[#All],[TOTAL HORAS RESTANTES]],MH_LNM5___0226___SJL___MONTERO[[#All],[VERSION]],"="&amp;TRIM(CLEAN('HOJAS DE HORA PROY.'!$B78)),MH_LNM5___0226___SJL___MONTERO[[#All],[ESPECIALIDAD]],"="&amp;TRIM(CLEAN('HOJAS DE HORA PROY.'!E$1)))</f>
        <v>0</v>
      </c>
      <c r="F78" s="47">
        <f>$J78*SUMIFS(MH_LNM5___0226___SJL___MONTERO[[#All],[TOTAL HORAS RESTANTES]],MH_LNM5___0226___SJL___MONTERO[[#All],[VERSION]],"="&amp;TRIM(CLEAN('HOJAS DE HORA PROY.'!$B78)),MH_LNM5___0226___SJL___MONTERO[[#All],[ESPECIALIDAD]],"="&amp;TRIM(CLEAN('HOJAS DE HORA PROY.'!F$1)))</f>
        <v>44</v>
      </c>
      <c r="G78" s="47">
        <f>$J78*SUMIFS(MH_LNM5___0226___SJL___MONTERO[[#All],[TOTAL HORAS RESTANTES]],MH_LNM5___0226___SJL___MONTERO[[#All],[VERSION]],"="&amp;TRIM(CLEAN('HOJAS DE HORA PROY.'!$B78)),MH_LNM5___0226___SJL___MONTERO[[#All],[ESPECIALIDAD]],"="&amp;TRIM(CLEAN('HOJAS DE HORA PROY.'!G$1)))</f>
        <v>37</v>
      </c>
      <c r="H78" s="47">
        <f>$J78*SUMIFS(MH_LNM5___0226___SJL___MONTERO[[#All],[TOTAL HORAS RESTANTES]],MH_LNM5___0226___SJL___MONTERO[[#All],[VERSION]],"="&amp;TRIM(CLEAN('HOJAS DE HORA PROY.'!$B78)),MH_LNM5___0226___SJL___MONTERO[[#All],[ESPECIALIDAD]],"="&amp;TRIM(CLEAN('HOJAS DE HORA PROY.'!H$1)))</f>
        <v>11</v>
      </c>
      <c r="I78" s="47">
        <f>$J78*SUMIFS(MH_LNM5___0226___SJL___MONTERO[[#All],[TOTAL HORAS RESTANTES]],MH_LNM5___0226___SJL___MONTERO[[#All],[VERSION]],"="&amp;TRIM(CLEAN('HOJAS DE HORA PROY.'!$B78)),MH_LNM5___0226___SJL___MONTERO[[#All],[ESPECIALIDAD]],"="&amp;TRIM(CLEAN('HOJAS DE HORA PROY.'!I$1)))</f>
        <v>0</v>
      </c>
      <c r="J78" s="196">
        <v>1</v>
      </c>
      <c r="K78" s="197">
        <f t="shared" si="10"/>
        <v>128</v>
      </c>
      <c r="L78" s="197"/>
      <c r="M78" s="198"/>
      <c r="N78" s="112" t="s">
        <v>366</v>
      </c>
      <c r="O78" s="270">
        <v>0</v>
      </c>
    </row>
    <row r="79" spans="1:18" ht="18" customHeight="1" x14ac:dyDescent="0.4">
      <c r="A79" s="92" t="str">
        <f>'MH-LNM5 - 0226 - SJL - MONTERO'!A5</f>
        <v>LNM5 - 0226 - SJL - MONTERO RUIZ</v>
      </c>
      <c r="B79" s="260" t="s">
        <v>170</v>
      </c>
      <c r="C79" s="47">
        <f>$J79*SUMIFS(MH_LNM5___0226___SJL___MONTERO[[#All],[TOTAL HORAS RESTANTES]],MH_LNM5___0226___SJL___MONTERO[[#All],[VERSION]],"="&amp;TRIM(CLEAN('HOJAS DE HORA PROY.'!$B79)),MH_LNM5___0226___SJL___MONTERO[[#All],[ESPECIALIDAD]],"="&amp;TRIM(CLEAN('HOJAS DE HORA PROY.'!C$1)))</f>
        <v>0</v>
      </c>
      <c r="D79" s="47">
        <f>$J79*SUMIFS(MH_LNM5___0226___SJL___MONTERO[[#All],[TOTAL HORAS RESTANTES]],MH_LNM5___0226___SJL___MONTERO[[#All],[VERSION]],"="&amp;TRIM(CLEAN('HOJAS DE HORA PROY.'!$B79)),MH_LNM5___0226___SJL___MONTERO[[#All],[ESPECIALIDAD]],"="&amp;TRIM(CLEAN('HOJAS DE HORA PROY.'!D$1)))</f>
        <v>0</v>
      </c>
      <c r="E79" s="47">
        <f>$J79*SUMIFS(MH_LNM5___0226___SJL___MONTERO[[#All],[TOTAL HORAS RESTANTES]],MH_LNM5___0226___SJL___MONTERO[[#All],[VERSION]],"="&amp;TRIM(CLEAN('HOJAS DE HORA PROY.'!$B79)),MH_LNM5___0226___SJL___MONTERO[[#All],[ESPECIALIDAD]],"="&amp;TRIM(CLEAN('HOJAS DE HORA PROY.'!E$1)))</f>
        <v>0</v>
      </c>
      <c r="F79" s="47">
        <f>$J79*SUMIFS(MH_LNM5___0226___SJL___MONTERO[[#All],[TOTAL HORAS RESTANTES]],MH_LNM5___0226___SJL___MONTERO[[#All],[VERSION]],"="&amp;TRIM(CLEAN('HOJAS DE HORA PROY.'!$B79)),MH_LNM5___0226___SJL___MONTERO[[#All],[ESPECIALIDAD]],"="&amp;TRIM(CLEAN('HOJAS DE HORA PROY.'!F$1)))</f>
        <v>0</v>
      </c>
      <c r="G79" s="47">
        <f>$J79*SUMIFS(MH_LNM5___0226___SJL___MONTERO[[#All],[TOTAL HORAS RESTANTES]],MH_LNM5___0226___SJL___MONTERO[[#All],[VERSION]],"="&amp;TRIM(CLEAN('HOJAS DE HORA PROY.'!$B79)),MH_LNM5___0226___SJL___MONTERO[[#All],[ESPECIALIDAD]],"="&amp;TRIM(CLEAN('HOJAS DE HORA PROY.'!G$1)))</f>
        <v>0</v>
      </c>
      <c r="H79" s="47">
        <f>$J79*SUMIFS(MH_LNM5___0226___SJL___MONTERO[[#All],[TOTAL HORAS RESTANTES]],MH_LNM5___0226___SJL___MONTERO[[#All],[VERSION]],"="&amp;TRIM(CLEAN('HOJAS DE HORA PROY.'!$B79)),MH_LNM5___0226___SJL___MONTERO[[#All],[ESPECIALIDAD]],"="&amp;TRIM(CLEAN('HOJAS DE HORA PROY.'!H$1)))</f>
        <v>0</v>
      </c>
      <c r="I79" s="47">
        <f>$J79*SUMIFS(MH_LNM5___0226___SJL___MONTERO[[#All],[TOTAL HORAS RESTANTES]],MH_LNM5___0226___SJL___MONTERO[[#All],[VERSION]],"="&amp;TRIM(CLEAN('HOJAS DE HORA PROY.'!$B79)),MH_LNM5___0226___SJL___MONTERO[[#All],[ESPECIALIDAD]],"="&amp;TRIM(CLEAN('HOJAS DE HORA PROY.'!I$1)))</f>
        <v>0</v>
      </c>
      <c r="J79" s="196">
        <v>1</v>
      </c>
      <c r="K79" s="197">
        <f t="shared" si="10"/>
        <v>0</v>
      </c>
      <c r="L79" s="197"/>
      <c r="M79" s="198"/>
      <c r="N79" s="112" t="s">
        <v>366</v>
      </c>
      <c r="O79" s="270">
        <v>0</v>
      </c>
    </row>
    <row r="80" spans="1:18" ht="18" customHeight="1" x14ac:dyDescent="0.4">
      <c r="A80" s="92" t="str">
        <f>'MH-LNM5 - 0226 - SJL - MONTERO'!A6</f>
        <v>LNM5 - 0226 - SJL - MONTERO RUIZ</v>
      </c>
      <c r="B80" s="260" t="s">
        <v>144</v>
      </c>
      <c r="C80" s="47">
        <f>$J80*SUMIFS(MH_LNM5___0226___SJL___MONTERO[[#All],[TOTAL HORAS RESTANTES]],MH_LNM5___0226___SJL___MONTERO[[#All],[VERSION]],"="&amp;TRIM(CLEAN('HOJAS DE HORA PROY.'!$B80)),MH_LNM5___0226___SJL___MONTERO[[#All],[ESPECIALIDAD]],"="&amp;TRIM(CLEAN('HOJAS DE HORA PROY.'!C$1)))</f>
        <v>0</v>
      </c>
      <c r="D80" s="47">
        <f>$J80*SUMIFS(MH_LNM5___0226___SJL___MONTERO[[#All],[TOTAL HORAS RESTANTES]],MH_LNM5___0226___SJL___MONTERO[[#All],[VERSION]],"="&amp;TRIM(CLEAN('HOJAS DE HORA PROY.'!$B80)),MH_LNM5___0226___SJL___MONTERO[[#All],[ESPECIALIDAD]],"="&amp;TRIM(CLEAN('HOJAS DE HORA PROY.'!D$1)))</f>
        <v>18</v>
      </c>
      <c r="E80" s="47">
        <f>$J80*SUMIFS(MH_LNM5___0226___SJL___MONTERO[[#All],[TOTAL HORAS RESTANTES]],MH_LNM5___0226___SJL___MONTERO[[#All],[VERSION]],"="&amp;TRIM(CLEAN('HOJAS DE HORA PROY.'!$B80)),MH_LNM5___0226___SJL___MONTERO[[#All],[ESPECIALIDAD]],"="&amp;TRIM(CLEAN('HOJAS DE HORA PROY.'!E$1)))</f>
        <v>0</v>
      </c>
      <c r="F80" s="47">
        <f>$J80*SUMIFS(MH_LNM5___0226___SJL___MONTERO[[#All],[TOTAL HORAS RESTANTES]],MH_LNM5___0226___SJL___MONTERO[[#All],[VERSION]],"="&amp;TRIM(CLEAN('HOJAS DE HORA PROY.'!$B80)),MH_LNM5___0226___SJL___MONTERO[[#All],[ESPECIALIDAD]],"="&amp;TRIM(CLEAN('HOJAS DE HORA PROY.'!F$1)))</f>
        <v>18</v>
      </c>
      <c r="G80" s="47">
        <f>$J80*SUMIFS(MH_LNM5___0226___SJL___MONTERO[[#All],[TOTAL HORAS RESTANTES]],MH_LNM5___0226___SJL___MONTERO[[#All],[VERSION]],"="&amp;TRIM(CLEAN('HOJAS DE HORA PROY.'!$B80)),MH_LNM5___0226___SJL___MONTERO[[#All],[ESPECIALIDAD]],"="&amp;TRIM(CLEAN('HOJAS DE HORA PROY.'!G$1)))</f>
        <v>15</v>
      </c>
      <c r="H80" s="47">
        <f>$J80*SUMIFS(MH_LNM5___0226___SJL___MONTERO[[#All],[TOTAL HORAS RESTANTES]],MH_LNM5___0226___SJL___MONTERO[[#All],[VERSION]],"="&amp;TRIM(CLEAN('HOJAS DE HORA PROY.'!$B80)),MH_LNM5___0226___SJL___MONTERO[[#All],[ESPECIALIDAD]],"="&amp;TRIM(CLEAN('HOJAS DE HORA PROY.'!H$1)))</f>
        <v>4</v>
      </c>
      <c r="I80" s="47">
        <f>$J80*SUMIFS(MH_LNM5___0226___SJL___MONTERO[[#All],[TOTAL HORAS RESTANTES]],MH_LNM5___0226___SJL___MONTERO[[#All],[VERSION]],"="&amp;TRIM(CLEAN('HOJAS DE HORA PROY.'!$B80)),MH_LNM5___0226___SJL___MONTERO[[#All],[ESPECIALIDAD]],"="&amp;TRIM(CLEAN('HOJAS DE HORA PROY.'!I$1)))</f>
        <v>0</v>
      </c>
      <c r="J80" s="196">
        <v>1</v>
      </c>
      <c r="K80" s="197">
        <f t="shared" si="10"/>
        <v>55</v>
      </c>
      <c r="L80" s="197"/>
      <c r="M80" s="198"/>
      <c r="N80" s="112" t="s">
        <v>366</v>
      </c>
      <c r="O80" s="270">
        <v>0</v>
      </c>
    </row>
    <row r="81" spans="1:18" ht="18" customHeight="1" thickBot="1" x14ac:dyDescent="0.45">
      <c r="A81" s="93" t="str">
        <f>'MH-LNM5 - 0226 - SJL - MONTERO'!A7</f>
        <v>LNM5 - 0226 - SJL - MONTERO RUIZ</v>
      </c>
      <c r="B81" s="261" t="s">
        <v>83</v>
      </c>
      <c r="C81" s="46">
        <f>$J81*SUMIFS(MH_LNM5___0226___SJL___MONTERO[[#All],[TOTAL HORAS RESTANTES]],MH_LNM5___0226___SJL___MONTERO[[#All],[VERSION]],"="&amp;TRIM(CLEAN('HOJAS DE HORA PROY.'!$B81)),MH_LNM5___0226___SJL___MONTERO[[#All],[ESPECIALIDAD]],"="&amp;TRIM(CLEAN('HOJAS DE HORA PROY.'!C$1)))</f>
        <v>0</v>
      </c>
      <c r="D81" s="46">
        <f>$J81*SUMIFS(MH_LNM5___0226___SJL___MONTERO[[#All],[TOTAL HORAS RESTANTES]],MH_LNM5___0226___SJL___MONTERO[[#All],[VERSION]],"="&amp;TRIM(CLEAN('HOJAS DE HORA PROY.'!$B81)),MH_LNM5___0226___SJL___MONTERO[[#All],[ESPECIALIDAD]],"="&amp;TRIM(CLEAN('HOJAS DE HORA PROY.'!D$1)))</f>
        <v>0</v>
      </c>
      <c r="E81" s="46">
        <f>$J81*SUMIFS(MH_LNM5___0226___SJL___MONTERO[[#All],[TOTAL HORAS RESTANTES]],MH_LNM5___0226___SJL___MONTERO[[#All],[VERSION]],"="&amp;TRIM(CLEAN('HOJAS DE HORA PROY.'!$B81)),MH_LNM5___0226___SJL___MONTERO[[#All],[ESPECIALIDAD]],"="&amp;TRIM(CLEAN('HOJAS DE HORA PROY.'!E$1)))</f>
        <v>0</v>
      </c>
      <c r="F81" s="46">
        <f>$J81*SUMIFS(MH_LNM5___0226___SJL___MONTERO[[#All],[TOTAL HORAS RESTANTES]],MH_LNM5___0226___SJL___MONTERO[[#All],[VERSION]],"="&amp;TRIM(CLEAN('HOJAS DE HORA PROY.'!$B81)),MH_LNM5___0226___SJL___MONTERO[[#All],[ESPECIALIDAD]],"="&amp;TRIM(CLEAN('HOJAS DE HORA PROY.'!F$1)))</f>
        <v>0</v>
      </c>
      <c r="G81" s="46">
        <f>$J81*SUMIFS(MH_LNM5___0226___SJL___MONTERO[[#All],[TOTAL HORAS RESTANTES]],MH_LNM5___0226___SJL___MONTERO[[#All],[VERSION]],"="&amp;TRIM(CLEAN('HOJAS DE HORA PROY.'!$B81)),MH_LNM5___0226___SJL___MONTERO[[#All],[ESPECIALIDAD]],"="&amp;TRIM(CLEAN('HOJAS DE HORA PROY.'!G$1)))</f>
        <v>0</v>
      </c>
      <c r="H81" s="46">
        <f>$J81*SUMIFS(MH_LNM5___0226___SJL___MONTERO[[#All],[TOTAL HORAS RESTANTES]],MH_LNM5___0226___SJL___MONTERO[[#All],[VERSION]],"="&amp;TRIM(CLEAN('HOJAS DE HORA PROY.'!$B81)),MH_LNM5___0226___SJL___MONTERO[[#All],[ESPECIALIDAD]],"="&amp;TRIM(CLEAN('HOJAS DE HORA PROY.'!H$1)))</f>
        <v>0</v>
      </c>
      <c r="I81" s="46">
        <f>$J81*SUMIFS(MH_LNM5___0226___SJL___MONTERO[[#All],[TOTAL HORAS RESTANTES]],MH_LNM5___0226___SJL___MONTERO[[#All],[VERSION]],"="&amp;TRIM(CLEAN('HOJAS DE HORA PROY.'!$B81)),MH_LNM5___0226___SJL___MONTERO[[#All],[ESPECIALIDAD]],"="&amp;TRIM(CLEAN('HOJAS DE HORA PROY.'!I$1)))</f>
        <v>0</v>
      </c>
      <c r="J81" s="199">
        <v>1</v>
      </c>
      <c r="K81" s="200">
        <f t="shared" si="10"/>
        <v>0</v>
      </c>
      <c r="L81" s="200"/>
      <c r="M81" s="215"/>
      <c r="N81" s="107" t="s">
        <v>366</v>
      </c>
      <c r="O81" s="271">
        <v>4000</v>
      </c>
    </row>
    <row r="82" spans="1:18" ht="18" customHeight="1" x14ac:dyDescent="0.4">
      <c r="A82" s="62" t="str">
        <f>'MH-LNM5 - 0226 - SJL - MONTERO '!A2</f>
        <v>ONM5 - 0226 - SJL - MONTERO RUIZ</v>
      </c>
      <c r="B82" s="230" t="s">
        <v>140</v>
      </c>
      <c r="C82" s="45">
        <f>$J82*SUMIFS(MH_LNM5___0226___SJL___MONTERO__2[[#All],[TOTAL HORAS RESTANTES]],MH_LNM5___0226___SJL___MONTERO__2[[#All],[VERSION]],"="&amp;TRIM(CLEAN('HOJAS DE HORA PROY.'!$B82)),MH_LNM5___0226___SJL___MONTERO__2[[#All],[ESPECIALIDAD]],"="&amp;TRIM(CLEAN('HOJAS DE HORA PROY.'!C$1)))</f>
        <v>0</v>
      </c>
      <c r="D82" s="45">
        <f>$J82*SUMIFS(MH_LNM5___0226___SJL___MONTERO__2[[#All],[TOTAL HORAS RESTANTES]],MH_LNM5___0226___SJL___MONTERO__2[[#All],[VERSION]],"="&amp;TRIM(CLEAN('HOJAS DE HORA PROY.'!$B82)),MH_LNM5___0226___SJL___MONTERO__2[[#All],[ESPECIALIDAD]],"="&amp;TRIM(CLEAN('HOJAS DE HORA PROY.'!D$1)))</f>
        <v>0</v>
      </c>
      <c r="E82" s="45">
        <f>$J82*SUMIFS(MH_LNM5___0226___SJL___MONTERO__2[[#All],[TOTAL HORAS RESTANTES]],MH_LNM5___0226___SJL___MONTERO__2[[#All],[VERSION]],"="&amp;TRIM(CLEAN('HOJAS DE HORA PROY.'!$B82)),MH_LNM5___0226___SJL___MONTERO__2[[#All],[ESPECIALIDAD]],"="&amp;TRIM(CLEAN('HOJAS DE HORA PROY.'!E$1)))</f>
        <v>0</v>
      </c>
      <c r="F82" s="45">
        <f>$J82*SUMIFS(MH_LNM5___0226___SJL___MONTERO__2[[#All],[TOTAL HORAS RESTANTES]],MH_LNM5___0226___SJL___MONTERO__2[[#All],[VERSION]],"="&amp;TRIM(CLEAN('HOJAS DE HORA PROY.'!$B82)),MH_LNM5___0226___SJL___MONTERO__2[[#All],[ESPECIALIDAD]],"="&amp;TRIM(CLEAN('HOJAS DE HORA PROY.'!F$1)))</f>
        <v>0</v>
      </c>
      <c r="G82" s="45">
        <f>$J82*SUMIFS(MH_LNM5___0226___SJL___MONTERO__2[[#All],[TOTAL HORAS RESTANTES]],MH_LNM5___0226___SJL___MONTERO__2[[#All],[VERSION]],"="&amp;TRIM(CLEAN('HOJAS DE HORA PROY.'!$B82)),MH_LNM5___0226___SJL___MONTERO__2[[#All],[ESPECIALIDAD]],"="&amp;TRIM(CLEAN('HOJAS DE HORA PROY.'!G$1)))</f>
        <v>0</v>
      </c>
      <c r="H82" s="45">
        <f>$J82*SUMIFS(MH_LNM5___0226___SJL___MONTERO__2[[#All],[TOTAL HORAS RESTANTES]],MH_LNM5___0226___SJL___MONTERO__2[[#All],[VERSION]],"="&amp;TRIM(CLEAN('HOJAS DE HORA PROY.'!$B82)),MH_LNM5___0226___SJL___MONTERO__2[[#All],[ESPECIALIDAD]],"="&amp;TRIM(CLEAN('HOJAS DE HORA PROY.'!H$1)))</f>
        <v>0</v>
      </c>
      <c r="I82" s="45">
        <f>$J82*SUMIFS(MH_LNM5___0226___SJL___MONTERO__2[[#All],[TOTAL HORAS RESTANTES]],MH_LNM5___0226___SJL___MONTERO__2[[#All],[VERSION]],"="&amp;TRIM(CLEAN('HOJAS DE HORA PROY.'!$B82)),MH_LNM5___0226___SJL___MONTERO__2[[#All],[ESPECIALIDAD]],"="&amp;TRIM(CLEAN('HOJAS DE HORA PROY.'!I$1)))</f>
        <v>0</v>
      </c>
      <c r="J82" s="216">
        <v>1</v>
      </c>
      <c r="K82" s="217">
        <f t="shared" ref="K82:K97" si="11">SUM(C82:I82)*J82</f>
        <v>0</v>
      </c>
      <c r="L82" s="217"/>
      <c r="M82" s="108" t="s">
        <v>40</v>
      </c>
      <c r="N82" s="103" t="s">
        <v>366</v>
      </c>
      <c r="O82" s="269">
        <v>4000</v>
      </c>
    </row>
    <row r="83" spans="1:18" ht="18" customHeight="1" x14ac:dyDescent="0.4">
      <c r="A83" s="63" t="str">
        <f>'MH-LNM5 - 0226 - SJL - MONTERO '!A3</f>
        <v>ONM5 - 0226 - SJL - MONTERO RUIZ</v>
      </c>
      <c r="B83" s="231" t="s">
        <v>65</v>
      </c>
      <c r="C83" s="47">
        <f>$J83*SUMIFS(MH_LNM5___0226___SJL___MONTERO__2[[#All],[TOTAL HORAS RESTANTES]],MH_LNM5___0226___SJL___MONTERO__2[[#All],[VERSION]],"="&amp;TRIM(CLEAN('HOJAS DE HORA PROY.'!$B83)),MH_LNM5___0226___SJL___MONTERO__2[[#All],[ESPECIALIDAD]],"="&amp;TRIM(CLEAN('HOJAS DE HORA PROY.'!C$1)))</f>
        <v>0</v>
      </c>
      <c r="D83" s="47">
        <f>$J83*SUMIFS(MH_LNM5___0226___SJL___MONTERO__2[[#All],[TOTAL HORAS RESTANTES]],MH_LNM5___0226___SJL___MONTERO__2[[#All],[VERSION]],"="&amp;TRIM(CLEAN('HOJAS DE HORA PROY.'!$B83)),MH_LNM5___0226___SJL___MONTERO__2[[#All],[ESPECIALIDAD]],"="&amp;TRIM(CLEAN('HOJAS DE HORA PROY.'!D$1)))</f>
        <v>12.5</v>
      </c>
      <c r="E83" s="47">
        <f>$J83*SUMIFS(MH_LNM5___0226___SJL___MONTERO__2[[#All],[TOTAL HORAS RESTANTES]],MH_LNM5___0226___SJL___MONTERO__2[[#All],[VERSION]],"="&amp;TRIM(CLEAN('HOJAS DE HORA PROY.'!$B83)),MH_LNM5___0226___SJL___MONTERO__2[[#All],[ESPECIALIDAD]],"="&amp;TRIM(CLEAN('HOJAS DE HORA PROY.'!E$1)))</f>
        <v>0</v>
      </c>
      <c r="F83" s="47">
        <f>$J83*SUMIFS(MH_LNM5___0226___SJL___MONTERO__2[[#All],[TOTAL HORAS RESTANTES]],MH_LNM5___0226___SJL___MONTERO__2[[#All],[VERSION]],"="&amp;TRIM(CLEAN('HOJAS DE HORA PROY.'!$B83)),MH_LNM5___0226___SJL___MONTERO__2[[#All],[ESPECIALIDAD]],"="&amp;TRIM(CLEAN('HOJAS DE HORA PROY.'!F$1)))</f>
        <v>0.5</v>
      </c>
      <c r="G83" s="47">
        <f>$J83*SUMIFS(MH_LNM5___0226___SJL___MONTERO__2[[#All],[TOTAL HORAS RESTANTES]],MH_LNM5___0226___SJL___MONTERO__2[[#All],[VERSION]],"="&amp;TRIM(CLEAN('HOJAS DE HORA PROY.'!$B83)),MH_LNM5___0226___SJL___MONTERO__2[[#All],[ESPECIALIDAD]],"="&amp;TRIM(CLEAN('HOJAS DE HORA PROY.'!G$1)))</f>
        <v>0</v>
      </c>
      <c r="H83" s="47">
        <f>$J83*SUMIFS(MH_LNM5___0226___SJL___MONTERO__2[[#All],[TOTAL HORAS RESTANTES]],MH_LNM5___0226___SJL___MONTERO__2[[#All],[VERSION]],"="&amp;TRIM(CLEAN('HOJAS DE HORA PROY.'!$B83)),MH_LNM5___0226___SJL___MONTERO__2[[#All],[ESPECIALIDAD]],"="&amp;TRIM(CLEAN('HOJAS DE HORA PROY.'!H$1)))</f>
        <v>0</v>
      </c>
      <c r="I83" s="47">
        <f>$J83*SUMIFS(MH_LNM5___0226___SJL___MONTERO__2[[#All],[TOTAL HORAS RESTANTES]],MH_LNM5___0226___SJL___MONTERO__2[[#All],[VERSION]],"="&amp;TRIM(CLEAN('HOJAS DE HORA PROY.'!$B83)),MH_LNM5___0226___SJL___MONTERO__2[[#All],[ESPECIALIDAD]],"="&amp;TRIM(CLEAN('HOJAS DE HORA PROY.'!I$1)))</f>
        <v>0</v>
      </c>
      <c r="J83" s="218">
        <v>1</v>
      </c>
      <c r="K83" s="219">
        <f t="shared" si="11"/>
        <v>13</v>
      </c>
      <c r="L83" s="219"/>
      <c r="M83" s="111"/>
      <c r="N83" s="112" t="s">
        <v>366</v>
      </c>
      <c r="O83" s="270">
        <v>0</v>
      </c>
    </row>
    <row r="84" spans="1:18" ht="18" customHeight="1" thickBot="1" x14ac:dyDescent="0.45">
      <c r="A84" s="64" t="str">
        <f>'MH-LNM5 - 0226 - SJL - MONTERO '!A4</f>
        <v>ONM5 - 0226 - SJL - MONTERO RUIZ</v>
      </c>
      <c r="B84" s="232" t="s">
        <v>66</v>
      </c>
      <c r="C84" s="46">
        <f>$J84*SUMIFS(MH_LNM5___0226___SJL___MONTERO__2[[#All],[TOTAL HORAS RESTANTES]],MH_LNM5___0226___SJL___MONTERO__2[[#All],[VERSION]],"="&amp;TRIM(CLEAN('HOJAS DE HORA PROY.'!$B84)),MH_LNM5___0226___SJL___MONTERO__2[[#All],[ESPECIALIDAD]],"="&amp;TRIM(CLEAN('HOJAS DE HORA PROY.'!C$1)))</f>
        <v>0</v>
      </c>
      <c r="D84" s="46">
        <f>$J84*SUMIFS(MH_LNM5___0226___SJL___MONTERO__2[[#All],[TOTAL HORAS RESTANTES]],MH_LNM5___0226___SJL___MONTERO__2[[#All],[VERSION]],"="&amp;TRIM(CLEAN('HOJAS DE HORA PROY.'!$B84)),MH_LNM5___0226___SJL___MONTERO__2[[#All],[ESPECIALIDAD]],"="&amp;TRIM(CLEAN('HOJAS DE HORA PROY.'!D$1)))</f>
        <v>35</v>
      </c>
      <c r="E84" s="46">
        <f>$J84*SUMIFS(MH_LNM5___0226___SJL___MONTERO__2[[#All],[TOTAL HORAS RESTANTES]],MH_LNM5___0226___SJL___MONTERO__2[[#All],[VERSION]],"="&amp;TRIM(CLEAN('HOJAS DE HORA PROY.'!$B84)),MH_LNM5___0226___SJL___MONTERO__2[[#All],[ESPECIALIDAD]],"="&amp;TRIM(CLEAN('HOJAS DE HORA PROY.'!E$1)))</f>
        <v>0</v>
      </c>
      <c r="F84" s="46">
        <f>$J84*SUMIFS(MH_LNM5___0226___SJL___MONTERO__2[[#All],[TOTAL HORAS RESTANTES]],MH_LNM5___0226___SJL___MONTERO__2[[#All],[VERSION]],"="&amp;TRIM(CLEAN('HOJAS DE HORA PROY.'!$B84)),MH_LNM5___0226___SJL___MONTERO__2[[#All],[ESPECIALIDAD]],"="&amp;TRIM(CLEAN('HOJAS DE HORA PROY.'!F$1)))</f>
        <v>13</v>
      </c>
      <c r="G84" s="46">
        <f>$J84*SUMIFS(MH_LNM5___0226___SJL___MONTERO__2[[#All],[TOTAL HORAS RESTANTES]],MH_LNM5___0226___SJL___MONTERO__2[[#All],[VERSION]],"="&amp;TRIM(CLEAN('HOJAS DE HORA PROY.'!$B84)),MH_LNM5___0226___SJL___MONTERO__2[[#All],[ESPECIALIDAD]],"="&amp;TRIM(CLEAN('HOJAS DE HORA PROY.'!G$1)))</f>
        <v>28</v>
      </c>
      <c r="H84" s="46">
        <f>$J84*SUMIFS(MH_LNM5___0226___SJL___MONTERO__2[[#All],[TOTAL HORAS RESTANTES]],MH_LNM5___0226___SJL___MONTERO__2[[#All],[VERSION]],"="&amp;TRIM(CLEAN('HOJAS DE HORA PROY.'!$B84)),MH_LNM5___0226___SJL___MONTERO__2[[#All],[ESPECIALIDAD]],"="&amp;TRIM(CLEAN('HOJAS DE HORA PROY.'!H$1)))</f>
        <v>7</v>
      </c>
      <c r="I84" s="46">
        <f>$J84*SUMIFS(MH_LNM5___0226___SJL___MONTERO__2[[#All],[TOTAL HORAS RESTANTES]],MH_LNM5___0226___SJL___MONTERO__2[[#All],[VERSION]],"="&amp;TRIM(CLEAN('HOJAS DE HORA PROY.'!$B84)),MH_LNM5___0226___SJL___MONTERO__2[[#All],[ESPECIALIDAD]],"="&amp;TRIM(CLEAN('HOJAS DE HORA PROY.'!I$1)))</f>
        <v>0</v>
      </c>
      <c r="J84" s="220">
        <v>1</v>
      </c>
      <c r="K84" s="221">
        <f t="shared" si="11"/>
        <v>83</v>
      </c>
      <c r="L84" s="221"/>
      <c r="M84" s="115"/>
      <c r="N84" s="107" t="s">
        <v>366</v>
      </c>
      <c r="O84" s="271">
        <v>0</v>
      </c>
    </row>
    <row r="85" spans="1:18" ht="18" customHeight="1" x14ac:dyDescent="0.4">
      <c r="A85" s="85" t="s">
        <v>520</v>
      </c>
      <c r="B85" s="253" t="s">
        <v>140</v>
      </c>
      <c r="C85" s="45">
        <f>$J85*SUMIFS(MH_DF___0226___Surquillo_Mirtha__2[[#All],[TOTAL HORAS RESTANTES]],MH_DF___0226___Surquillo_Mirtha__2[[#All],[VERSION]],"="&amp;TRIM(CLEAN('HOJAS DE HORA PROY.'!$B85)),MH_DF___0226___Surquillo_Mirtha__2[[#All],[ESPECIALIDAD]],"="&amp;TRIM(CLEAN('HOJAS DE HORA PROY.'!C$1)))</f>
        <v>0</v>
      </c>
      <c r="D85" s="45">
        <f>$J85*SUMIFS(MH_DF___0226___Surquillo_Mirtha__2[[#All],[TOTAL HORAS RESTANTES]],MH_DF___0226___Surquillo_Mirtha__2[[#All],[VERSION]],"="&amp;TRIM(CLEAN('HOJAS DE HORA PROY.'!$B85)),MH_DF___0226___Surquillo_Mirtha__2[[#All],[ESPECIALIDAD]],"="&amp;TRIM(CLEAN('HOJAS DE HORA PROY.'!D$1)))</f>
        <v>0</v>
      </c>
      <c r="E85" s="45">
        <f>$J85*SUMIFS(MH_DF___0226___Surquillo_Mirtha__2[[#All],[TOTAL HORAS RESTANTES]],MH_DF___0226___Surquillo_Mirtha__2[[#All],[VERSION]],"="&amp;TRIM(CLEAN('HOJAS DE HORA PROY.'!$B85)),MH_DF___0226___Surquillo_Mirtha__2[[#All],[ESPECIALIDAD]],"="&amp;TRIM(CLEAN('HOJAS DE HORA PROY.'!E$1)))</f>
        <v>0</v>
      </c>
      <c r="F85" s="45">
        <f>$J85*SUMIFS(MH_DF___0226___Surquillo_Mirtha__2[[#All],[TOTAL HORAS RESTANTES]],MH_DF___0226___Surquillo_Mirtha__2[[#All],[VERSION]],"="&amp;TRIM(CLEAN('HOJAS DE HORA PROY.'!$B85)),MH_DF___0226___Surquillo_Mirtha__2[[#All],[ESPECIALIDAD]],"="&amp;TRIM(CLEAN('HOJAS DE HORA PROY.'!F$1)))</f>
        <v>0</v>
      </c>
      <c r="G85" s="45">
        <f>$J85*SUMIFS(MH_DF___0226___Surquillo_Mirtha__2[[#All],[TOTAL HORAS RESTANTES]],MH_DF___0226___Surquillo_Mirtha__2[[#All],[VERSION]],"="&amp;TRIM(CLEAN('HOJAS DE HORA PROY.'!$B85)),MH_DF___0226___Surquillo_Mirtha__2[[#All],[ESPECIALIDAD]],"="&amp;TRIM(CLEAN('HOJAS DE HORA PROY.'!G$1)))</f>
        <v>0</v>
      </c>
      <c r="H85" s="45">
        <f>$J85*SUMIFS(MH_DF___0226___Surquillo_Mirtha__2[[#All],[TOTAL HORAS RESTANTES]],MH_DF___0226___Surquillo_Mirtha__2[[#All],[VERSION]],"="&amp;TRIM(CLEAN('HOJAS DE HORA PROY.'!$B85)),MH_DF___0226___Surquillo_Mirtha__2[[#All],[ESPECIALIDAD]],"="&amp;TRIM(CLEAN('HOJAS DE HORA PROY.'!H$1)))</f>
        <v>0</v>
      </c>
      <c r="I85" s="45">
        <f>$J85*SUMIFS(MH_DF___0226___Surquillo_Mirtha__2[[#All],[TOTAL HORAS RESTANTES]],MH_DF___0226___Surquillo_Mirtha__2[[#All],[VERSION]],"="&amp;TRIM(CLEAN('HOJAS DE HORA PROY.'!$B85)),MH_DF___0226___Surquillo_Mirtha__2[[#All],[ESPECIALIDAD]],"="&amp;TRIM(CLEAN('HOJAS DE HORA PROY.'!I$1)))</f>
        <v>0</v>
      </c>
      <c r="J85" s="178">
        <v>1</v>
      </c>
      <c r="K85" s="179">
        <f t="shared" si="11"/>
        <v>0</v>
      </c>
      <c r="L85" s="179"/>
      <c r="M85" s="209"/>
      <c r="N85" s="103" t="s">
        <v>331</v>
      </c>
      <c r="O85" s="270">
        <v>0</v>
      </c>
    </row>
    <row r="86" spans="1:18" ht="18" customHeight="1" x14ac:dyDescent="0.4">
      <c r="A86" s="86" t="s">
        <v>520</v>
      </c>
      <c r="B86" s="254" t="s">
        <v>496</v>
      </c>
      <c r="C86" s="47">
        <f>$J86*SUMIFS(MH_DF___0226___Surquillo_Mirtha__2[[#All],[TOTAL HORAS RESTANTES]],MH_DF___0226___Surquillo_Mirtha__2[[#All],[VERSION]],"="&amp;TRIM(CLEAN('HOJAS DE HORA PROY.'!$B86)),MH_DF___0226___Surquillo_Mirtha__2[[#All],[ESPECIALIDAD]],"="&amp;TRIM(CLEAN('HOJAS DE HORA PROY.'!C$1)))</f>
        <v>17</v>
      </c>
      <c r="D86" s="47">
        <f>$J86*SUMIFS(MH_DF___0226___Surquillo_Mirtha__2[[#All],[TOTAL HORAS RESTANTES]],MH_DF___0226___Surquillo_Mirtha__2[[#All],[VERSION]],"="&amp;TRIM(CLEAN('HOJAS DE HORA PROY.'!$B86)),MH_DF___0226___Surquillo_Mirtha__2[[#All],[ESPECIALIDAD]],"="&amp;TRIM(CLEAN('HOJAS DE HORA PROY.'!D$1)))</f>
        <v>0</v>
      </c>
      <c r="E86" s="47">
        <f>$J86*SUMIFS(MH_DF___0226___Surquillo_Mirtha__2[[#All],[TOTAL HORAS RESTANTES]],MH_DF___0226___Surquillo_Mirtha__2[[#All],[VERSION]],"="&amp;TRIM(CLEAN('HOJAS DE HORA PROY.'!$B86)),MH_DF___0226___Surquillo_Mirtha__2[[#All],[ESPECIALIDAD]],"="&amp;TRIM(CLEAN('HOJAS DE HORA PROY.'!E$1)))</f>
        <v>0</v>
      </c>
      <c r="F86" s="47">
        <f>$J86*SUMIFS(MH_DF___0226___Surquillo_Mirtha__2[[#All],[TOTAL HORAS RESTANTES]],MH_DF___0226___Surquillo_Mirtha__2[[#All],[VERSION]],"="&amp;TRIM(CLEAN('HOJAS DE HORA PROY.'!$B86)),MH_DF___0226___Surquillo_Mirtha__2[[#All],[ESPECIALIDAD]],"="&amp;TRIM(CLEAN('HOJAS DE HORA PROY.'!F$1)))</f>
        <v>0</v>
      </c>
      <c r="G86" s="47">
        <f>$J86*SUMIFS(MH_DF___0226___Surquillo_Mirtha__2[[#All],[TOTAL HORAS RESTANTES]],MH_DF___0226___Surquillo_Mirtha__2[[#All],[VERSION]],"="&amp;TRIM(CLEAN('HOJAS DE HORA PROY.'!$B86)),MH_DF___0226___Surquillo_Mirtha__2[[#All],[ESPECIALIDAD]],"="&amp;TRIM(CLEAN('HOJAS DE HORA PROY.'!G$1)))</f>
        <v>0</v>
      </c>
      <c r="H86" s="47">
        <f>$J86*SUMIFS(MH_DF___0226___Surquillo_Mirtha__2[[#All],[TOTAL HORAS RESTANTES]],MH_DF___0226___Surquillo_Mirtha__2[[#All],[VERSION]],"="&amp;TRIM(CLEAN('HOJAS DE HORA PROY.'!$B86)),MH_DF___0226___Surquillo_Mirtha__2[[#All],[ESPECIALIDAD]],"="&amp;TRIM(CLEAN('HOJAS DE HORA PROY.'!H$1)))</f>
        <v>0</v>
      </c>
      <c r="I86" s="47">
        <f>$J86*SUMIFS(MH_DF___0226___Surquillo_Mirtha__2[[#All],[TOTAL HORAS RESTANTES]],MH_DF___0226___Surquillo_Mirtha__2[[#All],[VERSION]],"="&amp;TRIM(CLEAN('HOJAS DE HORA PROY.'!$B86)),MH_DF___0226___Surquillo_Mirtha__2[[#All],[ESPECIALIDAD]],"="&amp;TRIM(CLEAN('HOJAS DE HORA PROY.'!I$1)))</f>
        <v>0</v>
      </c>
      <c r="J86" s="180">
        <v>1</v>
      </c>
      <c r="K86" s="181">
        <f t="shared" si="11"/>
        <v>17</v>
      </c>
      <c r="L86" s="181"/>
      <c r="M86" s="210" t="s">
        <v>38</v>
      </c>
      <c r="N86" s="112" t="s">
        <v>331</v>
      </c>
      <c r="O86" s="270">
        <v>0</v>
      </c>
    </row>
    <row r="87" spans="1:18" ht="18" customHeight="1" thickBot="1" x14ac:dyDescent="0.45">
      <c r="A87" s="87" t="s">
        <v>520</v>
      </c>
      <c r="B87" s="255" t="s">
        <v>170</v>
      </c>
      <c r="C87" s="46">
        <f>$J87*SUMIFS(MH_DF___0226___Surquillo_Mirtha__2[[#All],[TOTAL HORAS RESTANTES]],MH_DF___0226___Surquillo_Mirtha__2[[#All],[VERSION]],"="&amp;TRIM(CLEAN('HOJAS DE HORA PROY.'!$B87)),MH_DF___0226___Surquillo_Mirtha__2[[#All],[ESPECIALIDAD]],"="&amp;TRIM(CLEAN('HOJAS DE HORA PROY.'!C$1)))</f>
        <v>0</v>
      </c>
      <c r="D87" s="46">
        <f>$J87*SUMIFS(MH_DF___0226___Surquillo_Mirtha__2[[#All],[TOTAL HORAS RESTANTES]],MH_DF___0226___Surquillo_Mirtha__2[[#All],[VERSION]],"="&amp;TRIM(CLEAN('HOJAS DE HORA PROY.'!$B87)),MH_DF___0226___Surquillo_Mirtha__2[[#All],[ESPECIALIDAD]],"="&amp;TRIM(CLEAN('HOJAS DE HORA PROY.'!D$1)))</f>
        <v>0</v>
      </c>
      <c r="E87" s="46">
        <f>$J87*SUMIFS(MH_DF___0226___Surquillo_Mirtha__2[[#All],[TOTAL HORAS RESTANTES]],MH_DF___0226___Surquillo_Mirtha__2[[#All],[VERSION]],"="&amp;TRIM(CLEAN('HOJAS DE HORA PROY.'!$B87)),MH_DF___0226___Surquillo_Mirtha__2[[#All],[ESPECIALIDAD]],"="&amp;TRIM(CLEAN('HOJAS DE HORA PROY.'!E$1)))</f>
        <v>0</v>
      </c>
      <c r="F87" s="46">
        <f>$J87*SUMIFS(MH_DF___0226___Surquillo_Mirtha__2[[#All],[TOTAL HORAS RESTANTES]],MH_DF___0226___Surquillo_Mirtha__2[[#All],[VERSION]],"="&amp;TRIM(CLEAN('HOJAS DE HORA PROY.'!$B87)),MH_DF___0226___Surquillo_Mirtha__2[[#All],[ESPECIALIDAD]],"="&amp;TRIM(CLEAN('HOJAS DE HORA PROY.'!F$1)))</f>
        <v>0</v>
      </c>
      <c r="G87" s="46">
        <f>$J87*SUMIFS(MH_DF___0226___Surquillo_Mirtha__2[[#All],[TOTAL HORAS RESTANTES]],MH_DF___0226___Surquillo_Mirtha__2[[#All],[VERSION]],"="&amp;TRIM(CLEAN('HOJAS DE HORA PROY.'!$B87)),MH_DF___0226___Surquillo_Mirtha__2[[#All],[ESPECIALIDAD]],"="&amp;TRIM(CLEAN('HOJAS DE HORA PROY.'!G$1)))</f>
        <v>0</v>
      </c>
      <c r="H87" s="46">
        <f>$J87*SUMIFS(MH_DF___0226___Surquillo_Mirtha__2[[#All],[TOTAL HORAS RESTANTES]],MH_DF___0226___Surquillo_Mirtha__2[[#All],[VERSION]],"="&amp;TRIM(CLEAN('HOJAS DE HORA PROY.'!$B87)),MH_DF___0226___Surquillo_Mirtha__2[[#All],[ESPECIALIDAD]],"="&amp;TRIM(CLEAN('HOJAS DE HORA PROY.'!H$1)))</f>
        <v>0</v>
      </c>
      <c r="I87" s="46">
        <f>$J87*SUMIFS(MH_DF___0226___Surquillo_Mirtha__2[[#All],[TOTAL HORAS RESTANTES]],MH_DF___0226___Surquillo_Mirtha__2[[#All],[VERSION]],"="&amp;TRIM(CLEAN('HOJAS DE HORA PROY.'!$B87)),MH_DF___0226___Surquillo_Mirtha__2[[#All],[ESPECIALIDAD]],"="&amp;TRIM(CLEAN('HOJAS DE HORA PROY.'!I$1)))</f>
        <v>0</v>
      </c>
      <c r="J87" s="183">
        <v>1</v>
      </c>
      <c r="K87" s="184">
        <f t="shared" si="11"/>
        <v>0</v>
      </c>
      <c r="L87" s="184"/>
      <c r="M87" s="222" t="s">
        <v>39</v>
      </c>
      <c r="N87" s="107" t="s">
        <v>331</v>
      </c>
      <c r="O87" s="271">
        <v>1000</v>
      </c>
    </row>
    <row r="88" spans="1:18" ht="18" customHeight="1" x14ac:dyDescent="0.4">
      <c r="A88" s="78" t="s">
        <v>525</v>
      </c>
      <c r="B88" s="246" t="s">
        <v>140</v>
      </c>
      <c r="C88" s="47">
        <f>$J88*SUMIFS(LNX2___0226__San_Borja_ENCISO[[#All],[HORAS ADICIONALES]],LNX2___0226__San_Borja_ENCISO[[#All],[PARTIDA]],"="&amp;TRIM(CLEAN('HOJAS DE HORA PROY.'!$B88)),LNX2___0226__San_Borja_ENCISO[[#All],[TIPO DE EXPEDIENTE]],"="&amp;TRIM(CLEAN('HOJAS DE HORA PROY.'!C$1)))</f>
        <v>0</v>
      </c>
      <c r="D88" s="47">
        <f>$J88*SUMIFS(LNX2___0226__San_Borja_ENCISO[[#All],[TOTAL HORAS RESTANTES]],LNX2___0226__San_Borja_ENCISO[[#All],[VERSION]],"="&amp;TRIM(CLEAN('HOJAS DE HORA PROY.'!$B88)),LNX2___0226__San_Borja_ENCISO[[#All],[ESPECIALIDAD]],"="&amp;TRIM(CLEAN('HOJAS DE HORA PROY.'!D$1)))</f>
        <v>0</v>
      </c>
      <c r="E88" s="47">
        <f>$J88*SUMIFS(LNX2___0226__San_Borja_ENCISO[[#All],[Column11]],LNX2___0226__San_Borja_ENCISO[[#All],[HORAS CALENDARIO TECNICOS LABORADOS PARA PERSONA CON RENDIMIENTO AL 100%]],"="&amp;TRIM(CLEAN('HOJAS DE HORA PROY.'!$B88)),LNX2___0226__San_Borja_ENCISO[[#All],[PARTIDA]],"="&amp;TRIM(CLEAN('HOJAS DE HORA PROY.'!E$1)))</f>
        <v>0</v>
      </c>
      <c r="F88" s="47">
        <f>$J88*SUMIFS(LNX2___0226__San_Borja_ENCISO[[#All],[NOMBRE DE PROYECTO]],LNX2___0226__San_Borja_ENCISO[[#All],[HORAS CALENDARIO EN REUNIONES CON CLIENTES PARA PERSONA CON RENDIMIENTO AL 100%]],"="&amp;TRIM(CLEAN('HOJAS DE HORA PROY.'!$B88)),LNX2___0226__San_Borja_ENCISO[[#All],[VERSION]],"="&amp;TRIM(CLEAN('HOJAS DE HORA PROY.'!F$1)))</f>
        <v>0</v>
      </c>
      <c r="G88" s="47">
        <f>$J88*SUMIFS(LNX2___0226__San_Borja_ENCISO[[#All],[TIPO DE EXPEDIENTE]],LNX2___0226__San_Borja_ENCISO[[#All],[TOTAL]],"="&amp;TRIM(CLEAN('HOJAS DE HORA PROY.'!$B88)),LNX2___0226__San_Borja_ENCISO[[#All],[HORAS CALENDARIO TECNICOS LABORADOS PARA PERSONA CON RENDIMIENTO AL 100%]],"="&amp;TRIM(CLEAN('HOJAS DE HORA PROY.'!G$1)))</f>
        <v>0</v>
      </c>
      <c r="H88" s="47">
        <f>$J88*SUMIFS(LNX2___0226__San_Borja_ENCISO[[#All],[ESPECIALIDAD]],LNX2___0226__San_Borja_ENCISO[[#All],[HORAS ADICIONALES]],"="&amp;TRIM(CLEAN('HOJAS DE HORA PROY.'!$B88)),LNX2___0226__San_Borja_ENCISO[[#All],[HORAS CALENDARIO EN REUNIONES CON CLIENTES PARA PERSONA CON RENDIMIENTO AL 100%]],"="&amp;TRIM(CLEAN('HOJAS DE HORA PROY.'!H$1)))</f>
        <v>0</v>
      </c>
      <c r="I88" s="47">
        <f>$J88*SUMIFS(LNX2___0226__San_Borja_ENCISO[[#All],[PARTIDA]],LNX2___0226__San_Borja_ENCISO[[#All],[TOTAL HORAS RESTANTES]],"="&amp;TRIM(CLEAN('HOJAS DE HORA PROY.'!$B88)),LNX2___0226__San_Borja_ENCISO[[#All],[TOTAL]],"="&amp;TRIM(CLEAN('HOJAS DE HORA PROY.'!I$1)))</f>
        <v>0</v>
      </c>
      <c r="J88" s="157">
        <v>1</v>
      </c>
      <c r="K88" s="158">
        <f t="shared" si="11"/>
        <v>0</v>
      </c>
      <c r="L88" s="158"/>
      <c r="M88" s="223"/>
      <c r="N88" s="103" t="s">
        <v>366</v>
      </c>
      <c r="O88" s="269">
        <v>0</v>
      </c>
    </row>
    <row r="89" spans="1:18" ht="18" customHeight="1" x14ac:dyDescent="0.4">
      <c r="A89" s="79" t="s">
        <v>525</v>
      </c>
      <c r="B89" s="247" t="s">
        <v>65</v>
      </c>
      <c r="C89" s="47">
        <f>$J89*SUMIFS(LNX2___0226__San_Borja_ENCISO[[#All],[HORAS ADICIONALES]],LNX2___0226__San_Borja_ENCISO[[#All],[PARTIDA]],"="&amp;TRIM(CLEAN('HOJAS DE HORA PROY.'!$B89)),LNX2___0226__San_Borja_ENCISO[[#All],[TIPO DE EXPEDIENTE]],"="&amp;TRIM(CLEAN('HOJAS DE HORA PROY.'!C$1)))</f>
        <v>0</v>
      </c>
      <c r="D89" s="47">
        <f>$J89*SUMIFS(LNX2___0226__San_Borja_ENCISO[[#All],[TOTAL HORAS RESTANTES]],LNX2___0226__San_Borja_ENCISO[[#All],[VERSION]],"="&amp;TRIM(CLEAN('HOJAS DE HORA PROY.'!$B89)),LNX2___0226__San_Borja_ENCISO[[#All],[ESPECIALIDAD]],"="&amp;TRIM(CLEAN('HOJAS DE HORA PROY.'!D$1)))</f>
        <v>0</v>
      </c>
      <c r="E89" s="47">
        <f>$J89*SUMIFS(LNX2___0226__San_Borja_ENCISO[[#All],[Column11]],LNX2___0226__San_Borja_ENCISO[[#All],[HORAS CALENDARIO TECNICOS LABORADOS PARA PERSONA CON RENDIMIENTO AL 100%]],"="&amp;TRIM(CLEAN('HOJAS DE HORA PROY.'!$B89)),LNX2___0226__San_Borja_ENCISO[[#All],[PARTIDA]],"="&amp;TRIM(CLEAN('HOJAS DE HORA PROY.'!E$1)))</f>
        <v>0</v>
      </c>
      <c r="F89" s="47">
        <f>$J89*SUMIFS(LNX2___0226__San_Borja_ENCISO[[#All],[NOMBRE DE PROYECTO]],LNX2___0226__San_Borja_ENCISO[[#All],[HORAS CALENDARIO EN REUNIONES CON CLIENTES PARA PERSONA CON RENDIMIENTO AL 100%]],"="&amp;TRIM(CLEAN('HOJAS DE HORA PROY.'!$B89)),LNX2___0226__San_Borja_ENCISO[[#All],[VERSION]],"="&amp;TRIM(CLEAN('HOJAS DE HORA PROY.'!F$1)))</f>
        <v>0</v>
      </c>
      <c r="G89" s="47">
        <f>$J89*SUMIFS(LNX2___0226__San_Borja_ENCISO[[#All],[TIPO DE EXPEDIENTE]],LNX2___0226__San_Borja_ENCISO[[#All],[TOTAL]],"="&amp;TRIM(CLEAN('HOJAS DE HORA PROY.'!$B89)),LNX2___0226__San_Borja_ENCISO[[#All],[HORAS CALENDARIO TECNICOS LABORADOS PARA PERSONA CON RENDIMIENTO AL 100%]],"="&amp;TRIM(CLEAN('HOJAS DE HORA PROY.'!G$1)))</f>
        <v>0</v>
      </c>
      <c r="H89" s="47">
        <f>$J89*SUMIFS(LNX2___0226__San_Borja_ENCISO[[#All],[ESPECIALIDAD]],LNX2___0226__San_Borja_ENCISO[[#All],[HORAS ADICIONALES]],"="&amp;TRIM(CLEAN('HOJAS DE HORA PROY.'!$B89)),LNX2___0226__San_Borja_ENCISO[[#All],[HORAS CALENDARIO EN REUNIONES CON CLIENTES PARA PERSONA CON RENDIMIENTO AL 100%]],"="&amp;TRIM(CLEAN('HOJAS DE HORA PROY.'!H$1)))</f>
        <v>0</v>
      </c>
      <c r="I89" s="47">
        <f>$J89*SUMIFS(LNX2___0226__San_Borja_ENCISO[[#All],[PARTIDA]],LNX2___0226__San_Borja_ENCISO[[#All],[TOTAL HORAS RESTANTES]],"="&amp;TRIM(CLEAN('HOJAS DE HORA PROY.'!$B89)),LNX2___0226__San_Borja_ENCISO[[#All],[TOTAL]],"="&amp;TRIM(CLEAN('HOJAS DE HORA PROY.'!I$1)))</f>
        <v>0</v>
      </c>
      <c r="J89" s="160">
        <v>1</v>
      </c>
      <c r="K89" s="161">
        <f t="shared" si="11"/>
        <v>0</v>
      </c>
      <c r="L89" s="161"/>
      <c r="M89" s="224"/>
      <c r="N89" s="112" t="s">
        <v>366</v>
      </c>
      <c r="O89" s="270">
        <v>0</v>
      </c>
    </row>
    <row r="90" spans="1:18" ht="18" customHeight="1" x14ac:dyDescent="0.4">
      <c r="A90" s="79" t="s">
        <v>525</v>
      </c>
      <c r="B90" s="247" t="s">
        <v>81</v>
      </c>
      <c r="C90" s="47">
        <f>$J90*SUMIFS(LNX2___0226__San_Borja_ENCISO[[#All],[HORAS ADICIONALES]],LNX2___0226__San_Borja_ENCISO[[#All],[PARTIDA]],"="&amp;TRIM(CLEAN('HOJAS DE HORA PROY.'!$B90)),LNX2___0226__San_Borja_ENCISO[[#All],[TIPO DE EXPEDIENTE]],"="&amp;TRIM(CLEAN('HOJAS DE HORA PROY.'!C$1)))</f>
        <v>0</v>
      </c>
      <c r="D90" s="47">
        <f>$J90*SUMIFS(LNX2___0226__San_Borja_ENCISO[[#All],[TOTAL HORAS RESTANTES]],LNX2___0226__San_Borja_ENCISO[[#All],[VERSION]],"="&amp;TRIM(CLEAN('HOJAS DE HORA PROY.'!$B90)),LNX2___0226__San_Borja_ENCISO[[#All],[ESPECIALIDAD]],"="&amp;TRIM(CLEAN('HOJAS DE HORA PROY.'!D$1)))</f>
        <v>0</v>
      </c>
      <c r="E90" s="47">
        <f>$J90*SUMIFS(LNX2___0226__San_Borja_ENCISO[[#All],[Column11]],LNX2___0226__San_Borja_ENCISO[[#All],[HORAS CALENDARIO TECNICOS LABORADOS PARA PERSONA CON RENDIMIENTO AL 100%]],"="&amp;TRIM(CLEAN('HOJAS DE HORA PROY.'!$B90)),LNX2___0226__San_Borja_ENCISO[[#All],[PARTIDA]],"="&amp;TRIM(CLEAN('HOJAS DE HORA PROY.'!E$1)))</f>
        <v>0</v>
      </c>
      <c r="F90" s="47">
        <f>$J90*SUMIFS(LNX2___0226__San_Borja_ENCISO[[#All],[NOMBRE DE PROYECTO]],LNX2___0226__San_Borja_ENCISO[[#All],[HORAS CALENDARIO EN REUNIONES CON CLIENTES PARA PERSONA CON RENDIMIENTO AL 100%]],"="&amp;TRIM(CLEAN('HOJAS DE HORA PROY.'!$B90)),LNX2___0226__San_Borja_ENCISO[[#All],[VERSION]],"="&amp;TRIM(CLEAN('HOJAS DE HORA PROY.'!F$1)))</f>
        <v>0</v>
      </c>
      <c r="G90" s="47">
        <f>$J90*SUMIFS(LNX2___0226__San_Borja_ENCISO[[#All],[TIPO DE EXPEDIENTE]],LNX2___0226__San_Borja_ENCISO[[#All],[TOTAL]],"="&amp;TRIM(CLEAN('HOJAS DE HORA PROY.'!$B90)),LNX2___0226__San_Borja_ENCISO[[#All],[HORAS CALENDARIO TECNICOS LABORADOS PARA PERSONA CON RENDIMIENTO AL 100%]],"="&amp;TRIM(CLEAN('HOJAS DE HORA PROY.'!G$1)))</f>
        <v>0</v>
      </c>
      <c r="H90" s="47">
        <f>$J90*SUMIFS(LNX2___0226__San_Borja_ENCISO[[#All],[ESPECIALIDAD]],LNX2___0226__San_Borja_ENCISO[[#All],[HORAS ADICIONALES]],"="&amp;TRIM(CLEAN('HOJAS DE HORA PROY.'!$B90)),LNX2___0226__San_Borja_ENCISO[[#All],[HORAS CALENDARIO EN REUNIONES CON CLIENTES PARA PERSONA CON RENDIMIENTO AL 100%]],"="&amp;TRIM(CLEAN('HOJAS DE HORA PROY.'!H$1)))</f>
        <v>0</v>
      </c>
      <c r="I90" s="47">
        <f>$J90*SUMIFS(LNX2___0226__San_Borja_ENCISO[[#All],[PARTIDA]],LNX2___0226__San_Borja_ENCISO[[#All],[TOTAL HORAS RESTANTES]],"="&amp;TRIM(CLEAN('HOJAS DE HORA PROY.'!$B90)),LNX2___0226__San_Borja_ENCISO[[#All],[TOTAL]],"="&amp;TRIM(CLEAN('HOJAS DE HORA PROY.'!I$1)))</f>
        <v>0</v>
      </c>
      <c r="J90" s="160">
        <v>0.5</v>
      </c>
      <c r="K90" s="161">
        <f t="shared" si="11"/>
        <v>0</v>
      </c>
      <c r="L90" s="161"/>
      <c r="M90" s="224"/>
      <c r="N90" s="112" t="s">
        <v>366</v>
      </c>
      <c r="O90" s="270">
        <v>0</v>
      </c>
    </row>
    <row r="91" spans="1:18" ht="18" customHeight="1" x14ac:dyDescent="0.4">
      <c r="A91" s="79" t="s">
        <v>525</v>
      </c>
      <c r="B91" s="247" t="s">
        <v>81</v>
      </c>
      <c r="C91" s="47">
        <f>$J91*SUMIFS(LNX2___0226__San_Borja_ENCISO[[#All],[HORAS ADICIONALES]],LNX2___0226__San_Borja_ENCISO[[#All],[PARTIDA]],"="&amp;TRIM(CLEAN('HOJAS DE HORA PROY.'!$B91)),LNX2___0226__San_Borja_ENCISO[[#All],[TIPO DE EXPEDIENTE]],"="&amp;TRIM(CLEAN('HOJAS DE HORA PROY.'!C$1)))</f>
        <v>0</v>
      </c>
      <c r="D91" s="47">
        <f>$J91*SUMIFS(LNX2___0226__San_Borja_ENCISO[[#All],[TOTAL HORAS RESTANTES]],LNX2___0226__San_Borja_ENCISO[[#All],[VERSION]],"="&amp;TRIM(CLEAN('HOJAS DE HORA PROY.'!$B91)),LNX2___0226__San_Borja_ENCISO[[#All],[ESPECIALIDAD]],"="&amp;TRIM(CLEAN('HOJAS DE HORA PROY.'!D$1)))</f>
        <v>0</v>
      </c>
      <c r="E91" s="47">
        <f>$J91*SUMIFS(LNX2___0226__San_Borja_ENCISO[[#All],[Column11]],LNX2___0226__San_Borja_ENCISO[[#All],[HORAS CALENDARIO TECNICOS LABORADOS PARA PERSONA CON RENDIMIENTO AL 100%]],"="&amp;TRIM(CLEAN('HOJAS DE HORA PROY.'!$B91)),LNX2___0226__San_Borja_ENCISO[[#All],[PARTIDA]],"="&amp;TRIM(CLEAN('HOJAS DE HORA PROY.'!E$1)))</f>
        <v>0</v>
      </c>
      <c r="F91" s="47">
        <f>$J91*SUMIFS(LNX2___0226__San_Borja_ENCISO[[#All],[NOMBRE DE PROYECTO]],LNX2___0226__San_Borja_ENCISO[[#All],[HORAS CALENDARIO EN REUNIONES CON CLIENTES PARA PERSONA CON RENDIMIENTO AL 100%]],"="&amp;TRIM(CLEAN('HOJAS DE HORA PROY.'!$B91)),LNX2___0226__San_Borja_ENCISO[[#All],[VERSION]],"="&amp;TRIM(CLEAN('HOJAS DE HORA PROY.'!F$1)))</f>
        <v>0</v>
      </c>
      <c r="G91" s="47">
        <f>$J91*SUMIFS(LNX2___0226__San_Borja_ENCISO[[#All],[TIPO DE EXPEDIENTE]],LNX2___0226__San_Borja_ENCISO[[#All],[TOTAL]],"="&amp;TRIM(CLEAN('HOJAS DE HORA PROY.'!$B91)),LNX2___0226__San_Borja_ENCISO[[#All],[HORAS CALENDARIO TECNICOS LABORADOS PARA PERSONA CON RENDIMIENTO AL 100%]],"="&amp;TRIM(CLEAN('HOJAS DE HORA PROY.'!G$1)))</f>
        <v>0</v>
      </c>
      <c r="H91" s="47">
        <f>$J91*SUMIFS(LNX2___0226__San_Borja_ENCISO[[#All],[ESPECIALIDAD]],LNX2___0226__San_Borja_ENCISO[[#All],[HORAS ADICIONALES]],"="&amp;TRIM(CLEAN('HOJAS DE HORA PROY.'!$B91)),LNX2___0226__San_Borja_ENCISO[[#All],[HORAS CALENDARIO EN REUNIONES CON CLIENTES PARA PERSONA CON RENDIMIENTO AL 100%]],"="&amp;TRIM(CLEAN('HOJAS DE HORA PROY.'!H$1)))</f>
        <v>0</v>
      </c>
      <c r="I91" s="47">
        <f>$J91*SUMIFS(LNX2___0226__San_Borja_ENCISO[[#All],[PARTIDA]],LNX2___0226__San_Borja_ENCISO[[#All],[TOTAL HORAS RESTANTES]],"="&amp;TRIM(CLEAN('HOJAS DE HORA PROY.'!$B91)),LNX2___0226__San_Borja_ENCISO[[#All],[TOTAL]],"="&amp;TRIM(CLEAN('HOJAS DE HORA PROY.'!I$1)))</f>
        <v>0</v>
      </c>
      <c r="J91" s="160">
        <v>0.5</v>
      </c>
      <c r="K91" s="161">
        <f t="shared" ref="K91" si="12">SUM(C91:I91)*J91</f>
        <v>0</v>
      </c>
      <c r="L91" s="161"/>
      <c r="M91" s="224"/>
      <c r="N91" s="112" t="s">
        <v>366</v>
      </c>
      <c r="O91" s="270">
        <v>0</v>
      </c>
    </row>
    <row r="92" spans="1:18" ht="18" customHeight="1" x14ac:dyDescent="0.4">
      <c r="A92" s="79" t="s">
        <v>525</v>
      </c>
      <c r="B92" s="247" t="s">
        <v>142</v>
      </c>
      <c r="C92" s="47">
        <f>$J92*SUMIFS(LNX2___0226__San_Borja_ENCISO[[#All],[HORAS ADICIONALES]],LNX2___0226__San_Borja_ENCISO[[#All],[PARTIDA]],"="&amp;TRIM(CLEAN('HOJAS DE HORA PROY.'!$B92)),LNX2___0226__San_Borja_ENCISO[[#All],[TIPO DE EXPEDIENTE]],"="&amp;TRIM(CLEAN('HOJAS DE HORA PROY.'!C$1)))</f>
        <v>0</v>
      </c>
      <c r="D92" s="47">
        <f>$J92*SUMIFS(LNX2___0226__San_Borja_ENCISO[[#All],[TOTAL HORAS RESTANTES]],LNX2___0226__San_Borja_ENCISO[[#All],[VERSION]],"="&amp;TRIM(CLEAN('HOJAS DE HORA PROY.'!$B92)),LNX2___0226__San_Borja_ENCISO[[#All],[ESPECIALIDAD]],"="&amp;TRIM(CLEAN('HOJAS DE HORA PROY.'!D$1)))</f>
        <v>0</v>
      </c>
      <c r="E92" s="47">
        <f>$J92*SUMIFS(LNX2___0226__San_Borja_ENCISO[[#All],[Column11]],LNX2___0226__San_Borja_ENCISO[[#All],[HORAS CALENDARIO TECNICOS LABORADOS PARA PERSONA CON RENDIMIENTO AL 100%]],"="&amp;TRIM(CLEAN('HOJAS DE HORA PROY.'!$B92)),LNX2___0226__San_Borja_ENCISO[[#All],[PARTIDA]],"="&amp;TRIM(CLEAN('HOJAS DE HORA PROY.'!E$1)))</f>
        <v>0</v>
      </c>
      <c r="F92" s="47">
        <f>$J92*SUMIFS(LNX2___0226__San_Borja_ENCISO[[#All],[NOMBRE DE PROYECTO]],LNX2___0226__San_Borja_ENCISO[[#All],[HORAS CALENDARIO EN REUNIONES CON CLIENTES PARA PERSONA CON RENDIMIENTO AL 100%]],"="&amp;TRIM(CLEAN('HOJAS DE HORA PROY.'!$B92)),LNX2___0226__San_Borja_ENCISO[[#All],[VERSION]],"="&amp;TRIM(CLEAN('HOJAS DE HORA PROY.'!F$1)))</f>
        <v>0</v>
      </c>
      <c r="G92" s="47">
        <f>$J92*SUMIFS(LNX2___0226__San_Borja_ENCISO[[#All],[TIPO DE EXPEDIENTE]],LNX2___0226__San_Borja_ENCISO[[#All],[TOTAL]],"="&amp;TRIM(CLEAN('HOJAS DE HORA PROY.'!$B92)),LNX2___0226__San_Borja_ENCISO[[#All],[HORAS CALENDARIO TECNICOS LABORADOS PARA PERSONA CON RENDIMIENTO AL 100%]],"="&amp;TRIM(CLEAN('HOJAS DE HORA PROY.'!G$1)))</f>
        <v>0</v>
      </c>
      <c r="H92" s="47">
        <f>$J92*SUMIFS(LNX2___0226__San_Borja_ENCISO[[#All],[ESPECIALIDAD]],LNX2___0226__San_Borja_ENCISO[[#All],[HORAS ADICIONALES]],"="&amp;TRIM(CLEAN('HOJAS DE HORA PROY.'!$B92)),LNX2___0226__San_Borja_ENCISO[[#All],[HORAS CALENDARIO EN REUNIONES CON CLIENTES PARA PERSONA CON RENDIMIENTO AL 100%]],"="&amp;TRIM(CLEAN('HOJAS DE HORA PROY.'!H$1)))</f>
        <v>0</v>
      </c>
      <c r="I92" s="47">
        <f>$J92*SUMIFS(LNX2___0226__San_Borja_ENCISO[[#All],[PARTIDA]],LNX2___0226__San_Borja_ENCISO[[#All],[TOTAL HORAS RESTANTES]],"="&amp;TRIM(CLEAN('HOJAS DE HORA PROY.'!$B92)),LNX2___0226__San_Borja_ENCISO[[#All],[TOTAL]],"="&amp;TRIM(CLEAN('HOJAS DE HORA PROY.'!I$1)))</f>
        <v>0</v>
      </c>
      <c r="J92" s="160">
        <v>1</v>
      </c>
      <c r="K92" s="161">
        <f t="shared" si="11"/>
        <v>0</v>
      </c>
      <c r="L92" s="161"/>
      <c r="M92" s="224"/>
      <c r="N92" s="112" t="s">
        <v>366</v>
      </c>
      <c r="O92" s="270">
        <v>0</v>
      </c>
    </row>
    <row r="93" spans="1:18" ht="18" customHeight="1" x14ac:dyDescent="0.4">
      <c r="A93" s="79" t="s">
        <v>525</v>
      </c>
      <c r="B93" s="247" t="s">
        <v>144</v>
      </c>
      <c r="C93" s="47">
        <f>$J93*SUMIFS(LNX2___0226__San_Borja_ENCISO[[#All],[HORAS ADICIONALES]],LNX2___0226__San_Borja_ENCISO[[#All],[PARTIDA]],"="&amp;TRIM(CLEAN('HOJAS DE HORA PROY.'!$B93)),LNX2___0226__San_Borja_ENCISO[[#All],[TIPO DE EXPEDIENTE]],"="&amp;TRIM(CLEAN('HOJAS DE HORA PROY.'!C$1)))</f>
        <v>0</v>
      </c>
      <c r="D93" s="47">
        <f>$J93*SUMIFS(LNX2___0226__San_Borja_ENCISO[[#All],[TOTAL HORAS RESTANTES]],LNX2___0226__San_Borja_ENCISO[[#All],[VERSION]],"="&amp;TRIM(CLEAN('HOJAS DE HORA PROY.'!$B93)),LNX2___0226__San_Borja_ENCISO[[#All],[ESPECIALIDAD]],"="&amp;TRIM(CLEAN('HOJAS DE HORA PROY.'!D$1)))</f>
        <v>10</v>
      </c>
      <c r="E93" s="47">
        <f>$J93*SUMIFS(LNX2___0226__San_Borja_ENCISO[[#All],[Column11]],LNX2___0226__San_Borja_ENCISO[[#All],[HORAS CALENDARIO TECNICOS LABORADOS PARA PERSONA CON RENDIMIENTO AL 100%]],"="&amp;TRIM(CLEAN('HOJAS DE HORA PROY.'!$B93)),LNX2___0226__San_Borja_ENCISO[[#All],[PARTIDA]],"="&amp;TRIM(CLEAN('HOJAS DE HORA PROY.'!E$1)))</f>
        <v>0</v>
      </c>
      <c r="F93" s="47">
        <f>$J93*SUMIFS(LNX2___0226__San_Borja_ENCISO[[#All],[NOMBRE DE PROYECTO]],LNX2___0226__San_Borja_ENCISO[[#All],[HORAS CALENDARIO EN REUNIONES CON CLIENTES PARA PERSONA CON RENDIMIENTO AL 100%]],"="&amp;TRIM(CLEAN('HOJAS DE HORA PROY.'!$B93)),LNX2___0226__San_Borja_ENCISO[[#All],[VERSION]],"="&amp;TRIM(CLEAN('HOJAS DE HORA PROY.'!F$1)))</f>
        <v>0</v>
      </c>
      <c r="G93" s="47">
        <f>$J93*SUMIFS(LNX2___0226__San_Borja_ENCISO[[#All],[TIPO DE EXPEDIENTE]],LNX2___0226__San_Borja_ENCISO[[#All],[TOTAL]],"="&amp;TRIM(CLEAN('HOJAS DE HORA PROY.'!$B93)),LNX2___0226__San_Borja_ENCISO[[#All],[HORAS CALENDARIO TECNICOS LABORADOS PARA PERSONA CON RENDIMIENTO AL 100%]],"="&amp;TRIM(CLEAN('HOJAS DE HORA PROY.'!G$1)))</f>
        <v>0</v>
      </c>
      <c r="H93" s="47">
        <f>$J93*SUMIFS(LNX2___0226__San_Borja_ENCISO[[#All],[ESPECIALIDAD]],LNX2___0226__San_Borja_ENCISO[[#All],[HORAS ADICIONALES]],"="&amp;TRIM(CLEAN('HOJAS DE HORA PROY.'!$B93)),LNX2___0226__San_Borja_ENCISO[[#All],[HORAS CALENDARIO EN REUNIONES CON CLIENTES PARA PERSONA CON RENDIMIENTO AL 100%]],"="&amp;TRIM(CLEAN('HOJAS DE HORA PROY.'!H$1)))</f>
        <v>0</v>
      </c>
      <c r="I93" s="47">
        <f>$J93*SUMIFS(LNX2___0226__San_Borja_ENCISO[[#All],[PARTIDA]],LNX2___0226__San_Borja_ENCISO[[#All],[TOTAL HORAS RESTANTES]],"="&amp;TRIM(CLEAN('HOJAS DE HORA PROY.'!$B93)),LNX2___0226__San_Borja_ENCISO[[#All],[TOTAL]],"="&amp;TRIM(CLEAN('HOJAS DE HORA PROY.'!I$1)))</f>
        <v>0</v>
      </c>
      <c r="J93" s="160">
        <v>1</v>
      </c>
      <c r="K93" s="161">
        <f t="shared" si="11"/>
        <v>10</v>
      </c>
      <c r="L93" s="161"/>
      <c r="M93" s="224" t="s">
        <v>40</v>
      </c>
      <c r="N93" s="112" t="s">
        <v>366</v>
      </c>
      <c r="O93" s="270">
        <v>0</v>
      </c>
    </row>
    <row r="94" spans="1:18" ht="18" customHeight="1" thickBot="1" x14ac:dyDescent="0.45">
      <c r="A94" s="80" t="s">
        <v>525</v>
      </c>
      <c r="B94" s="248" t="s">
        <v>146</v>
      </c>
      <c r="C94" s="47">
        <f>$J94*SUMIFS(LNX2___0226__San_Borja_ENCISO[[#All],[HORAS ADICIONALES]],LNX2___0226__San_Borja_ENCISO[[#All],[PARTIDA]],"="&amp;TRIM(CLEAN('HOJAS DE HORA PROY.'!$B94)),LNX2___0226__San_Borja_ENCISO[[#All],[TIPO DE EXPEDIENTE]],"="&amp;TRIM(CLEAN('HOJAS DE HORA PROY.'!C$1)))</f>
        <v>0</v>
      </c>
      <c r="D94" s="47">
        <f>$J94*SUMIFS(LNX2___0226__San_Borja_ENCISO[[#All],[TOTAL HORAS RESTANTES]],LNX2___0226__San_Borja_ENCISO[[#All],[VERSION]],"="&amp;TRIM(CLEAN('HOJAS DE HORA PROY.'!$B94)),LNX2___0226__San_Borja_ENCISO[[#All],[ESPECIALIDAD]],"="&amp;TRIM(CLEAN('HOJAS DE HORA PROY.'!D$1)))</f>
        <v>0</v>
      </c>
      <c r="E94" s="47">
        <f>$J94*SUMIFS(LNX2___0226__San_Borja_ENCISO[[#All],[Column11]],LNX2___0226__San_Borja_ENCISO[[#All],[HORAS CALENDARIO TECNICOS LABORADOS PARA PERSONA CON RENDIMIENTO AL 100%]],"="&amp;TRIM(CLEAN('HOJAS DE HORA PROY.'!$B94)),LNX2___0226__San_Borja_ENCISO[[#All],[PARTIDA]],"="&amp;TRIM(CLEAN('HOJAS DE HORA PROY.'!E$1)))</f>
        <v>0</v>
      </c>
      <c r="F94" s="47">
        <f>$J94*SUMIFS(LNX2___0226__San_Borja_ENCISO[[#All],[NOMBRE DE PROYECTO]],LNX2___0226__San_Borja_ENCISO[[#All],[HORAS CALENDARIO EN REUNIONES CON CLIENTES PARA PERSONA CON RENDIMIENTO AL 100%]],"="&amp;TRIM(CLEAN('HOJAS DE HORA PROY.'!$B94)),LNX2___0226__San_Borja_ENCISO[[#All],[VERSION]],"="&amp;TRIM(CLEAN('HOJAS DE HORA PROY.'!F$1)))</f>
        <v>0</v>
      </c>
      <c r="G94" s="47">
        <f>$J94*SUMIFS(LNX2___0226__San_Borja_ENCISO[[#All],[TIPO DE EXPEDIENTE]],LNX2___0226__San_Borja_ENCISO[[#All],[TOTAL]],"="&amp;TRIM(CLEAN('HOJAS DE HORA PROY.'!$B94)),LNX2___0226__San_Borja_ENCISO[[#All],[HORAS CALENDARIO TECNICOS LABORADOS PARA PERSONA CON RENDIMIENTO AL 100%]],"="&amp;TRIM(CLEAN('HOJAS DE HORA PROY.'!G$1)))</f>
        <v>0</v>
      </c>
      <c r="H94" s="47">
        <f>$J94*SUMIFS(LNX2___0226__San_Borja_ENCISO[[#All],[ESPECIALIDAD]],LNX2___0226__San_Borja_ENCISO[[#All],[HORAS ADICIONALES]],"="&amp;TRIM(CLEAN('HOJAS DE HORA PROY.'!$B94)),LNX2___0226__San_Borja_ENCISO[[#All],[HORAS CALENDARIO EN REUNIONES CON CLIENTES PARA PERSONA CON RENDIMIENTO AL 100%]],"="&amp;TRIM(CLEAN('HOJAS DE HORA PROY.'!H$1)))</f>
        <v>0</v>
      </c>
      <c r="I94" s="47">
        <f>$J94*SUMIFS(LNX2___0226__San_Borja_ENCISO[[#All],[PARTIDA]],LNX2___0226__San_Borja_ENCISO[[#All],[TOTAL HORAS RESTANTES]],"="&amp;TRIM(CLEAN('HOJAS DE HORA PROY.'!$B94)),LNX2___0226__San_Borja_ENCISO[[#All],[TOTAL]],"="&amp;TRIM(CLEAN('HOJAS DE HORA PROY.'!I$1)))</f>
        <v>0</v>
      </c>
      <c r="J94" s="163">
        <v>1</v>
      </c>
      <c r="K94" s="164">
        <f t="shared" si="11"/>
        <v>0</v>
      </c>
      <c r="L94" s="164"/>
      <c r="M94" s="275" t="s">
        <v>39</v>
      </c>
      <c r="N94" s="107" t="s">
        <v>366</v>
      </c>
      <c r="O94" s="271">
        <v>500</v>
      </c>
    </row>
    <row r="95" spans="1:18" ht="18" customHeight="1" x14ac:dyDescent="0.4">
      <c r="A95" s="67" t="s">
        <v>547</v>
      </c>
      <c r="B95" s="235" t="s">
        <v>65</v>
      </c>
      <c r="C95" s="45">
        <f>$J95*SUMIFS(MH_ONM5___El_Agustino___Cristia[[#All],[TOTAL HORAS RESTANTES]],MH_ONM5___El_Agustino___Cristia[[#All],[VERSIÓN]],"="&amp;TRIM(CLEAN('HOJAS DE HORA PROY.'!$B95)),MH_ONM5___El_Agustino___Cristia[[#All],[ESPECIALIDAD]],"="&amp;TRIM(CLEAN('HOJAS DE HORA PROY.'!C$1)))</f>
        <v>46</v>
      </c>
      <c r="D95" s="45">
        <f>$J95*SUMIFS(MH_ONM5___El_Agustino___Cristia[[#All],[TOTAL HORAS RESTANTES]],MH_ONM5___El_Agustino___Cristia[[#All],[VERSIÓN]],"="&amp;TRIM(CLEAN('HOJAS DE HORA PROY.'!$B95)),MH_ONM5___El_Agustino___Cristia[[#All],[ESPECIALIDAD]],"="&amp;TRIM(CLEAN('HOJAS DE HORA PROY.'!D$1)))</f>
        <v>17.5</v>
      </c>
      <c r="E95" s="45">
        <f>$J95*SUMIFS(MH_ONM5___El_Agustino___Cristia[[#All],[TOTAL HORAS RESTANTES]],MH_ONM5___El_Agustino___Cristia[[#All],[VERSIÓN]],"="&amp;TRIM(CLEAN('HOJAS DE HORA PROY.'!$B95)),MH_ONM5___El_Agustino___Cristia[[#All],[ESPECIALIDAD]],"="&amp;TRIM(CLEAN('HOJAS DE HORA PROY.'!E$1)))</f>
        <v>0</v>
      </c>
      <c r="F95" s="45">
        <f>$J95*SUMIFS(MH_ONM5___El_Agustino___Cristia[[#All],[TOTAL HORAS RESTANTES]],MH_ONM5___El_Agustino___Cristia[[#All],[VERSIÓN]],"="&amp;TRIM(CLEAN('HOJAS DE HORA PROY.'!$B95)),MH_ONM5___El_Agustino___Cristia[[#All],[ESPECIALIDAD]],"="&amp;TRIM(CLEAN('HOJAS DE HORA PROY.'!F$1)))</f>
        <v>2.5</v>
      </c>
      <c r="G95" s="45">
        <f>$J95*SUMIFS(MH_ONM5___El_Agustino___Cristia[[#All],[TOTAL HORAS RESTANTES]],MH_ONM5___El_Agustino___Cristia[[#All],[VERSIÓN]],"="&amp;TRIM(CLEAN('HOJAS DE HORA PROY.'!$B95)),MH_ONM5___El_Agustino___Cristia[[#All],[ESPECIALIDAD]],"="&amp;TRIM(CLEAN('HOJAS DE HORA PROY.'!G$1)))</f>
        <v>10</v>
      </c>
      <c r="H95" s="45">
        <f>$J95*SUMIFS(MH_ONM5___El_Agustino___Cristia[[#All],[TOTAL HORAS RESTANTES]],MH_ONM5___El_Agustino___Cristia[[#All],[VERSIÓN]],"="&amp;TRIM(CLEAN('HOJAS DE HORA PROY.'!$B95)),MH_ONM5___El_Agustino___Cristia[[#All],[ESPECIALIDAD]],"="&amp;TRIM(CLEAN('HOJAS DE HORA PROY.'!H$1)))</f>
        <v>0</v>
      </c>
      <c r="I95" s="45">
        <f>$J95*SUMIFS(MH_ONM5___El_Agustino___Cristia[[#All],[TOTAL HORAS RESTANTES]],MH_ONM5___El_Agustino___Cristia[[#All],[VERSIÓN]],"="&amp;TRIM(CLEAN('HOJAS DE HORA PROY.'!$B95)),MH_ONM5___El_Agustino___Cristia[[#All],[ESPECIALIDAD]],"="&amp;TRIM(CLEAN('HOJAS DE HORA PROY.'!I$1)))</f>
        <v>0</v>
      </c>
      <c r="J95" s="122">
        <v>1</v>
      </c>
      <c r="K95" s="123">
        <f t="shared" si="11"/>
        <v>76</v>
      </c>
      <c r="L95" s="123"/>
      <c r="M95" s="124"/>
      <c r="N95" s="103" t="s">
        <v>331</v>
      </c>
      <c r="O95" s="269"/>
      <c r="Q95" s="356"/>
      <c r="R95" t="s">
        <v>576</v>
      </c>
    </row>
    <row r="96" spans="1:18" ht="18" customHeight="1" x14ac:dyDescent="0.4">
      <c r="A96" s="68" t="s">
        <v>547</v>
      </c>
      <c r="B96" s="236" t="s">
        <v>66</v>
      </c>
      <c r="C96" s="47">
        <f>$J96*SUMIFS(MH_ONM5___El_Agustino___Cristia[[#All],[TOTAL HORAS RESTANTES]],MH_ONM5___El_Agustino___Cristia[[#All],[VERSIÓN]],"="&amp;TRIM(CLEAN('HOJAS DE HORA PROY.'!$B96)),MH_ONM5___El_Agustino___Cristia[[#All],[ESPECIALIDAD]],"="&amp;TRIM(CLEAN('HOJAS DE HORA PROY.'!C$1)))</f>
        <v>47</v>
      </c>
      <c r="D96" s="47">
        <f>$J96*SUMIFS(MH_ONM5___El_Agustino___Cristia[[#All],[TOTAL HORAS RESTANTES]],MH_ONM5___El_Agustino___Cristia[[#All],[VERSIÓN]],"="&amp;TRIM(CLEAN('HOJAS DE HORA PROY.'!$B96)),MH_ONM5___El_Agustino___Cristia[[#All],[ESPECIALIDAD]],"="&amp;TRIM(CLEAN('HOJAS DE HORA PROY.'!D$1)))</f>
        <v>31</v>
      </c>
      <c r="E96" s="47">
        <f>$J96*SUMIFS(MH_ONM5___El_Agustino___Cristia[[#All],[TOTAL HORAS RESTANTES]],MH_ONM5___El_Agustino___Cristia[[#All],[VERSIÓN]],"="&amp;TRIM(CLEAN('HOJAS DE HORA PROY.'!$B96)),MH_ONM5___El_Agustino___Cristia[[#All],[ESPECIALIDAD]],"="&amp;TRIM(CLEAN('HOJAS DE HORA PROY.'!E$1)))</f>
        <v>7</v>
      </c>
      <c r="F96" s="47">
        <f>$J96*SUMIFS(MH_ONM5___El_Agustino___Cristia[[#All],[TOTAL HORAS RESTANTES]],MH_ONM5___El_Agustino___Cristia[[#All],[VERSIÓN]],"="&amp;TRIM(CLEAN('HOJAS DE HORA PROY.'!$B96)),MH_ONM5___El_Agustino___Cristia[[#All],[ESPECIALIDAD]],"="&amp;TRIM(CLEAN('HOJAS DE HORA PROY.'!F$1)))</f>
        <v>21</v>
      </c>
      <c r="G96" s="47">
        <f>$J96*SUMIFS(MH_ONM5___El_Agustino___Cristia[[#All],[TOTAL HORAS RESTANTES]],MH_ONM5___El_Agustino___Cristia[[#All],[VERSIÓN]],"="&amp;TRIM(CLEAN('HOJAS DE HORA PROY.'!$B96)),MH_ONM5___El_Agustino___Cristia[[#All],[ESPECIALIDAD]],"="&amp;TRIM(CLEAN('HOJAS DE HORA PROY.'!G$1)))</f>
        <v>31</v>
      </c>
      <c r="H96" s="47">
        <f>$J96*SUMIFS(MH_ONM5___El_Agustino___Cristia[[#All],[TOTAL HORAS RESTANTES]],MH_ONM5___El_Agustino___Cristia[[#All],[VERSIÓN]],"="&amp;TRIM(CLEAN('HOJAS DE HORA PROY.'!$B96)),MH_ONM5___El_Agustino___Cristia[[#All],[ESPECIALIDAD]],"="&amp;TRIM(CLEAN('HOJAS DE HORA PROY.'!H$1)))</f>
        <v>7</v>
      </c>
      <c r="I96" s="47">
        <f>$J96*SUMIFS(MH_ONM5___El_Agustino___Cristia[[#All],[TOTAL HORAS RESTANTES]],MH_ONM5___El_Agustino___Cristia[[#All],[VERSIÓN]],"="&amp;TRIM(CLEAN('HOJAS DE HORA PROY.'!$B96)),MH_ONM5___El_Agustino___Cristia[[#All],[ESPECIALIDAD]],"="&amp;TRIM(CLEAN('HOJAS DE HORA PROY.'!I$1)))</f>
        <v>0.5</v>
      </c>
      <c r="J96" s="125">
        <v>1</v>
      </c>
      <c r="K96" s="59">
        <f t="shared" si="11"/>
        <v>144.5</v>
      </c>
      <c r="L96" s="59"/>
      <c r="M96" s="126" t="s">
        <v>40</v>
      </c>
      <c r="N96" s="112" t="s">
        <v>331</v>
      </c>
      <c r="O96" s="270">
        <v>0</v>
      </c>
    </row>
    <row r="97" spans="1:18" ht="18" customHeight="1" thickBot="1" x14ac:dyDescent="0.45">
      <c r="A97" s="310" t="s">
        <v>547</v>
      </c>
      <c r="B97" s="309" t="s">
        <v>67</v>
      </c>
      <c r="C97" s="52">
        <f>$J97*SUMIFS(MH_ONM5___El_Agustino___Cristia[[#All],[TOTAL HORAS RESTANTES]],MH_ONM5___El_Agustino___Cristia[[#All],[VERSIÓN]],"="&amp;TRIM(CLEAN('HOJAS DE HORA PROY.'!$B97)),MH_ONM5___El_Agustino___Cristia[[#All],[ESPECIALIDAD]],"="&amp;TRIM(CLEAN('HOJAS DE HORA PROY.'!C$1)))</f>
        <v>0</v>
      </c>
      <c r="D97" s="52">
        <f>$J97*SUMIFS(MH_ONM5___El_Agustino___Cristia[[#All],[TOTAL HORAS RESTANTES]],MH_ONM5___El_Agustino___Cristia[[#All],[VERSIÓN]],"="&amp;TRIM(CLEAN('HOJAS DE HORA PROY.'!$B97)),MH_ONM5___El_Agustino___Cristia[[#All],[ESPECIALIDAD]],"="&amp;TRIM(CLEAN('HOJAS DE HORA PROY.'!D$1)))</f>
        <v>0</v>
      </c>
      <c r="E97" s="52">
        <f>$J97*SUMIFS(MH_ONM5___El_Agustino___Cristia[[#All],[TOTAL HORAS RESTANTES]],MH_ONM5___El_Agustino___Cristia[[#All],[VERSIÓN]],"="&amp;TRIM(CLEAN('HOJAS DE HORA PROY.'!$B97)),MH_ONM5___El_Agustino___Cristia[[#All],[ESPECIALIDAD]],"="&amp;TRIM(CLEAN('HOJAS DE HORA PROY.'!E$1)))</f>
        <v>0</v>
      </c>
      <c r="F97" s="52">
        <f>$J97*SUMIFS(MH_ONM5___El_Agustino___Cristia[[#All],[TOTAL HORAS RESTANTES]],MH_ONM5___El_Agustino___Cristia[[#All],[VERSIÓN]],"="&amp;TRIM(CLEAN('HOJAS DE HORA PROY.'!$B97)),MH_ONM5___El_Agustino___Cristia[[#All],[ESPECIALIDAD]],"="&amp;TRIM(CLEAN('HOJAS DE HORA PROY.'!F$1)))</f>
        <v>0</v>
      </c>
      <c r="G97" s="52">
        <f>$J97*SUMIFS(MH_ONM5___El_Agustino___Cristia[[#All],[TOTAL HORAS RESTANTES]],MH_ONM5___El_Agustino___Cristia[[#All],[VERSIÓN]],"="&amp;TRIM(CLEAN('HOJAS DE HORA PROY.'!$B97)),MH_ONM5___El_Agustino___Cristia[[#All],[ESPECIALIDAD]],"="&amp;TRIM(CLEAN('HOJAS DE HORA PROY.'!G$1)))</f>
        <v>0</v>
      </c>
      <c r="H97" s="52">
        <f>$J97*SUMIFS(MH_ONM5___El_Agustino___Cristia[[#All],[TOTAL HORAS RESTANTES]],MH_ONM5___El_Agustino___Cristia[[#All],[VERSIÓN]],"="&amp;TRIM(CLEAN('HOJAS DE HORA PROY.'!$B97)),MH_ONM5___El_Agustino___Cristia[[#All],[ESPECIALIDAD]],"="&amp;TRIM(CLEAN('HOJAS DE HORA PROY.'!H$1)))</f>
        <v>0</v>
      </c>
      <c r="I97" s="52">
        <f>$J97*SUMIFS(MH_ONM5___El_Agustino___Cristia[[#All],[TOTAL HORAS RESTANTES]],MH_ONM5___El_Agustino___Cristia[[#All],[VERSIÓN]],"="&amp;TRIM(CLEAN('HOJAS DE HORA PROY.'!$B97)),MH_ONM5___El_Agustino___Cristia[[#All],[ESPECIALIDAD]],"="&amp;TRIM(CLEAN('HOJAS DE HORA PROY.'!I$1)))</f>
        <v>0</v>
      </c>
      <c r="J97" s="311">
        <v>1</v>
      </c>
      <c r="K97" s="312">
        <f t="shared" si="11"/>
        <v>0</v>
      </c>
      <c r="L97" s="312"/>
      <c r="M97" s="313" t="s">
        <v>40</v>
      </c>
      <c r="N97" s="214" t="s">
        <v>331</v>
      </c>
      <c r="O97" s="273">
        <v>2520</v>
      </c>
    </row>
    <row r="98" spans="1:18" ht="18" customHeight="1" x14ac:dyDescent="0.4">
      <c r="A98" s="78" t="str">
        <f>'MH-ONX7 - BREÑA - Eduardo Vara'!A2</f>
        <v>ONX7 - BREÑA - Eduardo Vara y Brenda</v>
      </c>
      <c r="B98" s="246" t="s">
        <v>140</v>
      </c>
      <c r="C98" s="45">
        <f>$J98*SUMIFS(MH_ONX7___BREÑA___Eduardo_Vara[[#All],[TOTAL HORAS RESTANTES]],MH_ONX7___BREÑA___Eduardo_Vara[[#All],[VERSIÓN]],"="&amp;TRIM(CLEAN('HOJAS DE HORA PROY.'!$B98)),MH_ONX7___BREÑA___Eduardo_Vara[[#All],[ESPECIALIDAD]],"="&amp;TRIM(CLEAN('HOJAS DE HORA PROY.'!C$1)))</f>
        <v>2</v>
      </c>
      <c r="D98" s="45">
        <f>$J98*SUMIFS(MH_ONX7___BREÑA___Eduardo_Vara[[#All],[TOTAL HORAS RESTANTES]],MH_ONX7___BREÑA___Eduardo_Vara[[#All],[VERSIÓN]],"="&amp;TRIM(CLEAN('HOJAS DE HORA PROY.'!$B98)),MH_ONX7___BREÑA___Eduardo_Vara[[#All],[ESPECIALIDAD]],"="&amp;TRIM(CLEAN('HOJAS DE HORA PROY.'!D$1)))</f>
        <v>0</v>
      </c>
      <c r="E98" s="45">
        <f>$J98*SUMIFS(MH_ONX7___BREÑA___Eduardo_Vara[[#All],[TOTAL HORAS RESTANTES]],MH_ONX7___BREÑA___Eduardo_Vara[[#All],[VERSIÓN]],"="&amp;TRIM(CLEAN('HOJAS DE HORA PROY.'!$B98)),MH_ONX7___BREÑA___Eduardo_Vara[[#All],[ESPECIALIDAD]],"="&amp;TRIM(CLEAN('HOJAS DE HORA PROY.'!E$1)))</f>
        <v>0</v>
      </c>
      <c r="F98" s="45">
        <f>$J98*SUMIFS(MH_ONX7___BREÑA___Eduardo_Vara[[#All],[TOTAL HORAS RESTANTES]],MH_ONX7___BREÑA___Eduardo_Vara[[#All],[VERSIÓN]],"="&amp;TRIM(CLEAN('HOJAS DE HORA PROY.'!$B98)),MH_ONX7___BREÑA___Eduardo_Vara[[#All],[ESPECIALIDAD]],"="&amp;TRIM(CLEAN('HOJAS DE HORA PROY.'!F$1)))</f>
        <v>0</v>
      </c>
      <c r="G98" s="45">
        <f>$J98*SUMIFS(MH_ONX7___BREÑA___Eduardo_Vara[[#All],[TOTAL HORAS RESTANTES]],MH_ONX7___BREÑA___Eduardo_Vara[[#All],[VERSIÓN]],"="&amp;TRIM(CLEAN('HOJAS DE HORA PROY.'!$B98)),MH_ONX7___BREÑA___Eduardo_Vara[[#All],[ESPECIALIDAD]],"="&amp;TRIM(CLEAN('HOJAS DE HORA PROY.'!G$1)))</f>
        <v>0</v>
      </c>
      <c r="H98" s="45">
        <f>$J98*SUMIFS(MH_ONX7___BREÑA___Eduardo_Vara[[#All],[TOTAL HORAS RESTANTES]],MH_ONX7___BREÑA___Eduardo_Vara[[#All],[VERSIÓN]],"="&amp;TRIM(CLEAN('HOJAS DE HORA PROY.'!$B98)),MH_ONX7___BREÑA___Eduardo_Vara[[#All],[ESPECIALIDAD]],"="&amp;TRIM(CLEAN('HOJAS DE HORA PROY.'!H$1)))</f>
        <v>0</v>
      </c>
      <c r="I98" s="45">
        <f>$J98*SUMIFS(MH_ONX7___BREÑA___Eduardo_Vara[[#All],[TOTAL HORAS RESTANTES]],MH_ONX7___BREÑA___Eduardo_Vara[[#All],[VERSIÓN]],"="&amp;TRIM(CLEAN('HOJAS DE HORA PROY.'!$B98)),MH_ONX7___BREÑA___Eduardo_Vara[[#All],[ESPECIALIDAD]],"="&amp;TRIM(CLEAN('HOJAS DE HORA PROY.'!I$1)))</f>
        <v>0</v>
      </c>
      <c r="J98" s="157">
        <v>1</v>
      </c>
      <c r="K98" s="158">
        <f t="shared" ref="K98:K101" si="13">SUM(C98:I98)*J98</f>
        <v>2</v>
      </c>
      <c r="L98" s="158"/>
      <c r="M98" s="223"/>
      <c r="N98" s="103" t="s">
        <v>366</v>
      </c>
      <c r="O98" s="269">
        <v>0</v>
      </c>
    </row>
    <row r="99" spans="1:18" ht="18" customHeight="1" x14ac:dyDescent="0.4">
      <c r="A99" s="79" t="str">
        <f>'MH-ONX7 - BREÑA - Eduardo Vara'!A3</f>
        <v>ONX7 - BREÑA - Eduardo Vara y Brenda</v>
      </c>
      <c r="B99" s="247" t="s">
        <v>65</v>
      </c>
      <c r="C99" s="47">
        <f>$J99*SUMIFS(MH_ONX7___BREÑA___Eduardo_Vara[[#All],[TOTAL HORAS RESTANTES]],MH_ONX7___BREÑA___Eduardo_Vara[[#All],[VERSIÓN]],"="&amp;TRIM(CLEAN('HOJAS DE HORA PROY.'!$B99)),MH_ONX7___BREÑA___Eduardo_Vara[[#All],[ESPECIALIDAD]],"="&amp;TRIM(CLEAN('HOJAS DE HORA PROY.'!C$1)))</f>
        <v>10</v>
      </c>
      <c r="D99" s="47">
        <f>$J99*SUMIFS(MH_ONX7___BREÑA___Eduardo_Vara[[#All],[TOTAL HORAS RESTANTES]],MH_ONX7___BREÑA___Eduardo_Vara[[#All],[VERSIÓN]],"="&amp;TRIM(CLEAN('HOJAS DE HORA PROY.'!$B99)),MH_ONX7___BREÑA___Eduardo_Vara[[#All],[ESPECIALIDAD]],"="&amp;TRIM(CLEAN('HOJAS DE HORA PROY.'!D$1)))</f>
        <v>14</v>
      </c>
      <c r="E99" s="47">
        <f>$J99*SUMIFS(MH_ONX7___BREÑA___Eduardo_Vara[[#All],[TOTAL HORAS RESTANTES]],MH_ONX7___BREÑA___Eduardo_Vara[[#All],[VERSIÓN]],"="&amp;TRIM(CLEAN('HOJAS DE HORA PROY.'!$B99)),MH_ONX7___BREÑA___Eduardo_Vara[[#All],[ESPECIALIDAD]],"="&amp;TRIM(CLEAN('HOJAS DE HORA PROY.'!E$1)))</f>
        <v>0</v>
      </c>
      <c r="F99" s="47">
        <f>$J99*SUMIFS(MH_ONX7___BREÑA___Eduardo_Vara[[#All],[TOTAL HORAS RESTANTES]],MH_ONX7___BREÑA___Eduardo_Vara[[#All],[VERSIÓN]],"="&amp;TRIM(CLEAN('HOJAS DE HORA PROY.'!$B99)),MH_ONX7___BREÑA___Eduardo_Vara[[#All],[ESPECIALIDAD]],"="&amp;TRIM(CLEAN('HOJAS DE HORA PROY.'!F$1)))</f>
        <v>0</v>
      </c>
      <c r="G99" s="47">
        <f>$J99*SUMIFS(MH_ONX7___BREÑA___Eduardo_Vara[[#All],[TOTAL HORAS RESTANTES]],MH_ONX7___BREÑA___Eduardo_Vara[[#All],[VERSIÓN]],"="&amp;TRIM(CLEAN('HOJAS DE HORA PROY.'!$B99)),MH_ONX7___BREÑA___Eduardo_Vara[[#All],[ESPECIALIDAD]],"="&amp;TRIM(CLEAN('HOJAS DE HORA PROY.'!G$1)))</f>
        <v>0</v>
      </c>
      <c r="H99" s="47">
        <f>$J99*SUMIFS(MH_ONX7___BREÑA___Eduardo_Vara[[#All],[TOTAL HORAS RESTANTES]],MH_ONX7___BREÑA___Eduardo_Vara[[#All],[VERSIÓN]],"="&amp;TRIM(CLEAN('HOJAS DE HORA PROY.'!$B99)),MH_ONX7___BREÑA___Eduardo_Vara[[#All],[ESPECIALIDAD]],"="&amp;TRIM(CLEAN('HOJAS DE HORA PROY.'!H$1)))</f>
        <v>0</v>
      </c>
      <c r="I99" s="47">
        <f>$J99*SUMIFS(MH_ONX7___BREÑA___Eduardo_Vara[[#All],[TOTAL HORAS RESTANTES]],MH_ONX7___BREÑA___Eduardo_Vara[[#All],[VERSIÓN]],"="&amp;TRIM(CLEAN('HOJAS DE HORA PROY.'!$B99)),MH_ONX7___BREÑA___Eduardo_Vara[[#All],[ESPECIALIDAD]],"="&amp;TRIM(CLEAN('HOJAS DE HORA PROY.'!I$1)))</f>
        <v>0</v>
      </c>
      <c r="J99" s="160">
        <v>1</v>
      </c>
      <c r="K99" s="161">
        <f t="shared" si="13"/>
        <v>24</v>
      </c>
      <c r="L99" s="161"/>
      <c r="M99" s="224"/>
      <c r="N99" s="112" t="s">
        <v>366</v>
      </c>
      <c r="O99" s="270">
        <v>0</v>
      </c>
      <c r="Q99" s="356"/>
      <c r="R99" t="s">
        <v>574</v>
      </c>
    </row>
    <row r="100" spans="1:18" ht="18" customHeight="1" x14ac:dyDescent="0.4">
      <c r="A100" s="79" t="str">
        <f>'MH-ONX7 - BREÑA - Eduardo Vara'!A4</f>
        <v>ONX7 - BREÑA - Eduardo Vara y Brenda</v>
      </c>
      <c r="B100" s="247" t="s">
        <v>269</v>
      </c>
      <c r="C100" s="47">
        <f>$J100*SUMIFS(MH_ONX7___BREÑA___Eduardo_Vara[[#All],[TOTAL HORAS RESTANTES]],MH_ONX7___BREÑA___Eduardo_Vara[[#All],[VERSIÓN]],"="&amp;TRIM(CLEAN('HOJAS DE HORA PROY.'!$B100)),MH_ONX7___BREÑA___Eduardo_Vara[[#All],[ESPECIALIDAD]],"="&amp;TRIM(CLEAN('HOJAS DE HORA PROY.'!C$1)))</f>
        <v>33.5</v>
      </c>
      <c r="D100" s="47">
        <f>$J100*SUMIFS(MH_ONX7___BREÑA___Eduardo_Vara[[#All],[TOTAL HORAS RESTANTES]],MH_ONX7___BREÑA___Eduardo_Vara[[#All],[VERSIÓN]],"="&amp;TRIM(CLEAN('HOJAS DE HORA PROY.'!$B100)),MH_ONX7___BREÑA___Eduardo_Vara[[#All],[ESPECIALIDAD]],"="&amp;TRIM(CLEAN('HOJAS DE HORA PROY.'!D$1)))</f>
        <v>0</v>
      </c>
      <c r="E100" s="47">
        <f>$J100*SUMIFS(MH_ONX7___BREÑA___Eduardo_Vara[[#All],[TOTAL HORAS RESTANTES]],MH_ONX7___BREÑA___Eduardo_Vara[[#All],[VERSIÓN]],"="&amp;TRIM(CLEAN('HOJAS DE HORA PROY.'!$B100)),MH_ONX7___BREÑA___Eduardo_Vara[[#All],[ESPECIALIDAD]],"="&amp;TRIM(CLEAN('HOJAS DE HORA PROY.'!E$1)))</f>
        <v>0</v>
      </c>
      <c r="F100" s="47">
        <f>$J100*SUMIFS(MH_ONX7___BREÑA___Eduardo_Vara[[#All],[TOTAL HORAS RESTANTES]],MH_ONX7___BREÑA___Eduardo_Vara[[#All],[VERSIÓN]],"="&amp;TRIM(CLEAN('HOJAS DE HORA PROY.'!$B100)),MH_ONX7___BREÑA___Eduardo_Vara[[#All],[ESPECIALIDAD]],"="&amp;TRIM(CLEAN('HOJAS DE HORA PROY.'!F$1)))</f>
        <v>0</v>
      </c>
      <c r="G100" s="47">
        <f>$J100*SUMIFS(MH_ONX7___BREÑA___Eduardo_Vara[[#All],[TOTAL HORAS RESTANTES]],MH_ONX7___BREÑA___Eduardo_Vara[[#All],[VERSIÓN]],"="&amp;TRIM(CLEAN('HOJAS DE HORA PROY.'!$B100)),MH_ONX7___BREÑA___Eduardo_Vara[[#All],[ESPECIALIDAD]],"="&amp;TRIM(CLEAN('HOJAS DE HORA PROY.'!G$1)))</f>
        <v>0</v>
      </c>
      <c r="H100" s="47">
        <f>$J100*SUMIFS(MH_ONX7___BREÑA___Eduardo_Vara[[#All],[TOTAL HORAS RESTANTES]],MH_ONX7___BREÑA___Eduardo_Vara[[#All],[VERSIÓN]],"="&amp;TRIM(CLEAN('HOJAS DE HORA PROY.'!$B100)),MH_ONX7___BREÑA___Eduardo_Vara[[#All],[ESPECIALIDAD]],"="&amp;TRIM(CLEAN('HOJAS DE HORA PROY.'!H$1)))</f>
        <v>0</v>
      </c>
      <c r="I100" s="47">
        <f>$J100*SUMIFS(MH_ONX7___BREÑA___Eduardo_Vara[[#All],[TOTAL HORAS RESTANTES]],MH_ONX7___BREÑA___Eduardo_Vara[[#All],[VERSIÓN]],"="&amp;TRIM(CLEAN('HOJAS DE HORA PROY.'!$B100)),MH_ONX7___BREÑA___Eduardo_Vara[[#All],[ESPECIALIDAD]],"="&amp;TRIM(CLEAN('HOJAS DE HORA PROY.'!I$1)))</f>
        <v>0</v>
      </c>
      <c r="J100" s="160">
        <v>1</v>
      </c>
      <c r="K100" s="161">
        <f t="shared" si="13"/>
        <v>33.5</v>
      </c>
      <c r="L100" s="161"/>
      <c r="M100" s="224"/>
      <c r="N100" s="112" t="s">
        <v>366</v>
      </c>
      <c r="O100" s="270"/>
    </row>
    <row r="101" spans="1:18" ht="18" customHeight="1" thickBot="1" x14ac:dyDescent="0.45">
      <c r="A101" s="304" t="str">
        <f>'MH-ONX7 - BREÑA - Eduardo Vara'!A5</f>
        <v>ONX7 - BREÑA - Eduardo Vara y Brenda</v>
      </c>
      <c r="B101" s="305" t="s">
        <v>66</v>
      </c>
      <c r="C101" s="52">
        <f>$J101*SUMIFS(MH_ONX7___BREÑA___Eduardo_Vara[[#All],[TOTAL HORAS RESTANTES]],MH_ONX7___BREÑA___Eduardo_Vara[[#All],[VERSIÓN]],"="&amp;TRIM(CLEAN('HOJAS DE HORA PROY.'!$B101)),MH_ONX7___BREÑA___Eduardo_Vara[[#All],[ESPECIALIDAD]],"="&amp;TRIM(CLEAN('HOJAS DE HORA PROY.'!C$1)))</f>
        <v>23</v>
      </c>
      <c r="D101" s="52">
        <f>$J101*SUMIFS(MH_ONX7___BREÑA___Eduardo_Vara[[#All],[TOTAL HORAS RESTANTES]],MH_ONX7___BREÑA___Eduardo_Vara[[#All],[VERSIÓN]],"="&amp;TRIM(CLEAN('HOJAS DE HORA PROY.'!$B101)),MH_ONX7___BREÑA___Eduardo_Vara[[#All],[ESPECIALIDAD]],"="&amp;TRIM(CLEAN('HOJAS DE HORA PROY.'!D$1)))</f>
        <v>39</v>
      </c>
      <c r="E101" s="52">
        <f>$J101*SUMIFS(MH_ONX7___BREÑA___Eduardo_Vara[[#All],[TOTAL HORAS RESTANTES]],MH_ONX7___BREÑA___Eduardo_Vara[[#All],[VERSIÓN]],"="&amp;TRIM(CLEAN('HOJAS DE HORA PROY.'!$B101)),MH_ONX7___BREÑA___Eduardo_Vara[[#All],[ESPECIALIDAD]],"="&amp;TRIM(CLEAN('HOJAS DE HORA PROY.'!E$1)))</f>
        <v>7</v>
      </c>
      <c r="F101" s="52">
        <f>$J101*SUMIFS(MH_ONX7___BREÑA___Eduardo_Vara[[#All],[TOTAL HORAS RESTANTES]],MH_ONX7___BREÑA___Eduardo_Vara[[#All],[VERSIÓN]],"="&amp;TRIM(CLEAN('HOJAS DE HORA PROY.'!$B101)),MH_ONX7___BREÑA___Eduardo_Vara[[#All],[ESPECIALIDAD]],"="&amp;TRIM(CLEAN('HOJAS DE HORA PROY.'!F$1)))</f>
        <v>25</v>
      </c>
      <c r="G101" s="52">
        <f>$J101*SUMIFS(MH_ONX7___BREÑA___Eduardo_Vara[[#All],[TOTAL HORAS RESTANTES]],MH_ONX7___BREÑA___Eduardo_Vara[[#All],[VERSIÓN]],"="&amp;TRIM(CLEAN('HOJAS DE HORA PROY.'!$B101)),MH_ONX7___BREÑA___Eduardo_Vara[[#All],[ESPECIALIDAD]],"="&amp;TRIM(CLEAN('HOJAS DE HORA PROY.'!G$1)))</f>
        <v>28</v>
      </c>
      <c r="H101" s="52">
        <f>$J101*SUMIFS(MH_ONX7___BREÑA___Eduardo_Vara[[#All],[TOTAL HORAS RESTANTES]],MH_ONX7___BREÑA___Eduardo_Vara[[#All],[VERSIÓN]],"="&amp;TRIM(CLEAN('HOJAS DE HORA PROY.'!$B101)),MH_ONX7___BREÑA___Eduardo_Vara[[#All],[ESPECIALIDAD]],"="&amp;TRIM(CLEAN('HOJAS DE HORA PROY.'!H$1)))</f>
        <v>10</v>
      </c>
      <c r="I101" s="52">
        <f>$J101*SUMIFS(MH_ONX7___BREÑA___Eduardo_Vara[[#All],[TOTAL HORAS RESTANTES]],MH_ONX7___BREÑA___Eduardo_Vara[[#All],[VERSIÓN]],"="&amp;TRIM(CLEAN('HOJAS DE HORA PROY.'!$B101)),MH_ONX7___BREÑA___Eduardo_Vara[[#All],[ESPECIALIDAD]],"="&amp;TRIM(CLEAN('HOJAS DE HORA PROY.'!I$1)))</f>
        <v>0</v>
      </c>
      <c r="J101" s="306">
        <v>1</v>
      </c>
      <c r="K101" s="307">
        <f t="shared" si="13"/>
        <v>132</v>
      </c>
      <c r="L101" s="307"/>
      <c r="M101" s="308" t="s">
        <v>37</v>
      </c>
      <c r="N101" s="214" t="s">
        <v>366</v>
      </c>
      <c r="O101" s="273">
        <v>3200</v>
      </c>
    </row>
    <row r="102" spans="1:18" ht="18" customHeight="1" x14ac:dyDescent="0.4">
      <c r="A102" s="314" t="str">
        <f>'MH-ONM7 - 0925-Cedros-Ninahuanc'!A2</f>
        <v>ONM7 - 0925-Cedros de Villa Chorrillos-Ninahuanca</v>
      </c>
      <c r="B102" s="315" t="s">
        <v>140</v>
      </c>
      <c r="C102" s="45">
        <f>$J102*SUMIFS(MH_ONM7___0925_Cedros_Ninahuanc[[#All],[TOTAL HORAS RESTANTES]],MH_ONM7___0925_Cedros_Ninahuanc[[#All],[VERSIÓN]],"="&amp;TRIM(CLEAN('HOJAS DE HORA PROY.'!$B102)),MH_ONM7___0925_Cedros_Ninahuanc[[#All],[ESPECIALIDAD]],"="&amp;TRIM(CLEAN('HOJAS DE HORA PROY.'!C$1)))</f>
        <v>0</v>
      </c>
      <c r="D102" s="45">
        <f>$J102*SUMIFS(MH_ONM7___0925_Cedros_Ninahuanc[[#All],[TOTAL HORAS RESTANTES]],MH_ONM7___0925_Cedros_Ninahuanc[[#All],[VERSIÓN]],"="&amp;TRIM(CLEAN('HOJAS DE HORA PROY.'!$B102)),MH_ONM7___0925_Cedros_Ninahuanc[[#All],[ESPECIALIDAD]],"="&amp;TRIM(CLEAN('HOJAS DE HORA PROY.'!D$1)))</f>
        <v>0</v>
      </c>
      <c r="E102" s="45">
        <f>$J102*SUMIFS(MH_ONM7___0925_Cedros_Ninahuanc[[#All],[TOTAL HORAS RESTANTES]],MH_ONM7___0925_Cedros_Ninahuanc[[#All],[VERSIÓN]],"="&amp;TRIM(CLEAN('HOJAS DE HORA PROY.'!$B102)),MH_ONM7___0925_Cedros_Ninahuanc[[#All],[ESPECIALIDAD]],"="&amp;TRIM(CLEAN('HOJAS DE HORA PROY.'!E$1)))</f>
        <v>0</v>
      </c>
      <c r="F102" s="45">
        <f>$J102*SUMIFS(MH_ONM7___0925_Cedros_Ninahuanc[[#All],[TOTAL HORAS RESTANTES]],MH_ONM7___0925_Cedros_Ninahuanc[[#All],[VERSIÓN]],"="&amp;TRIM(CLEAN('HOJAS DE HORA PROY.'!$B102)),MH_ONM7___0925_Cedros_Ninahuanc[[#All],[ESPECIALIDAD]],"="&amp;TRIM(CLEAN('HOJAS DE HORA PROY.'!F$1)))</f>
        <v>0</v>
      </c>
      <c r="G102" s="45">
        <f>$J102*SUMIFS(MH_ONM7___0925_Cedros_Ninahuanc[[#All],[TOTAL HORAS RESTANTES]],MH_ONM7___0925_Cedros_Ninahuanc[[#All],[VERSIÓN]],"="&amp;TRIM(CLEAN('HOJAS DE HORA PROY.'!$B102)),MH_ONM7___0925_Cedros_Ninahuanc[[#All],[ESPECIALIDAD]],"="&amp;TRIM(CLEAN('HOJAS DE HORA PROY.'!G$1)))</f>
        <v>0</v>
      </c>
      <c r="H102" s="45">
        <f>$J102*SUMIFS(MH_ONM7___0925_Cedros_Ninahuanc[[#All],[TOTAL HORAS RESTANTES]],MH_ONM7___0925_Cedros_Ninahuanc[[#All],[VERSIÓN]],"="&amp;TRIM(CLEAN('HOJAS DE HORA PROY.'!$B102)),MH_ONM7___0925_Cedros_Ninahuanc[[#All],[ESPECIALIDAD]],"="&amp;TRIM(CLEAN('HOJAS DE HORA PROY.'!H$1)))</f>
        <v>0</v>
      </c>
      <c r="I102" s="45">
        <f>$J102*SUMIFS(MH_ONM7___0925_Cedros_Ninahuanc[[#All],[TOTAL HORAS RESTANTES]],MH_ONM7___0925_Cedros_Ninahuanc[[#All],[VERSIÓN]],"="&amp;TRIM(CLEAN('HOJAS DE HORA PROY.'!$B102)),MH_ONM7___0925_Cedros_Ninahuanc[[#All],[ESPECIALIDAD]],"="&amp;TRIM(CLEAN('HOJAS DE HORA PROY.'!I$1)))</f>
        <v>0</v>
      </c>
      <c r="J102" s="320">
        <v>1</v>
      </c>
      <c r="K102" s="321">
        <f t="shared" ref="K102:K105" si="14">SUM(C102:I102)*J102</f>
        <v>0</v>
      </c>
      <c r="L102" s="321"/>
      <c r="M102" s="322"/>
      <c r="N102" s="103" t="s">
        <v>366</v>
      </c>
      <c r="O102" s="269">
        <v>0</v>
      </c>
    </row>
    <row r="103" spans="1:18" ht="18" customHeight="1" x14ac:dyDescent="0.4">
      <c r="A103" s="316" t="str">
        <f>'MH-ONM7 - 0925-Cedros-Ninahuanc'!A3</f>
        <v>ONM7 - 0925-Cedros de Villa Chorrillos-Ninahuanca</v>
      </c>
      <c r="B103" s="317" t="s">
        <v>65</v>
      </c>
      <c r="C103" s="47">
        <f>$J103*SUMIFS(MH_ONM7___0925_Cedros_Ninahuanc[[#All],[TOTAL HORAS RESTANTES]],MH_ONM7___0925_Cedros_Ninahuanc[[#All],[VERSIÓN]],"="&amp;TRIM(CLEAN('HOJAS DE HORA PROY.'!$B103)),MH_ONM7___0925_Cedros_Ninahuanc[[#All],[ESPECIALIDAD]],"="&amp;TRIM(CLEAN('HOJAS DE HORA PROY.'!C$1)))</f>
        <v>0</v>
      </c>
      <c r="D103" s="47">
        <f>$J103*SUMIFS(MH_ONM7___0925_Cedros_Ninahuanc[[#All],[TOTAL HORAS RESTANTES]],MH_ONM7___0925_Cedros_Ninahuanc[[#All],[VERSIÓN]],"="&amp;TRIM(CLEAN('HOJAS DE HORA PROY.'!$B103)),MH_ONM7___0925_Cedros_Ninahuanc[[#All],[ESPECIALIDAD]],"="&amp;TRIM(CLEAN('HOJAS DE HORA PROY.'!D$1)))</f>
        <v>15.5</v>
      </c>
      <c r="E103" s="47">
        <f>$J103*SUMIFS(MH_ONM7___0925_Cedros_Ninahuanc[[#All],[TOTAL HORAS RESTANTES]],MH_ONM7___0925_Cedros_Ninahuanc[[#All],[VERSIÓN]],"="&amp;TRIM(CLEAN('HOJAS DE HORA PROY.'!$B103)),MH_ONM7___0925_Cedros_Ninahuanc[[#All],[ESPECIALIDAD]],"="&amp;TRIM(CLEAN('HOJAS DE HORA PROY.'!E$1)))</f>
        <v>0</v>
      </c>
      <c r="F103" s="47">
        <f>$J103*SUMIFS(MH_ONM7___0925_Cedros_Ninahuanc[[#All],[TOTAL HORAS RESTANTES]],MH_ONM7___0925_Cedros_Ninahuanc[[#All],[VERSIÓN]],"="&amp;TRIM(CLEAN('HOJAS DE HORA PROY.'!$B103)),MH_ONM7___0925_Cedros_Ninahuanc[[#All],[ESPECIALIDAD]],"="&amp;TRIM(CLEAN('HOJAS DE HORA PROY.'!F$1)))</f>
        <v>0.5</v>
      </c>
      <c r="G103" s="47">
        <f>$J103*SUMIFS(MH_ONM7___0925_Cedros_Ninahuanc[[#All],[TOTAL HORAS RESTANTES]],MH_ONM7___0925_Cedros_Ninahuanc[[#All],[VERSIÓN]],"="&amp;TRIM(CLEAN('HOJAS DE HORA PROY.'!$B103)),MH_ONM7___0925_Cedros_Ninahuanc[[#All],[ESPECIALIDAD]],"="&amp;TRIM(CLEAN('HOJAS DE HORA PROY.'!G$1)))</f>
        <v>0</v>
      </c>
      <c r="H103" s="47">
        <f>$J103*SUMIFS(MH_ONM7___0925_Cedros_Ninahuanc[[#All],[TOTAL HORAS RESTANTES]],MH_ONM7___0925_Cedros_Ninahuanc[[#All],[VERSIÓN]],"="&amp;TRIM(CLEAN('HOJAS DE HORA PROY.'!$B103)),MH_ONM7___0925_Cedros_Ninahuanc[[#All],[ESPECIALIDAD]],"="&amp;TRIM(CLEAN('HOJAS DE HORA PROY.'!H$1)))</f>
        <v>0</v>
      </c>
      <c r="I103" s="47">
        <f>$J103*SUMIFS(MH_ONM7___0925_Cedros_Ninahuanc[[#All],[TOTAL HORAS RESTANTES]],MH_ONM7___0925_Cedros_Ninahuanc[[#All],[VERSIÓN]],"="&amp;TRIM(CLEAN('HOJAS DE HORA PROY.'!$B103)),MH_ONM7___0925_Cedros_Ninahuanc[[#All],[ESPECIALIDAD]],"="&amp;TRIM(CLEAN('HOJAS DE HORA PROY.'!I$1)))</f>
        <v>0</v>
      </c>
      <c r="J103" s="323">
        <v>1</v>
      </c>
      <c r="K103" s="324">
        <f t="shared" si="14"/>
        <v>16</v>
      </c>
      <c r="L103" s="324"/>
      <c r="M103" s="325"/>
      <c r="N103" s="112" t="s">
        <v>366</v>
      </c>
      <c r="O103" s="270">
        <v>0</v>
      </c>
    </row>
    <row r="104" spans="1:18" ht="18" customHeight="1" x14ac:dyDescent="0.4">
      <c r="A104" s="316" t="str">
        <f>'MH-ONM7 - 0925-Cedros-Ninahuanc'!A4</f>
        <v>ONM7 - 0925-Cedros de Villa Chorrillos-Ninahuanca</v>
      </c>
      <c r="B104" s="317" t="s">
        <v>269</v>
      </c>
      <c r="C104" s="47">
        <f>$J104*SUMIFS(MH_ONM7___0925_Cedros_Ninahuanc[[#All],[TOTAL HORAS RESTANTES]],MH_ONM7___0925_Cedros_Ninahuanc[[#All],[VERSIÓN]],"="&amp;TRIM(CLEAN('HOJAS DE HORA PROY.'!$B104)),MH_ONM7___0925_Cedros_Ninahuanc[[#All],[ESPECIALIDAD]],"="&amp;TRIM(CLEAN('HOJAS DE HORA PROY.'!C$1)))</f>
        <v>22</v>
      </c>
      <c r="D104" s="47">
        <f>$J104*SUMIFS(MH_ONM7___0925_Cedros_Ninahuanc[[#All],[TOTAL HORAS RESTANTES]],MH_ONM7___0925_Cedros_Ninahuanc[[#All],[VERSIÓN]],"="&amp;TRIM(CLEAN('HOJAS DE HORA PROY.'!$B104)),MH_ONM7___0925_Cedros_Ninahuanc[[#All],[ESPECIALIDAD]],"="&amp;TRIM(CLEAN('HOJAS DE HORA PROY.'!D$1)))</f>
        <v>0</v>
      </c>
      <c r="E104" s="47">
        <f>$J104*SUMIFS(MH_ONM7___0925_Cedros_Ninahuanc[[#All],[TOTAL HORAS RESTANTES]],MH_ONM7___0925_Cedros_Ninahuanc[[#All],[VERSIÓN]],"="&amp;TRIM(CLEAN('HOJAS DE HORA PROY.'!$B104)),MH_ONM7___0925_Cedros_Ninahuanc[[#All],[ESPECIALIDAD]],"="&amp;TRIM(CLEAN('HOJAS DE HORA PROY.'!E$1)))</f>
        <v>0</v>
      </c>
      <c r="F104" s="47">
        <f>$J104*SUMIFS(MH_ONM7___0925_Cedros_Ninahuanc[[#All],[TOTAL HORAS RESTANTES]],MH_ONM7___0925_Cedros_Ninahuanc[[#All],[VERSIÓN]],"="&amp;TRIM(CLEAN('HOJAS DE HORA PROY.'!$B104)),MH_ONM7___0925_Cedros_Ninahuanc[[#All],[ESPECIALIDAD]],"="&amp;TRIM(CLEAN('HOJAS DE HORA PROY.'!F$1)))</f>
        <v>0</v>
      </c>
      <c r="G104" s="47">
        <f>$J104*SUMIFS(MH_ONM7___0925_Cedros_Ninahuanc[[#All],[TOTAL HORAS RESTANTES]],MH_ONM7___0925_Cedros_Ninahuanc[[#All],[VERSIÓN]],"="&amp;TRIM(CLEAN('HOJAS DE HORA PROY.'!$B104)),MH_ONM7___0925_Cedros_Ninahuanc[[#All],[ESPECIALIDAD]],"="&amp;TRIM(CLEAN('HOJAS DE HORA PROY.'!G$1)))</f>
        <v>0</v>
      </c>
      <c r="H104" s="47">
        <f>$J104*SUMIFS(MH_ONM7___0925_Cedros_Ninahuanc[[#All],[TOTAL HORAS RESTANTES]],MH_ONM7___0925_Cedros_Ninahuanc[[#All],[VERSIÓN]],"="&amp;TRIM(CLEAN('HOJAS DE HORA PROY.'!$B104)),MH_ONM7___0925_Cedros_Ninahuanc[[#All],[ESPECIALIDAD]],"="&amp;TRIM(CLEAN('HOJAS DE HORA PROY.'!H$1)))</f>
        <v>0</v>
      </c>
      <c r="I104" s="47">
        <f>$J104*SUMIFS(MH_ONM7___0925_Cedros_Ninahuanc[[#All],[TOTAL HORAS RESTANTES]],MH_ONM7___0925_Cedros_Ninahuanc[[#All],[VERSIÓN]],"="&amp;TRIM(CLEAN('HOJAS DE HORA PROY.'!$B104)),MH_ONM7___0925_Cedros_Ninahuanc[[#All],[ESPECIALIDAD]],"="&amp;TRIM(CLEAN('HOJAS DE HORA PROY.'!I$1)))</f>
        <v>0</v>
      </c>
      <c r="J104" s="323">
        <v>1</v>
      </c>
      <c r="K104" s="324">
        <f t="shared" si="14"/>
        <v>22</v>
      </c>
      <c r="L104" s="324"/>
      <c r="M104" s="325"/>
      <c r="N104" s="112" t="s">
        <v>366</v>
      </c>
      <c r="O104" s="270">
        <v>0</v>
      </c>
    </row>
    <row r="105" spans="1:18" ht="18" customHeight="1" thickBot="1" x14ac:dyDescent="0.45">
      <c r="A105" s="318" t="str">
        <f>'MH-ONM7 - 0925-Cedros-Ninahuanc'!A5</f>
        <v>ONM7 - 0925-Cedros de Villa Chorrillos-Ninahuanca</v>
      </c>
      <c r="B105" s="319" t="s">
        <v>66</v>
      </c>
      <c r="C105" s="46">
        <f>$J105*SUMIFS(MH_ONM7___0925_Cedros_Ninahuanc[[#All],[TOTAL HORAS RESTANTES]],MH_ONM7___0925_Cedros_Ninahuanc[[#All],[VERSIÓN]],"="&amp;TRIM(CLEAN('HOJAS DE HORA PROY.'!$B105)),MH_ONM7___0925_Cedros_Ninahuanc[[#All],[ESPECIALIDAD]],"="&amp;TRIM(CLEAN('HOJAS DE HORA PROY.'!C$1)))</f>
        <v>18</v>
      </c>
      <c r="D105" s="46">
        <f>$J105*SUMIFS(MH_ONM7___0925_Cedros_Ninahuanc[[#All],[TOTAL HORAS RESTANTES]],MH_ONM7___0925_Cedros_Ninahuanc[[#All],[VERSIÓN]],"="&amp;TRIM(CLEAN('HOJAS DE HORA PROY.'!$B105)),MH_ONM7___0925_Cedros_Ninahuanc[[#All],[ESPECIALIDAD]],"="&amp;TRIM(CLEAN('HOJAS DE HORA PROY.'!D$1)))</f>
        <v>24.5</v>
      </c>
      <c r="E105" s="46">
        <f>$J105*SUMIFS(MH_ONM7___0925_Cedros_Ninahuanc[[#All],[TOTAL HORAS RESTANTES]],MH_ONM7___0925_Cedros_Ninahuanc[[#All],[VERSIÓN]],"="&amp;TRIM(CLEAN('HOJAS DE HORA PROY.'!$B105)),MH_ONM7___0925_Cedros_Ninahuanc[[#All],[ESPECIALIDAD]],"="&amp;TRIM(CLEAN('HOJAS DE HORA PROY.'!E$1)))</f>
        <v>0</v>
      </c>
      <c r="F105" s="46">
        <f>$J105*SUMIFS(MH_ONM7___0925_Cedros_Ninahuanc[[#All],[TOTAL HORAS RESTANTES]],MH_ONM7___0925_Cedros_Ninahuanc[[#All],[VERSIÓN]],"="&amp;TRIM(CLEAN('HOJAS DE HORA PROY.'!$B105)),MH_ONM7___0925_Cedros_Ninahuanc[[#All],[ESPECIALIDAD]],"="&amp;TRIM(CLEAN('HOJAS DE HORA PROY.'!F$1)))</f>
        <v>13</v>
      </c>
      <c r="G105" s="46">
        <f>$J105*SUMIFS(MH_ONM7___0925_Cedros_Ninahuanc[[#All],[TOTAL HORAS RESTANTES]],MH_ONM7___0925_Cedros_Ninahuanc[[#All],[VERSIÓN]],"="&amp;TRIM(CLEAN('HOJAS DE HORA PROY.'!$B105)),MH_ONM7___0925_Cedros_Ninahuanc[[#All],[ESPECIALIDAD]],"="&amp;TRIM(CLEAN('HOJAS DE HORA PROY.'!G$1)))</f>
        <v>21</v>
      </c>
      <c r="H105" s="46">
        <f>$J105*SUMIFS(MH_ONM7___0925_Cedros_Ninahuanc[[#All],[TOTAL HORAS RESTANTES]],MH_ONM7___0925_Cedros_Ninahuanc[[#All],[VERSIÓN]],"="&amp;TRIM(CLEAN('HOJAS DE HORA PROY.'!$B105)),MH_ONM7___0925_Cedros_Ninahuanc[[#All],[ESPECIALIDAD]],"="&amp;TRIM(CLEAN('HOJAS DE HORA PROY.'!H$1)))</f>
        <v>9</v>
      </c>
      <c r="I105" s="46">
        <f>$J105*SUMIFS(MH_ONM7___0925_Cedros_Ninahuanc[[#All],[TOTAL HORAS RESTANTES]],MH_ONM7___0925_Cedros_Ninahuanc[[#All],[VERSIÓN]],"="&amp;TRIM(CLEAN('HOJAS DE HORA PROY.'!$B105)),MH_ONM7___0925_Cedros_Ninahuanc[[#All],[ESPECIALIDAD]],"="&amp;TRIM(CLEAN('HOJAS DE HORA PROY.'!I$1)))</f>
        <v>0</v>
      </c>
      <c r="J105" s="326">
        <v>1</v>
      </c>
      <c r="K105" s="327">
        <f t="shared" si="14"/>
        <v>85.5</v>
      </c>
      <c r="L105" s="327"/>
      <c r="M105" s="328" t="s">
        <v>40</v>
      </c>
      <c r="N105" s="107" t="s">
        <v>366</v>
      </c>
      <c r="O105" s="271">
        <v>2500</v>
      </c>
    </row>
    <row r="106" spans="1:18" ht="18" customHeight="1" x14ac:dyDescent="0.4">
      <c r="A106" s="330" t="str">
        <f>'MH-LNM7 - San Miguel-Wendy Mart'!A2</f>
        <v>LNM7 - San Miguel - Wendy y Martin</v>
      </c>
      <c r="B106" s="329" t="s">
        <v>140</v>
      </c>
      <c r="C106" s="283">
        <f>$J106*SUMIFS(MH_LNM7___San_Miguel_Wendy_Mart[[#All],[TOTAL HORAS RESTANTES]],MH_LNM7___San_Miguel_Wendy_Mart[[#All],[VERSIÓN]],"="&amp;TRIM(CLEAN('HOJAS DE HORA PROY.'!$B106)),MH_LNM7___San_Miguel_Wendy_Mart[[#All],[ESPECIALIDAD]],"="&amp;TRIM(CLEAN('HOJAS DE HORA PROY.'!C$1)))</f>
        <v>0</v>
      </c>
      <c r="D106" s="283">
        <f>$J106*SUMIFS(MH_LNM7___San_Miguel_Wendy_Mart[[#All],[TOTAL HORAS RESTANTES]],MH_LNM7___San_Miguel_Wendy_Mart[[#All],[VERSIÓN]],"="&amp;TRIM(CLEAN('HOJAS DE HORA PROY.'!$B106)),MH_LNM7___San_Miguel_Wendy_Mart[[#All],[ESPECIALIDAD]],"="&amp;TRIM(CLEAN('HOJAS DE HORA PROY.'!D$1)))</f>
        <v>0</v>
      </c>
      <c r="E106" s="283">
        <f>$J106*SUMIFS(MH_LNM7___San_Miguel_Wendy_Mart[[#All],[TOTAL HORAS RESTANTES]],MH_LNM7___San_Miguel_Wendy_Mart[[#All],[VERSIÓN]],"="&amp;TRIM(CLEAN('HOJAS DE HORA PROY.'!$B106)),MH_LNM7___San_Miguel_Wendy_Mart[[#All],[ESPECIALIDAD]],"="&amp;TRIM(CLEAN('HOJAS DE HORA PROY.'!E$1)))</f>
        <v>0</v>
      </c>
      <c r="F106" s="283">
        <f>$J106*SUMIFS(MH_LNM7___San_Miguel_Wendy_Mart[[#All],[TOTAL HORAS RESTANTES]],MH_LNM7___San_Miguel_Wendy_Mart[[#All],[VERSIÓN]],"="&amp;TRIM(CLEAN('HOJAS DE HORA PROY.'!$B106)),MH_LNM7___San_Miguel_Wendy_Mart[[#All],[ESPECIALIDAD]],"="&amp;TRIM(CLEAN('HOJAS DE HORA PROY.'!F$1)))</f>
        <v>0</v>
      </c>
      <c r="G106" s="283">
        <f>$J106*SUMIFS(MH_LNM7___San_Miguel_Wendy_Mart[[#All],[TOTAL HORAS RESTANTES]],MH_LNM7___San_Miguel_Wendy_Mart[[#All],[VERSIÓN]],"="&amp;TRIM(CLEAN('HOJAS DE HORA PROY.'!$B106)),MH_LNM7___San_Miguel_Wendy_Mart[[#All],[ESPECIALIDAD]],"="&amp;TRIM(CLEAN('HOJAS DE HORA PROY.'!G$1)))</f>
        <v>0</v>
      </c>
      <c r="H106" s="283">
        <f>$J106*SUMIFS(MH_LNM7___San_Miguel_Wendy_Mart[[#All],[TOTAL HORAS RESTANTES]],MH_LNM7___San_Miguel_Wendy_Mart[[#All],[VERSIÓN]],"="&amp;TRIM(CLEAN('HOJAS DE HORA PROY.'!$B106)),MH_LNM7___San_Miguel_Wendy_Mart[[#All],[ESPECIALIDAD]],"="&amp;TRIM(CLEAN('HOJAS DE HORA PROY.'!H$1)))</f>
        <v>0</v>
      </c>
      <c r="I106" s="283">
        <f>$J106*SUMIFS(MH_LNM7___San_Miguel_Wendy_Mart[[#All],[TOTAL HORAS RESTANTES]],MH_LNM7___San_Miguel_Wendy_Mart[[#All],[VERSIÓN]],"="&amp;TRIM(CLEAN('HOJAS DE HORA PROY.'!$B106)),MH_LNM7___San_Miguel_Wendy_Mart[[#All],[ESPECIALIDAD]],"="&amp;TRIM(CLEAN('HOJAS DE HORA PROY.'!I$1)))</f>
        <v>0</v>
      </c>
      <c r="J106" s="331">
        <v>1</v>
      </c>
      <c r="K106" s="332">
        <f t="shared" ref="K106:K112" si="15">SUM(C106:I106)*J106</f>
        <v>0</v>
      </c>
      <c r="L106" s="332"/>
      <c r="M106" s="333"/>
      <c r="N106" s="287" t="s">
        <v>366</v>
      </c>
      <c r="O106" s="288">
        <v>0</v>
      </c>
    </row>
    <row r="107" spans="1:18" ht="18" customHeight="1" x14ac:dyDescent="0.4">
      <c r="A107" s="71" t="str">
        <f>'MH-LNM7 - San Miguel-Wendy Mart'!A3</f>
        <v>LNM7 - San Miguel - Wendy y Martin</v>
      </c>
      <c r="B107" s="239" t="s">
        <v>65</v>
      </c>
      <c r="C107" s="47">
        <f>$J107*SUMIFS(MH_LNM7___San_Miguel_Wendy_Mart[[#All],[TOTAL HORAS RESTANTES]],MH_LNM7___San_Miguel_Wendy_Mart[[#All],[VERSIÓN]],"="&amp;TRIM(CLEAN('HOJAS DE HORA PROY.'!$B107)),MH_LNM7___San_Miguel_Wendy_Mart[[#All],[ESPECIALIDAD]],"="&amp;TRIM(CLEAN('HOJAS DE HORA PROY.'!C$1)))</f>
        <v>4</v>
      </c>
      <c r="D107" s="47">
        <f>$J107*SUMIFS(MH_LNM7___San_Miguel_Wendy_Mart[[#All],[TOTAL HORAS RESTANTES]],MH_LNM7___San_Miguel_Wendy_Mart[[#All],[VERSIÓN]],"="&amp;TRIM(CLEAN('HOJAS DE HORA PROY.'!$B107)),MH_LNM7___San_Miguel_Wendy_Mart[[#All],[ESPECIALIDAD]],"="&amp;TRIM(CLEAN('HOJAS DE HORA PROY.'!D$1)))</f>
        <v>8.5</v>
      </c>
      <c r="E107" s="47">
        <f>$J107*SUMIFS(MH_LNM7___San_Miguel_Wendy_Mart[[#All],[TOTAL HORAS RESTANTES]],MH_LNM7___San_Miguel_Wendy_Mart[[#All],[VERSIÓN]],"="&amp;TRIM(CLEAN('HOJAS DE HORA PROY.'!$B107)),MH_LNM7___San_Miguel_Wendy_Mart[[#All],[ESPECIALIDAD]],"="&amp;TRIM(CLEAN('HOJAS DE HORA PROY.'!E$1)))</f>
        <v>0</v>
      </c>
      <c r="F107" s="47">
        <f>$J107*SUMIFS(MH_LNM7___San_Miguel_Wendy_Mart[[#All],[TOTAL HORAS RESTANTES]],MH_LNM7___San_Miguel_Wendy_Mart[[#All],[VERSIÓN]],"="&amp;TRIM(CLEAN('HOJAS DE HORA PROY.'!$B107)),MH_LNM7___San_Miguel_Wendy_Mart[[#All],[ESPECIALIDAD]],"="&amp;TRIM(CLEAN('HOJAS DE HORA PROY.'!F$1)))</f>
        <v>0.5</v>
      </c>
      <c r="G107" s="47">
        <f>$J107*SUMIFS(MH_LNM7___San_Miguel_Wendy_Mart[[#All],[TOTAL HORAS RESTANTES]],MH_LNM7___San_Miguel_Wendy_Mart[[#All],[VERSIÓN]],"="&amp;TRIM(CLEAN('HOJAS DE HORA PROY.'!$B107)),MH_LNM7___San_Miguel_Wendy_Mart[[#All],[ESPECIALIDAD]],"="&amp;TRIM(CLEAN('HOJAS DE HORA PROY.'!G$1)))</f>
        <v>0</v>
      </c>
      <c r="H107" s="47">
        <f>$J107*SUMIFS(MH_LNM7___San_Miguel_Wendy_Mart[[#All],[TOTAL HORAS RESTANTES]],MH_LNM7___San_Miguel_Wendy_Mart[[#All],[VERSIÓN]],"="&amp;TRIM(CLEAN('HOJAS DE HORA PROY.'!$B107)),MH_LNM7___San_Miguel_Wendy_Mart[[#All],[ESPECIALIDAD]],"="&amp;TRIM(CLEAN('HOJAS DE HORA PROY.'!H$1)))</f>
        <v>0</v>
      </c>
      <c r="I107" s="47">
        <f>$J107*SUMIFS(MH_LNM7___San_Miguel_Wendy_Mart[[#All],[TOTAL HORAS RESTANTES]],MH_LNM7___San_Miguel_Wendy_Mart[[#All],[VERSIÓN]],"="&amp;TRIM(CLEAN('HOJAS DE HORA PROY.'!$B107)),MH_LNM7___San_Miguel_Wendy_Mart[[#All],[ESPECIALIDAD]],"="&amp;TRIM(CLEAN('HOJAS DE HORA PROY.'!I$1)))</f>
        <v>0</v>
      </c>
      <c r="J107" s="134">
        <v>1</v>
      </c>
      <c r="K107" s="135">
        <f t="shared" si="15"/>
        <v>13</v>
      </c>
      <c r="L107" s="135"/>
      <c r="M107" s="136" t="s">
        <v>38</v>
      </c>
      <c r="N107" s="112" t="s">
        <v>366</v>
      </c>
      <c r="O107" s="270">
        <v>0</v>
      </c>
    </row>
    <row r="108" spans="1:18" ht="18" customHeight="1" x14ac:dyDescent="0.4">
      <c r="A108" s="71" t="str">
        <f>'MH-LNM7 - San Miguel-Wendy Mart'!A4</f>
        <v>LNM7 - San Miguel - Wendy y Martin</v>
      </c>
      <c r="B108" s="239" t="s">
        <v>269</v>
      </c>
      <c r="C108" s="47">
        <f>$J108*SUMIFS(MH_LNM7___San_Miguel_Wendy_Mart[[#All],[TOTAL HORAS RESTANTES]],MH_LNM7___San_Miguel_Wendy_Mart[[#All],[VERSIÓN]],"="&amp;TRIM(CLEAN('HOJAS DE HORA PROY.'!$B108)),MH_LNM7___San_Miguel_Wendy_Mart[[#All],[ESPECIALIDAD]],"="&amp;TRIM(CLEAN('HOJAS DE HORA PROY.'!C$1)))</f>
        <v>9</v>
      </c>
      <c r="D108" s="47">
        <f>$J108*SUMIFS(MH_LNM7___San_Miguel_Wendy_Mart[[#All],[TOTAL HORAS RESTANTES]],MH_LNM7___San_Miguel_Wendy_Mart[[#All],[VERSIÓN]],"="&amp;TRIM(CLEAN('HOJAS DE HORA PROY.'!$B108)),MH_LNM7___San_Miguel_Wendy_Mart[[#All],[ESPECIALIDAD]],"="&amp;TRIM(CLEAN('HOJAS DE HORA PROY.'!D$1)))</f>
        <v>0</v>
      </c>
      <c r="E108" s="47">
        <f>$J108*SUMIFS(MH_LNM7___San_Miguel_Wendy_Mart[[#All],[TOTAL HORAS RESTANTES]],MH_LNM7___San_Miguel_Wendy_Mart[[#All],[VERSIÓN]],"="&amp;TRIM(CLEAN('HOJAS DE HORA PROY.'!$B108)),MH_LNM7___San_Miguel_Wendy_Mart[[#All],[ESPECIALIDAD]],"="&amp;TRIM(CLEAN('HOJAS DE HORA PROY.'!E$1)))</f>
        <v>0</v>
      </c>
      <c r="F108" s="47">
        <f>$J108*SUMIFS(MH_LNM7___San_Miguel_Wendy_Mart[[#All],[TOTAL HORAS RESTANTES]],MH_LNM7___San_Miguel_Wendy_Mart[[#All],[VERSIÓN]],"="&amp;TRIM(CLEAN('HOJAS DE HORA PROY.'!$B108)),MH_LNM7___San_Miguel_Wendy_Mart[[#All],[ESPECIALIDAD]],"="&amp;TRIM(CLEAN('HOJAS DE HORA PROY.'!F$1)))</f>
        <v>0</v>
      </c>
      <c r="G108" s="47">
        <f>$J108*SUMIFS(MH_LNM7___San_Miguel_Wendy_Mart[[#All],[TOTAL HORAS RESTANTES]],MH_LNM7___San_Miguel_Wendy_Mart[[#All],[VERSIÓN]],"="&amp;TRIM(CLEAN('HOJAS DE HORA PROY.'!$B108)),MH_LNM7___San_Miguel_Wendy_Mart[[#All],[ESPECIALIDAD]],"="&amp;TRIM(CLEAN('HOJAS DE HORA PROY.'!G$1)))</f>
        <v>0</v>
      </c>
      <c r="H108" s="47">
        <f>$J108*SUMIFS(MH_LNM7___San_Miguel_Wendy_Mart[[#All],[TOTAL HORAS RESTANTES]],MH_LNM7___San_Miguel_Wendy_Mart[[#All],[VERSIÓN]],"="&amp;TRIM(CLEAN('HOJAS DE HORA PROY.'!$B108)),MH_LNM7___San_Miguel_Wendy_Mart[[#All],[ESPECIALIDAD]],"="&amp;TRIM(CLEAN('HOJAS DE HORA PROY.'!H$1)))</f>
        <v>0</v>
      </c>
      <c r="I108" s="47">
        <f>$J108*SUMIFS(MH_LNM7___San_Miguel_Wendy_Mart[[#All],[TOTAL HORAS RESTANTES]],MH_LNM7___San_Miguel_Wendy_Mart[[#All],[VERSIÓN]],"="&amp;TRIM(CLEAN('HOJAS DE HORA PROY.'!$B108)),MH_LNM7___San_Miguel_Wendy_Mart[[#All],[ESPECIALIDAD]],"="&amp;TRIM(CLEAN('HOJAS DE HORA PROY.'!I$1)))</f>
        <v>0</v>
      </c>
      <c r="J108" s="134">
        <v>1</v>
      </c>
      <c r="K108" s="135">
        <f t="shared" ref="K108:K110" si="16">SUM(C108:I108)*J108</f>
        <v>9</v>
      </c>
      <c r="L108" s="135"/>
      <c r="M108" s="136" t="s">
        <v>38</v>
      </c>
      <c r="N108" s="112" t="s">
        <v>366</v>
      </c>
      <c r="O108" s="270">
        <v>1800</v>
      </c>
      <c r="Q108" s="356"/>
      <c r="R108" t="s">
        <v>574</v>
      </c>
    </row>
    <row r="109" spans="1:18" ht="18" customHeight="1" x14ac:dyDescent="0.4">
      <c r="A109" s="71" t="str">
        <f>'MH-LNM7 - San Miguel-Wendy Mart'!A5</f>
        <v>LNM7 - San Miguel - Wendy y Martin</v>
      </c>
      <c r="B109" s="239" t="s">
        <v>81</v>
      </c>
      <c r="C109" s="47">
        <f>$J109*SUMIFS(MH_LNM7___San_Miguel_Wendy_Mart[[#All],[TOTAL HORAS RESTANTES]],MH_LNM7___San_Miguel_Wendy_Mart[[#All],[VERSIÓN]],"="&amp;TRIM(CLEAN('HOJAS DE HORA PROY.'!$B109)),MH_LNM7___San_Miguel_Wendy_Mart[[#All],[ESPECIALIDAD]],"="&amp;TRIM(CLEAN('HOJAS DE HORA PROY.'!C$1)))</f>
        <v>22</v>
      </c>
      <c r="D109" s="47">
        <f>$J109*SUMIFS(MH_LNM7___San_Miguel_Wendy_Mart[[#All],[TOTAL HORAS RESTANTES]],MH_LNM7___San_Miguel_Wendy_Mart[[#All],[VERSIÓN]],"="&amp;TRIM(CLEAN('HOJAS DE HORA PROY.'!$B109)),MH_LNM7___San_Miguel_Wendy_Mart[[#All],[ESPECIALIDAD]],"="&amp;TRIM(CLEAN('HOJAS DE HORA PROY.'!D$1)))</f>
        <v>31</v>
      </c>
      <c r="E109" s="47">
        <f>$J109*SUMIFS(MH_LNM7___San_Miguel_Wendy_Mart[[#All],[TOTAL HORAS RESTANTES]],MH_LNM7___San_Miguel_Wendy_Mart[[#All],[VERSIÓN]],"="&amp;TRIM(CLEAN('HOJAS DE HORA PROY.'!$B109)),MH_LNM7___San_Miguel_Wendy_Mart[[#All],[ESPECIALIDAD]],"="&amp;TRIM(CLEAN('HOJAS DE HORA PROY.'!E$1)))</f>
        <v>0</v>
      </c>
      <c r="F109" s="47">
        <f>$J109*SUMIFS(MH_LNM7___San_Miguel_Wendy_Mart[[#All],[TOTAL HORAS RESTANTES]],MH_LNM7___San_Miguel_Wendy_Mart[[#All],[VERSIÓN]],"="&amp;TRIM(CLEAN('HOJAS DE HORA PROY.'!$B109)),MH_LNM7___San_Miguel_Wendy_Mart[[#All],[ESPECIALIDAD]],"="&amp;TRIM(CLEAN('HOJAS DE HORA PROY.'!F$1)))</f>
        <v>25</v>
      </c>
      <c r="G109" s="47">
        <f>$J109*SUMIFS(MH_LNM7___San_Miguel_Wendy_Mart[[#All],[TOTAL HORAS RESTANTES]],MH_LNM7___San_Miguel_Wendy_Mart[[#All],[VERSIÓN]],"="&amp;TRIM(CLEAN('HOJAS DE HORA PROY.'!$B109)),MH_LNM7___San_Miguel_Wendy_Mart[[#All],[ESPECIALIDAD]],"="&amp;TRIM(CLEAN('HOJAS DE HORA PROY.'!G$1)))</f>
        <v>35</v>
      </c>
      <c r="H109" s="47">
        <f>$J109*SUMIFS(MH_LNM7___San_Miguel_Wendy_Mart[[#All],[TOTAL HORAS RESTANTES]],MH_LNM7___San_Miguel_Wendy_Mart[[#All],[VERSIÓN]],"="&amp;TRIM(CLEAN('HOJAS DE HORA PROY.'!$B109)),MH_LNM7___San_Miguel_Wendy_Mart[[#All],[ESPECIALIDAD]],"="&amp;TRIM(CLEAN('HOJAS DE HORA PROY.'!H$1)))</f>
        <v>17</v>
      </c>
      <c r="I109" s="47">
        <f>$J109*SUMIFS(MH_LNM7___San_Miguel_Wendy_Mart[[#All],[TOTAL HORAS RESTANTES]],MH_LNM7___San_Miguel_Wendy_Mart[[#All],[VERSIÓN]],"="&amp;TRIM(CLEAN('HOJAS DE HORA PROY.'!$B109)),MH_LNM7___San_Miguel_Wendy_Mart[[#All],[ESPECIALIDAD]],"="&amp;TRIM(CLEAN('HOJAS DE HORA PROY.'!I$1)))</f>
        <v>0</v>
      </c>
      <c r="J109" s="134">
        <v>1</v>
      </c>
      <c r="K109" s="135">
        <f t="shared" si="16"/>
        <v>130</v>
      </c>
      <c r="L109" s="135"/>
      <c r="M109" s="136" t="s">
        <v>40</v>
      </c>
      <c r="N109" s="112" t="s">
        <v>366</v>
      </c>
      <c r="O109" s="270">
        <v>0</v>
      </c>
    </row>
    <row r="110" spans="1:18" ht="18" customHeight="1" x14ac:dyDescent="0.4">
      <c r="A110" s="71" t="str">
        <f>'MH-LNM7 - San Miguel-Wendy Mart'!A6</f>
        <v>LNM7 - San Miguel - Wendy y Martin</v>
      </c>
      <c r="B110" s="239" t="s">
        <v>170</v>
      </c>
      <c r="C110" s="47">
        <f>$J110*SUMIFS(MH_LNM7___San_Miguel_Wendy_Mart[[#All],[TOTAL HORAS RESTANTES]],MH_LNM7___San_Miguel_Wendy_Mart[[#All],[VERSIÓN]],"="&amp;TRIM(CLEAN('HOJAS DE HORA PROY.'!$B110)),MH_LNM7___San_Miguel_Wendy_Mart[[#All],[ESPECIALIDAD]],"="&amp;TRIM(CLEAN('HOJAS DE HORA PROY.'!C$1)))</f>
        <v>0</v>
      </c>
      <c r="D110" s="47">
        <f>$J110*SUMIFS(MH_LNM7___San_Miguel_Wendy_Mart[[#All],[TOTAL HORAS RESTANTES]],MH_LNM7___San_Miguel_Wendy_Mart[[#All],[VERSIÓN]],"="&amp;TRIM(CLEAN('HOJAS DE HORA PROY.'!$B110)),MH_LNM7___San_Miguel_Wendy_Mart[[#All],[ESPECIALIDAD]],"="&amp;TRIM(CLEAN('HOJAS DE HORA PROY.'!D$1)))</f>
        <v>0</v>
      </c>
      <c r="E110" s="47">
        <f>$J110*SUMIFS(MH_LNM7___San_Miguel_Wendy_Mart[[#All],[TOTAL HORAS RESTANTES]],MH_LNM7___San_Miguel_Wendy_Mart[[#All],[VERSIÓN]],"="&amp;TRIM(CLEAN('HOJAS DE HORA PROY.'!$B110)),MH_LNM7___San_Miguel_Wendy_Mart[[#All],[ESPECIALIDAD]],"="&amp;TRIM(CLEAN('HOJAS DE HORA PROY.'!E$1)))</f>
        <v>0</v>
      </c>
      <c r="F110" s="47">
        <f>$J110*SUMIFS(MH_LNM7___San_Miguel_Wendy_Mart[[#All],[TOTAL HORAS RESTANTES]],MH_LNM7___San_Miguel_Wendy_Mart[[#All],[VERSIÓN]],"="&amp;TRIM(CLEAN('HOJAS DE HORA PROY.'!$B110)),MH_LNM7___San_Miguel_Wendy_Mart[[#All],[ESPECIALIDAD]],"="&amp;TRIM(CLEAN('HOJAS DE HORA PROY.'!F$1)))</f>
        <v>0</v>
      </c>
      <c r="G110" s="47">
        <f>$J110*SUMIFS(MH_LNM7___San_Miguel_Wendy_Mart[[#All],[TOTAL HORAS RESTANTES]],MH_LNM7___San_Miguel_Wendy_Mart[[#All],[VERSIÓN]],"="&amp;TRIM(CLEAN('HOJAS DE HORA PROY.'!$B110)),MH_LNM7___San_Miguel_Wendy_Mart[[#All],[ESPECIALIDAD]],"="&amp;TRIM(CLEAN('HOJAS DE HORA PROY.'!G$1)))</f>
        <v>0</v>
      </c>
      <c r="H110" s="47">
        <f>$J110*SUMIFS(MH_LNM7___San_Miguel_Wendy_Mart[[#All],[TOTAL HORAS RESTANTES]],MH_LNM7___San_Miguel_Wendy_Mart[[#All],[VERSIÓN]],"="&amp;TRIM(CLEAN('HOJAS DE HORA PROY.'!$B110)),MH_LNM7___San_Miguel_Wendy_Mart[[#All],[ESPECIALIDAD]],"="&amp;TRIM(CLEAN('HOJAS DE HORA PROY.'!H$1)))</f>
        <v>0</v>
      </c>
      <c r="I110" s="47">
        <f>$J110*SUMIFS(MH_LNM7___San_Miguel_Wendy_Mart[[#All],[TOTAL HORAS RESTANTES]],MH_LNM7___San_Miguel_Wendy_Mart[[#All],[VERSIÓN]],"="&amp;TRIM(CLEAN('HOJAS DE HORA PROY.'!$B110)),MH_LNM7___San_Miguel_Wendy_Mart[[#All],[ESPECIALIDAD]],"="&amp;TRIM(CLEAN('HOJAS DE HORA PROY.'!I$1)))</f>
        <v>0</v>
      </c>
      <c r="J110" s="134">
        <v>1</v>
      </c>
      <c r="K110" s="135">
        <f t="shared" si="16"/>
        <v>0</v>
      </c>
      <c r="L110" s="135"/>
      <c r="M110" s="136" t="s">
        <v>40</v>
      </c>
      <c r="N110" s="112" t="s">
        <v>366</v>
      </c>
      <c r="O110" s="270">
        <v>1800</v>
      </c>
    </row>
    <row r="111" spans="1:18" ht="18" customHeight="1" x14ac:dyDescent="0.4">
      <c r="A111" s="71" t="str">
        <f>'MH-LNM7 - San Miguel-Wendy Mart'!A3</f>
        <v>LNM7 - San Miguel - Wendy y Martin</v>
      </c>
      <c r="B111" s="239" t="s">
        <v>144</v>
      </c>
      <c r="C111" s="47">
        <f>$J111*SUMIFS(MH_LNM7___San_Miguel_Wendy_Mart[[#All],[TOTAL HORAS RESTANTES]],MH_LNM7___San_Miguel_Wendy_Mart[[#All],[VERSIÓN]],"="&amp;TRIM(CLEAN('HOJAS DE HORA PROY.'!$B111)),MH_LNM7___San_Miguel_Wendy_Mart[[#All],[ESPECIALIDAD]],"="&amp;TRIM(CLEAN('HOJAS DE HORA PROY.'!C$1)))</f>
        <v>0</v>
      </c>
      <c r="D111" s="47">
        <f>$J111*SUMIFS(MH_LNM7___San_Miguel_Wendy_Mart[[#All],[TOTAL HORAS RESTANTES]],MH_LNM7___San_Miguel_Wendy_Mart[[#All],[VERSIÓN]],"="&amp;TRIM(CLEAN('HOJAS DE HORA PROY.'!$B111)),MH_LNM7___San_Miguel_Wendy_Mart[[#All],[ESPECIALIDAD]],"="&amp;TRIM(CLEAN('HOJAS DE HORA PROY.'!D$1)))</f>
        <v>0</v>
      </c>
      <c r="E111" s="47">
        <f>$J111*SUMIFS(MH_LNM7___San_Miguel_Wendy_Mart[[#All],[TOTAL HORAS RESTANTES]],MH_LNM7___San_Miguel_Wendy_Mart[[#All],[VERSIÓN]],"="&amp;TRIM(CLEAN('HOJAS DE HORA PROY.'!$B111)),MH_LNM7___San_Miguel_Wendy_Mart[[#All],[ESPECIALIDAD]],"="&amp;TRIM(CLEAN('HOJAS DE HORA PROY.'!E$1)))</f>
        <v>0</v>
      </c>
      <c r="F111" s="47">
        <f>$J111*SUMIFS(MH_LNM7___San_Miguel_Wendy_Mart[[#All],[TOTAL HORAS RESTANTES]],MH_LNM7___San_Miguel_Wendy_Mart[[#All],[VERSIÓN]],"="&amp;TRIM(CLEAN('HOJAS DE HORA PROY.'!$B111)),MH_LNM7___San_Miguel_Wendy_Mart[[#All],[ESPECIALIDAD]],"="&amp;TRIM(CLEAN('HOJAS DE HORA PROY.'!F$1)))</f>
        <v>9</v>
      </c>
      <c r="G111" s="47">
        <f>$J111*SUMIFS(MH_LNM7___San_Miguel_Wendy_Mart[[#All],[TOTAL HORAS RESTANTES]],MH_LNM7___San_Miguel_Wendy_Mart[[#All],[VERSIÓN]],"="&amp;TRIM(CLEAN('HOJAS DE HORA PROY.'!$B111)),MH_LNM7___San_Miguel_Wendy_Mart[[#All],[ESPECIALIDAD]],"="&amp;TRIM(CLEAN('HOJAS DE HORA PROY.'!G$1)))</f>
        <v>10</v>
      </c>
      <c r="H111" s="47">
        <f>$J111*SUMIFS(MH_LNM7___San_Miguel_Wendy_Mart[[#All],[TOTAL HORAS RESTANTES]],MH_LNM7___San_Miguel_Wendy_Mart[[#All],[VERSIÓN]],"="&amp;TRIM(CLEAN('HOJAS DE HORA PROY.'!$B111)),MH_LNM7___San_Miguel_Wendy_Mart[[#All],[ESPECIALIDAD]],"="&amp;TRIM(CLEAN('HOJAS DE HORA PROY.'!H$1)))</f>
        <v>4</v>
      </c>
      <c r="I111" s="47">
        <f>$J111*SUMIFS(MH_LNM7___San_Miguel_Wendy_Mart[[#All],[TOTAL HORAS RESTANTES]],MH_LNM7___San_Miguel_Wendy_Mart[[#All],[VERSIÓN]],"="&amp;TRIM(CLEAN('HOJAS DE HORA PROY.'!$B111)),MH_LNM7___San_Miguel_Wendy_Mart[[#All],[ESPECIALIDAD]],"="&amp;TRIM(CLEAN('HOJAS DE HORA PROY.'!I$1)))</f>
        <v>0</v>
      </c>
      <c r="J111" s="134">
        <v>1</v>
      </c>
      <c r="K111" s="135">
        <f t="shared" ref="K111" si="17">SUM(C111:I111)*J111</f>
        <v>23</v>
      </c>
      <c r="L111" s="135"/>
      <c r="M111" s="136"/>
      <c r="N111" s="112" t="s">
        <v>366</v>
      </c>
      <c r="O111" s="270">
        <v>0</v>
      </c>
    </row>
    <row r="112" spans="1:18" ht="18" customHeight="1" thickBot="1" x14ac:dyDescent="0.45">
      <c r="A112" s="61" t="str">
        <f>'MH-LNM7 - San Miguel-Wendy Mart'!A4</f>
        <v>LNM7 - San Miguel - Wendy y Martin</v>
      </c>
      <c r="B112" s="229" t="s">
        <v>284</v>
      </c>
      <c r="C112" s="46">
        <f>$J112*SUMIFS(MH_LNM7___San_Miguel_Wendy_Mart[[#All],[TOTAL HORAS RESTANTES]],MH_LNM7___San_Miguel_Wendy_Mart[[#All],[VERSIÓN]],"="&amp;TRIM(CLEAN('HOJAS DE HORA PROY.'!$B112)),MH_LNM7___San_Miguel_Wendy_Mart[[#All],[ESPECIALIDAD]],"="&amp;TRIM(CLEAN('HOJAS DE HORA PROY.'!C$1)))</f>
        <v>0</v>
      </c>
      <c r="D112" s="46">
        <f>$J112*SUMIFS(MH_LNM7___San_Miguel_Wendy_Mart[[#All],[TOTAL HORAS RESTANTES]],MH_LNM7___San_Miguel_Wendy_Mart[[#All],[VERSIÓN]],"="&amp;TRIM(CLEAN('HOJAS DE HORA PROY.'!$B112)),MH_LNM7___San_Miguel_Wendy_Mart[[#All],[ESPECIALIDAD]],"="&amp;TRIM(CLEAN('HOJAS DE HORA PROY.'!D$1)))</f>
        <v>0</v>
      </c>
      <c r="E112" s="46">
        <f>$J112*SUMIFS(MH_LNM7___San_Miguel_Wendy_Mart[[#All],[TOTAL HORAS RESTANTES]],MH_LNM7___San_Miguel_Wendy_Mart[[#All],[VERSIÓN]],"="&amp;TRIM(CLEAN('HOJAS DE HORA PROY.'!$B112)),MH_LNM7___San_Miguel_Wendy_Mart[[#All],[ESPECIALIDAD]],"="&amp;TRIM(CLEAN('HOJAS DE HORA PROY.'!E$1)))</f>
        <v>0</v>
      </c>
      <c r="F112" s="46">
        <f>$J112*SUMIFS(MH_LNM7___San_Miguel_Wendy_Mart[[#All],[TOTAL HORAS RESTANTES]],MH_LNM7___San_Miguel_Wendy_Mart[[#All],[VERSIÓN]],"="&amp;TRIM(CLEAN('HOJAS DE HORA PROY.'!$B112)),MH_LNM7___San_Miguel_Wendy_Mart[[#All],[ESPECIALIDAD]],"="&amp;TRIM(CLEAN('HOJAS DE HORA PROY.'!F$1)))</f>
        <v>0</v>
      </c>
      <c r="G112" s="46">
        <f>$J112*SUMIFS(MH_LNM7___San_Miguel_Wendy_Mart[[#All],[TOTAL HORAS RESTANTES]],MH_LNM7___San_Miguel_Wendy_Mart[[#All],[VERSIÓN]],"="&amp;TRIM(CLEAN('HOJAS DE HORA PROY.'!$B112)),MH_LNM7___San_Miguel_Wendy_Mart[[#All],[ESPECIALIDAD]],"="&amp;TRIM(CLEAN('HOJAS DE HORA PROY.'!G$1)))</f>
        <v>0</v>
      </c>
      <c r="H112" s="46">
        <f>$J112*SUMIFS(MH_LNM7___San_Miguel_Wendy_Mart[[#All],[TOTAL HORAS RESTANTES]],MH_LNM7___San_Miguel_Wendy_Mart[[#All],[VERSIÓN]],"="&amp;TRIM(CLEAN('HOJAS DE HORA PROY.'!$B112)),MH_LNM7___San_Miguel_Wendy_Mart[[#All],[ESPECIALIDAD]],"="&amp;TRIM(CLEAN('HOJAS DE HORA PROY.'!H$1)))</f>
        <v>0</v>
      </c>
      <c r="I112" s="46">
        <f>$J112*SUMIFS(MH_LNM7___San_Miguel_Wendy_Mart[[#All],[TOTAL HORAS RESTANTES]],MH_LNM7___San_Miguel_Wendy_Mart[[#All],[VERSIÓN]],"="&amp;TRIM(CLEAN('HOJAS DE HORA PROY.'!$B112)),MH_LNM7___San_Miguel_Wendy_Mart[[#All],[ESPECIALIDAD]],"="&amp;TRIM(CLEAN('HOJAS DE HORA PROY.'!I$1)))</f>
        <v>0</v>
      </c>
      <c r="J112" s="104">
        <v>1</v>
      </c>
      <c r="K112" s="105">
        <f t="shared" si="15"/>
        <v>0</v>
      </c>
      <c r="L112" s="105"/>
      <c r="M112" s="106"/>
      <c r="N112" s="107" t="s">
        <v>366</v>
      </c>
      <c r="O112" s="271">
        <v>600</v>
      </c>
    </row>
  </sheetData>
  <autoFilter ref="A1:O112" xr:uid="{55DE9CD2-FA26-43B9-A370-89250A729E12}"/>
  <phoneticPr fontId="4" type="noConversion"/>
  <conditionalFormatting sqref="N1:N1048576">
    <cfRule type="containsText" dxfId="8" priority="1" operator="containsText" text="BAJA">
      <formula>NOT(ISERROR(SEARCH("BAJA",N1)))</formula>
    </cfRule>
    <cfRule type="containsText" dxfId="7" priority="2" operator="containsText" text="MEDIA">
      <formula>NOT(ISERROR(SEARCH("MEDIA",N1)))</formula>
    </cfRule>
  </conditionalFormatting>
  <conditionalFormatting sqref="N2:N112">
    <cfRule type="containsText" dxfId="6" priority="3" operator="containsText" text="ALTA">
      <formula>NOT(ISERROR(SEARCH("ALTA",N2)))</formula>
    </cfRule>
  </conditionalFormatting>
  <dataValidations count="2">
    <dataValidation type="list" allowBlank="1" showInputMessage="1" showErrorMessage="1" sqref="B2:B3" xr:uid="{98D5FCEA-65D9-4B65-A891-862DBC8904B9}">
      <formula1>#REF!</formula1>
    </dataValidation>
    <dataValidation type="list" allowBlank="1" showInputMessage="1" showErrorMessage="1" sqref="N2:N112" xr:uid="{D0E0D5A5-0A5A-4EC5-B683-11CE7E8073E5}">
      <formula1>"ALTA,MEDIA,BAJA"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Header>&amp;C&amp;"-,Negrita"&amp;36PLANIFICACION PROYECTADA&amp;R&amp;22&amp;KFF0000&amp;D</oddHeader>
    <oddFooter>&amp;C&amp;20&amp;P</oddFooter>
  </headerFooter>
  <rowBreaks count="2" manualBreakCount="2">
    <brk id="37" max="14" man="1"/>
    <brk id="87" max="14" man="1"/>
  </rowBreaks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5CAF22FA-6273-4D4D-B98A-58A593BCACB6}">
          <x14:formula1>
            <xm:f>'MH-METRADO_0525 - SAN ISIDROCEL'!$E$2:$E$25</xm:f>
          </x14:formula1>
          <xm:sqref>B37</xm:sqref>
        </x14:dataValidation>
        <x14:dataValidation type="list" allowBlank="1" showInputMessage="1" showErrorMessage="1" xr:uid="{7F8EE839-E774-4B13-A59B-D443DAB9D438}">
          <x14:formula1>
            <xm:f>'MP-0525 - Surco - Arq  Edin'!$E$2:$E$243</xm:f>
          </x14:formula1>
          <xm:sqref>B4:B7</xm:sqref>
        </x14:dataValidation>
        <x14:dataValidation type="list" allowBlank="1" showInputMessage="1" showErrorMessage="1" xr:uid="{F402FFAD-5E35-49D8-A7C7-C1DEFC5BD0AC}">
          <x14:formula1>
            <xm:f>'MH-LNM10-0425-San Bartolo-Tafur'!$E$2:$E$206</xm:f>
          </x14:formula1>
          <xm:sqref>B44:B47</xm:sqref>
        </x14:dataValidation>
        <x14:dataValidation type="list" allowBlank="1" showInputMessage="1" showErrorMessage="1" xr:uid="{78CFAF60-43F0-411F-8819-C7B72886A1D0}">
          <x14:formula1>
            <xm:f>'MH-LNM5 - San Miguel - Ing  Mar'!$E$2:$E$30</xm:f>
          </x14:formula1>
          <xm:sqref>B28:B29</xm:sqref>
        </x14:dataValidation>
        <x14:dataValidation type="list" allowBlank="1" showInputMessage="1" showErrorMessage="1" xr:uid="{8959AE5C-8A4D-4BDE-9505-A033B7A21362}">
          <x14:formula1>
            <xm:f>'MH-LNM5-1025-Callao-CarlosCelis'!$E$2:$E$109</xm:f>
          </x14:formula1>
          <xm:sqref>B34:B35</xm:sqref>
        </x14:dataValidation>
        <x14:dataValidation type="list" allowBlank="1" showInputMessage="1" showErrorMessage="1" xr:uid="{67A18C88-567D-4ABF-AECF-196A4D72C4CC}">
          <x14:formula1>
            <xm:f>'MH-ONX8 - 0825 - Breña - Dario'!$E$2:$E$152</xm:f>
          </x14:formula1>
          <xm:sqref>B8:B10</xm:sqref>
        </x14:dataValidation>
        <x14:dataValidation type="list" allowBlank="1" showInputMessage="1" showErrorMessage="1" xr:uid="{345BD12E-BD8E-4234-B736-15CFB426402B}">
          <x14:formula1>
            <xm:f>'MH-LNM5_0425-SAN MIGUEL-CAR'!$E$2:$E$165</xm:f>
          </x14:formula1>
          <xm:sqref>B11:B14</xm:sqref>
        </x14:dataValidation>
        <x14:dataValidation type="list" allowBlank="1" showInputMessage="1" showErrorMessage="1" xr:uid="{3717F53B-5182-4F26-881D-093D1A435CE3}">
          <x14:formula1>
            <xm:f>'MH-LNX1 - 0325 - Breña - Juan C'!$E$2:$E$24</xm:f>
          </x14:formula1>
          <xm:sqref>B15</xm:sqref>
        </x14:dataValidation>
        <x14:dataValidation type="list" allowBlank="1" showInputMessage="1" showErrorMessage="1" xr:uid="{0C884996-75EB-47A5-9D16-051D4C03C105}">
          <x14:formula1>
            <xm:f>'MH-LNM7 - 0925 - Cedros - Ninah'!$E$2:$E$43</xm:f>
          </x14:formula1>
          <xm:sqref>B16:B19</xm:sqref>
        </x14:dataValidation>
        <x14:dataValidation type="list" allowBlank="1" showInputMessage="1" showErrorMessage="1" xr:uid="{BCB0DA40-715F-4C44-A781-714A7D366496}">
          <x14:formula1>
            <xm:f>'MH-LNC2-Cieneguilla-Sanny &amp; Bry'!$E$2:$E$102</xm:f>
          </x14:formula1>
          <xm:sqref>B24:B27</xm:sqref>
        </x14:dataValidation>
        <x14:dataValidation type="list" allowBlank="1" showInputMessage="1" showErrorMessage="1" xr:uid="{CD4F7FBB-B34B-40DC-A781-A5C0B8383DCE}">
          <x14:formula1>
            <xm:f>'MH-ESTRU-ONM7 - SMP - Remo Mele'!$E$2:$E$238</xm:f>
          </x14:formula1>
          <xm:sqref>B49:B51</xm:sqref>
        </x14:dataValidation>
        <x14:dataValidation type="list" allowBlank="1" showInputMessage="1" showErrorMessage="1" xr:uid="{311C0E53-94A2-41CB-A66D-5D84ACE66723}">
          <x14:formula1>
            <xm:f>'MH-LNM11_0925-PUEBLO LIBRE-TAF'!$E$2:$E$31</xm:f>
          </x14:formula1>
          <xm:sqref>B36</xm:sqref>
        </x14:dataValidation>
        <x14:dataValidation type="list" allowBlank="1" showInputMessage="1" showErrorMessage="1" xr:uid="{B9267D01-CE77-40C6-8D5D-45EBC4E58411}">
          <x14:formula1>
            <xm:f>'MP-OAM4 -0226- ATE -Maria'!$E$2:$E$60</xm:f>
          </x14:formula1>
          <xm:sqref>B48</xm:sqref>
        </x14:dataValidation>
        <x14:dataValidation type="list" allowBlank="1" showInputMessage="1" showErrorMessage="1" xr:uid="{F66A9C4D-47AD-4D97-BE18-A87E4911AE73}">
          <x14:formula1>
            <xm:f>'MP-LAM4 -0226- ATE -Maria'!$E$2:$E$106</xm:f>
          </x14:formula1>
          <xm:sqref>B52:B57</xm:sqref>
        </x14:dataValidation>
        <x14:dataValidation type="list" allowBlank="1" showInputMessage="1" showErrorMessage="1" xr:uid="{9DA31609-08A3-430A-B4B5-AFA38F2A7D71}">
          <x14:formula1>
            <xm:f>'MH-ESTRU-LAM5-0226-Surqu-Mirtha'!$E$2:$E$101</xm:f>
          </x14:formula1>
          <xm:sqref>B65:B72</xm:sqref>
        </x14:dataValidation>
        <x14:dataValidation type="list" allowBlank="1" showInputMessage="1" showErrorMessage="1" xr:uid="{8494260A-BE01-4474-B30B-4866712D65A3}">
          <x14:formula1>
            <xm:f>'MH-DF - 0226 - Surquillo-Mirtha'!$E$2:$E$29</xm:f>
          </x14:formula1>
          <xm:sqref>B73:B75</xm:sqref>
        </x14:dataValidation>
        <x14:dataValidation type="list" allowBlank="1" showInputMessage="1" showErrorMessage="1" xr:uid="{4752B079-BEDF-4D2E-85B8-086923A8E83D}">
          <x14:formula1>
            <xm:f>'MH-LNM5 - 0226 - SJL - MONTERO'!$E$2:$E$80</xm:f>
          </x14:formula1>
          <xm:sqref>B76:B81</xm:sqref>
        </x14:dataValidation>
        <x14:dataValidation type="list" allowBlank="1" showInputMessage="1" showErrorMessage="1" xr:uid="{94B90607-B8B6-4A9B-B6F6-1B25E272777D}">
          <x14:formula1>
            <xm:f>'MH-LNM5 - 0226 - SJL - MONTERO '!$E$2:$E$49</xm:f>
          </x14:formula1>
          <xm:sqref>B82:B84</xm:sqref>
        </x14:dataValidation>
        <x14:dataValidation type="list" allowBlank="1" showInputMessage="1" showErrorMessage="1" xr:uid="{9CD3EE5C-84A1-4F2D-8724-A9252E3BCC51}">
          <x14:formula1>
            <xm:f>'MH-DF - 0226 - Surquillo-Mi (2)'!$E$2:$E$35</xm:f>
          </x14:formula1>
          <xm:sqref>B85:B87</xm:sqref>
        </x14:dataValidation>
        <x14:dataValidation type="list" allowBlank="1" showInputMessage="1" showErrorMessage="1" xr:uid="{4BB1CB29-940F-4279-82C2-2F98A2EE2DF5}">
          <x14:formula1>
            <xm:f>'LNX2 - 0226 -San Borja-ENCISO'!$E$2:$E$131</xm:f>
          </x14:formula1>
          <xm:sqref>B88:B94</xm:sqref>
        </x14:dataValidation>
        <x14:dataValidation type="list" allowBlank="1" showInputMessage="1" showErrorMessage="1" xr:uid="{AE6F392C-9157-4138-9F97-1F48D3C04947}">
          <x14:formula1>
            <xm:f>'MH-ONM5 - El Agustino - Cristia'!$E$2:$E$59</xm:f>
          </x14:formula1>
          <xm:sqref>B95:B96</xm:sqref>
        </x14:dataValidation>
        <x14:dataValidation type="list" allowBlank="1" showInputMessage="1" showErrorMessage="1" xr:uid="{FD8F0ACA-E837-4FBD-B4CB-1D391FAB526C}">
          <x14:formula1>
            <xm:f>'MH-ONC2_0725-SAN ANTONIO-PEDRO'!$E$2:$E$163</xm:f>
          </x14:formula1>
          <xm:sqref>B20:B23</xm:sqref>
        </x14:dataValidation>
        <x14:dataValidation type="list" allowBlank="1" showInputMessage="1" showErrorMessage="1" xr:uid="{8F9F889E-EED7-40A4-B75C-BDC39ECCC0B2}">
          <x14:formula1>
            <xm:f>'MH-LAM4 -1225-San Miguel-Antoni'!$E$2:$E$162</xm:f>
          </x14:formula1>
          <xm:sqref>B38:B43</xm:sqref>
        </x14:dataValidation>
        <x14:dataValidation type="list" allowBlank="1" showInputMessage="1" showErrorMessage="1" xr:uid="{6B6EF282-D6B9-47F5-B4C8-C72F93A90D65}">
          <x14:formula1>
            <xm:f>'MH-ORX5-1125-Surquillo-LuzSuare'!$E$2:$E$74</xm:f>
          </x14:formula1>
          <xm:sqref>B30:B33</xm:sqref>
        </x14:dataValidation>
        <x14:dataValidation type="list" allowBlank="1" showInputMessage="1" showErrorMessage="1" xr:uid="{C4A0AB0E-F8CF-484C-92BF-24CD6795B422}">
          <x14:formula1>
            <xm:f>'LNM3-0226-Punta Hermosa-Farah'!$E$1:$E$105</xm:f>
          </x14:formula1>
          <xm:sqref>B58:B64</xm:sqref>
        </x14:dataValidation>
        <x14:dataValidation type="list" allowBlank="1" showInputMessage="1" showErrorMessage="1" xr:uid="{ADB887D1-20B8-4EBE-A089-DA697A18BDF9}">
          <x14:formula1>
            <xm:f>'MH-ONX7 - BREÑA - Eduardo Vara'!$E$2:$E$102</xm:f>
          </x14:formula1>
          <xm:sqref>B98:B101</xm:sqref>
        </x14:dataValidation>
        <x14:dataValidation type="list" allowBlank="1" showInputMessage="1" showErrorMessage="1" xr:uid="{396A6644-8C73-4A79-B87E-DAF9C3E55141}">
          <x14:formula1>
            <xm:f>'MH-LNM7 - San Miguel-Wendy Mart'!$E$2:$E$102</xm:f>
          </x14:formula1>
          <xm:sqref>B106:B112</xm:sqref>
        </x14:dataValidation>
        <x14:dataValidation type="list" allowBlank="1" showInputMessage="1" showErrorMessage="1" xr:uid="{4C2121E5-30B1-4389-8117-C93217064BC4}">
          <x14:formula1>
            <xm:f>'MH-ONM7 - 0925-Cedros-Ninahuanc'!$E$2:$E$68</xm:f>
          </x14:formula1>
          <xm:sqref>B102:B105</xm:sqref>
        </x14:dataValidation>
        <x14:dataValidation type="list" allowBlank="1" showInputMessage="1" showErrorMessage="1" xr:uid="{11A94C0B-D49F-44FA-9FC9-E0C9D749E199}">
          <x14:formula1>
            <xm:f>EDIT!$A$2:$A$25</xm:f>
          </x14:formula1>
          <xm:sqref>M2:N112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CB17-536B-4081-93A5-B18018587093}">
  <sheetPr>
    <pageSetUpPr fitToPage="1"/>
  </sheetPr>
  <dimension ref="A1:W878"/>
  <sheetViews>
    <sheetView zoomScaleNormal="100" workbookViewId="0">
      <pane xSplit="1" ySplit="1" topLeftCell="B34" activePane="bottomRight" state="frozen"/>
      <selection activeCell="C4" sqref="C4"/>
      <selection pane="topRight" activeCell="C4" sqref="C4"/>
      <selection pane="bottomLeft" activeCell="C4" sqref="C4"/>
      <selection pane="bottomRight" activeCell="G72" sqref="G72"/>
    </sheetView>
  </sheetViews>
  <sheetFormatPr baseColWidth="10" defaultRowHeight="14.4" outlineLevelRow="1" x14ac:dyDescent="0.3"/>
  <cols>
    <col min="1" max="1" width="61.88671875" style="7" customWidth="1"/>
    <col min="2" max="3" width="10.88671875" style="1" bestFit="1" customWidth="1"/>
    <col min="4" max="4" width="21.88671875" style="1" customWidth="1"/>
    <col min="5" max="6" width="15" style="1" customWidth="1"/>
    <col min="7" max="7" width="19.77734375" style="1" customWidth="1"/>
    <col min="8" max="8" width="8.33203125" style="1" hidden="1" customWidth="1"/>
    <col min="9" max="9" width="13.44140625" style="1" hidden="1" customWidth="1"/>
    <col min="10" max="11" width="12.6640625" style="1" bestFit="1" customWidth="1"/>
    <col min="12" max="13" width="7.88671875" bestFit="1" customWidth="1"/>
    <col min="14" max="15" width="9.44140625" bestFit="1" customWidth="1"/>
    <col min="16" max="17" width="12.6640625" bestFit="1" customWidth="1"/>
    <col min="18" max="19" width="10.21875" bestFit="1" customWidth="1"/>
    <col min="20" max="21" width="12.33203125" bestFit="1" customWidth="1"/>
    <col min="22" max="23" width="11.5546875" bestFit="1" customWidth="1"/>
    <col min="24" max="24" width="14.6640625" customWidth="1"/>
  </cols>
  <sheetData>
    <row r="1" spans="1:23" x14ac:dyDescent="0.3">
      <c r="A1" s="39" t="s">
        <v>27</v>
      </c>
      <c r="B1" s="39" t="s">
        <v>34</v>
      </c>
      <c r="C1" s="39" t="s">
        <v>35</v>
      </c>
      <c r="D1" s="39" t="s">
        <v>36</v>
      </c>
      <c r="E1" s="39" t="s">
        <v>37</v>
      </c>
      <c r="F1" s="39" t="s">
        <v>38</v>
      </c>
      <c r="G1" s="39" t="s">
        <v>40</v>
      </c>
      <c r="H1" s="39" t="s">
        <v>39</v>
      </c>
      <c r="I1" s="39" t="s">
        <v>41</v>
      </c>
      <c r="J1" s="39" t="s">
        <v>42</v>
      </c>
      <c r="K1" s="39" t="s">
        <v>43</v>
      </c>
      <c r="L1" s="39" t="s">
        <v>44</v>
      </c>
      <c r="M1" s="39" t="s">
        <v>45</v>
      </c>
      <c r="N1" s="39" t="s">
        <v>46</v>
      </c>
      <c r="O1" s="39" t="s">
        <v>47</v>
      </c>
      <c r="P1" s="39" t="s">
        <v>48</v>
      </c>
      <c r="Q1" s="39" t="s">
        <v>49</v>
      </c>
      <c r="R1" s="39" t="s">
        <v>50</v>
      </c>
      <c r="S1" s="39" t="s">
        <v>51</v>
      </c>
      <c r="T1" s="39" t="s">
        <v>52</v>
      </c>
      <c r="U1" s="39" t="s">
        <v>53</v>
      </c>
      <c r="V1" s="39" t="s">
        <v>54</v>
      </c>
      <c r="W1" s="39" t="s">
        <v>55</v>
      </c>
    </row>
    <row r="2" spans="1:23" hidden="1" outlineLevel="1" x14ac:dyDescent="0.3">
      <c r="A2" s="13" t="s">
        <v>79</v>
      </c>
      <c r="B2" s="8">
        <f>SUMIFS('HOJAS DE HORA PROY.'!$K$2:$K$943,'HOJAS DE HORA PROY.'!$A$2:$A$943,'PLAN MAESTRO FINAL'!$A2,'HOJAS DE HORA PROY.'!$M$2:$M$943,'PLAN MAESTRO FINAL'!B$1)</f>
        <v>0</v>
      </c>
      <c r="C2" s="8">
        <f>SUMIFS('HOJAS DE HORA PROY.'!$K$2:$K$943,'HOJAS DE HORA PROY.'!$A$2:$A$943,'PLAN MAESTRO FINAL'!$A2,'HOJAS DE HORA PROY.'!$M$2:$M$943,'PLAN MAESTRO FINAL'!C$1)</f>
        <v>0</v>
      </c>
      <c r="D2" s="8">
        <f>SUMIFS('HOJAS DE HORA PROY.'!$K$2:$K$943,'HOJAS DE HORA PROY.'!$A$2:$A$943,'PLAN MAESTRO FINAL'!$A2,'HOJAS DE HORA PROY.'!$M$2:$M$943,'PLAN MAESTRO FINAL'!D$1)</f>
        <v>0</v>
      </c>
      <c r="E2" s="8">
        <f>SUMIFS('HOJAS DE HORA PROY.'!$K$2:$K$943,'HOJAS DE HORA PROY.'!$A$2:$A$943,'PLAN MAESTRO FINAL'!$A2,'HOJAS DE HORA PROY.'!$M$2:$M$943,'PLAN MAESTRO FINAL'!E$1)</f>
        <v>0</v>
      </c>
      <c r="F2" s="8">
        <f>SUMIFS('HOJAS DE HORA PROY.'!$K$2:$K$943,'HOJAS DE HORA PROY.'!$A$2:$A$943,'PLAN MAESTRO FINAL'!$A2,'HOJAS DE HORA PROY.'!$M$2:$M$943,'PLAN MAESTRO FINAL'!F$1)</f>
        <v>0</v>
      </c>
      <c r="G2" s="8">
        <f>SUMIFS('HOJAS DE HORA PROY.'!$K$2:$K$943,'HOJAS DE HORA PROY.'!$A$2:$A$943,'PLAN MAESTRO FINAL'!$A2,'HOJAS DE HORA PROY.'!$M$2:$M$943,'PLAN MAESTRO FINAL'!G$1)</f>
        <v>0</v>
      </c>
      <c r="H2" s="8">
        <f>SUMIFS('HOJAS DE HORA PROY.'!$K$2:$K$943,'HOJAS DE HORA PROY.'!$A$2:$A$943,'PLAN MAESTRO FINAL'!$A2,'HOJAS DE HORA PROY.'!$M$2:$M$943,'PLAN MAESTRO FINAL'!H$1)</f>
        <v>0</v>
      </c>
      <c r="I2" s="8">
        <f>SUMIFS('HOJAS DE HORA PROY.'!$K$2:$K$943,'HOJAS DE HORA PROY.'!$A$2:$A$943,'PLAN MAESTRO FINAL'!$A2,'HOJAS DE HORA PROY.'!$M$2:$M$943,'PLAN MAESTRO FINAL'!I$1)</f>
        <v>0</v>
      </c>
      <c r="J2" s="8">
        <f>SUMIFS('HOJAS DE HORA PROY.'!$K$2:$K$943,'HOJAS DE HORA PROY.'!$A$2:$A$943,'PLAN MAESTRO FINAL'!$A2,'HOJAS DE HORA PROY.'!$M$2:$M$943,'PLAN MAESTRO FINAL'!J$1)</f>
        <v>0</v>
      </c>
      <c r="K2" s="8">
        <f>SUMIFS('HOJAS DE HORA PROY.'!$K$2:$K$943,'HOJAS DE HORA PROY.'!$A$2:$A$943,'PLAN MAESTRO FINAL'!$A2,'HOJAS DE HORA PROY.'!$M$2:$M$943,'PLAN MAESTRO FINAL'!K$1)</f>
        <v>0</v>
      </c>
      <c r="L2" s="8">
        <f>SUMIFS('HOJAS DE HORA PROY.'!$K$2:$K$943,'HOJAS DE HORA PROY.'!$A$2:$A$943,'PLAN MAESTRO FINAL'!$A2,'HOJAS DE HORA PROY.'!$M$2:$M$943,'PLAN MAESTRO FINAL'!L$1)</f>
        <v>0</v>
      </c>
      <c r="M2" s="8">
        <f>SUMIFS('HOJAS DE HORA PROY.'!$K$2:$K$943,'HOJAS DE HORA PROY.'!$A$2:$A$943,'PLAN MAESTRO FINAL'!$A2,'HOJAS DE HORA PROY.'!$M$2:$M$943,'PLAN MAESTRO FINAL'!M$1)</f>
        <v>0</v>
      </c>
      <c r="N2" s="8">
        <f>SUMIFS('HOJAS DE HORA PROY.'!$K$2:$K$943,'HOJAS DE HORA PROY.'!$A$2:$A$943,'PLAN MAESTRO FINAL'!$A2,'HOJAS DE HORA PROY.'!$M$2:$M$943,'PLAN MAESTRO FINAL'!N$1)</f>
        <v>0</v>
      </c>
      <c r="O2" s="8">
        <f>SUMIFS('HOJAS DE HORA PROY.'!$K$2:$K$943,'HOJAS DE HORA PROY.'!$A$2:$A$943,'PLAN MAESTRO FINAL'!$A2,'HOJAS DE HORA PROY.'!$M$2:$M$943,'PLAN MAESTRO FINAL'!O$1)</f>
        <v>0</v>
      </c>
      <c r="P2" s="8">
        <f>SUMIFS('HOJAS DE HORA PROY.'!$K$2:$K$943,'HOJAS DE HORA PROY.'!$A$2:$A$943,'PLAN MAESTRO FINAL'!$A2,'HOJAS DE HORA PROY.'!$M$2:$M$943,'PLAN MAESTRO FINAL'!P$1)</f>
        <v>0</v>
      </c>
      <c r="Q2" s="8">
        <f>SUMIFS('HOJAS DE HORA PROY.'!$K$2:$K$943,'HOJAS DE HORA PROY.'!$A$2:$A$943,'PLAN MAESTRO FINAL'!$A2,'HOJAS DE HORA PROY.'!$M$2:$M$943,'PLAN MAESTRO FINAL'!Q$1)</f>
        <v>0</v>
      </c>
      <c r="R2" s="8">
        <f>SUMIFS('HOJAS DE HORA PROY.'!$K$2:$K$943,'HOJAS DE HORA PROY.'!$A$2:$A$943,'PLAN MAESTRO FINAL'!$A2,'HOJAS DE HORA PROY.'!$M$2:$M$943,'PLAN MAESTRO FINAL'!R$1)</f>
        <v>0</v>
      </c>
      <c r="S2" s="8">
        <f>SUMIFS('HOJAS DE HORA PROY.'!$K$2:$K$943,'HOJAS DE HORA PROY.'!$A$2:$A$943,'PLAN MAESTRO FINAL'!$A2,'HOJAS DE HORA PROY.'!$M$2:$M$943,'PLAN MAESTRO FINAL'!S$1)</f>
        <v>0</v>
      </c>
      <c r="T2" s="8">
        <f>SUMIFS('HOJAS DE HORA PROY.'!$K$2:$K$943,'HOJAS DE HORA PROY.'!$A$2:$A$943,'PLAN MAESTRO FINAL'!$A2,'HOJAS DE HORA PROY.'!$M$2:$M$943,'PLAN MAESTRO FINAL'!T$1)</f>
        <v>0</v>
      </c>
      <c r="U2" s="8">
        <f>SUMIFS('HOJAS DE HORA PROY.'!$K$2:$K$943,'HOJAS DE HORA PROY.'!$A$2:$A$943,'PLAN MAESTRO FINAL'!$A2,'HOJAS DE HORA PROY.'!$M$2:$M$943,'PLAN MAESTRO FINAL'!U$1)</f>
        <v>0</v>
      </c>
      <c r="V2" s="8">
        <f>SUMIFS('HOJAS DE HORA PROY.'!$K$2:$K$943,'HOJAS DE HORA PROY.'!$A$2:$A$943,'PLAN MAESTRO FINAL'!$A2,'HOJAS DE HORA PROY.'!$M$2:$M$943,'PLAN MAESTRO FINAL'!V$1)</f>
        <v>0</v>
      </c>
      <c r="W2" s="8">
        <f>SUMIFS('HOJAS DE HORA PROY.'!$K$2:$K$943,'HOJAS DE HORA PROY.'!$A$2:$A$943,'PLAN MAESTRO FINAL'!$A2,'HOJAS DE HORA PROY.'!$M$2:$M$943,'PLAN MAESTRO FINAL'!W$1)</f>
        <v>0</v>
      </c>
    </row>
    <row r="3" spans="1:23" hidden="1" outlineLevel="1" x14ac:dyDescent="0.3">
      <c r="A3" s="13" t="s">
        <v>85</v>
      </c>
      <c r="B3" s="8">
        <f>SUMIFS('HOJAS DE HORA PROY.'!$K$2:$K$943,'HOJAS DE HORA PROY.'!$A$2:$A$943,'PLAN MAESTRO FINAL'!$A3,'HOJAS DE HORA PROY.'!$M$2:$M$943,'PLAN MAESTRO FINAL'!B$1)</f>
        <v>0</v>
      </c>
      <c r="C3" s="8">
        <f>SUMIFS('HOJAS DE HORA PROY.'!$K$2:$K$943,'HOJAS DE HORA PROY.'!$A$2:$A$943,'PLAN MAESTRO FINAL'!$A3,'HOJAS DE HORA PROY.'!$M$2:$M$943,'PLAN MAESTRO FINAL'!C$1)</f>
        <v>0</v>
      </c>
      <c r="D3" s="8">
        <f>SUMIFS('HOJAS DE HORA PROY.'!$K$2:$K$943,'HOJAS DE HORA PROY.'!$A$2:$A$943,'PLAN MAESTRO FINAL'!$A3,'HOJAS DE HORA PROY.'!$M$2:$M$943,'PLAN MAESTRO FINAL'!D$1)</f>
        <v>0</v>
      </c>
      <c r="E3" s="8">
        <f>SUMIFS('HOJAS DE HORA PROY.'!$K$2:$K$943,'HOJAS DE HORA PROY.'!$A$2:$A$943,'PLAN MAESTRO FINAL'!$A3,'HOJAS DE HORA PROY.'!$M$2:$M$943,'PLAN MAESTRO FINAL'!E$1)</f>
        <v>0</v>
      </c>
      <c r="F3" s="8">
        <f>SUMIFS('HOJAS DE HORA PROY.'!$K$2:$K$943,'HOJAS DE HORA PROY.'!$A$2:$A$943,'PLAN MAESTRO FINAL'!$A3,'HOJAS DE HORA PROY.'!$M$2:$M$943,'PLAN MAESTRO FINAL'!F$1)</f>
        <v>0</v>
      </c>
      <c r="G3" s="8">
        <f>SUMIFS('HOJAS DE HORA PROY.'!$K$2:$K$943,'HOJAS DE HORA PROY.'!$A$2:$A$943,'PLAN MAESTRO FINAL'!$A3,'HOJAS DE HORA PROY.'!$M$2:$M$943,'PLAN MAESTRO FINAL'!G$1)</f>
        <v>26.5</v>
      </c>
      <c r="H3" s="8">
        <f>SUMIFS('HOJAS DE HORA PROY.'!$K$2:$K$943,'HOJAS DE HORA PROY.'!$A$2:$A$943,'PLAN MAESTRO FINAL'!$A3,'HOJAS DE HORA PROY.'!$M$2:$M$943,'PLAN MAESTRO FINAL'!H$1)</f>
        <v>0</v>
      </c>
      <c r="I3" s="8">
        <f>SUMIFS('HOJAS DE HORA PROY.'!$K$2:$K$943,'HOJAS DE HORA PROY.'!$A$2:$A$943,'PLAN MAESTRO FINAL'!$A3,'HOJAS DE HORA PROY.'!$M$2:$M$943,'PLAN MAESTRO FINAL'!I$1)</f>
        <v>0</v>
      </c>
      <c r="J3" s="8">
        <f>SUMIFS('HOJAS DE HORA PROY.'!$K$2:$K$943,'HOJAS DE HORA PROY.'!$A$2:$A$943,'PLAN MAESTRO FINAL'!$A3,'HOJAS DE HORA PROY.'!$M$2:$M$943,'PLAN MAESTRO FINAL'!J$1)</f>
        <v>0</v>
      </c>
      <c r="K3" s="8">
        <f>SUMIFS('HOJAS DE HORA PROY.'!$K$2:$K$943,'HOJAS DE HORA PROY.'!$A$2:$A$943,'PLAN MAESTRO FINAL'!$A3,'HOJAS DE HORA PROY.'!$M$2:$M$943,'PLAN MAESTRO FINAL'!K$1)</f>
        <v>16</v>
      </c>
      <c r="L3" s="8">
        <f>SUMIFS('HOJAS DE HORA PROY.'!$K$2:$K$943,'HOJAS DE HORA PROY.'!$A$2:$A$943,'PLAN MAESTRO FINAL'!$A3,'HOJAS DE HORA PROY.'!$M$2:$M$943,'PLAN MAESTRO FINAL'!L$1)</f>
        <v>0</v>
      </c>
      <c r="M3" s="8">
        <f>SUMIFS('HOJAS DE HORA PROY.'!$K$2:$K$943,'HOJAS DE HORA PROY.'!$A$2:$A$943,'PLAN MAESTRO FINAL'!$A3,'HOJAS DE HORA PROY.'!$M$2:$M$943,'PLAN MAESTRO FINAL'!M$1)</f>
        <v>0</v>
      </c>
      <c r="N3" s="8">
        <f>SUMIFS('HOJAS DE HORA PROY.'!$K$2:$K$943,'HOJAS DE HORA PROY.'!$A$2:$A$943,'PLAN MAESTRO FINAL'!$A3,'HOJAS DE HORA PROY.'!$M$2:$M$943,'PLAN MAESTRO FINAL'!N$1)</f>
        <v>0</v>
      </c>
      <c r="O3" s="8">
        <f>SUMIFS('HOJAS DE HORA PROY.'!$K$2:$K$943,'HOJAS DE HORA PROY.'!$A$2:$A$943,'PLAN MAESTRO FINAL'!$A3,'HOJAS DE HORA PROY.'!$M$2:$M$943,'PLAN MAESTRO FINAL'!O$1)</f>
        <v>0</v>
      </c>
      <c r="P3" s="8">
        <f>SUMIFS('HOJAS DE HORA PROY.'!$K$2:$K$943,'HOJAS DE HORA PROY.'!$A$2:$A$943,'PLAN MAESTRO FINAL'!$A3,'HOJAS DE HORA PROY.'!$M$2:$M$943,'PLAN MAESTRO FINAL'!P$1)</f>
        <v>0</v>
      </c>
      <c r="Q3" s="8">
        <f>SUMIFS('HOJAS DE HORA PROY.'!$K$2:$K$943,'HOJAS DE HORA PROY.'!$A$2:$A$943,'PLAN MAESTRO FINAL'!$A3,'HOJAS DE HORA PROY.'!$M$2:$M$943,'PLAN MAESTRO FINAL'!Q$1)</f>
        <v>0</v>
      </c>
      <c r="R3" s="8">
        <f>SUMIFS('HOJAS DE HORA PROY.'!$K$2:$K$943,'HOJAS DE HORA PROY.'!$A$2:$A$943,'PLAN MAESTRO FINAL'!$A3,'HOJAS DE HORA PROY.'!$M$2:$M$943,'PLAN MAESTRO FINAL'!R$1)</f>
        <v>0</v>
      </c>
      <c r="S3" s="8">
        <f>SUMIFS('HOJAS DE HORA PROY.'!$K$2:$K$943,'HOJAS DE HORA PROY.'!$A$2:$A$943,'PLAN MAESTRO FINAL'!$A3,'HOJAS DE HORA PROY.'!$M$2:$M$943,'PLAN MAESTRO FINAL'!S$1)</f>
        <v>0</v>
      </c>
      <c r="T3" s="8">
        <f>SUMIFS('HOJAS DE HORA PROY.'!$K$2:$K$943,'HOJAS DE HORA PROY.'!$A$2:$A$943,'PLAN MAESTRO FINAL'!$A3,'HOJAS DE HORA PROY.'!$M$2:$M$943,'PLAN MAESTRO FINAL'!T$1)</f>
        <v>0</v>
      </c>
      <c r="U3" s="8">
        <f>SUMIFS('HOJAS DE HORA PROY.'!$K$2:$K$943,'HOJAS DE HORA PROY.'!$A$2:$A$943,'PLAN MAESTRO FINAL'!$A3,'HOJAS DE HORA PROY.'!$M$2:$M$943,'PLAN MAESTRO FINAL'!U$1)</f>
        <v>0</v>
      </c>
      <c r="V3" s="8">
        <f>SUMIFS('HOJAS DE HORA PROY.'!$K$2:$K$943,'HOJAS DE HORA PROY.'!$A$2:$A$943,'PLAN MAESTRO FINAL'!$A3,'HOJAS DE HORA PROY.'!$M$2:$M$943,'PLAN MAESTRO FINAL'!V$1)</f>
        <v>0</v>
      </c>
      <c r="W3" s="8">
        <f>SUMIFS('HOJAS DE HORA PROY.'!$K$2:$K$943,'HOJAS DE HORA PROY.'!$A$2:$A$943,'PLAN MAESTRO FINAL'!$A3,'HOJAS DE HORA PROY.'!$M$2:$M$943,'PLAN MAESTRO FINAL'!W$1)</f>
        <v>0</v>
      </c>
    </row>
    <row r="4" spans="1:23" hidden="1" outlineLevel="1" x14ac:dyDescent="0.3">
      <c r="A4" s="13" t="s">
        <v>68</v>
      </c>
      <c r="B4" s="8">
        <f>SUMIFS('HOJAS DE HORA PROY.'!$K$2:$K$943,'HOJAS DE HORA PROY.'!$A$2:$A$943,'PLAN MAESTRO FINAL'!$A4,'HOJAS DE HORA PROY.'!$M$2:$M$943,'PLAN MAESTRO FINAL'!B$1)</f>
        <v>0</v>
      </c>
      <c r="C4" s="8">
        <f>SUMIFS('HOJAS DE HORA PROY.'!$K$2:$K$943,'HOJAS DE HORA PROY.'!$A$2:$A$943,'PLAN MAESTRO FINAL'!$A4,'HOJAS DE HORA PROY.'!$M$2:$M$943,'PLAN MAESTRO FINAL'!C$1)</f>
        <v>0</v>
      </c>
      <c r="D4" s="8">
        <f>SUMIFS('HOJAS DE HORA PROY.'!$K$2:$K$943,'HOJAS DE HORA PROY.'!$A$2:$A$943,'PLAN MAESTRO FINAL'!$A4,'HOJAS DE HORA PROY.'!$M$2:$M$943,'PLAN MAESTRO FINAL'!D$1)</f>
        <v>0</v>
      </c>
      <c r="E4" s="8">
        <f>SUMIFS('HOJAS DE HORA PROY.'!$K$2:$K$943,'HOJAS DE HORA PROY.'!$A$2:$A$943,'PLAN MAESTRO FINAL'!$A4,'HOJAS DE HORA PROY.'!$M$2:$M$943,'PLAN MAESTRO FINAL'!E$1)</f>
        <v>0</v>
      </c>
      <c r="F4" s="8">
        <f>SUMIFS('HOJAS DE HORA PROY.'!$K$2:$K$943,'HOJAS DE HORA PROY.'!$A$2:$A$943,'PLAN MAESTRO FINAL'!$A4,'HOJAS DE HORA PROY.'!$M$2:$M$943,'PLAN MAESTRO FINAL'!F$1)</f>
        <v>0</v>
      </c>
      <c r="G4" s="8">
        <f>SUMIFS('HOJAS DE HORA PROY.'!$K$2:$K$943,'HOJAS DE HORA PROY.'!$A$2:$A$943,'PLAN MAESTRO FINAL'!$A4,'HOJAS DE HORA PROY.'!$M$2:$M$943,'PLAN MAESTRO FINAL'!G$1)</f>
        <v>0</v>
      </c>
      <c r="H4" s="8">
        <f>SUMIFS('HOJAS DE HORA PROY.'!$K$2:$K$943,'HOJAS DE HORA PROY.'!$A$2:$A$943,'PLAN MAESTRO FINAL'!$A4,'HOJAS DE HORA PROY.'!$M$2:$M$943,'PLAN MAESTRO FINAL'!H$1)</f>
        <v>0</v>
      </c>
      <c r="I4" s="8">
        <f>SUMIFS('HOJAS DE HORA PROY.'!$K$2:$K$943,'HOJAS DE HORA PROY.'!$A$2:$A$943,'PLAN MAESTRO FINAL'!$A4,'HOJAS DE HORA PROY.'!$M$2:$M$943,'PLAN MAESTRO FINAL'!I$1)</f>
        <v>0</v>
      </c>
      <c r="J4" s="8">
        <f>SUMIFS('HOJAS DE HORA PROY.'!$K$2:$K$943,'HOJAS DE HORA PROY.'!$A$2:$A$943,'PLAN MAESTRO FINAL'!$A4,'HOJAS DE HORA PROY.'!$M$2:$M$943,'PLAN MAESTRO FINAL'!J$1)</f>
        <v>0</v>
      </c>
      <c r="K4" s="8">
        <f>SUMIFS('HOJAS DE HORA PROY.'!$K$2:$K$943,'HOJAS DE HORA PROY.'!$A$2:$A$943,'PLAN MAESTRO FINAL'!$A4,'HOJAS DE HORA PROY.'!$M$2:$M$943,'PLAN MAESTRO FINAL'!K$1)</f>
        <v>0</v>
      </c>
      <c r="L4" s="8">
        <f>SUMIFS('HOJAS DE HORA PROY.'!$K$2:$K$943,'HOJAS DE HORA PROY.'!$A$2:$A$943,'PLAN MAESTRO FINAL'!$A4,'HOJAS DE HORA PROY.'!$M$2:$M$943,'PLAN MAESTRO FINAL'!L$1)</f>
        <v>0</v>
      </c>
      <c r="M4" s="8">
        <f>SUMIFS('HOJAS DE HORA PROY.'!$K$2:$K$943,'HOJAS DE HORA PROY.'!$A$2:$A$943,'PLAN MAESTRO FINAL'!$A4,'HOJAS DE HORA PROY.'!$M$2:$M$943,'PLAN MAESTRO FINAL'!M$1)</f>
        <v>0</v>
      </c>
      <c r="N4" s="8">
        <f>SUMIFS('HOJAS DE HORA PROY.'!$K$2:$K$943,'HOJAS DE HORA PROY.'!$A$2:$A$943,'PLAN MAESTRO FINAL'!$A4,'HOJAS DE HORA PROY.'!$M$2:$M$943,'PLAN MAESTRO FINAL'!N$1)</f>
        <v>0</v>
      </c>
      <c r="O4" s="8">
        <f>SUMIFS('HOJAS DE HORA PROY.'!$K$2:$K$943,'HOJAS DE HORA PROY.'!$A$2:$A$943,'PLAN MAESTRO FINAL'!$A4,'HOJAS DE HORA PROY.'!$M$2:$M$943,'PLAN MAESTRO FINAL'!O$1)</f>
        <v>0</v>
      </c>
      <c r="P4" s="8">
        <f>SUMIFS('HOJAS DE HORA PROY.'!$K$2:$K$943,'HOJAS DE HORA PROY.'!$A$2:$A$943,'PLAN MAESTRO FINAL'!$A4,'HOJAS DE HORA PROY.'!$M$2:$M$943,'PLAN MAESTRO FINAL'!P$1)</f>
        <v>0</v>
      </c>
      <c r="Q4" s="8">
        <f>SUMIFS('HOJAS DE HORA PROY.'!$K$2:$K$943,'HOJAS DE HORA PROY.'!$A$2:$A$943,'PLAN MAESTRO FINAL'!$A4,'HOJAS DE HORA PROY.'!$M$2:$M$943,'PLAN MAESTRO FINAL'!Q$1)</f>
        <v>0</v>
      </c>
      <c r="R4" s="8">
        <f>SUMIFS('HOJAS DE HORA PROY.'!$K$2:$K$943,'HOJAS DE HORA PROY.'!$A$2:$A$943,'PLAN MAESTRO FINAL'!$A4,'HOJAS DE HORA PROY.'!$M$2:$M$943,'PLAN MAESTRO FINAL'!R$1)</f>
        <v>0</v>
      </c>
      <c r="S4" s="8">
        <f>SUMIFS('HOJAS DE HORA PROY.'!$K$2:$K$943,'HOJAS DE HORA PROY.'!$A$2:$A$943,'PLAN MAESTRO FINAL'!$A4,'HOJAS DE HORA PROY.'!$M$2:$M$943,'PLAN MAESTRO FINAL'!S$1)</f>
        <v>0</v>
      </c>
      <c r="T4" s="8">
        <f>SUMIFS('HOJAS DE HORA PROY.'!$K$2:$K$943,'HOJAS DE HORA PROY.'!$A$2:$A$943,'PLAN MAESTRO FINAL'!$A4,'HOJAS DE HORA PROY.'!$M$2:$M$943,'PLAN MAESTRO FINAL'!T$1)</f>
        <v>0</v>
      </c>
      <c r="U4" s="8">
        <f>SUMIFS('HOJAS DE HORA PROY.'!$K$2:$K$943,'HOJAS DE HORA PROY.'!$A$2:$A$943,'PLAN MAESTRO FINAL'!$A4,'HOJAS DE HORA PROY.'!$M$2:$M$943,'PLAN MAESTRO FINAL'!U$1)</f>
        <v>0</v>
      </c>
      <c r="V4" s="8">
        <f>SUMIFS('HOJAS DE HORA PROY.'!$K$2:$K$943,'HOJAS DE HORA PROY.'!$A$2:$A$943,'PLAN MAESTRO FINAL'!$A4,'HOJAS DE HORA PROY.'!$M$2:$M$943,'PLAN MAESTRO FINAL'!V$1)</f>
        <v>0</v>
      </c>
      <c r="W4" s="8">
        <f>SUMIFS('HOJAS DE HORA PROY.'!$K$2:$K$943,'HOJAS DE HORA PROY.'!$A$2:$A$943,'PLAN MAESTRO FINAL'!$A4,'HOJAS DE HORA PROY.'!$M$2:$M$943,'PLAN MAESTRO FINAL'!W$1)</f>
        <v>0</v>
      </c>
    </row>
    <row r="5" spans="1:23" hidden="1" outlineLevel="1" x14ac:dyDescent="0.3">
      <c r="A5" s="13" t="s">
        <v>126</v>
      </c>
      <c r="B5" s="8">
        <f>SUMIFS('HOJAS DE HORA PROY.'!$K$2:$K$943,'HOJAS DE HORA PROY.'!$A$2:$A$943,'PLAN MAESTRO FINAL'!$A5,'HOJAS DE HORA PROY.'!$M$2:$M$943,'PLAN MAESTRO FINAL'!B$1)</f>
        <v>0</v>
      </c>
      <c r="C5" s="8">
        <f>SUMIFS('HOJAS DE HORA PROY.'!$K$2:$K$943,'HOJAS DE HORA PROY.'!$A$2:$A$943,'PLAN MAESTRO FINAL'!$A5,'HOJAS DE HORA PROY.'!$M$2:$M$943,'PLAN MAESTRO FINAL'!C$1)</f>
        <v>0</v>
      </c>
      <c r="D5" s="8">
        <f>SUMIFS('HOJAS DE HORA PROY.'!$K$2:$K$943,'HOJAS DE HORA PROY.'!$A$2:$A$943,'PLAN MAESTRO FINAL'!$A5,'HOJAS DE HORA PROY.'!$M$2:$M$943,'PLAN MAESTRO FINAL'!D$1)</f>
        <v>0</v>
      </c>
      <c r="E5" s="8">
        <f>SUMIFS('HOJAS DE HORA PROY.'!$K$2:$K$943,'HOJAS DE HORA PROY.'!$A$2:$A$943,'PLAN MAESTRO FINAL'!$A5,'HOJAS DE HORA PROY.'!$M$2:$M$943,'PLAN MAESTRO FINAL'!E$1)</f>
        <v>0</v>
      </c>
      <c r="F5" s="8">
        <f>SUMIFS('HOJAS DE HORA PROY.'!$K$2:$K$943,'HOJAS DE HORA PROY.'!$A$2:$A$943,'PLAN MAESTRO FINAL'!$A5,'HOJAS DE HORA PROY.'!$M$2:$M$943,'PLAN MAESTRO FINAL'!F$1)</f>
        <v>0</v>
      </c>
      <c r="G5" s="8">
        <f>SUMIFS('HOJAS DE HORA PROY.'!$K$2:$K$943,'HOJAS DE HORA PROY.'!$A$2:$A$943,'PLAN MAESTRO FINAL'!$A5,'HOJAS DE HORA PROY.'!$M$2:$M$943,'PLAN MAESTRO FINAL'!G$1)</f>
        <v>9.9916666666666671</v>
      </c>
      <c r="H5" s="8">
        <f>SUMIFS('HOJAS DE HORA PROY.'!$K$2:$K$943,'HOJAS DE HORA PROY.'!$A$2:$A$943,'PLAN MAESTRO FINAL'!$A5,'HOJAS DE HORA PROY.'!$M$2:$M$943,'PLAN MAESTRO FINAL'!H$1)</f>
        <v>13</v>
      </c>
      <c r="I5" s="8">
        <f>SUMIFS('HOJAS DE HORA PROY.'!$K$2:$K$943,'HOJAS DE HORA PROY.'!$A$2:$A$943,'PLAN MAESTRO FINAL'!$A5,'HOJAS DE HORA PROY.'!$M$2:$M$943,'PLAN MAESTRO FINAL'!I$1)</f>
        <v>0</v>
      </c>
      <c r="J5" s="8">
        <f>SUMIFS('HOJAS DE HORA PROY.'!$K$2:$K$943,'HOJAS DE HORA PROY.'!$A$2:$A$943,'PLAN MAESTRO FINAL'!$A5,'HOJAS DE HORA PROY.'!$M$2:$M$943,'PLAN MAESTRO FINAL'!J$1)</f>
        <v>0</v>
      </c>
      <c r="K5" s="8">
        <f>SUMIFS('HOJAS DE HORA PROY.'!$K$2:$K$943,'HOJAS DE HORA PROY.'!$A$2:$A$943,'PLAN MAESTRO FINAL'!$A5,'HOJAS DE HORA PROY.'!$M$2:$M$943,'PLAN MAESTRO FINAL'!K$1)</f>
        <v>0</v>
      </c>
      <c r="L5" s="8">
        <f>SUMIFS('HOJAS DE HORA PROY.'!$K$2:$K$943,'HOJAS DE HORA PROY.'!$A$2:$A$943,'PLAN MAESTRO FINAL'!$A5,'HOJAS DE HORA PROY.'!$M$2:$M$943,'PLAN MAESTRO FINAL'!L$1)</f>
        <v>0</v>
      </c>
      <c r="M5" s="8">
        <f>SUMIFS('HOJAS DE HORA PROY.'!$K$2:$K$943,'HOJAS DE HORA PROY.'!$A$2:$A$943,'PLAN MAESTRO FINAL'!$A5,'HOJAS DE HORA PROY.'!$M$2:$M$943,'PLAN MAESTRO FINAL'!M$1)</f>
        <v>0</v>
      </c>
      <c r="N5" s="8">
        <f>SUMIFS('HOJAS DE HORA PROY.'!$K$2:$K$943,'HOJAS DE HORA PROY.'!$A$2:$A$943,'PLAN MAESTRO FINAL'!$A5,'HOJAS DE HORA PROY.'!$M$2:$M$943,'PLAN MAESTRO FINAL'!N$1)</f>
        <v>0</v>
      </c>
      <c r="O5" s="8">
        <f>SUMIFS('HOJAS DE HORA PROY.'!$K$2:$K$943,'HOJAS DE HORA PROY.'!$A$2:$A$943,'PLAN MAESTRO FINAL'!$A5,'HOJAS DE HORA PROY.'!$M$2:$M$943,'PLAN MAESTRO FINAL'!O$1)</f>
        <v>0</v>
      </c>
      <c r="P5" s="8">
        <f>SUMIFS('HOJAS DE HORA PROY.'!$K$2:$K$943,'HOJAS DE HORA PROY.'!$A$2:$A$943,'PLAN MAESTRO FINAL'!$A5,'HOJAS DE HORA PROY.'!$M$2:$M$943,'PLAN MAESTRO FINAL'!P$1)</f>
        <v>0</v>
      </c>
      <c r="Q5" s="8">
        <f>SUMIFS('HOJAS DE HORA PROY.'!$K$2:$K$943,'HOJAS DE HORA PROY.'!$A$2:$A$943,'PLAN MAESTRO FINAL'!$A5,'HOJAS DE HORA PROY.'!$M$2:$M$943,'PLAN MAESTRO FINAL'!Q$1)</f>
        <v>0</v>
      </c>
      <c r="R5" s="8">
        <f>SUMIFS('HOJAS DE HORA PROY.'!$K$2:$K$943,'HOJAS DE HORA PROY.'!$A$2:$A$943,'PLAN MAESTRO FINAL'!$A5,'HOJAS DE HORA PROY.'!$M$2:$M$943,'PLAN MAESTRO FINAL'!R$1)</f>
        <v>0</v>
      </c>
      <c r="S5" s="8">
        <f>SUMIFS('HOJAS DE HORA PROY.'!$K$2:$K$943,'HOJAS DE HORA PROY.'!$A$2:$A$943,'PLAN MAESTRO FINAL'!$A5,'HOJAS DE HORA PROY.'!$M$2:$M$943,'PLAN MAESTRO FINAL'!S$1)</f>
        <v>0</v>
      </c>
      <c r="T5" s="8">
        <f>SUMIFS('HOJAS DE HORA PROY.'!$K$2:$K$943,'HOJAS DE HORA PROY.'!$A$2:$A$943,'PLAN MAESTRO FINAL'!$A5,'HOJAS DE HORA PROY.'!$M$2:$M$943,'PLAN MAESTRO FINAL'!T$1)</f>
        <v>0</v>
      </c>
      <c r="U5" s="8">
        <f>SUMIFS('HOJAS DE HORA PROY.'!$K$2:$K$943,'HOJAS DE HORA PROY.'!$A$2:$A$943,'PLAN MAESTRO FINAL'!$A5,'HOJAS DE HORA PROY.'!$M$2:$M$943,'PLAN MAESTRO FINAL'!U$1)</f>
        <v>0</v>
      </c>
      <c r="V5" s="8">
        <f>SUMIFS('HOJAS DE HORA PROY.'!$K$2:$K$943,'HOJAS DE HORA PROY.'!$A$2:$A$943,'PLAN MAESTRO FINAL'!$A5,'HOJAS DE HORA PROY.'!$M$2:$M$943,'PLAN MAESTRO FINAL'!V$1)</f>
        <v>0</v>
      </c>
      <c r="W5" s="8">
        <f>SUMIFS('HOJAS DE HORA PROY.'!$K$2:$K$943,'HOJAS DE HORA PROY.'!$A$2:$A$943,'PLAN MAESTRO FINAL'!$A5,'HOJAS DE HORA PROY.'!$M$2:$M$943,'PLAN MAESTRO FINAL'!W$1)</f>
        <v>0</v>
      </c>
    </row>
    <row r="6" spans="1:23" hidden="1" outlineLevel="1" x14ac:dyDescent="0.3">
      <c r="A6" s="13" t="s">
        <v>132</v>
      </c>
      <c r="B6" s="8">
        <f>SUMIFS('HOJAS DE HORA PROY.'!$K$2:$K$943,'HOJAS DE HORA PROY.'!$A$2:$A$943,'PLAN MAESTRO FINAL'!$A6,'HOJAS DE HORA PROY.'!$M$2:$M$943,'PLAN MAESTRO FINAL'!B$1)</f>
        <v>0</v>
      </c>
      <c r="C6" s="8">
        <f>SUMIFS('HOJAS DE HORA PROY.'!$K$2:$K$943,'HOJAS DE HORA PROY.'!$A$2:$A$943,'PLAN MAESTRO FINAL'!$A6,'HOJAS DE HORA PROY.'!$M$2:$M$943,'PLAN MAESTRO FINAL'!C$1)</f>
        <v>0</v>
      </c>
      <c r="D6" s="8">
        <f>SUMIFS('HOJAS DE HORA PROY.'!$K$2:$K$943,'HOJAS DE HORA PROY.'!$A$2:$A$943,'PLAN MAESTRO FINAL'!$A6,'HOJAS DE HORA PROY.'!$M$2:$M$943,'PLAN MAESTRO FINAL'!D$1)</f>
        <v>0</v>
      </c>
      <c r="E6" s="8">
        <f>SUMIFS('HOJAS DE HORA PROY.'!$K$2:$K$943,'HOJAS DE HORA PROY.'!$A$2:$A$943,'PLAN MAESTRO FINAL'!$A6,'HOJAS DE HORA PROY.'!$M$2:$M$943,'PLAN MAESTRO FINAL'!E$1)</f>
        <v>0</v>
      </c>
      <c r="F6" s="8">
        <f>SUMIFS('HOJAS DE HORA PROY.'!$K$2:$K$943,'HOJAS DE HORA PROY.'!$A$2:$A$943,'PLAN MAESTRO FINAL'!$A6,'HOJAS DE HORA PROY.'!$M$2:$M$943,'PLAN MAESTRO FINAL'!F$1)</f>
        <v>0</v>
      </c>
      <c r="G6" s="8">
        <f>SUMIFS('HOJAS DE HORA PROY.'!$K$2:$K$943,'HOJAS DE HORA PROY.'!$A$2:$A$943,'PLAN MAESTRO FINAL'!$A6,'HOJAS DE HORA PROY.'!$M$2:$M$943,'PLAN MAESTRO FINAL'!G$1)</f>
        <v>0</v>
      </c>
      <c r="H6" s="8">
        <f>SUMIFS('HOJAS DE HORA PROY.'!$K$2:$K$943,'HOJAS DE HORA PROY.'!$A$2:$A$943,'PLAN MAESTRO FINAL'!$A6,'HOJAS DE HORA PROY.'!$M$2:$M$943,'PLAN MAESTRO FINAL'!H$1)</f>
        <v>0</v>
      </c>
      <c r="I6" s="8">
        <f>SUMIFS('HOJAS DE HORA PROY.'!$K$2:$K$943,'HOJAS DE HORA PROY.'!$A$2:$A$943,'PLAN MAESTRO FINAL'!$A6,'HOJAS DE HORA PROY.'!$M$2:$M$943,'PLAN MAESTRO FINAL'!I$1)</f>
        <v>0</v>
      </c>
      <c r="J6" s="8">
        <f>SUMIFS('HOJAS DE HORA PROY.'!$K$2:$K$943,'HOJAS DE HORA PROY.'!$A$2:$A$943,'PLAN MAESTRO FINAL'!$A6,'HOJAS DE HORA PROY.'!$M$2:$M$943,'PLAN MAESTRO FINAL'!J$1)</f>
        <v>0</v>
      </c>
      <c r="K6" s="8">
        <f>SUMIFS('HOJAS DE HORA PROY.'!$K$2:$K$943,'HOJAS DE HORA PROY.'!$A$2:$A$943,'PLAN MAESTRO FINAL'!$A6,'HOJAS DE HORA PROY.'!$M$2:$M$943,'PLAN MAESTRO FINAL'!K$1)</f>
        <v>0</v>
      </c>
      <c r="L6" s="8">
        <f>SUMIFS('HOJAS DE HORA PROY.'!$K$2:$K$943,'HOJAS DE HORA PROY.'!$A$2:$A$943,'PLAN MAESTRO FINAL'!$A6,'HOJAS DE HORA PROY.'!$M$2:$M$943,'PLAN MAESTRO FINAL'!L$1)</f>
        <v>0</v>
      </c>
      <c r="M6" s="8">
        <f>SUMIFS('HOJAS DE HORA PROY.'!$K$2:$K$943,'HOJAS DE HORA PROY.'!$A$2:$A$943,'PLAN MAESTRO FINAL'!$A6,'HOJAS DE HORA PROY.'!$M$2:$M$943,'PLAN MAESTRO FINAL'!M$1)</f>
        <v>0</v>
      </c>
      <c r="N6" s="8">
        <f>SUMIFS('HOJAS DE HORA PROY.'!$K$2:$K$943,'HOJAS DE HORA PROY.'!$A$2:$A$943,'PLAN MAESTRO FINAL'!$A6,'HOJAS DE HORA PROY.'!$M$2:$M$943,'PLAN MAESTRO FINAL'!N$1)</f>
        <v>0</v>
      </c>
      <c r="O6" s="8">
        <f>SUMIFS('HOJAS DE HORA PROY.'!$K$2:$K$943,'HOJAS DE HORA PROY.'!$A$2:$A$943,'PLAN MAESTRO FINAL'!$A6,'HOJAS DE HORA PROY.'!$M$2:$M$943,'PLAN MAESTRO FINAL'!O$1)</f>
        <v>0</v>
      </c>
      <c r="P6" s="8">
        <f>SUMIFS('HOJAS DE HORA PROY.'!$K$2:$K$943,'HOJAS DE HORA PROY.'!$A$2:$A$943,'PLAN MAESTRO FINAL'!$A6,'HOJAS DE HORA PROY.'!$M$2:$M$943,'PLAN MAESTRO FINAL'!P$1)</f>
        <v>0</v>
      </c>
      <c r="Q6" s="8">
        <f>SUMIFS('HOJAS DE HORA PROY.'!$K$2:$K$943,'HOJAS DE HORA PROY.'!$A$2:$A$943,'PLAN MAESTRO FINAL'!$A6,'HOJAS DE HORA PROY.'!$M$2:$M$943,'PLAN MAESTRO FINAL'!Q$1)</f>
        <v>0</v>
      </c>
      <c r="R6" s="8">
        <f>SUMIFS('HOJAS DE HORA PROY.'!$K$2:$K$943,'HOJAS DE HORA PROY.'!$A$2:$A$943,'PLAN MAESTRO FINAL'!$A6,'HOJAS DE HORA PROY.'!$M$2:$M$943,'PLAN MAESTRO FINAL'!R$1)</f>
        <v>0</v>
      </c>
      <c r="S6" s="8">
        <f>SUMIFS('HOJAS DE HORA PROY.'!$K$2:$K$943,'HOJAS DE HORA PROY.'!$A$2:$A$943,'PLAN MAESTRO FINAL'!$A6,'HOJAS DE HORA PROY.'!$M$2:$M$943,'PLAN MAESTRO FINAL'!S$1)</f>
        <v>0</v>
      </c>
      <c r="T6" s="8">
        <f>SUMIFS('HOJAS DE HORA PROY.'!$K$2:$K$943,'HOJAS DE HORA PROY.'!$A$2:$A$943,'PLAN MAESTRO FINAL'!$A6,'HOJAS DE HORA PROY.'!$M$2:$M$943,'PLAN MAESTRO FINAL'!T$1)</f>
        <v>0</v>
      </c>
      <c r="U6" s="8">
        <f>SUMIFS('HOJAS DE HORA PROY.'!$K$2:$K$943,'HOJAS DE HORA PROY.'!$A$2:$A$943,'PLAN MAESTRO FINAL'!$A6,'HOJAS DE HORA PROY.'!$M$2:$M$943,'PLAN MAESTRO FINAL'!U$1)</f>
        <v>0</v>
      </c>
      <c r="V6" s="8">
        <f>SUMIFS('HOJAS DE HORA PROY.'!$K$2:$K$943,'HOJAS DE HORA PROY.'!$A$2:$A$943,'PLAN MAESTRO FINAL'!$A6,'HOJAS DE HORA PROY.'!$M$2:$M$943,'PLAN MAESTRO FINAL'!V$1)</f>
        <v>0</v>
      </c>
      <c r="W6" s="8">
        <f>SUMIFS('HOJAS DE HORA PROY.'!$K$2:$K$943,'HOJAS DE HORA PROY.'!$A$2:$A$943,'PLAN MAESTRO FINAL'!$A6,'HOJAS DE HORA PROY.'!$M$2:$M$943,'PLAN MAESTRO FINAL'!W$1)</f>
        <v>0</v>
      </c>
    </row>
    <row r="7" spans="1:23" hidden="1" outlineLevel="1" x14ac:dyDescent="0.3">
      <c r="A7" s="13" t="s">
        <v>141</v>
      </c>
      <c r="B7" s="8">
        <f>SUMIFS('HOJAS DE HORA PROY.'!$K$2:$K$943,'HOJAS DE HORA PROY.'!$A$2:$A$943,'PLAN MAESTRO FINAL'!$A7,'HOJAS DE HORA PROY.'!$M$2:$M$943,'PLAN MAESTRO FINAL'!B$1)</f>
        <v>0</v>
      </c>
      <c r="C7" s="8">
        <f>SUMIFS('HOJAS DE HORA PROY.'!$K$2:$K$943,'HOJAS DE HORA PROY.'!$A$2:$A$943,'PLAN MAESTRO FINAL'!$A7,'HOJAS DE HORA PROY.'!$M$2:$M$943,'PLAN MAESTRO FINAL'!C$1)</f>
        <v>0</v>
      </c>
      <c r="D7" s="8">
        <f>SUMIFS('HOJAS DE HORA PROY.'!$K$2:$K$943,'HOJAS DE HORA PROY.'!$A$2:$A$943,'PLAN MAESTRO FINAL'!$A7,'HOJAS DE HORA PROY.'!$M$2:$M$943,'PLAN MAESTRO FINAL'!D$1)</f>
        <v>0</v>
      </c>
      <c r="E7" s="8">
        <f>SUMIFS('HOJAS DE HORA PROY.'!$K$2:$K$943,'HOJAS DE HORA PROY.'!$A$2:$A$943,'PLAN MAESTRO FINAL'!$A7,'HOJAS DE HORA PROY.'!$M$2:$M$943,'PLAN MAESTRO FINAL'!E$1)</f>
        <v>0</v>
      </c>
      <c r="F7" s="8">
        <f>SUMIFS('HOJAS DE HORA PROY.'!$K$2:$K$943,'HOJAS DE HORA PROY.'!$A$2:$A$943,'PLAN MAESTRO FINAL'!$A7,'HOJAS DE HORA PROY.'!$M$2:$M$943,'PLAN MAESTRO FINAL'!F$1)</f>
        <v>0</v>
      </c>
      <c r="G7" s="8">
        <f>SUMIFS('HOJAS DE HORA PROY.'!$K$2:$K$943,'HOJAS DE HORA PROY.'!$A$2:$A$943,'PLAN MAESTRO FINAL'!$A7,'HOJAS DE HORA PROY.'!$M$2:$M$943,'PLAN MAESTRO FINAL'!G$1)</f>
        <v>0</v>
      </c>
      <c r="H7" s="8">
        <f>SUMIFS('HOJAS DE HORA PROY.'!$K$2:$K$943,'HOJAS DE HORA PROY.'!$A$2:$A$943,'PLAN MAESTRO FINAL'!$A7,'HOJAS DE HORA PROY.'!$M$2:$M$943,'PLAN MAESTRO FINAL'!H$1)</f>
        <v>0</v>
      </c>
      <c r="I7" s="8">
        <f>SUMIFS('HOJAS DE HORA PROY.'!$K$2:$K$943,'HOJAS DE HORA PROY.'!$A$2:$A$943,'PLAN MAESTRO FINAL'!$A7,'HOJAS DE HORA PROY.'!$M$2:$M$943,'PLAN MAESTRO FINAL'!I$1)</f>
        <v>0</v>
      </c>
      <c r="J7" s="8">
        <f>SUMIFS('HOJAS DE HORA PROY.'!$K$2:$K$943,'HOJAS DE HORA PROY.'!$A$2:$A$943,'PLAN MAESTRO FINAL'!$A7,'HOJAS DE HORA PROY.'!$M$2:$M$943,'PLAN MAESTRO FINAL'!J$1)</f>
        <v>0</v>
      </c>
      <c r="K7" s="8">
        <f>SUMIFS('HOJAS DE HORA PROY.'!$K$2:$K$943,'HOJAS DE HORA PROY.'!$A$2:$A$943,'PLAN MAESTRO FINAL'!$A7,'HOJAS DE HORA PROY.'!$M$2:$M$943,'PLAN MAESTRO FINAL'!K$1)</f>
        <v>0</v>
      </c>
      <c r="L7" s="8">
        <f>SUMIFS('HOJAS DE HORA PROY.'!$K$2:$K$943,'HOJAS DE HORA PROY.'!$A$2:$A$943,'PLAN MAESTRO FINAL'!$A7,'HOJAS DE HORA PROY.'!$M$2:$M$943,'PLAN MAESTRO FINAL'!L$1)</f>
        <v>0</v>
      </c>
      <c r="M7" s="8">
        <f>SUMIFS('HOJAS DE HORA PROY.'!$K$2:$K$943,'HOJAS DE HORA PROY.'!$A$2:$A$943,'PLAN MAESTRO FINAL'!$A7,'HOJAS DE HORA PROY.'!$M$2:$M$943,'PLAN MAESTRO FINAL'!M$1)</f>
        <v>0</v>
      </c>
      <c r="N7" s="8">
        <f>SUMIFS('HOJAS DE HORA PROY.'!$K$2:$K$943,'HOJAS DE HORA PROY.'!$A$2:$A$943,'PLAN MAESTRO FINAL'!$A7,'HOJAS DE HORA PROY.'!$M$2:$M$943,'PLAN MAESTRO FINAL'!N$1)</f>
        <v>0</v>
      </c>
      <c r="O7" s="8">
        <f>SUMIFS('HOJAS DE HORA PROY.'!$K$2:$K$943,'HOJAS DE HORA PROY.'!$A$2:$A$943,'PLAN MAESTRO FINAL'!$A7,'HOJAS DE HORA PROY.'!$M$2:$M$943,'PLAN MAESTRO FINAL'!O$1)</f>
        <v>0</v>
      </c>
      <c r="P7" s="8">
        <f>SUMIFS('HOJAS DE HORA PROY.'!$K$2:$K$943,'HOJAS DE HORA PROY.'!$A$2:$A$943,'PLAN MAESTRO FINAL'!$A7,'HOJAS DE HORA PROY.'!$M$2:$M$943,'PLAN MAESTRO FINAL'!P$1)</f>
        <v>0</v>
      </c>
      <c r="Q7" s="8">
        <f>SUMIFS('HOJAS DE HORA PROY.'!$K$2:$K$943,'HOJAS DE HORA PROY.'!$A$2:$A$943,'PLAN MAESTRO FINAL'!$A7,'HOJAS DE HORA PROY.'!$M$2:$M$943,'PLAN MAESTRO FINAL'!Q$1)</f>
        <v>0</v>
      </c>
      <c r="R7" s="8">
        <f>SUMIFS('HOJAS DE HORA PROY.'!$K$2:$K$943,'HOJAS DE HORA PROY.'!$A$2:$A$943,'PLAN MAESTRO FINAL'!$A7,'HOJAS DE HORA PROY.'!$M$2:$M$943,'PLAN MAESTRO FINAL'!R$1)</f>
        <v>0</v>
      </c>
      <c r="S7" s="8">
        <f>SUMIFS('HOJAS DE HORA PROY.'!$K$2:$K$943,'HOJAS DE HORA PROY.'!$A$2:$A$943,'PLAN MAESTRO FINAL'!$A7,'HOJAS DE HORA PROY.'!$M$2:$M$943,'PLAN MAESTRO FINAL'!S$1)</f>
        <v>0</v>
      </c>
      <c r="T7" s="8">
        <f>SUMIFS('HOJAS DE HORA PROY.'!$K$2:$K$943,'HOJAS DE HORA PROY.'!$A$2:$A$943,'PLAN MAESTRO FINAL'!$A7,'HOJAS DE HORA PROY.'!$M$2:$M$943,'PLAN MAESTRO FINAL'!T$1)</f>
        <v>0</v>
      </c>
      <c r="U7" s="8">
        <f>SUMIFS('HOJAS DE HORA PROY.'!$K$2:$K$943,'HOJAS DE HORA PROY.'!$A$2:$A$943,'PLAN MAESTRO FINAL'!$A7,'HOJAS DE HORA PROY.'!$M$2:$M$943,'PLAN MAESTRO FINAL'!U$1)</f>
        <v>0</v>
      </c>
      <c r="V7" s="8">
        <f>SUMIFS('HOJAS DE HORA PROY.'!$K$2:$K$943,'HOJAS DE HORA PROY.'!$A$2:$A$943,'PLAN MAESTRO FINAL'!$A7,'HOJAS DE HORA PROY.'!$M$2:$M$943,'PLAN MAESTRO FINAL'!V$1)</f>
        <v>0</v>
      </c>
      <c r="W7" s="8">
        <f>SUMIFS('HOJAS DE HORA PROY.'!$K$2:$K$943,'HOJAS DE HORA PROY.'!$A$2:$A$943,'PLAN MAESTRO FINAL'!$A7,'HOJAS DE HORA PROY.'!$M$2:$M$943,'PLAN MAESTRO FINAL'!W$1)</f>
        <v>0</v>
      </c>
    </row>
    <row r="8" spans="1:23" hidden="1" outlineLevel="1" x14ac:dyDescent="0.3">
      <c r="A8" s="13" t="s">
        <v>161</v>
      </c>
      <c r="B8" s="8">
        <f>SUMIFS('HOJAS DE HORA PROY.'!$K$2:$K$943,'HOJAS DE HORA PROY.'!$A$2:$A$943,'PLAN MAESTRO FINAL'!$A8,'HOJAS DE HORA PROY.'!$M$2:$M$943,'PLAN MAESTRO FINAL'!B$1)</f>
        <v>0</v>
      </c>
      <c r="C8" s="8">
        <f>SUMIFS('HOJAS DE HORA PROY.'!$K$2:$K$943,'HOJAS DE HORA PROY.'!$A$2:$A$943,'PLAN MAESTRO FINAL'!$A8,'HOJAS DE HORA PROY.'!$M$2:$M$943,'PLAN MAESTRO FINAL'!C$1)</f>
        <v>0</v>
      </c>
      <c r="D8" s="8">
        <f>SUMIFS('HOJAS DE HORA PROY.'!$K$2:$K$943,'HOJAS DE HORA PROY.'!$A$2:$A$943,'PLAN MAESTRO FINAL'!$A8,'HOJAS DE HORA PROY.'!$M$2:$M$943,'PLAN MAESTRO FINAL'!D$1)</f>
        <v>0</v>
      </c>
      <c r="E8" s="8">
        <f>SUMIFS('HOJAS DE HORA PROY.'!$K$2:$K$943,'HOJAS DE HORA PROY.'!$A$2:$A$943,'PLAN MAESTRO FINAL'!$A8,'HOJAS DE HORA PROY.'!$M$2:$M$943,'PLAN MAESTRO FINAL'!E$1)</f>
        <v>0</v>
      </c>
      <c r="F8" s="8">
        <f>SUMIFS('HOJAS DE HORA PROY.'!$K$2:$K$943,'HOJAS DE HORA PROY.'!$A$2:$A$943,'PLAN MAESTRO FINAL'!$A8,'HOJAS DE HORA PROY.'!$M$2:$M$943,'PLAN MAESTRO FINAL'!F$1)</f>
        <v>0</v>
      </c>
      <c r="G8" s="8">
        <f>SUMIFS('HOJAS DE HORA PROY.'!$K$2:$K$943,'HOJAS DE HORA PROY.'!$A$2:$A$943,'PLAN MAESTRO FINAL'!$A8,'HOJAS DE HORA PROY.'!$M$2:$M$943,'PLAN MAESTRO FINAL'!G$1)</f>
        <v>0</v>
      </c>
      <c r="H8" s="8">
        <f>SUMIFS('HOJAS DE HORA PROY.'!$K$2:$K$943,'HOJAS DE HORA PROY.'!$A$2:$A$943,'PLAN MAESTRO FINAL'!$A8,'HOJAS DE HORA PROY.'!$M$2:$M$943,'PLAN MAESTRO FINAL'!H$1)</f>
        <v>0</v>
      </c>
      <c r="I8" s="8">
        <f>SUMIFS('HOJAS DE HORA PROY.'!$K$2:$K$943,'HOJAS DE HORA PROY.'!$A$2:$A$943,'PLAN MAESTRO FINAL'!$A8,'HOJAS DE HORA PROY.'!$M$2:$M$943,'PLAN MAESTRO FINAL'!I$1)</f>
        <v>0</v>
      </c>
      <c r="J8" s="8">
        <f>SUMIFS('HOJAS DE HORA PROY.'!$K$2:$K$943,'HOJAS DE HORA PROY.'!$A$2:$A$943,'PLAN MAESTRO FINAL'!$A8,'HOJAS DE HORA PROY.'!$M$2:$M$943,'PLAN MAESTRO FINAL'!J$1)</f>
        <v>0</v>
      </c>
      <c r="K8" s="8">
        <f>SUMIFS('HOJAS DE HORA PROY.'!$K$2:$K$943,'HOJAS DE HORA PROY.'!$A$2:$A$943,'PLAN MAESTRO FINAL'!$A8,'HOJAS DE HORA PROY.'!$M$2:$M$943,'PLAN MAESTRO FINAL'!K$1)</f>
        <v>0</v>
      </c>
      <c r="L8" s="8">
        <f>SUMIFS('HOJAS DE HORA PROY.'!$K$2:$K$943,'HOJAS DE HORA PROY.'!$A$2:$A$943,'PLAN MAESTRO FINAL'!$A8,'HOJAS DE HORA PROY.'!$M$2:$M$943,'PLAN MAESTRO FINAL'!L$1)</f>
        <v>0</v>
      </c>
      <c r="M8" s="8">
        <f>SUMIFS('HOJAS DE HORA PROY.'!$K$2:$K$943,'HOJAS DE HORA PROY.'!$A$2:$A$943,'PLAN MAESTRO FINAL'!$A8,'HOJAS DE HORA PROY.'!$M$2:$M$943,'PLAN MAESTRO FINAL'!M$1)</f>
        <v>0</v>
      </c>
      <c r="N8" s="8">
        <f>SUMIFS('HOJAS DE HORA PROY.'!$K$2:$K$943,'HOJAS DE HORA PROY.'!$A$2:$A$943,'PLAN MAESTRO FINAL'!$A8,'HOJAS DE HORA PROY.'!$M$2:$M$943,'PLAN MAESTRO FINAL'!N$1)</f>
        <v>0</v>
      </c>
      <c r="O8" s="8">
        <f>SUMIFS('HOJAS DE HORA PROY.'!$K$2:$K$943,'HOJAS DE HORA PROY.'!$A$2:$A$943,'PLAN MAESTRO FINAL'!$A8,'HOJAS DE HORA PROY.'!$M$2:$M$943,'PLAN MAESTRO FINAL'!O$1)</f>
        <v>0</v>
      </c>
      <c r="P8" s="8">
        <f>SUMIFS('HOJAS DE HORA PROY.'!$K$2:$K$943,'HOJAS DE HORA PROY.'!$A$2:$A$943,'PLAN MAESTRO FINAL'!$A8,'HOJAS DE HORA PROY.'!$M$2:$M$943,'PLAN MAESTRO FINAL'!P$1)</f>
        <v>0</v>
      </c>
      <c r="Q8" s="8">
        <f>SUMIFS('HOJAS DE HORA PROY.'!$K$2:$K$943,'HOJAS DE HORA PROY.'!$A$2:$A$943,'PLAN MAESTRO FINAL'!$A8,'HOJAS DE HORA PROY.'!$M$2:$M$943,'PLAN MAESTRO FINAL'!Q$1)</f>
        <v>0</v>
      </c>
      <c r="R8" s="8">
        <f>SUMIFS('HOJAS DE HORA PROY.'!$K$2:$K$943,'HOJAS DE HORA PROY.'!$A$2:$A$943,'PLAN MAESTRO FINAL'!$A8,'HOJAS DE HORA PROY.'!$M$2:$M$943,'PLAN MAESTRO FINAL'!R$1)</f>
        <v>0</v>
      </c>
      <c r="S8" s="8">
        <f>SUMIFS('HOJAS DE HORA PROY.'!$K$2:$K$943,'HOJAS DE HORA PROY.'!$A$2:$A$943,'PLAN MAESTRO FINAL'!$A8,'HOJAS DE HORA PROY.'!$M$2:$M$943,'PLAN MAESTRO FINAL'!S$1)</f>
        <v>0</v>
      </c>
      <c r="T8" s="8">
        <f>SUMIFS('HOJAS DE HORA PROY.'!$K$2:$K$943,'HOJAS DE HORA PROY.'!$A$2:$A$943,'PLAN MAESTRO FINAL'!$A8,'HOJAS DE HORA PROY.'!$M$2:$M$943,'PLAN MAESTRO FINAL'!T$1)</f>
        <v>0</v>
      </c>
      <c r="U8" s="8">
        <f>SUMIFS('HOJAS DE HORA PROY.'!$K$2:$K$943,'HOJAS DE HORA PROY.'!$A$2:$A$943,'PLAN MAESTRO FINAL'!$A8,'HOJAS DE HORA PROY.'!$M$2:$M$943,'PLAN MAESTRO FINAL'!U$1)</f>
        <v>0</v>
      </c>
      <c r="V8" s="8">
        <f>SUMIFS('HOJAS DE HORA PROY.'!$K$2:$K$943,'HOJAS DE HORA PROY.'!$A$2:$A$943,'PLAN MAESTRO FINAL'!$A8,'HOJAS DE HORA PROY.'!$M$2:$M$943,'PLAN MAESTRO FINAL'!V$1)</f>
        <v>0</v>
      </c>
      <c r="W8" s="8">
        <f>SUMIFS('HOJAS DE HORA PROY.'!$K$2:$K$943,'HOJAS DE HORA PROY.'!$A$2:$A$943,'PLAN MAESTRO FINAL'!$A8,'HOJAS DE HORA PROY.'!$M$2:$M$943,'PLAN MAESTRO FINAL'!W$1)</f>
        <v>0</v>
      </c>
    </row>
    <row r="9" spans="1:23" hidden="1" outlineLevel="1" x14ac:dyDescent="0.3">
      <c r="A9" s="13" t="s">
        <v>165</v>
      </c>
      <c r="B9" s="8">
        <f>SUMIFS('HOJAS DE HORA PROY.'!$K$2:$K$943,'HOJAS DE HORA PROY.'!$A$2:$A$943,'PLAN MAESTRO FINAL'!$A9,'HOJAS DE HORA PROY.'!$M$2:$M$943,'PLAN MAESTRO FINAL'!B$1)</f>
        <v>0</v>
      </c>
      <c r="C9" s="8">
        <f>SUMIFS('HOJAS DE HORA PROY.'!$K$2:$K$943,'HOJAS DE HORA PROY.'!$A$2:$A$943,'PLAN MAESTRO FINAL'!$A9,'HOJAS DE HORA PROY.'!$M$2:$M$943,'PLAN MAESTRO FINAL'!C$1)</f>
        <v>0</v>
      </c>
      <c r="D9" s="8">
        <f>SUMIFS('HOJAS DE HORA PROY.'!$K$2:$K$943,'HOJAS DE HORA PROY.'!$A$2:$A$943,'PLAN MAESTRO FINAL'!$A9,'HOJAS DE HORA PROY.'!$M$2:$M$943,'PLAN MAESTRO FINAL'!D$1)</f>
        <v>0</v>
      </c>
      <c r="E9" s="8">
        <f>SUMIFS('HOJAS DE HORA PROY.'!$K$2:$K$943,'HOJAS DE HORA PROY.'!$A$2:$A$943,'PLAN MAESTRO FINAL'!$A9,'HOJAS DE HORA PROY.'!$M$2:$M$943,'PLAN MAESTRO FINAL'!E$1)</f>
        <v>0</v>
      </c>
      <c r="F9" s="8">
        <f>SUMIFS('HOJAS DE HORA PROY.'!$K$2:$K$943,'HOJAS DE HORA PROY.'!$A$2:$A$943,'PLAN MAESTRO FINAL'!$A9,'HOJAS DE HORA PROY.'!$M$2:$M$943,'PLAN MAESTRO FINAL'!F$1)</f>
        <v>0</v>
      </c>
      <c r="G9" s="8">
        <f>SUMIFS('HOJAS DE HORA PROY.'!$K$2:$K$943,'HOJAS DE HORA PROY.'!$A$2:$A$943,'PLAN MAESTRO FINAL'!$A9,'HOJAS DE HORA PROY.'!$M$2:$M$943,'PLAN MAESTRO FINAL'!G$1)</f>
        <v>30.5</v>
      </c>
      <c r="H9" s="8">
        <f>SUMIFS('HOJAS DE HORA PROY.'!$K$2:$K$943,'HOJAS DE HORA PROY.'!$A$2:$A$943,'PLAN MAESTRO FINAL'!$A9,'HOJAS DE HORA PROY.'!$M$2:$M$943,'PLAN MAESTRO FINAL'!H$1)</f>
        <v>0</v>
      </c>
      <c r="I9" s="8">
        <f>SUMIFS('HOJAS DE HORA PROY.'!$K$2:$K$943,'HOJAS DE HORA PROY.'!$A$2:$A$943,'PLAN MAESTRO FINAL'!$A9,'HOJAS DE HORA PROY.'!$M$2:$M$943,'PLAN MAESTRO FINAL'!I$1)</f>
        <v>0</v>
      </c>
      <c r="J9" s="8">
        <f>SUMIFS('HOJAS DE HORA PROY.'!$K$2:$K$943,'HOJAS DE HORA PROY.'!$A$2:$A$943,'PLAN MAESTRO FINAL'!$A9,'HOJAS DE HORA PROY.'!$M$2:$M$943,'PLAN MAESTRO FINAL'!J$1)</f>
        <v>0</v>
      </c>
      <c r="K9" s="8">
        <f>SUMIFS('HOJAS DE HORA PROY.'!$K$2:$K$943,'HOJAS DE HORA PROY.'!$A$2:$A$943,'PLAN MAESTRO FINAL'!$A9,'HOJAS DE HORA PROY.'!$M$2:$M$943,'PLAN MAESTRO FINAL'!K$1)</f>
        <v>0</v>
      </c>
      <c r="L9" s="8">
        <f>SUMIFS('HOJAS DE HORA PROY.'!$K$2:$K$943,'HOJAS DE HORA PROY.'!$A$2:$A$943,'PLAN MAESTRO FINAL'!$A9,'HOJAS DE HORA PROY.'!$M$2:$M$943,'PLAN MAESTRO FINAL'!L$1)</f>
        <v>0</v>
      </c>
      <c r="M9" s="8">
        <f>SUMIFS('HOJAS DE HORA PROY.'!$K$2:$K$943,'HOJAS DE HORA PROY.'!$A$2:$A$943,'PLAN MAESTRO FINAL'!$A9,'HOJAS DE HORA PROY.'!$M$2:$M$943,'PLAN MAESTRO FINAL'!M$1)</f>
        <v>0</v>
      </c>
      <c r="N9" s="8">
        <f>SUMIFS('HOJAS DE HORA PROY.'!$K$2:$K$943,'HOJAS DE HORA PROY.'!$A$2:$A$943,'PLAN MAESTRO FINAL'!$A9,'HOJAS DE HORA PROY.'!$M$2:$M$943,'PLAN MAESTRO FINAL'!N$1)</f>
        <v>0</v>
      </c>
      <c r="O9" s="8">
        <f>SUMIFS('HOJAS DE HORA PROY.'!$K$2:$K$943,'HOJAS DE HORA PROY.'!$A$2:$A$943,'PLAN MAESTRO FINAL'!$A9,'HOJAS DE HORA PROY.'!$M$2:$M$943,'PLAN MAESTRO FINAL'!O$1)</f>
        <v>0</v>
      </c>
      <c r="P9" s="8">
        <f>SUMIFS('HOJAS DE HORA PROY.'!$K$2:$K$943,'HOJAS DE HORA PROY.'!$A$2:$A$943,'PLAN MAESTRO FINAL'!$A9,'HOJAS DE HORA PROY.'!$M$2:$M$943,'PLAN MAESTRO FINAL'!P$1)</f>
        <v>0</v>
      </c>
      <c r="Q9" s="8">
        <f>SUMIFS('HOJAS DE HORA PROY.'!$K$2:$K$943,'HOJAS DE HORA PROY.'!$A$2:$A$943,'PLAN MAESTRO FINAL'!$A9,'HOJAS DE HORA PROY.'!$M$2:$M$943,'PLAN MAESTRO FINAL'!Q$1)</f>
        <v>0</v>
      </c>
      <c r="R9" s="8">
        <f>SUMIFS('HOJAS DE HORA PROY.'!$K$2:$K$943,'HOJAS DE HORA PROY.'!$A$2:$A$943,'PLAN MAESTRO FINAL'!$A9,'HOJAS DE HORA PROY.'!$M$2:$M$943,'PLAN MAESTRO FINAL'!R$1)</f>
        <v>0</v>
      </c>
      <c r="S9" s="8">
        <f>SUMIFS('HOJAS DE HORA PROY.'!$K$2:$K$943,'HOJAS DE HORA PROY.'!$A$2:$A$943,'PLAN MAESTRO FINAL'!$A9,'HOJAS DE HORA PROY.'!$M$2:$M$943,'PLAN MAESTRO FINAL'!S$1)</f>
        <v>0</v>
      </c>
      <c r="T9" s="8">
        <f>SUMIFS('HOJAS DE HORA PROY.'!$K$2:$K$943,'HOJAS DE HORA PROY.'!$A$2:$A$943,'PLAN MAESTRO FINAL'!$A9,'HOJAS DE HORA PROY.'!$M$2:$M$943,'PLAN MAESTRO FINAL'!T$1)</f>
        <v>0</v>
      </c>
      <c r="U9" s="8">
        <f>SUMIFS('HOJAS DE HORA PROY.'!$K$2:$K$943,'HOJAS DE HORA PROY.'!$A$2:$A$943,'PLAN MAESTRO FINAL'!$A9,'HOJAS DE HORA PROY.'!$M$2:$M$943,'PLAN MAESTRO FINAL'!U$1)</f>
        <v>0</v>
      </c>
      <c r="V9" s="8">
        <f>SUMIFS('HOJAS DE HORA PROY.'!$K$2:$K$943,'HOJAS DE HORA PROY.'!$A$2:$A$943,'PLAN MAESTRO FINAL'!$A9,'HOJAS DE HORA PROY.'!$M$2:$M$943,'PLAN MAESTRO FINAL'!V$1)</f>
        <v>0</v>
      </c>
      <c r="W9" s="8">
        <f>SUMIFS('HOJAS DE HORA PROY.'!$K$2:$K$943,'HOJAS DE HORA PROY.'!$A$2:$A$943,'PLAN MAESTRO FINAL'!$A9,'HOJAS DE HORA PROY.'!$M$2:$M$943,'PLAN MAESTRO FINAL'!W$1)</f>
        <v>0</v>
      </c>
    </row>
    <row r="10" spans="1:23" hidden="1" outlineLevel="1" x14ac:dyDescent="0.3">
      <c r="A10" s="13" t="s">
        <v>203</v>
      </c>
      <c r="B10" s="8">
        <f>SUMIFS('HOJAS DE HORA PROY.'!$K$2:$K$943,'HOJAS DE HORA PROY.'!$A$2:$A$943,'PLAN MAESTRO FINAL'!$A10,'HOJAS DE HORA PROY.'!$M$2:$M$943,'PLAN MAESTRO FINAL'!B$1)</f>
        <v>0</v>
      </c>
      <c r="C10" s="8">
        <f>SUMIFS('HOJAS DE HORA PROY.'!$K$2:$K$943,'HOJAS DE HORA PROY.'!$A$2:$A$943,'PLAN MAESTRO FINAL'!$A10,'HOJAS DE HORA PROY.'!$M$2:$M$943,'PLAN MAESTRO FINAL'!C$1)</f>
        <v>0</v>
      </c>
      <c r="D10" s="8">
        <f>SUMIFS('HOJAS DE HORA PROY.'!$K$2:$K$943,'HOJAS DE HORA PROY.'!$A$2:$A$943,'PLAN MAESTRO FINAL'!$A10,'HOJAS DE HORA PROY.'!$M$2:$M$943,'PLAN MAESTRO FINAL'!D$1)</f>
        <v>0</v>
      </c>
      <c r="E10" s="8">
        <f>SUMIFS('HOJAS DE HORA PROY.'!$K$2:$K$943,'HOJAS DE HORA PROY.'!$A$2:$A$943,'PLAN MAESTRO FINAL'!$A10,'HOJAS DE HORA PROY.'!$M$2:$M$943,'PLAN MAESTRO FINAL'!E$1)</f>
        <v>0</v>
      </c>
      <c r="F10" s="8">
        <f>SUMIFS('HOJAS DE HORA PROY.'!$K$2:$K$943,'HOJAS DE HORA PROY.'!$A$2:$A$943,'PLAN MAESTRO FINAL'!$A10,'HOJAS DE HORA PROY.'!$M$2:$M$943,'PLAN MAESTRO FINAL'!F$1)</f>
        <v>0</v>
      </c>
      <c r="G10" s="8">
        <f>SUMIFS('HOJAS DE HORA PROY.'!$K$2:$K$943,'HOJAS DE HORA PROY.'!$A$2:$A$943,'PLAN MAESTRO FINAL'!$A10,'HOJAS DE HORA PROY.'!$M$2:$M$943,'PLAN MAESTRO FINAL'!G$1)</f>
        <v>0</v>
      </c>
      <c r="H10" s="8">
        <f>SUMIFS('HOJAS DE HORA PROY.'!$K$2:$K$943,'HOJAS DE HORA PROY.'!$A$2:$A$943,'PLAN MAESTRO FINAL'!$A10,'HOJAS DE HORA PROY.'!$M$2:$M$943,'PLAN MAESTRO FINAL'!H$1)</f>
        <v>0</v>
      </c>
      <c r="I10" s="8">
        <f>SUMIFS('HOJAS DE HORA PROY.'!$K$2:$K$943,'HOJAS DE HORA PROY.'!$A$2:$A$943,'PLAN MAESTRO FINAL'!$A10,'HOJAS DE HORA PROY.'!$M$2:$M$943,'PLAN MAESTRO FINAL'!I$1)</f>
        <v>0</v>
      </c>
      <c r="J10" s="8">
        <f>SUMIFS('HOJAS DE HORA PROY.'!$K$2:$K$943,'HOJAS DE HORA PROY.'!$A$2:$A$943,'PLAN MAESTRO FINAL'!$A10,'HOJAS DE HORA PROY.'!$M$2:$M$943,'PLAN MAESTRO FINAL'!J$1)</f>
        <v>0</v>
      </c>
      <c r="K10" s="8">
        <f>SUMIFS('HOJAS DE HORA PROY.'!$K$2:$K$943,'HOJAS DE HORA PROY.'!$A$2:$A$943,'PLAN MAESTRO FINAL'!$A10,'HOJAS DE HORA PROY.'!$M$2:$M$943,'PLAN MAESTRO FINAL'!K$1)</f>
        <v>0</v>
      </c>
      <c r="L10" s="8">
        <f>SUMIFS('HOJAS DE HORA PROY.'!$K$2:$K$943,'HOJAS DE HORA PROY.'!$A$2:$A$943,'PLAN MAESTRO FINAL'!$A10,'HOJAS DE HORA PROY.'!$M$2:$M$943,'PLAN MAESTRO FINAL'!L$1)</f>
        <v>0</v>
      </c>
      <c r="M10" s="8">
        <f>SUMIFS('HOJAS DE HORA PROY.'!$K$2:$K$943,'HOJAS DE HORA PROY.'!$A$2:$A$943,'PLAN MAESTRO FINAL'!$A10,'HOJAS DE HORA PROY.'!$M$2:$M$943,'PLAN MAESTRO FINAL'!M$1)</f>
        <v>0</v>
      </c>
      <c r="N10" s="8">
        <f>SUMIFS('HOJAS DE HORA PROY.'!$K$2:$K$943,'HOJAS DE HORA PROY.'!$A$2:$A$943,'PLAN MAESTRO FINAL'!$A10,'HOJAS DE HORA PROY.'!$M$2:$M$943,'PLAN MAESTRO FINAL'!N$1)</f>
        <v>0</v>
      </c>
      <c r="O10" s="8">
        <f>SUMIFS('HOJAS DE HORA PROY.'!$K$2:$K$943,'HOJAS DE HORA PROY.'!$A$2:$A$943,'PLAN MAESTRO FINAL'!$A10,'HOJAS DE HORA PROY.'!$M$2:$M$943,'PLAN MAESTRO FINAL'!O$1)</f>
        <v>0</v>
      </c>
      <c r="P10" s="8">
        <f>SUMIFS('HOJAS DE HORA PROY.'!$K$2:$K$943,'HOJAS DE HORA PROY.'!$A$2:$A$943,'PLAN MAESTRO FINAL'!$A10,'HOJAS DE HORA PROY.'!$M$2:$M$943,'PLAN MAESTRO FINAL'!P$1)</f>
        <v>0</v>
      </c>
      <c r="Q10" s="8">
        <f>SUMIFS('HOJAS DE HORA PROY.'!$K$2:$K$943,'HOJAS DE HORA PROY.'!$A$2:$A$943,'PLAN MAESTRO FINAL'!$A10,'HOJAS DE HORA PROY.'!$M$2:$M$943,'PLAN MAESTRO FINAL'!Q$1)</f>
        <v>0</v>
      </c>
      <c r="R10" s="8">
        <f>SUMIFS('HOJAS DE HORA PROY.'!$K$2:$K$943,'HOJAS DE HORA PROY.'!$A$2:$A$943,'PLAN MAESTRO FINAL'!$A10,'HOJAS DE HORA PROY.'!$M$2:$M$943,'PLAN MAESTRO FINAL'!R$1)</f>
        <v>0</v>
      </c>
      <c r="S10" s="8">
        <f>SUMIFS('HOJAS DE HORA PROY.'!$K$2:$K$943,'HOJAS DE HORA PROY.'!$A$2:$A$943,'PLAN MAESTRO FINAL'!$A10,'HOJAS DE HORA PROY.'!$M$2:$M$943,'PLAN MAESTRO FINAL'!S$1)</f>
        <v>0</v>
      </c>
      <c r="T10" s="8">
        <f>SUMIFS('HOJAS DE HORA PROY.'!$K$2:$K$943,'HOJAS DE HORA PROY.'!$A$2:$A$943,'PLAN MAESTRO FINAL'!$A10,'HOJAS DE HORA PROY.'!$M$2:$M$943,'PLAN MAESTRO FINAL'!T$1)</f>
        <v>0</v>
      </c>
      <c r="U10" s="8">
        <f>SUMIFS('HOJAS DE HORA PROY.'!$K$2:$K$943,'HOJAS DE HORA PROY.'!$A$2:$A$943,'PLAN MAESTRO FINAL'!$A10,'HOJAS DE HORA PROY.'!$M$2:$M$943,'PLAN MAESTRO FINAL'!U$1)</f>
        <v>0</v>
      </c>
      <c r="V10" s="8">
        <f>SUMIFS('HOJAS DE HORA PROY.'!$K$2:$K$943,'HOJAS DE HORA PROY.'!$A$2:$A$943,'PLAN MAESTRO FINAL'!$A10,'HOJAS DE HORA PROY.'!$M$2:$M$943,'PLAN MAESTRO FINAL'!V$1)</f>
        <v>0</v>
      </c>
      <c r="W10" s="8">
        <f>SUMIFS('HOJAS DE HORA PROY.'!$K$2:$K$943,'HOJAS DE HORA PROY.'!$A$2:$A$943,'PLAN MAESTRO FINAL'!$A10,'HOJAS DE HORA PROY.'!$M$2:$M$943,'PLAN MAESTRO FINAL'!W$1)</f>
        <v>0</v>
      </c>
    </row>
    <row r="11" spans="1:23" hidden="1" outlineLevel="1" x14ac:dyDescent="0.3">
      <c r="A11" s="13" t="s">
        <v>212</v>
      </c>
      <c r="B11" s="8">
        <f>SUMIFS('HOJAS DE HORA PROY.'!$K$2:$K$943,'HOJAS DE HORA PROY.'!$A$2:$A$943,'PLAN MAESTRO FINAL'!$A11,'HOJAS DE HORA PROY.'!$M$2:$M$943,'PLAN MAESTRO FINAL'!B$1)</f>
        <v>0</v>
      </c>
      <c r="C11" s="8">
        <f>SUMIFS('HOJAS DE HORA PROY.'!$K$2:$K$943,'HOJAS DE HORA PROY.'!$A$2:$A$943,'PLAN MAESTRO FINAL'!$A11,'HOJAS DE HORA PROY.'!$M$2:$M$943,'PLAN MAESTRO FINAL'!C$1)</f>
        <v>0</v>
      </c>
      <c r="D11" s="8">
        <f>SUMIFS('HOJAS DE HORA PROY.'!$K$2:$K$943,'HOJAS DE HORA PROY.'!$A$2:$A$943,'PLAN MAESTRO FINAL'!$A11,'HOJAS DE HORA PROY.'!$M$2:$M$943,'PLAN MAESTRO FINAL'!D$1)</f>
        <v>0</v>
      </c>
      <c r="E11" s="8">
        <f>SUMIFS('HOJAS DE HORA PROY.'!$K$2:$K$943,'HOJAS DE HORA PROY.'!$A$2:$A$943,'PLAN MAESTRO FINAL'!$A11,'HOJAS DE HORA PROY.'!$M$2:$M$943,'PLAN MAESTRO FINAL'!E$1)</f>
        <v>0</v>
      </c>
      <c r="F11" s="8">
        <f>SUMIFS('HOJAS DE HORA PROY.'!$K$2:$K$943,'HOJAS DE HORA PROY.'!$A$2:$A$943,'PLAN MAESTRO FINAL'!$A11,'HOJAS DE HORA PROY.'!$M$2:$M$943,'PLAN MAESTRO FINAL'!F$1)</f>
        <v>0</v>
      </c>
      <c r="G11" s="8">
        <f>SUMIFS('HOJAS DE HORA PROY.'!$K$2:$K$943,'HOJAS DE HORA PROY.'!$A$2:$A$943,'PLAN MAESTRO FINAL'!$A11,'HOJAS DE HORA PROY.'!$M$2:$M$943,'PLAN MAESTRO FINAL'!G$1)</f>
        <v>0</v>
      </c>
      <c r="H11" s="8">
        <f>SUMIFS('HOJAS DE HORA PROY.'!$K$2:$K$943,'HOJAS DE HORA PROY.'!$A$2:$A$943,'PLAN MAESTRO FINAL'!$A11,'HOJAS DE HORA PROY.'!$M$2:$M$943,'PLAN MAESTRO FINAL'!H$1)</f>
        <v>0</v>
      </c>
      <c r="I11" s="8">
        <f>SUMIFS('HOJAS DE HORA PROY.'!$K$2:$K$943,'HOJAS DE HORA PROY.'!$A$2:$A$943,'PLAN MAESTRO FINAL'!$A11,'HOJAS DE HORA PROY.'!$M$2:$M$943,'PLAN MAESTRO FINAL'!I$1)</f>
        <v>0</v>
      </c>
      <c r="J11" s="8">
        <f>SUMIFS('HOJAS DE HORA PROY.'!$K$2:$K$943,'HOJAS DE HORA PROY.'!$A$2:$A$943,'PLAN MAESTRO FINAL'!$A11,'HOJAS DE HORA PROY.'!$M$2:$M$943,'PLAN MAESTRO FINAL'!J$1)</f>
        <v>0</v>
      </c>
      <c r="K11" s="8">
        <f>SUMIFS('HOJAS DE HORA PROY.'!$K$2:$K$943,'HOJAS DE HORA PROY.'!$A$2:$A$943,'PLAN MAESTRO FINAL'!$A11,'HOJAS DE HORA PROY.'!$M$2:$M$943,'PLAN MAESTRO FINAL'!K$1)</f>
        <v>0</v>
      </c>
      <c r="L11" s="8">
        <f>SUMIFS('HOJAS DE HORA PROY.'!$K$2:$K$943,'HOJAS DE HORA PROY.'!$A$2:$A$943,'PLAN MAESTRO FINAL'!$A11,'HOJAS DE HORA PROY.'!$M$2:$M$943,'PLAN MAESTRO FINAL'!L$1)</f>
        <v>0</v>
      </c>
      <c r="M11" s="8">
        <f>SUMIFS('HOJAS DE HORA PROY.'!$K$2:$K$943,'HOJAS DE HORA PROY.'!$A$2:$A$943,'PLAN MAESTRO FINAL'!$A11,'HOJAS DE HORA PROY.'!$M$2:$M$943,'PLAN MAESTRO FINAL'!M$1)</f>
        <v>0</v>
      </c>
      <c r="N11" s="8">
        <f>SUMIFS('HOJAS DE HORA PROY.'!$K$2:$K$943,'HOJAS DE HORA PROY.'!$A$2:$A$943,'PLAN MAESTRO FINAL'!$A11,'HOJAS DE HORA PROY.'!$M$2:$M$943,'PLAN MAESTRO FINAL'!N$1)</f>
        <v>0</v>
      </c>
      <c r="O11" s="8">
        <f>SUMIFS('HOJAS DE HORA PROY.'!$K$2:$K$943,'HOJAS DE HORA PROY.'!$A$2:$A$943,'PLAN MAESTRO FINAL'!$A11,'HOJAS DE HORA PROY.'!$M$2:$M$943,'PLAN MAESTRO FINAL'!O$1)</f>
        <v>0</v>
      </c>
      <c r="P11" s="8">
        <f>SUMIFS('HOJAS DE HORA PROY.'!$K$2:$K$943,'HOJAS DE HORA PROY.'!$A$2:$A$943,'PLAN MAESTRO FINAL'!$A11,'HOJAS DE HORA PROY.'!$M$2:$M$943,'PLAN MAESTRO FINAL'!P$1)</f>
        <v>0</v>
      </c>
      <c r="Q11" s="8">
        <f>SUMIFS('HOJAS DE HORA PROY.'!$K$2:$K$943,'HOJAS DE HORA PROY.'!$A$2:$A$943,'PLAN MAESTRO FINAL'!$A11,'HOJAS DE HORA PROY.'!$M$2:$M$943,'PLAN MAESTRO FINAL'!Q$1)</f>
        <v>0</v>
      </c>
      <c r="R11" s="8">
        <f>SUMIFS('HOJAS DE HORA PROY.'!$K$2:$K$943,'HOJAS DE HORA PROY.'!$A$2:$A$943,'PLAN MAESTRO FINAL'!$A11,'HOJAS DE HORA PROY.'!$M$2:$M$943,'PLAN MAESTRO FINAL'!R$1)</f>
        <v>0</v>
      </c>
      <c r="S11" s="8">
        <f>SUMIFS('HOJAS DE HORA PROY.'!$K$2:$K$943,'HOJAS DE HORA PROY.'!$A$2:$A$943,'PLAN MAESTRO FINAL'!$A11,'HOJAS DE HORA PROY.'!$M$2:$M$943,'PLAN MAESTRO FINAL'!S$1)</f>
        <v>0</v>
      </c>
      <c r="T11" s="8">
        <f>SUMIFS('HOJAS DE HORA PROY.'!$K$2:$K$943,'HOJAS DE HORA PROY.'!$A$2:$A$943,'PLAN MAESTRO FINAL'!$A11,'HOJAS DE HORA PROY.'!$M$2:$M$943,'PLAN MAESTRO FINAL'!T$1)</f>
        <v>0</v>
      </c>
      <c r="U11" s="8">
        <f>SUMIFS('HOJAS DE HORA PROY.'!$K$2:$K$943,'HOJAS DE HORA PROY.'!$A$2:$A$943,'PLAN MAESTRO FINAL'!$A11,'HOJAS DE HORA PROY.'!$M$2:$M$943,'PLAN MAESTRO FINAL'!U$1)</f>
        <v>0</v>
      </c>
      <c r="V11" s="8">
        <f>SUMIFS('HOJAS DE HORA PROY.'!$K$2:$K$943,'HOJAS DE HORA PROY.'!$A$2:$A$943,'PLAN MAESTRO FINAL'!$A11,'HOJAS DE HORA PROY.'!$M$2:$M$943,'PLAN MAESTRO FINAL'!V$1)</f>
        <v>0</v>
      </c>
      <c r="W11" s="8">
        <f>SUMIFS('HOJAS DE HORA PROY.'!$K$2:$K$943,'HOJAS DE HORA PROY.'!$A$2:$A$943,'PLAN MAESTRO FINAL'!$A11,'HOJAS DE HORA PROY.'!$M$2:$M$943,'PLAN MAESTRO FINAL'!W$1)</f>
        <v>0</v>
      </c>
    </row>
    <row r="12" spans="1:23" hidden="1" outlineLevel="1" x14ac:dyDescent="0.3">
      <c r="A12" s="13" t="s">
        <v>216</v>
      </c>
      <c r="B12" s="8">
        <f>SUMIFS('HOJAS DE HORA PROY.'!$K$2:$K$943,'HOJAS DE HORA PROY.'!$A$2:$A$943,'PLAN MAESTRO FINAL'!$A12,'HOJAS DE HORA PROY.'!$M$2:$M$943,'PLAN MAESTRO FINAL'!B$1)</f>
        <v>0</v>
      </c>
      <c r="C12" s="8">
        <f>SUMIFS('HOJAS DE HORA PROY.'!$K$2:$K$943,'HOJAS DE HORA PROY.'!$A$2:$A$943,'PLAN MAESTRO FINAL'!$A12,'HOJAS DE HORA PROY.'!$M$2:$M$943,'PLAN MAESTRO FINAL'!C$1)</f>
        <v>0</v>
      </c>
      <c r="D12" s="8">
        <f>SUMIFS('HOJAS DE HORA PROY.'!$K$2:$K$943,'HOJAS DE HORA PROY.'!$A$2:$A$943,'PLAN MAESTRO FINAL'!$A12,'HOJAS DE HORA PROY.'!$M$2:$M$943,'PLAN MAESTRO FINAL'!D$1)</f>
        <v>0</v>
      </c>
      <c r="E12" s="8">
        <f>SUMIFS('HOJAS DE HORA PROY.'!$K$2:$K$943,'HOJAS DE HORA PROY.'!$A$2:$A$943,'PLAN MAESTRO FINAL'!$A12,'HOJAS DE HORA PROY.'!$M$2:$M$943,'PLAN MAESTRO FINAL'!E$1)</f>
        <v>0</v>
      </c>
      <c r="F12" s="8">
        <f>SUMIFS('HOJAS DE HORA PROY.'!$K$2:$K$943,'HOJAS DE HORA PROY.'!$A$2:$A$943,'PLAN MAESTRO FINAL'!$A12,'HOJAS DE HORA PROY.'!$M$2:$M$943,'PLAN MAESTRO FINAL'!F$1)</f>
        <v>0</v>
      </c>
      <c r="G12" s="8">
        <f>SUMIFS('HOJAS DE HORA PROY.'!$K$2:$K$943,'HOJAS DE HORA PROY.'!$A$2:$A$943,'PLAN MAESTRO FINAL'!$A12,'HOJAS DE HORA PROY.'!$M$2:$M$943,'PLAN MAESTRO FINAL'!G$1)</f>
        <v>0</v>
      </c>
      <c r="H12" s="8">
        <f>SUMIFS('HOJAS DE HORA PROY.'!$K$2:$K$943,'HOJAS DE HORA PROY.'!$A$2:$A$943,'PLAN MAESTRO FINAL'!$A12,'HOJAS DE HORA PROY.'!$M$2:$M$943,'PLAN MAESTRO FINAL'!H$1)</f>
        <v>0</v>
      </c>
      <c r="I12" s="8">
        <f>SUMIFS('HOJAS DE HORA PROY.'!$K$2:$K$943,'HOJAS DE HORA PROY.'!$A$2:$A$943,'PLAN MAESTRO FINAL'!$A12,'HOJAS DE HORA PROY.'!$M$2:$M$943,'PLAN MAESTRO FINAL'!I$1)</f>
        <v>0</v>
      </c>
      <c r="J12" s="8">
        <f>SUMIFS('HOJAS DE HORA PROY.'!$K$2:$K$943,'HOJAS DE HORA PROY.'!$A$2:$A$943,'PLAN MAESTRO FINAL'!$A12,'HOJAS DE HORA PROY.'!$M$2:$M$943,'PLAN MAESTRO FINAL'!J$1)</f>
        <v>0</v>
      </c>
      <c r="K12" s="8">
        <f>SUMIFS('HOJAS DE HORA PROY.'!$K$2:$K$943,'HOJAS DE HORA PROY.'!$A$2:$A$943,'PLAN MAESTRO FINAL'!$A12,'HOJAS DE HORA PROY.'!$M$2:$M$943,'PLAN MAESTRO FINAL'!K$1)</f>
        <v>0</v>
      </c>
      <c r="L12" s="8">
        <f>SUMIFS('HOJAS DE HORA PROY.'!$K$2:$K$943,'HOJAS DE HORA PROY.'!$A$2:$A$943,'PLAN MAESTRO FINAL'!$A12,'HOJAS DE HORA PROY.'!$M$2:$M$943,'PLAN MAESTRO FINAL'!L$1)</f>
        <v>0</v>
      </c>
      <c r="M12" s="8">
        <f>SUMIFS('HOJAS DE HORA PROY.'!$K$2:$K$943,'HOJAS DE HORA PROY.'!$A$2:$A$943,'PLAN MAESTRO FINAL'!$A12,'HOJAS DE HORA PROY.'!$M$2:$M$943,'PLAN MAESTRO FINAL'!M$1)</f>
        <v>0</v>
      </c>
      <c r="N12" s="8">
        <f>SUMIFS('HOJAS DE HORA PROY.'!$K$2:$K$943,'HOJAS DE HORA PROY.'!$A$2:$A$943,'PLAN MAESTRO FINAL'!$A12,'HOJAS DE HORA PROY.'!$M$2:$M$943,'PLAN MAESTRO FINAL'!N$1)</f>
        <v>0</v>
      </c>
      <c r="O12" s="8">
        <f>SUMIFS('HOJAS DE HORA PROY.'!$K$2:$K$943,'HOJAS DE HORA PROY.'!$A$2:$A$943,'PLAN MAESTRO FINAL'!$A12,'HOJAS DE HORA PROY.'!$M$2:$M$943,'PLAN MAESTRO FINAL'!O$1)</f>
        <v>0</v>
      </c>
      <c r="P12" s="8">
        <f>SUMIFS('HOJAS DE HORA PROY.'!$K$2:$K$943,'HOJAS DE HORA PROY.'!$A$2:$A$943,'PLAN MAESTRO FINAL'!$A12,'HOJAS DE HORA PROY.'!$M$2:$M$943,'PLAN MAESTRO FINAL'!P$1)</f>
        <v>0</v>
      </c>
      <c r="Q12" s="8">
        <f>SUMIFS('HOJAS DE HORA PROY.'!$K$2:$K$943,'HOJAS DE HORA PROY.'!$A$2:$A$943,'PLAN MAESTRO FINAL'!$A12,'HOJAS DE HORA PROY.'!$M$2:$M$943,'PLAN MAESTRO FINAL'!Q$1)</f>
        <v>0</v>
      </c>
      <c r="R12" s="8">
        <f>SUMIFS('HOJAS DE HORA PROY.'!$K$2:$K$943,'HOJAS DE HORA PROY.'!$A$2:$A$943,'PLAN MAESTRO FINAL'!$A12,'HOJAS DE HORA PROY.'!$M$2:$M$943,'PLAN MAESTRO FINAL'!R$1)</f>
        <v>0</v>
      </c>
      <c r="S12" s="8">
        <f>SUMIFS('HOJAS DE HORA PROY.'!$K$2:$K$943,'HOJAS DE HORA PROY.'!$A$2:$A$943,'PLAN MAESTRO FINAL'!$A12,'HOJAS DE HORA PROY.'!$M$2:$M$943,'PLAN MAESTRO FINAL'!S$1)</f>
        <v>0</v>
      </c>
      <c r="T12" s="8">
        <f>SUMIFS('HOJAS DE HORA PROY.'!$K$2:$K$943,'HOJAS DE HORA PROY.'!$A$2:$A$943,'PLAN MAESTRO FINAL'!$A12,'HOJAS DE HORA PROY.'!$M$2:$M$943,'PLAN MAESTRO FINAL'!T$1)</f>
        <v>0</v>
      </c>
      <c r="U12" s="8">
        <f>SUMIFS('HOJAS DE HORA PROY.'!$K$2:$K$943,'HOJAS DE HORA PROY.'!$A$2:$A$943,'PLAN MAESTRO FINAL'!$A12,'HOJAS DE HORA PROY.'!$M$2:$M$943,'PLAN MAESTRO FINAL'!U$1)</f>
        <v>0</v>
      </c>
      <c r="V12" s="8">
        <f>SUMIFS('HOJAS DE HORA PROY.'!$K$2:$K$943,'HOJAS DE HORA PROY.'!$A$2:$A$943,'PLAN MAESTRO FINAL'!$A12,'HOJAS DE HORA PROY.'!$M$2:$M$943,'PLAN MAESTRO FINAL'!V$1)</f>
        <v>0</v>
      </c>
      <c r="W12" s="8">
        <f>SUMIFS('HOJAS DE HORA PROY.'!$K$2:$K$943,'HOJAS DE HORA PROY.'!$A$2:$A$943,'PLAN MAESTRO FINAL'!$A12,'HOJAS DE HORA PROY.'!$M$2:$M$943,'PLAN MAESTRO FINAL'!W$1)</f>
        <v>0</v>
      </c>
    </row>
    <row r="13" spans="1:23" hidden="1" outlineLevel="1" x14ac:dyDescent="0.3">
      <c r="A13" s="13" t="s">
        <v>217</v>
      </c>
      <c r="B13" s="8">
        <f>SUMIFS('HOJAS DE HORA PROY.'!$K$2:$K$943,'HOJAS DE HORA PROY.'!$A$2:$A$943,'PLAN MAESTRO FINAL'!$A13,'HOJAS DE HORA PROY.'!$M$2:$M$943,'PLAN MAESTRO FINAL'!B$1)</f>
        <v>0</v>
      </c>
      <c r="C13" s="8">
        <f>SUMIFS('HOJAS DE HORA PROY.'!$K$2:$K$943,'HOJAS DE HORA PROY.'!$A$2:$A$943,'PLAN MAESTRO FINAL'!$A13,'HOJAS DE HORA PROY.'!$M$2:$M$943,'PLAN MAESTRO FINAL'!C$1)</f>
        <v>0</v>
      </c>
      <c r="D13" s="8">
        <f>SUMIFS('HOJAS DE HORA PROY.'!$K$2:$K$943,'HOJAS DE HORA PROY.'!$A$2:$A$943,'PLAN MAESTRO FINAL'!$A13,'HOJAS DE HORA PROY.'!$M$2:$M$943,'PLAN MAESTRO FINAL'!D$1)</f>
        <v>0</v>
      </c>
      <c r="E13" s="8">
        <f>SUMIFS('HOJAS DE HORA PROY.'!$K$2:$K$943,'HOJAS DE HORA PROY.'!$A$2:$A$943,'PLAN MAESTRO FINAL'!$A13,'HOJAS DE HORA PROY.'!$M$2:$M$943,'PLAN MAESTRO FINAL'!E$1)</f>
        <v>0</v>
      </c>
      <c r="F13" s="8">
        <f>SUMIFS('HOJAS DE HORA PROY.'!$K$2:$K$943,'HOJAS DE HORA PROY.'!$A$2:$A$943,'PLAN MAESTRO FINAL'!$A13,'HOJAS DE HORA PROY.'!$M$2:$M$943,'PLAN MAESTRO FINAL'!F$1)</f>
        <v>0</v>
      </c>
      <c r="G13" s="8">
        <f>SUMIFS('HOJAS DE HORA PROY.'!$K$2:$K$943,'HOJAS DE HORA PROY.'!$A$2:$A$943,'PLAN MAESTRO FINAL'!$A13,'HOJAS DE HORA PROY.'!$M$2:$M$943,'PLAN MAESTRO FINAL'!G$1)</f>
        <v>86.5</v>
      </c>
      <c r="H13" s="8">
        <f>SUMIFS('HOJAS DE HORA PROY.'!$K$2:$K$943,'HOJAS DE HORA PROY.'!$A$2:$A$943,'PLAN MAESTRO FINAL'!$A13,'HOJAS DE HORA PROY.'!$M$2:$M$943,'PLAN MAESTRO FINAL'!H$1)</f>
        <v>0</v>
      </c>
      <c r="I13" s="8">
        <f>SUMIFS('HOJAS DE HORA PROY.'!$K$2:$K$943,'HOJAS DE HORA PROY.'!$A$2:$A$943,'PLAN MAESTRO FINAL'!$A13,'HOJAS DE HORA PROY.'!$M$2:$M$943,'PLAN MAESTRO FINAL'!I$1)</f>
        <v>0</v>
      </c>
      <c r="J13" s="8">
        <f>SUMIFS('HOJAS DE HORA PROY.'!$K$2:$K$943,'HOJAS DE HORA PROY.'!$A$2:$A$943,'PLAN MAESTRO FINAL'!$A13,'HOJAS DE HORA PROY.'!$M$2:$M$943,'PLAN MAESTRO FINAL'!J$1)</f>
        <v>0</v>
      </c>
      <c r="K13" s="8">
        <f>SUMIFS('HOJAS DE HORA PROY.'!$K$2:$K$943,'HOJAS DE HORA PROY.'!$A$2:$A$943,'PLAN MAESTRO FINAL'!$A13,'HOJAS DE HORA PROY.'!$M$2:$M$943,'PLAN MAESTRO FINAL'!K$1)</f>
        <v>0</v>
      </c>
      <c r="L13" s="8">
        <f>SUMIFS('HOJAS DE HORA PROY.'!$K$2:$K$943,'HOJAS DE HORA PROY.'!$A$2:$A$943,'PLAN MAESTRO FINAL'!$A13,'HOJAS DE HORA PROY.'!$M$2:$M$943,'PLAN MAESTRO FINAL'!L$1)</f>
        <v>0</v>
      </c>
      <c r="M13" s="8">
        <f>SUMIFS('HOJAS DE HORA PROY.'!$K$2:$K$943,'HOJAS DE HORA PROY.'!$A$2:$A$943,'PLAN MAESTRO FINAL'!$A13,'HOJAS DE HORA PROY.'!$M$2:$M$943,'PLAN MAESTRO FINAL'!M$1)</f>
        <v>0</v>
      </c>
      <c r="N13" s="8">
        <f>SUMIFS('HOJAS DE HORA PROY.'!$K$2:$K$943,'HOJAS DE HORA PROY.'!$A$2:$A$943,'PLAN MAESTRO FINAL'!$A13,'HOJAS DE HORA PROY.'!$M$2:$M$943,'PLAN MAESTRO FINAL'!N$1)</f>
        <v>0</v>
      </c>
      <c r="O13" s="8">
        <f>SUMIFS('HOJAS DE HORA PROY.'!$K$2:$K$943,'HOJAS DE HORA PROY.'!$A$2:$A$943,'PLAN MAESTRO FINAL'!$A13,'HOJAS DE HORA PROY.'!$M$2:$M$943,'PLAN MAESTRO FINAL'!O$1)</f>
        <v>0</v>
      </c>
      <c r="P13" s="8">
        <f>SUMIFS('HOJAS DE HORA PROY.'!$K$2:$K$943,'HOJAS DE HORA PROY.'!$A$2:$A$943,'PLAN MAESTRO FINAL'!$A13,'HOJAS DE HORA PROY.'!$M$2:$M$943,'PLAN MAESTRO FINAL'!P$1)</f>
        <v>0</v>
      </c>
      <c r="Q13" s="8">
        <f>SUMIFS('HOJAS DE HORA PROY.'!$K$2:$K$943,'HOJAS DE HORA PROY.'!$A$2:$A$943,'PLAN MAESTRO FINAL'!$A13,'HOJAS DE HORA PROY.'!$M$2:$M$943,'PLAN MAESTRO FINAL'!Q$1)</f>
        <v>0</v>
      </c>
      <c r="R13" s="8">
        <f>SUMIFS('HOJAS DE HORA PROY.'!$K$2:$K$943,'HOJAS DE HORA PROY.'!$A$2:$A$943,'PLAN MAESTRO FINAL'!$A13,'HOJAS DE HORA PROY.'!$M$2:$M$943,'PLAN MAESTRO FINAL'!R$1)</f>
        <v>0</v>
      </c>
      <c r="S13" s="8">
        <f>SUMIFS('HOJAS DE HORA PROY.'!$K$2:$K$943,'HOJAS DE HORA PROY.'!$A$2:$A$943,'PLAN MAESTRO FINAL'!$A13,'HOJAS DE HORA PROY.'!$M$2:$M$943,'PLAN MAESTRO FINAL'!S$1)</f>
        <v>0</v>
      </c>
      <c r="T13" s="8">
        <f>SUMIFS('HOJAS DE HORA PROY.'!$K$2:$K$943,'HOJAS DE HORA PROY.'!$A$2:$A$943,'PLAN MAESTRO FINAL'!$A13,'HOJAS DE HORA PROY.'!$M$2:$M$943,'PLAN MAESTRO FINAL'!T$1)</f>
        <v>0</v>
      </c>
      <c r="U13" s="8">
        <f>SUMIFS('HOJAS DE HORA PROY.'!$K$2:$K$943,'HOJAS DE HORA PROY.'!$A$2:$A$943,'PLAN MAESTRO FINAL'!$A13,'HOJAS DE HORA PROY.'!$M$2:$M$943,'PLAN MAESTRO FINAL'!U$1)</f>
        <v>0</v>
      </c>
      <c r="V13" s="8">
        <f>SUMIFS('HOJAS DE HORA PROY.'!$K$2:$K$943,'HOJAS DE HORA PROY.'!$A$2:$A$943,'PLAN MAESTRO FINAL'!$A13,'HOJAS DE HORA PROY.'!$M$2:$M$943,'PLAN MAESTRO FINAL'!V$1)</f>
        <v>0</v>
      </c>
      <c r="W13" s="8">
        <f>SUMIFS('HOJAS DE HORA PROY.'!$K$2:$K$943,'HOJAS DE HORA PROY.'!$A$2:$A$943,'PLAN MAESTRO FINAL'!$A13,'HOJAS DE HORA PROY.'!$M$2:$M$943,'PLAN MAESTRO FINAL'!W$1)</f>
        <v>0</v>
      </c>
    </row>
    <row r="14" spans="1:23" hidden="1" outlineLevel="1" x14ac:dyDescent="0.3">
      <c r="A14" s="13" t="s">
        <v>231</v>
      </c>
      <c r="B14" s="8">
        <f>SUMIFS('HOJAS DE HORA PROY.'!$K$2:$K$943,'HOJAS DE HORA PROY.'!$A$2:$A$943,'PLAN MAESTRO FINAL'!$A14,'HOJAS DE HORA PROY.'!$M$2:$M$943,'PLAN MAESTRO FINAL'!B$1)</f>
        <v>0</v>
      </c>
      <c r="C14" s="8">
        <f>SUMIFS('HOJAS DE HORA PROY.'!$K$2:$K$943,'HOJAS DE HORA PROY.'!$A$2:$A$943,'PLAN MAESTRO FINAL'!$A14,'HOJAS DE HORA PROY.'!$M$2:$M$943,'PLAN MAESTRO FINAL'!C$1)</f>
        <v>0</v>
      </c>
      <c r="D14" s="8">
        <f>SUMIFS('HOJAS DE HORA PROY.'!$K$2:$K$943,'HOJAS DE HORA PROY.'!$A$2:$A$943,'PLAN MAESTRO FINAL'!$A14,'HOJAS DE HORA PROY.'!$M$2:$M$943,'PLAN MAESTRO FINAL'!D$1)</f>
        <v>0</v>
      </c>
      <c r="E14" s="8">
        <f>SUMIFS('HOJAS DE HORA PROY.'!$K$2:$K$943,'HOJAS DE HORA PROY.'!$A$2:$A$943,'PLAN MAESTRO FINAL'!$A14,'HOJAS DE HORA PROY.'!$M$2:$M$943,'PLAN MAESTRO FINAL'!E$1)</f>
        <v>0</v>
      </c>
      <c r="F14" s="8">
        <f>SUMIFS('HOJAS DE HORA PROY.'!$K$2:$K$943,'HOJAS DE HORA PROY.'!$A$2:$A$943,'PLAN MAESTRO FINAL'!$A14,'HOJAS DE HORA PROY.'!$M$2:$M$943,'PLAN MAESTRO FINAL'!F$1)</f>
        <v>0</v>
      </c>
      <c r="G14" s="8">
        <f>SUMIFS('HOJAS DE HORA PROY.'!$K$2:$K$943,'HOJAS DE HORA PROY.'!$A$2:$A$943,'PLAN MAESTRO FINAL'!$A14,'HOJAS DE HORA PROY.'!$M$2:$M$943,'PLAN MAESTRO FINAL'!G$1)</f>
        <v>34</v>
      </c>
      <c r="H14" s="8">
        <f>SUMIFS('HOJAS DE HORA PROY.'!$K$2:$K$943,'HOJAS DE HORA PROY.'!$A$2:$A$943,'PLAN MAESTRO FINAL'!$A14,'HOJAS DE HORA PROY.'!$M$2:$M$943,'PLAN MAESTRO FINAL'!H$1)</f>
        <v>0</v>
      </c>
      <c r="I14" s="8">
        <f>SUMIFS('HOJAS DE HORA PROY.'!$K$2:$K$943,'HOJAS DE HORA PROY.'!$A$2:$A$943,'PLAN MAESTRO FINAL'!$A14,'HOJAS DE HORA PROY.'!$M$2:$M$943,'PLAN MAESTRO FINAL'!I$1)</f>
        <v>0</v>
      </c>
      <c r="J14" s="8">
        <f>SUMIFS('HOJAS DE HORA PROY.'!$K$2:$K$943,'HOJAS DE HORA PROY.'!$A$2:$A$943,'PLAN MAESTRO FINAL'!$A14,'HOJAS DE HORA PROY.'!$M$2:$M$943,'PLAN MAESTRO FINAL'!J$1)</f>
        <v>0</v>
      </c>
      <c r="K14" s="8">
        <f>SUMIFS('HOJAS DE HORA PROY.'!$K$2:$K$943,'HOJAS DE HORA PROY.'!$A$2:$A$943,'PLAN MAESTRO FINAL'!$A14,'HOJAS DE HORA PROY.'!$M$2:$M$943,'PLAN MAESTRO FINAL'!K$1)</f>
        <v>0</v>
      </c>
      <c r="L14" s="8">
        <f>SUMIFS('HOJAS DE HORA PROY.'!$K$2:$K$943,'HOJAS DE HORA PROY.'!$A$2:$A$943,'PLAN MAESTRO FINAL'!$A14,'HOJAS DE HORA PROY.'!$M$2:$M$943,'PLAN MAESTRO FINAL'!L$1)</f>
        <v>0</v>
      </c>
      <c r="M14" s="8">
        <f>SUMIFS('HOJAS DE HORA PROY.'!$K$2:$K$943,'HOJAS DE HORA PROY.'!$A$2:$A$943,'PLAN MAESTRO FINAL'!$A14,'HOJAS DE HORA PROY.'!$M$2:$M$943,'PLAN MAESTRO FINAL'!M$1)</f>
        <v>0</v>
      </c>
      <c r="N14" s="8">
        <f>SUMIFS('HOJAS DE HORA PROY.'!$K$2:$K$943,'HOJAS DE HORA PROY.'!$A$2:$A$943,'PLAN MAESTRO FINAL'!$A14,'HOJAS DE HORA PROY.'!$M$2:$M$943,'PLAN MAESTRO FINAL'!N$1)</f>
        <v>0</v>
      </c>
      <c r="O14" s="8">
        <f>SUMIFS('HOJAS DE HORA PROY.'!$K$2:$K$943,'HOJAS DE HORA PROY.'!$A$2:$A$943,'PLAN MAESTRO FINAL'!$A14,'HOJAS DE HORA PROY.'!$M$2:$M$943,'PLAN MAESTRO FINAL'!O$1)</f>
        <v>0</v>
      </c>
      <c r="P14" s="8">
        <f>SUMIFS('HOJAS DE HORA PROY.'!$K$2:$K$943,'HOJAS DE HORA PROY.'!$A$2:$A$943,'PLAN MAESTRO FINAL'!$A14,'HOJAS DE HORA PROY.'!$M$2:$M$943,'PLAN MAESTRO FINAL'!P$1)</f>
        <v>0</v>
      </c>
      <c r="Q14" s="8">
        <f>SUMIFS('HOJAS DE HORA PROY.'!$K$2:$K$943,'HOJAS DE HORA PROY.'!$A$2:$A$943,'PLAN MAESTRO FINAL'!$A14,'HOJAS DE HORA PROY.'!$M$2:$M$943,'PLAN MAESTRO FINAL'!Q$1)</f>
        <v>0</v>
      </c>
      <c r="R14" s="8">
        <f>SUMIFS('HOJAS DE HORA PROY.'!$K$2:$K$943,'HOJAS DE HORA PROY.'!$A$2:$A$943,'PLAN MAESTRO FINAL'!$A14,'HOJAS DE HORA PROY.'!$M$2:$M$943,'PLAN MAESTRO FINAL'!R$1)</f>
        <v>0</v>
      </c>
      <c r="S14" s="8">
        <f>SUMIFS('HOJAS DE HORA PROY.'!$K$2:$K$943,'HOJAS DE HORA PROY.'!$A$2:$A$943,'PLAN MAESTRO FINAL'!$A14,'HOJAS DE HORA PROY.'!$M$2:$M$943,'PLAN MAESTRO FINAL'!S$1)</f>
        <v>0</v>
      </c>
      <c r="T14" s="8">
        <f>SUMIFS('HOJAS DE HORA PROY.'!$K$2:$K$943,'HOJAS DE HORA PROY.'!$A$2:$A$943,'PLAN MAESTRO FINAL'!$A14,'HOJAS DE HORA PROY.'!$M$2:$M$943,'PLAN MAESTRO FINAL'!T$1)</f>
        <v>0</v>
      </c>
      <c r="U14" s="8">
        <f>SUMIFS('HOJAS DE HORA PROY.'!$K$2:$K$943,'HOJAS DE HORA PROY.'!$A$2:$A$943,'PLAN MAESTRO FINAL'!$A14,'HOJAS DE HORA PROY.'!$M$2:$M$943,'PLAN MAESTRO FINAL'!U$1)</f>
        <v>0</v>
      </c>
      <c r="V14" s="8">
        <f>SUMIFS('HOJAS DE HORA PROY.'!$K$2:$K$943,'HOJAS DE HORA PROY.'!$A$2:$A$943,'PLAN MAESTRO FINAL'!$A14,'HOJAS DE HORA PROY.'!$M$2:$M$943,'PLAN MAESTRO FINAL'!V$1)</f>
        <v>0</v>
      </c>
      <c r="W14" s="8">
        <f>SUMIFS('HOJAS DE HORA PROY.'!$K$2:$K$943,'HOJAS DE HORA PROY.'!$A$2:$A$943,'PLAN MAESTRO FINAL'!$A14,'HOJAS DE HORA PROY.'!$M$2:$M$943,'PLAN MAESTRO FINAL'!W$1)</f>
        <v>0</v>
      </c>
    </row>
    <row r="15" spans="1:23" hidden="1" outlineLevel="1" x14ac:dyDescent="0.3">
      <c r="A15" s="13" t="s">
        <v>245</v>
      </c>
      <c r="B15" s="8">
        <f>SUMIFS('HOJAS DE HORA PROY.'!$K$2:$K$943,'HOJAS DE HORA PROY.'!$A$2:$A$943,'PLAN MAESTRO FINAL'!$A15,'HOJAS DE HORA PROY.'!$M$2:$M$943,'PLAN MAESTRO FINAL'!B$1)</f>
        <v>0</v>
      </c>
      <c r="C15" s="8">
        <f>SUMIFS('HOJAS DE HORA PROY.'!$K$2:$K$943,'HOJAS DE HORA PROY.'!$A$2:$A$943,'PLAN MAESTRO FINAL'!$A15,'HOJAS DE HORA PROY.'!$M$2:$M$943,'PLAN MAESTRO FINAL'!C$1)</f>
        <v>0</v>
      </c>
      <c r="D15" s="8">
        <f>SUMIFS('HOJAS DE HORA PROY.'!$K$2:$K$943,'HOJAS DE HORA PROY.'!$A$2:$A$943,'PLAN MAESTRO FINAL'!$A15,'HOJAS DE HORA PROY.'!$M$2:$M$943,'PLAN MAESTRO FINAL'!D$1)</f>
        <v>0</v>
      </c>
      <c r="E15" s="8">
        <f>SUMIFS('HOJAS DE HORA PROY.'!$K$2:$K$943,'HOJAS DE HORA PROY.'!$A$2:$A$943,'PLAN MAESTRO FINAL'!$A15,'HOJAS DE HORA PROY.'!$M$2:$M$943,'PLAN MAESTRO FINAL'!E$1)</f>
        <v>0</v>
      </c>
      <c r="F15" s="8">
        <f>SUMIFS('HOJAS DE HORA PROY.'!$K$2:$K$943,'HOJAS DE HORA PROY.'!$A$2:$A$943,'PLAN MAESTRO FINAL'!$A15,'HOJAS DE HORA PROY.'!$M$2:$M$943,'PLAN MAESTRO FINAL'!F$1)</f>
        <v>0</v>
      </c>
      <c r="G15" s="8">
        <f>SUMIFS('HOJAS DE HORA PROY.'!$K$2:$K$943,'HOJAS DE HORA PROY.'!$A$2:$A$943,'PLAN MAESTRO FINAL'!$A15,'HOJAS DE HORA PROY.'!$M$2:$M$943,'PLAN MAESTRO FINAL'!G$1)</f>
        <v>0</v>
      </c>
      <c r="H15" s="8">
        <f>SUMIFS('HOJAS DE HORA PROY.'!$K$2:$K$943,'HOJAS DE HORA PROY.'!$A$2:$A$943,'PLAN MAESTRO FINAL'!$A15,'HOJAS DE HORA PROY.'!$M$2:$M$943,'PLAN MAESTRO FINAL'!H$1)</f>
        <v>0</v>
      </c>
      <c r="I15" s="8">
        <f>SUMIFS('HOJAS DE HORA PROY.'!$K$2:$K$943,'HOJAS DE HORA PROY.'!$A$2:$A$943,'PLAN MAESTRO FINAL'!$A15,'HOJAS DE HORA PROY.'!$M$2:$M$943,'PLAN MAESTRO FINAL'!I$1)</f>
        <v>0</v>
      </c>
      <c r="J15" s="8">
        <f>SUMIFS('HOJAS DE HORA PROY.'!$K$2:$K$943,'HOJAS DE HORA PROY.'!$A$2:$A$943,'PLAN MAESTRO FINAL'!$A15,'HOJAS DE HORA PROY.'!$M$2:$M$943,'PLAN MAESTRO FINAL'!J$1)</f>
        <v>0</v>
      </c>
      <c r="K15" s="8">
        <f>SUMIFS('HOJAS DE HORA PROY.'!$K$2:$K$943,'HOJAS DE HORA PROY.'!$A$2:$A$943,'PLAN MAESTRO FINAL'!$A15,'HOJAS DE HORA PROY.'!$M$2:$M$943,'PLAN MAESTRO FINAL'!K$1)</f>
        <v>0</v>
      </c>
      <c r="L15" s="8">
        <f>SUMIFS('HOJAS DE HORA PROY.'!$K$2:$K$943,'HOJAS DE HORA PROY.'!$A$2:$A$943,'PLAN MAESTRO FINAL'!$A15,'HOJAS DE HORA PROY.'!$M$2:$M$943,'PLAN MAESTRO FINAL'!L$1)</f>
        <v>0</v>
      </c>
      <c r="M15" s="8">
        <f>SUMIFS('HOJAS DE HORA PROY.'!$K$2:$K$943,'HOJAS DE HORA PROY.'!$A$2:$A$943,'PLAN MAESTRO FINAL'!$A15,'HOJAS DE HORA PROY.'!$M$2:$M$943,'PLAN MAESTRO FINAL'!M$1)</f>
        <v>0</v>
      </c>
      <c r="N15" s="8">
        <f>SUMIFS('HOJAS DE HORA PROY.'!$K$2:$K$943,'HOJAS DE HORA PROY.'!$A$2:$A$943,'PLAN MAESTRO FINAL'!$A15,'HOJAS DE HORA PROY.'!$M$2:$M$943,'PLAN MAESTRO FINAL'!N$1)</f>
        <v>0</v>
      </c>
      <c r="O15" s="8">
        <f>SUMIFS('HOJAS DE HORA PROY.'!$K$2:$K$943,'HOJAS DE HORA PROY.'!$A$2:$A$943,'PLAN MAESTRO FINAL'!$A15,'HOJAS DE HORA PROY.'!$M$2:$M$943,'PLAN MAESTRO FINAL'!O$1)</f>
        <v>0</v>
      </c>
      <c r="P15" s="8">
        <f>SUMIFS('HOJAS DE HORA PROY.'!$K$2:$K$943,'HOJAS DE HORA PROY.'!$A$2:$A$943,'PLAN MAESTRO FINAL'!$A15,'HOJAS DE HORA PROY.'!$M$2:$M$943,'PLAN MAESTRO FINAL'!P$1)</f>
        <v>0</v>
      </c>
      <c r="Q15" s="8">
        <f>SUMIFS('HOJAS DE HORA PROY.'!$K$2:$K$943,'HOJAS DE HORA PROY.'!$A$2:$A$943,'PLAN MAESTRO FINAL'!$A15,'HOJAS DE HORA PROY.'!$M$2:$M$943,'PLAN MAESTRO FINAL'!Q$1)</f>
        <v>0</v>
      </c>
      <c r="R15" s="8">
        <f>SUMIFS('HOJAS DE HORA PROY.'!$K$2:$K$943,'HOJAS DE HORA PROY.'!$A$2:$A$943,'PLAN MAESTRO FINAL'!$A15,'HOJAS DE HORA PROY.'!$M$2:$M$943,'PLAN MAESTRO FINAL'!R$1)</f>
        <v>0</v>
      </c>
      <c r="S15" s="8">
        <f>SUMIFS('HOJAS DE HORA PROY.'!$K$2:$K$943,'HOJAS DE HORA PROY.'!$A$2:$A$943,'PLAN MAESTRO FINAL'!$A15,'HOJAS DE HORA PROY.'!$M$2:$M$943,'PLAN MAESTRO FINAL'!S$1)</f>
        <v>0</v>
      </c>
      <c r="T15" s="8">
        <f>SUMIFS('HOJAS DE HORA PROY.'!$K$2:$K$943,'HOJAS DE HORA PROY.'!$A$2:$A$943,'PLAN MAESTRO FINAL'!$A15,'HOJAS DE HORA PROY.'!$M$2:$M$943,'PLAN MAESTRO FINAL'!T$1)</f>
        <v>0</v>
      </c>
      <c r="U15" s="8">
        <f>SUMIFS('HOJAS DE HORA PROY.'!$K$2:$K$943,'HOJAS DE HORA PROY.'!$A$2:$A$943,'PLAN MAESTRO FINAL'!$A15,'HOJAS DE HORA PROY.'!$M$2:$M$943,'PLAN MAESTRO FINAL'!U$1)</f>
        <v>0</v>
      </c>
      <c r="V15" s="8">
        <f>SUMIFS('HOJAS DE HORA PROY.'!$K$2:$K$943,'HOJAS DE HORA PROY.'!$A$2:$A$943,'PLAN MAESTRO FINAL'!$A15,'HOJAS DE HORA PROY.'!$M$2:$M$943,'PLAN MAESTRO FINAL'!V$1)</f>
        <v>0</v>
      </c>
      <c r="W15" s="8">
        <f>SUMIFS('HOJAS DE HORA PROY.'!$K$2:$K$943,'HOJAS DE HORA PROY.'!$A$2:$A$943,'PLAN MAESTRO FINAL'!$A15,'HOJAS DE HORA PROY.'!$M$2:$M$943,'PLAN MAESTRO FINAL'!W$1)</f>
        <v>0</v>
      </c>
    </row>
    <row r="16" spans="1:23" hidden="1" outlineLevel="1" x14ac:dyDescent="0.3">
      <c r="A16" s="13" t="s">
        <v>262</v>
      </c>
      <c r="B16" s="8">
        <f>SUMIFS('HOJAS DE HORA PROY.'!$K$2:$K$943,'HOJAS DE HORA PROY.'!$A$2:$A$943,'PLAN MAESTRO FINAL'!$A16,'HOJAS DE HORA PROY.'!$M$2:$M$943,'PLAN MAESTRO FINAL'!B$1)</f>
        <v>0</v>
      </c>
      <c r="C16" s="8">
        <f>SUMIFS('HOJAS DE HORA PROY.'!$K$2:$K$943,'HOJAS DE HORA PROY.'!$A$2:$A$943,'PLAN MAESTRO FINAL'!$A16,'HOJAS DE HORA PROY.'!$M$2:$M$943,'PLAN MAESTRO FINAL'!C$1)</f>
        <v>0</v>
      </c>
      <c r="D16" s="8">
        <f>SUMIFS('HOJAS DE HORA PROY.'!$K$2:$K$943,'HOJAS DE HORA PROY.'!$A$2:$A$943,'PLAN MAESTRO FINAL'!$A16,'HOJAS DE HORA PROY.'!$M$2:$M$943,'PLAN MAESTRO FINAL'!D$1)</f>
        <v>0</v>
      </c>
      <c r="E16" s="8">
        <f>SUMIFS('HOJAS DE HORA PROY.'!$K$2:$K$943,'HOJAS DE HORA PROY.'!$A$2:$A$943,'PLAN MAESTRO FINAL'!$A16,'HOJAS DE HORA PROY.'!$M$2:$M$943,'PLAN MAESTRO FINAL'!E$1)</f>
        <v>0</v>
      </c>
      <c r="F16" s="8">
        <f>SUMIFS('HOJAS DE HORA PROY.'!$K$2:$K$943,'HOJAS DE HORA PROY.'!$A$2:$A$943,'PLAN MAESTRO FINAL'!$A16,'HOJAS DE HORA PROY.'!$M$2:$M$943,'PLAN MAESTRO FINAL'!F$1)</f>
        <v>0</v>
      </c>
      <c r="G16" s="8">
        <f>SUMIFS('HOJAS DE HORA PROY.'!$K$2:$K$943,'HOJAS DE HORA PROY.'!$A$2:$A$943,'PLAN MAESTRO FINAL'!$A16,'HOJAS DE HORA PROY.'!$M$2:$M$943,'PLAN MAESTRO FINAL'!G$1)</f>
        <v>0</v>
      </c>
      <c r="H16" s="8">
        <f>SUMIFS('HOJAS DE HORA PROY.'!$K$2:$K$943,'HOJAS DE HORA PROY.'!$A$2:$A$943,'PLAN MAESTRO FINAL'!$A16,'HOJAS DE HORA PROY.'!$M$2:$M$943,'PLAN MAESTRO FINAL'!H$1)</f>
        <v>0</v>
      </c>
      <c r="I16" s="8">
        <f>SUMIFS('HOJAS DE HORA PROY.'!$K$2:$K$943,'HOJAS DE HORA PROY.'!$A$2:$A$943,'PLAN MAESTRO FINAL'!$A16,'HOJAS DE HORA PROY.'!$M$2:$M$943,'PLAN MAESTRO FINAL'!I$1)</f>
        <v>0</v>
      </c>
      <c r="J16" s="8">
        <f>SUMIFS('HOJAS DE HORA PROY.'!$K$2:$K$943,'HOJAS DE HORA PROY.'!$A$2:$A$943,'PLAN MAESTRO FINAL'!$A16,'HOJAS DE HORA PROY.'!$M$2:$M$943,'PLAN MAESTRO FINAL'!J$1)</f>
        <v>0</v>
      </c>
      <c r="K16" s="8">
        <f>SUMIFS('HOJAS DE HORA PROY.'!$K$2:$K$943,'HOJAS DE HORA PROY.'!$A$2:$A$943,'PLAN MAESTRO FINAL'!$A16,'HOJAS DE HORA PROY.'!$M$2:$M$943,'PLAN MAESTRO FINAL'!K$1)</f>
        <v>0</v>
      </c>
      <c r="L16" s="8">
        <f>SUMIFS('HOJAS DE HORA PROY.'!$K$2:$K$943,'HOJAS DE HORA PROY.'!$A$2:$A$943,'PLAN MAESTRO FINAL'!$A16,'HOJAS DE HORA PROY.'!$M$2:$M$943,'PLAN MAESTRO FINAL'!L$1)</f>
        <v>0</v>
      </c>
      <c r="M16" s="8">
        <f>SUMIFS('HOJAS DE HORA PROY.'!$K$2:$K$943,'HOJAS DE HORA PROY.'!$A$2:$A$943,'PLAN MAESTRO FINAL'!$A16,'HOJAS DE HORA PROY.'!$M$2:$M$943,'PLAN MAESTRO FINAL'!M$1)</f>
        <v>0</v>
      </c>
      <c r="N16" s="8">
        <f>SUMIFS('HOJAS DE HORA PROY.'!$K$2:$K$943,'HOJAS DE HORA PROY.'!$A$2:$A$943,'PLAN MAESTRO FINAL'!$A16,'HOJAS DE HORA PROY.'!$M$2:$M$943,'PLAN MAESTRO FINAL'!N$1)</f>
        <v>0</v>
      </c>
      <c r="O16" s="8">
        <f>SUMIFS('HOJAS DE HORA PROY.'!$K$2:$K$943,'HOJAS DE HORA PROY.'!$A$2:$A$943,'PLAN MAESTRO FINAL'!$A16,'HOJAS DE HORA PROY.'!$M$2:$M$943,'PLAN MAESTRO FINAL'!O$1)</f>
        <v>0</v>
      </c>
      <c r="P16" s="8">
        <f>SUMIFS('HOJAS DE HORA PROY.'!$K$2:$K$943,'HOJAS DE HORA PROY.'!$A$2:$A$943,'PLAN MAESTRO FINAL'!$A16,'HOJAS DE HORA PROY.'!$M$2:$M$943,'PLAN MAESTRO FINAL'!P$1)</f>
        <v>0</v>
      </c>
      <c r="Q16" s="8">
        <f>SUMIFS('HOJAS DE HORA PROY.'!$K$2:$K$943,'HOJAS DE HORA PROY.'!$A$2:$A$943,'PLAN MAESTRO FINAL'!$A16,'HOJAS DE HORA PROY.'!$M$2:$M$943,'PLAN MAESTRO FINAL'!Q$1)</f>
        <v>0</v>
      </c>
      <c r="R16" s="8">
        <f>SUMIFS('HOJAS DE HORA PROY.'!$K$2:$K$943,'HOJAS DE HORA PROY.'!$A$2:$A$943,'PLAN MAESTRO FINAL'!$A16,'HOJAS DE HORA PROY.'!$M$2:$M$943,'PLAN MAESTRO FINAL'!R$1)</f>
        <v>0</v>
      </c>
      <c r="S16" s="8">
        <f>SUMIFS('HOJAS DE HORA PROY.'!$K$2:$K$943,'HOJAS DE HORA PROY.'!$A$2:$A$943,'PLAN MAESTRO FINAL'!$A16,'HOJAS DE HORA PROY.'!$M$2:$M$943,'PLAN MAESTRO FINAL'!S$1)</f>
        <v>0</v>
      </c>
      <c r="T16" s="8">
        <f>SUMIFS('HOJAS DE HORA PROY.'!$K$2:$K$943,'HOJAS DE HORA PROY.'!$A$2:$A$943,'PLAN MAESTRO FINAL'!$A16,'HOJAS DE HORA PROY.'!$M$2:$M$943,'PLAN MAESTRO FINAL'!T$1)</f>
        <v>0</v>
      </c>
      <c r="U16" s="8">
        <f>SUMIFS('HOJAS DE HORA PROY.'!$K$2:$K$943,'HOJAS DE HORA PROY.'!$A$2:$A$943,'PLAN MAESTRO FINAL'!$A16,'HOJAS DE HORA PROY.'!$M$2:$M$943,'PLAN MAESTRO FINAL'!U$1)</f>
        <v>0</v>
      </c>
      <c r="V16" s="8">
        <f>SUMIFS('HOJAS DE HORA PROY.'!$K$2:$K$943,'HOJAS DE HORA PROY.'!$A$2:$A$943,'PLAN MAESTRO FINAL'!$A16,'HOJAS DE HORA PROY.'!$M$2:$M$943,'PLAN MAESTRO FINAL'!V$1)</f>
        <v>0</v>
      </c>
      <c r="W16" s="8">
        <f>SUMIFS('HOJAS DE HORA PROY.'!$K$2:$K$943,'HOJAS DE HORA PROY.'!$A$2:$A$943,'PLAN MAESTRO FINAL'!$A16,'HOJAS DE HORA PROY.'!$M$2:$M$943,'PLAN MAESTRO FINAL'!W$1)</f>
        <v>0</v>
      </c>
    </row>
    <row r="17" spans="1:23" hidden="1" outlineLevel="1" x14ac:dyDescent="0.3">
      <c r="A17" s="13" t="s">
        <v>265</v>
      </c>
      <c r="B17" s="8">
        <f>SUMIFS('HOJAS DE HORA PROY.'!$K$2:$K$943,'HOJAS DE HORA PROY.'!$A$2:$A$943,'PLAN MAESTRO FINAL'!$A17,'HOJAS DE HORA PROY.'!$M$2:$M$943,'PLAN MAESTRO FINAL'!B$1)</f>
        <v>0</v>
      </c>
      <c r="C17" s="8">
        <f>SUMIFS('HOJAS DE HORA PROY.'!$K$2:$K$943,'HOJAS DE HORA PROY.'!$A$2:$A$943,'PLAN MAESTRO FINAL'!$A17,'HOJAS DE HORA PROY.'!$M$2:$M$943,'PLAN MAESTRO FINAL'!C$1)</f>
        <v>0</v>
      </c>
      <c r="D17" s="8">
        <f>SUMIFS('HOJAS DE HORA PROY.'!$K$2:$K$943,'HOJAS DE HORA PROY.'!$A$2:$A$943,'PLAN MAESTRO FINAL'!$A17,'HOJAS DE HORA PROY.'!$M$2:$M$943,'PLAN MAESTRO FINAL'!D$1)</f>
        <v>0</v>
      </c>
      <c r="E17" s="8">
        <f>SUMIFS('HOJAS DE HORA PROY.'!$K$2:$K$943,'HOJAS DE HORA PROY.'!$A$2:$A$943,'PLAN MAESTRO FINAL'!$A17,'HOJAS DE HORA PROY.'!$M$2:$M$943,'PLAN MAESTRO FINAL'!E$1)</f>
        <v>0</v>
      </c>
      <c r="F17" s="8">
        <f>SUMIFS('HOJAS DE HORA PROY.'!$K$2:$K$943,'HOJAS DE HORA PROY.'!$A$2:$A$943,'PLAN MAESTRO FINAL'!$A17,'HOJAS DE HORA PROY.'!$M$2:$M$943,'PLAN MAESTRO FINAL'!F$1)</f>
        <v>0</v>
      </c>
      <c r="G17" s="8">
        <f>SUMIFS('HOJAS DE HORA PROY.'!$K$2:$K$943,'HOJAS DE HORA PROY.'!$A$2:$A$943,'PLAN MAESTRO FINAL'!$A17,'HOJAS DE HORA PROY.'!$M$2:$M$943,'PLAN MAESTRO FINAL'!G$1)</f>
        <v>0</v>
      </c>
      <c r="H17" s="8">
        <f>SUMIFS('HOJAS DE HORA PROY.'!$K$2:$K$943,'HOJAS DE HORA PROY.'!$A$2:$A$943,'PLAN MAESTRO FINAL'!$A17,'HOJAS DE HORA PROY.'!$M$2:$M$943,'PLAN MAESTRO FINAL'!H$1)</f>
        <v>0</v>
      </c>
      <c r="I17" s="8">
        <f>SUMIFS('HOJAS DE HORA PROY.'!$K$2:$K$943,'HOJAS DE HORA PROY.'!$A$2:$A$943,'PLAN MAESTRO FINAL'!$A17,'HOJAS DE HORA PROY.'!$M$2:$M$943,'PLAN MAESTRO FINAL'!I$1)</f>
        <v>0</v>
      </c>
      <c r="J17" s="8">
        <f>SUMIFS('HOJAS DE HORA PROY.'!$K$2:$K$943,'HOJAS DE HORA PROY.'!$A$2:$A$943,'PLAN MAESTRO FINAL'!$A17,'HOJAS DE HORA PROY.'!$M$2:$M$943,'PLAN MAESTRO FINAL'!J$1)</f>
        <v>0</v>
      </c>
      <c r="K17" s="8">
        <f>SUMIFS('HOJAS DE HORA PROY.'!$K$2:$K$943,'HOJAS DE HORA PROY.'!$A$2:$A$943,'PLAN MAESTRO FINAL'!$A17,'HOJAS DE HORA PROY.'!$M$2:$M$943,'PLAN MAESTRO FINAL'!K$1)</f>
        <v>0</v>
      </c>
      <c r="L17" s="8">
        <f>SUMIFS('HOJAS DE HORA PROY.'!$K$2:$K$943,'HOJAS DE HORA PROY.'!$A$2:$A$943,'PLAN MAESTRO FINAL'!$A17,'HOJAS DE HORA PROY.'!$M$2:$M$943,'PLAN MAESTRO FINAL'!L$1)</f>
        <v>0</v>
      </c>
      <c r="M17" s="8">
        <f>SUMIFS('HOJAS DE HORA PROY.'!$K$2:$K$943,'HOJAS DE HORA PROY.'!$A$2:$A$943,'PLAN MAESTRO FINAL'!$A17,'HOJAS DE HORA PROY.'!$M$2:$M$943,'PLAN MAESTRO FINAL'!M$1)</f>
        <v>0</v>
      </c>
      <c r="N17" s="8">
        <f>SUMIFS('HOJAS DE HORA PROY.'!$K$2:$K$943,'HOJAS DE HORA PROY.'!$A$2:$A$943,'PLAN MAESTRO FINAL'!$A17,'HOJAS DE HORA PROY.'!$M$2:$M$943,'PLAN MAESTRO FINAL'!N$1)</f>
        <v>0</v>
      </c>
      <c r="O17" s="8">
        <f>SUMIFS('HOJAS DE HORA PROY.'!$K$2:$K$943,'HOJAS DE HORA PROY.'!$A$2:$A$943,'PLAN MAESTRO FINAL'!$A17,'HOJAS DE HORA PROY.'!$M$2:$M$943,'PLAN MAESTRO FINAL'!O$1)</f>
        <v>0</v>
      </c>
      <c r="P17" s="8">
        <f>SUMIFS('HOJAS DE HORA PROY.'!$K$2:$K$943,'HOJAS DE HORA PROY.'!$A$2:$A$943,'PLAN MAESTRO FINAL'!$A17,'HOJAS DE HORA PROY.'!$M$2:$M$943,'PLAN MAESTRO FINAL'!P$1)</f>
        <v>0</v>
      </c>
      <c r="Q17" s="8">
        <f>SUMIFS('HOJAS DE HORA PROY.'!$K$2:$K$943,'HOJAS DE HORA PROY.'!$A$2:$A$943,'PLAN MAESTRO FINAL'!$A17,'HOJAS DE HORA PROY.'!$M$2:$M$943,'PLAN MAESTRO FINAL'!Q$1)</f>
        <v>0</v>
      </c>
      <c r="R17" s="8">
        <f>SUMIFS('HOJAS DE HORA PROY.'!$K$2:$K$943,'HOJAS DE HORA PROY.'!$A$2:$A$943,'PLAN MAESTRO FINAL'!$A17,'HOJAS DE HORA PROY.'!$M$2:$M$943,'PLAN MAESTRO FINAL'!R$1)</f>
        <v>0</v>
      </c>
      <c r="S17" s="8">
        <f>SUMIFS('HOJAS DE HORA PROY.'!$K$2:$K$943,'HOJAS DE HORA PROY.'!$A$2:$A$943,'PLAN MAESTRO FINAL'!$A17,'HOJAS DE HORA PROY.'!$M$2:$M$943,'PLAN MAESTRO FINAL'!S$1)</f>
        <v>0</v>
      </c>
      <c r="T17" s="8">
        <f>SUMIFS('HOJAS DE HORA PROY.'!$K$2:$K$943,'HOJAS DE HORA PROY.'!$A$2:$A$943,'PLAN MAESTRO FINAL'!$A17,'HOJAS DE HORA PROY.'!$M$2:$M$943,'PLAN MAESTRO FINAL'!T$1)</f>
        <v>0</v>
      </c>
      <c r="U17" s="8">
        <f>SUMIFS('HOJAS DE HORA PROY.'!$K$2:$K$943,'HOJAS DE HORA PROY.'!$A$2:$A$943,'PLAN MAESTRO FINAL'!$A17,'HOJAS DE HORA PROY.'!$M$2:$M$943,'PLAN MAESTRO FINAL'!U$1)</f>
        <v>0</v>
      </c>
      <c r="V17" s="8">
        <f>SUMIFS('HOJAS DE HORA PROY.'!$K$2:$K$943,'HOJAS DE HORA PROY.'!$A$2:$A$943,'PLAN MAESTRO FINAL'!$A17,'HOJAS DE HORA PROY.'!$M$2:$M$943,'PLAN MAESTRO FINAL'!V$1)</f>
        <v>0</v>
      </c>
      <c r="W17" s="8">
        <f>SUMIFS('HOJAS DE HORA PROY.'!$K$2:$K$943,'HOJAS DE HORA PROY.'!$A$2:$A$943,'PLAN MAESTRO FINAL'!$A17,'HOJAS DE HORA PROY.'!$M$2:$M$943,'PLAN MAESTRO FINAL'!W$1)</f>
        <v>0</v>
      </c>
    </row>
    <row r="18" spans="1:23" hidden="1" outlineLevel="1" x14ac:dyDescent="0.3">
      <c r="A18" s="13" t="s">
        <v>267</v>
      </c>
      <c r="B18" s="8">
        <f>SUMIFS('HOJAS DE HORA PROY.'!$K$2:$K$943,'HOJAS DE HORA PROY.'!$A$2:$A$943,'PLAN MAESTRO FINAL'!$A18,'HOJAS DE HORA PROY.'!$M$2:$M$943,'PLAN MAESTRO FINAL'!B$1)</f>
        <v>0</v>
      </c>
      <c r="C18" s="8">
        <f>SUMIFS('HOJAS DE HORA PROY.'!$K$2:$K$943,'HOJAS DE HORA PROY.'!$A$2:$A$943,'PLAN MAESTRO FINAL'!$A18,'HOJAS DE HORA PROY.'!$M$2:$M$943,'PLAN MAESTRO FINAL'!C$1)</f>
        <v>0</v>
      </c>
      <c r="D18" s="8">
        <f>SUMIFS('HOJAS DE HORA PROY.'!$K$2:$K$943,'HOJAS DE HORA PROY.'!$A$2:$A$943,'PLAN MAESTRO FINAL'!$A18,'HOJAS DE HORA PROY.'!$M$2:$M$943,'PLAN MAESTRO FINAL'!D$1)</f>
        <v>0</v>
      </c>
      <c r="E18" s="8">
        <f>SUMIFS('HOJAS DE HORA PROY.'!$K$2:$K$943,'HOJAS DE HORA PROY.'!$A$2:$A$943,'PLAN MAESTRO FINAL'!$A18,'HOJAS DE HORA PROY.'!$M$2:$M$943,'PLAN MAESTRO FINAL'!E$1)</f>
        <v>0</v>
      </c>
      <c r="F18" s="8">
        <f>SUMIFS('HOJAS DE HORA PROY.'!$K$2:$K$943,'HOJAS DE HORA PROY.'!$A$2:$A$943,'PLAN MAESTRO FINAL'!$A18,'HOJAS DE HORA PROY.'!$M$2:$M$943,'PLAN MAESTRO FINAL'!F$1)</f>
        <v>0</v>
      </c>
      <c r="G18" s="8">
        <f>SUMIFS('HOJAS DE HORA PROY.'!$K$2:$K$943,'HOJAS DE HORA PROY.'!$A$2:$A$943,'PLAN MAESTRO FINAL'!$A18,'HOJAS DE HORA PROY.'!$M$2:$M$943,'PLAN MAESTRO FINAL'!G$1)</f>
        <v>0</v>
      </c>
      <c r="H18" s="8">
        <f>SUMIFS('HOJAS DE HORA PROY.'!$K$2:$K$943,'HOJAS DE HORA PROY.'!$A$2:$A$943,'PLAN MAESTRO FINAL'!$A18,'HOJAS DE HORA PROY.'!$M$2:$M$943,'PLAN MAESTRO FINAL'!H$1)</f>
        <v>0</v>
      </c>
      <c r="I18" s="8">
        <f>SUMIFS('HOJAS DE HORA PROY.'!$K$2:$K$943,'HOJAS DE HORA PROY.'!$A$2:$A$943,'PLAN MAESTRO FINAL'!$A18,'HOJAS DE HORA PROY.'!$M$2:$M$943,'PLAN MAESTRO FINAL'!I$1)</f>
        <v>0</v>
      </c>
      <c r="J18" s="8">
        <f>SUMIFS('HOJAS DE HORA PROY.'!$K$2:$K$943,'HOJAS DE HORA PROY.'!$A$2:$A$943,'PLAN MAESTRO FINAL'!$A18,'HOJAS DE HORA PROY.'!$M$2:$M$943,'PLAN MAESTRO FINAL'!J$1)</f>
        <v>0</v>
      </c>
      <c r="K18" s="8">
        <f>SUMIFS('HOJAS DE HORA PROY.'!$K$2:$K$943,'HOJAS DE HORA PROY.'!$A$2:$A$943,'PLAN MAESTRO FINAL'!$A18,'HOJAS DE HORA PROY.'!$M$2:$M$943,'PLAN MAESTRO FINAL'!K$1)</f>
        <v>0</v>
      </c>
      <c r="L18" s="8">
        <f>SUMIFS('HOJAS DE HORA PROY.'!$K$2:$K$943,'HOJAS DE HORA PROY.'!$A$2:$A$943,'PLAN MAESTRO FINAL'!$A18,'HOJAS DE HORA PROY.'!$M$2:$M$943,'PLAN MAESTRO FINAL'!L$1)</f>
        <v>0</v>
      </c>
      <c r="M18" s="8">
        <f>SUMIFS('HOJAS DE HORA PROY.'!$K$2:$K$943,'HOJAS DE HORA PROY.'!$A$2:$A$943,'PLAN MAESTRO FINAL'!$A18,'HOJAS DE HORA PROY.'!$M$2:$M$943,'PLAN MAESTRO FINAL'!M$1)</f>
        <v>0</v>
      </c>
      <c r="N18" s="8">
        <f>SUMIFS('HOJAS DE HORA PROY.'!$K$2:$K$943,'HOJAS DE HORA PROY.'!$A$2:$A$943,'PLAN MAESTRO FINAL'!$A18,'HOJAS DE HORA PROY.'!$M$2:$M$943,'PLAN MAESTRO FINAL'!N$1)</f>
        <v>0</v>
      </c>
      <c r="O18" s="8">
        <f>SUMIFS('HOJAS DE HORA PROY.'!$K$2:$K$943,'HOJAS DE HORA PROY.'!$A$2:$A$943,'PLAN MAESTRO FINAL'!$A18,'HOJAS DE HORA PROY.'!$M$2:$M$943,'PLAN MAESTRO FINAL'!O$1)</f>
        <v>0</v>
      </c>
      <c r="P18" s="8">
        <f>SUMIFS('HOJAS DE HORA PROY.'!$K$2:$K$943,'HOJAS DE HORA PROY.'!$A$2:$A$943,'PLAN MAESTRO FINAL'!$A18,'HOJAS DE HORA PROY.'!$M$2:$M$943,'PLAN MAESTRO FINAL'!P$1)</f>
        <v>0</v>
      </c>
      <c r="Q18" s="8">
        <f>SUMIFS('HOJAS DE HORA PROY.'!$K$2:$K$943,'HOJAS DE HORA PROY.'!$A$2:$A$943,'PLAN MAESTRO FINAL'!$A18,'HOJAS DE HORA PROY.'!$M$2:$M$943,'PLAN MAESTRO FINAL'!Q$1)</f>
        <v>0</v>
      </c>
      <c r="R18" s="8">
        <f>SUMIFS('HOJAS DE HORA PROY.'!$K$2:$K$943,'HOJAS DE HORA PROY.'!$A$2:$A$943,'PLAN MAESTRO FINAL'!$A18,'HOJAS DE HORA PROY.'!$M$2:$M$943,'PLAN MAESTRO FINAL'!R$1)</f>
        <v>0</v>
      </c>
      <c r="S18" s="8">
        <f>SUMIFS('HOJAS DE HORA PROY.'!$K$2:$K$943,'HOJAS DE HORA PROY.'!$A$2:$A$943,'PLAN MAESTRO FINAL'!$A18,'HOJAS DE HORA PROY.'!$M$2:$M$943,'PLAN MAESTRO FINAL'!S$1)</f>
        <v>0</v>
      </c>
      <c r="T18" s="8">
        <f>SUMIFS('HOJAS DE HORA PROY.'!$K$2:$K$943,'HOJAS DE HORA PROY.'!$A$2:$A$943,'PLAN MAESTRO FINAL'!$A18,'HOJAS DE HORA PROY.'!$M$2:$M$943,'PLAN MAESTRO FINAL'!T$1)</f>
        <v>0</v>
      </c>
      <c r="U18" s="8">
        <f>SUMIFS('HOJAS DE HORA PROY.'!$K$2:$K$943,'HOJAS DE HORA PROY.'!$A$2:$A$943,'PLAN MAESTRO FINAL'!$A18,'HOJAS DE HORA PROY.'!$M$2:$M$943,'PLAN MAESTRO FINAL'!U$1)</f>
        <v>0</v>
      </c>
      <c r="V18" s="8">
        <f>SUMIFS('HOJAS DE HORA PROY.'!$K$2:$K$943,'HOJAS DE HORA PROY.'!$A$2:$A$943,'PLAN MAESTRO FINAL'!$A18,'HOJAS DE HORA PROY.'!$M$2:$M$943,'PLAN MAESTRO FINAL'!V$1)</f>
        <v>0</v>
      </c>
      <c r="W18" s="8">
        <f>SUMIFS('HOJAS DE HORA PROY.'!$K$2:$K$943,'HOJAS DE HORA PROY.'!$A$2:$A$943,'PLAN MAESTRO FINAL'!$A18,'HOJAS DE HORA PROY.'!$M$2:$M$943,'PLAN MAESTRO FINAL'!W$1)</f>
        <v>0</v>
      </c>
    </row>
    <row r="19" spans="1:23" hidden="1" outlineLevel="1" x14ac:dyDescent="0.3">
      <c r="A19" s="13" t="s">
        <v>306</v>
      </c>
      <c r="B19" s="8">
        <f>SUMIFS('HOJAS DE HORA PROY.'!$K$2:$K$943,'HOJAS DE HORA PROY.'!$A$2:$A$943,'PLAN MAESTRO FINAL'!$A19,'HOJAS DE HORA PROY.'!$M$2:$M$943,'PLAN MAESTRO FINAL'!B$1)</f>
        <v>0</v>
      </c>
      <c r="C19" s="8">
        <f>SUMIFS('HOJAS DE HORA PROY.'!$K$2:$K$943,'HOJAS DE HORA PROY.'!$A$2:$A$943,'PLAN MAESTRO FINAL'!$A19,'HOJAS DE HORA PROY.'!$M$2:$M$943,'PLAN MAESTRO FINAL'!C$1)</f>
        <v>0</v>
      </c>
      <c r="D19" s="8">
        <f>SUMIFS('HOJAS DE HORA PROY.'!$K$2:$K$943,'HOJAS DE HORA PROY.'!$A$2:$A$943,'PLAN MAESTRO FINAL'!$A19,'HOJAS DE HORA PROY.'!$M$2:$M$943,'PLAN MAESTRO FINAL'!D$1)</f>
        <v>0</v>
      </c>
      <c r="E19" s="8">
        <f>SUMIFS('HOJAS DE HORA PROY.'!$K$2:$K$943,'HOJAS DE HORA PROY.'!$A$2:$A$943,'PLAN MAESTRO FINAL'!$A19,'HOJAS DE HORA PROY.'!$M$2:$M$943,'PLAN MAESTRO FINAL'!E$1)</f>
        <v>0</v>
      </c>
      <c r="F19" s="8">
        <f>SUMIFS('HOJAS DE HORA PROY.'!$K$2:$K$943,'HOJAS DE HORA PROY.'!$A$2:$A$943,'PLAN MAESTRO FINAL'!$A19,'HOJAS DE HORA PROY.'!$M$2:$M$943,'PLAN MAESTRO FINAL'!F$1)</f>
        <v>52</v>
      </c>
      <c r="G19" s="8">
        <f>SUMIFS('HOJAS DE HORA PROY.'!$K$2:$K$943,'HOJAS DE HORA PROY.'!$A$2:$A$943,'PLAN MAESTRO FINAL'!$A19,'HOJAS DE HORA PROY.'!$M$2:$M$943,'PLAN MAESTRO FINAL'!G$1)</f>
        <v>0</v>
      </c>
      <c r="H19" s="8">
        <f>SUMIFS('HOJAS DE HORA PROY.'!$K$2:$K$943,'HOJAS DE HORA PROY.'!$A$2:$A$943,'PLAN MAESTRO FINAL'!$A19,'HOJAS DE HORA PROY.'!$M$2:$M$943,'PLAN MAESTRO FINAL'!H$1)</f>
        <v>0</v>
      </c>
      <c r="I19" s="8">
        <f>SUMIFS('HOJAS DE HORA PROY.'!$K$2:$K$943,'HOJAS DE HORA PROY.'!$A$2:$A$943,'PLAN MAESTRO FINAL'!$A19,'HOJAS DE HORA PROY.'!$M$2:$M$943,'PLAN MAESTRO FINAL'!I$1)</f>
        <v>0</v>
      </c>
      <c r="J19" s="8">
        <f>SUMIFS('HOJAS DE HORA PROY.'!$K$2:$K$943,'HOJAS DE HORA PROY.'!$A$2:$A$943,'PLAN MAESTRO FINAL'!$A19,'HOJAS DE HORA PROY.'!$M$2:$M$943,'PLAN MAESTRO FINAL'!J$1)</f>
        <v>0</v>
      </c>
      <c r="K19" s="8">
        <f>SUMIFS('HOJAS DE HORA PROY.'!$K$2:$K$943,'HOJAS DE HORA PROY.'!$A$2:$A$943,'PLAN MAESTRO FINAL'!$A19,'HOJAS DE HORA PROY.'!$M$2:$M$943,'PLAN MAESTRO FINAL'!K$1)</f>
        <v>0</v>
      </c>
      <c r="L19" s="8">
        <f>SUMIFS('HOJAS DE HORA PROY.'!$K$2:$K$943,'HOJAS DE HORA PROY.'!$A$2:$A$943,'PLAN MAESTRO FINAL'!$A19,'HOJAS DE HORA PROY.'!$M$2:$M$943,'PLAN MAESTRO FINAL'!L$1)</f>
        <v>0</v>
      </c>
      <c r="M19" s="8">
        <f>SUMIFS('HOJAS DE HORA PROY.'!$K$2:$K$943,'HOJAS DE HORA PROY.'!$A$2:$A$943,'PLAN MAESTRO FINAL'!$A19,'HOJAS DE HORA PROY.'!$M$2:$M$943,'PLAN MAESTRO FINAL'!M$1)</f>
        <v>0</v>
      </c>
      <c r="N19" s="8">
        <f>SUMIFS('HOJAS DE HORA PROY.'!$K$2:$K$943,'HOJAS DE HORA PROY.'!$A$2:$A$943,'PLAN MAESTRO FINAL'!$A19,'HOJAS DE HORA PROY.'!$M$2:$M$943,'PLAN MAESTRO FINAL'!N$1)</f>
        <v>0</v>
      </c>
      <c r="O19" s="8">
        <f>SUMIFS('HOJAS DE HORA PROY.'!$K$2:$K$943,'HOJAS DE HORA PROY.'!$A$2:$A$943,'PLAN MAESTRO FINAL'!$A19,'HOJAS DE HORA PROY.'!$M$2:$M$943,'PLAN MAESTRO FINAL'!O$1)</f>
        <v>0</v>
      </c>
      <c r="P19" s="8">
        <f>SUMIFS('HOJAS DE HORA PROY.'!$K$2:$K$943,'HOJAS DE HORA PROY.'!$A$2:$A$943,'PLAN MAESTRO FINAL'!$A19,'HOJAS DE HORA PROY.'!$M$2:$M$943,'PLAN MAESTRO FINAL'!P$1)</f>
        <v>0</v>
      </c>
      <c r="Q19" s="8">
        <f>SUMIFS('HOJAS DE HORA PROY.'!$K$2:$K$943,'HOJAS DE HORA PROY.'!$A$2:$A$943,'PLAN MAESTRO FINAL'!$A19,'HOJAS DE HORA PROY.'!$M$2:$M$943,'PLAN MAESTRO FINAL'!Q$1)</f>
        <v>0</v>
      </c>
      <c r="R19" s="8">
        <f>SUMIFS('HOJAS DE HORA PROY.'!$K$2:$K$943,'HOJAS DE HORA PROY.'!$A$2:$A$943,'PLAN MAESTRO FINAL'!$A19,'HOJAS DE HORA PROY.'!$M$2:$M$943,'PLAN MAESTRO FINAL'!R$1)</f>
        <v>0</v>
      </c>
      <c r="S19" s="8">
        <f>SUMIFS('HOJAS DE HORA PROY.'!$K$2:$K$943,'HOJAS DE HORA PROY.'!$A$2:$A$943,'PLAN MAESTRO FINAL'!$A19,'HOJAS DE HORA PROY.'!$M$2:$M$943,'PLAN MAESTRO FINAL'!S$1)</f>
        <v>0</v>
      </c>
      <c r="T19" s="8">
        <f>SUMIFS('HOJAS DE HORA PROY.'!$K$2:$K$943,'HOJAS DE HORA PROY.'!$A$2:$A$943,'PLAN MAESTRO FINAL'!$A19,'HOJAS DE HORA PROY.'!$M$2:$M$943,'PLAN MAESTRO FINAL'!T$1)</f>
        <v>0</v>
      </c>
      <c r="U19" s="8">
        <f>SUMIFS('HOJAS DE HORA PROY.'!$K$2:$K$943,'HOJAS DE HORA PROY.'!$A$2:$A$943,'PLAN MAESTRO FINAL'!$A19,'HOJAS DE HORA PROY.'!$M$2:$M$943,'PLAN MAESTRO FINAL'!U$1)</f>
        <v>0</v>
      </c>
      <c r="V19" s="8">
        <f>SUMIFS('HOJAS DE HORA PROY.'!$K$2:$K$943,'HOJAS DE HORA PROY.'!$A$2:$A$943,'PLAN MAESTRO FINAL'!$A19,'HOJAS DE HORA PROY.'!$M$2:$M$943,'PLAN MAESTRO FINAL'!V$1)</f>
        <v>0</v>
      </c>
      <c r="W19" s="8">
        <f>SUMIFS('HOJAS DE HORA PROY.'!$K$2:$K$943,'HOJAS DE HORA PROY.'!$A$2:$A$943,'PLAN MAESTRO FINAL'!$A19,'HOJAS DE HORA PROY.'!$M$2:$M$943,'PLAN MAESTRO FINAL'!W$1)</f>
        <v>0</v>
      </c>
    </row>
    <row r="20" spans="1:23" hidden="1" outlineLevel="1" x14ac:dyDescent="0.3">
      <c r="A20" s="13" t="s">
        <v>307</v>
      </c>
      <c r="B20" s="8">
        <f>SUMIFS('HOJAS DE HORA PROY.'!$K$2:$K$943,'HOJAS DE HORA PROY.'!$A$2:$A$943,'PLAN MAESTRO FINAL'!$A20,'HOJAS DE HORA PROY.'!$M$2:$M$943,'PLAN MAESTRO FINAL'!B$1)</f>
        <v>0</v>
      </c>
      <c r="C20" s="8">
        <f>SUMIFS('HOJAS DE HORA PROY.'!$K$2:$K$943,'HOJAS DE HORA PROY.'!$A$2:$A$943,'PLAN MAESTRO FINAL'!$A20,'HOJAS DE HORA PROY.'!$M$2:$M$943,'PLAN MAESTRO FINAL'!C$1)</f>
        <v>0</v>
      </c>
      <c r="D20" s="8">
        <f>SUMIFS('HOJAS DE HORA PROY.'!$K$2:$K$943,'HOJAS DE HORA PROY.'!$A$2:$A$943,'PLAN MAESTRO FINAL'!$A20,'HOJAS DE HORA PROY.'!$M$2:$M$943,'PLAN MAESTRO FINAL'!D$1)</f>
        <v>0</v>
      </c>
      <c r="E20" s="8">
        <f>SUMIFS('HOJAS DE HORA PROY.'!$K$2:$K$943,'HOJAS DE HORA PROY.'!$A$2:$A$943,'PLAN MAESTRO FINAL'!$A20,'HOJAS DE HORA PROY.'!$M$2:$M$943,'PLAN MAESTRO FINAL'!E$1)</f>
        <v>0</v>
      </c>
      <c r="F20" s="8">
        <f>SUMIFS('HOJAS DE HORA PROY.'!$K$2:$K$943,'HOJAS DE HORA PROY.'!$A$2:$A$943,'PLAN MAESTRO FINAL'!$A20,'HOJAS DE HORA PROY.'!$M$2:$M$943,'PLAN MAESTRO FINAL'!F$1)</f>
        <v>0</v>
      </c>
      <c r="G20" s="8">
        <f>SUMIFS('HOJAS DE HORA PROY.'!$K$2:$K$943,'HOJAS DE HORA PROY.'!$A$2:$A$943,'PLAN MAESTRO FINAL'!$A20,'HOJAS DE HORA PROY.'!$M$2:$M$943,'PLAN MAESTRO FINAL'!G$1)</f>
        <v>0</v>
      </c>
      <c r="H20" s="8">
        <f>SUMIFS('HOJAS DE HORA PROY.'!$K$2:$K$943,'HOJAS DE HORA PROY.'!$A$2:$A$943,'PLAN MAESTRO FINAL'!$A20,'HOJAS DE HORA PROY.'!$M$2:$M$943,'PLAN MAESTRO FINAL'!H$1)</f>
        <v>0</v>
      </c>
      <c r="I20" s="8">
        <f>SUMIFS('HOJAS DE HORA PROY.'!$K$2:$K$943,'HOJAS DE HORA PROY.'!$A$2:$A$943,'PLAN MAESTRO FINAL'!$A20,'HOJAS DE HORA PROY.'!$M$2:$M$943,'PLAN MAESTRO FINAL'!I$1)</f>
        <v>0</v>
      </c>
      <c r="J20" s="8">
        <f>SUMIFS('HOJAS DE HORA PROY.'!$K$2:$K$943,'HOJAS DE HORA PROY.'!$A$2:$A$943,'PLAN MAESTRO FINAL'!$A20,'HOJAS DE HORA PROY.'!$M$2:$M$943,'PLAN MAESTRO FINAL'!J$1)</f>
        <v>0</v>
      </c>
      <c r="K20" s="8">
        <f>SUMIFS('HOJAS DE HORA PROY.'!$K$2:$K$943,'HOJAS DE HORA PROY.'!$A$2:$A$943,'PLAN MAESTRO FINAL'!$A20,'HOJAS DE HORA PROY.'!$M$2:$M$943,'PLAN MAESTRO FINAL'!K$1)</f>
        <v>0</v>
      </c>
      <c r="L20" s="8">
        <f>SUMIFS('HOJAS DE HORA PROY.'!$K$2:$K$943,'HOJAS DE HORA PROY.'!$A$2:$A$943,'PLAN MAESTRO FINAL'!$A20,'HOJAS DE HORA PROY.'!$M$2:$M$943,'PLAN MAESTRO FINAL'!L$1)</f>
        <v>0</v>
      </c>
      <c r="M20" s="8">
        <f>SUMIFS('HOJAS DE HORA PROY.'!$K$2:$K$943,'HOJAS DE HORA PROY.'!$A$2:$A$943,'PLAN MAESTRO FINAL'!$A20,'HOJAS DE HORA PROY.'!$M$2:$M$943,'PLAN MAESTRO FINAL'!M$1)</f>
        <v>0</v>
      </c>
      <c r="N20" s="8">
        <f>SUMIFS('HOJAS DE HORA PROY.'!$K$2:$K$943,'HOJAS DE HORA PROY.'!$A$2:$A$943,'PLAN MAESTRO FINAL'!$A20,'HOJAS DE HORA PROY.'!$M$2:$M$943,'PLAN MAESTRO FINAL'!N$1)</f>
        <v>0</v>
      </c>
      <c r="O20" s="8">
        <f>SUMIFS('HOJAS DE HORA PROY.'!$K$2:$K$943,'HOJAS DE HORA PROY.'!$A$2:$A$943,'PLAN MAESTRO FINAL'!$A20,'HOJAS DE HORA PROY.'!$M$2:$M$943,'PLAN MAESTRO FINAL'!O$1)</f>
        <v>0</v>
      </c>
      <c r="P20" s="8">
        <f>SUMIFS('HOJAS DE HORA PROY.'!$K$2:$K$943,'HOJAS DE HORA PROY.'!$A$2:$A$943,'PLAN MAESTRO FINAL'!$A20,'HOJAS DE HORA PROY.'!$M$2:$M$943,'PLAN MAESTRO FINAL'!P$1)</f>
        <v>0</v>
      </c>
      <c r="Q20" s="8">
        <f>SUMIFS('HOJAS DE HORA PROY.'!$K$2:$K$943,'HOJAS DE HORA PROY.'!$A$2:$A$943,'PLAN MAESTRO FINAL'!$A20,'HOJAS DE HORA PROY.'!$M$2:$M$943,'PLAN MAESTRO FINAL'!Q$1)</f>
        <v>0</v>
      </c>
      <c r="R20" s="8">
        <f>SUMIFS('HOJAS DE HORA PROY.'!$K$2:$K$943,'HOJAS DE HORA PROY.'!$A$2:$A$943,'PLAN MAESTRO FINAL'!$A20,'HOJAS DE HORA PROY.'!$M$2:$M$943,'PLAN MAESTRO FINAL'!R$1)</f>
        <v>0</v>
      </c>
      <c r="S20" s="8">
        <f>SUMIFS('HOJAS DE HORA PROY.'!$K$2:$K$943,'HOJAS DE HORA PROY.'!$A$2:$A$943,'PLAN MAESTRO FINAL'!$A20,'HOJAS DE HORA PROY.'!$M$2:$M$943,'PLAN MAESTRO FINAL'!S$1)</f>
        <v>0</v>
      </c>
      <c r="T20" s="8">
        <f>SUMIFS('HOJAS DE HORA PROY.'!$K$2:$K$943,'HOJAS DE HORA PROY.'!$A$2:$A$943,'PLAN MAESTRO FINAL'!$A20,'HOJAS DE HORA PROY.'!$M$2:$M$943,'PLAN MAESTRO FINAL'!T$1)</f>
        <v>0</v>
      </c>
      <c r="U20" s="8">
        <f>SUMIFS('HOJAS DE HORA PROY.'!$K$2:$K$943,'HOJAS DE HORA PROY.'!$A$2:$A$943,'PLAN MAESTRO FINAL'!$A20,'HOJAS DE HORA PROY.'!$M$2:$M$943,'PLAN MAESTRO FINAL'!U$1)</f>
        <v>0</v>
      </c>
      <c r="V20" s="8">
        <f>SUMIFS('HOJAS DE HORA PROY.'!$K$2:$K$943,'HOJAS DE HORA PROY.'!$A$2:$A$943,'PLAN MAESTRO FINAL'!$A20,'HOJAS DE HORA PROY.'!$M$2:$M$943,'PLAN MAESTRO FINAL'!V$1)</f>
        <v>0</v>
      </c>
      <c r="W20" s="8">
        <f>SUMIFS('HOJAS DE HORA PROY.'!$K$2:$K$943,'HOJAS DE HORA PROY.'!$A$2:$A$943,'PLAN MAESTRO FINAL'!$A20,'HOJAS DE HORA PROY.'!$M$2:$M$943,'PLAN MAESTRO FINAL'!W$1)</f>
        <v>0</v>
      </c>
    </row>
    <row r="21" spans="1:23" hidden="1" outlineLevel="1" x14ac:dyDescent="0.3">
      <c r="A21" s="13" t="s">
        <v>321</v>
      </c>
      <c r="B21" s="8">
        <f>SUMIFS('HOJAS DE HORA PROY.'!$K$2:$K$943,'HOJAS DE HORA PROY.'!$A$2:$A$943,'PLAN MAESTRO FINAL'!$A21,'HOJAS DE HORA PROY.'!$M$2:$M$943,'PLAN MAESTRO FINAL'!B$1)</f>
        <v>0</v>
      </c>
      <c r="C21" s="8">
        <f>SUMIFS('HOJAS DE HORA PROY.'!$K$2:$K$943,'HOJAS DE HORA PROY.'!$A$2:$A$943,'PLAN MAESTRO FINAL'!$A21,'HOJAS DE HORA PROY.'!$M$2:$M$943,'PLAN MAESTRO FINAL'!C$1)</f>
        <v>0</v>
      </c>
      <c r="D21" s="8">
        <f>SUMIFS('HOJAS DE HORA PROY.'!$K$2:$K$943,'HOJAS DE HORA PROY.'!$A$2:$A$943,'PLAN MAESTRO FINAL'!$A21,'HOJAS DE HORA PROY.'!$M$2:$M$943,'PLAN MAESTRO FINAL'!D$1)</f>
        <v>0</v>
      </c>
      <c r="E21" s="8">
        <f>SUMIFS('HOJAS DE HORA PROY.'!$K$2:$K$943,'HOJAS DE HORA PROY.'!$A$2:$A$943,'PLAN MAESTRO FINAL'!$A21,'HOJAS DE HORA PROY.'!$M$2:$M$943,'PLAN MAESTRO FINAL'!E$1)</f>
        <v>0</v>
      </c>
      <c r="F21" s="8">
        <f>SUMIFS('HOJAS DE HORA PROY.'!$K$2:$K$943,'HOJAS DE HORA PROY.'!$A$2:$A$943,'PLAN MAESTRO FINAL'!$A21,'HOJAS DE HORA PROY.'!$M$2:$M$943,'PLAN MAESTRO FINAL'!F$1)</f>
        <v>0</v>
      </c>
      <c r="G21" s="8">
        <f>SUMIFS('HOJAS DE HORA PROY.'!$K$2:$K$943,'HOJAS DE HORA PROY.'!$A$2:$A$943,'PLAN MAESTRO FINAL'!$A21,'HOJAS DE HORA PROY.'!$M$2:$M$943,'PLAN MAESTRO FINAL'!G$1)</f>
        <v>0</v>
      </c>
      <c r="H21" s="8">
        <f>SUMIFS('HOJAS DE HORA PROY.'!$K$2:$K$943,'HOJAS DE HORA PROY.'!$A$2:$A$943,'PLAN MAESTRO FINAL'!$A21,'HOJAS DE HORA PROY.'!$M$2:$M$943,'PLAN MAESTRO FINAL'!H$1)</f>
        <v>0</v>
      </c>
      <c r="I21" s="8">
        <f>SUMIFS('HOJAS DE HORA PROY.'!$K$2:$K$943,'HOJAS DE HORA PROY.'!$A$2:$A$943,'PLAN MAESTRO FINAL'!$A21,'HOJAS DE HORA PROY.'!$M$2:$M$943,'PLAN MAESTRO FINAL'!I$1)</f>
        <v>0</v>
      </c>
      <c r="J21" s="8">
        <f>SUMIFS('HOJAS DE HORA PROY.'!$K$2:$K$943,'HOJAS DE HORA PROY.'!$A$2:$A$943,'PLAN MAESTRO FINAL'!$A21,'HOJAS DE HORA PROY.'!$M$2:$M$943,'PLAN MAESTRO FINAL'!J$1)</f>
        <v>0</v>
      </c>
      <c r="K21" s="8">
        <f>SUMIFS('HOJAS DE HORA PROY.'!$K$2:$K$943,'HOJAS DE HORA PROY.'!$A$2:$A$943,'PLAN MAESTRO FINAL'!$A21,'HOJAS DE HORA PROY.'!$M$2:$M$943,'PLAN MAESTRO FINAL'!K$1)</f>
        <v>0</v>
      </c>
      <c r="L21" s="8">
        <f>SUMIFS('HOJAS DE HORA PROY.'!$K$2:$K$943,'HOJAS DE HORA PROY.'!$A$2:$A$943,'PLAN MAESTRO FINAL'!$A21,'HOJAS DE HORA PROY.'!$M$2:$M$943,'PLAN MAESTRO FINAL'!L$1)</f>
        <v>0</v>
      </c>
      <c r="M21" s="8">
        <f>SUMIFS('HOJAS DE HORA PROY.'!$K$2:$K$943,'HOJAS DE HORA PROY.'!$A$2:$A$943,'PLAN MAESTRO FINAL'!$A21,'HOJAS DE HORA PROY.'!$M$2:$M$943,'PLAN MAESTRO FINAL'!M$1)</f>
        <v>0</v>
      </c>
      <c r="N21" s="8">
        <f>SUMIFS('HOJAS DE HORA PROY.'!$K$2:$K$943,'HOJAS DE HORA PROY.'!$A$2:$A$943,'PLAN MAESTRO FINAL'!$A21,'HOJAS DE HORA PROY.'!$M$2:$M$943,'PLAN MAESTRO FINAL'!N$1)</f>
        <v>0</v>
      </c>
      <c r="O21" s="8">
        <f>SUMIFS('HOJAS DE HORA PROY.'!$K$2:$K$943,'HOJAS DE HORA PROY.'!$A$2:$A$943,'PLAN MAESTRO FINAL'!$A21,'HOJAS DE HORA PROY.'!$M$2:$M$943,'PLAN MAESTRO FINAL'!O$1)</f>
        <v>0</v>
      </c>
      <c r="P21" s="8">
        <f>SUMIFS('HOJAS DE HORA PROY.'!$K$2:$K$943,'HOJAS DE HORA PROY.'!$A$2:$A$943,'PLAN MAESTRO FINAL'!$A21,'HOJAS DE HORA PROY.'!$M$2:$M$943,'PLAN MAESTRO FINAL'!P$1)</f>
        <v>0</v>
      </c>
      <c r="Q21" s="8">
        <f>SUMIFS('HOJAS DE HORA PROY.'!$K$2:$K$943,'HOJAS DE HORA PROY.'!$A$2:$A$943,'PLAN MAESTRO FINAL'!$A21,'HOJAS DE HORA PROY.'!$M$2:$M$943,'PLAN MAESTRO FINAL'!Q$1)</f>
        <v>0</v>
      </c>
      <c r="R21" s="8">
        <f>SUMIFS('HOJAS DE HORA PROY.'!$K$2:$K$943,'HOJAS DE HORA PROY.'!$A$2:$A$943,'PLAN MAESTRO FINAL'!$A21,'HOJAS DE HORA PROY.'!$M$2:$M$943,'PLAN MAESTRO FINAL'!R$1)</f>
        <v>0</v>
      </c>
      <c r="S21" s="8">
        <f>SUMIFS('HOJAS DE HORA PROY.'!$K$2:$K$943,'HOJAS DE HORA PROY.'!$A$2:$A$943,'PLAN MAESTRO FINAL'!$A21,'HOJAS DE HORA PROY.'!$M$2:$M$943,'PLAN MAESTRO FINAL'!S$1)</f>
        <v>0</v>
      </c>
      <c r="T21" s="8">
        <f>SUMIFS('HOJAS DE HORA PROY.'!$K$2:$K$943,'HOJAS DE HORA PROY.'!$A$2:$A$943,'PLAN MAESTRO FINAL'!$A21,'HOJAS DE HORA PROY.'!$M$2:$M$943,'PLAN MAESTRO FINAL'!T$1)</f>
        <v>0</v>
      </c>
      <c r="U21" s="8">
        <f>SUMIFS('HOJAS DE HORA PROY.'!$K$2:$K$943,'HOJAS DE HORA PROY.'!$A$2:$A$943,'PLAN MAESTRO FINAL'!$A21,'HOJAS DE HORA PROY.'!$M$2:$M$943,'PLAN MAESTRO FINAL'!U$1)</f>
        <v>0</v>
      </c>
      <c r="V21" s="8">
        <f>SUMIFS('HOJAS DE HORA PROY.'!$K$2:$K$943,'HOJAS DE HORA PROY.'!$A$2:$A$943,'PLAN MAESTRO FINAL'!$A21,'HOJAS DE HORA PROY.'!$M$2:$M$943,'PLAN MAESTRO FINAL'!V$1)</f>
        <v>0</v>
      </c>
      <c r="W21" s="8">
        <f>SUMIFS('HOJAS DE HORA PROY.'!$K$2:$K$943,'HOJAS DE HORA PROY.'!$A$2:$A$943,'PLAN MAESTRO FINAL'!$A21,'HOJAS DE HORA PROY.'!$M$2:$M$943,'PLAN MAESTRO FINAL'!W$1)</f>
        <v>0</v>
      </c>
    </row>
    <row r="22" spans="1:23" hidden="1" outlineLevel="1" x14ac:dyDescent="0.3">
      <c r="A22" s="13" t="s">
        <v>453</v>
      </c>
      <c r="B22" s="8">
        <f>SUMIFS('HOJAS DE HORA PROY.'!$K$2:$K$943,'HOJAS DE HORA PROY.'!$A$2:$A$943,'PLAN MAESTRO FINAL'!$A22,'HOJAS DE HORA PROY.'!$M$2:$M$943,'PLAN MAESTRO FINAL'!B$1)</f>
        <v>0</v>
      </c>
      <c r="C22" s="8">
        <f>SUMIFS('HOJAS DE HORA PROY.'!$K$2:$K$943,'HOJAS DE HORA PROY.'!$A$2:$A$943,'PLAN MAESTRO FINAL'!$A22,'HOJAS DE HORA PROY.'!$M$2:$M$943,'PLAN MAESTRO FINAL'!C$1)</f>
        <v>0</v>
      </c>
      <c r="D22" s="8">
        <f>SUMIFS('HOJAS DE HORA PROY.'!$K$2:$K$943,'HOJAS DE HORA PROY.'!$A$2:$A$943,'PLAN MAESTRO FINAL'!$A22,'HOJAS DE HORA PROY.'!$M$2:$M$943,'PLAN MAESTRO FINAL'!D$1)</f>
        <v>0</v>
      </c>
      <c r="E22" s="8">
        <f>SUMIFS('HOJAS DE HORA PROY.'!$K$2:$K$943,'HOJAS DE HORA PROY.'!$A$2:$A$943,'PLAN MAESTRO FINAL'!$A22,'HOJAS DE HORA PROY.'!$M$2:$M$943,'PLAN MAESTRO FINAL'!E$1)</f>
        <v>4.5</v>
      </c>
      <c r="F22" s="8">
        <f>SUMIFS('HOJAS DE HORA PROY.'!$K$2:$K$943,'HOJAS DE HORA PROY.'!$A$2:$A$943,'PLAN MAESTRO FINAL'!$A22,'HOJAS DE HORA PROY.'!$M$2:$M$943,'PLAN MAESTRO FINAL'!F$1)</f>
        <v>0</v>
      </c>
      <c r="G22" s="8">
        <f>SUMIFS('HOJAS DE HORA PROY.'!$K$2:$K$943,'HOJAS DE HORA PROY.'!$A$2:$A$943,'PLAN MAESTRO FINAL'!$A22,'HOJAS DE HORA PROY.'!$M$2:$M$943,'PLAN MAESTRO FINAL'!G$1)</f>
        <v>0</v>
      </c>
      <c r="H22" s="8">
        <f>SUMIFS('HOJAS DE HORA PROY.'!$K$2:$K$943,'HOJAS DE HORA PROY.'!$A$2:$A$943,'PLAN MAESTRO FINAL'!$A22,'HOJAS DE HORA PROY.'!$M$2:$M$943,'PLAN MAESTRO FINAL'!H$1)</f>
        <v>0</v>
      </c>
      <c r="I22" s="8">
        <f>SUMIFS('HOJAS DE HORA PROY.'!$K$2:$K$943,'HOJAS DE HORA PROY.'!$A$2:$A$943,'PLAN MAESTRO FINAL'!$A22,'HOJAS DE HORA PROY.'!$M$2:$M$943,'PLAN MAESTRO FINAL'!I$1)</f>
        <v>0</v>
      </c>
      <c r="J22" s="8">
        <f>SUMIFS('HOJAS DE HORA PROY.'!$K$2:$K$943,'HOJAS DE HORA PROY.'!$A$2:$A$943,'PLAN MAESTRO FINAL'!$A22,'HOJAS DE HORA PROY.'!$M$2:$M$943,'PLAN MAESTRO FINAL'!J$1)</f>
        <v>0</v>
      </c>
      <c r="K22" s="8">
        <f>SUMIFS('HOJAS DE HORA PROY.'!$K$2:$K$943,'HOJAS DE HORA PROY.'!$A$2:$A$943,'PLAN MAESTRO FINAL'!$A22,'HOJAS DE HORA PROY.'!$M$2:$M$943,'PLAN MAESTRO FINAL'!K$1)</f>
        <v>0</v>
      </c>
      <c r="L22" s="8">
        <f>SUMIFS('HOJAS DE HORA PROY.'!$K$2:$K$943,'HOJAS DE HORA PROY.'!$A$2:$A$943,'PLAN MAESTRO FINAL'!$A22,'HOJAS DE HORA PROY.'!$M$2:$M$943,'PLAN MAESTRO FINAL'!L$1)</f>
        <v>0</v>
      </c>
      <c r="M22" s="8">
        <f>SUMIFS('HOJAS DE HORA PROY.'!$K$2:$K$943,'HOJAS DE HORA PROY.'!$A$2:$A$943,'PLAN MAESTRO FINAL'!$A22,'HOJAS DE HORA PROY.'!$M$2:$M$943,'PLAN MAESTRO FINAL'!M$1)</f>
        <v>0</v>
      </c>
      <c r="N22" s="8">
        <f>SUMIFS('HOJAS DE HORA PROY.'!$K$2:$K$943,'HOJAS DE HORA PROY.'!$A$2:$A$943,'PLAN MAESTRO FINAL'!$A22,'HOJAS DE HORA PROY.'!$M$2:$M$943,'PLAN MAESTRO FINAL'!N$1)</f>
        <v>0</v>
      </c>
      <c r="O22" s="8">
        <f>SUMIFS('HOJAS DE HORA PROY.'!$K$2:$K$943,'HOJAS DE HORA PROY.'!$A$2:$A$943,'PLAN MAESTRO FINAL'!$A22,'HOJAS DE HORA PROY.'!$M$2:$M$943,'PLAN MAESTRO FINAL'!O$1)</f>
        <v>0</v>
      </c>
      <c r="P22" s="8">
        <f>SUMIFS('HOJAS DE HORA PROY.'!$K$2:$K$943,'HOJAS DE HORA PROY.'!$A$2:$A$943,'PLAN MAESTRO FINAL'!$A22,'HOJAS DE HORA PROY.'!$M$2:$M$943,'PLAN MAESTRO FINAL'!P$1)</f>
        <v>0</v>
      </c>
      <c r="Q22" s="8">
        <f>SUMIFS('HOJAS DE HORA PROY.'!$K$2:$K$943,'HOJAS DE HORA PROY.'!$A$2:$A$943,'PLAN MAESTRO FINAL'!$A22,'HOJAS DE HORA PROY.'!$M$2:$M$943,'PLAN MAESTRO FINAL'!Q$1)</f>
        <v>0</v>
      </c>
      <c r="R22" s="8">
        <f>SUMIFS('HOJAS DE HORA PROY.'!$K$2:$K$943,'HOJAS DE HORA PROY.'!$A$2:$A$943,'PLAN MAESTRO FINAL'!$A22,'HOJAS DE HORA PROY.'!$M$2:$M$943,'PLAN MAESTRO FINAL'!R$1)</f>
        <v>0</v>
      </c>
      <c r="S22" s="8">
        <f>SUMIFS('HOJAS DE HORA PROY.'!$K$2:$K$943,'HOJAS DE HORA PROY.'!$A$2:$A$943,'PLAN MAESTRO FINAL'!$A22,'HOJAS DE HORA PROY.'!$M$2:$M$943,'PLAN MAESTRO FINAL'!S$1)</f>
        <v>0</v>
      </c>
      <c r="T22" s="8">
        <f>SUMIFS('HOJAS DE HORA PROY.'!$K$2:$K$943,'HOJAS DE HORA PROY.'!$A$2:$A$943,'PLAN MAESTRO FINAL'!$A22,'HOJAS DE HORA PROY.'!$M$2:$M$943,'PLAN MAESTRO FINAL'!T$1)</f>
        <v>0</v>
      </c>
      <c r="U22" s="8">
        <f>SUMIFS('HOJAS DE HORA PROY.'!$K$2:$K$943,'HOJAS DE HORA PROY.'!$A$2:$A$943,'PLAN MAESTRO FINAL'!$A22,'HOJAS DE HORA PROY.'!$M$2:$M$943,'PLAN MAESTRO FINAL'!U$1)</f>
        <v>0</v>
      </c>
      <c r="V22" s="8">
        <f>SUMIFS('HOJAS DE HORA PROY.'!$K$2:$K$943,'HOJAS DE HORA PROY.'!$A$2:$A$943,'PLAN MAESTRO FINAL'!$A22,'HOJAS DE HORA PROY.'!$M$2:$M$943,'PLAN MAESTRO FINAL'!V$1)</f>
        <v>0</v>
      </c>
      <c r="W22" s="8">
        <f>SUMIFS('HOJAS DE HORA PROY.'!$K$2:$K$943,'HOJAS DE HORA PROY.'!$A$2:$A$943,'PLAN MAESTRO FINAL'!$A22,'HOJAS DE HORA PROY.'!$M$2:$M$943,'PLAN MAESTRO FINAL'!W$1)</f>
        <v>0</v>
      </c>
    </row>
    <row r="23" spans="1:23" hidden="1" outlineLevel="1" x14ac:dyDescent="0.3">
      <c r="A23" s="13" t="s">
        <v>468</v>
      </c>
      <c r="B23" s="8">
        <f>SUMIFS('HOJAS DE HORA PROY.'!$K$2:$K$943,'HOJAS DE HORA PROY.'!$A$2:$A$943,'PLAN MAESTRO FINAL'!$A23,'HOJAS DE HORA PROY.'!$M$2:$M$943,'PLAN MAESTRO FINAL'!B$1)</f>
        <v>0</v>
      </c>
      <c r="C23" s="8">
        <f>SUMIFS('HOJAS DE HORA PROY.'!$K$2:$K$943,'HOJAS DE HORA PROY.'!$A$2:$A$943,'PLAN MAESTRO FINAL'!$A23,'HOJAS DE HORA PROY.'!$M$2:$M$943,'PLAN MAESTRO FINAL'!C$1)</f>
        <v>0</v>
      </c>
      <c r="D23" s="8">
        <f>SUMIFS('HOJAS DE HORA PROY.'!$K$2:$K$943,'HOJAS DE HORA PROY.'!$A$2:$A$943,'PLAN MAESTRO FINAL'!$A23,'HOJAS DE HORA PROY.'!$M$2:$M$943,'PLAN MAESTRO FINAL'!D$1)</f>
        <v>0</v>
      </c>
      <c r="E23" s="8">
        <f>SUMIFS('HOJAS DE HORA PROY.'!$K$2:$K$943,'HOJAS DE HORA PROY.'!$A$2:$A$943,'PLAN MAESTRO FINAL'!$A23,'HOJAS DE HORA PROY.'!$M$2:$M$943,'PLAN MAESTRO FINAL'!E$1)</f>
        <v>0</v>
      </c>
      <c r="F23" s="8">
        <f>SUMIFS('HOJAS DE HORA PROY.'!$K$2:$K$943,'HOJAS DE HORA PROY.'!$A$2:$A$943,'PLAN MAESTRO FINAL'!$A23,'HOJAS DE HORA PROY.'!$M$2:$M$943,'PLAN MAESTRO FINAL'!F$1)</f>
        <v>21</v>
      </c>
      <c r="G23" s="8">
        <f>SUMIFS('HOJAS DE HORA PROY.'!$K$2:$K$943,'HOJAS DE HORA PROY.'!$A$2:$A$943,'PLAN MAESTRO FINAL'!$A23,'HOJAS DE HORA PROY.'!$M$2:$M$943,'PLAN MAESTRO FINAL'!G$1)</f>
        <v>133</v>
      </c>
      <c r="H23" s="8">
        <f>SUMIFS('HOJAS DE HORA PROY.'!$K$2:$K$943,'HOJAS DE HORA PROY.'!$A$2:$A$943,'PLAN MAESTRO FINAL'!$A23,'HOJAS DE HORA PROY.'!$M$2:$M$943,'PLAN MAESTRO FINAL'!H$1)</f>
        <v>0</v>
      </c>
      <c r="I23" s="8">
        <f>SUMIFS('HOJAS DE HORA PROY.'!$K$2:$K$943,'HOJAS DE HORA PROY.'!$A$2:$A$943,'PLAN MAESTRO FINAL'!$A23,'HOJAS DE HORA PROY.'!$M$2:$M$943,'PLAN MAESTRO FINAL'!I$1)</f>
        <v>0</v>
      </c>
      <c r="J23" s="8">
        <f>SUMIFS('HOJAS DE HORA PROY.'!$K$2:$K$943,'HOJAS DE HORA PROY.'!$A$2:$A$943,'PLAN MAESTRO FINAL'!$A23,'HOJAS DE HORA PROY.'!$M$2:$M$943,'PLAN MAESTRO FINAL'!J$1)</f>
        <v>61</v>
      </c>
      <c r="K23" s="8">
        <f>SUMIFS('HOJAS DE HORA PROY.'!$K$2:$K$943,'HOJAS DE HORA PROY.'!$A$2:$A$943,'PLAN MAESTRO FINAL'!$A23,'HOJAS DE HORA PROY.'!$M$2:$M$943,'PLAN MAESTRO FINAL'!K$1)</f>
        <v>0</v>
      </c>
      <c r="L23" s="8">
        <f>SUMIFS('HOJAS DE HORA PROY.'!$K$2:$K$943,'HOJAS DE HORA PROY.'!$A$2:$A$943,'PLAN MAESTRO FINAL'!$A23,'HOJAS DE HORA PROY.'!$M$2:$M$943,'PLAN MAESTRO FINAL'!L$1)</f>
        <v>0</v>
      </c>
      <c r="M23" s="8">
        <f>SUMIFS('HOJAS DE HORA PROY.'!$K$2:$K$943,'HOJAS DE HORA PROY.'!$A$2:$A$943,'PLAN MAESTRO FINAL'!$A23,'HOJAS DE HORA PROY.'!$M$2:$M$943,'PLAN MAESTRO FINAL'!M$1)</f>
        <v>0</v>
      </c>
      <c r="N23" s="8">
        <f>SUMIFS('HOJAS DE HORA PROY.'!$K$2:$K$943,'HOJAS DE HORA PROY.'!$A$2:$A$943,'PLAN MAESTRO FINAL'!$A23,'HOJAS DE HORA PROY.'!$M$2:$M$943,'PLAN MAESTRO FINAL'!N$1)</f>
        <v>0</v>
      </c>
      <c r="O23" s="8">
        <f>SUMIFS('HOJAS DE HORA PROY.'!$K$2:$K$943,'HOJAS DE HORA PROY.'!$A$2:$A$943,'PLAN MAESTRO FINAL'!$A23,'HOJAS DE HORA PROY.'!$M$2:$M$943,'PLAN MAESTRO FINAL'!O$1)</f>
        <v>0</v>
      </c>
      <c r="P23" s="8">
        <f>SUMIFS('HOJAS DE HORA PROY.'!$K$2:$K$943,'HOJAS DE HORA PROY.'!$A$2:$A$943,'PLAN MAESTRO FINAL'!$A23,'HOJAS DE HORA PROY.'!$M$2:$M$943,'PLAN MAESTRO FINAL'!P$1)</f>
        <v>0</v>
      </c>
      <c r="Q23" s="8">
        <f>SUMIFS('HOJAS DE HORA PROY.'!$K$2:$K$943,'HOJAS DE HORA PROY.'!$A$2:$A$943,'PLAN MAESTRO FINAL'!$A23,'HOJAS DE HORA PROY.'!$M$2:$M$943,'PLAN MAESTRO FINAL'!Q$1)</f>
        <v>0</v>
      </c>
      <c r="R23" s="8">
        <f>SUMIFS('HOJAS DE HORA PROY.'!$K$2:$K$943,'HOJAS DE HORA PROY.'!$A$2:$A$943,'PLAN MAESTRO FINAL'!$A23,'HOJAS DE HORA PROY.'!$M$2:$M$943,'PLAN MAESTRO FINAL'!R$1)</f>
        <v>0</v>
      </c>
      <c r="S23" s="8">
        <f>SUMIFS('HOJAS DE HORA PROY.'!$K$2:$K$943,'HOJAS DE HORA PROY.'!$A$2:$A$943,'PLAN MAESTRO FINAL'!$A23,'HOJAS DE HORA PROY.'!$M$2:$M$943,'PLAN MAESTRO FINAL'!S$1)</f>
        <v>0</v>
      </c>
      <c r="T23" s="8">
        <f>SUMIFS('HOJAS DE HORA PROY.'!$K$2:$K$943,'HOJAS DE HORA PROY.'!$A$2:$A$943,'PLAN MAESTRO FINAL'!$A23,'HOJAS DE HORA PROY.'!$M$2:$M$943,'PLAN MAESTRO FINAL'!T$1)</f>
        <v>0</v>
      </c>
      <c r="U23" s="8">
        <f>SUMIFS('HOJAS DE HORA PROY.'!$K$2:$K$943,'HOJAS DE HORA PROY.'!$A$2:$A$943,'PLAN MAESTRO FINAL'!$A23,'HOJAS DE HORA PROY.'!$M$2:$M$943,'PLAN MAESTRO FINAL'!U$1)</f>
        <v>0</v>
      </c>
      <c r="V23" s="8">
        <f>SUMIFS('HOJAS DE HORA PROY.'!$K$2:$K$943,'HOJAS DE HORA PROY.'!$A$2:$A$943,'PLAN MAESTRO FINAL'!$A23,'HOJAS DE HORA PROY.'!$M$2:$M$943,'PLAN MAESTRO FINAL'!V$1)</f>
        <v>0</v>
      </c>
      <c r="W23" s="8">
        <f>SUMIFS('HOJAS DE HORA PROY.'!$K$2:$K$943,'HOJAS DE HORA PROY.'!$A$2:$A$943,'PLAN MAESTRO FINAL'!$A23,'HOJAS DE HORA PROY.'!$M$2:$M$943,'PLAN MAESTRO FINAL'!W$1)</f>
        <v>0</v>
      </c>
    </row>
    <row r="24" spans="1:23" hidden="1" outlineLevel="1" x14ac:dyDescent="0.3">
      <c r="A24" s="13" t="s">
        <v>553</v>
      </c>
      <c r="B24" s="8">
        <f>SUMIFS('HOJAS DE HORA PROY.'!$K$2:$K$943,'HOJAS DE HORA PROY.'!$A$2:$A$943,'PLAN MAESTRO FINAL'!$A24,'HOJAS DE HORA PROY.'!$M$2:$M$943,'PLAN MAESTRO FINAL'!B$1)</f>
        <v>0</v>
      </c>
      <c r="C24" s="8">
        <f>SUMIFS('HOJAS DE HORA PROY.'!$K$2:$K$943,'HOJAS DE HORA PROY.'!$A$2:$A$943,'PLAN MAESTRO FINAL'!$A24,'HOJAS DE HORA PROY.'!$M$2:$M$943,'PLAN MAESTRO FINAL'!C$1)</f>
        <v>0</v>
      </c>
      <c r="D24" s="8">
        <f>SUMIFS('HOJAS DE HORA PROY.'!$K$2:$K$943,'HOJAS DE HORA PROY.'!$A$2:$A$943,'PLAN MAESTRO FINAL'!$A24,'HOJAS DE HORA PROY.'!$M$2:$M$943,'PLAN MAESTRO FINAL'!D$1)</f>
        <v>0</v>
      </c>
      <c r="E24" s="8">
        <f>SUMIFS('HOJAS DE HORA PROY.'!$K$2:$K$943,'HOJAS DE HORA PROY.'!$A$2:$A$943,'PLAN MAESTRO FINAL'!$A24,'HOJAS DE HORA PROY.'!$M$2:$M$943,'PLAN MAESTRO FINAL'!E$1)</f>
        <v>0</v>
      </c>
      <c r="F24" s="8">
        <f>SUMIFS('HOJAS DE HORA PROY.'!$K$2:$K$943,'HOJAS DE HORA PROY.'!$A$2:$A$943,'PLAN MAESTRO FINAL'!$A24,'HOJAS DE HORA PROY.'!$M$2:$M$943,'PLAN MAESTRO FINAL'!F$1)</f>
        <v>0</v>
      </c>
      <c r="G24" s="8">
        <f>SUMIFS('HOJAS DE HORA PROY.'!$K$2:$K$943,'HOJAS DE HORA PROY.'!$A$2:$A$943,'PLAN MAESTRO FINAL'!$A24,'HOJAS DE HORA PROY.'!$M$2:$M$943,'PLAN MAESTRO FINAL'!G$1)</f>
        <v>63.5</v>
      </c>
      <c r="H24" s="8">
        <f>SUMIFS('HOJAS DE HORA PROY.'!$K$2:$K$943,'HOJAS DE HORA PROY.'!$A$2:$A$943,'PLAN MAESTRO FINAL'!$A24,'HOJAS DE HORA PROY.'!$M$2:$M$943,'PLAN MAESTRO FINAL'!H$1)</f>
        <v>0</v>
      </c>
      <c r="I24" s="8">
        <f>SUMIFS('HOJAS DE HORA PROY.'!$K$2:$K$943,'HOJAS DE HORA PROY.'!$A$2:$A$943,'PLAN MAESTRO FINAL'!$A24,'HOJAS DE HORA PROY.'!$M$2:$M$943,'PLAN MAESTRO FINAL'!I$1)</f>
        <v>0</v>
      </c>
      <c r="J24" s="8">
        <f>SUMIFS('HOJAS DE HORA PROY.'!$K$2:$K$943,'HOJAS DE HORA PROY.'!$A$2:$A$943,'PLAN MAESTRO FINAL'!$A24,'HOJAS DE HORA PROY.'!$M$2:$M$943,'PLAN MAESTRO FINAL'!J$1)</f>
        <v>0</v>
      </c>
      <c r="K24" s="8">
        <f>SUMIFS('HOJAS DE HORA PROY.'!$K$2:$K$943,'HOJAS DE HORA PROY.'!$A$2:$A$943,'PLAN MAESTRO FINAL'!$A24,'HOJAS DE HORA PROY.'!$M$2:$M$943,'PLAN MAESTRO FINAL'!K$1)</f>
        <v>0</v>
      </c>
      <c r="L24" s="8">
        <f>SUMIFS('HOJAS DE HORA PROY.'!$K$2:$K$943,'HOJAS DE HORA PROY.'!$A$2:$A$943,'PLAN MAESTRO FINAL'!$A24,'HOJAS DE HORA PROY.'!$M$2:$M$943,'PLAN MAESTRO FINAL'!L$1)</f>
        <v>0</v>
      </c>
      <c r="M24" s="8">
        <f>SUMIFS('HOJAS DE HORA PROY.'!$K$2:$K$943,'HOJAS DE HORA PROY.'!$A$2:$A$943,'PLAN MAESTRO FINAL'!$A24,'HOJAS DE HORA PROY.'!$M$2:$M$943,'PLAN MAESTRO FINAL'!M$1)</f>
        <v>0</v>
      </c>
      <c r="N24" s="8">
        <f>SUMIFS('HOJAS DE HORA PROY.'!$K$2:$K$943,'HOJAS DE HORA PROY.'!$A$2:$A$943,'PLAN MAESTRO FINAL'!$A24,'HOJAS DE HORA PROY.'!$M$2:$M$943,'PLAN MAESTRO FINAL'!N$1)</f>
        <v>0</v>
      </c>
      <c r="O24" s="8">
        <f>SUMIFS('HOJAS DE HORA PROY.'!$K$2:$K$943,'HOJAS DE HORA PROY.'!$A$2:$A$943,'PLAN MAESTRO FINAL'!$A24,'HOJAS DE HORA PROY.'!$M$2:$M$943,'PLAN MAESTRO FINAL'!O$1)</f>
        <v>0</v>
      </c>
      <c r="P24" s="8">
        <f>SUMIFS('HOJAS DE HORA PROY.'!$K$2:$K$943,'HOJAS DE HORA PROY.'!$A$2:$A$943,'PLAN MAESTRO FINAL'!$A24,'HOJAS DE HORA PROY.'!$M$2:$M$943,'PLAN MAESTRO FINAL'!P$1)</f>
        <v>0</v>
      </c>
      <c r="Q24" s="8">
        <f>SUMIFS('HOJAS DE HORA PROY.'!$K$2:$K$943,'HOJAS DE HORA PROY.'!$A$2:$A$943,'PLAN MAESTRO FINAL'!$A24,'HOJAS DE HORA PROY.'!$M$2:$M$943,'PLAN MAESTRO FINAL'!Q$1)</f>
        <v>0</v>
      </c>
      <c r="R24" s="8">
        <f>SUMIFS('HOJAS DE HORA PROY.'!$K$2:$K$943,'HOJAS DE HORA PROY.'!$A$2:$A$943,'PLAN MAESTRO FINAL'!$A24,'HOJAS DE HORA PROY.'!$M$2:$M$943,'PLAN MAESTRO FINAL'!R$1)</f>
        <v>0</v>
      </c>
      <c r="S24" s="8">
        <f>SUMIFS('HOJAS DE HORA PROY.'!$K$2:$K$943,'HOJAS DE HORA PROY.'!$A$2:$A$943,'PLAN MAESTRO FINAL'!$A24,'HOJAS DE HORA PROY.'!$M$2:$M$943,'PLAN MAESTRO FINAL'!S$1)</f>
        <v>0</v>
      </c>
      <c r="T24" s="8">
        <f>SUMIFS('HOJAS DE HORA PROY.'!$K$2:$K$943,'HOJAS DE HORA PROY.'!$A$2:$A$943,'PLAN MAESTRO FINAL'!$A24,'HOJAS DE HORA PROY.'!$M$2:$M$943,'PLAN MAESTRO FINAL'!T$1)</f>
        <v>0</v>
      </c>
      <c r="U24" s="8">
        <f>SUMIFS('HOJAS DE HORA PROY.'!$K$2:$K$943,'HOJAS DE HORA PROY.'!$A$2:$A$943,'PLAN MAESTRO FINAL'!$A24,'HOJAS DE HORA PROY.'!$M$2:$M$943,'PLAN MAESTRO FINAL'!U$1)</f>
        <v>0</v>
      </c>
      <c r="V24" s="8">
        <f>SUMIFS('HOJAS DE HORA PROY.'!$K$2:$K$943,'HOJAS DE HORA PROY.'!$A$2:$A$943,'PLAN MAESTRO FINAL'!$A24,'HOJAS DE HORA PROY.'!$M$2:$M$943,'PLAN MAESTRO FINAL'!V$1)</f>
        <v>0</v>
      </c>
      <c r="W24" s="8">
        <f>SUMIFS('HOJAS DE HORA PROY.'!$K$2:$K$943,'HOJAS DE HORA PROY.'!$A$2:$A$943,'PLAN MAESTRO FINAL'!$A24,'HOJAS DE HORA PROY.'!$M$2:$M$943,'PLAN MAESTRO FINAL'!W$1)</f>
        <v>0</v>
      </c>
    </row>
    <row r="25" spans="1:23" hidden="1" outlineLevel="1" x14ac:dyDescent="0.3">
      <c r="A25" s="13" t="s">
        <v>479</v>
      </c>
      <c r="B25" s="8">
        <f>SUMIFS('HOJAS DE HORA PROY.'!$K$2:$K$943,'HOJAS DE HORA PROY.'!$A$2:$A$943,'PLAN MAESTRO FINAL'!$A25,'HOJAS DE HORA PROY.'!$M$2:$M$943,'PLAN MAESTRO FINAL'!B$1)</f>
        <v>0</v>
      </c>
      <c r="C25" s="8">
        <f>SUMIFS('HOJAS DE HORA PROY.'!$K$2:$K$943,'HOJAS DE HORA PROY.'!$A$2:$A$943,'PLAN MAESTRO FINAL'!$A25,'HOJAS DE HORA PROY.'!$M$2:$M$943,'PLAN MAESTRO FINAL'!C$1)</f>
        <v>0</v>
      </c>
      <c r="D25" s="8">
        <f>SUMIFS('HOJAS DE HORA PROY.'!$K$2:$K$943,'HOJAS DE HORA PROY.'!$A$2:$A$943,'PLAN MAESTRO FINAL'!$A25,'HOJAS DE HORA PROY.'!$M$2:$M$943,'PLAN MAESTRO FINAL'!D$1)</f>
        <v>0</v>
      </c>
      <c r="E25" s="8">
        <f>SUMIFS('HOJAS DE HORA PROY.'!$K$2:$K$943,'HOJAS DE HORA PROY.'!$A$2:$A$943,'PLAN MAESTRO FINAL'!$A25,'HOJAS DE HORA PROY.'!$M$2:$M$943,'PLAN MAESTRO FINAL'!E$1)</f>
        <v>0</v>
      </c>
      <c r="F25" s="8">
        <f>SUMIFS('HOJAS DE HORA PROY.'!$K$2:$K$943,'HOJAS DE HORA PROY.'!$A$2:$A$943,'PLAN MAESTRO FINAL'!$A25,'HOJAS DE HORA PROY.'!$M$2:$M$943,'PLAN MAESTRO FINAL'!F$1)</f>
        <v>0</v>
      </c>
      <c r="G25" s="8">
        <f>SUMIFS('HOJAS DE HORA PROY.'!$K$2:$K$943,'HOJAS DE HORA PROY.'!$A$2:$A$943,'PLAN MAESTRO FINAL'!$A25,'HOJAS DE HORA PROY.'!$M$2:$M$943,'PLAN MAESTRO FINAL'!G$1)</f>
        <v>0</v>
      </c>
      <c r="H25" s="8">
        <f>SUMIFS('HOJAS DE HORA PROY.'!$K$2:$K$943,'HOJAS DE HORA PROY.'!$A$2:$A$943,'PLAN MAESTRO FINAL'!$A25,'HOJAS DE HORA PROY.'!$M$2:$M$943,'PLAN MAESTRO FINAL'!H$1)</f>
        <v>0</v>
      </c>
      <c r="I25" s="8">
        <f>SUMIFS('HOJAS DE HORA PROY.'!$K$2:$K$943,'HOJAS DE HORA PROY.'!$A$2:$A$943,'PLAN MAESTRO FINAL'!$A25,'HOJAS DE HORA PROY.'!$M$2:$M$943,'PLAN MAESTRO FINAL'!I$1)</f>
        <v>0</v>
      </c>
      <c r="J25" s="8">
        <f>SUMIFS('HOJAS DE HORA PROY.'!$K$2:$K$943,'HOJAS DE HORA PROY.'!$A$2:$A$943,'PLAN MAESTRO FINAL'!$A25,'HOJAS DE HORA PROY.'!$M$2:$M$943,'PLAN MAESTRO FINAL'!J$1)</f>
        <v>0</v>
      </c>
      <c r="K25" s="8">
        <f>SUMIFS('HOJAS DE HORA PROY.'!$K$2:$K$943,'HOJAS DE HORA PROY.'!$A$2:$A$943,'PLAN MAESTRO FINAL'!$A25,'HOJAS DE HORA PROY.'!$M$2:$M$943,'PLAN MAESTRO FINAL'!K$1)</f>
        <v>0</v>
      </c>
      <c r="L25" s="8">
        <f>SUMIFS('HOJAS DE HORA PROY.'!$K$2:$K$943,'HOJAS DE HORA PROY.'!$A$2:$A$943,'PLAN MAESTRO FINAL'!$A25,'HOJAS DE HORA PROY.'!$M$2:$M$943,'PLAN MAESTRO FINAL'!L$1)</f>
        <v>0</v>
      </c>
      <c r="M25" s="8">
        <f>SUMIFS('HOJAS DE HORA PROY.'!$K$2:$K$943,'HOJAS DE HORA PROY.'!$A$2:$A$943,'PLAN MAESTRO FINAL'!$A25,'HOJAS DE HORA PROY.'!$M$2:$M$943,'PLAN MAESTRO FINAL'!M$1)</f>
        <v>0</v>
      </c>
      <c r="N25" s="8">
        <f>SUMIFS('HOJAS DE HORA PROY.'!$K$2:$K$943,'HOJAS DE HORA PROY.'!$A$2:$A$943,'PLAN MAESTRO FINAL'!$A25,'HOJAS DE HORA PROY.'!$M$2:$M$943,'PLAN MAESTRO FINAL'!N$1)</f>
        <v>0</v>
      </c>
      <c r="O25" s="8">
        <f>SUMIFS('HOJAS DE HORA PROY.'!$K$2:$K$943,'HOJAS DE HORA PROY.'!$A$2:$A$943,'PLAN MAESTRO FINAL'!$A25,'HOJAS DE HORA PROY.'!$M$2:$M$943,'PLAN MAESTRO FINAL'!O$1)</f>
        <v>0</v>
      </c>
      <c r="P25" s="8">
        <f>SUMIFS('HOJAS DE HORA PROY.'!$K$2:$K$943,'HOJAS DE HORA PROY.'!$A$2:$A$943,'PLAN MAESTRO FINAL'!$A25,'HOJAS DE HORA PROY.'!$M$2:$M$943,'PLAN MAESTRO FINAL'!P$1)</f>
        <v>0</v>
      </c>
      <c r="Q25" s="8">
        <f>SUMIFS('HOJAS DE HORA PROY.'!$K$2:$K$943,'HOJAS DE HORA PROY.'!$A$2:$A$943,'PLAN MAESTRO FINAL'!$A25,'HOJAS DE HORA PROY.'!$M$2:$M$943,'PLAN MAESTRO FINAL'!Q$1)</f>
        <v>0</v>
      </c>
      <c r="R25" s="8">
        <f>SUMIFS('HOJAS DE HORA PROY.'!$K$2:$K$943,'HOJAS DE HORA PROY.'!$A$2:$A$943,'PLAN MAESTRO FINAL'!$A25,'HOJAS DE HORA PROY.'!$M$2:$M$943,'PLAN MAESTRO FINAL'!R$1)</f>
        <v>0</v>
      </c>
      <c r="S25" s="8">
        <f>SUMIFS('HOJAS DE HORA PROY.'!$K$2:$K$943,'HOJAS DE HORA PROY.'!$A$2:$A$943,'PLAN MAESTRO FINAL'!$A25,'HOJAS DE HORA PROY.'!$M$2:$M$943,'PLAN MAESTRO FINAL'!S$1)</f>
        <v>0</v>
      </c>
      <c r="T25" s="8">
        <f>SUMIFS('HOJAS DE HORA PROY.'!$K$2:$K$943,'HOJAS DE HORA PROY.'!$A$2:$A$943,'PLAN MAESTRO FINAL'!$A25,'HOJAS DE HORA PROY.'!$M$2:$M$943,'PLAN MAESTRO FINAL'!T$1)</f>
        <v>0</v>
      </c>
      <c r="U25" s="8">
        <f>SUMIFS('HOJAS DE HORA PROY.'!$K$2:$K$943,'HOJAS DE HORA PROY.'!$A$2:$A$943,'PLAN MAESTRO FINAL'!$A25,'HOJAS DE HORA PROY.'!$M$2:$M$943,'PLAN MAESTRO FINAL'!U$1)</f>
        <v>0</v>
      </c>
      <c r="V25" s="8">
        <f>SUMIFS('HOJAS DE HORA PROY.'!$K$2:$K$943,'HOJAS DE HORA PROY.'!$A$2:$A$943,'PLAN MAESTRO FINAL'!$A25,'HOJAS DE HORA PROY.'!$M$2:$M$943,'PLAN MAESTRO FINAL'!V$1)</f>
        <v>0</v>
      </c>
      <c r="W25" s="8">
        <f>SUMIFS('HOJAS DE HORA PROY.'!$K$2:$K$943,'HOJAS DE HORA PROY.'!$A$2:$A$943,'PLAN MAESTRO FINAL'!$A25,'HOJAS DE HORA PROY.'!$M$2:$M$943,'PLAN MAESTRO FINAL'!W$1)</f>
        <v>0</v>
      </c>
    </row>
    <row r="26" spans="1:23" hidden="1" outlineLevel="1" x14ac:dyDescent="0.3">
      <c r="A26" s="13" t="s">
        <v>488</v>
      </c>
      <c r="B26" s="8">
        <f>SUMIFS('HOJAS DE HORA PROY.'!$K$2:$K$943,'HOJAS DE HORA PROY.'!$A$2:$A$943,'PLAN MAESTRO FINAL'!$A26,'HOJAS DE HORA PROY.'!$M$2:$M$943,'PLAN MAESTRO FINAL'!B$1)</f>
        <v>0</v>
      </c>
      <c r="C26" s="8">
        <f>SUMIFS('HOJAS DE HORA PROY.'!$K$2:$K$943,'HOJAS DE HORA PROY.'!$A$2:$A$943,'PLAN MAESTRO FINAL'!$A26,'HOJAS DE HORA PROY.'!$M$2:$M$943,'PLAN MAESTRO FINAL'!C$1)</f>
        <v>0</v>
      </c>
      <c r="D26" s="8">
        <f>SUMIFS('HOJAS DE HORA PROY.'!$K$2:$K$943,'HOJAS DE HORA PROY.'!$A$2:$A$943,'PLAN MAESTRO FINAL'!$A26,'HOJAS DE HORA PROY.'!$M$2:$M$943,'PLAN MAESTRO FINAL'!D$1)</f>
        <v>0</v>
      </c>
      <c r="E26" s="8">
        <f>SUMIFS('HOJAS DE HORA PROY.'!$K$2:$K$943,'HOJAS DE HORA PROY.'!$A$2:$A$943,'PLAN MAESTRO FINAL'!$A26,'HOJAS DE HORA PROY.'!$M$2:$M$943,'PLAN MAESTRO FINAL'!E$1)</f>
        <v>0</v>
      </c>
      <c r="F26" s="8">
        <f>SUMIFS('HOJAS DE HORA PROY.'!$K$2:$K$943,'HOJAS DE HORA PROY.'!$A$2:$A$943,'PLAN MAESTRO FINAL'!$A26,'HOJAS DE HORA PROY.'!$M$2:$M$943,'PLAN MAESTRO FINAL'!F$1)</f>
        <v>164.625</v>
      </c>
      <c r="G26" s="8">
        <f>SUMIFS('HOJAS DE HORA PROY.'!$K$2:$K$943,'HOJAS DE HORA PROY.'!$A$2:$A$943,'PLAN MAESTRO FINAL'!$A26,'HOJAS DE HORA PROY.'!$M$2:$M$943,'PLAN MAESTRO FINAL'!G$1)</f>
        <v>0</v>
      </c>
      <c r="H26" s="8">
        <f>SUMIFS('HOJAS DE HORA PROY.'!$K$2:$K$943,'HOJAS DE HORA PROY.'!$A$2:$A$943,'PLAN MAESTRO FINAL'!$A26,'HOJAS DE HORA PROY.'!$M$2:$M$943,'PLAN MAESTRO FINAL'!H$1)</f>
        <v>68</v>
      </c>
      <c r="I26" s="8">
        <f>SUMIFS('HOJAS DE HORA PROY.'!$K$2:$K$943,'HOJAS DE HORA PROY.'!$A$2:$A$943,'PLAN MAESTRO FINAL'!$A26,'HOJAS DE HORA PROY.'!$M$2:$M$943,'PLAN MAESTRO FINAL'!I$1)</f>
        <v>0</v>
      </c>
      <c r="J26" s="8">
        <f>SUMIFS('HOJAS DE HORA PROY.'!$K$2:$K$943,'HOJAS DE HORA PROY.'!$A$2:$A$943,'PLAN MAESTRO FINAL'!$A26,'HOJAS DE HORA PROY.'!$M$2:$M$943,'PLAN MAESTRO FINAL'!J$1)</f>
        <v>0</v>
      </c>
      <c r="K26" s="8">
        <f>SUMIFS('HOJAS DE HORA PROY.'!$K$2:$K$943,'HOJAS DE HORA PROY.'!$A$2:$A$943,'PLAN MAESTRO FINAL'!$A26,'HOJAS DE HORA PROY.'!$M$2:$M$943,'PLAN MAESTRO FINAL'!K$1)</f>
        <v>0</v>
      </c>
      <c r="L26" s="8">
        <f>SUMIFS('HOJAS DE HORA PROY.'!$K$2:$K$943,'HOJAS DE HORA PROY.'!$A$2:$A$943,'PLAN MAESTRO FINAL'!$A26,'HOJAS DE HORA PROY.'!$M$2:$M$943,'PLAN MAESTRO FINAL'!L$1)</f>
        <v>0</v>
      </c>
      <c r="M26" s="8">
        <f>SUMIFS('HOJAS DE HORA PROY.'!$K$2:$K$943,'HOJAS DE HORA PROY.'!$A$2:$A$943,'PLAN MAESTRO FINAL'!$A26,'HOJAS DE HORA PROY.'!$M$2:$M$943,'PLAN MAESTRO FINAL'!M$1)</f>
        <v>0</v>
      </c>
      <c r="N26" s="8">
        <f>SUMIFS('HOJAS DE HORA PROY.'!$K$2:$K$943,'HOJAS DE HORA PROY.'!$A$2:$A$943,'PLAN MAESTRO FINAL'!$A26,'HOJAS DE HORA PROY.'!$M$2:$M$943,'PLAN MAESTRO FINAL'!N$1)</f>
        <v>0</v>
      </c>
      <c r="O26" s="8">
        <f>SUMIFS('HOJAS DE HORA PROY.'!$K$2:$K$943,'HOJAS DE HORA PROY.'!$A$2:$A$943,'PLAN MAESTRO FINAL'!$A26,'HOJAS DE HORA PROY.'!$M$2:$M$943,'PLAN MAESTRO FINAL'!O$1)</f>
        <v>0</v>
      </c>
      <c r="P26" s="8">
        <f>SUMIFS('HOJAS DE HORA PROY.'!$K$2:$K$943,'HOJAS DE HORA PROY.'!$A$2:$A$943,'PLAN MAESTRO FINAL'!$A26,'HOJAS DE HORA PROY.'!$M$2:$M$943,'PLAN MAESTRO FINAL'!P$1)</f>
        <v>0</v>
      </c>
      <c r="Q26" s="8">
        <f>SUMIFS('HOJAS DE HORA PROY.'!$K$2:$K$943,'HOJAS DE HORA PROY.'!$A$2:$A$943,'PLAN MAESTRO FINAL'!$A26,'HOJAS DE HORA PROY.'!$M$2:$M$943,'PLAN MAESTRO FINAL'!Q$1)</f>
        <v>0</v>
      </c>
      <c r="R26" s="8">
        <f>SUMIFS('HOJAS DE HORA PROY.'!$K$2:$K$943,'HOJAS DE HORA PROY.'!$A$2:$A$943,'PLAN MAESTRO FINAL'!$A26,'HOJAS DE HORA PROY.'!$M$2:$M$943,'PLAN MAESTRO FINAL'!R$1)</f>
        <v>0</v>
      </c>
      <c r="S26" s="8">
        <f>SUMIFS('HOJAS DE HORA PROY.'!$K$2:$K$943,'HOJAS DE HORA PROY.'!$A$2:$A$943,'PLAN MAESTRO FINAL'!$A26,'HOJAS DE HORA PROY.'!$M$2:$M$943,'PLAN MAESTRO FINAL'!S$1)</f>
        <v>0</v>
      </c>
      <c r="T26" s="8">
        <f>SUMIFS('HOJAS DE HORA PROY.'!$K$2:$K$943,'HOJAS DE HORA PROY.'!$A$2:$A$943,'PLAN MAESTRO FINAL'!$A26,'HOJAS DE HORA PROY.'!$M$2:$M$943,'PLAN MAESTRO FINAL'!T$1)</f>
        <v>0</v>
      </c>
      <c r="U26" s="8">
        <f>SUMIFS('HOJAS DE HORA PROY.'!$K$2:$K$943,'HOJAS DE HORA PROY.'!$A$2:$A$943,'PLAN MAESTRO FINAL'!$A26,'HOJAS DE HORA PROY.'!$M$2:$M$943,'PLAN MAESTRO FINAL'!U$1)</f>
        <v>0</v>
      </c>
      <c r="V26" s="8">
        <f>SUMIFS('HOJAS DE HORA PROY.'!$K$2:$K$943,'HOJAS DE HORA PROY.'!$A$2:$A$943,'PLAN MAESTRO FINAL'!$A26,'HOJAS DE HORA PROY.'!$M$2:$M$943,'PLAN MAESTRO FINAL'!V$1)</f>
        <v>0</v>
      </c>
      <c r="W26" s="8">
        <f>SUMIFS('HOJAS DE HORA PROY.'!$K$2:$K$943,'HOJAS DE HORA PROY.'!$A$2:$A$943,'PLAN MAESTRO FINAL'!$A26,'HOJAS DE HORA PROY.'!$M$2:$M$943,'PLAN MAESTRO FINAL'!W$1)</f>
        <v>0</v>
      </c>
    </row>
    <row r="27" spans="1:23" hidden="1" outlineLevel="1" x14ac:dyDescent="0.3">
      <c r="A27" s="13" t="s">
        <v>492</v>
      </c>
      <c r="B27" s="8">
        <f>SUMIFS('HOJAS DE HORA PROY.'!$K$2:$K$943,'HOJAS DE HORA PROY.'!$A$2:$A$943,'PLAN MAESTRO FINAL'!$A27,'HOJAS DE HORA PROY.'!$M$2:$M$943,'PLAN MAESTRO FINAL'!B$1)</f>
        <v>0</v>
      </c>
      <c r="C27" s="8">
        <f>SUMIFS('HOJAS DE HORA PROY.'!$K$2:$K$943,'HOJAS DE HORA PROY.'!$A$2:$A$943,'PLAN MAESTRO FINAL'!$A27,'HOJAS DE HORA PROY.'!$M$2:$M$943,'PLAN MAESTRO FINAL'!C$1)</f>
        <v>0</v>
      </c>
      <c r="D27" s="8">
        <f>SUMIFS('HOJAS DE HORA PROY.'!$K$2:$K$943,'HOJAS DE HORA PROY.'!$A$2:$A$943,'PLAN MAESTRO FINAL'!$A27,'HOJAS DE HORA PROY.'!$M$2:$M$943,'PLAN MAESTRO FINAL'!D$1)</f>
        <v>0</v>
      </c>
      <c r="E27" s="8">
        <f>SUMIFS('HOJAS DE HORA PROY.'!$K$2:$K$943,'HOJAS DE HORA PROY.'!$A$2:$A$943,'PLAN MAESTRO FINAL'!$A27,'HOJAS DE HORA PROY.'!$M$2:$M$943,'PLAN MAESTRO FINAL'!E$1)</f>
        <v>0</v>
      </c>
      <c r="F27" s="8">
        <f>SUMIFS('HOJAS DE HORA PROY.'!$K$2:$K$943,'HOJAS DE HORA PROY.'!$A$2:$A$943,'PLAN MAESTRO FINAL'!$A27,'HOJAS DE HORA PROY.'!$M$2:$M$943,'PLAN MAESTRO FINAL'!F$1)</f>
        <v>0</v>
      </c>
      <c r="G27" s="8">
        <f>SUMIFS('HOJAS DE HORA PROY.'!$K$2:$K$943,'HOJAS DE HORA PROY.'!$A$2:$A$943,'PLAN MAESTRO FINAL'!$A27,'HOJAS DE HORA PROY.'!$M$2:$M$943,'PLAN MAESTRO FINAL'!G$1)</f>
        <v>21.5</v>
      </c>
      <c r="H27" s="8">
        <f>SUMIFS('HOJAS DE HORA PROY.'!$K$2:$K$943,'HOJAS DE HORA PROY.'!$A$2:$A$943,'PLAN MAESTRO FINAL'!$A27,'HOJAS DE HORA PROY.'!$M$2:$M$943,'PLAN MAESTRO FINAL'!H$1)</f>
        <v>0</v>
      </c>
      <c r="I27" s="8">
        <f>SUMIFS('HOJAS DE HORA PROY.'!$K$2:$K$943,'HOJAS DE HORA PROY.'!$A$2:$A$943,'PLAN MAESTRO FINAL'!$A27,'HOJAS DE HORA PROY.'!$M$2:$M$943,'PLAN MAESTRO FINAL'!I$1)</f>
        <v>0</v>
      </c>
      <c r="J27" s="8">
        <f>SUMIFS('HOJAS DE HORA PROY.'!$K$2:$K$943,'HOJAS DE HORA PROY.'!$A$2:$A$943,'PLAN MAESTRO FINAL'!$A27,'HOJAS DE HORA PROY.'!$M$2:$M$943,'PLAN MAESTRO FINAL'!J$1)</f>
        <v>0</v>
      </c>
      <c r="K27" s="8">
        <f>SUMIFS('HOJAS DE HORA PROY.'!$K$2:$K$943,'HOJAS DE HORA PROY.'!$A$2:$A$943,'PLAN MAESTRO FINAL'!$A27,'HOJAS DE HORA PROY.'!$M$2:$M$943,'PLAN MAESTRO FINAL'!K$1)</f>
        <v>0</v>
      </c>
      <c r="L27" s="8">
        <f>SUMIFS('HOJAS DE HORA PROY.'!$K$2:$K$943,'HOJAS DE HORA PROY.'!$A$2:$A$943,'PLAN MAESTRO FINAL'!$A27,'HOJAS DE HORA PROY.'!$M$2:$M$943,'PLAN MAESTRO FINAL'!L$1)</f>
        <v>0</v>
      </c>
      <c r="M27" s="8">
        <f>SUMIFS('HOJAS DE HORA PROY.'!$K$2:$K$943,'HOJAS DE HORA PROY.'!$A$2:$A$943,'PLAN MAESTRO FINAL'!$A27,'HOJAS DE HORA PROY.'!$M$2:$M$943,'PLAN MAESTRO FINAL'!M$1)</f>
        <v>0</v>
      </c>
      <c r="N27" s="8">
        <f>SUMIFS('HOJAS DE HORA PROY.'!$K$2:$K$943,'HOJAS DE HORA PROY.'!$A$2:$A$943,'PLAN MAESTRO FINAL'!$A27,'HOJAS DE HORA PROY.'!$M$2:$M$943,'PLAN MAESTRO FINAL'!N$1)</f>
        <v>0</v>
      </c>
      <c r="O27" s="8">
        <f>SUMIFS('HOJAS DE HORA PROY.'!$K$2:$K$943,'HOJAS DE HORA PROY.'!$A$2:$A$943,'PLAN MAESTRO FINAL'!$A27,'HOJAS DE HORA PROY.'!$M$2:$M$943,'PLAN MAESTRO FINAL'!O$1)</f>
        <v>0</v>
      </c>
      <c r="P27" s="8">
        <f>SUMIFS('HOJAS DE HORA PROY.'!$K$2:$K$943,'HOJAS DE HORA PROY.'!$A$2:$A$943,'PLAN MAESTRO FINAL'!$A27,'HOJAS DE HORA PROY.'!$M$2:$M$943,'PLAN MAESTRO FINAL'!P$1)</f>
        <v>0</v>
      </c>
      <c r="Q27" s="8">
        <f>SUMIFS('HOJAS DE HORA PROY.'!$K$2:$K$943,'HOJAS DE HORA PROY.'!$A$2:$A$943,'PLAN MAESTRO FINAL'!$A27,'HOJAS DE HORA PROY.'!$M$2:$M$943,'PLAN MAESTRO FINAL'!Q$1)</f>
        <v>0</v>
      </c>
      <c r="R27" s="8">
        <f>SUMIFS('HOJAS DE HORA PROY.'!$K$2:$K$943,'HOJAS DE HORA PROY.'!$A$2:$A$943,'PLAN MAESTRO FINAL'!$A27,'HOJAS DE HORA PROY.'!$M$2:$M$943,'PLAN MAESTRO FINAL'!R$1)</f>
        <v>0</v>
      </c>
      <c r="S27" s="8">
        <f>SUMIFS('HOJAS DE HORA PROY.'!$K$2:$K$943,'HOJAS DE HORA PROY.'!$A$2:$A$943,'PLAN MAESTRO FINAL'!$A27,'HOJAS DE HORA PROY.'!$M$2:$M$943,'PLAN MAESTRO FINAL'!S$1)</f>
        <v>0</v>
      </c>
      <c r="T27" s="8">
        <f>SUMIFS('HOJAS DE HORA PROY.'!$K$2:$K$943,'HOJAS DE HORA PROY.'!$A$2:$A$943,'PLAN MAESTRO FINAL'!$A27,'HOJAS DE HORA PROY.'!$M$2:$M$943,'PLAN MAESTRO FINAL'!T$1)</f>
        <v>0</v>
      </c>
      <c r="U27" s="8">
        <f>SUMIFS('HOJAS DE HORA PROY.'!$K$2:$K$943,'HOJAS DE HORA PROY.'!$A$2:$A$943,'PLAN MAESTRO FINAL'!$A27,'HOJAS DE HORA PROY.'!$M$2:$M$943,'PLAN MAESTRO FINAL'!U$1)</f>
        <v>0</v>
      </c>
      <c r="V27" s="8">
        <f>SUMIFS('HOJAS DE HORA PROY.'!$K$2:$K$943,'HOJAS DE HORA PROY.'!$A$2:$A$943,'PLAN MAESTRO FINAL'!$A27,'HOJAS DE HORA PROY.'!$M$2:$M$943,'PLAN MAESTRO FINAL'!V$1)</f>
        <v>0</v>
      </c>
      <c r="W27" s="8">
        <f>SUMIFS('HOJAS DE HORA PROY.'!$K$2:$K$943,'HOJAS DE HORA PROY.'!$A$2:$A$943,'PLAN MAESTRO FINAL'!$A27,'HOJAS DE HORA PROY.'!$M$2:$M$943,'PLAN MAESTRO FINAL'!W$1)</f>
        <v>0</v>
      </c>
    </row>
    <row r="28" spans="1:23" hidden="1" outlineLevel="1" x14ac:dyDescent="0.3">
      <c r="A28" s="13" t="s">
        <v>507</v>
      </c>
      <c r="B28" s="8">
        <f>SUMIFS('HOJAS DE HORA PROY.'!$K$2:$K$943,'HOJAS DE HORA PROY.'!$A$2:$A$943,'PLAN MAESTRO FINAL'!$A28,'HOJAS DE HORA PROY.'!$M$2:$M$943,'PLAN MAESTRO FINAL'!B$1)</f>
        <v>0</v>
      </c>
      <c r="C28" s="8">
        <f>SUMIFS('HOJAS DE HORA PROY.'!$K$2:$K$943,'HOJAS DE HORA PROY.'!$A$2:$A$943,'PLAN MAESTRO FINAL'!$A28,'HOJAS DE HORA PROY.'!$M$2:$M$943,'PLAN MAESTRO FINAL'!C$1)</f>
        <v>0</v>
      </c>
      <c r="D28" s="8">
        <f>SUMIFS('HOJAS DE HORA PROY.'!$K$2:$K$943,'HOJAS DE HORA PROY.'!$A$2:$A$943,'PLAN MAESTRO FINAL'!$A28,'HOJAS DE HORA PROY.'!$M$2:$M$943,'PLAN MAESTRO FINAL'!D$1)</f>
        <v>0</v>
      </c>
      <c r="E28" s="8">
        <f>SUMIFS('HOJAS DE HORA PROY.'!$K$2:$K$943,'HOJAS DE HORA PROY.'!$A$2:$A$943,'PLAN MAESTRO FINAL'!$A28,'HOJAS DE HORA PROY.'!$M$2:$M$943,'PLAN MAESTRO FINAL'!E$1)</f>
        <v>0</v>
      </c>
      <c r="F28" s="8">
        <f>SUMIFS('HOJAS DE HORA PROY.'!$K$2:$K$943,'HOJAS DE HORA PROY.'!$A$2:$A$943,'PLAN MAESTRO FINAL'!$A28,'HOJAS DE HORA PROY.'!$M$2:$M$943,'PLAN MAESTRO FINAL'!F$1)</f>
        <v>0</v>
      </c>
      <c r="G28" s="8">
        <f>SUMIFS('HOJAS DE HORA PROY.'!$K$2:$K$943,'HOJAS DE HORA PROY.'!$A$2:$A$943,'PLAN MAESTRO FINAL'!$A28,'HOJAS DE HORA PROY.'!$M$2:$M$943,'PLAN MAESTRO FINAL'!G$1)</f>
        <v>0</v>
      </c>
      <c r="H28" s="8">
        <f>SUMIFS('HOJAS DE HORA PROY.'!$K$2:$K$943,'HOJAS DE HORA PROY.'!$A$2:$A$943,'PLAN MAESTRO FINAL'!$A28,'HOJAS DE HORA PROY.'!$M$2:$M$943,'PLAN MAESTRO FINAL'!H$1)</f>
        <v>0</v>
      </c>
      <c r="I28" s="8">
        <f>SUMIFS('HOJAS DE HORA PROY.'!$K$2:$K$943,'HOJAS DE HORA PROY.'!$A$2:$A$943,'PLAN MAESTRO FINAL'!$A28,'HOJAS DE HORA PROY.'!$M$2:$M$943,'PLAN MAESTRO FINAL'!I$1)</f>
        <v>0</v>
      </c>
      <c r="J28" s="8">
        <f>SUMIFS('HOJAS DE HORA PROY.'!$K$2:$K$943,'HOJAS DE HORA PROY.'!$A$2:$A$943,'PLAN MAESTRO FINAL'!$A28,'HOJAS DE HORA PROY.'!$M$2:$M$943,'PLAN MAESTRO FINAL'!J$1)</f>
        <v>0</v>
      </c>
      <c r="K28" s="8">
        <f>SUMIFS('HOJAS DE HORA PROY.'!$K$2:$K$943,'HOJAS DE HORA PROY.'!$A$2:$A$943,'PLAN MAESTRO FINAL'!$A28,'HOJAS DE HORA PROY.'!$M$2:$M$943,'PLAN MAESTRO FINAL'!K$1)</f>
        <v>0</v>
      </c>
      <c r="L28" s="8">
        <f>SUMIFS('HOJAS DE HORA PROY.'!$K$2:$K$943,'HOJAS DE HORA PROY.'!$A$2:$A$943,'PLAN MAESTRO FINAL'!$A28,'HOJAS DE HORA PROY.'!$M$2:$M$943,'PLAN MAESTRO FINAL'!L$1)</f>
        <v>0</v>
      </c>
      <c r="M28" s="8">
        <f>SUMIFS('HOJAS DE HORA PROY.'!$K$2:$K$943,'HOJAS DE HORA PROY.'!$A$2:$A$943,'PLAN MAESTRO FINAL'!$A28,'HOJAS DE HORA PROY.'!$M$2:$M$943,'PLAN MAESTRO FINAL'!M$1)</f>
        <v>0</v>
      </c>
      <c r="N28" s="8">
        <f>SUMIFS('HOJAS DE HORA PROY.'!$K$2:$K$943,'HOJAS DE HORA PROY.'!$A$2:$A$943,'PLAN MAESTRO FINAL'!$A28,'HOJAS DE HORA PROY.'!$M$2:$M$943,'PLAN MAESTRO FINAL'!N$1)</f>
        <v>0</v>
      </c>
      <c r="O28" s="8">
        <f>SUMIFS('HOJAS DE HORA PROY.'!$K$2:$K$943,'HOJAS DE HORA PROY.'!$A$2:$A$943,'PLAN MAESTRO FINAL'!$A28,'HOJAS DE HORA PROY.'!$M$2:$M$943,'PLAN MAESTRO FINAL'!O$1)</f>
        <v>0</v>
      </c>
      <c r="P28" s="8">
        <f>SUMIFS('HOJAS DE HORA PROY.'!$K$2:$K$943,'HOJAS DE HORA PROY.'!$A$2:$A$943,'PLAN MAESTRO FINAL'!$A28,'HOJAS DE HORA PROY.'!$M$2:$M$943,'PLAN MAESTRO FINAL'!P$1)</f>
        <v>0</v>
      </c>
      <c r="Q28" s="8">
        <f>SUMIFS('HOJAS DE HORA PROY.'!$K$2:$K$943,'HOJAS DE HORA PROY.'!$A$2:$A$943,'PLAN MAESTRO FINAL'!$A28,'HOJAS DE HORA PROY.'!$M$2:$M$943,'PLAN MAESTRO FINAL'!Q$1)</f>
        <v>0</v>
      </c>
      <c r="R28" s="8">
        <f>SUMIFS('HOJAS DE HORA PROY.'!$K$2:$K$943,'HOJAS DE HORA PROY.'!$A$2:$A$943,'PLAN MAESTRO FINAL'!$A28,'HOJAS DE HORA PROY.'!$M$2:$M$943,'PLAN MAESTRO FINAL'!R$1)</f>
        <v>0</v>
      </c>
      <c r="S28" s="8">
        <f>SUMIFS('HOJAS DE HORA PROY.'!$K$2:$K$943,'HOJAS DE HORA PROY.'!$A$2:$A$943,'PLAN MAESTRO FINAL'!$A28,'HOJAS DE HORA PROY.'!$M$2:$M$943,'PLAN MAESTRO FINAL'!S$1)</f>
        <v>0</v>
      </c>
      <c r="T28" s="8">
        <f>SUMIFS('HOJAS DE HORA PROY.'!$K$2:$K$943,'HOJAS DE HORA PROY.'!$A$2:$A$943,'PLAN MAESTRO FINAL'!$A28,'HOJAS DE HORA PROY.'!$M$2:$M$943,'PLAN MAESTRO FINAL'!T$1)</f>
        <v>0</v>
      </c>
      <c r="U28" s="8">
        <f>SUMIFS('HOJAS DE HORA PROY.'!$K$2:$K$943,'HOJAS DE HORA PROY.'!$A$2:$A$943,'PLAN MAESTRO FINAL'!$A28,'HOJAS DE HORA PROY.'!$M$2:$M$943,'PLAN MAESTRO FINAL'!U$1)</f>
        <v>0</v>
      </c>
      <c r="V28" s="8">
        <f>SUMIFS('HOJAS DE HORA PROY.'!$K$2:$K$943,'HOJAS DE HORA PROY.'!$A$2:$A$943,'PLAN MAESTRO FINAL'!$A28,'HOJAS DE HORA PROY.'!$M$2:$M$943,'PLAN MAESTRO FINAL'!V$1)</f>
        <v>0</v>
      </c>
      <c r="W28" s="8">
        <f>SUMIFS('HOJAS DE HORA PROY.'!$K$2:$K$943,'HOJAS DE HORA PROY.'!$A$2:$A$943,'PLAN MAESTRO FINAL'!$A28,'HOJAS DE HORA PROY.'!$M$2:$M$943,'PLAN MAESTRO FINAL'!W$1)</f>
        <v>0</v>
      </c>
    </row>
    <row r="29" spans="1:23" hidden="1" outlineLevel="1" x14ac:dyDescent="0.3">
      <c r="A29" s="13" t="s">
        <v>517</v>
      </c>
      <c r="B29" s="8">
        <f>SUMIFS('HOJAS DE HORA PROY.'!$K$2:$K$943,'HOJAS DE HORA PROY.'!$A$2:$A$943,'PLAN MAESTRO FINAL'!$A29,'HOJAS DE HORA PROY.'!$M$2:$M$943,'PLAN MAESTRO FINAL'!B$1)</f>
        <v>0</v>
      </c>
      <c r="C29" s="8">
        <f>SUMIFS('HOJAS DE HORA PROY.'!$K$2:$K$943,'HOJAS DE HORA PROY.'!$A$2:$A$943,'PLAN MAESTRO FINAL'!$A29,'HOJAS DE HORA PROY.'!$M$2:$M$943,'PLAN MAESTRO FINAL'!C$1)</f>
        <v>0</v>
      </c>
      <c r="D29" s="8">
        <f>SUMIFS('HOJAS DE HORA PROY.'!$K$2:$K$943,'HOJAS DE HORA PROY.'!$A$2:$A$943,'PLAN MAESTRO FINAL'!$A29,'HOJAS DE HORA PROY.'!$M$2:$M$943,'PLAN MAESTRO FINAL'!D$1)</f>
        <v>0</v>
      </c>
      <c r="E29" s="8">
        <f>SUMIFS('HOJAS DE HORA PROY.'!$K$2:$K$943,'HOJAS DE HORA PROY.'!$A$2:$A$943,'PLAN MAESTRO FINAL'!$A29,'HOJAS DE HORA PROY.'!$M$2:$M$943,'PLAN MAESTRO FINAL'!E$1)</f>
        <v>0</v>
      </c>
      <c r="F29" s="8">
        <f>SUMIFS('HOJAS DE HORA PROY.'!$K$2:$K$943,'HOJAS DE HORA PROY.'!$A$2:$A$943,'PLAN MAESTRO FINAL'!$A29,'HOJAS DE HORA PROY.'!$M$2:$M$943,'PLAN MAESTRO FINAL'!F$1)</f>
        <v>0</v>
      </c>
      <c r="G29" s="8">
        <f>SUMIFS('HOJAS DE HORA PROY.'!$K$2:$K$943,'HOJAS DE HORA PROY.'!$A$2:$A$943,'PLAN MAESTRO FINAL'!$A29,'HOJAS DE HORA PROY.'!$M$2:$M$943,'PLAN MAESTRO FINAL'!G$1)</f>
        <v>0</v>
      </c>
      <c r="H29" s="8">
        <f>SUMIFS('HOJAS DE HORA PROY.'!$K$2:$K$943,'HOJAS DE HORA PROY.'!$A$2:$A$943,'PLAN MAESTRO FINAL'!$A29,'HOJAS DE HORA PROY.'!$M$2:$M$943,'PLAN MAESTRO FINAL'!H$1)</f>
        <v>0</v>
      </c>
      <c r="I29" s="8">
        <f>SUMIFS('HOJAS DE HORA PROY.'!$K$2:$K$943,'HOJAS DE HORA PROY.'!$A$2:$A$943,'PLAN MAESTRO FINAL'!$A29,'HOJAS DE HORA PROY.'!$M$2:$M$943,'PLAN MAESTRO FINAL'!I$1)</f>
        <v>0</v>
      </c>
      <c r="J29" s="8">
        <f>SUMIFS('HOJAS DE HORA PROY.'!$K$2:$K$943,'HOJAS DE HORA PROY.'!$A$2:$A$943,'PLAN MAESTRO FINAL'!$A29,'HOJAS DE HORA PROY.'!$M$2:$M$943,'PLAN MAESTRO FINAL'!J$1)</f>
        <v>0</v>
      </c>
      <c r="K29" s="8">
        <f>SUMIFS('HOJAS DE HORA PROY.'!$K$2:$K$943,'HOJAS DE HORA PROY.'!$A$2:$A$943,'PLAN MAESTRO FINAL'!$A29,'HOJAS DE HORA PROY.'!$M$2:$M$943,'PLAN MAESTRO FINAL'!K$1)</f>
        <v>0</v>
      </c>
      <c r="L29" s="8">
        <f>SUMIFS('HOJAS DE HORA PROY.'!$K$2:$K$943,'HOJAS DE HORA PROY.'!$A$2:$A$943,'PLAN MAESTRO FINAL'!$A29,'HOJAS DE HORA PROY.'!$M$2:$M$943,'PLAN MAESTRO FINAL'!L$1)</f>
        <v>0</v>
      </c>
      <c r="M29" s="8">
        <f>SUMIFS('HOJAS DE HORA PROY.'!$K$2:$K$943,'HOJAS DE HORA PROY.'!$A$2:$A$943,'PLAN MAESTRO FINAL'!$A29,'HOJAS DE HORA PROY.'!$M$2:$M$943,'PLAN MAESTRO FINAL'!M$1)</f>
        <v>0</v>
      </c>
      <c r="N29" s="8">
        <f>SUMIFS('HOJAS DE HORA PROY.'!$K$2:$K$943,'HOJAS DE HORA PROY.'!$A$2:$A$943,'PLAN MAESTRO FINAL'!$A29,'HOJAS DE HORA PROY.'!$M$2:$M$943,'PLAN MAESTRO FINAL'!N$1)</f>
        <v>0</v>
      </c>
      <c r="O29" s="8">
        <f>SUMIFS('HOJAS DE HORA PROY.'!$K$2:$K$943,'HOJAS DE HORA PROY.'!$A$2:$A$943,'PLAN MAESTRO FINAL'!$A29,'HOJAS DE HORA PROY.'!$M$2:$M$943,'PLAN MAESTRO FINAL'!O$1)</f>
        <v>0</v>
      </c>
      <c r="P29" s="8">
        <f>SUMIFS('HOJAS DE HORA PROY.'!$K$2:$K$943,'HOJAS DE HORA PROY.'!$A$2:$A$943,'PLAN MAESTRO FINAL'!$A29,'HOJAS DE HORA PROY.'!$M$2:$M$943,'PLAN MAESTRO FINAL'!P$1)</f>
        <v>0</v>
      </c>
      <c r="Q29" s="8">
        <f>SUMIFS('HOJAS DE HORA PROY.'!$K$2:$K$943,'HOJAS DE HORA PROY.'!$A$2:$A$943,'PLAN MAESTRO FINAL'!$A29,'HOJAS DE HORA PROY.'!$M$2:$M$943,'PLAN MAESTRO FINAL'!Q$1)</f>
        <v>0</v>
      </c>
      <c r="R29" s="8">
        <f>SUMIFS('HOJAS DE HORA PROY.'!$K$2:$K$943,'HOJAS DE HORA PROY.'!$A$2:$A$943,'PLAN MAESTRO FINAL'!$A29,'HOJAS DE HORA PROY.'!$M$2:$M$943,'PLAN MAESTRO FINAL'!R$1)</f>
        <v>0</v>
      </c>
      <c r="S29" s="8">
        <f>SUMIFS('HOJAS DE HORA PROY.'!$K$2:$K$943,'HOJAS DE HORA PROY.'!$A$2:$A$943,'PLAN MAESTRO FINAL'!$A29,'HOJAS DE HORA PROY.'!$M$2:$M$943,'PLAN MAESTRO FINAL'!S$1)</f>
        <v>0</v>
      </c>
      <c r="T29" s="8">
        <f>SUMIFS('HOJAS DE HORA PROY.'!$K$2:$K$943,'HOJAS DE HORA PROY.'!$A$2:$A$943,'PLAN MAESTRO FINAL'!$A29,'HOJAS DE HORA PROY.'!$M$2:$M$943,'PLAN MAESTRO FINAL'!T$1)</f>
        <v>0</v>
      </c>
      <c r="U29" s="8">
        <f>SUMIFS('HOJAS DE HORA PROY.'!$K$2:$K$943,'HOJAS DE HORA PROY.'!$A$2:$A$943,'PLAN MAESTRO FINAL'!$A29,'HOJAS DE HORA PROY.'!$M$2:$M$943,'PLAN MAESTRO FINAL'!U$1)</f>
        <v>0</v>
      </c>
      <c r="V29" s="8">
        <f>SUMIFS('HOJAS DE HORA PROY.'!$K$2:$K$943,'HOJAS DE HORA PROY.'!$A$2:$A$943,'PLAN MAESTRO FINAL'!$A29,'HOJAS DE HORA PROY.'!$M$2:$M$943,'PLAN MAESTRO FINAL'!V$1)</f>
        <v>0</v>
      </c>
      <c r="W29" s="8">
        <f>SUMIFS('HOJAS DE HORA PROY.'!$K$2:$K$943,'HOJAS DE HORA PROY.'!$A$2:$A$943,'PLAN MAESTRO FINAL'!$A29,'HOJAS DE HORA PROY.'!$M$2:$M$943,'PLAN MAESTRO FINAL'!W$1)</f>
        <v>0</v>
      </c>
    </row>
    <row r="30" spans="1:23" hidden="1" outlineLevel="1" x14ac:dyDescent="0.3">
      <c r="A30" s="13" t="s">
        <v>520</v>
      </c>
      <c r="B30" s="8">
        <f>SUMIFS('HOJAS DE HORA PROY.'!$K$2:$K$943,'HOJAS DE HORA PROY.'!$A$2:$A$943,'PLAN MAESTRO FINAL'!$A30,'HOJAS DE HORA PROY.'!$M$2:$M$943,'PLAN MAESTRO FINAL'!B$1)</f>
        <v>0</v>
      </c>
      <c r="C30" s="8">
        <f>SUMIFS('HOJAS DE HORA PROY.'!$K$2:$K$943,'HOJAS DE HORA PROY.'!$A$2:$A$943,'PLAN MAESTRO FINAL'!$A30,'HOJAS DE HORA PROY.'!$M$2:$M$943,'PLAN MAESTRO FINAL'!C$1)</f>
        <v>0</v>
      </c>
      <c r="D30" s="8">
        <f>SUMIFS('HOJAS DE HORA PROY.'!$K$2:$K$943,'HOJAS DE HORA PROY.'!$A$2:$A$943,'PLAN MAESTRO FINAL'!$A30,'HOJAS DE HORA PROY.'!$M$2:$M$943,'PLAN MAESTRO FINAL'!D$1)</f>
        <v>0</v>
      </c>
      <c r="E30" s="8">
        <f>SUMIFS('HOJAS DE HORA PROY.'!$K$2:$K$943,'HOJAS DE HORA PROY.'!$A$2:$A$943,'PLAN MAESTRO FINAL'!$A30,'HOJAS DE HORA PROY.'!$M$2:$M$943,'PLAN MAESTRO FINAL'!E$1)</f>
        <v>0</v>
      </c>
      <c r="F30" s="8">
        <f>SUMIFS('HOJAS DE HORA PROY.'!$K$2:$K$943,'HOJAS DE HORA PROY.'!$A$2:$A$943,'PLAN MAESTRO FINAL'!$A30,'HOJAS DE HORA PROY.'!$M$2:$M$943,'PLAN MAESTRO FINAL'!F$1)</f>
        <v>17</v>
      </c>
      <c r="G30" s="8">
        <f>SUMIFS('HOJAS DE HORA PROY.'!$K$2:$K$943,'HOJAS DE HORA PROY.'!$A$2:$A$943,'PLAN MAESTRO FINAL'!$A30,'HOJAS DE HORA PROY.'!$M$2:$M$943,'PLAN MAESTRO FINAL'!G$1)</f>
        <v>0</v>
      </c>
      <c r="H30" s="8">
        <f>SUMIFS('HOJAS DE HORA PROY.'!$K$2:$K$943,'HOJAS DE HORA PROY.'!$A$2:$A$943,'PLAN MAESTRO FINAL'!$A30,'HOJAS DE HORA PROY.'!$M$2:$M$943,'PLAN MAESTRO FINAL'!H$1)</f>
        <v>0</v>
      </c>
      <c r="I30" s="8">
        <f>SUMIFS('HOJAS DE HORA PROY.'!$K$2:$K$943,'HOJAS DE HORA PROY.'!$A$2:$A$943,'PLAN MAESTRO FINAL'!$A30,'HOJAS DE HORA PROY.'!$M$2:$M$943,'PLAN MAESTRO FINAL'!I$1)</f>
        <v>0</v>
      </c>
      <c r="J30" s="8">
        <f>SUMIFS('HOJAS DE HORA PROY.'!$K$2:$K$943,'HOJAS DE HORA PROY.'!$A$2:$A$943,'PLAN MAESTRO FINAL'!$A30,'HOJAS DE HORA PROY.'!$M$2:$M$943,'PLAN MAESTRO FINAL'!J$1)</f>
        <v>0</v>
      </c>
      <c r="K30" s="8">
        <f>SUMIFS('HOJAS DE HORA PROY.'!$K$2:$K$943,'HOJAS DE HORA PROY.'!$A$2:$A$943,'PLAN MAESTRO FINAL'!$A30,'HOJAS DE HORA PROY.'!$M$2:$M$943,'PLAN MAESTRO FINAL'!K$1)</f>
        <v>0</v>
      </c>
      <c r="L30" s="8">
        <f>SUMIFS('HOJAS DE HORA PROY.'!$K$2:$K$943,'HOJAS DE HORA PROY.'!$A$2:$A$943,'PLAN MAESTRO FINAL'!$A30,'HOJAS DE HORA PROY.'!$M$2:$M$943,'PLAN MAESTRO FINAL'!L$1)</f>
        <v>0</v>
      </c>
      <c r="M30" s="8">
        <f>SUMIFS('HOJAS DE HORA PROY.'!$K$2:$K$943,'HOJAS DE HORA PROY.'!$A$2:$A$943,'PLAN MAESTRO FINAL'!$A30,'HOJAS DE HORA PROY.'!$M$2:$M$943,'PLAN MAESTRO FINAL'!M$1)</f>
        <v>0</v>
      </c>
      <c r="N30" s="8">
        <f>SUMIFS('HOJAS DE HORA PROY.'!$K$2:$K$943,'HOJAS DE HORA PROY.'!$A$2:$A$943,'PLAN MAESTRO FINAL'!$A30,'HOJAS DE HORA PROY.'!$M$2:$M$943,'PLAN MAESTRO FINAL'!N$1)</f>
        <v>0</v>
      </c>
      <c r="O30" s="8">
        <f>SUMIFS('HOJAS DE HORA PROY.'!$K$2:$K$943,'HOJAS DE HORA PROY.'!$A$2:$A$943,'PLAN MAESTRO FINAL'!$A30,'HOJAS DE HORA PROY.'!$M$2:$M$943,'PLAN MAESTRO FINAL'!O$1)</f>
        <v>0</v>
      </c>
      <c r="P30" s="8">
        <f>SUMIFS('HOJAS DE HORA PROY.'!$K$2:$K$943,'HOJAS DE HORA PROY.'!$A$2:$A$943,'PLAN MAESTRO FINAL'!$A30,'HOJAS DE HORA PROY.'!$M$2:$M$943,'PLAN MAESTRO FINAL'!P$1)</f>
        <v>0</v>
      </c>
      <c r="Q30" s="8">
        <f>SUMIFS('HOJAS DE HORA PROY.'!$K$2:$K$943,'HOJAS DE HORA PROY.'!$A$2:$A$943,'PLAN MAESTRO FINAL'!$A30,'HOJAS DE HORA PROY.'!$M$2:$M$943,'PLAN MAESTRO FINAL'!Q$1)</f>
        <v>0</v>
      </c>
      <c r="R30" s="8">
        <f>SUMIFS('HOJAS DE HORA PROY.'!$K$2:$K$943,'HOJAS DE HORA PROY.'!$A$2:$A$943,'PLAN MAESTRO FINAL'!$A30,'HOJAS DE HORA PROY.'!$M$2:$M$943,'PLAN MAESTRO FINAL'!R$1)</f>
        <v>0</v>
      </c>
      <c r="S30" s="8">
        <f>SUMIFS('HOJAS DE HORA PROY.'!$K$2:$K$943,'HOJAS DE HORA PROY.'!$A$2:$A$943,'PLAN MAESTRO FINAL'!$A30,'HOJAS DE HORA PROY.'!$M$2:$M$943,'PLAN MAESTRO FINAL'!S$1)</f>
        <v>0</v>
      </c>
      <c r="T30" s="8">
        <f>SUMIFS('HOJAS DE HORA PROY.'!$K$2:$K$943,'HOJAS DE HORA PROY.'!$A$2:$A$943,'PLAN MAESTRO FINAL'!$A30,'HOJAS DE HORA PROY.'!$M$2:$M$943,'PLAN MAESTRO FINAL'!T$1)</f>
        <v>0</v>
      </c>
      <c r="U30" s="8">
        <f>SUMIFS('HOJAS DE HORA PROY.'!$K$2:$K$943,'HOJAS DE HORA PROY.'!$A$2:$A$943,'PLAN MAESTRO FINAL'!$A30,'HOJAS DE HORA PROY.'!$M$2:$M$943,'PLAN MAESTRO FINAL'!U$1)</f>
        <v>0</v>
      </c>
      <c r="V30" s="8">
        <f>SUMIFS('HOJAS DE HORA PROY.'!$K$2:$K$943,'HOJAS DE HORA PROY.'!$A$2:$A$943,'PLAN MAESTRO FINAL'!$A30,'HOJAS DE HORA PROY.'!$M$2:$M$943,'PLAN MAESTRO FINAL'!V$1)</f>
        <v>0</v>
      </c>
      <c r="W30" s="8">
        <f>SUMIFS('HOJAS DE HORA PROY.'!$K$2:$K$943,'HOJAS DE HORA PROY.'!$A$2:$A$943,'PLAN MAESTRO FINAL'!$A30,'HOJAS DE HORA PROY.'!$M$2:$M$943,'PLAN MAESTRO FINAL'!W$1)</f>
        <v>0</v>
      </c>
    </row>
    <row r="31" spans="1:23" hidden="1" outlineLevel="1" x14ac:dyDescent="0.3">
      <c r="A31" s="13" t="s">
        <v>525</v>
      </c>
      <c r="B31" s="8">
        <f>SUMIFS('HOJAS DE HORA PROY.'!$K$2:$K$943,'HOJAS DE HORA PROY.'!$A$2:$A$943,'PLAN MAESTRO FINAL'!$A31,'HOJAS DE HORA PROY.'!$M$2:$M$943,'PLAN MAESTRO FINAL'!B$1)</f>
        <v>0</v>
      </c>
      <c r="C31" s="8">
        <f>SUMIFS('HOJAS DE HORA PROY.'!$K$2:$K$943,'HOJAS DE HORA PROY.'!$A$2:$A$943,'PLAN MAESTRO FINAL'!$A31,'HOJAS DE HORA PROY.'!$M$2:$M$943,'PLAN MAESTRO FINAL'!C$1)</f>
        <v>0</v>
      </c>
      <c r="D31" s="8">
        <f>SUMIFS('HOJAS DE HORA PROY.'!$K$2:$K$943,'HOJAS DE HORA PROY.'!$A$2:$A$943,'PLAN MAESTRO FINAL'!$A31,'HOJAS DE HORA PROY.'!$M$2:$M$943,'PLAN MAESTRO FINAL'!D$1)</f>
        <v>0</v>
      </c>
      <c r="E31" s="8">
        <f>SUMIFS('HOJAS DE HORA PROY.'!$K$2:$K$943,'HOJAS DE HORA PROY.'!$A$2:$A$943,'PLAN MAESTRO FINAL'!$A31,'HOJAS DE HORA PROY.'!$M$2:$M$943,'PLAN MAESTRO FINAL'!E$1)</f>
        <v>0</v>
      </c>
      <c r="F31" s="8">
        <f>SUMIFS('HOJAS DE HORA PROY.'!$K$2:$K$943,'HOJAS DE HORA PROY.'!$A$2:$A$943,'PLAN MAESTRO FINAL'!$A31,'HOJAS DE HORA PROY.'!$M$2:$M$943,'PLAN MAESTRO FINAL'!F$1)</f>
        <v>0</v>
      </c>
      <c r="G31" s="8">
        <f>SUMIFS('HOJAS DE HORA PROY.'!$K$2:$K$943,'HOJAS DE HORA PROY.'!$A$2:$A$943,'PLAN MAESTRO FINAL'!$A31,'HOJAS DE HORA PROY.'!$M$2:$M$943,'PLAN MAESTRO FINAL'!G$1)</f>
        <v>10</v>
      </c>
      <c r="H31" s="8">
        <f>SUMIFS('HOJAS DE HORA PROY.'!$K$2:$K$943,'HOJAS DE HORA PROY.'!$A$2:$A$943,'PLAN MAESTRO FINAL'!$A31,'HOJAS DE HORA PROY.'!$M$2:$M$943,'PLAN MAESTRO FINAL'!H$1)</f>
        <v>0</v>
      </c>
      <c r="I31" s="8">
        <f>SUMIFS('HOJAS DE HORA PROY.'!$K$2:$K$943,'HOJAS DE HORA PROY.'!$A$2:$A$943,'PLAN MAESTRO FINAL'!$A31,'HOJAS DE HORA PROY.'!$M$2:$M$943,'PLAN MAESTRO FINAL'!I$1)</f>
        <v>0</v>
      </c>
      <c r="J31" s="8">
        <f>SUMIFS('HOJAS DE HORA PROY.'!$K$2:$K$943,'HOJAS DE HORA PROY.'!$A$2:$A$943,'PLAN MAESTRO FINAL'!$A31,'HOJAS DE HORA PROY.'!$M$2:$M$943,'PLAN MAESTRO FINAL'!J$1)</f>
        <v>0</v>
      </c>
      <c r="K31" s="8">
        <f>SUMIFS('HOJAS DE HORA PROY.'!$K$2:$K$943,'HOJAS DE HORA PROY.'!$A$2:$A$943,'PLAN MAESTRO FINAL'!$A31,'HOJAS DE HORA PROY.'!$M$2:$M$943,'PLAN MAESTRO FINAL'!K$1)</f>
        <v>0</v>
      </c>
      <c r="L31" s="8">
        <f>SUMIFS('HOJAS DE HORA PROY.'!$K$2:$K$943,'HOJAS DE HORA PROY.'!$A$2:$A$943,'PLAN MAESTRO FINAL'!$A31,'HOJAS DE HORA PROY.'!$M$2:$M$943,'PLAN MAESTRO FINAL'!L$1)</f>
        <v>0</v>
      </c>
      <c r="M31" s="8">
        <f>SUMIFS('HOJAS DE HORA PROY.'!$K$2:$K$943,'HOJAS DE HORA PROY.'!$A$2:$A$943,'PLAN MAESTRO FINAL'!$A31,'HOJAS DE HORA PROY.'!$M$2:$M$943,'PLAN MAESTRO FINAL'!M$1)</f>
        <v>0</v>
      </c>
      <c r="N31" s="8">
        <f>SUMIFS('HOJAS DE HORA PROY.'!$K$2:$K$943,'HOJAS DE HORA PROY.'!$A$2:$A$943,'PLAN MAESTRO FINAL'!$A31,'HOJAS DE HORA PROY.'!$M$2:$M$943,'PLAN MAESTRO FINAL'!N$1)</f>
        <v>0</v>
      </c>
      <c r="O31" s="8">
        <f>SUMIFS('HOJAS DE HORA PROY.'!$K$2:$K$943,'HOJAS DE HORA PROY.'!$A$2:$A$943,'PLAN MAESTRO FINAL'!$A31,'HOJAS DE HORA PROY.'!$M$2:$M$943,'PLAN MAESTRO FINAL'!O$1)</f>
        <v>0</v>
      </c>
      <c r="P31" s="8">
        <f>SUMIFS('HOJAS DE HORA PROY.'!$K$2:$K$943,'HOJAS DE HORA PROY.'!$A$2:$A$943,'PLAN MAESTRO FINAL'!$A31,'HOJAS DE HORA PROY.'!$M$2:$M$943,'PLAN MAESTRO FINAL'!P$1)</f>
        <v>0</v>
      </c>
      <c r="Q31" s="8">
        <f>SUMIFS('HOJAS DE HORA PROY.'!$K$2:$K$943,'HOJAS DE HORA PROY.'!$A$2:$A$943,'PLAN MAESTRO FINAL'!$A31,'HOJAS DE HORA PROY.'!$M$2:$M$943,'PLAN MAESTRO FINAL'!Q$1)</f>
        <v>0</v>
      </c>
      <c r="R31" s="8">
        <f>SUMIFS('HOJAS DE HORA PROY.'!$K$2:$K$943,'HOJAS DE HORA PROY.'!$A$2:$A$943,'PLAN MAESTRO FINAL'!$A31,'HOJAS DE HORA PROY.'!$M$2:$M$943,'PLAN MAESTRO FINAL'!R$1)</f>
        <v>0</v>
      </c>
      <c r="S31" s="8">
        <f>SUMIFS('HOJAS DE HORA PROY.'!$K$2:$K$943,'HOJAS DE HORA PROY.'!$A$2:$A$943,'PLAN MAESTRO FINAL'!$A31,'HOJAS DE HORA PROY.'!$M$2:$M$943,'PLAN MAESTRO FINAL'!S$1)</f>
        <v>0</v>
      </c>
      <c r="T31" s="8">
        <f>SUMIFS('HOJAS DE HORA PROY.'!$K$2:$K$943,'HOJAS DE HORA PROY.'!$A$2:$A$943,'PLAN MAESTRO FINAL'!$A31,'HOJAS DE HORA PROY.'!$M$2:$M$943,'PLAN MAESTRO FINAL'!T$1)</f>
        <v>0</v>
      </c>
      <c r="U31" s="8">
        <f>SUMIFS('HOJAS DE HORA PROY.'!$K$2:$K$943,'HOJAS DE HORA PROY.'!$A$2:$A$943,'PLAN MAESTRO FINAL'!$A31,'HOJAS DE HORA PROY.'!$M$2:$M$943,'PLAN MAESTRO FINAL'!U$1)</f>
        <v>0</v>
      </c>
      <c r="V31" s="8">
        <f>SUMIFS('HOJAS DE HORA PROY.'!$K$2:$K$943,'HOJAS DE HORA PROY.'!$A$2:$A$943,'PLAN MAESTRO FINAL'!$A31,'HOJAS DE HORA PROY.'!$M$2:$M$943,'PLAN MAESTRO FINAL'!V$1)</f>
        <v>0</v>
      </c>
      <c r="W31" s="8">
        <f>SUMIFS('HOJAS DE HORA PROY.'!$K$2:$K$943,'HOJAS DE HORA PROY.'!$A$2:$A$943,'PLAN MAESTRO FINAL'!$A31,'HOJAS DE HORA PROY.'!$M$2:$M$943,'PLAN MAESTRO FINAL'!W$1)</f>
        <v>0</v>
      </c>
    </row>
    <row r="32" spans="1:23" hidden="1" outlineLevel="1" x14ac:dyDescent="0.3">
      <c r="A32" s="13" t="s">
        <v>547</v>
      </c>
      <c r="B32" s="8">
        <f>SUMIFS('HOJAS DE HORA PROY.'!$K$2:$K$943,'HOJAS DE HORA PROY.'!$A$2:$A$943,'PLAN MAESTRO FINAL'!$A32,'HOJAS DE HORA PROY.'!$M$2:$M$943,'PLAN MAESTRO FINAL'!B$1)</f>
        <v>0</v>
      </c>
      <c r="C32" s="8">
        <f>SUMIFS('HOJAS DE HORA PROY.'!$K$2:$K$943,'HOJAS DE HORA PROY.'!$A$2:$A$943,'PLAN MAESTRO FINAL'!$A32,'HOJAS DE HORA PROY.'!$M$2:$M$943,'PLAN MAESTRO FINAL'!C$1)</f>
        <v>0</v>
      </c>
      <c r="D32" s="8">
        <f>SUMIFS('HOJAS DE HORA PROY.'!$K$2:$K$943,'HOJAS DE HORA PROY.'!$A$2:$A$943,'PLAN MAESTRO FINAL'!$A32,'HOJAS DE HORA PROY.'!$M$2:$M$943,'PLAN MAESTRO FINAL'!D$1)</f>
        <v>0</v>
      </c>
      <c r="E32" s="8">
        <f>SUMIFS('HOJAS DE HORA PROY.'!$K$2:$K$943,'HOJAS DE HORA PROY.'!$A$2:$A$943,'PLAN MAESTRO FINAL'!$A32,'HOJAS DE HORA PROY.'!$M$2:$M$943,'PLAN MAESTRO FINAL'!E$1)</f>
        <v>0</v>
      </c>
      <c r="F32" s="8">
        <f>SUMIFS('HOJAS DE HORA PROY.'!$K$2:$K$943,'HOJAS DE HORA PROY.'!$A$2:$A$943,'PLAN MAESTRO FINAL'!$A32,'HOJAS DE HORA PROY.'!$M$2:$M$943,'PLAN MAESTRO FINAL'!F$1)</f>
        <v>0</v>
      </c>
      <c r="G32" s="8">
        <f>SUMIFS('HOJAS DE HORA PROY.'!$K$2:$K$943,'HOJAS DE HORA PROY.'!$A$2:$A$943,'PLAN MAESTRO FINAL'!$A32,'HOJAS DE HORA PROY.'!$M$2:$M$943,'PLAN MAESTRO FINAL'!G$1)</f>
        <v>144.5</v>
      </c>
      <c r="H32" s="8">
        <f>SUMIFS('HOJAS DE HORA PROY.'!$K$2:$K$943,'HOJAS DE HORA PROY.'!$A$2:$A$943,'PLAN MAESTRO FINAL'!$A32,'HOJAS DE HORA PROY.'!$M$2:$M$943,'PLAN MAESTRO FINAL'!H$1)</f>
        <v>0</v>
      </c>
      <c r="I32" s="8">
        <f>SUMIFS('HOJAS DE HORA PROY.'!$K$2:$K$943,'HOJAS DE HORA PROY.'!$A$2:$A$943,'PLAN MAESTRO FINAL'!$A32,'HOJAS DE HORA PROY.'!$M$2:$M$943,'PLAN MAESTRO FINAL'!I$1)</f>
        <v>0</v>
      </c>
      <c r="J32" s="8">
        <f>SUMIFS('HOJAS DE HORA PROY.'!$K$2:$K$943,'HOJAS DE HORA PROY.'!$A$2:$A$943,'PLAN MAESTRO FINAL'!$A32,'HOJAS DE HORA PROY.'!$M$2:$M$943,'PLAN MAESTRO FINAL'!J$1)</f>
        <v>0</v>
      </c>
      <c r="K32" s="8">
        <f>SUMIFS('HOJAS DE HORA PROY.'!$K$2:$K$943,'HOJAS DE HORA PROY.'!$A$2:$A$943,'PLAN MAESTRO FINAL'!$A32,'HOJAS DE HORA PROY.'!$M$2:$M$943,'PLAN MAESTRO FINAL'!K$1)</f>
        <v>0</v>
      </c>
      <c r="L32" s="8">
        <f>SUMIFS('HOJAS DE HORA PROY.'!$K$2:$K$943,'HOJAS DE HORA PROY.'!$A$2:$A$943,'PLAN MAESTRO FINAL'!$A32,'HOJAS DE HORA PROY.'!$M$2:$M$943,'PLAN MAESTRO FINAL'!L$1)</f>
        <v>0</v>
      </c>
      <c r="M32" s="8">
        <f>SUMIFS('HOJAS DE HORA PROY.'!$K$2:$K$943,'HOJAS DE HORA PROY.'!$A$2:$A$943,'PLAN MAESTRO FINAL'!$A32,'HOJAS DE HORA PROY.'!$M$2:$M$943,'PLAN MAESTRO FINAL'!M$1)</f>
        <v>0</v>
      </c>
      <c r="N32" s="8">
        <f>SUMIFS('HOJAS DE HORA PROY.'!$K$2:$K$943,'HOJAS DE HORA PROY.'!$A$2:$A$943,'PLAN MAESTRO FINAL'!$A32,'HOJAS DE HORA PROY.'!$M$2:$M$943,'PLAN MAESTRO FINAL'!N$1)</f>
        <v>0</v>
      </c>
      <c r="O32" s="8">
        <f>SUMIFS('HOJAS DE HORA PROY.'!$K$2:$K$943,'HOJAS DE HORA PROY.'!$A$2:$A$943,'PLAN MAESTRO FINAL'!$A32,'HOJAS DE HORA PROY.'!$M$2:$M$943,'PLAN MAESTRO FINAL'!O$1)</f>
        <v>0</v>
      </c>
      <c r="P32" s="8">
        <f>SUMIFS('HOJAS DE HORA PROY.'!$K$2:$K$943,'HOJAS DE HORA PROY.'!$A$2:$A$943,'PLAN MAESTRO FINAL'!$A32,'HOJAS DE HORA PROY.'!$M$2:$M$943,'PLAN MAESTRO FINAL'!P$1)</f>
        <v>0</v>
      </c>
      <c r="Q32" s="8">
        <f>SUMIFS('HOJAS DE HORA PROY.'!$K$2:$K$943,'HOJAS DE HORA PROY.'!$A$2:$A$943,'PLAN MAESTRO FINAL'!$A32,'HOJAS DE HORA PROY.'!$M$2:$M$943,'PLAN MAESTRO FINAL'!Q$1)</f>
        <v>0</v>
      </c>
      <c r="R32" s="8">
        <f>SUMIFS('HOJAS DE HORA PROY.'!$K$2:$K$943,'HOJAS DE HORA PROY.'!$A$2:$A$943,'PLAN MAESTRO FINAL'!$A32,'HOJAS DE HORA PROY.'!$M$2:$M$943,'PLAN MAESTRO FINAL'!R$1)</f>
        <v>0</v>
      </c>
      <c r="S32" s="8">
        <f>SUMIFS('HOJAS DE HORA PROY.'!$K$2:$K$943,'HOJAS DE HORA PROY.'!$A$2:$A$943,'PLAN MAESTRO FINAL'!$A32,'HOJAS DE HORA PROY.'!$M$2:$M$943,'PLAN MAESTRO FINAL'!S$1)</f>
        <v>0</v>
      </c>
      <c r="T32" s="8">
        <f>SUMIFS('HOJAS DE HORA PROY.'!$K$2:$K$943,'HOJAS DE HORA PROY.'!$A$2:$A$943,'PLAN MAESTRO FINAL'!$A32,'HOJAS DE HORA PROY.'!$M$2:$M$943,'PLAN MAESTRO FINAL'!T$1)</f>
        <v>0</v>
      </c>
      <c r="U32" s="8">
        <f>SUMIFS('HOJAS DE HORA PROY.'!$K$2:$K$943,'HOJAS DE HORA PROY.'!$A$2:$A$943,'PLAN MAESTRO FINAL'!$A32,'HOJAS DE HORA PROY.'!$M$2:$M$943,'PLAN MAESTRO FINAL'!U$1)</f>
        <v>0</v>
      </c>
      <c r="V32" s="8">
        <f>SUMIFS('HOJAS DE HORA PROY.'!$K$2:$K$943,'HOJAS DE HORA PROY.'!$A$2:$A$943,'PLAN MAESTRO FINAL'!$A32,'HOJAS DE HORA PROY.'!$M$2:$M$943,'PLAN MAESTRO FINAL'!V$1)</f>
        <v>0</v>
      </c>
      <c r="W32" s="8">
        <f>SUMIFS('HOJAS DE HORA PROY.'!$K$2:$K$943,'HOJAS DE HORA PROY.'!$A$2:$A$943,'PLAN MAESTRO FINAL'!$A32,'HOJAS DE HORA PROY.'!$M$2:$M$943,'PLAN MAESTRO FINAL'!W$1)</f>
        <v>0</v>
      </c>
    </row>
    <row r="33" spans="1:23" hidden="1" outlineLevel="1" x14ac:dyDescent="0.3">
      <c r="A33" s="13"/>
      <c r="B33" s="8">
        <f>SUMIFS('HOJAS DE HORA PROY.'!$K$2:$K$943,'HOJAS DE HORA PROY.'!$A$2:$A$943,'PLAN MAESTRO FINAL'!$A33,'HOJAS DE HORA PROY.'!$M$2:$M$943,'PLAN MAESTRO FINAL'!B$1)</f>
        <v>0</v>
      </c>
      <c r="C33" s="8">
        <f>SUMIFS('HOJAS DE HORA PROY.'!$K$2:$K$943,'HOJAS DE HORA PROY.'!$A$2:$A$943,'PLAN MAESTRO FINAL'!$A33,'HOJAS DE HORA PROY.'!$M$2:$M$943,'PLAN MAESTRO FINAL'!C$1)</f>
        <v>0</v>
      </c>
      <c r="D33" s="8">
        <f>SUMIFS('HOJAS DE HORA PROY.'!$K$2:$K$943,'HOJAS DE HORA PROY.'!$A$2:$A$943,'PLAN MAESTRO FINAL'!$A33,'HOJAS DE HORA PROY.'!$M$2:$M$943,'PLAN MAESTRO FINAL'!D$1)</f>
        <v>0</v>
      </c>
      <c r="E33" s="8">
        <f>SUMIFS('HOJAS DE HORA PROY.'!$K$2:$K$943,'HOJAS DE HORA PROY.'!$A$2:$A$943,'PLAN MAESTRO FINAL'!$A33,'HOJAS DE HORA PROY.'!$M$2:$M$943,'PLAN MAESTRO FINAL'!E$1)</f>
        <v>0</v>
      </c>
      <c r="F33" s="8">
        <f>SUMIFS('HOJAS DE HORA PROY.'!$K$2:$K$943,'HOJAS DE HORA PROY.'!$A$2:$A$943,'PLAN MAESTRO FINAL'!$A33,'HOJAS DE HORA PROY.'!$M$2:$M$943,'PLAN MAESTRO FINAL'!F$1)</f>
        <v>0</v>
      </c>
      <c r="G33" s="8">
        <f>SUMIFS('HOJAS DE HORA PROY.'!$K$2:$K$943,'HOJAS DE HORA PROY.'!$A$2:$A$943,'PLAN MAESTRO FINAL'!$A33,'HOJAS DE HORA PROY.'!$M$2:$M$943,'PLAN MAESTRO FINAL'!G$1)</f>
        <v>0</v>
      </c>
      <c r="H33" s="8">
        <f>SUMIFS('HOJAS DE HORA PROY.'!$K$2:$K$943,'HOJAS DE HORA PROY.'!$A$2:$A$943,'PLAN MAESTRO FINAL'!$A33,'HOJAS DE HORA PROY.'!$M$2:$M$943,'PLAN MAESTRO FINAL'!H$1)</f>
        <v>0</v>
      </c>
      <c r="I33" s="8">
        <f>SUMIFS('HOJAS DE HORA PROY.'!$K$2:$K$943,'HOJAS DE HORA PROY.'!$A$2:$A$943,'PLAN MAESTRO FINAL'!$A33,'HOJAS DE HORA PROY.'!$M$2:$M$943,'PLAN MAESTRO FINAL'!I$1)</f>
        <v>0</v>
      </c>
      <c r="J33" s="8">
        <f>SUMIFS('HOJAS DE HORA PROY.'!$K$2:$K$943,'HOJAS DE HORA PROY.'!$A$2:$A$943,'PLAN MAESTRO FINAL'!$A33,'HOJAS DE HORA PROY.'!$M$2:$M$943,'PLAN MAESTRO FINAL'!J$1)</f>
        <v>0</v>
      </c>
      <c r="K33" s="8">
        <f>SUMIFS('HOJAS DE HORA PROY.'!$K$2:$K$943,'HOJAS DE HORA PROY.'!$A$2:$A$943,'PLAN MAESTRO FINAL'!$A33,'HOJAS DE HORA PROY.'!$M$2:$M$943,'PLAN MAESTRO FINAL'!K$1)</f>
        <v>0</v>
      </c>
      <c r="L33" s="8">
        <f>SUMIFS('HOJAS DE HORA PROY.'!$K$2:$K$943,'HOJAS DE HORA PROY.'!$A$2:$A$943,'PLAN MAESTRO FINAL'!$A33,'HOJAS DE HORA PROY.'!$M$2:$M$943,'PLAN MAESTRO FINAL'!L$1)</f>
        <v>0</v>
      </c>
      <c r="M33" s="8">
        <f>SUMIFS('HOJAS DE HORA PROY.'!$K$2:$K$943,'HOJAS DE HORA PROY.'!$A$2:$A$943,'PLAN MAESTRO FINAL'!$A33,'HOJAS DE HORA PROY.'!$M$2:$M$943,'PLAN MAESTRO FINAL'!M$1)</f>
        <v>0</v>
      </c>
      <c r="N33" s="8">
        <f>SUMIFS('HOJAS DE HORA PROY.'!$K$2:$K$943,'HOJAS DE HORA PROY.'!$A$2:$A$943,'PLAN MAESTRO FINAL'!$A33,'HOJAS DE HORA PROY.'!$M$2:$M$943,'PLAN MAESTRO FINAL'!N$1)</f>
        <v>0</v>
      </c>
      <c r="O33" s="8">
        <f>SUMIFS('HOJAS DE HORA PROY.'!$K$2:$K$943,'HOJAS DE HORA PROY.'!$A$2:$A$943,'PLAN MAESTRO FINAL'!$A33,'HOJAS DE HORA PROY.'!$M$2:$M$943,'PLAN MAESTRO FINAL'!O$1)</f>
        <v>0</v>
      </c>
      <c r="P33" s="8">
        <f>SUMIFS('HOJAS DE HORA PROY.'!$K$2:$K$943,'HOJAS DE HORA PROY.'!$A$2:$A$943,'PLAN MAESTRO FINAL'!$A33,'HOJAS DE HORA PROY.'!$M$2:$M$943,'PLAN MAESTRO FINAL'!P$1)</f>
        <v>0</v>
      </c>
      <c r="Q33" s="8">
        <f>SUMIFS('HOJAS DE HORA PROY.'!$K$2:$K$943,'HOJAS DE HORA PROY.'!$A$2:$A$943,'PLAN MAESTRO FINAL'!$A33,'HOJAS DE HORA PROY.'!$M$2:$M$943,'PLAN MAESTRO FINAL'!Q$1)</f>
        <v>0</v>
      </c>
      <c r="R33" s="8">
        <f>SUMIFS('HOJAS DE HORA PROY.'!$K$2:$K$943,'HOJAS DE HORA PROY.'!$A$2:$A$943,'PLAN MAESTRO FINAL'!$A33,'HOJAS DE HORA PROY.'!$M$2:$M$943,'PLAN MAESTRO FINAL'!R$1)</f>
        <v>0</v>
      </c>
      <c r="S33" s="8">
        <f>SUMIFS('HOJAS DE HORA PROY.'!$K$2:$K$943,'HOJAS DE HORA PROY.'!$A$2:$A$943,'PLAN MAESTRO FINAL'!$A33,'HOJAS DE HORA PROY.'!$M$2:$M$943,'PLAN MAESTRO FINAL'!S$1)</f>
        <v>0</v>
      </c>
      <c r="T33" s="8">
        <f>SUMIFS('HOJAS DE HORA PROY.'!$K$2:$K$943,'HOJAS DE HORA PROY.'!$A$2:$A$943,'PLAN MAESTRO FINAL'!$A33,'HOJAS DE HORA PROY.'!$M$2:$M$943,'PLAN MAESTRO FINAL'!T$1)</f>
        <v>0</v>
      </c>
      <c r="U33" s="8">
        <f>SUMIFS('HOJAS DE HORA PROY.'!$K$2:$K$943,'HOJAS DE HORA PROY.'!$A$2:$A$943,'PLAN MAESTRO FINAL'!$A33,'HOJAS DE HORA PROY.'!$M$2:$M$943,'PLAN MAESTRO FINAL'!U$1)</f>
        <v>0</v>
      </c>
      <c r="V33" s="8">
        <f>SUMIFS('HOJAS DE HORA PROY.'!$K$2:$K$943,'HOJAS DE HORA PROY.'!$A$2:$A$943,'PLAN MAESTRO FINAL'!$A33,'HOJAS DE HORA PROY.'!$M$2:$M$943,'PLAN MAESTRO FINAL'!V$1)</f>
        <v>0</v>
      </c>
      <c r="W33" s="8">
        <f>SUMIFS('HOJAS DE HORA PROY.'!$K$2:$K$943,'HOJAS DE HORA PROY.'!$A$2:$A$943,'PLAN MAESTRO FINAL'!$A33,'HOJAS DE HORA PROY.'!$M$2:$M$943,'PLAN MAESTRO FINAL'!W$1)</f>
        <v>0</v>
      </c>
    </row>
    <row r="34" spans="1:23" s="42" customFormat="1" collapsed="1" x14ac:dyDescent="0.3">
      <c r="A34" s="40" t="s">
        <v>476</v>
      </c>
      <c r="B34" s="51">
        <f t="shared" ref="B34:W34" si="0">SUM(B2:B33)</f>
        <v>0</v>
      </c>
      <c r="C34" s="51">
        <f t="shared" si="0"/>
        <v>0</v>
      </c>
      <c r="D34" s="51">
        <f t="shared" si="0"/>
        <v>0</v>
      </c>
      <c r="E34" s="51">
        <f t="shared" si="0"/>
        <v>4.5</v>
      </c>
      <c r="F34" s="51">
        <f t="shared" si="0"/>
        <v>254.625</v>
      </c>
      <c r="G34" s="51">
        <f t="shared" si="0"/>
        <v>559.99166666666667</v>
      </c>
      <c r="H34" s="51">
        <f t="shared" si="0"/>
        <v>81</v>
      </c>
      <c r="I34" s="51">
        <f t="shared" si="0"/>
        <v>0</v>
      </c>
      <c r="J34" s="51">
        <f t="shared" si="0"/>
        <v>61</v>
      </c>
      <c r="K34" s="51">
        <f t="shared" si="0"/>
        <v>16</v>
      </c>
      <c r="L34" s="51">
        <f t="shared" si="0"/>
        <v>0</v>
      </c>
      <c r="M34" s="51">
        <f t="shared" si="0"/>
        <v>0</v>
      </c>
      <c r="N34" s="51">
        <f t="shared" si="0"/>
        <v>0</v>
      </c>
      <c r="O34" s="51">
        <f t="shared" si="0"/>
        <v>0</v>
      </c>
      <c r="P34" s="51">
        <f t="shared" si="0"/>
        <v>0</v>
      </c>
      <c r="Q34" s="51">
        <f t="shared" si="0"/>
        <v>0</v>
      </c>
      <c r="R34" s="51">
        <f t="shared" si="0"/>
        <v>0</v>
      </c>
      <c r="S34" s="51">
        <f t="shared" si="0"/>
        <v>0</v>
      </c>
      <c r="T34" s="51">
        <f t="shared" si="0"/>
        <v>0</v>
      </c>
      <c r="U34" s="51">
        <f t="shared" si="0"/>
        <v>0</v>
      </c>
      <c r="V34" s="51">
        <f t="shared" si="0"/>
        <v>0</v>
      </c>
      <c r="W34" s="51">
        <f t="shared" si="0"/>
        <v>0</v>
      </c>
    </row>
    <row r="35" spans="1:23" s="10" customFormat="1" ht="16.5" customHeight="1" x14ac:dyDescent="0.3">
      <c r="A35" s="40" t="s">
        <v>29</v>
      </c>
      <c r="B35" s="41">
        <f>CAPACIDAD!G22</f>
        <v>718</v>
      </c>
      <c r="C35" s="41">
        <f>CAPACIDAD!H22</f>
        <v>718</v>
      </c>
      <c r="D35" s="41">
        <f>CAPACIDAD!I22</f>
        <v>359</v>
      </c>
      <c r="E35" s="41">
        <f>CAPACIDAD!J22</f>
        <v>678</v>
      </c>
      <c r="F35" s="41">
        <f>CAPACIDAD!K22</f>
        <v>742</v>
      </c>
      <c r="G35" s="41">
        <f>CAPACIDAD!L22</f>
        <v>742</v>
      </c>
      <c r="H35" s="41">
        <f>CAPACIDAD!M22</f>
        <v>722</v>
      </c>
      <c r="I35" s="41">
        <f>CAPACIDAD!N22</f>
        <v>722</v>
      </c>
      <c r="J35" s="41">
        <f>CAPACIDAD!O22</f>
        <v>722</v>
      </c>
      <c r="K35" s="41">
        <f>CAPACIDAD!P22</f>
        <v>722</v>
      </c>
      <c r="L35" s="41">
        <f>CAPACIDAD!Q22</f>
        <v>722</v>
      </c>
      <c r="M35" s="41">
        <f>CAPACIDAD!R22</f>
        <v>722</v>
      </c>
      <c r="N35" s="41">
        <f>CAPACIDAD!S22</f>
        <v>722</v>
      </c>
      <c r="O35" s="41">
        <f>CAPACIDAD!T22</f>
        <v>722</v>
      </c>
      <c r="P35" s="41">
        <f>CAPACIDAD!U22</f>
        <v>722</v>
      </c>
      <c r="Q35" s="41">
        <f>CAPACIDAD!V22</f>
        <v>722</v>
      </c>
      <c r="R35" s="41">
        <f>CAPACIDAD!W22</f>
        <v>722</v>
      </c>
      <c r="S35" s="41">
        <f>CAPACIDAD!X22</f>
        <v>722</v>
      </c>
      <c r="T35" s="41">
        <f>CAPACIDAD!Y22</f>
        <v>722</v>
      </c>
      <c r="U35" s="41">
        <f>CAPACIDAD!Z22</f>
        <v>722</v>
      </c>
      <c r="V35" s="41">
        <f>CAPACIDAD!AA22</f>
        <v>722</v>
      </c>
      <c r="W35" s="41">
        <f>CAPACIDAD!AB22</f>
        <v>722</v>
      </c>
    </row>
    <row r="36" spans="1:23" s="10" customFormat="1" x14ac:dyDescent="0.3">
      <c r="A36" s="2" t="s">
        <v>28</v>
      </c>
      <c r="B36" s="9" t="str">
        <f t="shared" ref="B36:W36" si="1">IF(B34/B35=0,"",IF(B34/B35&lt;=85%,"🟢 Saludable",IF(B34/B35&lt;=100%,"🟡 Riesgo","🔴 Atraso seguro")))</f>
        <v/>
      </c>
      <c r="C36" s="9" t="str">
        <f t="shared" si="1"/>
        <v/>
      </c>
      <c r="D36" s="9" t="str">
        <f t="shared" si="1"/>
        <v/>
      </c>
      <c r="E36" s="9" t="str">
        <f t="shared" si="1"/>
        <v>🟢 Saludable</v>
      </c>
      <c r="F36" s="9" t="str">
        <f t="shared" si="1"/>
        <v>🟢 Saludable</v>
      </c>
      <c r="G36" s="9" t="str">
        <f t="shared" si="1"/>
        <v>🟢 Saludable</v>
      </c>
      <c r="H36" s="9" t="str">
        <f t="shared" si="1"/>
        <v>🟢 Saludable</v>
      </c>
      <c r="I36" s="9" t="str">
        <f t="shared" si="1"/>
        <v/>
      </c>
      <c r="J36" s="9" t="str">
        <f t="shared" si="1"/>
        <v>🟢 Saludable</v>
      </c>
      <c r="K36" s="9" t="str">
        <f t="shared" si="1"/>
        <v>🟢 Saludable</v>
      </c>
      <c r="L36" s="9" t="str">
        <f t="shared" si="1"/>
        <v/>
      </c>
      <c r="M36" s="9" t="str">
        <f t="shared" si="1"/>
        <v/>
      </c>
      <c r="N36" s="9" t="str">
        <f t="shared" si="1"/>
        <v/>
      </c>
      <c r="O36" s="9" t="str">
        <f t="shared" si="1"/>
        <v/>
      </c>
      <c r="P36" s="9" t="str">
        <f t="shared" si="1"/>
        <v/>
      </c>
      <c r="Q36" s="9" t="str">
        <f t="shared" si="1"/>
        <v/>
      </c>
      <c r="R36" s="9" t="str">
        <f t="shared" si="1"/>
        <v/>
      </c>
      <c r="S36" s="9" t="str">
        <f t="shared" si="1"/>
        <v/>
      </c>
      <c r="T36" s="9" t="str">
        <f t="shared" si="1"/>
        <v/>
      </c>
      <c r="U36" s="9" t="str">
        <f t="shared" si="1"/>
        <v/>
      </c>
      <c r="V36" s="9" t="str">
        <f t="shared" si="1"/>
        <v/>
      </c>
      <c r="W36" s="9" t="str">
        <f t="shared" si="1"/>
        <v/>
      </c>
    </row>
    <row r="38" spans="1:23" ht="21" x14ac:dyDescent="0.4">
      <c r="A38" s="50" t="s">
        <v>475</v>
      </c>
    </row>
    <row r="39" spans="1:23" x14ac:dyDescent="0.3">
      <c r="A39" s="22" t="s">
        <v>27</v>
      </c>
      <c r="B39" s="22" t="s">
        <v>34</v>
      </c>
      <c r="C39" s="22" t="s">
        <v>35</v>
      </c>
      <c r="D39" s="22" t="s">
        <v>36</v>
      </c>
      <c r="E39" s="22" t="s">
        <v>37</v>
      </c>
      <c r="F39" s="22" t="s">
        <v>38</v>
      </c>
      <c r="G39" s="22" t="s">
        <v>40</v>
      </c>
      <c r="H39" s="22" t="s">
        <v>39</v>
      </c>
      <c r="I39" s="22" t="s">
        <v>41</v>
      </c>
      <c r="J39" s="22" t="s">
        <v>42</v>
      </c>
      <c r="K39" s="22" t="s">
        <v>43</v>
      </c>
      <c r="L39" s="22" t="s">
        <v>44</v>
      </c>
      <c r="M39" s="22" t="s">
        <v>45</v>
      </c>
      <c r="N39" s="22" t="s">
        <v>46</v>
      </c>
      <c r="O39" s="22" t="s">
        <v>47</v>
      </c>
      <c r="P39" s="22" t="s">
        <v>48</v>
      </c>
      <c r="Q39" s="22" t="s">
        <v>49</v>
      </c>
      <c r="R39" s="22" t="s">
        <v>50</v>
      </c>
      <c r="S39" s="22" t="s">
        <v>51</v>
      </c>
      <c r="T39" s="22" t="s">
        <v>52</v>
      </c>
      <c r="U39" s="22" t="s">
        <v>53</v>
      </c>
      <c r="V39" s="22" t="s">
        <v>54</v>
      </c>
      <c r="W39" s="22" t="s">
        <v>55</v>
      </c>
    </row>
    <row r="40" spans="1:23" hidden="1" outlineLevel="1" x14ac:dyDescent="0.3">
      <c r="A40" s="13" t="s">
        <v>79</v>
      </c>
      <c r="B40" s="8">
        <f>SUMIFS('HOJAS DE HORA PROY.'!$C$2:$C$943,'HOJAS DE HORA PROY.'!$A$2:$A$943,'PLAN MAESTRO FINAL'!$A40,'HOJAS DE HORA PROY.'!$M$2:$M$943,B$39)</f>
        <v>0</v>
      </c>
      <c r="C40" s="8">
        <f>SUMIFS('HOJAS DE HORA PROY.'!$C$2:$C$943,'HOJAS DE HORA PROY.'!$A$2:$A$943,'PLAN MAESTRO FINAL'!$A40,'HOJAS DE HORA PROY.'!$M$2:$M$943,C$39)</f>
        <v>0</v>
      </c>
      <c r="D40" s="8">
        <f>SUMIFS('HOJAS DE HORA PROY.'!$C$2:$C$943,'HOJAS DE HORA PROY.'!$A$2:$A$943,'PLAN MAESTRO FINAL'!$A40,'HOJAS DE HORA PROY.'!$M$2:$M$943,D$39)</f>
        <v>0</v>
      </c>
      <c r="E40" s="8">
        <f>SUMIFS('HOJAS DE HORA PROY.'!$C$2:$C$943,'HOJAS DE HORA PROY.'!$A$2:$A$943,'PLAN MAESTRO FINAL'!$A40,'HOJAS DE HORA PROY.'!$M$2:$M$943,E$39)</f>
        <v>0</v>
      </c>
      <c r="F40" s="8">
        <f>SUMIFS('HOJAS DE HORA PROY.'!$C$2:$C$943,'HOJAS DE HORA PROY.'!$A$2:$A$943,'PLAN MAESTRO FINAL'!$A40,'HOJAS DE HORA PROY.'!$M$2:$M$943,F$39)</f>
        <v>0</v>
      </c>
      <c r="G40" s="8">
        <f>SUMIFS('HOJAS DE HORA PROY.'!$C$2:$C$943,'HOJAS DE HORA PROY.'!$A$2:$A$943,'PLAN MAESTRO FINAL'!$A40,'HOJAS DE HORA PROY.'!$M$2:$M$943,G$39)</f>
        <v>0</v>
      </c>
      <c r="H40" s="8">
        <f>SUMIFS('HOJAS DE HORA PROY.'!$C$2:$C$943,'HOJAS DE HORA PROY.'!$A$2:$A$943,'PLAN MAESTRO FINAL'!$A40,'HOJAS DE HORA PROY.'!$M$2:$M$943,H$39)</f>
        <v>0</v>
      </c>
      <c r="I40" s="8">
        <f>SUMIFS('HOJAS DE HORA PROY.'!$C$2:$C$943,'HOJAS DE HORA PROY.'!$A$2:$A$943,'PLAN MAESTRO FINAL'!$A40,'HOJAS DE HORA PROY.'!$M$2:$M$943,I$39)</f>
        <v>0</v>
      </c>
      <c r="J40" s="8">
        <f>SUMIFS('HOJAS DE HORA PROY.'!$C$2:$C$943,'HOJAS DE HORA PROY.'!$A$2:$A$943,'PLAN MAESTRO FINAL'!$A40,'HOJAS DE HORA PROY.'!$M$2:$M$943,J$39)</f>
        <v>0</v>
      </c>
      <c r="K40" s="8">
        <f>SUMIFS('HOJAS DE HORA PROY.'!$C$2:$C$943,'HOJAS DE HORA PROY.'!$A$2:$A$943,'PLAN MAESTRO FINAL'!$A40,'HOJAS DE HORA PROY.'!$M$2:$M$943,K$39)</f>
        <v>0</v>
      </c>
      <c r="L40" s="8">
        <f>SUMIFS('HOJAS DE HORA PROY.'!$C$2:$C$943,'HOJAS DE HORA PROY.'!$A$2:$A$943,'PLAN MAESTRO FINAL'!$A40,'HOJAS DE HORA PROY.'!$M$2:$M$943,L$39)</f>
        <v>0</v>
      </c>
      <c r="M40" s="8">
        <f>SUMIFS('HOJAS DE HORA PROY.'!$C$2:$C$943,'HOJAS DE HORA PROY.'!$A$2:$A$943,'PLAN MAESTRO FINAL'!$A40,'HOJAS DE HORA PROY.'!$M$2:$M$943,M$39)</f>
        <v>0</v>
      </c>
      <c r="N40" s="8">
        <f>SUMIFS('HOJAS DE HORA PROY.'!$C$2:$C$943,'HOJAS DE HORA PROY.'!$A$2:$A$943,'PLAN MAESTRO FINAL'!$A40,'HOJAS DE HORA PROY.'!$M$2:$M$943,N$39)</f>
        <v>0</v>
      </c>
      <c r="O40" s="8">
        <f>SUMIFS('HOJAS DE HORA PROY.'!$C$2:$C$943,'HOJAS DE HORA PROY.'!$A$2:$A$943,'PLAN MAESTRO FINAL'!$A40,'HOJAS DE HORA PROY.'!$M$2:$M$943,O$39)</f>
        <v>0</v>
      </c>
      <c r="P40" s="8">
        <f>SUMIFS('HOJAS DE HORA PROY.'!$C$2:$C$943,'HOJAS DE HORA PROY.'!$A$2:$A$943,'PLAN MAESTRO FINAL'!$A40,'HOJAS DE HORA PROY.'!$M$2:$M$943,P$39)</f>
        <v>0</v>
      </c>
      <c r="Q40" s="8">
        <f>SUMIFS('HOJAS DE HORA PROY.'!$C$2:$C$943,'HOJAS DE HORA PROY.'!$A$2:$A$943,'PLAN MAESTRO FINAL'!$A40,'HOJAS DE HORA PROY.'!$M$2:$M$943,Q$39)</f>
        <v>0</v>
      </c>
      <c r="R40" s="8">
        <f>SUMIFS('HOJAS DE HORA PROY.'!$C$2:$C$943,'HOJAS DE HORA PROY.'!$A$2:$A$943,'PLAN MAESTRO FINAL'!$A40,'HOJAS DE HORA PROY.'!$M$2:$M$943,R$39)</f>
        <v>0</v>
      </c>
      <c r="S40" s="8">
        <f>SUMIFS('HOJAS DE HORA PROY.'!$C$2:$C$943,'HOJAS DE HORA PROY.'!$A$2:$A$943,'PLAN MAESTRO FINAL'!$A40,'HOJAS DE HORA PROY.'!$M$2:$M$943,S$39)</f>
        <v>0</v>
      </c>
      <c r="T40" s="8">
        <f>SUMIFS('HOJAS DE HORA PROY.'!$C$2:$C$943,'HOJAS DE HORA PROY.'!$A$2:$A$943,'PLAN MAESTRO FINAL'!$A40,'HOJAS DE HORA PROY.'!$M$2:$M$943,T$39)</f>
        <v>0</v>
      </c>
      <c r="U40" s="8">
        <f>SUMIFS('HOJAS DE HORA PROY.'!$C$2:$C$943,'HOJAS DE HORA PROY.'!$A$2:$A$943,'PLAN MAESTRO FINAL'!$A40,'HOJAS DE HORA PROY.'!$M$2:$M$943,U$39)</f>
        <v>0</v>
      </c>
      <c r="V40" s="8">
        <f>SUMIFS('HOJAS DE HORA PROY.'!$C$2:$C$943,'HOJAS DE HORA PROY.'!$A$2:$A$943,'PLAN MAESTRO FINAL'!$A40,'HOJAS DE HORA PROY.'!$M$2:$M$943,V$39)</f>
        <v>0</v>
      </c>
      <c r="W40" s="8">
        <f>SUMIFS('HOJAS DE HORA PROY.'!$C$2:$C$943,'HOJAS DE HORA PROY.'!$A$2:$A$943,'PLAN MAESTRO FINAL'!$A40,'HOJAS DE HORA PROY.'!$M$2:$M$943,W$39)</f>
        <v>0</v>
      </c>
    </row>
    <row r="41" spans="1:23" hidden="1" outlineLevel="1" x14ac:dyDescent="0.3">
      <c r="A41" s="13" t="s">
        <v>85</v>
      </c>
      <c r="B41" s="8">
        <f>SUMIFS('HOJAS DE HORA PROY.'!$C$2:$C$943,'HOJAS DE HORA PROY.'!$A$2:$A$943,'PLAN MAESTRO FINAL'!$A41,'HOJAS DE HORA PROY.'!$M$2:$M$943,B$39)</f>
        <v>0</v>
      </c>
      <c r="C41" s="8">
        <f>SUMIFS('HOJAS DE HORA PROY.'!$C$2:$C$943,'HOJAS DE HORA PROY.'!$A$2:$A$943,'PLAN MAESTRO FINAL'!$A41,'HOJAS DE HORA PROY.'!$M$2:$M$943,C$39)</f>
        <v>0</v>
      </c>
      <c r="D41" s="8">
        <f>SUMIFS('HOJAS DE HORA PROY.'!$C$2:$C$943,'HOJAS DE HORA PROY.'!$A$2:$A$943,'PLAN MAESTRO FINAL'!$A41,'HOJAS DE HORA PROY.'!$M$2:$M$943,D$39)</f>
        <v>0</v>
      </c>
      <c r="E41" s="8">
        <f>SUMIFS('HOJAS DE HORA PROY.'!$C$2:$C$943,'HOJAS DE HORA PROY.'!$A$2:$A$943,'PLAN MAESTRO FINAL'!$A41,'HOJAS DE HORA PROY.'!$M$2:$M$943,E$39)</f>
        <v>0</v>
      </c>
      <c r="F41" s="8">
        <f>SUMIFS('HOJAS DE HORA PROY.'!$C$2:$C$943,'HOJAS DE HORA PROY.'!$A$2:$A$943,'PLAN MAESTRO FINAL'!$A41,'HOJAS DE HORA PROY.'!$M$2:$M$943,F$39)</f>
        <v>0</v>
      </c>
      <c r="G41" s="8">
        <f>SUMIFS('HOJAS DE HORA PROY.'!$C$2:$C$943,'HOJAS DE HORA PROY.'!$A$2:$A$943,'PLAN MAESTRO FINAL'!$A41,'HOJAS DE HORA PROY.'!$M$2:$M$943,G$39)</f>
        <v>4.5</v>
      </c>
      <c r="H41" s="8">
        <f>SUMIFS('HOJAS DE HORA PROY.'!$C$2:$C$943,'HOJAS DE HORA PROY.'!$A$2:$A$943,'PLAN MAESTRO FINAL'!$A41,'HOJAS DE HORA PROY.'!$M$2:$M$943,H$39)</f>
        <v>0</v>
      </c>
      <c r="I41" s="8">
        <f>SUMIFS('HOJAS DE HORA PROY.'!$C$2:$C$943,'HOJAS DE HORA PROY.'!$A$2:$A$943,'PLAN MAESTRO FINAL'!$A41,'HOJAS DE HORA PROY.'!$M$2:$M$943,I$39)</f>
        <v>0</v>
      </c>
      <c r="J41" s="8">
        <f>SUMIFS('HOJAS DE HORA PROY.'!$C$2:$C$943,'HOJAS DE HORA PROY.'!$A$2:$A$943,'PLAN MAESTRO FINAL'!$A41,'HOJAS DE HORA PROY.'!$M$2:$M$943,J$39)</f>
        <v>0</v>
      </c>
      <c r="K41" s="8">
        <f>SUMIFS('HOJAS DE HORA PROY.'!$C$2:$C$943,'HOJAS DE HORA PROY.'!$A$2:$A$943,'PLAN MAESTRO FINAL'!$A41,'HOJAS DE HORA PROY.'!$M$2:$M$943,K$39)</f>
        <v>2</v>
      </c>
      <c r="L41" s="8">
        <f>SUMIFS('HOJAS DE HORA PROY.'!$C$2:$C$943,'HOJAS DE HORA PROY.'!$A$2:$A$943,'PLAN MAESTRO FINAL'!$A41,'HOJAS DE HORA PROY.'!$M$2:$M$943,L$39)</f>
        <v>0</v>
      </c>
      <c r="M41" s="8">
        <f>SUMIFS('HOJAS DE HORA PROY.'!$C$2:$C$943,'HOJAS DE HORA PROY.'!$A$2:$A$943,'PLAN MAESTRO FINAL'!$A41,'HOJAS DE HORA PROY.'!$M$2:$M$943,M$39)</f>
        <v>0</v>
      </c>
      <c r="N41" s="8">
        <f>SUMIFS('HOJAS DE HORA PROY.'!$C$2:$C$943,'HOJAS DE HORA PROY.'!$A$2:$A$943,'PLAN MAESTRO FINAL'!$A41,'HOJAS DE HORA PROY.'!$M$2:$M$943,N$39)</f>
        <v>0</v>
      </c>
      <c r="O41" s="8">
        <f>SUMIFS('HOJAS DE HORA PROY.'!$C$2:$C$943,'HOJAS DE HORA PROY.'!$A$2:$A$943,'PLAN MAESTRO FINAL'!$A41,'HOJAS DE HORA PROY.'!$M$2:$M$943,O$39)</f>
        <v>0</v>
      </c>
      <c r="P41" s="8">
        <f>SUMIFS('HOJAS DE HORA PROY.'!$C$2:$C$943,'HOJAS DE HORA PROY.'!$A$2:$A$943,'PLAN MAESTRO FINAL'!$A41,'HOJAS DE HORA PROY.'!$M$2:$M$943,P$39)</f>
        <v>0</v>
      </c>
      <c r="Q41" s="8">
        <f>SUMIFS('HOJAS DE HORA PROY.'!$C$2:$C$943,'HOJAS DE HORA PROY.'!$A$2:$A$943,'PLAN MAESTRO FINAL'!$A41,'HOJAS DE HORA PROY.'!$M$2:$M$943,Q$39)</f>
        <v>0</v>
      </c>
      <c r="R41" s="8">
        <f>SUMIFS('HOJAS DE HORA PROY.'!$C$2:$C$943,'HOJAS DE HORA PROY.'!$A$2:$A$943,'PLAN MAESTRO FINAL'!$A41,'HOJAS DE HORA PROY.'!$M$2:$M$943,R$39)</f>
        <v>0</v>
      </c>
      <c r="S41" s="8">
        <f>SUMIFS('HOJAS DE HORA PROY.'!$C$2:$C$943,'HOJAS DE HORA PROY.'!$A$2:$A$943,'PLAN MAESTRO FINAL'!$A41,'HOJAS DE HORA PROY.'!$M$2:$M$943,S$39)</f>
        <v>0</v>
      </c>
      <c r="T41" s="8">
        <f>SUMIFS('HOJAS DE HORA PROY.'!$C$2:$C$943,'HOJAS DE HORA PROY.'!$A$2:$A$943,'PLAN MAESTRO FINAL'!$A41,'HOJAS DE HORA PROY.'!$M$2:$M$943,T$39)</f>
        <v>0</v>
      </c>
      <c r="U41" s="8">
        <f>SUMIFS('HOJAS DE HORA PROY.'!$C$2:$C$943,'HOJAS DE HORA PROY.'!$A$2:$A$943,'PLAN MAESTRO FINAL'!$A41,'HOJAS DE HORA PROY.'!$M$2:$M$943,U$39)</f>
        <v>0</v>
      </c>
      <c r="V41" s="8">
        <f>SUMIFS('HOJAS DE HORA PROY.'!$C$2:$C$943,'HOJAS DE HORA PROY.'!$A$2:$A$943,'PLAN MAESTRO FINAL'!$A41,'HOJAS DE HORA PROY.'!$M$2:$M$943,V$39)</f>
        <v>0</v>
      </c>
      <c r="W41" s="8">
        <f>SUMIFS('HOJAS DE HORA PROY.'!$C$2:$C$943,'HOJAS DE HORA PROY.'!$A$2:$A$943,'PLAN MAESTRO FINAL'!$A41,'HOJAS DE HORA PROY.'!$M$2:$M$943,W$39)</f>
        <v>0</v>
      </c>
    </row>
    <row r="42" spans="1:23" hidden="1" outlineLevel="1" x14ac:dyDescent="0.3">
      <c r="A42" s="13" t="s">
        <v>126</v>
      </c>
      <c r="B42" s="8">
        <f>SUMIFS('HOJAS DE HORA PROY.'!$C$2:$C$943,'HOJAS DE HORA PROY.'!$A$2:$A$943,'PLAN MAESTRO FINAL'!$A42,'HOJAS DE HORA PROY.'!$M$2:$M$943,B$39)</f>
        <v>0</v>
      </c>
      <c r="C42" s="8">
        <f>SUMIFS('HOJAS DE HORA PROY.'!$C$2:$C$943,'HOJAS DE HORA PROY.'!$A$2:$A$943,'PLAN MAESTRO FINAL'!$A42,'HOJAS DE HORA PROY.'!$M$2:$M$943,C$39)</f>
        <v>0</v>
      </c>
      <c r="D42" s="8">
        <f>SUMIFS('HOJAS DE HORA PROY.'!$C$2:$C$943,'HOJAS DE HORA PROY.'!$A$2:$A$943,'PLAN MAESTRO FINAL'!$A42,'HOJAS DE HORA PROY.'!$M$2:$M$943,D$39)</f>
        <v>0</v>
      </c>
      <c r="E42" s="8">
        <f>SUMIFS('HOJAS DE HORA PROY.'!$C$2:$C$943,'HOJAS DE HORA PROY.'!$A$2:$A$943,'PLAN MAESTRO FINAL'!$A42,'HOJAS DE HORA PROY.'!$M$2:$M$943,E$39)</f>
        <v>0</v>
      </c>
      <c r="F42" s="8">
        <f>SUMIFS('HOJAS DE HORA PROY.'!$C$2:$C$943,'HOJAS DE HORA PROY.'!$A$2:$A$943,'PLAN MAESTRO FINAL'!$A42,'HOJAS DE HORA PROY.'!$M$2:$M$943,F$39)</f>
        <v>0</v>
      </c>
      <c r="G42" s="8">
        <f>SUMIFS('HOJAS DE HORA PROY.'!$C$2:$C$943,'HOJAS DE HORA PROY.'!$A$2:$A$943,'PLAN MAESTRO FINAL'!$A42,'HOJAS DE HORA PROY.'!$M$2:$M$943,G$39)</f>
        <v>9.9916666666666671</v>
      </c>
      <c r="H42" s="8">
        <f>SUMIFS('HOJAS DE HORA PROY.'!$C$2:$C$943,'HOJAS DE HORA PROY.'!$A$2:$A$943,'PLAN MAESTRO FINAL'!$A42,'HOJAS DE HORA PROY.'!$M$2:$M$943,H$39)</f>
        <v>13</v>
      </c>
      <c r="I42" s="8">
        <f>SUMIFS('HOJAS DE HORA PROY.'!$C$2:$C$943,'HOJAS DE HORA PROY.'!$A$2:$A$943,'PLAN MAESTRO FINAL'!$A42,'HOJAS DE HORA PROY.'!$M$2:$M$943,I$39)</f>
        <v>0</v>
      </c>
      <c r="J42" s="8">
        <f>SUMIFS('HOJAS DE HORA PROY.'!$C$2:$C$943,'HOJAS DE HORA PROY.'!$A$2:$A$943,'PLAN MAESTRO FINAL'!$A42,'HOJAS DE HORA PROY.'!$M$2:$M$943,J$39)</f>
        <v>0</v>
      </c>
      <c r="K42" s="8">
        <f>SUMIFS('HOJAS DE HORA PROY.'!$C$2:$C$943,'HOJAS DE HORA PROY.'!$A$2:$A$943,'PLAN MAESTRO FINAL'!$A42,'HOJAS DE HORA PROY.'!$M$2:$M$943,K$39)</f>
        <v>0</v>
      </c>
      <c r="L42" s="8">
        <f>SUMIFS('HOJAS DE HORA PROY.'!$C$2:$C$943,'HOJAS DE HORA PROY.'!$A$2:$A$943,'PLAN MAESTRO FINAL'!$A42,'HOJAS DE HORA PROY.'!$M$2:$M$943,L$39)</f>
        <v>0</v>
      </c>
      <c r="M42" s="8">
        <f>SUMIFS('HOJAS DE HORA PROY.'!$C$2:$C$943,'HOJAS DE HORA PROY.'!$A$2:$A$943,'PLAN MAESTRO FINAL'!$A42,'HOJAS DE HORA PROY.'!$M$2:$M$943,M$39)</f>
        <v>0</v>
      </c>
      <c r="N42" s="8">
        <f>SUMIFS('HOJAS DE HORA PROY.'!$C$2:$C$943,'HOJAS DE HORA PROY.'!$A$2:$A$943,'PLAN MAESTRO FINAL'!$A42,'HOJAS DE HORA PROY.'!$M$2:$M$943,N$39)</f>
        <v>0</v>
      </c>
      <c r="O42" s="8">
        <f>SUMIFS('HOJAS DE HORA PROY.'!$C$2:$C$943,'HOJAS DE HORA PROY.'!$A$2:$A$943,'PLAN MAESTRO FINAL'!$A42,'HOJAS DE HORA PROY.'!$M$2:$M$943,O$39)</f>
        <v>0</v>
      </c>
      <c r="P42" s="8">
        <f>SUMIFS('HOJAS DE HORA PROY.'!$C$2:$C$943,'HOJAS DE HORA PROY.'!$A$2:$A$943,'PLAN MAESTRO FINAL'!$A42,'HOJAS DE HORA PROY.'!$M$2:$M$943,P$39)</f>
        <v>0</v>
      </c>
      <c r="Q42" s="8">
        <f>SUMIFS('HOJAS DE HORA PROY.'!$C$2:$C$943,'HOJAS DE HORA PROY.'!$A$2:$A$943,'PLAN MAESTRO FINAL'!$A42,'HOJAS DE HORA PROY.'!$M$2:$M$943,Q$39)</f>
        <v>0</v>
      </c>
      <c r="R42" s="8">
        <f>SUMIFS('HOJAS DE HORA PROY.'!$C$2:$C$943,'HOJAS DE HORA PROY.'!$A$2:$A$943,'PLAN MAESTRO FINAL'!$A42,'HOJAS DE HORA PROY.'!$M$2:$M$943,R$39)</f>
        <v>0</v>
      </c>
      <c r="S42" s="8">
        <f>SUMIFS('HOJAS DE HORA PROY.'!$C$2:$C$943,'HOJAS DE HORA PROY.'!$A$2:$A$943,'PLAN MAESTRO FINAL'!$A42,'HOJAS DE HORA PROY.'!$M$2:$M$943,S$39)</f>
        <v>0</v>
      </c>
      <c r="T42" s="8">
        <f>SUMIFS('HOJAS DE HORA PROY.'!$C$2:$C$943,'HOJAS DE HORA PROY.'!$A$2:$A$943,'PLAN MAESTRO FINAL'!$A42,'HOJAS DE HORA PROY.'!$M$2:$M$943,T$39)</f>
        <v>0</v>
      </c>
      <c r="U42" s="8">
        <f>SUMIFS('HOJAS DE HORA PROY.'!$C$2:$C$943,'HOJAS DE HORA PROY.'!$A$2:$A$943,'PLAN MAESTRO FINAL'!$A42,'HOJAS DE HORA PROY.'!$M$2:$M$943,U$39)</f>
        <v>0</v>
      </c>
      <c r="V42" s="8">
        <f>SUMIFS('HOJAS DE HORA PROY.'!$C$2:$C$943,'HOJAS DE HORA PROY.'!$A$2:$A$943,'PLAN MAESTRO FINAL'!$A42,'HOJAS DE HORA PROY.'!$M$2:$M$943,V$39)</f>
        <v>0</v>
      </c>
      <c r="W42" s="8">
        <f>SUMIFS('HOJAS DE HORA PROY.'!$C$2:$C$943,'HOJAS DE HORA PROY.'!$A$2:$A$943,'PLAN MAESTRO FINAL'!$A42,'HOJAS DE HORA PROY.'!$M$2:$M$943,W$39)</f>
        <v>0</v>
      </c>
    </row>
    <row r="43" spans="1:23" hidden="1" outlineLevel="1" x14ac:dyDescent="0.3">
      <c r="A43" s="13" t="s">
        <v>132</v>
      </c>
      <c r="B43" s="8">
        <f>SUMIFS('HOJAS DE HORA PROY.'!$C$2:$C$943,'HOJAS DE HORA PROY.'!$A$2:$A$943,'PLAN MAESTRO FINAL'!$A43,'HOJAS DE HORA PROY.'!$M$2:$M$943,B$39)</f>
        <v>0</v>
      </c>
      <c r="C43" s="8">
        <f>SUMIFS('HOJAS DE HORA PROY.'!$C$2:$C$943,'HOJAS DE HORA PROY.'!$A$2:$A$943,'PLAN MAESTRO FINAL'!$A43,'HOJAS DE HORA PROY.'!$M$2:$M$943,C$39)</f>
        <v>0</v>
      </c>
      <c r="D43" s="8">
        <f>SUMIFS('HOJAS DE HORA PROY.'!$C$2:$C$943,'HOJAS DE HORA PROY.'!$A$2:$A$943,'PLAN MAESTRO FINAL'!$A43,'HOJAS DE HORA PROY.'!$M$2:$M$943,D$39)</f>
        <v>0</v>
      </c>
      <c r="E43" s="8">
        <f>SUMIFS('HOJAS DE HORA PROY.'!$C$2:$C$943,'HOJAS DE HORA PROY.'!$A$2:$A$943,'PLAN MAESTRO FINAL'!$A43,'HOJAS DE HORA PROY.'!$M$2:$M$943,E$39)</f>
        <v>0</v>
      </c>
      <c r="F43" s="8">
        <f>SUMIFS('HOJAS DE HORA PROY.'!$C$2:$C$943,'HOJAS DE HORA PROY.'!$A$2:$A$943,'PLAN MAESTRO FINAL'!$A43,'HOJAS DE HORA PROY.'!$M$2:$M$943,F$39)</f>
        <v>0</v>
      </c>
      <c r="G43" s="8">
        <f>SUMIFS('HOJAS DE HORA PROY.'!$C$2:$C$943,'HOJAS DE HORA PROY.'!$A$2:$A$943,'PLAN MAESTRO FINAL'!$A43,'HOJAS DE HORA PROY.'!$M$2:$M$943,G$39)</f>
        <v>0</v>
      </c>
      <c r="H43" s="8">
        <f>SUMIFS('HOJAS DE HORA PROY.'!$C$2:$C$943,'HOJAS DE HORA PROY.'!$A$2:$A$943,'PLAN MAESTRO FINAL'!$A43,'HOJAS DE HORA PROY.'!$M$2:$M$943,H$39)</f>
        <v>0</v>
      </c>
      <c r="I43" s="8">
        <f>SUMIFS('HOJAS DE HORA PROY.'!$C$2:$C$943,'HOJAS DE HORA PROY.'!$A$2:$A$943,'PLAN MAESTRO FINAL'!$A43,'HOJAS DE HORA PROY.'!$M$2:$M$943,I$39)</f>
        <v>0</v>
      </c>
      <c r="J43" s="8">
        <f>SUMIFS('HOJAS DE HORA PROY.'!$C$2:$C$943,'HOJAS DE HORA PROY.'!$A$2:$A$943,'PLAN MAESTRO FINAL'!$A43,'HOJAS DE HORA PROY.'!$M$2:$M$943,J$39)</f>
        <v>0</v>
      </c>
      <c r="K43" s="8">
        <f>SUMIFS('HOJAS DE HORA PROY.'!$C$2:$C$943,'HOJAS DE HORA PROY.'!$A$2:$A$943,'PLAN MAESTRO FINAL'!$A43,'HOJAS DE HORA PROY.'!$M$2:$M$943,K$39)</f>
        <v>0</v>
      </c>
      <c r="L43" s="8">
        <f>SUMIFS('HOJAS DE HORA PROY.'!$C$2:$C$943,'HOJAS DE HORA PROY.'!$A$2:$A$943,'PLAN MAESTRO FINAL'!$A43,'HOJAS DE HORA PROY.'!$M$2:$M$943,L$39)</f>
        <v>0</v>
      </c>
      <c r="M43" s="8">
        <f>SUMIFS('HOJAS DE HORA PROY.'!$C$2:$C$943,'HOJAS DE HORA PROY.'!$A$2:$A$943,'PLAN MAESTRO FINAL'!$A43,'HOJAS DE HORA PROY.'!$M$2:$M$943,M$39)</f>
        <v>0</v>
      </c>
      <c r="N43" s="8">
        <f>SUMIFS('HOJAS DE HORA PROY.'!$C$2:$C$943,'HOJAS DE HORA PROY.'!$A$2:$A$943,'PLAN MAESTRO FINAL'!$A43,'HOJAS DE HORA PROY.'!$M$2:$M$943,N$39)</f>
        <v>0</v>
      </c>
      <c r="O43" s="8">
        <f>SUMIFS('HOJAS DE HORA PROY.'!$C$2:$C$943,'HOJAS DE HORA PROY.'!$A$2:$A$943,'PLAN MAESTRO FINAL'!$A43,'HOJAS DE HORA PROY.'!$M$2:$M$943,O$39)</f>
        <v>0</v>
      </c>
      <c r="P43" s="8">
        <f>SUMIFS('HOJAS DE HORA PROY.'!$C$2:$C$943,'HOJAS DE HORA PROY.'!$A$2:$A$943,'PLAN MAESTRO FINAL'!$A43,'HOJAS DE HORA PROY.'!$M$2:$M$943,P$39)</f>
        <v>0</v>
      </c>
      <c r="Q43" s="8">
        <f>SUMIFS('HOJAS DE HORA PROY.'!$C$2:$C$943,'HOJAS DE HORA PROY.'!$A$2:$A$943,'PLAN MAESTRO FINAL'!$A43,'HOJAS DE HORA PROY.'!$M$2:$M$943,Q$39)</f>
        <v>0</v>
      </c>
      <c r="R43" s="8">
        <f>SUMIFS('HOJAS DE HORA PROY.'!$C$2:$C$943,'HOJAS DE HORA PROY.'!$A$2:$A$943,'PLAN MAESTRO FINAL'!$A43,'HOJAS DE HORA PROY.'!$M$2:$M$943,R$39)</f>
        <v>0</v>
      </c>
      <c r="S43" s="8">
        <f>SUMIFS('HOJAS DE HORA PROY.'!$C$2:$C$943,'HOJAS DE HORA PROY.'!$A$2:$A$943,'PLAN MAESTRO FINAL'!$A43,'HOJAS DE HORA PROY.'!$M$2:$M$943,S$39)</f>
        <v>0</v>
      </c>
      <c r="T43" s="8">
        <f>SUMIFS('HOJAS DE HORA PROY.'!$C$2:$C$943,'HOJAS DE HORA PROY.'!$A$2:$A$943,'PLAN MAESTRO FINAL'!$A43,'HOJAS DE HORA PROY.'!$M$2:$M$943,T$39)</f>
        <v>0</v>
      </c>
      <c r="U43" s="8">
        <f>SUMIFS('HOJAS DE HORA PROY.'!$C$2:$C$943,'HOJAS DE HORA PROY.'!$A$2:$A$943,'PLAN MAESTRO FINAL'!$A43,'HOJAS DE HORA PROY.'!$M$2:$M$943,U$39)</f>
        <v>0</v>
      </c>
      <c r="V43" s="8">
        <f>SUMIFS('HOJAS DE HORA PROY.'!$C$2:$C$943,'HOJAS DE HORA PROY.'!$A$2:$A$943,'PLAN MAESTRO FINAL'!$A43,'HOJAS DE HORA PROY.'!$M$2:$M$943,V$39)</f>
        <v>0</v>
      </c>
      <c r="W43" s="8">
        <f>SUMIFS('HOJAS DE HORA PROY.'!$C$2:$C$943,'HOJAS DE HORA PROY.'!$A$2:$A$943,'PLAN MAESTRO FINAL'!$A43,'HOJAS DE HORA PROY.'!$M$2:$M$943,W$39)</f>
        <v>0</v>
      </c>
    </row>
    <row r="44" spans="1:23" hidden="1" outlineLevel="1" x14ac:dyDescent="0.3">
      <c r="A44" s="13" t="s">
        <v>141</v>
      </c>
      <c r="B44" s="8">
        <f>SUMIFS('HOJAS DE HORA PROY.'!$C$2:$C$943,'HOJAS DE HORA PROY.'!$A$2:$A$943,'PLAN MAESTRO FINAL'!$A44,'HOJAS DE HORA PROY.'!$M$2:$M$943,B$39)</f>
        <v>0</v>
      </c>
      <c r="C44" s="8">
        <f>SUMIFS('HOJAS DE HORA PROY.'!$C$2:$C$943,'HOJAS DE HORA PROY.'!$A$2:$A$943,'PLAN MAESTRO FINAL'!$A44,'HOJAS DE HORA PROY.'!$M$2:$M$943,C$39)</f>
        <v>0</v>
      </c>
      <c r="D44" s="8">
        <f>SUMIFS('HOJAS DE HORA PROY.'!$C$2:$C$943,'HOJAS DE HORA PROY.'!$A$2:$A$943,'PLAN MAESTRO FINAL'!$A44,'HOJAS DE HORA PROY.'!$M$2:$M$943,D$39)</f>
        <v>0</v>
      </c>
      <c r="E44" s="8">
        <f>SUMIFS('HOJAS DE HORA PROY.'!$C$2:$C$943,'HOJAS DE HORA PROY.'!$A$2:$A$943,'PLAN MAESTRO FINAL'!$A44,'HOJAS DE HORA PROY.'!$M$2:$M$943,E$39)</f>
        <v>0</v>
      </c>
      <c r="F44" s="8">
        <f>SUMIFS('HOJAS DE HORA PROY.'!$C$2:$C$943,'HOJAS DE HORA PROY.'!$A$2:$A$943,'PLAN MAESTRO FINAL'!$A44,'HOJAS DE HORA PROY.'!$M$2:$M$943,F$39)</f>
        <v>0</v>
      </c>
      <c r="G44" s="8">
        <f>SUMIFS('HOJAS DE HORA PROY.'!$C$2:$C$943,'HOJAS DE HORA PROY.'!$A$2:$A$943,'PLAN MAESTRO FINAL'!$A44,'HOJAS DE HORA PROY.'!$M$2:$M$943,G$39)</f>
        <v>0</v>
      </c>
      <c r="H44" s="8">
        <f>SUMIFS('HOJAS DE HORA PROY.'!$C$2:$C$943,'HOJAS DE HORA PROY.'!$A$2:$A$943,'PLAN MAESTRO FINAL'!$A44,'HOJAS DE HORA PROY.'!$M$2:$M$943,H$39)</f>
        <v>0</v>
      </c>
      <c r="I44" s="8">
        <f>SUMIFS('HOJAS DE HORA PROY.'!$C$2:$C$943,'HOJAS DE HORA PROY.'!$A$2:$A$943,'PLAN MAESTRO FINAL'!$A44,'HOJAS DE HORA PROY.'!$M$2:$M$943,I$39)</f>
        <v>0</v>
      </c>
      <c r="J44" s="8">
        <f>SUMIFS('HOJAS DE HORA PROY.'!$C$2:$C$943,'HOJAS DE HORA PROY.'!$A$2:$A$943,'PLAN MAESTRO FINAL'!$A44,'HOJAS DE HORA PROY.'!$M$2:$M$943,J$39)</f>
        <v>0</v>
      </c>
      <c r="K44" s="8">
        <f>SUMIFS('HOJAS DE HORA PROY.'!$C$2:$C$943,'HOJAS DE HORA PROY.'!$A$2:$A$943,'PLAN MAESTRO FINAL'!$A44,'HOJAS DE HORA PROY.'!$M$2:$M$943,K$39)</f>
        <v>0</v>
      </c>
      <c r="L44" s="8">
        <f>SUMIFS('HOJAS DE HORA PROY.'!$C$2:$C$943,'HOJAS DE HORA PROY.'!$A$2:$A$943,'PLAN MAESTRO FINAL'!$A44,'HOJAS DE HORA PROY.'!$M$2:$M$943,L$39)</f>
        <v>0</v>
      </c>
      <c r="M44" s="8">
        <f>SUMIFS('HOJAS DE HORA PROY.'!$C$2:$C$943,'HOJAS DE HORA PROY.'!$A$2:$A$943,'PLAN MAESTRO FINAL'!$A44,'HOJAS DE HORA PROY.'!$M$2:$M$943,M$39)</f>
        <v>0</v>
      </c>
      <c r="N44" s="8">
        <f>SUMIFS('HOJAS DE HORA PROY.'!$C$2:$C$943,'HOJAS DE HORA PROY.'!$A$2:$A$943,'PLAN MAESTRO FINAL'!$A44,'HOJAS DE HORA PROY.'!$M$2:$M$943,N$39)</f>
        <v>0</v>
      </c>
      <c r="O44" s="8">
        <f>SUMIFS('HOJAS DE HORA PROY.'!$C$2:$C$943,'HOJAS DE HORA PROY.'!$A$2:$A$943,'PLAN MAESTRO FINAL'!$A44,'HOJAS DE HORA PROY.'!$M$2:$M$943,O$39)</f>
        <v>0</v>
      </c>
      <c r="P44" s="8">
        <f>SUMIFS('HOJAS DE HORA PROY.'!$C$2:$C$943,'HOJAS DE HORA PROY.'!$A$2:$A$943,'PLAN MAESTRO FINAL'!$A44,'HOJAS DE HORA PROY.'!$M$2:$M$943,P$39)</f>
        <v>0</v>
      </c>
      <c r="Q44" s="8">
        <f>SUMIFS('HOJAS DE HORA PROY.'!$C$2:$C$943,'HOJAS DE HORA PROY.'!$A$2:$A$943,'PLAN MAESTRO FINAL'!$A44,'HOJAS DE HORA PROY.'!$M$2:$M$943,Q$39)</f>
        <v>0</v>
      </c>
      <c r="R44" s="8">
        <f>SUMIFS('HOJAS DE HORA PROY.'!$C$2:$C$943,'HOJAS DE HORA PROY.'!$A$2:$A$943,'PLAN MAESTRO FINAL'!$A44,'HOJAS DE HORA PROY.'!$M$2:$M$943,R$39)</f>
        <v>0</v>
      </c>
      <c r="S44" s="8">
        <f>SUMIFS('HOJAS DE HORA PROY.'!$C$2:$C$943,'HOJAS DE HORA PROY.'!$A$2:$A$943,'PLAN MAESTRO FINAL'!$A44,'HOJAS DE HORA PROY.'!$M$2:$M$943,S$39)</f>
        <v>0</v>
      </c>
      <c r="T44" s="8">
        <f>SUMIFS('HOJAS DE HORA PROY.'!$C$2:$C$943,'HOJAS DE HORA PROY.'!$A$2:$A$943,'PLAN MAESTRO FINAL'!$A44,'HOJAS DE HORA PROY.'!$M$2:$M$943,T$39)</f>
        <v>0</v>
      </c>
      <c r="U44" s="8">
        <f>SUMIFS('HOJAS DE HORA PROY.'!$C$2:$C$943,'HOJAS DE HORA PROY.'!$A$2:$A$943,'PLAN MAESTRO FINAL'!$A44,'HOJAS DE HORA PROY.'!$M$2:$M$943,U$39)</f>
        <v>0</v>
      </c>
      <c r="V44" s="8">
        <f>SUMIFS('HOJAS DE HORA PROY.'!$C$2:$C$943,'HOJAS DE HORA PROY.'!$A$2:$A$943,'PLAN MAESTRO FINAL'!$A44,'HOJAS DE HORA PROY.'!$M$2:$M$943,V$39)</f>
        <v>0</v>
      </c>
      <c r="W44" s="8">
        <f>SUMIFS('HOJAS DE HORA PROY.'!$C$2:$C$943,'HOJAS DE HORA PROY.'!$A$2:$A$943,'PLAN MAESTRO FINAL'!$A44,'HOJAS DE HORA PROY.'!$M$2:$M$943,W$39)</f>
        <v>0</v>
      </c>
    </row>
    <row r="45" spans="1:23" hidden="1" outlineLevel="1" x14ac:dyDescent="0.3">
      <c r="A45" s="13" t="s">
        <v>161</v>
      </c>
      <c r="B45" s="8">
        <f>SUMIFS('HOJAS DE HORA PROY.'!$C$2:$C$943,'HOJAS DE HORA PROY.'!$A$2:$A$943,'PLAN MAESTRO FINAL'!$A45,'HOJAS DE HORA PROY.'!$M$2:$M$943,B$39)</f>
        <v>0</v>
      </c>
      <c r="C45" s="8">
        <f>SUMIFS('HOJAS DE HORA PROY.'!$C$2:$C$943,'HOJAS DE HORA PROY.'!$A$2:$A$943,'PLAN MAESTRO FINAL'!$A45,'HOJAS DE HORA PROY.'!$M$2:$M$943,C$39)</f>
        <v>0</v>
      </c>
      <c r="D45" s="8">
        <f>SUMIFS('HOJAS DE HORA PROY.'!$C$2:$C$943,'HOJAS DE HORA PROY.'!$A$2:$A$943,'PLAN MAESTRO FINAL'!$A45,'HOJAS DE HORA PROY.'!$M$2:$M$943,D$39)</f>
        <v>0</v>
      </c>
      <c r="E45" s="8">
        <f>SUMIFS('HOJAS DE HORA PROY.'!$C$2:$C$943,'HOJAS DE HORA PROY.'!$A$2:$A$943,'PLAN MAESTRO FINAL'!$A45,'HOJAS DE HORA PROY.'!$M$2:$M$943,E$39)</f>
        <v>0</v>
      </c>
      <c r="F45" s="8">
        <f>SUMIFS('HOJAS DE HORA PROY.'!$C$2:$C$943,'HOJAS DE HORA PROY.'!$A$2:$A$943,'PLAN MAESTRO FINAL'!$A45,'HOJAS DE HORA PROY.'!$M$2:$M$943,F$39)</f>
        <v>0</v>
      </c>
      <c r="G45" s="8">
        <f>SUMIFS('HOJAS DE HORA PROY.'!$C$2:$C$943,'HOJAS DE HORA PROY.'!$A$2:$A$943,'PLAN MAESTRO FINAL'!$A45,'HOJAS DE HORA PROY.'!$M$2:$M$943,G$39)</f>
        <v>0</v>
      </c>
      <c r="H45" s="8">
        <f>SUMIFS('HOJAS DE HORA PROY.'!$C$2:$C$943,'HOJAS DE HORA PROY.'!$A$2:$A$943,'PLAN MAESTRO FINAL'!$A45,'HOJAS DE HORA PROY.'!$M$2:$M$943,H$39)</f>
        <v>0</v>
      </c>
      <c r="I45" s="8">
        <f>SUMIFS('HOJAS DE HORA PROY.'!$C$2:$C$943,'HOJAS DE HORA PROY.'!$A$2:$A$943,'PLAN MAESTRO FINAL'!$A45,'HOJAS DE HORA PROY.'!$M$2:$M$943,I$39)</f>
        <v>0</v>
      </c>
      <c r="J45" s="8">
        <f>SUMIFS('HOJAS DE HORA PROY.'!$C$2:$C$943,'HOJAS DE HORA PROY.'!$A$2:$A$943,'PLAN MAESTRO FINAL'!$A45,'HOJAS DE HORA PROY.'!$M$2:$M$943,J$39)</f>
        <v>0</v>
      </c>
      <c r="K45" s="8">
        <f>SUMIFS('HOJAS DE HORA PROY.'!$C$2:$C$943,'HOJAS DE HORA PROY.'!$A$2:$A$943,'PLAN MAESTRO FINAL'!$A45,'HOJAS DE HORA PROY.'!$M$2:$M$943,K$39)</f>
        <v>0</v>
      </c>
      <c r="L45" s="8">
        <f>SUMIFS('HOJAS DE HORA PROY.'!$C$2:$C$943,'HOJAS DE HORA PROY.'!$A$2:$A$943,'PLAN MAESTRO FINAL'!$A45,'HOJAS DE HORA PROY.'!$M$2:$M$943,L$39)</f>
        <v>0</v>
      </c>
      <c r="M45" s="8">
        <f>SUMIFS('HOJAS DE HORA PROY.'!$C$2:$C$943,'HOJAS DE HORA PROY.'!$A$2:$A$943,'PLAN MAESTRO FINAL'!$A45,'HOJAS DE HORA PROY.'!$M$2:$M$943,M$39)</f>
        <v>0</v>
      </c>
      <c r="N45" s="8">
        <f>SUMIFS('HOJAS DE HORA PROY.'!$C$2:$C$943,'HOJAS DE HORA PROY.'!$A$2:$A$943,'PLAN MAESTRO FINAL'!$A45,'HOJAS DE HORA PROY.'!$M$2:$M$943,N$39)</f>
        <v>0</v>
      </c>
      <c r="O45" s="8">
        <f>SUMIFS('HOJAS DE HORA PROY.'!$C$2:$C$943,'HOJAS DE HORA PROY.'!$A$2:$A$943,'PLAN MAESTRO FINAL'!$A45,'HOJAS DE HORA PROY.'!$M$2:$M$943,O$39)</f>
        <v>0</v>
      </c>
      <c r="P45" s="8">
        <f>SUMIFS('HOJAS DE HORA PROY.'!$C$2:$C$943,'HOJAS DE HORA PROY.'!$A$2:$A$943,'PLAN MAESTRO FINAL'!$A45,'HOJAS DE HORA PROY.'!$M$2:$M$943,P$39)</f>
        <v>0</v>
      </c>
      <c r="Q45" s="8">
        <f>SUMIFS('HOJAS DE HORA PROY.'!$C$2:$C$943,'HOJAS DE HORA PROY.'!$A$2:$A$943,'PLAN MAESTRO FINAL'!$A45,'HOJAS DE HORA PROY.'!$M$2:$M$943,Q$39)</f>
        <v>0</v>
      </c>
      <c r="R45" s="8">
        <f>SUMIFS('HOJAS DE HORA PROY.'!$C$2:$C$943,'HOJAS DE HORA PROY.'!$A$2:$A$943,'PLAN MAESTRO FINAL'!$A45,'HOJAS DE HORA PROY.'!$M$2:$M$943,R$39)</f>
        <v>0</v>
      </c>
      <c r="S45" s="8">
        <f>SUMIFS('HOJAS DE HORA PROY.'!$C$2:$C$943,'HOJAS DE HORA PROY.'!$A$2:$A$943,'PLAN MAESTRO FINAL'!$A45,'HOJAS DE HORA PROY.'!$M$2:$M$943,S$39)</f>
        <v>0</v>
      </c>
      <c r="T45" s="8">
        <f>SUMIFS('HOJAS DE HORA PROY.'!$C$2:$C$943,'HOJAS DE HORA PROY.'!$A$2:$A$943,'PLAN MAESTRO FINAL'!$A45,'HOJAS DE HORA PROY.'!$M$2:$M$943,T$39)</f>
        <v>0</v>
      </c>
      <c r="U45" s="8">
        <f>SUMIFS('HOJAS DE HORA PROY.'!$C$2:$C$943,'HOJAS DE HORA PROY.'!$A$2:$A$943,'PLAN MAESTRO FINAL'!$A45,'HOJAS DE HORA PROY.'!$M$2:$M$943,U$39)</f>
        <v>0</v>
      </c>
      <c r="V45" s="8">
        <f>SUMIFS('HOJAS DE HORA PROY.'!$C$2:$C$943,'HOJAS DE HORA PROY.'!$A$2:$A$943,'PLAN MAESTRO FINAL'!$A45,'HOJAS DE HORA PROY.'!$M$2:$M$943,V$39)</f>
        <v>0</v>
      </c>
      <c r="W45" s="8">
        <f>SUMIFS('HOJAS DE HORA PROY.'!$C$2:$C$943,'HOJAS DE HORA PROY.'!$A$2:$A$943,'PLAN MAESTRO FINAL'!$A45,'HOJAS DE HORA PROY.'!$M$2:$M$943,W$39)</f>
        <v>0</v>
      </c>
    </row>
    <row r="46" spans="1:23" hidden="1" outlineLevel="1" x14ac:dyDescent="0.3">
      <c r="A46" s="13" t="s">
        <v>165</v>
      </c>
      <c r="B46" s="8">
        <f>SUMIFS('HOJAS DE HORA PROY.'!$C$2:$C$943,'HOJAS DE HORA PROY.'!$A$2:$A$943,'PLAN MAESTRO FINAL'!$A46,'HOJAS DE HORA PROY.'!$M$2:$M$943,B$39)</f>
        <v>0</v>
      </c>
      <c r="C46" s="8">
        <f>SUMIFS('HOJAS DE HORA PROY.'!$C$2:$C$943,'HOJAS DE HORA PROY.'!$A$2:$A$943,'PLAN MAESTRO FINAL'!$A46,'HOJAS DE HORA PROY.'!$M$2:$M$943,C$39)</f>
        <v>0</v>
      </c>
      <c r="D46" s="8">
        <f>SUMIFS('HOJAS DE HORA PROY.'!$C$2:$C$943,'HOJAS DE HORA PROY.'!$A$2:$A$943,'PLAN MAESTRO FINAL'!$A46,'HOJAS DE HORA PROY.'!$M$2:$M$943,D$39)</f>
        <v>0</v>
      </c>
      <c r="E46" s="8">
        <f>SUMIFS('HOJAS DE HORA PROY.'!$C$2:$C$943,'HOJAS DE HORA PROY.'!$A$2:$A$943,'PLAN MAESTRO FINAL'!$A46,'HOJAS DE HORA PROY.'!$M$2:$M$943,E$39)</f>
        <v>0</v>
      </c>
      <c r="F46" s="8">
        <f>SUMIFS('HOJAS DE HORA PROY.'!$C$2:$C$943,'HOJAS DE HORA PROY.'!$A$2:$A$943,'PLAN MAESTRO FINAL'!$A46,'HOJAS DE HORA PROY.'!$M$2:$M$943,F$39)</f>
        <v>0</v>
      </c>
      <c r="G46" s="8">
        <f>SUMIFS('HOJAS DE HORA PROY.'!$C$2:$C$943,'HOJAS DE HORA PROY.'!$A$2:$A$943,'PLAN MAESTRO FINAL'!$A46,'HOJAS DE HORA PROY.'!$M$2:$M$943,G$39)</f>
        <v>12.5</v>
      </c>
      <c r="H46" s="8">
        <f>SUMIFS('HOJAS DE HORA PROY.'!$C$2:$C$943,'HOJAS DE HORA PROY.'!$A$2:$A$943,'PLAN MAESTRO FINAL'!$A46,'HOJAS DE HORA PROY.'!$M$2:$M$943,H$39)</f>
        <v>0</v>
      </c>
      <c r="I46" s="8">
        <f>SUMIFS('HOJAS DE HORA PROY.'!$C$2:$C$943,'HOJAS DE HORA PROY.'!$A$2:$A$943,'PLAN MAESTRO FINAL'!$A46,'HOJAS DE HORA PROY.'!$M$2:$M$943,I$39)</f>
        <v>0</v>
      </c>
      <c r="J46" s="8">
        <f>SUMIFS('HOJAS DE HORA PROY.'!$C$2:$C$943,'HOJAS DE HORA PROY.'!$A$2:$A$943,'PLAN MAESTRO FINAL'!$A46,'HOJAS DE HORA PROY.'!$M$2:$M$943,J$39)</f>
        <v>0</v>
      </c>
      <c r="K46" s="8">
        <f>SUMIFS('HOJAS DE HORA PROY.'!$C$2:$C$943,'HOJAS DE HORA PROY.'!$A$2:$A$943,'PLAN MAESTRO FINAL'!$A46,'HOJAS DE HORA PROY.'!$M$2:$M$943,K$39)</f>
        <v>0</v>
      </c>
      <c r="L46" s="8">
        <f>SUMIFS('HOJAS DE HORA PROY.'!$C$2:$C$943,'HOJAS DE HORA PROY.'!$A$2:$A$943,'PLAN MAESTRO FINAL'!$A46,'HOJAS DE HORA PROY.'!$M$2:$M$943,L$39)</f>
        <v>0</v>
      </c>
      <c r="M46" s="8">
        <f>SUMIFS('HOJAS DE HORA PROY.'!$C$2:$C$943,'HOJAS DE HORA PROY.'!$A$2:$A$943,'PLAN MAESTRO FINAL'!$A46,'HOJAS DE HORA PROY.'!$M$2:$M$943,M$39)</f>
        <v>0</v>
      </c>
      <c r="N46" s="8">
        <f>SUMIFS('HOJAS DE HORA PROY.'!$C$2:$C$943,'HOJAS DE HORA PROY.'!$A$2:$A$943,'PLAN MAESTRO FINAL'!$A46,'HOJAS DE HORA PROY.'!$M$2:$M$943,N$39)</f>
        <v>0</v>
      </c>
      <c r="O46" s="8">
        <f>SUMIFS('HOJAS DE HORA PROY.'!$C$2:$C$943,'HOJAS DE HORA PROY.'!$A$2:$A$943,'PLAN MAESTRO FINAL'!$A46,'HOJAS DE HORA PROY.'!$M$2:$M$943,O$39)</f>
        <v>0</v>
      </c>
      <c r="P46" s="8">
        <f>SUMIFS('HOJAS DE HORA PROY.'!$C$2:$C$943,'HOJAS DE HORA PROY.'!$A$2:$A$943,'PLAN MAESTRO FINAL'!$A46,'HOJAS DE HORA PROY.'!$M$2:$M$943,P$39)</f>
        <v>0</v>
      </c>
      <c r="Q46" s="8">
        <f>SUMIFS('HOJAS DE HORA PROY.'!$C$2:$C$943,'HOJAS DE HORA PROY.'!$A$2:$A$943,'PLAN MAESTRO FINAL'!$A46,'HOJAS DE HORA PROY.'!$M$2:$M$943,Q$39)</f>
        <v>0</v>
      </c>
      <c r="R46" s="8">
        <f>SUMIFS('HOJAS DE HORA PROY.'!$C$2:$C$943,'HOJAS DE HORA PROY.'!$A$2:$A$943,'PLAN MAESTRO FINAL'!$A46,'HOJAS DE HORA PROY.'!$M$2:$M$943,R$39)</f>
        <v>0</v>
      </c>
      <c r="S46" s="8">
        <f>SUMIFS('HOJAS DE HORA PROY.'!$C$2:$C$943,'HOJAS DE HORA PROY.'!$A$2:$A$943,'PLAN MAESTRO FINAL'!$A46,'HOJAS DE HORA PROY.'!$M$2:$M$943,S$39)</f>
        <v>0</v>
      </c>
      <c r="T46" s="8">
        <f>SUMIFS('HOJAS DE HORA PROY.'!$C$2:$C$943,'HOJAS DE HORA PROY.'!$A$2:$A$943,'PLAN MAESTRO FINAL'!$A46,'HOJAS DE HORA PROY.'!$M$2:$M$943,T$39)</f>
        <v>0</v>
      </c>
      <c r="U46" s="8">
        <f>SUMIFS('HOJAS DE HORA PROY.'!$C$2:$C$943,'HOJAS DE HORA PROY.'!$A$2:$A$943,'PLAN MAESTRO FINAL'!$A46,'HOJAS DE HORA PROY.'!$M$2:$M$943,U$39)</f>
        <v>0</v>
      </c>
      <c r="V46" s="8">
        <f>SUMIFS('HOJAS DE HORA PROY.'!$C$2:$C$943,'HOJAS DE HORA PROY.'!$A$2:$A$943,'PLAN MAESTRO FINAL'!$A46,'HOJAS DE HORA PROY.'!$M$2:$M$943,V$39)</f>
        <v>0</v>
      </c>
      <c r="W46" s="8">
        <f>SUMIFS('HOJAS DE HORA PROY.'!$C$2:$C$943,'HOJAS DE HORA PROY.'!$A$2:$A$943,'PLAN MAESTRO FINAL'!$A46,'HOJAS DE HORA PROY.'!$M$2:$M$943,W$39)</f>
        <v>0</v>
      </c>
    </row>
    <row r="47" spans="1:23" hidden="1" outlineLevel="1" x14ac:dyDescent="0.3">
      <c r="A47" s="13" t="s">
        <v>203</v>
      </c>
      <c r="B47" s="8">
        <f>SUMIFS('HOJAS DE HORA PROY.'!$C$2:$C$943,'HOJAS DE HORA PROY.'!$A$2:$A$943,'PLAN MAESTRO FINAL'!$A47,'HOJAS DE HORA PROY.'!$M$2:$M$943,B$39)</f>
        <v>0</v>
      </c>
      <c r="C47" s="8">
        <f>SUMIFS('HOJAS DE HORA PROY.'!$C$2:$C$943,'HOJAS DE HORA PROY.'!$A$2:$A$943,'PLAN MAESTRO FINAL'!$A47,'HOJAS DE HORA PROY.'!$M$2:$M$943,C$39)</f>
        <v>0</v>
      </c>
      <c r="D47" s="8">
        <f>SUMIFS('HOJAS DE HORA PROY.'!$C$2:$C$943,'HOJAS DE HORA PROY.'!$A$2:$A$943,'PLAN MAESTRO FINAL'!$A47,'HOJAS DE HORA PROY.'!$M$2:$M$943,D$39)</f>
        <v>0</v>
      </c>
      <c r="E47" s="8">
        <f>SUMIFS('HOJAS DE HORA PROY.'!$C$2:$C$943,'HOJAS DE HORA PROY.'!$A$2:$A$943,'PLAN MAESTRO FINAL'!$A47,'HOJAS DE HORA PROY.'!$M$2:$M$943,E$39)</f>
        <v>0</v>
      </c>
      <c r="F47" s="8">
        <f>SUMIFS('HOJAS DE HORA PROY.'!$C$2:$C$943,'HOJAS DE HORA PROY.'!$A$2:$A$943,'PLAN MAESTRO FINAL'!$A47,'HOJAS DE HORA PROY.'!$M$2:$M$943,F$39)</f>
        <v>0</v>
      </c>
      <c r="G47" s="8">
        <f>SUMIFS('HOJAS DE HORA PROY.'!$C$2:$C$943,'HOJAS DE HORA PROY.'!$A$2:$A$943,'PLAN MAESTRO FINAL'!$A47,'HOJAS DE HORA PROY.'!$M$2:$M$943,G$39)</f>
        <v>0</v>
      </c>
      <c r="H47" s="8">
        <f>SUMIFS('HOJAS DE HORA PROY.'!$C$2:$C$943,'HOJAS DE HORA PROY.'!$A$2:$A$943,'PLAN MAESTRO FINAL'!$A47,'HOJAS DE HORA PROY.'!$M$2:$M$943,H$39)</f>
        <v>0</v>
      </c>
      <c r="I47" s="8">
        <f>SUMIFS('HOJAS DE HORA PROY.'!$C$2:$C$943,'HOJAS DE HORA PROY.'!$A$2:$A$943,'PLAN MAESTRO FINAL'!$A47,'HOJAS DE HORA PROY.'!$M$2:$M$943,I$39)</f>
        <v>0</v>
      </c>
      <c r="J47" s="8">
        <f>SUMIFS('HOJAS DE HORA PROY.'!$C$2:$C$943,'HOJAS DE HORA PROY.'!$A$2:$A$943,'PLAN MAESTRO FINAL'!$A47,'HOJAS DE HORA PROY.'!$M$2:$M$943,J$39)</f>
        <v>0</v>
      </c>
      <c r="K47" s="8">
        <f>SUMIFS('HOJAS DE HORA PROY.'!$C$2:$C$943,'HOJAS DE HORA PROY.'!$A$2:$A$943,'PLAN MAESTRO FINAL'!$A47,'HOJAS DE HORA PROY.'!$M$2:$M$943,K$39)</f>
        <v>0</v>
      </c>
      <c r="L47" s="8">
        <f>SUMIFS('HOJAS DE HORA PROY.'!$C$2:$C$943,'HOJAS DE HORA PROY.'!$A$2:$A$943,'PLAN MAESTRO FINAL'!$A47,'HOJAS DE HORA PROY.'!$M$2:$M$943,L$39)</f>
        <v>0</v>
      </c>
      <c r="M47" s="8">
        <f>SUMIFS('HOJAS DE HORA PROY.'!$C$2:$C$943,'HOJAS DE HORA PROY.'!$A$2:$A$943,'PLAN MAESTRO FINAL'!$A47,'HOJAS DE HORA PROY.'!$M$2:$M$943,M$39)</f>
        <v>0</v>
      </c>
      <c r="N47" s="8">
        <f>SUMIFS('HOJAS DE HORA PROY.'!$C$2:$C$943,'HOJAS DE HORA PROY.'!$A$2:$A$943,'PLAN MAESTRO FINAL'!$A47,'HOJAS DE HORA PROY.'!$M$2:$M$943,N$39)</f>
        <v>0</v>
      </c>
      <c r="O47" s="8">
        <f>SUMIFS('HOJAS DE HORA PROY.'!$C$2:$C$943,'HOJAS DE HORA PROY.'!$A$2:$A$943,'PLAN MAESTRO FINAL'!$A47,'HOJAS DE HORA PROY.'!$M$2:$M$943,O$39)</f>
        <v>0</v>
      </c>
      <c r="P47" s="8">
        <f>SUMIFS('HOJAS DE HORA PROY.'!$C$2:$C$943,'HOJAS DE HORA PROY.'!$A$2:$A$943,'PLAN MAESTRO FINAL'!$A47,'HOJAS DE HORA PROY.'!$M$2:$M$943,P$39)</f>
        <v>0</v>
      </c>
      <c r="Q47" s="8">
        <f>SUMIFS('HOJAS DE HORA PROY.'!$C$2:$C$943,'HOJAS DE HORA PROY.'!$A$2:$A$943,'PLAN MAESTRO FINAL'!$A47,'HOJAS DE HORA PROY.'!$M$2:$M$943,Q$39)</f>
        <v>0</v>
      </c>
      <c r="R47" s="8">
        <f>SUMIFS('HOJAS DE HORA PROY.'!$C$2:$C$943,'HOJAS DE HORA PROY.'!$A$2:$A$943,'PLAN MAESTRO FINAL'!$A47,'HOJAS DE HORA PROY.'!$M$2:$M$943,R$39)</f>
        <v>0</v>
      </c>
      <c r="S47" s="8">
        <f>SUMIFS('HOJAS DE HORA PROY.'!$C$2:$C$943,'HOJAS DE HORA PROY.'!$A$2:$A$943,'PLAN MAESTRO FINAL'!$A47,'HOJAS DE HORA PROY.'!$M$2:$M$943,S$39)</f>
        <v>0</v>
      </c>
      <c r="T47" s="8">
        <f>SUMIFS('HOJAS DE HORA PROY.'!$C$2:$C$943,'HOJAS DE HORA PROY.'!$A$2:$A$943,'PLAN MAESTRO FINAL'!$A47,'HOJAS DE HORA PROY.'!$M$2:$M$943,T$39)</f>
        <v>0</v>
      </c>
      <c r="U47" s="8">
        <f>SUMIFS('HOJAS DE HORA PROY.'!$C$2:$C$943,'HOJAS DE HORA PROY.'!$A$2:$A$943,'PLAN MAESTRO FINAL'!$A47,'HOJAS DE HORA PROY.'!$M$2:$M$943,U$39)</f>
        <v>0</v>
      </c>
      <c r="V47" s="8">
        <f>SUMIFS('HOJAS DE HORA PROY.'!$C$2:$C$943,'HOJAS DE HORA PROY.'!$A$2:$A$943,'PLAN MAESTRO FINAL'!$A47,'HOJAS DE HORA PROY.'!$M$2:$M$943,V$39)</f>
        <v>0</v>
      </c>
      <c r="W47" s="8">
        <f>SUMIFS('HOJAS DE HORA PROY.'!$C$2:$C$943,'HOJAS DE HORA PROY.'!$A$2:$A$943,'PLAN MAESTRO FINAL'!$A47,'HOJAS DE HORA PROY.'!$M$2:$M$943,W$39)</f>
        <v>0</v>
      </c>
    </row>
    <row r="48" spans="1:23" hidden="1" outlineLevel="1" x14ac:dyDescent="0.3">
      <c r="A48" s="13" t="s">
        <v>212</v>
      </c>
      <c r="B48" s="8">
        <f>SUMIFS('HOJAS DE HORA PROY.'!$C$2:$C$943,'HOJAS DE HORA PROY.'!$A$2:$A$943,'PLAN MAESTRO FINAL'!$A48,'HOJAS DE HORA PROY.'!$M$2:$M$943,B$39)</f>
        <v>0</v>
      </c>
      <c r="C48" s="8">
        <f>SUMIFS('HOJAS DE HORA PROY.'!$C$2:$C$943,'HOJAS DE HORA PROY.'!$A$2:$A$943,'PLAN MAESTRO FINAL'!$A48,'HOJAS DE HORA PROY.'!$M$2:$M$943,C$39)</f>
        <v>0</v>
      </c>
      <c r="D48" s="8">
        <f>SUMIFS('HOJAS DE HORA PROY.'!$C$2:$C$943,'HOJAS DE HORA PROY.'!$A$2:$A$943,'PLAN MAESTRO FINAL'!$A48,'HOJAS DE HORA PROY.'!$M$2:$M$943,D$39)</f>
        <v>0</v>
      </c>
      <c r="E48" s="8">
        <f>SUMIFS('HOJAS DE HORA PROY.'!$C$2:$C$943,'HOJAS DE HORA PROY.'!$A$2:$A$943,'PLAN MAESTRO FINAL'!$A48,'HOJAS DE HORA PROY.'!$M$2:$M$943,E$39)</f>
        <v>0</v>
      </c>
      <c r="F48" s="8">
        <f>SUMIFS('HOJAS DE HORA PROY.'!$C$2:$C$943,'HOJAS DE HORA PROY.'!$A$2:$A$943,'PLAN MAESTRO FINAL'!$A48,'HOJAS DE HORA PROY.'!$M$2:$M$943,F$39)</f>
        <v>0</v>
      </c>
      <c r="G48" s="8">
        <f>SUMIFS('HOJAS DE HORA PROY.'!$C$2:$C$943,'HOJAS DE HORA PROY.'!$A$2:$A$943,'PLAN MAESTRO FINAL'!$A48,'HOJAS DE HORA PROY.'!$M$2:$M$943,G$39)</f>
        <v>0</v>
      </c>
      <c r="H48" s="8">
        <f>SUMIFS('HOJAS DE HORA PROY.'!$C$2:$C$943,'HOJAS DE HORA PROY.'!$A$2:$A$943,'PLAN MAESTRO FINAL'!$A48,'HOJAS DE HORA PROY.'!$M$2:$M$943,H$39)</f>
        <v>0</v>
      </c>
      <c r="I48" s="8">
        <f>SUMIFS('HOJAS DE HORA PROY.'!$C$2:$C$943,'HOJAS DE HORA PROY.'!$A$2:$A$943,'PLAN MAESTRO FINAL'!$A48,'HOJAS DE HORA PROY.'!$M$2:$M$943,I$39)</f>
        <v>0</v>
      </c>
      <c r="J48" s="8">
        <f>SUMIFS('HOJAS DE HORA PROY.'!$C$2:$C$943,'HOJAS DE HORA PROY.'!$A$2:$A$943,'PLAN MAESTRO FINAL'!$A48,'HOJAS DE HORA PROY.'!$M$2:$M$943,J$39)</f>
        <v>0</v>
      </c>
      <c r="K48" s="8">
        <f>SUMIFS('HOJAS DE HORA PROY.'!$C$2:$C$943,'HOJAS DE HORA PROY.'!$A$2:$A$943,'PLAN MAESTRO FINAL'!$A48,'HOJAS DE HORA PROY.'!$M$2:$M$943,K$39)</f>
        <v>0</v>
      </c>
      <c r="L48" s="8">
        <f>SUMIFS('HOJAS DE HORA PROY.'!$C$2:$C$943,'HOJAS DE HORA PROY.'!$A$2:$A$943,'PLAN MAESTRO FINAL'!$A48,'HOJAS DE HORA PROY.'!$M$2:$M$943,L$39)</f>
        <v>0</v>
      </c>
      <c r="M48" s="8">
        <f>SUMIFS('HOJAS DE HORA PROY.'!$C$2:$C$943,'HOJAS DE HORA PROY.'!$A$2:$A$943,'PLAN MAESTRO FINAL'!$A48,'HOJAS DE HORA PROY.'!$M$2:$M$943,M$39)</f>
        <v>0</v>
      </c>
      <c r="N48" s="8">
        <f>SUMIFS('HOJAS DE HORA PROY.'!$C$2:$C$943,'HOJAS DE HORA PROY.'!$A$2:$A$943,'PLAN MAESTRO FINAL'!$A48,'HOJAS DE HORA PROY.'!$M$2:$M$943,N$39)</f>
        <v>0</v>
      </c>
      <c r="O48" s="8">
        <f>SUMIFS('HOJAS DE HORA PROY.'!$C$2:$C$943,'HOJAS DE HORA PROY.'!$A$2:$A$943,'PLAN MAESTRO FINAL'!$A48,'HOJAS DE HORA PROY.'!$M$2:$M$943,O$39)</f>
        <v>0</v>
      </c>
      <c r="P48" s="8">
        <f>SUMIFS('HOJAS DE HORA PROY.'!$C$2:$C$943,'HOJAS DE HORA PROY.'!$A$2:$A$943,'PLAN MAESTRO FINAL'!$A48,'HOJAS DE HORA PROY.'!$M$2:$M$943,P$39)</f>
        <v>0</v>
      </c>
      <c r="Q48" s="8">
        <f>SUMIFS('HOJAS DE HORA PROY.'!$C$2:$C$943,'HOJAS DE HORA PROY.'!$A$2:$A$943,'PLAN MAESTRO FINAL'!$A48,'HOJAS DE HORA PROY.'!$M$2:$M$943,Q$39)</f>
        <v>0</v>
      </c>
      <c r="R48" s="8">
        <f>SUMIFS('HOJAS DE HORA PROY.'!$C$2:$C$943,'HOJAS DE HORA PROY.'!$A$2:$A$943,'PLAN MAESTRO FINAL'!$A48,'HOJAS DE HORA PROY.'!$M$2:$M$943,R$39)</f>
        <v>0</v>
      </c>
      <c r="S48" s="8">
        <f>SUMIFS('HOJAS DE HORA PROY.'!$C$2:$C$943,'HOJAS DE HORA PROY.'!$A$2:$A$943,'PLAN MAESTRO FINAL'!$A48,'HOJAS DE HORA PROY.'!$M$2:$M$943,S$39)</f>
        <v>0</v>
      </c>
      <c r="T48" s="8">
        <f>SUMIFS('HOJAS DE HORA PROY.'!$C$2:$C$943,'HOJAS DE HORA PROY.'!$A$2:$A$943,'PLAN MAESTRO FINAL'!$A48,'HOJAS DE HORA PROY.'!$M$2:$M$943,T$39)</f>
        <v>0</v>
      </c>
      <c r="U48" s="8">
        <f>SUMIFS('HOJAS DE HORA PROY.'!$C$2:$C$943,'HOJAS DE HORA PROY.'!$A$2:$A$943,'PLAN MAESTRO FINAL'!$A48,'HOJAS DE HORA PROY.'!$M$2:$M$943,U$39)</f>
        <v>0</v>
      </c>
      <c r="V48" s="8">
        <f>SUMIFS('HOJAS DE HORA PROY.'!$C$2:$C$943,'HOJAS DE HORA PROY.'!$A$2:$A$943,'PLAN MAESTRO FINAL'!$A48,'HOJAS DE HORA PROY.'!$M$2:$M$943,V$39)</f>
        <v>0</v>
      </c>
      <c r="W48" s="8">
        <f>SUMIFS('HOJAS DE HORA PROY.'!$C$2:$C$943,'HOJAS DE HORA PROY.'!$A$2:$A$943,'PLAN MAESTRO FINAL'!$A48,'HOJAS DE HORA PROY.'!$M$2:$M$943,W$39)</f>
        <v>0</v>
      </c>
    </row>
    <row r="49" spans="1:23" hidden="1" outlineLevel="1" x14ac:dyDescent="0.3">
      <c r="A49" s="13" t="s">
        <v>216</v>
      </c>
      <c r="B49" s="8">
        <f>SUMIFS('HOJAS DE HORA PROY.'!$C$2:$C$943,'HOJAS DE HORA PROY.'!$A$2:$A$943,'PLAN MAESTRO FINAL'!$A49,'HOJAS DE HORA PROY.'!$M$2:$M$943,B$39)</f>
        <v>0</v>
      </c>
      <c r="C49" s="8">
        <f>SUMIFS('HOJAS DE HORA PROY.'!$C$2:$C$943,'HOJAS DE HORA PROY.'!$A$2:$A$943,'PLAN MAESTRO FINAL'!$A49,'HOJAS DE HORA PROY.'!$M$2:$M$943,C$39)</f>
        <v>0</v>
      </c>
      <c r="D49" s="8">
        <f>SUMIFS('HOJAS DE HORA PROY.'!$C$2:$C$943,'HOJAS DE HORA PROY.'!$A$2:$A$943,'PLAN MAESTRO FINAL'!$A49,'HOJAS DE HORA PROY.'!$M$2:$M$943,D$39)</f>
        <v>0</v>
      </c>
      <c r="E49" s="8">
        <f>SUMIFS('HOJAS DE HORA PROY.'!$C$2:$C$943,'HOJAS DE HORA PROY.'!$A$2:$A$943,'PLAN MAESTRO FINAL'!$A49,'HOJAS DE HORA PROY.'!$M$2:$M$943,E$39)</f>
        <v>0</v>
      </c>
      <c r="F49" s="8">
        <f>SUMIFS('HOJAS DE HORA PROY.'!$C$2:$C$943,'HOJAS DE HORA PROY.'!$A$2:$A$943,'PLAN MAESTRO FINAL'!$A49,'HOJAS DE HORA PROY.'!$M$2:$M$943,F$39)</f>
        <v>0</v>
      </c>
      <c r="G49" s="8">
        <f>SUMIFS('HOJAS DE HORA PROY.'!$C$2:$C$943,'HOJAS DE HORA PROY.'!$A$2:$A$943,'PLAN MAESTRO FINAL'!$A49,'HOJAS DE HORA PROY.'!$M$2:$M$943,G$39)</f>
        <v>0</v>
      </c>
      <c r="H49" s="8">
        <f>SUMIFS('HOJAS DE HORA PROY.'!$C$2:$C$943,'HOJAS DE HORA PROY.'!$A$2:$A$943,'PLAN MAESTRO FINAL'!$A49,'HOJAS DE HORA PROY.'!$M$2:$M$943,H$39)</f>
        <v>0</v>
      </c>
      <c r="I49" s="8">
        <f>SUMIFS('HOJAS DE HORA PROY.'!$C$2:$C$943,'HOJAS DE HORA PROY.'!$A$2:$A$943,'PLAN MAESTRO FINAL'!$A49,'HOJAS DE HORA PROY.'!$M$2:$M$943,I$39)</f>
        <v>0</v>
      </c>
      <c r="J49" s="8">
        <f>SUMIFS('HOJAS DE HORA PROY.'!$C$2:$C$943,'HOJAS DE HORA PROY.'!$A$2:$A$943,'PLAN MAESTRO FINAL'!$A49,'HOJAS DE HORA PROY.'!$M$2:$M$943,J$39)</f>
        <v>0</v>
      </c>
      <c r="K49" s="8">
        <f>SUMIFS('HOJAS DE HORA PROY.'!$C$2:$C$943,'HOJAS DE HORA PROY.'!$A$2:$A$943,'PLAN MAESTRO FINAL'!$A49,'HOJAS DE HORA PROY.'!$M$2:$M$943,K$39)</f>
        <v>0</v>
      </c>
      <c r="L49" s="8">
        <f>SUMIFS('HOJAS DE HORA PROY.'!$C$2:$C$943,'HOJAS DE HORA PROY.'!$A$2:$A$943,'PLAN MAESTRO FINAL'!$A49,'HOJAS DE HORA PROY.'!$M$2:$M$943,L$39)</f>
        <v>0</v>
      </c>
      <c r="M49" s="8">
        <f>SUMIFS('HOJAS DE HORA PROY.'!$C$2:$C$943,'HOJAS DE HORA PROY.'!$A$2:$A$943,'PLAN MAESTRO FINAL'!$A49,'HOJAS DE HORA PROY.'!$M$2:$M$943,M$39)</f>
        <v>0</v>
      </c>
      <c r="N49" s="8">
        <f>SUMIFS('HOJAS DE HORA PROY.'!$C$2:$C$943,'HOJAS DE HORA PROY.'!$A$2:$A$943,'PLAN MAESTRO FINAL'!$A49,'HOJAS DE HORA PROY.'!$M$2:$M$943,N$39)</f>
        <v>0</v>
      </c>
      <c r="O49" s="8">
        <f>SUMIFS('HOJAS DE HORA PROY.'!$C$2:$C$943,'HOJAS DE HORA PROY.'!$A$2:$A$943,'PLAN MAESTRO FINAL'!$A49,'HOJAS DE HORA PROY.'!$M$2:$M$943,O$39)</f>
        <v>0</v>
      </c>
      <c r="P49" s="8">
        <f>SUMIFS('HOJAS DE HORA PROY.'!$C$2:$C$943,'HOJAS DE HORA PROY.'!$A$2:$A$943,'PLAN MAESTRO FINAL'!$A49,'HOJAS DE HORA PROY.'!$M$2:$M$943,P$39)</f>
        <v>0</v>
      </c>
      <c r="Q49" s="8">
        <f>SUMIFS('HOJAS DE HORA PROY.'!$C$2:$C$943,'HOJAS DE HORA PROY.'!$A$2:$A$943,'PLAN MAESTRO FINAL'!$A49,'HOJAS DE HORA PROY.'!$M$2:$M$943,Q$39)</f>
        <v>0</v>
      </c>
      <c r="R49" s="8">
        <f>SUMIFS('HOJAS DE HORA PROY.'!$C$2:$C$943,'HOJAS DE HORA PROY.'!$A$2:$A$943,'PLAN MAESTRO FINAL'!$A49,'HOJAS DE HORA PROY.'!$M$2:$M$943,R$39)</f>
        <v>0</v>
      </c>
      <c r="S49" s="8">
        <f>SUMIFS('HOJAS DE HORA PROY.'!$C$2:$C$943,'HOJAS DE HORA PROY.'!$A$2:$A$943,'PLAN MAESTRO FINAL'!$A49,'HOJAS DE HORA PROY.'!$M$2:$M$943,S$39)</f>
        <v>0</v>
      </c>
      <c r="T49" s="8">
        <f>SUMIFS('HOJAS DE HORA PROY.'!$C$2:$C$943,'HOJAS DE HORA PROY.'!$A$2:$A$943,'PLAN MAESTRO FINAL'!$A49,'HOJAS DE HORA PROY.'!$M$2:$M$943,T$39)</f>
        <v>0</v>
      </c>
      <c r="U49" s="8">
        <f>SUMIFS('HOJAS DE HORA PROY.'!$C$2:$C$943,'HOJAS DE HORA PROY.'!$A$2:$A$943,'PLAN MAESTRO FINAL'!$A49,'HOJAS DE HORA PROY.'!$M$2:$M$943,U$39)</f>
        <v>0</v>
      </c>
      <c r="V49" s="8">
        <f>SUMIFS('HOJAS DE HORA PROY.'!$C$2:$C$943,'HOJAS DE HORA PROY.'!$A$2:$A$943,'PLAN MAESTRO FINAL'!$A49,'HOJAS DE HORA PROY.'!$M$2:$M$943,V$39)</f>
        <v>0</v>
      </c>
      <c r="W49" s="8">
        <f>SUMIFS('HOJAS DE HORA PROY.'!$C$2:$C$943,'HOJAS DE HORA PROY.'!$A$2:$A$943,'PLAN MAESTRO FINAL'!$A49,'HOJAS DE HORA PROY.'!$M$2:$M$943,W$39)</f>
        <v>0</v>
      </c>
    </row>
    <row r="50" spans="1:23" hidden="1" outlineLevel="1" x14ac:dyDescent="0.3">
      <c r="A50" s="13" t="s">
        <v>217</v>
      </c>
      <c r="B50" s="8">
        <f>SUMIFS('HOJAS DE HORA PROY.'!$C$2:$C$943,'HOJAS DE HORA PROY.'!$A$2:$A$943,'PLAN MAESTRO FINAL'!$A50,'HOJAS DE HORA PROY.'!$M$2:$M$943,B$39)</f>
        <v>0</v>
      </c>
      <c r="C50" s="8">
        <f>SUMIFS('HOJAS DE HORA PROY.'!$C$2:$C$943,'HOJAS DE HORA PROY.'!$A$2:$A$943,'PLAN MAESTRO FINAL'!$A50,'HOJAS DE HORA PROY.'!$M$2:$M$943,C$39)</f>
        <v>0</v>
      </c>
      <c r="D50" s="8">
        <f>SUMIFS('HOJAS DE HORA PROY.'!$C$2:$C$943,'HOJAS DE HORA PROY.'!$A$2:$A$943,'PLAN MAESTRO FINAL'!$A50,'HOJAS DE HORA PROY.'!$M$2:$M$943,D$39)</f>
        <v>0</v>
      </c>
      <c r="E50" s="8">
        <f>SUMIFS('HOJAS DE HORA PROY.'!$C$2:$C$943,'HOJAS DE HORA PROY.'!$A$2:$A$943,'PLAN MAESTRO FINAL'!$A50,'HOJAS DE HORA PROY.'!$M$2:$M$943,E$39)</f>
        <v>0</v>
      </c>
      <c r="F50" s="8">
        <f>SUMIFS('HOJAS DE HORA PROY.'!$C$2:$C$943,'HOJAS DE HORA PROY.'!$A$2:$A$943,'PLAN MAESTRO FINAL'!$A50,'HOJAS DE HORA PROY.'!$M$2:$M$943,F$39)</f>
        <v>0</v>
      </c>
      <c r="G50" s="8">
        <f>SUMIFS('HOJAS DE HORA PROY.'!$C$2:$C$943,'HOJAS DE HORA PROY.'!$A$2:$A$943,'PLAN MAESTRO FINAL'!$A50,'HOJAS DE HORA PROY.'!$M$2:$M$943,G$39)</f>
        <v>8</v>
      </c>
      <c r="H50" s="8">
        <f>SUMIFS('HOJAS DE HORA PROY.'!$C$2:$C$943,'HOJAS DE HORA PROY.'!$A$2:$A$943,'PLAN MAESTRO FINAL'!$A50,'HOJAS DE HORA PROY.'!$M$2:$M$943,H$39)</f>
        <v>0</v>
      </c>
      <c r="I50" s="8">
        <f>SUMIFS('HOJAS DE HORA PROY.'!$C$2:$C$943,'HOJAS DE HORA PROY.'!$A$2:$A$943,'PLAN MAESTRO FINAL'!$A50,'HOJAS DE HORA PROY.'!$M$2:$M$943,I$39)</f>
        <v>0</v>
      </c>
      <c r="J50" s="8">
        <f>SUMIFS('HOJAS DE HORA PROY.'!$C$2:$C$943,'HOJAS DE HORA PROY.'!$A$2:$A$943,'PLAN MAESTRO FINAL'!$A50,'HOJAS DE HORA PROY.'!$M$2:$M$943,J$39)</f>
        <v>0</v>
      </c>
      <c r="K50" s="8">
        <f>SUMIFS('HOJAS DE HORA PROY.'!$C$2:$C$943,'HOJAS DE HORA PROY.'!$A$2:$A$943,'PLAN MAESTRO FINAL'!$A50,'HOJAS DE HORA PROY.'!$M$2:$M$943,K$39)</f>
        <v>0</v>
      </c>
      <c r="L50" s="8">
        <f>SUMIFS('HOJAS DE HORA PROY.'!$C$2:$C$943,'HOJAS DE HORA PROY.'!$A$2:$A$943,'PLAN MAESTRO FINAL'!$A50,'HOJAS DE HORA PROY.'!$M$2:$M$943,L$39)</f>
        <v>0</v>
      </c>
      <c r="M50" s="8">
        <f>SUMIFS('HOJAS DE HORA PROY.'!$C$2:$C$943,'HOJAS DE HORA PROY.'!$A$2:$A$943,'PLAN MAESTRO FINAL'!$A50,'HOJAS DE HORA PROY.'!$M$2:$M$943,M$39)</f>
        <v>0</v>
      </c>
      <c r="N50" s="8">
        <f>SUMIFS('HOJAS DE HORA PROY.'!$C$2:$C$943,'HOJAS DE HORA PROY.'!$A$2:$A$943,'PLAN MAESTRO FINAL'!$A50,'HOJAS DE HORA PROY.'!$M$2:$M$943,N$39)</f>
        <v>0</v>
      </c>
      <c r="O50" s="8">
        <f>SUMIFS('HOJAS DE HORA PROY.'!$C$2:$C$943,'HOJAS DE HORA PROY.'!$A$2:$A$943,'PLAN MAESTRO FINAL'!$A50,'HOJAS DE HORA PROY.'!$M$2:$M$943,O$39)</f>
        <v>0</v>
      </c>
      <c r="P50" s="8">
        <f>SUMIFS('HOJAS DE HORA PROY.'!$C$2:$C$943,'HOJAS DE HORA PROY.'!$A$2:$A$943,'PLAN MAESTRO FINAL'!$A50,'HOJAS DE HORA PROY.'!$M$2:$M$943,P$39)</f>
        <v>0</v>
      </c>
      <c r="Q50" s="8">
        <f>SUMIFS('HOJAS DE HORA PROY.'!$C$2:$C$943,'HOJAS DE HORA PROY.'!$A$2:$A$943,'PLAN MAESTRO FINAL'!$A50,'HOJAS DE HORA PROY.'!$M$2:$M$943,Q$39)</f>
        <v>0</v>
      </c>
      <c r="R50" s="8">
        <f>SUMIFS('HOJAS DE HORA PROY.'!$C$2:$C$943,'HOJAS DE HORA PROY.'!$A$2:$A$943,'PLAN MAESTRO FINAL'!$A50,'HOJAS DE HORA PROY.'!$M$2:$M$943,R$39)</f>
        <v>0</v>
      </c>
      <c r="S50" s="8">
        <f>SUMIFS('HOJAS DE HORA PROY.'!$C$2:$C$943,'HOJAS DE HORA PROY.'!$A$2:$A$943,'PLAN MAESTRO FINAL'!$A50,'HOJAS DE HORA PROY.'!$M$2:$M$943,S$39)</f>
        <v>0</v>
      </c>
      <c r="T50" s="8">
        <f>SUMIFS('HOJAS DE HORA PROY.'!$C$2:$C$943,'HOJAS DE HORA PROY.'!$A$2:$A$943,'PLAN MAESTRO FINAL'!$A50,'HOJAS DE HORA PROY.'!$M$2:$M$943,T$39)</f>
        <v>0</v>
      </c>
      <c r="U50" s="8">
        <f>SUMIFS('HOJAS DE HORA PROY.'!$C$2:$C$943,'HOJAS DE HORA PROY.'!$A$2:$A$943,'PLAN MAESTRO FINAL'!$A50,'HOJAS DE HORA PROY.'!$M$2:$M$943,U$39)</f>
        <v>0</v>
      </c>
      <c r="V50" s="8">
        <f>SUMIFS('HOJAS DE HORA PROY.'!$C$2:$C$943,'HOJAS DE HORA PROY.'!$A$2:$A$943,'PLAN MAESTRO FINAL'!$A50,'HOJAS DE HORA PROY.'!$M$2:$M$943,V$39)</f>
        <v>0</v>
      </c>
      <c r="W50" s="8">
        <f>SUMIFS('HOJAS DE HORA PROY.'!$C$2:$C$943,'HOJAS DE HORA PROY.'!$A$2:$A$943,'PLAN MAESTRO FINAL'!$A50,'HOJAS DE HORA PROY.'!$M$2:$M$943,W$39)</f>
        <v>0</v>
      </c>
    </row>
    <row r="51" spans="1:23" hidden="1" outlineLevel="1" x14ac:dyDescent="0.3">
      <c r="A51" s="13" t="s">
        <v>231</v>
      </c>
      <c r="B51" s="8">
        <f>SUMIFS('HOJAS DE HORA PROY.'!$C$2:$C$943,'HOJAS DE HORA PROY.'!$A$2:$A$943,'PLAN MAESTRO FINAL'!$A51,'HOJAS DE HORA PROY.'!$M$2:$M$943,B$39)</f>
        <v>0</v>
      </c>
      <c r="C51" s="8">
        <f>SUMIFS('HOJAS DE HORA PROY.'!$C$2:$C$943,'HOJAS DE HORA PROY.'!$A$2:$A$943,'PLAN MAESTRO FINAL'!$A51,'HOJAS DE HORA PROY.'!$M$2:$M$943,C$39)</f>
        <v>0</v>
      </c>
      <c r="D51" s="8">
        <f>SUMIFS('HOJAS DE HORA PROY.'!$C$2:$C$943,'HOJAS DE HORA PROY.'!$A$2:$A$943,'PLAN MAESTRO FINAL'!$A51,'HOJAS DE HORA PROY.'!$M$2:$M$943,D$39)</f>
        <v>0</v>
      </c>
      <c r="E51" s="8">
        <f>SUMIFS('HOJAS DE HORA PROY.'!$C$2:$C$943,'HOJAS DE HORA PROY.'!$A$2:$A$943,'PLAN MAESTRO FINAL'!$A51,'HOJAS DE HORA PROY.'!$M$2:$M$943,E$39)</f>
        <v>0</v>
      </c>
      <c r="F51" s="8">
        <f>SUMIFS('HOJAS DE HORA PROY.'!$C$2:$C$943,'HOJAS DE HORA PROY.'!$A$2:$A$943,'PLAN MAESTRO FINAL'!$A51,'HOJAS DE HORA PROY.'!$M$2:$M$943,F$39)</f>
        <v>0</v>
      </c>
      <c r="G51" s="8">
        <f>SUMIFS('HOJAS DE HORA PROY.'!$C$2:$C$943,'HOJAS DE HORA PROY.'!$A$2:$A$943,'PLAN MAESTRO FINAL'!$A51,'HOJAS DE HORA PROY.'!$M$2:$M$943,G$39)</f>
        <v>18</v>
      </c>
      <c r="H51" s="8">
        <f>SUMIFS('HOJAS DE HORA PROY.'!$C$2:$C$943,'HOJAS DE HORA PROY.'!$A$2:$A$943,'PLAN MAESTRO FINAL'!$A51,'HOJAS DE HORA PROY.'!$M$2:$M$943,H$39)</f>
        <v>0</v>
      </c>
      <c r="I51" s="8">
        <f>SUMIFS('HOJAS DE HORA PROY.'!$C$2:$C$943,'HOJAS DE HORA PROY.'!$A$2:$A$943,'PLAN MAESTRO FINAL'!$A51,'HOJAS DE HORA PROY.'!$M$2:$M$943,I$39)</f>
        <v>0</v>
      </c>
      <c r="J51" s="8">
        <f>SUMIFS('HOJAS DE HORA PROY.'!$C$2:$C$943,'HOJAS DE HORA PROY.'!$A$2:$A$943,'PLAN MAESTRO FINAL'!$A51,'HOJAS DE HORA PROY.'!$M$2:$M$943,J$39)</f>
        <v>0</v>
      </c>
      <c r="K51" s="8">
        <f>SUMIFS('HOJAS DE HORA PROY.'!$C$2:$C$943,'HOJAS DE HORA PROY.'!$A$2:$A$943,'PLAN MAESTRO FINAL'!$A51,'HOJAS DE HORA PROY.'!$M$2:$M$943,K$39)</f>
        <v>0</v>
      </c>
      <c r="L51" s="8">
        <f>SUMIFS('HOJAS DE HORA PROY.'!$C$2:$C$943,'HOJAS DE HORA PROY.'!$A$2:$A$943,'PLAN MAESTRO FINAL'!$A51,'HOJAS DE HORA PROY.'!$M$2:$M$943,L$39)</f>
        <v>0</v>
      </c>
      <c r="M51" s="8">
        <f>SUMIFS('HOJAS DE HORA PROY.'!$C$2:$C$943,'HOJAS DE HORA PROY.'!$A$2:$A$943,'PLAN MAESTRO FINAL'!$A51,'HOJAS DE HORA PROY.'!$M$2:$M$943,M$39)</f>
        <v>0</v>
      </c>
      <c r="N51" s="8">
        <f>SUMIFS('HOJAS DE HORA PROY.'!$C$2:$C$943,'HOJAS DE HORA PROY.'!$A$2:$A$943,'PLAN MAESTRO FINAL'!$A51,'HOJAS DE HORA PROY.'!$M$2:$M$943,N$39)</f>
        <v>0</v>
      </c>
      <c r="O51" s="8">
        <f>SUMIFS('HOJAS DE HORA PROY.'!$C$2:$C$943,'HOJAS DE HORA PROY.'!$A$2:$A$943,'PLAN MAESTRO FINAL'!$A51,'HOJAS DE HORA PROY.'!$M$2:$M$943,O$39)</f>
        <v>0</v>
      </c>
      <c r="P51" s="8">
        <f>SUMIFS('HOJAS DE HORA PROY.'!$C$2:$C$943,'HOJAS DE HORA PROY.'!$A$2:$A$943,'PLAN MAESTRO FINAL'!$A51,'HOJAS DE HORA PROY.'!$M$2:$M$943,P$39)</f>
        <v>0</v>
      </c>
      <c r="Q51" s="8">
        <f>SUMIFS('HOJAS DE HORA PROY.'!$C$2:$C$943,'HOJAS DE HORA PROY.'!$A$2:$A$943,'PLAN MAESTRO FINAL'!$A51,'HOJAS DE HORA PROY.'!$M$2:$M$943,Q$39)</f>
        <v>0</v>
      </c>
      <c r="R51" s="8">
        <f>SUMIFS('HOJAS DE HORA PROY.'!$C$2:$C$943,'HOJAS DE HORA PROY.'!$A$2:$A$943,'PLAN MAESTRO FINAL'!$A51,'HOJAS DE HORA PROY.'!$M$2:$M$943,R$39)</f>
        <v>0</v>
      </c>
      <c r="S51" s="8">
        <f>SUMIFS('HOJAS DE HORA PROY.'!$C$2:$C$943,'HOJAS DE HORA PROY.'!$A$2:$A$943,'PLAN MAESTRO FINAL'!$A51,'HOJAS DE HORA PROY.'!$M$2:$M$943,S$39)</f>
        <v>0</v>
      </c>
      <c r="T51" s="8">
        <f>SUMIFS('HOJAS DE HORA PROY.'!$C$2:$C$943,'HOJAS DE HORA PROY.'!$A$2:$A$943,'PLAN MAESTRO FINAL'!$A51,'HOJAS DE HORA PROY.'!$M$2:$M$943,T$39)</f>
        <v>0</v>
      </c>
      <c r="U51" s="8">
        <f>SUMIFS('HOJAS DE HORA PROY.'!$C$2:$C$943,'HOJAS DE HORA PROY.'!$A$2:$A$943,'PLAN MAESTRO FINAL'!$A51,'HOJAS DE HORA PROY.'!$M$2:$M$943,U$39)</f>
        <v>0</v>
      </c>
      <c r="V51" s="8">
        <f>SUMIFS('HOJAS DE HORA PROY.'!$C$2:$C$943,'HOJAS DE HORA PROY.'!$A$2:$A$943,'PLAN MAESTRO FINAL'!$A51,'HOJAS DE HORA PROY.'!$M$2:$M$943,V$39)</f>
        <v>0</v>
      </c>
      <c r="W51" s="8">
        <f>SUMIFS('HOJAS DE HORA PROY.'!$C$2:$C$943,'HOJAS DE HORA PROY.'!$A$2:$A$943,'PLAN MAESTRO FINAL'!$A51,'HOJAS DE HORA PROY.'!$M$2:$M$943,W$39)</f>
        <v>0</v>
      </c>
    </row>
    <row r="52" spans="1:23" hidden="1" outlineLevel="1" x14ac:dyDescent="0.3">
      <c r="A52" s="13" t="s">
        <v>245</v>
      </c>
      <c r="B52" s="8">
        <f>SUMIFS('HOJAS DE HORA PROY.'!$C$2:$C$943,'HOJAS DE HORA PROY.'!$A$2:$A$943,'PLAN MAESTRO FINAL'!$A52,'HOJAS DE HORA PROY.'!$M$2:$M$943,B$39)</f>
        <v>0</v>
      </c>
      <c r="C52" s="8">
        <f>SUMIFS('HOJAS DE HORA PROY.'!$C$2:$C$943,'HOJAS DE HORA PROY.'!$A$2:$A$943,'PLAN MAESTRO FINAL'!$A52,'HOJAS DE HORA PROY.'!$M$2:$M$943,C$39)</f>
        <v>0</v>
      </c>
      <c r="D52" s="8">
        <f>SUMIFS('HOJAS DE HORA PROY.'!$C$2:$C$943,'HOJAS DE HORA PROY.'!$A$2:$A$943,'PLAN MAESTRO FINAL'!$A52,'HOJAS DE HORA PROY.'!$M$2:$M$943,D$39)</f>
        <v>0</v>
      </c>
      <c r="E52" s="8">
        <f>SUMIFS('HOJAS DE HORA PROY.'!$C$2:$C$943,'HOJAS DE HORA PROY.'!$A$2:$A$943,'PLAN MAESTRO FINAL'!$A52,'HOJAS DE HORA PROY.'!$M$2:$M$943,E$39)</f>
        <v>0</v>
      </c>
      <c r="F52" s="8">
        <f>SUMIFS('HOJAS DE HORA PROY.'!$C$2:$C$943,'HOJAS DE HORA PROY.'!$A$2:$A$943,'PLAN MAESTRO FINAL'!$A52,'HOJAS DE HORA PROY.'!$M$2:$M$943,F$39)</f>
        <v>0</v>
      </c>
      <c r="G52" s="8">
        <f>SUMIFS('HOJAS DE HORA PROY.'!$C$2:$C$943,'HOJAS DE HORA PROY.'!$A$2:$A$943,'PLAN MAESTRO FINAL'!$A52,'HOJAS DE HORA PROY.'!$M$2:$M$943,G$39)</f>
        <v>0</v>
      </c>
      <c r="H52" s="8">
        <f>SUMIFS('HOJAS DE HORA PROY.'!$C$2:$C$943,'HOJAS DE HORA PROY.'!$A$2:$A$943,'PLAN MAESTRO FINAL'!$A52,'HOJAS DE HORA PROY.'!$M$2:$M$943,H$39)</f>
        <v>0</v>
      </c>
      <c r="I52" s="8">
        <f>SUMIFS('HOJAS DE HORA PROY.'!$C$2:$C$943,'HOJAS DE HORA PROY.'!$A$2:$A$943,'PLAN MAESTRO FINAL'!$A52,'HOJAS DE HORA PROY.'!$M$2:$M$943,I$39)</f>
        <v>0</v>
      </c>
      <c r="J52" s="8">
        <f>SUMIFS('HOJAS DE HORA PROY.'!$C$2:$C$943,'HOJAS DE HORA PROY.'!$A$2:$A$943,'PLAN MAESTRO FINAL'!$A52,'HOJAS DE HORA PROY.'!$M$2:$M$943,J$39)</f>
        <v>0</v>
      </c>
      <c r="K52" s="8">
        <f>SUMIFS('HOJAS DE HORA PROY.'!$C$2:$C$943,'HOJAS DE HORA PROY.'!$A$2:$A$943,'PLAN MAESTRO FINAL'!$A52,'HOJAS DE HORA PROY.'!$M$2:$M$943,K$39)</f>
        <v>0</v>
      </c>
      <c r="L52" s="8">
        <f>SUMIFS('HOJAS DE HORA PROY.'!$C$2:$C$943,'HOJAS DE HORA PROY.'!$A$2:$A$943,'PLAN MAESTRO FINAL'!$A52,'HOJAS DE HORA PROY.'!$M$2:$M$943,L$39)</f>
        <v>0</v>
      </c>
      <c r="M52" s="8">
        <f>SUMIFS('HOJAS DE HORA PROY.'!$C$2:$C$943,'HOJAS DE HORA PROY.'!$A$2:$A$943,'PLAN MAESTRO FINAL'!$A52,'HOJAS DE HORA PROY.'!$M$2:$M$943,M$39)</f>
        <v>0</v>
      </c>
      <c r="N52" s="8">
        <f>SUMIFS('HOJAS DE HORA PROY.'!$C$2:$C$943,'HOJAS DE HORA PROY.'!$A$2:$A$943,'PLAN MAESTRO FINAL'!$A52,'HOJAS DE HORA PROY.'!$M$2:$M$943,N$39)</f>
        <v>0</v>
      </c>
      <c r="O52" s="8">
        <f>SUMIFS('HOJAS DE HORA PROY.'!$C$2:$C$943,'HOJAS DE HORA PROY.'!$A$2:$A$943,'PLAN MAESTRO FINAL'!$A52,'HOJAS DE HORA PROY.'!$M$2:$M$943,O$39)</f>
        <v>0</v>
      </c>
      <c r="P52" s="8">
        <f>SUMIFS('HOJAS DE HORA PROY.'!$C$2:$C$943,'HOJAS DE HORA PROY.'!$A$2:$A$943,'PLAN MAESTRO FINAL'!$A52,'HOJAS DE HORA PROY.'!$M$2:$M$943,P$39)</f>
        <v>0</v>
      </c>
      <c r="Q52" s="8">
        <f>SUMIFS('HOJAS DE HORA PROY.'!$C$2:$C$943,'HOJAS DE HORA PROY.'!$A$2:$A$943,'PLAN MAESTRO FINAL'!$A52,'HOJAS DE HORA PROY.'!$M$2:$M$943,Q$39)</f>
        <v>0</v>
      </c>
      <c r="R52" s="8">
        <f>SUMIFS('HOJAS DE HORA PROY.'!$C$2:$C$943,'HOJAS DE HORA PROY.'!$A$2:$A$943,'PLAN MAESTRO FINAL'!$A52,'HOJAS DE HORA PROY.'!$M$2:$M$943,R$39)</f>
        <v>0</v>
      </c>
      <c r="S52" s="8">
        <f>SUMIFS('HOJAS DE HORA PROY.'!$C$2:$C$943,'HOJAS DE HORA PROY.'!$A$2:$A$943,'PLAN MAESTRO FINAL'!$A52,'HOJAS DE HORA PROY.'!$M$2:$M$943,S$39)</f>
        <v>0</v>
      </c>
      <c r="T52" s="8">
        <f>SUMIFS('HOJAS DE HORA PROY.'!$C$2:$C$943,'HOJAS DE HORA PROY.'!$A$2:$A$943,'PLAN MAESTRO FINAL'!$A52,'HOJAS DE HORA PROY.'!$M$2:$M$943,T$39)</f>
        <v>0</v>
      </c>
      <c r="U52" s="8">
        <f>SUMIFS('HOJAS DE HORA PROY.'!$C$2:$C$943,'HOJAS DE HORA PROY.'!$A$2:$A$943,'PLAN MAESTRO FINAL'!$A52,'HOJAS DE HORA PROY.'!$M$2:$M$943,U$39)</f>
        <v>0</v>
      </c>
      <c r="V52" s="8">
        <f>SUMIFS('HOJAS DE HORA PROY.'!$C$2:$C$943,'HOJAS DE HORA PROY.'!$A$2:$A$943,'PLAN MAESTRO FINAL'!$A52,'HOJAS DE HORA PROY.'!$M$2:$M$943,V$39)</f>
        <v>0</v>
      </c>
      <c r="W52" s="8">
        <f>SUMIFS('HOJAS DE HORA PROY.'!$C$2:$C$943,'HOJAS DE HORA PROY.'!$A$2:$A$943,'PLAN MAESTRO FINAL'!$A52,'HOJAS DE HORA PROY.'!$M$2:$M$943,W$39)</f>
        <v>0</v>
      </c>
    </row>
    <row r="53" spans="1:23" hidden="1" outlineLevel="1" x14ac:dyDescent="0.3">
      <c r="A53" s="13" t="s">
        <v>262</v>
      </c>
      <c r="B53" s="8">
        <f>SUMIFS('HOJAS DE HORA PROY.'!$C$2:$C$943,'HOJAS DE HORA PROY.'!$A$2:$A$943,'PLAN MAESTRO FINAL'!$A53,'HOJAS DE HORA PROY.'!$M$2:$M$943,B$39)</f>
        <v>0</v>
      </c>
      <c r="C53" s="8">
        <f>SUMIFS('HOJAS DE HORA PROY.'!$C$2:$C$943,'HOJAS DE HORA PROY.'!$A$2:$A$943,'PLAN MAESTRO FINAL'!$A53,'HOJAS DE HORA PROY.'!$M$2:$M$943,C$39)</f>
        <v>0</v>
      </c>
      <c r="D53" s="8">
        <f>SUMIFS('HOJAS DE HORA PROY.'!$C$2:$C$943,'HOJAS DE HORA PROY.'!$A$2:$A$943,'PLAN MAESTRO FINAL'!$A53,'HOJAS DE HORA PROY.'!$M$2:$M$943,D$39)</f>
        <v>0</v>
      </c>
      <c r="E53" s="8">
        <f>SUMIFS('HOJAS DE HORA PROY.'!$C$2:$C$943,'HOJAS DE HORA PROY.'!$A$2:$A$943,'PLAN MAESTRO FINAL'!$A53,'HOJAS DE HORA PROY.'!$M$2:$M$943,E$39)</f>
        <v>0</v>
      </c>
      <c r="F53" s="8">
        <f>SUMIFS('HOJAS DE HORA PROY.'!$C$2:$C$943,'HOJAS DE HORA PROY.'!$A$2:$A$943,'PLAN MAESTRO FINAL'!$A53,'HOJAS DE HORA PROY.'!$M$2:$M$943,F$39)</f>
        <v>0</v>
      </c>
      <c r="G53" s="8">
        <f>SUMIFS('HOJAS DE HORA PROY.'!$C$2:$C$943,'HOJAS DE HORA PROY.'!$A$2:$A$943,'PLAN MAESTRO FINAL'!$A53,'HOJAS DE HORA PROY.'!$M$2:$M$943,G$39)</f>
        <v>0</v>
      </c>
      <c r="H53" s="8">
        <f>SUMIFS('HOJAS DE HORA PROY.'!$C$2:$C$943,'HOJAS DE HORA PROY.'!$A$2:$A$943,'PLAN MAESTRO FINAL'!$A53,'HOJAS DE HORA PROY.'!$M$2:$M$943,H$39)</f>
        <v>0</v>
      </c>
      <c r="I53" s="8">
        <f>SUMIFS('HOJAS DE HORA PROY.'!$C$2:$C$943,'HOJAS DE HORA PROY.'!$A$2:$A$943,'PLAN MAESTRO FINAL'!$A53,'HOJAS DE HORA PROY.'!$M$2:$M$943,I$39)</f>
        <v>0</v>
      </c>
      <c r="J53" s="8">
        <f>SUMIFS('HOJAS DE HORA PROY.'!$C$2:$C$943,'HOJAS DE HORA PROY.'!$A$2:$A$943,'PLAN MAESTRO FINAL'!$A53,'HOJAS DE HORA PROY.'!$M$2:$M$943,J$39)</f>
        <v>0</v>
      </c>
      <c r="K53" s="8">
        <f>SUMIFS('HOJAS DE HORA PROY.'!$C$2:$C$943,'HOJAS DE HORA PROY.'!$A$2:$A$943,'PLAN MAESTRO FINAL'!$A53,'HOJAS DE HORA PROY.'!$M$2:$M$943,K$39)</f>
        <v>0</v>
      </c>
      <c r="L53" s="8">
        <f>SUMIFS('HOJAS DE HORA PROY.'!$C$2:$C$943,'HOJAS DE HORA PROY.'!$A$2:$A$943,'PLAN MAESTRO FINAL'!$A53,'HOJAS DE HORA PROY.'!$M$2:$M$943,L$39)</f>
        <v>0</v>
      </c>
      <c r="M53" s="8">
        <f>SUMIFS('HOJAS DE HORA PROY.'!$C$2:$C$943,'HOJAS DE HORA PROY.'!$A$2:$A$943,'PLAN MAESTRO FINAL'!$A53,'HOJAS DE HORA PROY.'!$M$2:$M$943,M$39)</f>
        <v>0</v>
      </c>
      <c r="N53" s="8">
        <f>SUMIFS('HOJAS DE HORA PROY.'!$C$2:$C$943,'HOJAS DE HORA PROY.'!$A$2:$A$943,'PLAN MAESTRO FINAL'!$A53,'HOJAS DE HORA PROY.'!$M$2:$M$943,N$39)</f>
        <v>0</v>
      </c>
      <c r="O53" s="8">
        <f>SUMIFS('HOJAS DE HORA PROY.'!$C$2:$C$943,'HOJAS DE HORA PROY.'!$A$2:$A$943,'PLAN MAESTRO FINAL'!$A53,'HOJAS DE HORA PROY.'!$M$2:$M$943,O$39)</f>
        <v>0</v>
      </c>
      <c r="P53" s="8">
        <f>SUMIFS('HOJAS DE HORA PROY.'!$C$2:$C$943,'HOJAS DE HORA PROY.'!$A$2:$A$943,'PLAN MAESTRO FINAL'!$A53,'HOJAS DE HORA PROY.'!$M$2:$M$943,P$39)</f>
        <v>0</v>
      </c>
      <c r="Q53" s="8">
        <f>SUMIFS('HOJAS DE HORA PROY.'!$C$2:$C$943,'HOJAS DE HORA PROY.'!$A$2:$A$943,'PLAN MAESTRO FINAL'!$A53,'HOJAS DE HORA PROY.'!$M$2:$M$943,Q$39)</f>
        <v>0</v>
      </c>
      <c r="R53" s="8">
        <f>SUMIFS('HOJAS DE HORA PROY.'!$C$2:$C$943,'HOJAS DE HORA PROY.'!$A$2:$A$943,'PLAN MAESTRO FINAL'!$A53,'HOJAS DE HORA PROY.'!$M$2:$M$943,R$39)</f>
        <v>0</v>
      </c>
      <c r="S53" s="8">
        <f>SUMIFS('HOJAS DE HORA PROY.'!$C$2:$C$943,'HOJAS DE HORA PROY.'!$A$2:$A$943,'PLAN MAESTRO FINAL'!$A53,'HOJAS DE HORA PROY.'!$M$2:$M$943,S$39)</f>
        <v>0</v>
      </c>
      <c r="T53" s="8">
        <f>SUMIFS('HOJAS DE HORA PROY.'!$C$2:$C$943,'HOJAS DE HORA PROY.'!$A$2:$A$943,'PLAN MAESTRO FINAL'!$A53,'HOJAS DE HORA PROY.'!$M$2:$M$943,T$39)</f>
        <v>0</v>
      </c>
      <c r="U53" s="8">
        <f>SUMIFS('HOJAS DE HORA PROY.'!$C$2:$C$943,'HOJAS DE HORA PROY.'!$A$2:$A$943,'PLAN MAESTRO FINAL'!$A53,'HOJAS DE HORA PROY.'!$M$2:$M$943,U$39)</f>
        <v>0</v>
      </c>
      <c r="V53" s="8">
        <f>SUMIFS('HOJAS DE HORA PROY.'!$C$2:$C$943,'HOJAS DE HORA PROY.'!$A$2:$A$943,'PLAN MAESTRO FINAL'!$A53,'HOJAS DE HORA PROY.'!$M$2:$M$943,V$39)</f>
        <v>0</v>
      </c>
      <c r="W53" s="8">
        <f>SUMIFS('HOJAS DE HORA PROY.'!$C$2:$C$943,'HOJAS DE HORA PROY.'!$A$2:$A$943,'PLAN MAESTRO FINAL'!$A53,'HOJAS DE HORA PROY.'!$M$2:$M$943,W$39)</f>
        <v>0</v>
      </c>
    </row>
    <row r="54" spans="1:23" hidden="1" outlineLevel="1" x14ac:dyDescent="0.3">
      <c r="A54" s="13" t="s">
        <v>265</v>
      </c>
      <c r="B54" s="8">
        <f>SUMIFS('HOJAS DE HORA PROY.'!$C$2:$C$943,'HOJAS DE HORA PROY.'!$A$2:$A$943,'PLAN MAESTRO FINAL'!$A54,'HOJAS DE HORA PROY.'!$M$2:$M$943,B$39)</f>
        <v>0</v>
      </c>
      <c r="C54" s="8">
        <f>SUMIFS('HOJAS DE HORA PROY.'!$C$2:$C$943,'HOJAS DE HORA PROY.'!$A$2:$A$943,'PLAN MAESTRO FINAL'!$A54,'HOJAS DE HORA PROY.'!$M$2:$M$943,C$39)</f>
        <v>0</v>
      </c>
      <c r="D54" s="8">
        <f>SUMIFS('HOJAS DE HORA PROY.'!$C$2:$C$943,'HOJAS DE HORA PROY.'!$A$2:$A$943,'PLAN MAESTRO FINAL'!$A54,'HOJAS DE HORA PROY.'!$M$2:$M$943,D$39)</f>
        <v>0</v>
      </c>
      <c r="E54" s="8">
        <f>SUMIFS('HOJAS DE HORA PROY.'!$C$2:$C$943,'HOJAS DE HORA PROY.'!$A$2:$A$943,'PLAN MAESTRO FINAL'!$A54,'HOJAS DE HORA PROY.'!$M$2:$M$943,E$39)</f>
        <v>0</v>
      </c>
      <c r="F54" s="8">
        <f>SUMIFS('HOJAS DE HORA PROY.'!$C$2:$C$943,'HOJAS DE HORA PROY.'!$A$2:$A$943,'PLAN MAESTRO FINAL'!$A54,'HOJAS DE HORA PROY.'!$M$2:$M$943,F$39)</f>
        <v>0</v>
      </c>
      <c r="G54" s="8">
        <f>SUMIFS('HOJAS DE HORA PROY.'!$C$2:$C$943,'HOJAS DE HORA PROY.'!$A$2:$A$943,'PLAN MAESTRO FINAL'!$A54,'HOJAS DE HORA PROY.'!$M$2:$M$943,G$39)</f>
        <v>0</v>
      </c>
      <c r="H54" s="8">
        <f>SUMIFS('HOJAS DE HORA PROY.'!$C$2:$C$943,'HOJAS DE HORA PROY.'!$A$2:$A$943,'PLAN MAESTRO FINAL'!$A54,'HOJAS DE HORA PROY.'!$M$2:$M$943,H$39)</f>
        <v>0</v>
      </c>
      <c r="I54" s="8">
        <f>SUMIFS('HOJAS DE HORA PROY.'!$C$2:$C$943,'HOJAS DE HORA PROY.'!$A$2:$A$943,'PLAN MAESTRO FINAL'!$A54,'HOJAS DE HORA PROY.'!$M$2:$M$943,I$39)</f>
        <v>0</v>
      </c>
      <c r="J54" s="8">
        <f>SUMIFS('HOJAS DE HORA PROY.'!$C$2:$C$943,'HOJAS DE HORA PROY.'!$A$2:$A$943,'PLAN MAESTRO FINAL'!$A54,'HOJAS DE HORA PROY.'!$M$2:$M$943,J$39)</f>
        <v>0</v>
      </c>
      <c r="K54" s="8">
        <f>SUMIFS('HOJAS DE HORA PROY.'!$C$2:$C$943,'HOJAS DE HORA PROY.'!$A$2:$A$943,'PLAN MAESTRO FINAL'!$A54,'HOJAS DE HORA PROY.'!$M$2:$M$943,K$39)</f>
        <v>0</v>
      </c>
      <c r="L54" s="8">
        <f>SUMIFS('HOJAS DE HORA PROY.'!$C$2:$C$943,'HOJAS DE HORA PROY.'!$A$2:$A$943,'PLAN MAESTRO FINAL'!$A54,'HOJAS DE HORA PROY.'!$M$2:$M$943,L$39)</f>
        <v>0</v>
      </c>
      <c r="M54" s="8">
        <f>SUMIFS('HOJAS DE HORA PROY.'!$C$2:$C$943,'HOJAS DE HORA PROY.'!$A$2:$A$943,'PLAN MAESTRO FINAL'!$A54,'HOJAS DE HORA PROY.'!$M$2:$M$943,M$39)</f>
        <v>0</v>
      </c>
      <c r="N54" s="8">
        <f>SUMIFS('HOJAS DE HORA PROY.'!$C$2:$C$943,'HOJAS DE HORA PROY.'!$A$2:$A$943,'PLAN MAESTRO FINAL'!$A54,'HOJAS DE HORA PROY.'!$M$2:$M$943,N$39)</f>
        <v>0</v>
      </c>
      <c r="O54" s="8">
        <f>SUMIFS('HOJAS DE HORA PROY.'!$C$2:$C$943,'HOJAS DE HORA PROY.'!$A$2:$A$943,'PLAN MAESTRO FINAL'!$A54,'HOJAS DE HORA PROY.'!$M$2:$M$943,O$39)</f>
        <v>0</v>
      </c>
      <c r="P54" s="8">
        <f>SUMIFS('HOJAS DE HORA PROY.'!$C$2:$C$943,'HOJAS DE HORA PROY.'!$A$2:$A$943,'PLAN MAESTRO FINAL'!$A54,'HOJAS DE HORA PROY.'!$M$2:$M$943,P$39)</f>
        <v>0</v>
      </c>
      <c r="Q54" s="8">
        <f>SUMIFS('HOJAS DE HORA PROY.'!$C$2:$C$943,'HOJAS DE HORA PROY.'!$A$2:$A$943,'PLAN MAESTRO FINAL'!$A54,'HOJAS DE HORA PROY.'!$M$2:$M$943,Q$39)</f>
        <v>0</v>
      </c>
      <c r="R54" s="8">
        <f>SUMIFS('HOJAS DE HORA PROY.'!$C$2:$C$943,'HOJAS DE HORA PROY.'!$A$2:$A$943,'PLAN MAESTRO FINAL'!$A54,'HOJAS DE HORA PROY.'!$M$2:$M$943,R$39)</f>
        <v>0</v>
      </c>
      <c r="S54" s="8">
        <f>SUMIFS('HOJAS DE HORA PROY.'!$C$2:$C$943,'HOJAS DE HORA PROY.'!$A$2:$A$943,'PLAN MAESTRO FINAL'!$A54,'HOJAS DE HORA PROY.'!$M$2:$M$943,S$39)</f>
        <v>0</v>
      </c>
      <c r="T54" s="8">
        <f>SUMIFS('HOJAS DE HORA PROY.'!$C$2:$C$943,'HOJAS DE HORA PROY.'!$A$2:$A$943,'PLAN MAESTRO FINAL'!$A54,'HOJAS DE HORA PROY.'!$M$2:$M$943,T$39)</f>
        <v>0</v>
      </c>
      <c r="U54" s="8">
        <f>SUMIFS('HOJAS DE HORA PROY.'!$C$2:$C$943,'HOJAS DE HORA PROY.'!$A$2:$A$943,'PLAN MAESTRO FINAL'!$A54,'HOJAS DE HORA PROY.'!$M$2:$M$943,U$39)</f>
        <v>0</v>
      </c>
      <c r="V54" s="8">
        <f>SUMIFS('HOJAS DE HORA PROY.'!$C$2:$C$943,'HOJAS DE HORA PROY.'!$A$2:$A$943,'PLAN MAESTRO FINAL'!$A54,'HOJAS DE HORA PROY.'!$M$2:$M$943,V$39)</f>
        <v>0</v>
      </c>
      <c r="W54" s="8">
        <f>SUMIFS('HOJAS DE HORA PROY.'!$C$2:$C$943,'HOJAS DE HORA PROY.'!$A$2:$A$943,'PLAN MAESTRO FINAL'!$A54,'HOJAS DE HORA PROY.'!$M$2:$M$943,W$39)</f>
        <v>0</v>
      </c>
    </row>
    <row r="55" spans="1:23" hidden="1" outlineLevel="1" x14ac:dyDescent="0.3">
      <c r="A55" s="13" t="s">
        <v>267</v>
      </c>
      <c r="B55" s="8">
        <f>SUMIFS('HOJAS DE HORA PROY.'!$C$2:$C$943,'HOJAS DE HORA PROY.'!$A$2:$A$943,'PLAN MAESTRO FINAL'!$A55,'HOJAS DE HORA PROY.'!$M$2:$M$943,B$39)</f>
        <v>0</v>
      </c>
      <c r="C55" s="8">
        <f>SUMIFS('HOJAS DE HORA PROY.'!$C$2:$C$943,'HOJAS DE HORA PROY.'!$A$2:$A$943,'PLAN MAESTRO FINAL'!$A55,'HOJAS DE HORA PROY.'!$M$2:$M$943,C$39)</f>
        <v>0</v>
      </c>
      <c r="D55" s="8">
        <f>SUMIFS('HOJAS DE HORA PROY.'!$C$2:$C$943,'HOJAS DE HORA PROY.'!$A$2:$A$943,'PLAN MAESTRO FINAL'!$A55,'HOJAS DE HORA PROY.'!$M$2:$M$943,D$39)</f>
        <v>0</v>
      </c>
      <c r="E55" s="8">
        <f>SUMIFS('HOJAS DE HORA PROY.'!$C$2:$C$943,'HOJAS DE HORA PROY.'!$A$2:$A$943,'PLAN MAESTRO FINAL'!$A55,'HOJAS DE HORA PROY.'!$M$2:$M$943,E$39)</f>
        <v>0</v>
      </c>
      <c r="F55" s="8">
        <f>SUMIFS('HOJAS DE HORA PROY.'!$C$2:$C$943,'HOJAS DE HORA PROY.'!$A$2:$A$943,'PLAN MAESTRO FINAL'!$A55,'HOJAS DE HORA PROY.'!$M$2:$M$943,F$39)</f>
        <v>0</v>
      </c>
      <c r="G55" s="8">
        <f>SUMIFS('HOJAS DE HORA PROY.'!$C$2:$C$943,'HOJAS DE HORA PROY.'!$A$2:$A$943,'PLAN MAESTRO FINAL'!$A55,'HOJAS DE HORA PROY.'!$M$2:$M$943,G$39)</f>
        <v>0</v>
      </c>
      <c r="H55" s="8">
        <f>SUMIFS('HOJAS DE HORA PROY.'!$C$2:$C$943,'HOJAS DE HORA PROY.'!$A$2:$A$943,'PLAN MAESTRO FINAL'!$A55,'HOJAS DE HORA PROY.'!$M$2:$M$943,H$39)</f>
        <v>0</v>
      </c>
      <c r="I55" s="8">
        <f>SUMIFS('HOJAS DE HORA PROY.'!$C$2:$C$943,'HOJAS DE HORA PROY.'!$A$2:$A$943,'PLAN MAESTRO FINAL'!$A55,'HOJAS DE HORA PROY.'!$M$2:$M$943,I$39)</f>
        <v>0</v>
      </c>
      <c r="J55" s="8">
        <f>SUMIFS('HOJAS DE HORA PROY.'!$C$2:$C$943,'HOJAS DE HORA PROY.'!$A$2:$A$943,'PLAN MAESTRO FINAL'!$A55,'HOJAS DE HORA PROY.'!$M$2:$M$943,J$39)</f>
        <v>0</v>
      </c>
      <c r="K55" s="8">
        <f>SUMIFS('HOJAS DE HORA PROY.'!$C$2:$C$943,'HOJAS DE HORA PROY.'!$A$2:$A$943,'PLAN MAESTRO FINAL'!$A55,'HOJAS DE HORA PROY.'!$M$2:$M$943,K$39)</f>
        <v>0</v>
      </c>
      <c r="L55" s="8">
        <f>SUMIFS('HOJAS DE HORA PROY.'!$C$2:$C$943,'HOJAS DE HORA PROY.'!$A$2:$A$943,'PLAN MAESTRO FINAL'!$A55,'HOJAS DE HORA PROY.'!$M$2:$M$943,L$39)</f>
        <v>0</v>
      </c>
      <c r="M55" s="8">
        <f>SUMIFS('HOJAS DE HORA PROY.'!$C$2:$C$943,'HOJAS DE HORA PROY.'!$A$2:$A$943,'PLAN MAESTRO FINAL'!$A55,'HOJAS DE HORA PROY.'!$M$2:$M$943,M$39)</f>
        <v>0</v>
      </c>
      <c r="N55" s="8">
        <f>SUMIFS('HOJAS DE HORA PROY.'!$C$2:$C$943,'HOJAS DE HORA PROY.'!$A$2:$A$943,'PLAN MAESTRO FINAL'!$A55,'HOJAS DE HORA PROY.'!$M$2:$M$943,N$39)</f>
        <v>0</v>
      </c>
      <c r="O55" s="8">
        <f>SUMIFS('HOJAS DE HORA PROY.'!$C$2:$C$943,'HOJAS DE HORA PROY.'!$A$2:$A$943,'PLAN MAESTRO FINAL'!$A55,'HOJAS DE HORA PROY.'!$M$2:$M$943,O$39)</f>
        <v>0</v>
      </c>
      <c r="P55" s="8">
        <f>SUMIFS('HOJAS DE HORA PROY.'!$C$2:$C$943,'HOJAS DE HORA PROY.'!$A$2:$A$943,'PLAN MAESTRO FINAL'!$A55,'HOJAS DE HORA PROY.'!$M$2:$M$943,P$39)</f>
        <v>0</v>
      </c>
      <c r="Q55" s="8">
        <f>SUMIFS('HOJAS DE HORA PROY.'!$C$2:$C$943,'HOJAS DE HORA PROY.'!$A$2:$A$943,'PLAN MAESTRO FINAL'!$A55,'HOJAS DE HORA PROY.'!$M$2:$M$943,Q$39)</f>
        <v>0</v>
      </c>
      <c r="R55" s="8">
        <f>SUMIFS('HOJAS DE HORA PROY.'!$C$2:$C$943,'HOJAS DE HORA PROY.'!$A$2:$A$943,'PLAN MAESTRO FINAL'!$A55,'HOJAS DE HORA PROY.'!$M$2:$M$943,R$39)</f>
        <v>0</v>
      </c>
      <c r="S55" s="8">
        <f>SUMIFS('HOJAS DE HORA PROY.'!$C$2:$C$943,'HOJAS DE HORA PROY.'!$A$2:$A$943,'PLAN MAESTRO FINAL'!$A55,'HOJAS DE HORA PROY.'!$M$2:$M$943,S$39)</f>
        <v>0</v>
      </c>
      <c r="T55" s="8">
        <f>SUMIFS('HOJAS DE HORA PROY.'!$C$2:$C$943,'HOJAS DE HORA PROY.'!$A$2:$A$943,'PLAN MAESTRO FINAL'!$A55,'HOJAS DE HORA PROY.'!$M$2:$M$943,T$39)</f>
        <v>0</v>
      </c>
      <c r="U55" s="8">
        <f>SUMIFS('HOJAS DE HORA PROY.'!$C$2:$C$943,'HOJAS DE HORA PROY.'!$A$2:$A$943,'PLAN MAESTRO FINAL'!$A55,'HOJAS DE HORA PROY.'!$M$2:$M$943,U$39)</f>
        <v>0</v>
      </c>
      <c r="V55" s="8">
        <f>SUMIFS('HOJAS DE HORA PROY.'!$C$2:$C$943,'HOJAS DE HORA PROY.'!$A$2:$A$943,'PLAN MAESTRO FINAL'!$A55,'HOJAS DE HORA PROY.'!$M$2:$M$943,V$39)</f>
        <v>0</v>
      </c>
      <c r="W55" s="8">
        <f>SUMIFS('HOJAS DE HORA PROY.'!$C$2:$C$943,'HOJAS DE HORA PROY.'!$A$2:$A$943,'PLAN MAESTRO FINAL'!$A55,'HOJAS DE HORA PROY.'!$M$2:$M$943,W$39)</f>
        <v>0</v>
      </c>
    </row>
    <row r="56" spans="1:23" hidden="1" outlineLevel="1" x14ac:dyDescent="0.3">
      <c r="A56" s="13" t="s">
        <v>306</v>
      </c>
      <c r="B56" s="8">
        <f>SUMIFS('HOJAS DE HORA PROY.'!$C$2:$C$943,'HOJAS DE HORA PROY.'!$A$2:$A$943,'PLAN MAESTRO FINAL'!$A56,'HOJAS DE HORA PROY.'!$M$2:$M$943,B$39)</f>
        <v>0</v>
      </c>
      <c r="C56" s="8">
        <f>SUMIFS('HOJAS DE HORA PROY.'!$C$2:$C$943,'HOJAS DE HORA PROY.'!$A$2:$A$943,'PLAN MAESTRO FINAL'!$A56,'HOJAS DE HORA PROY.'!$M$2:$M$943,C$39)</f>
        <v>0</v>
      </c>
      <c r="D56" s="8">
        <f>SUMIFS('HOJAS DE HORA PROY.'!$C$2:$C$943,'HOJAS DE HORA PROY.'!$A$2:$A$943,'PLAN MAESTRO FINAL'!$A56,'HOJAS DE HORA PROY.'!$M$2:$M$943,D$39)</f>
        <v>0</v>
      </c>
      <c r="E56" s="8">
        <f>SUMIFS('HOJAS DE HORA PROY.'!$C$2:$C$943,'HOJAS DE HORA PROY.'!$A$2:$A$943,'PLAN MAESTRO FINAL'!$A56,'HOJAS DE HORA PROY.'!$M$2:$M$943,E$39)</f>
        <v>0</v>
      </c>
      <c r="F56" s="8">
        <f>SUMIFS('HOJAS DE HORA PROY.'!$C$2:$C$943,'HOJAS DE HORA PROY.'!$A$2:$A$943,'PLAN MAESTRO FINAL'!$A56,'HOJAS DE HORA PROY.'!$M$2:$M$943,F$39)</f>
        <v>33</v>
      </c>
      <c r="G56" s="8">
        <f>SUMIFS('HOJAS DE HORA PROY.'!$C$2:$C$943,'HOJAS DE HORA PROY.'!$A$2:$A$943,'PLAN MAESTRO FINAL'!$A56,'HOJAS DE HORA PROY.'!$M$2:$M$943,G$39)</f>
        <v>0</v>
      </c>
      <c r="H56" s="8">
        <f>SUMIFS('HOJAS DE HORA PROY.'!$C$2:$C$943,'HOJAS DE HORA PROY.'!$A$2:$A$943,'PLAN MAESTRO FINAL'!$A56,'HOJAS DE HORA PROY.'!$M$2:$M$943,H$39)</f>
        <v>0</v>
      </c>
      <c r="I56" s="8">
        <f>SUMIFS('HOJAS DE HORA PROY.'!$C$2:$C$943,'HOJAS DE HORA PROY.'!$A$2:$A$943,'PLAN MAESTRO FINAL'!$A56,'HOJAS DE HORA PROY.'!$M$2:$M$943,I$39)</f>
        <v>0</v>
      </c>
      <c r="J56" s="8">
        <f>SUMIFS('HOJAS DE HORA PROY.'!$C$2:$C$943,'HOJAS DE HORA PROY.'!$A$2:$A$943,'PLAN MAESTRO FINAL'!$A56,'HOJAS DE HORA PROY.'!$M$2:$M$943,J$39)</f>
        <v>0</v>
      </c>
      <c r="K56" s="8">
        <f>SUMIFS('HOJAS DE HORA PROY.'!$C$2:$C$943,'HOJAS DE HORA PROY.'!$A$2:$A$943,'PLAN MAESTRO FINAL'!$A56,'HOJAS DE HORA PROY.'!$M$2:$M$943,K$39)</f>
        <v>0</v>
      </c>
      <c r="L56" s="8">
        <f>SUMIFS('HOJAS DE HORA PROY.'!$C$2:$C$943,'HOJAS DE HORA PROY.'!$A$2:$A$943,'PLAN MAESTRO FINAL'!$A56,'HOJAS DE HORA PROY.'!$M$2:$M$943,L$39)</f>
        <v>0</v>
      </c>
      <c r="M56" s="8">
        <f>SUMIFS('HOJAS DE HORA PROY.'!$C$2:$C$943,'HOJAS DE HORA PROY.'!$A$2:$A$943,'PLAN MAESTRO FINAL'!$A56,'HOJAS DE HORA PROY.'!$M$2:$M$943,M$39)</f>
        <v>0</v>
      </c>
      <c r="N56" s="8">
        <f>SUMIFS('HOJAS DE HORA PROY.'!$C$2:$C$943,'HOJAS DE HORA PROY.'!$A$2:$A$943,'PLAN MAESTRO FINAL'!$A56,'HOJAS DE HORA PROY.'!$M$2:$M$943,N$39)</f>
        <v>0</v>
      </c>
      <c r="O56" s="8">
        <f>SUMIFS('HOJAS DE HORA PROY.'!$C$2:$C$943,'HOJAS DE HORA PROY.'!$A$2:$A$943,'PLAN MAESTRO FINAL'!$A56,'HOJAS DE HORA PROY.'!$M$2:$M$943,O$39)</f>
        <v>0</v>
      </c>
      <c r="P56" s="8">
        <f>SUMIFS('HOJAS DE HORA PROY.'!$C$2:$C$943,'HOJAS DE HORA PROY.'!$A$2:$A$943,'PLAN MAESTRO FINAL'!$A56,'HOJAS DE HORA PROY.'!$M$2:$M$943,P$39)</f>
        <v>0</v>
      </c>
      <c r="Q56" s="8">
        <f>SUMIFS('HOJAS DE HORA PROY.'!$C$2:$C$943,'HOJAS DE HORA PROY.'!$A$2:$A$943,'PLAN MAESTRO FINAL'!$A56,'HOJAS DE HORA PROY.'!$M$2:$M$943,Q$39)</f>
        <v>0</v>
      </c>
      <c r="R56" s="8">
        <f>SUMIFS('HOJAS DE HORA PROY.'!$C$2:$C$943,'HOJAS DE HORA PROY.'!$A$2:$A$943,'PLAN MAESTRO FINAL'!$A56,'HOJAS DE HORA PROY.'!$M$2:$M$943,R$39)</f>
        <v>0</v>
      </c>
      <c r="S56" s="8">
        <f>SUMIFS('HOJAS DE HORA PROY.'!$C$2:$C$943,'HOJAS DE HORA PROY.'!$A$2:$A$943,'PLAN MAESTRO FINAL'!$A56,'HOJAS DE HORA PROY.'!$M$2:$M$943,S$39)</f>
        <v>0</v>
      </c>
      <c r="T56" s="8">
        <f>SUMIFS('HOJAS DE HORA PROY.'!$C$2:$C$943,'HOJAS DE HORA PROY.'!$A$2:$A$943,'PLAN MAESTRO FINAL'!$A56,'HOJAS DE HORA PROY.'!$M$2:$M$943,T$39)</f>
        <v>0</v>
      </c>
      <c r="U56" s="8">
        <f>SUMIFS('HOJAS DE HORA PROY.'!$C$2:$C$943,'HOJAS DE HORA PROY.'!$A$2:$A$943,'PLAN MAESTRO FINAL'!$A56,'HOJAS DE HORA PROY.'!$M$2:$M$943,U$39)</f>
        <v>0</v>
      </c>
      <c r="V56" s="8">
        <f>SUMIFS('HOJAS DE HORA PROY.'!$C$2:$C$943,'HOJAS DE HORA PROY.'!$A$2:$A$943,'PLAN MAESTRO FINAL'!$A56,'HOJAS DE HORA PROY.'!$M$2:$M$943,V$39)</f>
        <v>0</v>
      </c>
      <c r="W56" s="8">
        <f>SUMIFS('HOJAS DE HORA PROY.'!$C$2:$C$943,'HOJAS DE HORA PROY.'!$A$2:$A$943,'PLAN MAESTRO FINAL'!$A56,'HOJAS DE HORA PROY.'!$M$2:$M$943,W$39)</f>
        <v>0</v>
      </c>
    </row>
    <row r="57" spans="1:23" hidden="1" outlineLevel="1" x14ac:dyDescent="0.3">
      <c r="A57" s="13" t="s">
        <v>307</v>
      </c>
      <c r="B57" s="8">
        <f>SUMIFS('HOJAS DE HORA PROY.'!$C$2:$C$943,'HOJAS DE HORA PROY.'!$A$2:$A$943,'PLAN MAESTRO FINAL'!$A57,'HOJAS DE HORA PROY.'!$M$2:$M$943,B$39)</f>
        <v>0</v>
      </c>
      <c r="C57" s="8">
        <f>SUMIFS('HOJAS DE HORA PROY.'!$C$2:$C$943,'HOJAS DE HORA PROY.'!$A$2:$A$943,'PLAN MAESTRO FINAL'!$A57,'HOJAS DE HORA PROY.'!$M$2:$M$943,C$39)</f>
        <v>0</v>
      </c>
      <c r="D57" s="8">
        <f>SUMIFS('HOJAS DE HORA PROY.'!$C$2:$C$943,'HOJAS DE HORA PROY.'!$A$2:$A$943,'PLAN MAESTRO FINAL'!$A57,'HOJAS DE HORA PROY.'!$M$2:$M$943,D$39)</f>
        <v>0</v>
      </c>
      <c r="E57" s="8">
        <f>SUMIFS('HOJAS DE HORA PROY.'!$C$2:$C$943,'HOJAS DE HORA PROY.'!$A$2:$A$943,'PLAN MAESTRO FINAL'!$A57,'HOJAS DE HORA PROY.'!$M$2:$M$943,E$39)</f>
        <v>0</v>
      </c>
      <c r="F57" s="8">
        <f>SUMIFS('HOJAS DE HORA PROY.'!$C$2:$C$943,'HOJAS DE HORA PROY.'!$A$2:$A$943,'PLAN MAESTRO FINAL'!$A57,'HOJAS DE HORA PROY.'!$M$2:$M$943,F$39)</f>
        <v>0</v>
      </c>
      <c r="G57" s="8">
        <f>SUMIFS('HOJAS DE HORA PROY.'!$C$2:$C$943,'HOJAS DE HORA PROY.'!$A$2:$A$943,'PLAN MAESTRO FINAL'!$A57,'HOJAS DE HORA PROY.'!$M$2:$M$943,G$39)</f>
        <v>0</v>
      </c>
      <c r="H57" s="8">
        <f>SUMIFS('HOJAS DE HORA PROY.'!$C$2:$C$943,'HOJAS DE HORA PROY.'!$A$2:$A$943,'PLAN MAESTRO FINAL'!$A57,'HOJAS DE HORA PROY.'!$M$2:$M$943,H$39)</f>
        <v>0</v>
      </c>
      <c r="I57" s="8">
        <f>SUMIFS('HOJAS DE HORA PROY.'!$C$2:$C$943,'HOJAS DE HORA PROY.'!$A$2:$A$943,'PLAN MAESTRO FINAL'!$A57,'HOJAS DE HORA PROY.'!$M$2:$M$943,I$39)</f>
        <v>0</v>
      </c>
      <c r="J57" s="8">
        <f>SUMIFS('HOJAS DE HORA PROY.'!$C$2:$C$943,'HOJAS DE HORA PROY.'!$A$2:$A$943,'PLAN MAESTRO FINAL'!$A57,'HOJAS DE HORA PROY.'!$M$2:$M$943,J$39)</f>
        <v>0</v>
      </c>
      <c r="K57" s="8">
        <f>SUMIFS('HOJAS DE HORA PROY.'!$C$2:$C$943,'HOJAS DE HORA PROY.'!$A$2:$A$943,'PLAN MAESTRO FINAL'!$A57,'HOJAS DE HORA PROY.'!$M$2:$M$943,K$39)</f>
        <v>0</v>
      </c>
      <c r="L57" s="8">
        <f>SUMIFS('HOJAS DE HORA PROY.'!$C$2:$C$943,'HOJAS DE HORA PROY.'!$A$2:$A$943,'PLAN MAESTRO FINAL'!$A57,'HOJAS DE HORA PROY.'!$M$2:$M$943,L$39)</f>
        <v>0</v>
      </c>
      <c r="M57" s="8">
        <f>SUMIFS('HOJAS DE HORA PROY.'!$C$2:$C$943,'HOJAS DE HORA PROY.'!$A$2:$A$943,'PLAN MAESTRO FINAL'!$A57,'HOJAS DE HORA PROY.'!$M$2:$M$943,M$39)</f>
        <v>0</v>
      </c>
      <c r="N57" s="8">
        <f>SUMIFS('HOJAS DE HORA PROY.'!$C$2:$C$943,'HOJAS DE HORA PROY.'!$A$2:$A$943,'PLAN MAESTRO FINAL'!$A57,'HOJAS DE HORA PROY.'!$M$2:$M$943,N$39)</f>
        <v>0</v>
      </c>
      <c r="O57" s="8">
        <f>SUMIFS('HOJAS DE HORA PROY.'!$C$2:$C$943,'HOJAS DE HORA PROY.'!$A$2:$A$943,'PLAN MAESTRO FINAL'!$A57,'HOJAS DE HORA PROY.'!$M$2:$M$943,O$39)</f>
        <v>0</v>
      </c>
      <c r="P57" s="8">
        <f>SUMIFS('HOJAS DE HORA PROY.'!$C$2:$C$943,'HOJAS DE HORA PROY.'!$A$2:$A$943,'PLAN MAESTRO FINAL'!$A57,'HOJAS DE HORA PROY.'!$M$2:$M$943,P$39)</f>
        <v>0</v>
      </c>
      <c r="Q57" s="8">
        <f>SUMIFS('HOJAS DE HORA PROY.'!$C$2:$C$943,'HOJAS DE HORA PROY.'!$A$2:$A$943,'PLAN MAESTRO FINAL'!$A57,'HOJAS DE HORA PROY.'!$M$2:$M$943,Q$39)</f>
        <v>0</v>
      </c>
      <c r="R57" s="8">
        <f>SUMIFS('HOJAS DE HORA PROY.'!$C$2:$C$943,'HOJAS DE HORA PROY.'!$A$2:$A$943,'PLAN MAESTRO FINAL'!$A57,'HOJAS DE HORA PROY.'!$M$2:$M$943,R$39)</f>
        <v>0</v>
      </c>
      <c r="S57" s="8">
        <f>SUMIFS('HOJAS DE HORA PROY.'!$C$2:$C$943,'HOJAS DE HORA PROY.'!$A$2:$A$943,'PLAN MAESTRO FINAL'!$A57,'HOJAS DE HORA PROY.'!$M$2:$M$943,S$39)</f>
        <v>0</v>
      </c>
      <c r="T57" s="8">
        <f>SUMIFS('HOJAS DE HORA PROY.'!$C$2:$C$943,'HOJAS DE HORA PROY.'!$A$2:$A$943,'PLAN MAESTRO FINAL'!$A57,'HOJAS DE HORA PROY.'!$M$2:$M$943,T$39)</f>
        <v>0</v>
      </c>
      <c r="U57" s="8">
        <f>SUMIFS('HOJAS DE HORA PROY.'!$C$2:$C$943,'HOJAS DE HORA PROY.'!$A$2:$A$943,'PLAN MAESTRO FINAL'!$A57,'HOJAS DE HORA PROY.'!$M$2:$M$943,U$39)</f>
        <v>0</v>
      </c>
      <c r="V57" s="8">
        <f>SUMIFS('HOJAS DE HORA PROY.'!$C$2:$C$943,'HOJAS DE HORA PROY.'!$A$2:$A$943,'PLAN MAESTRO FINAL'!$A57,'HOJAS DE HORA PROY.'!$M$2:$M$943,V$39)</f>
        <v>0</v>
      </c>
      <c r="W57" s="8">
        <f>SUMIFS('HOJAS DE HORA PROY.'!$C$2:$C$943,'HOJAS DE HORA PROY.'!$A$2:$A$943,'PLAN MAESTRO FINAL'!$A57,'HOJAS DE HORA PROY.'!$M$2:$M$943,W$39)</f>
        <v>0</v>
      </c>
    </row>
    <row r="58" spans="1:23" hidden="1" outlineLevel="1" x14ac:dyDescent="0.3">
      <c r="A58" s="13" t="s">
        <v>321</v>
      </c>
      <c r="B58" s="8">
        <f>SUMIFS('HOJAS DE HORA PROY.'!$C$2:$C$943,'HOJAS DE HORA PROY.'!$A$2:$A$943,'PLAN MAESTRO FINAL'!$A58,'HOJAS DE HORA PROY.'!$M$2:$M$943,B$39)</f>
        <v>0</v>
      </c>
      <c r="C58" s="8">
        <f>SUMIFS('HOJAS DE HORA PROY.'!$C$2:$C$943,'HOJAS DE HORA PROY.'!$A$2:$A$943,'PLAN MAESTRO FINAL'!$A58,'HOJAS DE HORA PROY.'!$M$2:$M$943,C$39)</f>
        <v>0</v>
      </c>
      <c r="D58" s="8">
        <f>SUMIFS('HOJAS DE HORA PROY.'!$C$2:$C$943,'HOJAS DE HORA PROY.'!$A$2:$A$943,'PLAN MAESTRO FINAL'!$A58,'HOJAS DE HORA PROY.'!$M$2:$M$943,D$39)</f>
        <v>0</v>
      </c>
      <c r="E58" s="8">
        <f>SUMIFS('HOJAS DE HORA PROY.'!$C$2:$C$943,'HOJAS DE HORA PROY.'!$A$2:$A$943,'PLAN MAESTRO FINAL'!$A58,'HOJAS DE HORA PROY.'!$M$2:$M$943,E$39)</f>
        <v>0</v>
      </c>
      <c r="F58" s="8">
        <f>SUMIFS('HOJAS DE HORA PROY.'!$C$2:$C$943,'HOJAS DE HORA PROY.'!$A$2:$A$943,'PLAN MAESTRO FINAL'!$A58,'HOJAS DE HORA PROY.'!$M$2:$M$943,F$39)</f>
        <v>0</v>
      </c>
      <c r="G58" s="8">
        <f>SUMIFS('HOJAS DE HORA PROY.'!$C$2:$C$943,'HOJAS DE HORA PROY.'!$A$2:$A$943,'PLAN MAESTRO FINAL'!$A58,'HOJAS DE HORA PROY.'!$M$2:$M$943,G$39)</f>
        <v>0</v>
      </c>
      <c r="H58" s="8">
        <f>SUMIFS('HOJAS DE HORA PROY.'!$C$2:$C$943,'HOJAS DE HORA PROY.'!$A$2:$A$943,'PLAN MAESTRO FINAL'!$A58,'HOJAS DE HORA PROY.'!$M$2:$M$943,H$39)</f>
        <v>0</v>
      </c>
      <c r="I58" s="8">
        <f>SUMIFS('HOJAS DE HORA PROY.'!$C$2:$C$943,'HOJAS DE HORA PROY.'!$A$2:$A$943,'PLAN MAESTRO FINAL'!$A58,'HOJAS DE HORA PROY.'!$M$2:$M$943,I$39)</f>
        <v>0</v>
      </c>
      <c r="J58" s="8">
        <f>SUMIFS('HOJAS DE HORA PROY.'!$C$2:$C$943,'HOJAS DE HORA PROY.'!$A$2:$A$943,'PLAN MAESTRO FINAL'!$A58,'HOJAS DE HORA PROY.'!$M$2:$M$943,J$39)</f>
        <v>0</v>
      </c>
      <c r="K58" s="8">
        <f>SUMIFS('HOJAS DE HORA PROY.'!$C$2:$C$943,'HOJAS DE HORA PROY.'!$A$2:$A$943,'PLAN MAESTRO FINAL'!$A58,'HOJAS DE HORA PROY.'!$M$2:$M$943,K$39)</f>
        <v>0</v>
      </c>
      <c r="L58" s="8">
        <f>SUMIFS('HOJAS DE HORA PROY.'!$C$2:$C$943,'HOJAS DE HORA PROY.'!$A$2:$A$943,'PLAN MAESTRO FINAL'!$A58,'HOJAS DE HORA PROY.'!$M$2:$M$943,L$39)</f>
        <v>0</v>
      </c>
      <c r="M58" s="8">
        <f>SUMIFS('HOJAS DE HORA PROY.'!$C$2:$C$943,'HOJAS DE HORA PROY.'!$A$2:$A$943,'PLAN MAESTRO FINAL'!$A58,'HOJAS DE HORA PROY.'!$M$2:$M$943,M$39)</f>
        <v>0</v>
      </c>
      <c r="N58" s="8">
        <f>SUMIFS('HOJAS DE HORA PROY.'!$C$2:$C$943,'HOJAS DE HORA PROY.'!$A$2:$A$943,'PLAN MAESTRO FINAL'!$A58,'HOJAS DE HORA PROY.'!$M$2:$M$943,N$39)</f>
        <v>0</v>
      </c>
      <c r="O58" s="8">
        <f>SUMIFS('HOJAS DE HORA PROY.'!$C$2:$C$943,'HOJAS DE HORA PROY.'!$A$2:$A$943,'PLAN MAESTRO FINAL'!$A58,'HOJAS DE HORA PROY.'!$M$2:$M$943,O$39)</f>
        <v>0</v>
      </c>
      <c r="P58" s="8">
        <f>SUMIFS('HOJAS DE HORA PROY.'!$C$2:$C$943,'HOJAS DE HORA PROY.'!$A$2:$A$943,'PLAN MAESTRO FINAL'!$A58,'HOJAS DE HORA PROY.'!$M$2:$M$943,P$39)</f>
        <v>0</v>
      </c>
      <c r="Q58" s="8">
        <f>SUMIFS('HOJAS DE HORA PROY.'!$C$2:$C$943,'HOJAS DE HORA PROY.'!$A$2:$A$943,'PLAN MAESTRO FINAL'!$A58,'HOJAS DE HORA PROY.'!$M$2:$M$943,Q$39)</f>
        <v>0</v>
      </c>
      <c r="R58" s="8">
        <f>SUMIFS('HOJAS DE HORA PROY.'!$C$2:$C$943,'HOJAS DE HORA PROY.'!$A$2:$A$943,'PLAN MAESTRO FINAL'!$A58,'HOJAS DE HORA PROY.'!$M$2:$M$943,R$39)</f>
        <v>0</v>
      </c>
      <c r="S58" s="8">
        <f>SUMIFS('HOJAS DE HORA PROY.'!$C$2:$C$943,'HOJAS DE HORA PROY.'!$A$2:$A$943,'PLAN MAESTRO FINAL'!$A58,'HOJAS DE HORA PROY.'!$M$2:$M$943,S$39)</f>
        <v>0</v>
      </c>
      <c r="T58" s="8">
        <f>SUMIFS('HOJAS DE HORA PROY.'!$C$2:$C$943,'HOJAS DE HORA PROY.'!$A$2:$A$943,'PLAN MAESTRO FINAL'!$A58,'HOJAS DE HORA PROY.'!$M$2:$M$943,T$39)</f>
        <v>0</v>
      </c>
      <c r="U58" s="8">
        <f>SUMIFS('HOJAS DE HORA PROY.'!$C$2:$C$943,'HOJAS DE HORA PROY.'!$A$2:$A$943,'PLAN MAESTRO FINAL'!$A58,'HOJAS DE HORA PROY.'!$M$2:$M$943,U$39)</f>
        <v>0</v>
      </c>
      <c r="V58" s="8">
        <f>SUMIFS('HOJAS DE HORA PROY.'!$C$2:$C$943,'HOJAS DE HORA PROY.'!$A$2:$A$943,'PLAN MAESTRO FINAL'!$A58,'HOJAS DE HORA PROY.'!$M$2:$M$943,V$39)</f>
        <v>0</v>
      </c>
      <c r="W58" s="8">
        <f>SUMIFS('HOJAS DE HORA PROY.'!$C$2:$C$943,'HOJAS DE HORA PROY.'!$A$2:$A$943,'PLAN MAESTRO FINAL'!$A58,'HOJAS DE HORA PROY.'!$M$2:$M$943,W$39)</f>
        <v>0</v>
      </c>
    </row>
    <row r="59" spans="1:23" hidden="1" outlineLevel="1" x14ac:dyDescent="0.3">
      <c r="A59" s="13" t="s">
        <v>453</v>
      </c>
      <c r="B59" s="8">
        <f>SUMIFS('HOJAS DE HORA PROY.'!$C$2:$C$943,'HOJAS DE HORA PROY.'!$A$2:$A$943,'PLAN MAESTRO FINAL'!$A59,'HOJAS DE HORA PROY.'!$M$2:$M$943,B$39)</f>
        <v>0</v>
      </c>
      <c r="C59" s="8">
        <f>SUMIFS('HOJAS DE HORA PROY.'!$C$2:$C$943,'HOJAS DE HORA PROY.'!$A$2:$A$943,'PLAN MAESTRO FINAL'!$A59,'HOJAS DE HORA PROY.'!$M$2:$M$943,C$39)</f>
        <v>0</v>
      </c>
      <c r="D59" s="8">
        <f>SUMIFS('HOJAS DE HORA PROY.'!$C$2:$C$943,'HOJAS DE HORA PROY.'!$A$2:$A$943,'PLAN MAESTRO FINAL'!$A59,'HOJAS DE HORA PROY.'!$M$2:$M$943,D$39)</f>
        <v>0</v>
      </c>
      <c r="E59" s="8">
        <f>SUMIFS('HOJAS DE HORA PROY.'!$C$2:$C$943,'HOJAS DE HORA PROY.'!$A$2:$A$943,'PLAN MAESTRO FINAL'!$A59,'HOJAS DE HORA PROY.'!$M$2:$M$943,E$39)</f>
        <v>4</v>
      </c>
      <c r="F59" s="8">
        <f>SUMIFS('HOJAS DE HORA PROY.'!$C$2:$C$943,'HOJAS DE HORA PROY.'!$A$2:$A$943,'PLAN MAESTRO FINAL'!$A59,'HOJAS DE HORA PROY.'!$M$2:$M$943,F$39)</f>
        <v>0</v>
      </c>
      <c r="G59" s="8">
        <f>SUMIFS('HOJAS DE HORA PROY.'!$C$2:$C$943,'HOJAS DE HORA PROY.'!$A$2:$A$943,'PLAN MAESTRO FINAL'!$A59,'HOJAS DE HORA PROY.'!$M$2:$M$943,G$39)</f>
        <v>0</v>
      </c>
      <c r="H59" s="8">
        <f>SUMIFS('HOJAS DE HORA PROY.'!$C$2:$C$943,'HOJAS DE HORA PROY.'!$A$2:$A$943,'PLAN MAESTRO FINAL'!$A59,'HOJAS DE HORA PROY.'!$M$2:$M$943,H$39)</f>
        <v>0</v>
      </c>
      <c r="I59" s="8">
        <f>SUMIFS('HOJAS DE HORA PROY.'!$C$2:$C$943,'HOJAS DE HORA PROY.'!$A$2:$A$943,'PLAN MAESTRO FINAL'!$A59,'HOJAS DE HORA PROY.'!$M$2:$M$943,I$39)</f>
        <v>0</v>
      </c>
      <c r="J59" s="8">
        <f>SUMIFS('HOJAS DE HORA PROY.'!$C$2:$C$943,'HOJAS DE HORA PROY.'!$A$2:$A$943,'PLAN MAESTRO FINAL'!$A59,'HOJAS DE HORA PROY.'!$M$2:$M$943,J$39)</f>
        <v>0</v>
      </c>
      <c r="K59" s="8">
        <f>SUMIFS('HOJAS DE HORA PROY.'!$C$2:$C$943,'HOJAS DE HORA PROY.'!$A$2:$A$943,'PLAN MAESTRO FINAL'!$A59,'HOJAS DE HORA PROY.'!$M$2:$M$943,K$39)</f>
        <v>0</v>
      </c>
      <c r="L59" s="8">
        <f>SUMIFS('HOJAS DE HORA PROY.'!$C$2:$C$943,'HOJAS DE HORA PROY.'!$A$2:$A$943,'PLAN MAESTRO FINAL'!$A59,'HOJAS DE HORA PROY.'!$M$2:$M$943,L$39)</f>
        <v>0</v>
      </c>
      <c r="M59" s="8">
        <f>SUMIFS('HOJAS DE HORA PROY.'!$C$2:$C$943,'HOJAS DE HORA PROY.'!$A$2:$A$943,'PLAN MAESTRO FINAL'!$A59,'HOJAS DE HORA PROY.'!$M$2:$M$943,M$39)</f>
        <v>0</v>
      </c>
      <c r="N59" s="8">
        <f>SUMIFS('HOJAS DE HORA PROY.'!$C$2:$C$943,'HOJAS DE HORA PROY.'!$A$2:$A$943,'PLAN MAESTRO FINAL'!$A59,'HOJAS DE HORA PROY.'!$M$2:$M$943,N$39)</f>
        <v>0</v>
      </c>
      <c r="O59" s="8">
        <f>SUMIFS('HOJAS DE HORA PROY.'!$C$2:$C$943,'HOJAS DE HORA PROY.'!$A$2:$A$943,'PLAN MAESTRO FINAL'!$A59,'HOJAS DE HORA PROY.'!$M$2:$M$943,O$39)</f>
        <v>0</v>
      </c>
      <c r="P59" s="8">
        <f>SUMIFS('HOJAS DE HORA PROY.'!$C$2:$C$943,'HOJAS DE HORA PROY.'!$A$2:$A$943,'PLAN MAESTRO FINAL'!$A59,'HOJAS DE HORA PROY.'!$M$2:$M$943,P$39)</f>
        <v>0</v>
      </c>
      <c r="Q59" s="8">
        <f>SUMIFS('HOJAS DE HORA PROY.'!$C$2:$C$943,'HOJAS DE HORA PROY.'!$A$2:$A$943,'PLAN MAESTRO FINAL'!$A59,'HOJAS DE HORA PROY.'!$M$2:$M$943,Q$39)</f>
        <v>0</v>
      </c>
      <c r="R59" s="8">
        <f>SUMIFS('HOJAS DE HORA PROY.'!$C$2:$C$943,'HOJAS DE HORA PROY.'!$A$2:$A$943,'PLAN MAESTRO FINAL'!$A59,'HOJAS DE HORA PROY.'!$M$2:$M$943,R$39)</f>
        <v>0</v>
      </c>
      <c r="S59" s="8">
        <f>SUMIFS('HOJAS DE HORA PROY.'!$C$2:$C$943,'HOJAS DE HORA PROY.'!$A$2:$A$943,'PLAN MAESTRO FINAL'!$A59,'HOJAS DE HORA PROY.'!$M$2:$M$943,S$39)</f>
        <v>0</v>
      </c>
      <c r="T59" s="8">
        <f>SUMIFS('HOJAS DE HORA PROY.'!$C$2:$C$943,'HOJAS DE HORA PROY.'!$A$2:$A$943,'PLAN MAESTRO FINAL'!$A59,'HOJAS DE HORA PROY.'!$M$2:$M$943,T$39)</f>
        <v>0</v>
      </c>
      <c r="U59" s="8">
        <f>SUMIFS('HOJAS DE HORA PROY.'!$C$2:$C$943,'HOJAS DE HORA PROY.'!$A$2:$A$943,'PLAN MAESTRO FINAL'!$A59,'HOJAS DE HORA PROY.'!$M$2:$M$943,U$39)</f>
        <v>0</v>
      </c>
      <c r="V59" s="8">
        <f>SUMIFS('HOJAS DE HORA PROY.'!$C$2:$C$943,'HOJAS DE HORA PROY.'!$A$2:$A$943,'PLAN MAESTRO FINAL'!$A59,'HOJAS DE HORA PROY.'!$M$2:$M$943,V$39)</f>
        <v>0</v>
      </c>
      <c r="W59" s="8">
        <f>SUMIFS('HOJAS DE HORA PROY.'!$C$2:$C$943,'HOJAS DE HORA PROY.'!$A$2:$A$943,'PLAN MAESTRO FINAL'!$A59,'HOJAS DE HORA PROY.'!$M$2:$M$943,W$39)</f>
        <v>0</v>
      </c>
    </row>
    <row r="60" spans="1:23" hidden="1" outlineLevel="1" x14ac:dyDescent="0.3">
      <c r="A60" s="13" t="s">
        <v>468</v>
      </c>
      <c r="B60" s="8">
        <f>SUMIFS('HOJAS DE HORA PROY.'!$C$2:$C$943,'HOJAS DE HORA PROY.'!$A$2:$A$943,'PLAN MAESTRO FINAL'!$A60,'HOJAS DE HORA PROY.'!$M$2:$M$943,B$39)</f>
        <v>0</v>
      </c>
      <c r="C60" s="8">
        <f>SUMIFS('HOJAS DE HORA PROY.'!$C$2:$C$943,'HOJAS DE HORA PROY.'!$A$2:$A$943,'PLAN MAESTRO FINAL'!$A60,'HOJAS DE HORA PROY.'!$M$2:$M$943,C$39)</f>
        <v>0</v>
      </c>
      <c r="D60" s="8">
        <f>SUMIFS('HOJAS DE HORA PROY.'!$C$2:$C$943,'HOJAS DE HORA PROY.'!$A$2:$A$943,'PLAN MAESTRO FINAL'!$A60,'HOJAS DE HORA PROY.'!$M$2:$M$943,D$39)</f>
        <v>0</v>
      </c>
      <c r="E60" s="8">
        <f>SUMIFS('HOJAS DE HORA PROY.'!$C$2:$C$943,'HOJAS DE HORA PROY.'!$A$2:$A$943,'PLAN MAESTRO FINAL'!$A60,'HOJAS DE HORA PROY.'!$M$2:$M$943,E$39)</f>
        <v>0</v>
      </c>
      <c r="F60" s="8">
        <f>SUMIFS('HOJAS DE HORA PROY.'!$C$2:$C$943,'HOJAS DE HORA PROY.'!$A$2:$A$943,'PLAN MAESTRO FINAL'!$A60,'HOJAS DE HORA PROY.'!$M$2:$M$943,F$39)</f>
        <v>9.5</v>
      </c>
      <c r="G60" s="8">
        <f>SUMIFS('HOJAS DE HORA PROY.'!$C$2:$C$943,'HOJAS DE HORA PROY.'!$A$2:$A$943,'PLAN MAESTRO FINAL'!$A60,'HOJAS DE HORA PROY.'!$M$2:$M$943,G$39)</f>
        <v>28</v>
      </c>
      <c r="H60" s="8">
        <f>SUMIFS('HOJAS DE HORA PROY.'!$C$2:$C$943,'HOJAS DE HORA PROY.'!$A$2:$A$943,'PLAN MAESTRO FINAL'!$A60,'HOJAS DE HORA PROY.'!$M$2:$M$943,H$39)</f>
        <v>0</v>
      </c>
      <c r="I60" s="8">
        <f>SUMIFS('HOJAS DE HORA PROY.'!$C$2:$C$943,'HOJAS DE HORA PROY.'!$A$2:$A$943,'PLAN MAESTRO FINAL'!$A60,'HOJAS DE HORA PROY.'!$M$2:$M$943,I$39)</f>
        <v>0</v>
      </c>
      <c r="J60" s="8">
        <f>SUMIFS('HOJAS DE HORA PROY.'!$C$2:$C$943,'HOJAS DE HORA PROY.'!$A$2:$A$943,'PLAN MAESTRO FINAL'!$A60,'HOJAS DE HORA PROY.'!$M$2:$M$943,J$39)</f>
        <v>15</v>
      </c>
      <c r="K60" s="8">
        <f>SUMIFS('HOJAS DE HORA PROY.'!$C$2:$C$943,'HOJAS DE HORA PROY.'!$A$2:$A$943,'PLAN MAESTRO FINAL'!$A60,'HOJAS DE HORA PROY.'!$M$2:$M$943,K$39)</f>
        <v>0</v>
      </c>
      <c r="L60" s="8">
        <f>SUMIFS('HOJAS DE HORA PROY.'!$C$2:$C$943,'HOJAS DE HORA PROY.'!$A$2:$A$943,'PLAN MAESTRO FINAL'!$A60,'HOJAS DE HORA PROY.'!$M$2:$M$943,L$39)</f>
        <v>0</v>
      </c>
      <c r="M60" s="8">
        <f>SUMIFS('HOJAS DE HORA PROY.'!$C$2:$C$943,'HOJAS DE HORA PROY.'!$A$2:$A$943,'PLAN MAESTRO FINAL'!$A60,'HOJAS DE HORA PROY.'!$M$2:$M$943,M$39)</f>
        <v>0</v>
      </c>
      <c r="N60" s="8">
        <f>SUMIFS('HOJAS DE HORA PROY.'!$C$2:$C$943,'HOJAS DE HORA PROY.'!$A$2:$A$943,'PLAN MAESTRO FINAL'!$A60,'HOJAS DE HORA PROY.'!$M$2:$M$943,N$39)</f>
        <v>0</v>
      </c>
      <c r="O60" s="8">
        <f>SUMIFS('HOJAS DE HORA PROY.'!$C$2:$C$943,'HOJAS DE HORA PROY.'!$A$2:$A$943,'PLAN MAESTRO FINAL'!$A60,'HOJAS DE HORA PROY.'!$M$2:$M$943,O$39)</f>
        <v>0</v>
      </c>
      <c r="P60" s="8">
        <f>SUMIFS('HOJAS DE HORA PROY.'!$C$2:$C$943,'HOJAS DE HORA PROY.'!$A$2:$A$943,'PLAN MAESTRO FINAL'!$A60,'HOJAS DE HORA PROY.'!$M$2:$M$943,P$39)</f>
        <v>0</v>
      </c>
      <c r="Q60" s="8">
        <f>SUMIFS('HOJAS DE HORA PROY.'!$C$2:$C$943,'HOJAS DE HORA PROY.'!$A$2:$A$943,'PLAN MAESTRO FINAL'!$A60,'HOJAS DE HORA PROY.'!$M$2:$M$943,Q$39)</f>
        <v>0</v>
      </c>
      <c r="R60" s="8">
        <f>SUMIFS('HOJAS DE HORA PROY.'!$C$2:$C$943,'HOJAS DE HORA PROY.'!$A$2:$A$943,'PLAN MAESTRO FINAL'!$A60,'HOJAS DE HORA PROY.'!$M$2:$M$943,R$39)</f>
        <v>0</v>
      </c>
      <c r="S60" s="8">
        <f>SUMIFS('HOJAS DE HORA PROY.'!$C$2:$C$943,'HOJAS DE HORA PROY.'!$A$2:$A$943,'PLAN MAESTRO FINAL'!$A60,'HOJAS DE HORA PROY.'!$M$2:$M$943,S$39)</f>
        <v>0</v>
      </c>
      <c r="T60" s="8">
        <f>SUMIFS('HOJAS DE HORA PROY.'!$C$2:$C$943,'HOJAS DE HORA PROY.'!$A$2:$A$943,'PLAN MAESTRO FINAL'!$A60,'HOJAS DE HORA PROY.'!$M$2:$M$943,T$39)</f>
        <v>0</v>
      </c>
      <c r="U60" s="8">
        <f>SUMIFS('HOJAS DE HORA PROY.'!$C$2:$C$943,'HOJAS DE HORA PROY.'!$A$2:$A$943,'PLAN MAESTRO FINAL'!$A60,'HOJAS DE HORA PROY.'!$M$2:$M$943,U$39)</f>
        <v>0</v>
      </c>
      <c r="V60" s="8">
        <f>SUMIFS('HOJAS DE HORA PROY.'!$C$2:$C$943,'HOJAS DE HORA PROY.'!$A$2:$A$943,'PLAN MAESTRO FINAL'!$A60,'HOJAS DE HORA PROY.'!$M$2:$M$943,V$39)</f>
        <v>0</v>
      </c>
      <c r="W60" s="8">
        <f>SUMIFS('HOJAS DE HORA PROY.'!$C$2:$C$943,'HOJAS DE HORA PROY.'!$A$2:$A$943,'PLAN MAESTRO FINAL'!$A60,'HOJAS DE HORA PROY.'!$M$2:$M$943,W$39)</f>
        <v>0</v>
      </c>
    </row>
    <row r="61" spans="1:23" hidden="1" outlineLevel="1" x14ac:dyDescent="0.3">
      <c r="A61" s="13" t="s">
        <v>479</v>
      </c>
      <c r="B61" s="8">
        <f>SUMIFS('HOJAS DE HORA PROY.'!$C$2:$C$943,'HOJAS DE HORA PROY.'!$A$2:$A$943,'PLAN MAESTRO FINAL'!$A61,'HOJAS DE HORA PROY.'!$M$2:$M$943,B$39)</f>
        <v>0</v>
      </c>
      <c r="C61" s="8">
        <f>SUMIFS('HOJAS DE HORA PROY.'!$C$2:$C$943,'HOJAS DE HORA PROY.'!$A$2:$A$943,'PLAN MAESTRO FINAL'!$A61,'HOJAS DE HORA PROY.'!$M$2:$M$943,C$39)</f>
        <v>0</v>
      </c>
      <c r="D61" s="8">
        <f>SUMIFS('HOJAS DE HORA PROY.'!$C$2:$C$943,'HOJAS DE HORA PROY.'!$A$2:$A$943,'PLAN MAESTRO FINAL'!$A61,'HOJAS DE HORA PROY.'!$M$2:$M$943,D$39)</f>
        <v>0</v>
      </c>
      <c r="E61" s="8">
        <f>SUMIFS('HOJAS DE HORA PROY.'!$C$2:$C$943,'HOJAS DE HORA PROY.'!$A$2:$A$943,'PLAN MAESTRO FINAL'!$A61,'HOJAS DE HORA PROY.'!$M$2:$M$943,E$39)</f>
        <v>0</v>
      </c>
      <c r="F61" s="8">
        <f>SUMIFS('HOJAS DE HORA PROY.'!$C$2:$C$943,'HOJAS DE HORA PROY.'!$A$2:$A$943,'PLAN MAESTRO FINAL'!$A61,'HOJAS DE HORA PROY.'!$M$2:$M$943,F$39)</f>
        <v>0</v>
      </c>
      <c r="G61" s="8">
        <f>SUMIFS('HOJAS DE HORA PROY.'!$C$2:$C$943,'HOJAS DE HORA PROY.'!$A$2:$A$943,'PLAN MAESTRO FINAL'!$A61,'HOJAS DE HORA PROY.'!$M$2:$M$943,G$39)</f>
        <v>0</v>
      </c>
      <c r="H61" s="8">
        <f>SUMIFS('HOJAS DE HORA PROY.'!$C$2:$C$943,'HOJAS DE HORA PROY.'!$A$2:$A$943,'PLAN MAESTRO FINAL'!$A61,'HOJAS DE HORA PROY.'!$M$2:$M$943,H$39)</f>
        <v>0</v>
      </c>
      <c r="I61" s="8">
        <f>SUMIFS('HOJAS DE HORA PROY.'!$C$2:$C$943,'HOJAS DE HORA PROY.'!$A$2:$A$943,'PLAN MAESTRO FINAL'!$A61,'HOJAS DE HORA PROY.'!$M$2:$M$943,I$39)</f>
        <v>0</v>
      </c>
      <c r="J61" s="8">
        <f>SUMIFS('HOJAS DE HORA PROY.'!$C$2:$C$943,'HOJAS DE HORA PROY.'!$A$2:$A$943,'PLAN MAESTRO FINAL'!$A61,'HOJAS DE HORA PROY.'!$M$2:$M$943,J$39)</f>
        <v>0</v>
      </c>
      <c r="K61" s="8">
        <f>SUMIFS('HOJAS DE HORA PROY.'!$C$2:$C$943,'HOJAS DE HORA PROY.'!$A$2:$A$943,'PLAN MAESTRO FINAL'!$A61,'HOJAS DE HORA PROY.'!$M$2:$M$943,K$39)</f>
        <v>0</v>
      </c>
      <c r="L61" s="8">
        <f>SUMIFS('HOJAS DE HORA PROY.'!$C$2:$C$943,'HOJAS DE HORA PROY.'!$A$2:$A$943,'PLAN MAESTRO FINAL'!$A61,'HOJAS DE HORA PROY.'!$M$2:$M$943,L$39)</f>
        <v>0</v>
      </c>
      <c r="M61" s="8">
        <f>SUMIFS('HOJAS DE HORA PROY.'!$C$2:$C$943,'HOJAS DE HORA PROY.'!$A$2:$A$943,'PLAN MAESTRO FINAL'!$A61,'HOJAS DE HORA PROY.'!$M$2:$M$943,M$39)</f>
        <v>0</v>
      </c>
      <c r="N61" s="8">
        <f>SUMIFS('HOJAS DE HORA PROY.'!$C$2:$C$943,'HOJAS DE HORA PROY.'!$A$2:$A$943,'PLAN MAESTRO FINAL'!$A61,'HOJAS DE HORA PROY.'!$M$2:$M$943,N$39)</f>
        <v>0</v>
      </c>
      <c r="O61" s="8">
        <f>SUMIFS('HOJAS DE HORA PROY.'!$C$2:$C$943,'HOJAS DE HORA PROY.'!$A$2:$A$943,'PLAN MAESTRO FINAL'!$A61,'HOJAS DE HORA PROY.'!$M$2:$M$943,O$39)</f>
        <v>0</v>
      </c>
      <c r="P61" s="8">
        <f>SUMIFS('HOJAS DE HORA PROY.'!$C$2:$C$943,'HOJAS DE HORA PROY.'!$A$2:$A$943,'PLAN MAESTRO FINAL'!$A61,'HOJAS DE HORA PROY.'!$M$2:$M$943,P$39)</f>
        <v>0</v>
      </c>
      <c r="Q61" s="8">
        <f>SUMIFS('HOJAS DE HORA PROY.'!$C$2:$C$943,'HOJAS DE HORA PROY.'!$A$2:$A$943,'PLAN MAESTRO FINAL'!$A61,'HOJAS DE HORA PROY.'!$M$2:$M$943,Q$39)</f>
        <v>0</v>
      </c>
      <c r="R61" s="8">
        <f>SUMIFS('HOJAS DE HORA PROY.'!$C$2:$C$943,'HOJAS DE HORA PROY.'!$A$2:$A$943,'PLAN MAESTRO FINAL'!$A61,'HOJAS DE HORA PROY.'!$M$2:$M$943,R$39)</f>
        <v>0</v>
      </c>
      <c r="S61" s="8">
        <f>SUMIFS('HOJAS DE HORA PROY.'!$C$2:$C$943,'HOJAS DE HORA PROY.'!$A$2:$A$943,'PLAN MAESTRO FINAL'!$A61,'HOJAS DE HORA PROY.'!$M$2:$M$943,S$39)</f>
        <v>0</v>
      </c>
      <c r="T61" s="8">
        <f>SUMIFS('HOJAS DE HORA PROY.'!$C$2:$C$943,'HOJAS DE HORA PROY.'!$A$2:$A$943,'PLAN MAESTRO FINAL'!$A61,'HOJAS DE HORA PROY.'!$M$2:$M$943,T$39)</f>
        <v>0</v>
      </c>
      <c r="U61" s="8">
        <f>SUMIFS('HOJAS DE HORA PROY.'!$C$2:$C$943,'HOJAS DE HORA PROY.'!$A$2:$A$943,'PLAN MAESTRO FINAL'!$A61,'HOJAS DE HORA PROY.'!$M$2:$M$943,U$39)</f>
        <v>0</v>
      </c>
      <c r="V61" s="8">
        <f>SUMIFS('HOJAS DE HORA PROY.'!$C$2:$C$943,'HOJAS DE HORA PROY.'!$A$2:$A$943,'PLAN MAESTRO FINAL'!$A61,'HOJAS DE HORA PROY.'!$M$2:$M$943,V$39)</f>
        <v>0</v>
      </c>
      <c r="W61" s="8">
        <f>SUMIFS('HOJAS DE HORA PROY.'!$C$2:$C$943,'HOJAS DE HORA PROY.'!$A$2:$A$943,'PLAN MAESTRO FINAL'!$A61,'HOJAS DE HORA PROY.'!$M$2:$M$943,W$39)</f>
        <v>0</v>
      </c>
    </row>
    <row r="62" spans="1:23" hidden="1" outlineLevel="1" x14ac:dyDescent="0.3">
      <c r="A62" s="13" t="s">
        <v>553</v>
      </c>
      <c r="B62" s="8">
        <f>SUMIFS('HOJAS DE HORA PROY.'!$C$2:$C$943,'HOJAS DE HORA PROY.'!$A$2:$A$943,'PLAN MAESTRO FINAL'!$A62,'HOJAS DE HORA PROY.'!$M$2:$M$943,B$39)</f>
        <v>0</v>
      </c>
      <c r="C62" s="8">
        <f>SUMIFS('HOJAS DE HORA PROY.'!$C$2:$C$943,'HOJAS DE HORA PROY.'!$A$2:$A$943,'PLAN MAESTRO FINAL'!$A62,'HOJAS DE HORA PROY.'!$M$2:$M$943,C$39)</f>
        <v>0</v>
      </c>
      <c r="D62" s="8">
        <f>SUMIFS('HOJAS DE HORA PROY.'!$C$2:$C$943,'HOJAS DE HORA PROY.'!$A$2:$A$943,'PLAN MAESTRO FINAL'!$A62,'HOJAS DE HORA PROY.'!$M$2:$M$943,D$39)</f>
        <v>0</v>
      </c>
      <c r="E62" s="8">
        <f>SUMIFS('HOJAS DE HORA PROY.'!$C$2:$C$943,'HOJAS DE HORA PROY.'!$A$2:$A$943,'PLAN MAESTRO FINAL'!$A62,'HOJAS DE HORA PROY.'!$M$2:$M$943,E$39)</f>
        <v>0</v>
      </c>
      <c r="F62" s="8">
        <f>SUMIFS('HOJAS DE HORA PROY.'!$C$2:$C$943,'HOJAS DE HORA PROY.'!$A$2:$A$943,'PLAN MAESTRO FINAL'!$A62,'HOJAS DE HORA PROY.'!$M$2:$M$943,F$39)</f>
        <v>0</v>
      </c>
      <c r="G62" s="8">
        <f>SUMIFS('HOJAS DE HORA PROY.'!$C$2:$C$943,'HOJAS DE HORA PROY.'!$A$2:$A$943,'PLAN MAESTRO FINAL'!$A62,'HOJAS DE HORA PROY.'!$M$2:$M$943,G$39)</f>
        <v>13.5</v>
      </c>
      <c r="H62" s="8">
        <f>SUMIFS('HOJAS DE HORA PROY.'!$C$2:$C$943,'HOJAS DE HORA PROY.'!$A$2:$A$943,'PLAN MAESTRO FINAL'!$A62,'HOJAS DE HORA PROY.'!$M$2:$M$943,H$39)</f>
        <v>0</v>
      </c>
      <c r="I62" s="8">
        <f>SUMIFS('HOJAS DE HORA PROY.'!$C$2:$C$943,'HOJAS DE HORA PROY.'!$A$2:$A$943,'PLAN MAESTRO FINAL'!$A62,'HOJAS DE HORA PROY.'!$M$2:$M$943,I$39)</f>
        <v>0</v>
      </c>
      <c r="J62" s="8">
        <f>SUMIFS('HOJAS DE HORA PROY.'!$C$2:$C$943,'HOJAS DE HORA PROY.'!$A$2:$A$943,'PLAN MAESTRO FINAL'!$A62,'HOJAS DE HORA PROY.'!$M$2:$M$943,J$39)</f>
        <v>0</v>
      </c>
      <c r="K62" s="8">
        <f>SUMIFS('HOJAS DE HORA PROY.'!$C$2:$C$943,'HOJAS DE HORA PROY.'!$A$2:$A$943,'PLAN MAESTRO FINAL'!$A62,'HOJAS DE HORA PROY.'!$M$2:$M$943,K$39)</f>
        <v>0</v>
      </c>
      <c r="L62" s="8">
        <f>SUMIFS('HOJAS DE HORA PROY.'!$C$2:$C$943,'HOJAS DE HORA PROY.'!$A$2:$A$943,'PLAN MAESTRO FINAL'!$A62,'HOJAS DE HORA PROY.'!$M$2:$M$943,L$39)</f>
        <v>0</v>
      </c>
      <c r="M62" s="8">
        <f>SUMIFS('HOJAS DE HORA PROY.'!$C$2:$C$943,'HOJAS DE HORA PROY.'!$A$2:$A$943,'PLAN MAESTRO FINAL'!$A62,'HOJAS DE HORA PROY.'!$M$2:$M$943,M$39)</f>
        <v>0</v>
      </c>
      <c r="N62" s="8">
        <f>SUMIFS('HOJAS DE HORA PROY.'!$C$2:$C$943,'HOJAS DE HORA PROY.'!$A$2:$A$943,'PLAN MAESTRO FINAL'!$A62,'HOJAS DE HORA PROY.'!$M$2:$M$943,N$39)</f>
        <v>0</v>
      </c>
      <c r="O62" s="8">
        <f>SUMIFS('HOJAS DE HORA PROY.'!$C$2:$C$943,'HOJAS DE HORA PROY.'!$A$2:$A$943,'PLAN MAESTRO FINAL'!$A62,'HOJAS DE HORA PROY.'!$M$2:$M$943,O$39)</f>
        <v>0</v>
      </c>
      <c r="P62" s="8">
        <f>SUMIFS('HOJAS DE HORA PROY.'!$C$2:$C$943,'HOJAS DE HORA PROY.'!$A$2:$A$943,'PLAN MAESTRO FINAL'!$A62,'HOJAS DE HORA PROY.'!$M$2:$M$943,P$39)</f>
        <v>0</v>
      </c>
      <c r="Q62" s="8">
        <f>SUMIFS('HOJAS DE HORA PROY.'!$C$2:$C$943,'HOJAS DE HORA PROY.'!$A$2:$A$943,'PLAN MAESTRO FINAL'!$A62,'HOJAS DE HORA PROY.'!$M$2:$M$943,Q$39)</f>
        <v>0</v>
      </c>
      <c r="R62" s="8">
        <f>SUMIFS('HOJAS DE HORA PROY.'!$C$2:$C$943,'HOJAS DE HORA PROY.'!$A$2:$A$943,'PLAN MAESTRO FINAL'!$A62,'HOJAS DE HORA PROY.'!$M$2:$M$943,R$39)</f>
        <v>0</v>
      </c>
      <c r="S62" s="8">
        <f>SUMIFS('HOJAS DE HORA PROY.'!$C$2:$C$943,'HOJAS DE HORA PROY.'!$A$2:$A$943,'PLAN MAESTRO FINAL'!$A62,'HOJAS DE HORA PROY.'!$M$2:$M$943,S$39)</f>
        <v>0</v>
      </c>
      <c r="T62" s="8">
        <f>SUMIFS('HOJAS DE HORA PROY.'!$C$2:$C$943,'HOJAS DE HORA PROY.'!$A$2:$A$943,'PLAN MAESTRO FINAL'!$A62,'HOJAS DE HORA PROY.'!$M$2:$M$943,T$39)</f>
        <v>0</v>
      </c>
      <c r="U62" s="8">
        <f>SUMIFS('HOJAS DE HORA PROY.'!$C$2:$C$943,'HOJAS DE HORA PROY.'!$A$2:$A$943,'PLAN MAESTRO FINAL'!$A62,'HOJAS DE HORA PROY.'!$M$2:$M$943,U$39)</f>
        <v>0</v>
      </c>
      <c r="V62" s="8">
        <f>SUMIFS('HOJAS DE HORA PROY.'!$C$2:$C$943,'HOJAS DE HORA PROY.'!$A$2:$A$943,'PLAN MAESTRO FINAL'!$A62,'HOJAS DE HORA PROY.'!$M$2:$M$943,V$39)</f>
        <v>0</v>
      </c>
      <c r="W62" s="8">
        <f>SUMIFS('HOJAS DE HORA PROY.'!$C$2:$C$943,'HOJAS DE HORA PROY.'!$A$2:$A$943,'PLAN MAESTRO FINAL'!$A62,'HOJAS DE HORA PROY.'!$M$2:$M$943,W$39)</f>
        <v>0</v>
      </c>
    </row>
    <row r="63" spans="1:23" hidden="1" outlineLevel="1" x14ac:dyDescent="0.3">
      <c r="A63" s="13" t="s">
        <v>488</v>
      </c>
      <c r="B63" s="8">
        <f>SUMIFS('HOJAS DE HORA PROY.'!$C$2:$C$943,'HOJAS DE HORA PROY.'!$A$2:$A$943,'PLAN MAESTRO FINAL'!$A63,'HOJAS DE HORA PROY.'!$M$2:$M$943,B$39)</f>
        <v>0</v>
      </c>
      <c r="C63" s="8">
        <f>SUMIFS('HOJAS DE HORA PROY.'!$C$2:$C$943,'HOJAS DE HORA PROY.'!$A$2:$A$943,'PLAN MAESTRO FINAL'!$A63,'HOJAS DE HORA PROY.'!$M$2:$M$943,C$39)</f>
        <v>0</v>
      </c>
      <c r="D63" s="8">
        <f>SUMIFS('HOJAS DE HORA PROY.'!$C$2:$C$943,'HOJAS DE HORA PROY.'!$A$2:$A$943,'PLAN MAESTRO FINAL'!$A63,'HOJAS DE HORA PROY.'!$M$2:$M$943,D$39)</f>
        <v>0</v>
      </c>
      <c r="E63" s="8">
        <f>SUMIFS('HOJAS DE HORA PROY.'!$C$2:$C$943,'HOJAS DE HORA PROY.'!$A$2:$A$943,'PLAN MAESTRO FINAL'!$A63,'HOJAS DE HORA PROY.'!$M$2:$M$943,E$39)</f>
        <v>0</v>
      </c>
      <c r="F63" s="8">
        <f>SUMIFS('HOJAS DE HORA PROY.'!$C$2:$C$943,'HOJAS DE HORA PROY.'!$A$2:$A$943,'PLAN MAESTRO FINAL'!$A63,'HOJAS DE HORA PROY.'!$M$2:$M$943,F$39)</f>
        <v>56</v>
      </c>
      <c r="G63" s="8">
        <f>SUMIFS('HOJAS DE HORA PROY.'!$C$2:$C$943,'HOJAS DE HORA PROY.'!$A$2:$A$943,'PLAN MAESTRO FINAL'!$A63,'HOJAS DE HORA PROY.'!$M$2:$M$943,G$39)</f>
        <v>0</v>
      </c>
      <c r="H63" s="8">
        <f>SUMIFS('HOJAS DE HORA PROY.'!$C$2:$C$943,'HOJAS DE HORA PROY.'!$A$2:$A$943,'PLAN MAESTRO FINAL'!$A63,'HOJAS DE HORA PROY.'!$M$2:$M$943,H$39)</f>
        <v>15</v>
      </c>
      <c r="I63" s="8">
        <f>SUMIFS('HOJAS DE HORA PROY.'!$C$2:$C$943,'HOJAS DE HORA PROY.'!$A$2:$A$943,'PLAN MAESTRO FINAL'!$A63,'HOJAS DE HORA PROY.'!$M$2:$M$943,I$39)</f>
        <v>0</v>
      </c>
      <c r="J63" s="8">
        <f>SUMIFS('HOJAS DE HORA PROY.'!$C$2:$C$943,'HOJAS DE HORA PROY.'!$A$2:$A$943,'PLAN MAESTRO FINAL'!$A63,'HOJAS DE HORA PROY.'!$M$2:$M$943,J$39)</f>
        <v>0</v>
      </c>
      <c r="K63" s="8">
        <f>SUMIFS('HOJAS DE HORA PROY.'!$C$2:$C$943,'HOJAS DE HORA PROY.'!$A$2:$A$943,'PLAN MAESTRO FINAL'!$A63,'HOJAS DE HORA PROY.'!$M$2:$M$943,K$39)</f>
        <v>0</v>
      </c>
      <c r="L63" s="8">
        <f>SUMIFS('HOJAS DE HORA PROY.'!$C$2:$C$943,'HOJAS DE HORA PROY.'!$A$2:$A$943,'PLAN MAESTRO FINAL'!$A63,'HOJAS DE HORA PROY.'!$M$2:$M$943,L$39)</f>
        <v>0</v>
      </c>
      <c r="M63" s="8">
        <f>SUMIFS('HOJAS DE HORA PROY.'!$C$2:$C$943,'HOJAS DE HORA PROY.'!$A$2:$A$943,'PLAN MAESTRO FINAL'!$A63,'HOJAS DE HORA PROY.'!$M$2:$M$943,M$39)</f>
        <v>0</v>
      </c>
      <c r="N63" s="8">
        <f>SUMIFS('HOJAS DE HORA PROY.'!$C$2:$C$943,'HOJAS DE HORA PROY.'!$A$2:$A$943,'PLAN MAESTRO FINAL'!$A63,'HOJAS DE HORA PROY.'!$M$2:$M$943,N$39)</f>
        <v>0</v>
      </c>
      <c r="O63" s="8">
        <f>SUMIFS('HOJAS DE HORA PROY.'!$C$2:$C$943,'HOJAS DE HORA PROY.'!$A$2:$A$943,'PLAN MAESTRO FINAL'!$A63,'HOJAS DE HORA PROY.'!$M$2:$M$943,O$39)</f>
        <v>0</v>
      </c>
      <c r="P63" s="8">
        <f>SUMIFS('HOJAS DE HORA PROY.'!$C$2:$C$943,'HOJAS DE HORA PROY.'!$A$2:$A$943,'PLAN MAESTRO FINAL'!$A63,'HOJAS DE HORA PROY.'!$M$2:$M$943,P$39)</f>
        <v>0</v>
      </c>
      <c r="Q63" s="8">
        <f>SUMIFS('HOJAS DE HORA PROY.'!$C$2:$C$943,'HOJAS DE HORA PROY.'!$A$2:$A$943,'PLAN MAESTRO FINAL'!$A63,'HOJAS DE HORA PROY.'!$M$2:$M$943,Q$39)</f>
        <v>0</v>
      </c>
      <c r="R63" s="8">
        <f>SUMIFS('HOJAS DE HORA PROY.'!$C$2:$C$943,'HOJAS DE HORA PROY.'!$A$2:$A$943,'PLAN MAESTRO FINAL'!$A63,'HOJAS DE HORA PROY.'!$M$2:$M$943,R$39)</f>
        <v>0</v>
      </c>
      <c r="S63" s="8">
        <f>SUMIFS('HOJAS DE HORA PROY.'!$C$2:$C$943,'HOJAS DE HORA PROY.'!$A$2:$A$943,'PLAN MAESTRO FINAL'!$A63,'HOJAS DE HORA PROY.'!$M$2:$M$943,S$39)</f>
        <v>0</v>
      </c>
      <c r="T63" s="8">
        <f>SUMIFS('HOJAS DE HORA PROY.'!$C$2:$C$943,'HOJAS DE HORA PROY.'!$A$2:$A$943,'PLAN MAESTRO FINAL'!$A63,'HOJAS DE HORA PROY.'!$M$2:$M$943,T$39)</f>
        <v>0</v>
      </c>
      <c r="U63" s="8">
        <f>SUMIFS('HOJAS DE HORA PROY.'!$C$2:$C$943,'HOJAS DE HORA PROY.'!$A$2:$A$943,'PLAN MAESTRO FINAL'!$A63,'HOJAS DE HORA PROY.'!$M$2:$M$943,U$39)</f>
        <v>0</v>
      </c>
      <c r="V63" s="8">
        <f>SUMIFS('HOJAS DE HORA PROY.'!$C$2:$C$943,'HOJAS DE HORA PROY.'!$A$2:$A$943,'PLAN MAESTRO FINAL'!$A63,'HOJAS DE HORA PROY.'!$M$2:$M$943,V$39)</f>
        <v>0</v>
      </c>
      <c r="W63" s="8">
        <f>SUMIFS('HOJAS DE HORA PROY.'!$C$2:$C$943,'HOJAS DE HORA PROY.'!$A$2:$A$943,'PLAN MAESTRO FINAL'!$A63,'HOJAS DE HORA PROY.'!$M$2:$M$943,W$39)</f>
        <v>0</v>
      </c>
    </row>
    <row r="64" spans="1:23" hidden="1" outlineLevel="1" x14ac:dyDescent="0.3">
      <c r="A64" s="13" t="s">
        <v>492</v>
      </c>
      <c r="B64" s="8">
        <f>SUMIFS('HOJAS DE HORA PROY.'!$C$2:$C$943,'HOJAS DE HORA PROY.'!$A$2:$A$943,'PLAN MAESTRO FINAL'!$A64,'HOJAS DE HORA PROY.'!$M$2:$M$943,B$39)</f>
        <v>0</v>
      </c>
      <c r="C64" s="8">
        <f>SUMIFS('HOJAS DE HORA PROY.'!$C$2:$C$943,'HOJAS DE HORA PROY.'!$A$2:$A$943,'PLAN MAESTRO FINAL'!$A64,'HOJAS DE HORA PROY.'!$M$2:$M$943,C$39)</f>
        <v>0</v>
      </c>
      <c r="D64" s="8">
        <f>SUMIFS('HOJAS DE HORA PROY.'!$C$2:$C$943,'HOJAS DE HORA PROY.'!$A$2:$A$943,'PLAN MAESTRO FINAL'!$A64,'HOJAS DE HORA PROY.'!$M$2:$M$943,D$39)</f>
        <v>0</v>
      </c>
      <c r="E64" s="8">
        <f>SUMIFS('HOJAS DE HORA PROY.'!$C$2:$C$943,'HOJAS DE HORA PROY.'!$A$2:$A$943,'PLAN MAESTRO FINAL'!$A64,'HOJAS DE HORA PROY.'!$M$2:$M$943,E$39)</f>
        <v>0</v>
      </c>
      <c r="F64" s="8">
        <f>SUMIFS('HOJAS DE HORA PROY.'!$C$2:$C$943,'HOJAS DE HORA PROY.'!$A$2:$A$943,'PLAN MAESTRO FINAL'!$A64,'HOJAS DE HORA PROY.'!$M$2:$M$943,F$39)</f>
        <v>0</v>
      </c>
      <c r="G64" s="8">
        <f>SUMIFS('HOJAS DE HORA PROY.'!$C$2:$C$943,'HOJAS DE HORA PROY.'!$A$2:$A$943,'PLAN MAESTRO FINAL'!$A64,'HOJAS DE HORA PROY.'!$M$2:$M$943,G$39)</f>
        <v>21.5</v>
      </c>
      <c r="H64" s="8">
        <f>SUMIFS('HOJAS DE HORA PROY.'!$C$2:$C$943,'HOJAS DE HORA PROY.'!$A$2:$A$943,'PLAN MAESTRO FINAL'!$A64,'HOJAS DE HORA PROY.'!$M$2:$M$943,H$39)</f>
        <v>0</v>
      </c>
      <c r="I64" s="8">
        <f>SUMIFS('HOJAS DE HORA PROY.'!$C$2:$C$943,'HOJAS DE HORA PROY.'!$A$2:$A$943,'PLAN MAESTRO FINAL'!$A64,'HOJAS DE HORA PROY.'!$M$2:$M$943,I$39)</f>
        <v>0</v>
      </c>
      <c r="J64" s="8">
        <f>SUMIFS('HOJAS DE HORA PROY.'!$C$2:$C$943,'HOJAS DE HORA PROY.'!$A$2:$A$943,'PLAN MAESTRO FINAL'!$A64,'HOJAS DE HORA PROY.'!$M$2:$M$943,J$39)</f>
        <v>0</v>
      </c>
      <c r="K64" s="8">
        <f>SUMIFS('HOJAS DE HORA PROY.'!$C$2:$C$943,'HOJAS DE HORA PROY.'!$A$2:$A$943,'PLAN MAESTRO FINAL'!$A64,'HOJAS DE HORA PROY.'!$M$2:$M$943,K$39)</f>
        <v>0</v>
      </c>
      <c r="L64" s="8">
        <f>SUMIFS('HOJAS DE HORA PROY.'!$C$2:$C$943,'HOJAS DE HORA PROY.'!$A$2:$A$943,'PLAN MAESTRO FINAL'!$A64,'HOJAS DE HORA PROY.'!$M$2:$M$943,L$39)</f>
        <v>0</v>
      </c>
      <c r="M64" s="8">
        <f>SUMIFS('HOJAS DE HORA PROY.'!$C$2:$C$943,'HOJAS DE HORA PROY.'!$A$2:$A$943,'PLAN MAESTRO FINAL'!$A64,'HOJAS DE HORA PROY.'!$M$2:$M$943,M$39)</f>
        <v>0</v>
      </c>
      <c r="N64" s="8">
        <f>SUMIFS('HOJAS DE HORA PROY.'!$C$2:$C$943,'HOJAS DE HORA PROY.'!$A$2:$A$943,'PLAN MAESTRO FINAL'!$A64,'HOJAS DE HORA PROY.'!$M$2:$M$943,N$39)</f>
        <v>0</v>
      </c>
      <c r="O64" s="8">
        <f>SUMIFS('HOJAS DE HORA PROY.'!$C$2:$C$943,'HOJAS DE HORA PROY.'!$A$2:$A$943,'PLAN MAESTRO FINAL'!$A64,'HOJAS DE HORA PROY.'!$M$2:$M$943,O$39)</f>
        <v>0</v>
      </c>
      <c r="P64" s="8">
        <f>SUMIFS('HOJAS DE HORA PROY.'!$C$2:$C$943,'HOJAS DE HORA PROY.'!$A$2:$A$943,'PLAN MAESTRO FINAL'!$A64,'HOJAS DE HORA PROY.'!$M$2:$M$943,P$39)</f>
        <v>0</v>
      </c>
      <c r="Q64" s="8">
        <f>SUMIFS('HOJAS DE HORA PROY.'!$C$2:$C$943,'HOJAS DE HORA PROY.'!$A$2:$A$943,'PLAN MAESTRO FINAL'!$A64,'HOJAS DE HORA PROY.'!$M$2:$M$943,Q$39)</f>
        <v>0</v>
      </c>
      <c r="R64" s="8">
        <f>SUMIFS('HOJAS DE HORA PROY.'!$C$2:$C$943,'HOJAS DE HORA PROY.'!$A$2:$A$943,'PLAN MAESTRO FINAL'!$A64,'HOJAS DE HORA PROY.'!$M$2:$M$943,R$39)</f>
        <v>0</v>
      </c>
      <c r="S64" s="8">
        <f>SUMIFS('HOJAS DE HORA PROY.'!$C$2:$C$943,'HOJAS DE HORA PROY.'!$A$2:$A$943,'PLAN MAESTRO FINAL'!$A64,'HOJAS DE HORA PROY.'!$M$2:$M$943,S$39)</f>
        <v>0</v>
      </c>
      <c r="T64" s="8">
        <f>SUMIFS('HOJAS DE HORA PROY.'!$C$2:$C$943,'HOJAS DE HORA PROY.'!$A$2:$A$943,'PLAN MAESTRO FINAL'!$A64,'HOJAS DE HORA PROY.'!$M$2:$M$943,T$39)</f>
        <v>0</v>
      </c>
      <c r="U64" s="8">
        <f>SUMIFS('HOJAS DE HORA PROY.'!$C$2:$C$943,'HOJAS DE HORA PROY.'!$A$2:$A$943,'PLAN MAESTRO FINAL'!$A64,'HOJAS DE HORA PROY.'!$M$2:$M$943,U$39)</f>
        <v>0</v>
      </c>
      <c r="V64" s="8">
        <f>SUMIFS('HOJAS DE HORA PROY.'!$C$2:$C$943,'HOJAS DE HORA PROY.'!$A$2:$A$943,'PLAN MAESTRO FINAL'!$A64,'HOJAS DE HORA PROY.'!$M$2:$M$943,V$39)</f>
        <v>0</v>
      </c>
      <c r="W64" s="8">
        <f>SUMIFS('HOJAS DE HORA PROY.'!$C$2:$C$943,'HOJAS DE HORA PROY.'!$A$2:$A$943,'PLAN MAESTRO FINAL'!$A64,'HOJAS DE HORA PROY.'!$M$2:$M$943,W$39)</f>
        <v>0</v>
      </c>
    </row>
    <row r="65" spans="1:23" hidden="1" outlineLevel="1" x14ac:dyDescent="0.3">
      <c r="A65" s="13" t="s">
        <v>507</v>
      </c>
      <c r="B65" s="8">
        <f>SUMIFS('HOJAS DE HORA PROY.'!$C$2:$C$943,'HOJAS DE HORA PROY.'!$A$2:$A$943,'PLAN MAESTRO FINAL'!$A65,'HOJAS DE HORA PROY.'!$M$2:$M$943,B$39)</f>
        <v>0</v>
      </c>
      <c r="C65" s="8">
        <f>SUMIFS('HOJAS DE HORA PROY.'!$C$2:$C$943,'HOJAS DE HORA PROY.'!$A$2:$A$943,'PLAN MAESTRO FINAL'!$A65,'HOJAS DE HORA PROY.'!$M$2:$M$943,C$39)</f>
        <v>0</v>
      </c>
      <c r="D65" s="8">
        <f>SUMIFS('HOJAS DE HORA PROY.'!$C$2:$C$943,'HOJAS DE HORA PROY.'!$A$2:$A$943,'PLAN MAESTRO FINAL'!$A65,'HOJAS DE HORA PROY.'!$M$2:$M$943,D$39)</f>
        <v>0</v>
      </c>
      <c r="E65" s="8">
        <f>SUMIFS('HOJAS DE HORA PROY.'!$C$2:$C$943,'HOJAS DE HORA PROY.'!$A$2:$A$943,'PLAN MAESTRO FINAL'!$A65,'HOJAS DE HORA PROY.'!$M$2:$M$943,E$39)</f>
        <v>0</v>
      </c>
      <c r="F65" s="8">
        <f>SUMIFS('HOJAS DE HORA PROY.'!$C$2:$C$943,'HOJAS DE HORA PROY.'!$A$2:$A$943,'PLAN MAESTRO FINAL'!$A65,'HOJAS DE HORA PROY.'!$M$2:$M$943,F$39)</f>
        <v>0</v>
      </c>
      <c r="G65" s="8">
        <f>SUMIFS('HOJAS DE HORA PROY.'!$C$2:$C$943,'HOJAS DE HORA PROY.'!$A$2:$A$943,'PLAN MAESTRO FINAL'!$A65,'HOJAS DE HORA PROY.'!$M$2:$M$943,G$39)</f>
        <v>0</v>
      </c>
      <c r="H65" s="8">
        <f>SUMIFS('HOJAS DE HORA PROY.'!$C$2:$C$943,'HOJAS DE HORA PROY.'!$A$2:$A$943,'PLAN MAESTRO FINAL'!$A65,'HOJAS DE HORA PROY.'!$M$2:$M$943,H$39)</f>
        <v>0</v>
      </c>
      <c r="I65" s="8">
        <f>SUMIFS('HOJAS DE HORA PROY.'!$C$2:$C$943,'HOJAS DE HORA PROY.'!$A$2:$A$943,'PLAN MAESTRO FINAL'!$A65,'HOJAS DE HORA PROY.'!$M$2:$M$943,I$39)</f>
        <v>0</v>
      </c>
      <c r="J65" s="8">
        <f>SUMIFS('HOJAS DE HORA PROY.'!$C$2:$C$943,'HOJAS DE HORA PROY.'!$A$2:$A$943,'PLAN MAESTRO FINAL'!$A65,'HOJAS DE HORA PROY.'!$M$2:$M$943,J$39)</f>
        <v>0</v>
      </c>
      <c r="K65" s="8">
        <f>SUMIFS('HOJAS DE HORA PROY.'!$C$2:$C$943,'HOJAS DE HORA PROY.'!$A$2:$A$943,'PLAN MAESTRO FINAL'!$A65,'HOJAS DE HORA PROY.'!$M$2:$M$943,K$39)</f>
        <v>0</v>
      </c>
      <c r="L65" s="8">
        <f>SUMIFS('HOJAS DE HORA PROY.'!$C$2:$C$943,'HOJAS DE HORA PROY.'!$A$2:$A$943,'PLAN MAESTRO FINAL'!$A65,'HOJAS DE HORA PROY.'!$M$2:$M$943,L$39)</f>
        <v>0</v>
      </c>
      <c r="M65" s="8">
        <f>SUMIFS('HOJAS DE HORA PROY.'!$C$2:$C$943,'HOJAS DE HORA PROY.'!$A$2:$A$943,'PLAN MAESTRO FINAL'!$A65,'HOJAS DE HORA PROY.'!$M$2:$M$943,M$39)</f>
        <v>0</v>
      </c>
      <c r="N65" s="8">
        <f>SUMIFS('HOJAS DE HORA PROY.'!$C$2:$C$943,'HOJAS DE HORA PROY.'!$A$2:$A$943,'PLAN MAESTRO FINAL'!$A65,'HOJAS DE HORA PROY.'!$M$2:$M$943,N$39)</f>
        <v>0</v>
      </c>
      <c r="O65" s="8">
        <f>SUMIFS('HOJAS DE HORA PROY.'!$C$2:$C$943,'HOJAS DE HORA PROY.'!$A$2:$A$943,'PLAN MAESTRO FINAL'!$A65,'HOJAS DE HORA PROY.'!$M$2:$M$943,O$39)</f>
        <v>0</v>
      </c>
      <c r="P65" s="8">
        <f>SUMIFS('HOJAS DE HORA PROY.'!$C$2:$C$943,'HOJAS DE HORA PROY.'!$A$2:$A$943,'PLAN MAESTRO FINAL'!$A65,'HOJAS DE HORA PROY.'!$M$2:$M$943,P$39)</f>
        <v>0</v>
      </c>
      <c r="Q65" s="8">
        <f>SUMIFS('HOJAS DE HORA PROY.'!$C$2:$C$943,'HOJAS DE HORA PROY.'!$A$2:$A$943,'PLAN MAESTRO FINAL'!$A65,'HOJAS DE HORA PROY.'!$M$2:$M$943,Q$39)</f>
        <v>0</v>
      </c>
      <c r="R65" s="8">
        <f>SUMIFS('HOJAS DE HORA PROY.'!$C$2:$C$943,'HOJAS DE HORA PROY.'!$A$2:$A$943,'PLAN MAESTRO FINAL'!$A65,'HOJAS DE HORA PROY.'!$M$2:$M$943,R$39)</f>
        <v>0</v>
      </c>
      <c r="S65" s="8">
        <f>SUMIFS('HOJAS DE HORA PROY.'!$C$2:$C$943,'HOJAS DE HORA PROY.'!$A$2:$A$943,'PLAN MAESTRO FINAL'!$A65,'HOJAS DE HORA PROY.'!$M$2:$M$943,S$39)</f>
        <v>0</v>
      </c>
      <c r="T65" s="8">
        <f>SUMIFS('HOJAS DE HORA PROY.'!$C$2:$C$943,'HOJAS DE HORA PROY.'!$A$2:$A$943,'PLAN MAESTRO FINAL'!$A65,'HOJAS DE HORA PROY.'!$M$2:$M$943,T$39)</f>
        <v>0</v>
      </c>
      <c r="U65" s="8">
        <f>SUMIFS('HOJAS DE HORA PROY.'!$C$2:$C$943,'HOJAS DE HORA PROY.'!$A$2:$A$943,'PLAN MAESTRO FINAL'!$A65,'HOJAS DE HORA PROY.'!$M$2:$M$943,U$39)</f>
        <v>0</v>
      </c>
      <c r="V65" s="8">
        <f>SUMIFS('HOJAS DE HORA PROY.'!$C$2:$C$943,'HOJAS DE HORA PROY.'!$A$2:$A$943,'PLAN MAESTRO FINAL'!$A65,'HOJAS DE HORA PROY.'!$M$2:$M$943,V$39)</f>
        <v>0</v>
      </c>
      <c r="W65" s="8">
        <f>SUMIFS('HOJAS DE HORA PROY.'!$C$2:$C$943,'HOJAS DE HORA PROY.'!$A$2:$A$943,'PLAN MAESTRO FINAL'!$A65,'HOJAS DE HORA PROY.'!$M$2:$M$943,W$39)</f>
        <v>0</v>
      </c>
    </row>
    <row r="66" spans="1:23" hidden="1" outlineLevel="1" x14ac:dyDescent="0.3">
      <c r="A66" s="13" t="s">
        <v>517</v>
      </c>
      <c r="B66" s="8">
        <f>SUMIFS('HOJAS DE HORA PROY.'!$C$2:$C$943,'HOJAS DE HORA PROY.'!$A$2:$A$943,'PLAN MAESTRO FINAL'!$A66,'HOJAS DE HORA PROY.'!$M$2:$M$943,B$39)</f>
        <v>0</v>
      </c>
      <c r="C66" s="8">
        <f>SUMIFS('HOJAS DE HORA PROY.'!$C$2:$C$943,'HOJAS DE HORA PROY.'!$A$2:$A$943,'PLAN MAESTRO FINAL'!$A66,'HOJAS DE HORA PROY.'!$M$2:$M$943,C$39)</f>
        <v>0</v>
      </c>
      <c r="D66" s="8">
        <f>SUMIFS('HOJAS DE HORA PROY.'!$C$2:$C$943,'HOJAS DE HORA PROY.'!$A$2:$A$943,'PLAN MAESTRO FINAL'!$A66,'HOJAS DE HORA PROY.'!$M$2:$M$943,D$39)</f>
        <v>0</v>
      </c>
      <c r="E66" s="8">
        <f>SUMIFS('HOJAS DE HORA PROY.'!$C$2:$C$943,'HOJAS DE HORA PROY.'!$A$2:$A$943,'PLAN MAESTRO FINAL'!$A66,'HOJAS DE HORA PROY.'!$M$2:$M$943,E$39)</f>
        <v>0</v>
      </c>
      <c r="F66" s="8">
        <f>SUMIFS('HOJAS DE HORA PROY.'!$C$2:$C$943,'HOJAS DE HORA PROY.'!$A$2:$A$943,'PLAN MAESTRO FINAL'!$A66,'HOJAS DE HORA PROY.'!$M$2:$M$943,F$39)</f>
        <v>0</v>
      </c>
      <c r="G66" s="8">
        <f>SUMIFS('HOJAS DE HORA PROY.'!$C$2:$C$943,'HOJAS DE HORA PROY.'!$A$2:$A$943,'PLAN MAESTRO FINAL'!$A66,'HOJAS DE HORA PROY.'!$M$2:$M$943,G$39)</f>
        <v>0</v>
      </c>
      <c r="H66" s="8">
        <f>SUMIFS('HOJAS DE HORA PROY.'!$C$2:$C$943,'HOJAS DE HORA PROY.'!$A$2:$A$943,'PLAN MAESTRO FINAL'!$A66,'HOJAS DE HORA PROY.'!$M$2:$M$943,H$39)</f>
        <v>0</v>
      </c>
      <c r="I66" s="8">
        <f>SUMIFS('HOJAS DE HORA PROY.'!$C$2:$C$943,'HOJAS DE HORA PROY.'!$A$2:$A$943,'PLAN MAESTRO FINAL'!$A66,'HOJAS DE HORA PROY.'!$M$2:$M$943,I$39)</f>
        <v>0</v>
      </c>
      <c r="J66" s="8">
        <f>SUMIFS('HOJAS DE HORA PROY.'!$C$2:$C$943,'HOJAS DE HORA PROY.'!$A$2:$A$943,'PLAN MAESTRO FINAL'!$A66,'HOJAS DE HORA PROY.'!$M$2:$M$943,J$39)</f>
        <v>0</v>
      </c>
      <c r="K66" s="8">
        <f>SUMIFS('HOJAS DE HORA PROY.'!$C$2:$C$943,'HOJAS DE HORA PROY.'!$A$2:$A$943,'PLAN MAESTRO FINAL'!$A66,'HOJAS DE HORA PROY.'!$M$2:$M$943,K$39)</f>
        <v>0</v>
      </c>
      <c r="L66" s="8">
        <f>SUMIFS('HOJAS DE HORA PROY.'!$C$2:$C$943,'HOJAS DE HORA PROY.'!$A$2:$A$943,'PLAN MAESTRO FINAL'!$A66,'HOJAS DE HORA PROY.'!$M$2:$M$943,L$39)</f>
        <v>0</v>
      </c>
      <c r="M66" s="8">
        <f>SUMIFS('HOJAS DE HORA PROY.'!$C$2:$C$943,'HOJAS DE HORA PROY.'!$A$2:$A$943,'PLAN MAESTRO FINAL'!$A66,'HOJAS DE HORA PROY.'!$M$2:$M$943,M$39)</f>
        <v>0</v>
      </c>
      <c r="N66" s="8">
        <f>SUMIFS('HOJAS DE HORA PROY.'!$C$2:$C$943,'HOJAS DE HORA PROY.'!$A$2:$A$943,'PLAN MAESTRO FINAL'!$A66,'HOJAS DE HORA PROY.'!$M$2:$M$943,N$39)</f>
        <v>0</v>
      </c>
      <c r="O66" s="8">
        <f>SUMIFS('HOJAS DE HORA PROY.'!$C$2:$C$943,'HOJAS DE HORA PROY.'!$A$2:$A$943,'PLAN MAESTRO FINAL'!$A66,'HOJAS DE HORA PROY.'!$M$2:$M$943,O$39)</f>
        <v>0</v>
      </c>
      <c r="P66" s="8">
        <f>SUMIFS('HOJAS DE HORA PROY.'!$C$2:$C$943,'HOJAS DE HORA PROY.'!$A$2:$A$943,'PLAN MAESTRO FINAL'!$A66,'HOJAS DE HORA PROY.'!$M$2:$M$943,P$39)</f>
        <v>0</v>
      </c>
      <c r="Q66" s="8">
        <f>SUMIFS('HOJAS DE HORA PROY.'!$C$2:$C$943,'HOJAS DE HORA PROY.'!$A$2:$A$943,'PLAN MAESTRO FINAL'!$A66,'HOJAS DE HORA PROY.'!$M$2:$M$943,Q$39)</f>
        <v>0</v>
      </c>
      <c r="R66" s="8">
        <f>SUMIFS('HOJAS DE HORA PROY.'!$C$2:$C$943,'HOJAS DE HORA PROY.'!$A$2:$A$943,'PLAN MAESTRO FINAL'!$A66,'HOJAS DE HORA PROY.'!$M$2:$M$943,R$39)</f>
        <v>0</v>
      </c>
      <c r="S66" s="8">
        <f>SUMIFS('HOJAS DE HORA PROY.'!$C$2:$C$943,'HOJAS DE HORA PROY.'!$A$2:$A$943,'PLAN MAESTRO FINAL'!$A66,'HOJAS DE HORA PROY.'!$M$2:$M$943,S$39)</f>
        <v>0</v>
      </c>
      <c r="T66" s="8">
        <f>SUMIFS('HOJAS DE HORA PROY.'!$C$2:$C$943,'HOJAS DE HORA PROY.'!$A$2:$A$943,'PLAN MAESTRO FINAL'!$A66,'HOJAS DE HORA PROY.'!$M$2:$M$943,T$39)</f>
        <v>0</v>
      </c>
      <c r="U66" s="8">
        <f>SUMIFS('HOJAS DE HORA PROY.'!$C$2:$C$943,'HOJAS DE HORA PROY.'!$A$2:$A$943,'PLAN MAESTRO FINAL'!$A66,'HOJAS DE HORA PROY.'!$M$2:$M$943,U$39)</f>
        <v>0</v>
      </c>
      <c r="V66" s="8">
        <f>SUMIFS('HOJAS DE HORA PROY.'!$C$2:$C$943,'HOJAS DE HORA PROY.'!$A$2:$A$943,'PLAN MAESTRO FINAL'!$A66,'HOJAS DE HORA PROY.'!$M$2:$M$943,V$39)</f>
        <v>0</v>
      </c>
      <c r="W66" s="8">
        <f>SUMIFS('HOJAS DE HORA PROY.'!$C$2:$C$943,'HOJAS DE HORA PROY.'!$A$2:$A$943,'PLAN MAESTRO FINAL'!$A66,'HOJAS DE HORA PROY.'!$M$2:$M$943,W$39)</f>
        <v>0</v>
      </c>
    </row>
    <row r="67" spans="1:23" hidden="1" outlineLevel="1" x14ac:dyDescent="0.3">
      <c r="A67" s="13" t="s">
        <v>520</v>
      </c>
      <c r="B67" s="8">
        <f>SUMIFS('HOJAS DE HORA PROY.'!$C$2:$C$943,'HOJAS DE HORA PROY.'!$A$2:$A$943,'PLAN MAESTRO FINAL'!$A67,'HOJAS DE HORA PROY.'!$M$2:$M$943,B$39)</f>
        <v>0</v>
      </c>
      <c r="C67" s="8">
        <f>SUMIFS('HOJAS DE HORA PROY.'!$C$2:$C$943,'HOJAS DE HORA PROY.'!$A$2:$A$943,'PLAN MAESTRO FINAL'!$A67,'HOJAS DE HORA PROY.'!$M$2:$M$943,C$39)</f>
        <v>0</v>
      </c>
      <c r="D67" s="8">
        <f>SUMIFS('HOJAS DE HORA PROY.'!$C$2:$C$943,'HOJAS DE HORA PROY.'!$A$2:$A$943,'PLAN MAESTRO FINAL'!$A67,'HOJAS DE HORA PROY.'!$M$2:$M$943,D$39)</f>
        <v>0</v>
      </c>
      <c r="E67" s="8">
        <f>SUMIFS('HOJAS DE HORA PROY.'!$C$2:$C$943,'HOJAS DE HORA PROY.'!$A$2:$A$943,'PLAN MAESTRO FINAL'!$A67,'HOJAS DE HORA PROY.'!$M$2:$M$943,E$39)</f>
        <v>0</v>
      </c>
      <c r="F67" s="8">
        <f>SUMIFS('HOJAS DE HORA PROY.'!$C$2:$C$943,'HOJAS DE HORA PROY.'!$A$2:$A$943,'PLAN MAESTRO FINAL'!$A67,'HOJAS DE HORA PROY.'!$M$2:$M$943,F$39)</f>
        <v>17</v>
      </c>
      <c r="G67" s="8">
        <f>SUMIFS('HOJAS DE HORA PROY.'!$C$2:$C$943,'HOJAS DE HORA PROY.'!$A$2:$A$943,'PLAN MAESTRO FINAL'!$A67,'HOJAS DE HORA PROY.'!$M$2:$M$943,G$39)</f>
        <v>0</v>
      </c>
      <c r="H67" s="8">
        <f>SUMIFS('HOJAS DE HORA PROY.'!$C$2:$C$943,'HOJAS DE HORA PROY.'!$A$2:$A$943,'PLAN MAESTRO FINAL'!$A67,'HOJAS DE HORA PROY.'!$M$2:$M$943,H$39)</f>
        <v>0</v>
      </c>
      <c r="I67" s="8">
        <f>SUMIFS('HOJAS DE HORA PROY.'!$C$2:$C$943,'HOJAS DE HORA PROY.'!$A$2:$A$943,'PLAN MAESTRO FINAL'!$A67,'HOJAS DE HORA PROY.'!$M$2:$M$943,I$39)</f>
        <v>0</v>
      </c>
      <c r="J67" s="8">
        <f>SUMIFS('HOJAS DE HORA PROY.'!$C$2:$C$943,'HOJAS DE HORA PROY.'!$A$2:$A$943,'PLAN MAESTRO FINAL'!$A67,'HOJAS DE HORA PROY.'!$M$2:$M$943,J$39)</f>
        <v>0</v>
      </c>
      <c r="K67" s="8">
        <f>SUMIFS('HOJAS DE HORA PROY.'!$C$2:$C$943,'HOJAS DE HORA PROY.'!$A$2:$A$943,'PLAN MAESTRO FINAL'!$A67,'HOJAS DE HORA PROY.'!$M$2:$M$943,K$39)</f>
        <v>0</v>
      </c>
      <c r="L67" s="8">
        <f>SUMIFS('HOJAS DE HORA PROY.'!$C$2:$C$943,'HOJAS DE HORA PROY.'!$A$2:$A$943,'PLAN MAESTRO FINAL'!$A67,'HOJAS DE HORA PROY.'!$M$2:$M$943,L$39)</f>
        <v>0</v>
      </c>
      <c r="M67" s="8">
        <f>SUMIFS('HOJAS DE HORA PROY.'!$C$2:$C$943,'HOJAS DE HORA PROY.'!$A$2:$A$943,'PLAN MAESTRO FINAL'!$A67,'HOJAS DE HORA PROY.'!$M$2:$M$943,M$39)</f>
        <v>0</v>
      </c>
      <c r="N67" s="8">
        <f>SUMIFS('HOJAS DE HORA PROY.'!$C$2:$C$943,'HOJAS DE HORA PROY.'!$A$2:$A$943,'PLAN MAESTRO FINAL'!$A67,'HOJAS DE HORA PROY.'!$M$2:$M$943,N$39)</f>
        <v>0</v>
      </c>
      <c r="O67" s="8">
        <f>SUMIFS('HOJAS DE HORA PROY.'!$C$2:$C$943,'HOJAS DE HORA PROY.'!$A$2:$A$943,'PLAN MAESTRO FINAL'!$A67,'HOJAS DE HORA PROY.'!$M$2:$M$943,O$39)</f>
        <v>0</v>
      </c>
      <c r="P67" s="8">
        <f>SUMIFS('HOJAS DE HORA PROY.'!$C$2:$C$943,'HOJAS DE HORA PROY.'!$A$2:$A$943,'PLAN MAESTRO FINAL'!$A67,'HOJAS DE HORA PROY.'!$M$2:$M$943,P$39)</f>
        <v>0</v>
      </c>
      <c r="Q67" s="8">
        <f>SUMIFS('HOJAS DE HORA PROY.'!$C$2:$C$943,'HOJAS DE HORA PROY.'!$A$2:$A$943,'PLAN MAESTRO FINAL'!$A67,'HOJAS DE HORA PROY.'!$M$2:$M$943,Q$39)</f>
        <v>0</v>
      </c>
      <c r="R67" s="8">
        <f>SUMIFS('HOJAS DE HORA PROY.'!$C$2:$C$943,'HOJAS DE HORA PROY.'!$A$2:$A$943,'PLAN MAESTRO FINAL'!$A67,'HOJAS DE HORA PROY.'!$M$2:$M$943,R$39)</f>
        <v>0</v>
      </c>
      <c r="S67" s="8">
        <f>SUMIFS('HOJAS DE HORA PROY.'!$C$2:$C$943,'HOJAS DE HORA PROY.'!$A$2:$A$943,'PLAN MAESTRO FINAL'!$A67,'HOJAS DE HORA PROY.'!$M$2:$M$943,S$39)</f>
        <v>0</v>
      </c>
      <c r="T67" s="8">
        <f>SUMIFS('HOJAS DE HORA PROY.'!$C$2:$C$943,'HOJAS DE HORA PROY.'!$A$2:$A$943,'PLAN MAESTRO FINAL'!$A67,'HOJAS DE HORA PROY.'!$M$2:$M$943,T$39)</f>
        <v>0</v>
      </c>
      <c r="U67" s="8">
        <f>SUMIFS('HOJAS DE HORA PROY.'!$C$2:$C$943,'HOJAS DE HORA PROY.'!$A$2:$A$943,'PLAN MAESTRO FINAL'!$A67,'HOJAS DE HORA PROY.'!$M$2:$M$943,U$39)</f>
        <v>0</v>
      </c>
      <c r="V67" s="8">
        <f>SUMIFS('HOJAS DE HORA PROY.'!$C$2:$C$943,'HOJAS DE HORA PROY.'!$A$2:$A$943,'PLAN MAESTRO FINAL'!$A67,'HOJAS DE HORA PROY.'!$M$2:$M$943,V$39)</f>
        <v>0</v>
      </c>
      <c r="W67" s="8">
        <f>SUMIFS('HOJAS DE HORA PROY.'!$C$2:$C$943,'HOJAS DE HORA PROY.'!$A$2:$A$943,'PLAN MAESTRO FINAL'!$A67,'HOJAS DE HORA PROY.'!$M$2:$M$943,W$39)</f>
        <v>0</v>
      </c>
    </row>
    <row r="68" spans="1:23" hidden="1" outlineLevel="1" x14ac:dyDescent="0.3">
      <c r="A68" s="13" t="s">
        <v>525</v>
      </c>
      <c r="B68" s="8">
        <f>SUMIFS('HOJAS DE HORA PROY.'!$C$2:$C$943,'HOJAS DE HORA PROY.'!$A$2:$A$943,'PLAN MAESTRO FINAL'!$A68,'HOJAS DE HORA PROY.'!$M$2:$M$943,B$39)</f>
        <v>0</v>
      </c>
      <c r="C68" s="8">
        <f>SUMIFS('HOJAS DE HORA PROY.'!$C$2:$C$943,'HOJAS DE HORA PROY.'!$A$2:$A$943,'PLAN MAESTRO FINAL'!$A68,'HOJAS DE HORA PROY.'!$M$2:$M$943,C$39)</f>
        <v>0</v>
      </c>
      <c r="D68" s="8">
        <f>SUMIFS('HOJAS DE HORA PROY.'!$C$2:$C$943,'HOJAS DE HORA PROY.'!$A$2:$A$943,'PLAN MAESTRO FINAL'!$A68,'HOJAS DE HORA PROY.'!$M$2:$M$943,D$39)</f>
        <v>0</v>
      </c>
      <c r="E68" s="8">
        <f>SUMIFS('HOJAS DE HORA PROY.'!$C$2:$C$943,'HOJAS DE HORA PROY.'!$A$2:$A$943,'PLAN MAESTRO FINAL'!$A68,'HOJAS DE HORA PROY.'!$M$2:$M$943,E$39)</f>
        <v>0</v>
      </c>
      <c r="F68" s="8">
        <f>SUMIFS('HOJAS DE HORA PROY.'!$C$2:$C$943,'HOJAS DE HORA PROY.'!$A$2:$A$943,'PLAN MAESTRO FINAL'!$A68,'HOJAS DE HORA PROY.'!$M$2:$M$943,F$39)</f>
        <v>0</v>
      </c>
      <c r="G68" s="8">
        <f>SUMIFS('HOJAS DE HORA PROY.'!$C$2:$C$943,'HOJAS DE HORA PROY.'!$A$2:$A$943,'PLAN MAESTRO FINAL'!$A68,'HOJAS DE HORA PROY.'!$M$2:$M$943,G$39)</f>
        <v>0</v>
      </c>
      <c r="H68" s="8">
        <f>SUMIFS('HOJAS DE HORA PROY.'!$C$2:$C$943,'HOJAS DE HORA PROY.'!$A$2:$A$943,'PLAN MAESTRO FINAL'!$A68,'HOJAS DE HORA PROY.'!$M$2:$M$943,H$39)</f>
        <v>0</v>
      </c>
      <c r="I68" s="8">
        <f>SUMIFS('HOJAS DE HORA PROY.'!$C$2:$C$943,'HOJAS DE HORA PROY.'!$A$2:$A$943,'PLAN MAESTRO FINAL'!$A68,'HOJAS DE HORA PROY.'!$M$2:$M$943,I$39)</f>
        <v>0</v>
      </c>
      <c r="J68" s="8">
        <f>SUMIFS('HOJAS DE HORA PROY.'!$C$2:$C$943,'HOJAS DE HORA PROY.'!$A$2:$A$943,'PLAN MAESTRO FINAL'!$A68,'HOJAS DE HORA PROY.'!$M$2:$M$943,J$39)</f>
        <v>0</v>
      </c>
      <c r="K68" s="8">
        <f>SUMIFS('HOJAS DE HORA PROY.'!$C$2:$C$943,'HOJAS DE HORA PROY.'!$A$2:$A$943,'PLAN MAESTRO FINAL'!$A68,'HOJAS DE HORA PROY.'!$M$2:$M$943,K$39)</f>
        <v>0</v>
      </c>
      <c r="L68" s="8">
        <f>SUMIFS('HOJAS DE HORA PROY.'!$C$2:$C$943,'HOJAS DE HORA PROY.'!$A$2:$A$943,'PLAN MAESTRO FINAL'!$A68,'HOJAS DE HORA PROY.'!$M$2:$M$943,L$39)</f>
        <v>0</v>
      </c>
      <c r="M68" s="8">
        <f>SUMIFS('HOJAS DE HORA PROY.'!$C$2:$C$943,'HOJAS DE HORA PROY.'!$A$2:$A$943,'PLAN MAESTRO FINAL'!$A68,'HOJAS DE HORA PROY.'!$M$2:$M$943,M$39)</f>
        <v>0</v>
      </c>
      <c r="N68" s="8">
        <f>SUMIFS('HOJAS DE HORA PROY.'!$C$2:$C$943,'HOJAS DE HORA PROY.'!$A$2:$A$943,'PLAN MAESTRO FINAL'!$A68,'HOJAS DE HORA PROY.'!$M$2:$M$943,N$39)</f>
        <v>0</v>
      </c>
      <c r="O68" s="8">
        <f>SUMIFS('HOJAS DE HORA PROY.'!$C$2:$C$943,'HOJAS DE HORA PROY.'!$A$2:$A$943,'PLAN MAESTRO FINAL'!$A68,'HOJAS DE HORA PROY.'!$M$2:$M$943,O$39)</f>
        <v>0</v>
      </c>
      <c r="P68" s="8">
        <f>SUMIFS('HOJAS DE HORA PROY.'!$C$2:$C$943,'HOJAS DE HORA PROY.'!$A$2:$A$943,'PLAN MAESTRO FINAL'!$A68,'HOJAS DE HORA PROY.'!$M$2:$M$943,P$39)</f>
        <v>0</v>
      </c>
      <c r="Q68" s="8">
        <f>SUMIFS('HOJAS DE HORA PROY.'!$C$2:$C$943,'HOJAS DE HORA PROY.'!$A$2:$A$943,'PLAN MAESTRO FINAL'!$A68,'HOJAS DE HORA PROY.'!$M$2:$M$943,Q$39)</f>
        <v>0</v>
      </c>
      <c r="R68" s="8">
        <f>SUMIFS('HOJAS DE HORA PROY.'!$C$2:$C$943,'HOJAS DE HORA PROY.'!$A$2:$A$943,'PLAN MAESTRO FINAL'!$A68,'HOJAS DE HORA PROY.'!$M$2:$M$943,R$39)</f>
        <v>0</v>
      </c>
      <c r="S68" s="8">
        <f>SUMIFS('HOJAS DE HORA PROY.'!$C$2:$C$943,'HOJAS DE HORA PROY.'!$A$2:$A$943,'PLAN MAESTRO FINAL'!$A68,'HOJAS DE HORA PROY.'!$M$2:$M$943,S$39)</f>
        <v>0</v>
      </c>
      <c r="T68" s="8">
        <f>SUMIFS('HOJAS DE HORA PROY.'!$C$2:$C$943,'HOJAS DE HORA PROY.'!$A$2:$A$943,'PLAN MAESTRO FINAL'!$A68,'HOJAS DE HORA PROY.'!$M$2:$M$943,T$39)</f>
        <v>0</v>
      </c>
      <c r="U68" s="8">
        <f>SUMIFS('HOJAS DE HORA PROY.'!$C$2:$C$943,'HOJAS DE HORA PROY.'!$A$2:$A$943,'PLAN MAESTRO FINAL'!$A68,'HOJAS DE HORA PROY.'!$M$2:$M$943,U$39)</f>
        <v>0</v>
      </c>
      <c r="V68" s="8">
        <f>SUMIFS('HOJAS DE HORA PROY.'!$C$2:$C$943,'HOJAS DE HORA PROY.'!$A$2:$A$943,'PLAN MAESTRO FINAL'!$A68,'HOJAS DE HORA PROY.'!$M$2:$M$943,V$39)</f>
        <v>0</v>
      </c>
      <c r="W68" s="8">
        <f>SUMIFS('HOJAS DE HORA PROY.'!$C$2:$C$943,'HOJAS DE HORA PROY.'!$A$2:$A$943,'PLAN MAESTRO FINAL'!$A68,'HOJAS DE HORA PROY.'!$M$2:$M$943,W$39)</f>
        <v>0</v>
      </c>
    </row>
    <row r="69" spans="1:23" hidden="1" outlineLevel="1" x14ac:dyDescent="0.3">
      <c r="A69" s="13" t="s">
        <v>547</v>
      </c>
      <c r="B69" s="8">
        <f>SUMIFS('HOJAS DE HORA PROY.'!$C$2:$C$943,'HOJAS DE HORA PROY.'!$A$2:$A$943,'PLAN MAESTRO FINAL'!$A69,'HOJAS DE HORA PROY.'!$M$2:$M$943,B$39)</f>
        <v>0</v>
      </c>
      <c r="C69" s="8">
        <f>SUMIFS('HOJAS DE HORA PROY.'!$C$2:$C$943,'HOJAS DE HORA PROY.'!$A$2:$A$943,'PLAN MAESTRO FINAL'!$A69,'HOJAS DE HORA PROY.'!$M$2:$M$943,C$39)</f>
        <v>0</v>
      </c>
      <c r="D69" s="8">
        <f>SUMIFS('HOJAS DE HORA PROY.'!$C$2:$C$943,'HOJAS DE HORA PROY.'!$A$2:$A$943,'PLAN MAESTRO FINAL'!$A69,'HOJAS DE HORA PROY.'!$M$2:$M$943,D$39)</f>
        <v>0</v>
      </c>
      <c r="E69" s="8">
        <f>SUMIFS('HOJAS DE HORA PROY.'!$C$2:$C$943,'HOJAS DE HORA PROY.'!$A$2:$A$943,'PLAN MAESTRO FINAL'!$A69,'HOJAS DE HORA PROY.'!$M$2:$M$943,E$39)</f>
        <v>0</v>
      </c>
      <c r="F69" s="8">
        <f>SUMIFS('HOJAS DE HORA PROY.'!$C$2:$C$943,'HOJAS DE HORA PROY.'!$A$2:$A$943,'PLAN MAESTRO FINAL'!$A69,'HOJAS DE HORA PROY.'!$M$2:$M$943,F$39)</f>
        <v>0</v>
      </c>
      <c r="G69" s="8">
        <f>SUMIFS('HOJAS DE HORA PROY.'!$C$2:$C$943,'HOJAS DE HORA PROY.'!$A$2:$A$943,'PLAN MAESTRO FINAL'!$A69,'HOJAS DE HORA PROY.'!$M$2:$M$943,G$39)</f>
        <v>47</v>
      </c>
      <c r="H69" s="8">
        <f>SUMIFS('HOJAS DE HORA PROY.'!$C$2:$C$943,'HOJAS DE HORA PROY.'!$A$2:$A$943,'PLAN MAESTRO FINAL'!$A69,'HOJAS DE HORA PROY.'!$M$2:$M$943,H$39)</f>
        <v>0</v>
      </c>
      <c r="I69" s="8">
        <f>SUMIFS('HOJAS DE HORA PROY.'!$C$2:$C$943,'HOJAS DE HORA PROY.'!$A$2:$A$943,'PLAN MAESTRO FINAL'!$A69,'HOJAS DE HORA PROY.'!$M$2:$M$943,I$39)</f>
        <v>0</v>
      </c>
      <c r="J69" s="8">
        <f>SUMIFS('HOJAS DE HORA PROY.'!$C$2:$C$943,'HOJAS DE HORA PROY.'!$A$2:$A$943,'PLAN MAESTRO FINAL'!$A69,'HOJAS DE HORA PROY.'!$M$2:$M$943,J$39)</f>
        <v>0</v>
      </c>
      <c r="K69" s="8">
        <f>SUMIFS('HOJAS DE HORA PROY.'!$C$2:$C$943,'HOJAS DE HORA PROY.'!$A$2:$A$943,'PLAN MAESTRO FINAL'!$A69,'HOJAS DE HORA PROY.'!$M$2:$M$943,K$39)</f>
        <v>0</v>
      </c>
      <c r="L69" s="8">
        <f>SUMIFS('HOJAS DE HORA PROY.'!$C$2:$C$943,'HOJAS DE HORA PROY.'!$A$2:$A$943,'PLAN MAESTRO FINAL'!$A69,'HOJAS DE HORA PROY.'!$M$2:$M$943,L$39)</f>
        <v>0</v>
      </c>
      <c r="M69" s="8">
        <f>SUMIFS('HOJAS DE HORA PROY.'!$C$2:$C$943,'HOJAS DE HORA PROY.'!$A$2:$A$943,'PLAN MAESTRO FINAL'!$A69,'HOJAS DE HORA PROY.'!$M$2:$M$943,M$39)</f>
        <v>0</v>
      </c>
      <c r="N69" s="8">
        <f>SUMIFS('HOJAS DE HORA PROY.'!$C$2:$C$943,'HOJAS DE HORA PROY.'!$A$2:$A$943,'PLAN MAESTRO FINAL'!$A69,'HOJAS DE HORA PROY.'!$M$2:$M$943,N$39)</f>
        <v>0</v>
      </c>
      <c r="O69" s="8">
        <f>SUMIFS('HOJAS DE HORA PROY.'!$C$2:$C$943,'HOJAS DE HORA PROY.'!$A$2:$A$943,'PLAN MAESTRO FINAL'!$A69,'HOJAS DE HORA PROY.'!$M$2:$M$943,O$39)</f>
        <v>0</v>
      </c>
      <c r="P69" s="8">
        <f>SUMIFS('HOJAS DE HORA PROY.'!$C$2:$C$943,'HOJAS DE HORA PROY.'!$A$2:$A$943,'PLAN MAESTRO FINAL'!$A69,'HOJAS DE HORA PROY.'!$M$2:$M$943,P$39)</f>
        <v>0</v>
      </c>
      <c r="Q69" s="8">
        <f>SUMIFS('HOJAS DE HORA PROY.'!$C$2:$C$943,'HOJAS DE HORA PROY.'!$A$2:$A$943,'PLAN MAESTRO FINAL'!$A69,'HOJAS DE HORA PROY.'!$M$2:$M$943,Q$39)</f>
        <v>0</v>
      </c>
      <c r="R69" s="8">
        <f>SUMIFS('HOJAS DE HORA PROY.'!$C$2:$C$943,'HOJAS DE HORA PROY.'!$A$2:$A$943,'PLAN MAESTRO FINAL'!$A69,'HOJAS DE HORA PROY.'!$M$2:$M$943,R$39)</f>
        <v>0</v>
      </c>
      <c r="S69" s="8">
        <f>SUMIFS('HOJAS DE HORA PROY.'!$C$2:$C$943,'HOJAS DE HORA PROY.'!$A$2:$A$943,'PLAN MAESTRO FINAL'!$A69,'HOJAS DE HORA PROY.'!$M$2:$M$943,S$39)</f>
        <v>0</v>
      </c>
      <c r="T69" s="8">
        <f>SUMIFS('HOJAS DE HORA PROY.'!$C$2:$C$943,'HOJAS DE HORA PROY.'!$A$2:$A$943,'PLAN MAESTRO FINAL'!$A69,'HOJAS DE HORA PROY.'!$M$2:$M$943,T$39)</f>
        <v>0</v>
      </c>
      <c r="U69" s="8">
        <f>SUMIFS('HOJAS DE HORA PROY.'!$C$2:$C$943,'HOJAS DE HORA PROY.'!$A$2:$A$943,'PLAN MAESTRO FINAL'!$A69,'HOJAS DE HORA PROY.'!$M$2:$M$943,U$39)</f>
        <v>0</v>
      </c>
      <c r="V69" s="8">
        <f>SUMIFS('HOJAS DE HORA PROY.'!$C$2:$C$943,'HOJAS DE HORA PROY.'!$A$2:$A$943,'PLAN MAESTRO FINAL'!$A69,'HOJAS DE HORA PROY.'!$M$2:$M$943,V$39)</f>
        <v>0</v>
      </c>
      <c r="W69" s="8">
        <f>SUMIFS('HOJAS DE HORA PROY.'!$C$2:$C$943,'HOJAS DE HORA PROY.'!$A$2:$A$943,'PLAN MAESTRO FINAL'!$A69,'HOJAS DE HORA PROY.'!$M$2:$M$943,W$39)</f>
        <v>0</v>
      </c>
    </row>
    <row r="70" spans="1:23" hidden="1" outlineLevel="1" x14ac:dyDescent="0.3">
      <c r="A70" s="13"/>
      <c r="B70" s="8">
        <f>SUMIFS('HOJAS DE HORA PROY.'!$C$2:$C$943,'HOJAS DE HORA PROY.'!$A$2:$A$943,'PLAN MAESTRO FINAL'!$A70,'HOJAS DE HORA PROY.'!$M$2:$M$943,B$39)</f>
        <v>0</v>
      </c>
      <c r="C70" s="8">
        <f>SUMIFS('HOJAS DE HORA PROY.'!$C$2:$C$943,'HOJAS DE HORA PROY.'!$A$2:$A$943,'PLAN MAESTRO FINAL'!$A70,'HOJAS DE HORA PROY.'!$M$2:$M$943,C$39)</f>
        <v>0</v>
      </c>
      <c r="D70" s="8">
        <f>SUMIFS('HOJAS DE HORA PROY.'!$C$2:$C$943,'HOJAS DE HORA PROY.'!$A$2:$A$943,'PLAN MAESTRO FINAL'!$A70,'HOJAS DE HORA PROY.'!$M$2:$M$943,D$39)</f>
        <v>0</v>
      </c>
      <c r="E70" s="8">
        <f>SUMIFS('HOJAS DE HORA PROY.'!$C$2:$C$943,'HOJAS DE HORA PROY.'!$A$2:$A$943,'PLAN MAESTRO FINAL'!$A70,'HOJAS DE HORA PROY.'!$M$2:$M$943,E$39)</f>
        <v>0</v>
      </c>
      <c r="F70" s="8">
        <f>SUMIFS('HOJAS DE HORA PROY.'!$C$2:$C$943,'HOJAS DE HORA PROY.'!$A$2:$A$943,'PLAN MAESTRO FINAL'!$A70,'HOJAS DE HORA PROY.'!$M$2:$M$943,F$39)</f>
        <v>0</v>
      </c>
      <c r="G70" s="8">
        <f>SUMIFS('HOJAS DE HORA PROY.'!$C$2:$C$943,'HOJAS DE HORA PROY.'!$A$2:$A$943,'PLAN MAESTRO FINAL'!$A70,'HOJAS DE HORA PROY.'!$M$2:$M$943,G$39)</f>
        <v>0</v>
      </c>
      <c r="H70" s="8">
        <f>SUMIFS('HOJAS DE HORA PROY.'!$C$2:$C$943,'HOJAS DE HORA PROY.'!$A$2:$A$943,'PLAN MAESTRO FINAL'!$A70,'HOJAS DE HORA PROY.'!$M$2:$M$943,H$39)</f>
        <v>0</v>
      </c>
      <c r="I70" s="8">
        <f>SUMIFS('HOJAS DE HORA PROY.'!$C$2:$C$943,'HOJAS DE HORA PROY.'!$A$2:$A$943,'PLAN MAESTRO FINAL'!$A70,'HOJAS DE HORA PROY.'!$M$2:$M$943,I$39)</f>
        <v>0</v>
      </c>
      <c r="J70" s="8">
        <f>SUMIFS('HOJAS DE HORA PROY.'!$C$2:$C$943,'HOJAS DE HORA PROY.'!$A$2:$A$943,'PLAN MAESTRO FINAL'!$A70,'HOJAS DE HORA PROY.'!$M$2:$M$943,J$39)</f>
        <v>0</v>
      </c>
      <c r="K70" s="8">
        <f>SUMIFS('HOJAS DE HORA PROY.'!$C$2:$C$943,'HOJAS DE HORA PROY.'!$A$2:$A$943,'PLAN MAESTRO FINAL'!$A70,'HOJAS DE HORA PROY.'!$M$2:$M$943,K$39)</f>
        <v>0</v>
      </c>
      <c r="L70" s="8">
        <f>SUMIFS('HOJAS DE HORA PROY.'!$C$2:$C$943,'HOJAS DE HORA PROY.'!$A$2:$A$943,'PLAN MAESTRO FINAL'!$A70,'HOJAS DE HORA PROY.'!$M$2:$M$943,L$39)</f>
        <v>0</v>
      </c>
      <c r="M70" s="8">
        <f>SUMIFS('HOJAS DE HORA PROY.'!$C$2:$C$943,'HOJAS DE HORA PROY.'!$A$2:$A$943,'PLAN MAESTRO FINAL'!$A70,'HOJAS DE HORA PROY.'!$M$2:$M$943,M$39)</f>
        <v>0</v>
      </c>
      <c r="N70" s="8">
        <f>SUMIFS('HOJAS DE HORA PROY.'!$C$2:$C$943,'HOJAS DE HORA PROY.'!$A$2:$A$943,'PLAN MAESTRO FINAL'!$A70,'HOJAS DE HORA PROY.'!$M$2:$M$943,N$39)</f>
        <v>0</v>
      </c>
      <c r="O70" s="8">
        <f>SUMIFS('HOJAS DE HORA PROY.'!$C$2:$C$943,'HOJAS DE HORA PROY.'!$A$2:$A$943,'PLAN MAESTRO FINAL'!$A70,'HOJAS DE HORA PROY.'!$M$2:$M$943,O$39)</f>
        <v>0</v>
      </c>
      <c r="P70" s="8">
        <f>SUMIFS('HOJAS DE HORA PROY.'!$C$2:$C$943,'HOJAS DE HORA PROY.'!$A$2:$A$943,'PLAN MAESTRO FINAL'!$A70,'HOJAS DE HORA PROY.'!$M$2:$M$943,P$39)</f>
        <v>0</v>
      </c>
      <c r="Q70" s="8">
        <f>SUMIFS('HOJAS DE HORA PROY.'!$C$2:$C$943,'HOJAS DE HORA PROY.'!$A$2:$A$943,'PLAN MAESTRO FINAL'!$A70,'HOJAS DE HORA PROY.'!$M$2:$M$943,Q$39)</f>
        <v>0</v>
      </c>
      <c r="R70" s="8">
        <f>SUMIFS('HOJAS DE HORA PROY.'!$C$2:$C$943,'HOJAS DE HORA PROY.'!$A$2:$A$943,'PLAN MAESTRO FINAL'!$A70,'HOJAS DE HORA PROY.'!$M$2:$M$943,R$39)</f>
        <v>0</v>
      </c>
      <c r="S70" s="8">
        <f>SUMIFS('HOJAS DE HORA PROY.'!$C$2:$C$943,'HOJAS DE HORA PROY.'!$A$2:$A$943,'PLAN MAESTRO FINAL'!$A70,'HOJAS DE HORA PROY.'!$M$2:$M$943,S$39)</f>
        <v>0</v>
      </c>
      <c r="T70" s="8">
        <f>SUMIFS('HOJAS DE HORA PROY.'!$C$2:$C$943,'HOJAS DE HORA PROY.'!$A$2:$A$943,'PLAN MAESTRO FINAL'!$A70,'HOJAS DE HORA PROY.'!$M$2:$M$943,T$39)</f>
        <v>0</v>
      </c>
      <c r="U70" s="8">
        <f>SUMIFS('HOJAS DE HORA PROY.'!$C$2:$C$943,'HOJAS DE HORA PROY.'!$A$2:$A$943,'PLAN MAESTRO FINAL'!$A70,'HOJAS DE HORA PROY.'!$M$2:$M$943,U$39)</f>
        <v>0</v>
      </c>
      <c r="V70" s="8">
        <f>SUMIFS('HOJAS DE HORA PROY.'!$C$2:$C$943,'HOJAS DE HORA PROY.'!$A$2:$A$943,'PLAN MAESTRO FINAL'!$A70,'HOJAS DE HORA PROY.'!$M$2:$M$943,V$39)</f>
        <v>0</v>
      </c>
      <c r="W70" s="8">
        <f>SUMIFS('HOJAS DE HORA PROY.'!$C$2:$C$943,'HOJAS DE HORA PROY.'!$A$2:$A$943,'PLAN MAESTRO FINAL'!$A70,'HOJAS DE HORA PROY.'!$M$2:$M$943,W$39)</f>
        <v>0</v>
      </c>
    </row>
    <row r="71" spans="1:23" collapsed="1" x14ac:dyDescent="0.3">
      <c r="A71" s="25" t="s">
        <v>471</v>
      </c>
      <c r="B71" s="26">
        <f t="shared" ref="B71:W71" si="2">SUM(B40:B70)</f>
        <v>0</v>
      </c>
      <c r="C71" s="26">
        <f t="shared" si="2"/>
        <v>0</v>
      </c>
      <c r="D71" s="26">
        <f t="shared" si="2"/>
        <v>0</v>
      </c>
      <c r="E71" s="26">
        <f t="shared" si="2"/>
        <v>4</v>
      </c>
      <c r="F71" s="26">
        <f t="shared" si="2"/>
        <v>115.5</v>
      </c>
      <c r="G71" s="26">
        <f t="shared" si="2"/>
        <v>162.99166666666667</v>
      </c>
      <c r="H71" s="26">
        <f t="shared" si="2"/>
        <v>28</v>
      </c>
      <c r="I71" s="26">
        <f t="shared" si="2"/>
        <v>0</v>
      </c>
      <c r="J71" s="26">
        <f t="shared" si="2"/>
        <v>15</v>
      </c>
      <c r="K71" s="26">
        <f t="shared" si="2"/>
        <v>2</v>
      </c>
      <c r="L71" s="26">
        <f t="shared" si="2"/>
        <v>0</v>
      </c>
      <c r="M71" s="26">
        <f t="shared" si="2"/>
        <v>0</v>
      </c>
      <c r="N71" s="26">
        <f t="shared" si="2"/>
        <v>0</v>
      </c>
      <c r="O71" s="26">
        <f t="shared" si="2"/>
        <v>0</v>
      </c>
      <c r="P71" s="26">
        <f t="shared" si="2"/>
        <v>0</v>
      </c>
      <c r="Q71" s="26">
        <f t="shared" si="2"/>
        <v>0</v>
      </c>
      <c r="R71" s="26">
        <f t="shared" si="2"/>
        <v>0</v>
      </c>
      <c r="S71" s="26">
        <f t="shared" si="2"/>
        <v>0</v>
      </c>
      <c r="T71" s="26">
        <f t="shared" si="2"/>
        <v>0</v>
      </c>
      <c r="U71" s="26">
        <f t="shared" si="2"/>
        <v>0</v>
      </c>
      <c r="V71" s="26">
        <f t="shared" si="2"/>
        <v>0</v>
      </c>
      <c r="W71" s="26">
        <f t="shared" si="2"/>
        <v>0</v>
      </c>
    </row>
    <row r="72" spans="1:23" s="10" customFormat="1" ht="13.2" customHeight="1" x14ac:dyDescent="0.3">
      <c r="A72" s="25" t="s">
        <v>29</v>
      </c>
      <c r="B72" s="27">
        <f>CAPACIDAD!G23</f>
        <v>196</v>
      </c>
      <c r="C72" s="27">
        <f>CAPACIDAD!H23</f>
        <v>196</v>
      </c>
      <c r="D72" s="27">
        <f>CAPACIDAD!I23</f>
        <v>98</v>
      </c>
      <c r="E72" s="27">
        <f>CAPACIDAD!J23</f>
        <v>160</v>
      </c>
      <c r="F72" s="27">
        <f>CAPACIDAD!K23</f>
        <v>208</v>
      </c>
      <c r="G72" s="27">
        <f>CAPACIDAD!L23</f>
        <v>208</v>
      </c>
      <c r="H72" s="27">
        <f>CAPACIDAD!M23</f>
        <v>188</v>
      </c>
      <c r="I72" s="27">
        <f>CAPACIDAD!N23</f>
        <v>188</v>
      </c>
      <c r="J72" s="27">
        <f>CAPACIDAD!O23</f>
        <v>188</v>
      </c>
      <c r="K72" s="27">
        <f>CAPACIDAD!P23</f>
        <v>188</v>
      </c>
      <c r="L72" s="27">
        <f>CAPACIDAD!Q23</f>
        <v>188</v>
      </c>
      <c r="M72" s="27">
        <f>CAPACIDAD!R23</f>
        <v>188</v>
      </c>
      <c r="N72" s="27">
        <f>CAPACIDAD!S23</f>
        <v>188</v>
      </c>
      <c r="O72" s="27">
        <f>CAPACIDAD!T23</f>
        <v>188</v>
      </c>
      <c r="P72" s="27">
        <f>CAPACIDAD!U23</f>
        <v>188</v>
      </c>
      <c r="Q72" s="27">
        <f>CAPACIDAD!V23</f>
        <v>188</v>
      </c>
      <c r="R72" s="27">
        <f>CAPACIDAD!W23</f>
        <v>188</v>
      </c>
      <c r="S72" s="27">
        <f>CAPACIDAD!X23</f>
        <v>188</v>
      </c>
      <c r="T72" s="27">
        <f>CAPACIDAD!Y23</f>
        <v>188</v>
      </c>
      <c r="U72" s="27">
        <f>CAPACIDAD!Z23</f>
        <v>188</v>
      </c>
      <c r="V72" s="27">
        <f>CAPACIDAD!AA23</f>
        <v>188</v>
      </c>
      <c r="W72" s="27">
        <f>CAPACIDAD!AB23</f>
        <v>188</v>
      </c>
    </row>
    <row r="73" spans="1:23" s="10" customFormat="1" x14ac:dyDescent="0.3">
      <c r="A73" s="2" t="s">
        <v>28</v>
      </c>
      <c r="B73" s="9" t="str">
        <f t="shared" ref="B73:W73" si="3">IF(B71/B72=0,"",IF(B71/B72&lt;=85%,"🟢 Saludable",IF(B71/B72&lt;=100%,"🟡 Riesgo","🔴 Atraso seguro")))</f>
        <v/>
      </c>
      <c r="C73" s="9" t="str">
        <f t="shared" si="3"/>
        <v/>
      </c>
      <c r="D73" s="9" t="str">
        <f t="shared" si="3"/>
        <v/>
      </c>
      <c r="E73" s="9" t="str">
        <f t="shared" si="3"/>
        <v>🟢 Saludable</v>
      </c>
      <c r="F73" s="9" t="str">
        <f t="shared" si="3"/>
        <v>🟢 Saludable</v>
      </c>
      <c r="G73" s="9" t="str">
        <f t="shared" si="3"/>
        <v>🟢 Saludable</v>
      </c>
      <c r="H73" s="9" t="str">
        <f t="shared" si="3"/>
        <v>🟢 Saludable</v>
      </c>
      <c r="I73" s="9" t="str">
        <f t="shared" si="3"/>
        <v/>
      </c>
      <c r="J73" s="9" t="str">
        <f t="shared" si="3"/>
        <v>🟢 Saludable</v>
      </c>
      <c r="K73" s="9" t="str">
        <f t="shared" si="3"/>
        <v>🟢 Saludable</v>
      </c>
      <c r="L73" s="9" t="str">
        <f t="shared" si="3"/>
        <v/>
      </c>
      <c r="M73" s="9" t="str">
        <f t="shared" si="3"/>
        <v/>
      </c>
      <c r="N73" s="9" t="str">
        <f t="shared" si="3"/>
        <v/>
      </c>
      <c r="O73" s="9" t="str">
        <f t="shared" si="3"/>
        <v/>
      </c>
      <c r="P73" s="9" t="str">
        <f t="shared" si="3"/>
        <v/>
      </c>
      <c r="Q73" s="9" t="str">
        <f t="shared" si="3"/>
        <v/>
      </c>
      <c r="R73" s="9" t="str">
        <f t="shared" si="3"/>
        <v/>
      </c>
      <c r="S73" s="9" t="str">
        <f t="shared" si="3"/>
        <v/>
      </c>
      <c r="T73" s="9" t="str">
        <f t="shared" si="3"/>
        <v/>
      </c>
      <c r="U73" s="9" t="str">
        <f t="shared" si="3"/>
        <v/>
      </c>
      <c r="V73" s="9" t="str">
        <f t="shared" si="3"/>
        <v/>
      </c>
      <c r="W73" s="9" t="str">
        <f t="shared" si="3"/>
        <v/>
      </c>
    </row>
    <row r="75" spans="1:23" ht="21" x14ac:dyDescent="0.4">
      <c r="A75" s="50" t="s">
        <v>474</v>
      </c>
    </row>
    <row r="76" spans="1:23" x14ac:dyDescent="0.3">
      <c r="A76" s="23" t="s">
        <v>27</v>
      </c>
      <c r="B76" s="23" t="s">
        <v>34</v>
      </c>
      <c r="C76" s="23" t="s">
        <v>35</v>
      </c>
      <c r="D76" s="23" t="s">
        <v>36</v>
      </c>
      <c r="E76" s="23" t="s">
        <v>37</v>
      </c>
      <c r="F76" s="23" t="s">
        <v>38</v>
      </c>
      <c r="G76" s="23" t="s">
        <v>40</v>
      </c>
      <c r="H76" s="23" t="s">
        <v>39</v>
      </c>
      <c r="I76" s="23" t="s">
        <v>41</v>
      </c>
      <c r="J76" s="23" t="s">
        <v>42</v>
      </c>
      <c r="K76" s="23" t="s">
        <v>43</v>
      </c>
      <c r="L76" s="23" t="s">
        <v>44</v>
      </c>
      <c r="M76" s="23" t="s">
        <v>45</v>
      </c>
      <c r="N76" s="23" t="s">
        <v>46</v>
      </c>
      <c r="O76" s="23" t="s">
        <v>47</v>
      </c>
      <c r="P76" s="23" t="s">
        <v>48</v>
      </c>
      <c r="Q76" s="23" t="s">
        <v>49</v>
      </c>
      <c r="R76" s="23" t="s">
        <v>50</v>
      </c>
      <c r="S76" s="23" t="s">
        <v>51</v>
      </c>
      <c r="T76" s="23" t="s">
        <v>52</v>
      </c>
      <c r="U76" s="23" t="s">
        <v>53</v>
      </c>
      <c r="V76" s="23" t="s">
        <v>54</v>
      </c>
      <c r="W76" s="23" t="s">
        <v>55</v>
      </c>
    </row>
    <row r="77" spans="1:23" hidden="1" outlineLevel="1" x14ac:dyDescent="0.3">
      <c r="A77" s="13" t="s">
        <v>79</v>
      </c>
      <c r="B77" s="8">
        <f>SUMIFS('HOJAS DE HORA PROY.'!$D$2:$D$943,'HOJAS DE HORA PROY.'!$A$2:$A$943,'PLAN MAESTRO FINAL'!$A77,'HOJAS DE HORA PROY.'!$M$2:$M$943,B$76)</f>
        <v>0</v>
      </c>
      <c r="C77" s="8">
        <f>SUMIFS('HOJAS DE HORA PROY.'!$D$2:$D$943,'HOJAS DE HORA PROY.'!$A$2:$A$943,'PLAN MAESTRO FINAL'!$A77,'HOJAS DE HORA PROY.'!$M$2:$M$943,C$76)</f>
        <v>0</v>
      </c>
      <c r="D77" s="8">
        <f>SUMIFS('HOJAS DE HORA PROY.'!$D$2:$D$943,'HOJAS DE HORA PROY.'!$A$2:$A$943,'PLAN MAESTRO FINAL'!$A77,'HOJAS DE HORA PROY.'!$M$2:$M$943,D$76)</f>
        <v>0</v>
      </c>
      <c r="E77" s="8">
        <f>SUMIFS('HOJAS DE HORA PROY.'!$D$2:$D$943,'HOJAS DE HORA PROY.'!$A$2:$A$943,'PLAN MAESTRO FINAL'!$A77,'HOJAS DE HORA PROY.'!$M$2:$M$943,E$76)</f>
        <v>0</v>
      </c>
      <c r="F77" s="8">
        <f>SUMIFS('HOJAS DE HORA PROY.'!$D$2:$D$943,'HOJAS DE HORA PROY.'!$A$2:$A$943,'PLAN MAESTRO FINAL'!$A77,'HOJAS DE HORA PROY.'!$M$2:$M$943,F$76)</f>
        <v>0</v>
      </c>
      <c r="G77" s="8">
        <f>SUMIFS('HOJAS DE HORA PROY.'!$D$2:$D$943,'HOJAS DE HORA PROY.'!$A$2:$A$943,'PLAN MAESTRO FINAL'!$A77,'HOJAS DE HORA PROY.'!$M$2:$M$943,G$76)</f>
        <v>0</v>
      </c>
      <c r="H77" s="8">
        <f>SUMIFS('HOJAS DE HORA PROY.'!$D$2:$D$943,'HOJAS DE HORA PROY.'!$A$2:$A$943,'PLAN MAESTRO FINAL'!$A77,'HOJAS DE HORA PROY.'!$M$2:$M$943,H$76)</f>
        <v>0</v>
      </c>
      <c r="I77" s="8">
        <f>SUMIFS('HOJAS DE HORA PROY.'!$D$2:$D$943,'HOJAS DE HORA PROY.'!$A$2:$A$943,'PLAN MAESTRO FINAL'!$A77,'HOJAS DE HORA PROY.'!$M$2:$M$943,I$76)</f>
        <v>0</v>
      </c>
      <c r="J77" s="8">
        <f>SUMIFS('HOJAS DE HORA PROY.'!$D$2:$D$943,'HOJAS DE HORA PROY.'!$A$2:$A$943,'PLAN MAESTRO FINAL'!$A77,'HOJAS DE HORA PROY.'!$M$2:$M$943,J$76)</f>
        <v>0</v>
      </c>
      <c r="K77" s="8">
        <f>SUMIFS('HOJAS DE HORA PROY.'!$D$2:$D$943,'HOJAS DE HORA PROY.'!$A$2:$A$943,'PLAN MAESTRO FINAL'!$A77,'HOJAS DE HORA PROY.'!$M$2:$M$943,K$76)</f>
        <v>0</v>
      </c>
      <c r="L77" s="8">
        <f>SUMIFS('HOJAS DE HORA PROY.'!$D$2:$D$943,'HOJAS DE HORA PROY.'!$A$2:$A$943,'PLAN MAESTRO FINAL'!$A77,'HOJAS DE HORA PROY.'!$M$2:$M$943,L$76)</f>
        <v>0</v>
      </c>
      <c r="M77" s="8">
        <f>SUMIFS('HOJAS DE HORA PROY.'!$D$2:$D$943,'HOJAS DE HORA PROY.'!$A$2:$A$943,'PLAN MAESTRO FINAL'!$A77,'HOJAS DE HORA PROY.'!$M$2:$M$943,M$76)</f>
        <v>0</v>
      </c>
      <c r="N77" s="8">
        <f>SUMIFS('HOJAS DE HORA PROY.'!$D$2:$D$943,'HOJAS DE HORA PROY.'!$A$2:$A$943,'PLAN MAESTRO FINAL'!$A77,'HOJAS DE HORA PROY.'!$M$2:$M$943,N$76)</f>
        <v>0</v>
      </c>
      <c r="O77" s="8">
        <f>SUMIFS('HOJAS DE HORA PROY.'!$D$2:$D$943,'HOJAS DE HORA PROY.'!$A$2:$A$943,'PLAN MAESTRO FINAL'!$A77,'HOJAS DE HORA PROY.'!$M$2:$M$943,O$76)</f>
        <v>0</v>
      </c>
      <c r="P77" s="8">
        <f>SUMIFS('HOJAS DE HORA PROY.'!$D$2:$D$943,'HOJAS DE HORA PROY.'!$A$2:$A$943,'PLAN MAESTRO FINAL'!$A77,'HOJAS DE HORA PROY.'!$M$2:$M$943,P$76)</f>
        <v>0</v>
      </c>
      <c r="Q77" s="8">
        <f>SUMIFS('HOJAS DE HORA PROY.'!$D$2:$D$943,'HOJAS DE HORA PROY.'!$A$2:$A$943,'PLAN MAESTRO FINAL'!$A77,'HOJAS DE HORA PROY.'!$M$2:$M$943,Q$76)</f>
        <v>0</v>
      </c>
      <c r="R77" s="8">
        <f>SUMIFS('HOJAS DE HORA PROY.'!$D$2:$D$943,'HOJAS DE HORA PROY.'!$A$2:$A$943,'PLAN MAESTRO FINAL'!$A77,'HOJAS DE HORA PROY.'!$M$2:$M$943,R$76)</f>
        <v>0</v>
      </c>
      <c r="S77" s="8">
        <f>SUMIFS('HOJAS DE HORA PROY.'!$D$2:$D$943,'HOJAS DE HORA PROY.'!$A$2:$A$943,'PLAN MAESTRO FINAL'!$A77,'HOJAS DE HORA PROY.'!$M$2:$M$943,S$76)</f>
        <v>0</v>
      </c>
      <c r="T77" s="8">
        <f>SUMIFS('HOJAS DE HORA PROY.'!$D$2:$D$943,'HOJAS DE HORA PROY.'!$A$2:$A$943,'PLAN MAESTRO FINAL'!$A77,'HOJAS DE HORA PROY.'!$M$2:$M$943,T$76)</f>
        <v>0</v>
      </c>
      <c r="U77" s="8">
        <f>SUMIFS('HOJAS DE HORA PROY.'!$D$2:$D$943,'HOJAS DE HORA PROY.'!$A$2:$A$943,'PLAN MAESTRO FINAL'!$A77,'HOJAS DE HORA PROY.'!$M$2:$M$943,U$76)</f>
        <v>0</v>
      </c>
      <c r="V77" s="8">
        <f>SUMIFS('HOJAS DE HORA PROY.'!$D$2:$D$943,'HOJAS DE HORA PROY.'!$A$2:$A$943,'PLAN MAESTRO FINAL'!$A77,'HOJAS DE HORA PROY.'!$M$2:$M$943,V$76)</f>
        <v>0</v>
      </c>
      <c r="W77" s="8">
        <f>SUMIFS('HOJAS DE HORA PROY.'!$D$2:$D$943,'HOJAS DE HORA PROY.'!$A$2:$A$943,'PLAN MAESTRO FINAL'!$A77,'HOJAS DE HORA PROY.'!$M$2:$M$943,W$76)</f>
        <v>0</v>
      </c>
    </row>
    <row r="78" spans="1:23" hidden="1" outlineLevel="1" x14ac:dyDescent="0.3">
      <c r="A78" s="13" t="s">
        <v>85</v>
      </c>
      <c r="B78" s="8">
        <f>SUMIFS('HOJAS DE HORA PROY.'!$D$2:$D$943,'HOJAS DE HORA PROY.'!$A$2:$A$943,'PLAN MAESTRO FINAL'!$A78,'HOJAS DE HORA PROY.'!$M$2:$M$943,B$76)</f>
        <v>0</v>
      </c>
      <c r="C78" s="8">
        <f>SUMIFS('HOJAS DE HORA PROY.'!$D$2:$D$943,'HOJAS DE HORA PROY.'!$A$2:$A$943,'PLAN MAESTRO FINAL'!$A78,'HOJAS DE HORA PROY.'!$M$2:$M$943,C$76)</f>
        <v>0</v>
      </c>
      <c r="D78" s="8">
        <f>SUMIFS('HOJAS DE HORA PROY.'!$D$2:$D$943,'HOJAS DE HORA PROY.'!$A$2:$A$943,'PLAN MAESTRO FINAL'!$A78,'HOJAS DE HORA PROY.'!$M$2:$M$943,D$76)</f>
        <v>0</v>
      </c>
      <c r="E78" s="8">
        <f>SUMIFS('HOJAS DE HORA PROY.'!$D$2:$D$943,'HOJAS DE HORA PROY.'!$A$2:$A$943,'PLAN MAESTRO FINAL'!$A78,'HOJAS DE HORA PROY.'!$M$2:$M$943,E$76)</f>
        <v>0</v>
      </c>
      <c r="F78" s="8">
        <f>SUMIFS('HOJAS DE HORA PROY.'!$D$2:$D$943,'HOJAS DE HORA PROY.'!$A$2:$A$943,'PLAN MAESTRO FINAL'!$A78,'HOJAS DE HORA PROY.'!$M$2:$M$943,F$76)</f>
        <v>0</v>
      </c>
      <c r="G78" s="8">
        <f>SUMIFS('HOJAS DE HORA PROY.'!$D$2:$D$943,'HOJAS DE HORA PROY.'!$A$2:$A$943,'PLAN MAESTRO FINAL'!$A78,'HOJAS DE HORA PROY.'!$M$2:$M$943,G$76)</f>
        <v>9</v>
      </c>
      <c r="H78" s="8">
        <f>SUMIFS('HOJAS DE HORA PROY.'!$D$2:$D$943,'HOJAS DE HORA PROY.'!$A$2:$A$943,'PLAN MAESTRO FINAL'!$A78,'HOJAS DE HORA PROY.'!$M$2:$M$943,H$76)</f>
        <v>0</v>
      </c>
      <c r="I78" s="8">
        <f>SUMIFS('HOJAS DE HORA PROY.'!$D$2:$D$943,'HOJAS DE HORA PROY.'!$A$2:$A$943,'PLAN MAESTRO FINAL'!$A78,'HOJAS DE HORA PROY.'!$M$2:$M$943,I$76)</f>
        <v>0</v>
      </c>
      <c r="J78" s="8">
        <f>SUMIFS('HOJAS DE HORA PROY.'!$D$2:$D$943,'HOJAS DE HORA PROY.'!$A$2:$A$943,'PLAN MAESTRO FINAL'!$A78,'HOJAS DE HORA PROY.'!$M$2:$M$943,J$76)</f>
        <v>0</v>
      </c>
      <c r="K78" s="8">
        <f>SUMIFS('HOJAS DE HORA PROY.'!$D$2:$D$943,'HOJAS DE HORA PROY.'!$A$2:$A$943,'PLAN MAESTRO FINAL'!$A78,'HOJAS DE HORA PROY.'!$M$2:$M$943,K$76)</f>
        <v>9</v>
      </c>
      <c r="L78" s="8">
        <f>SUMIFS('HOJAS DE HORA PROY.'!$D$2:$D$943,'HOJAS DE HORA PROY.'!$A$2:$A$943,'PLAN MAESTRO FINAL'!$A78,'HOJAS DE HORA PROY.'!$M$2:$M$943,L$76)</f>
        <v>0</v>
      </c>
      <c r="M78" s="8">
        <f>SUMIFS('HOJAS DE HORA PROY.'!$D$2:$D$943,'HOJAS DE HORA PROY.'!$A$2:$A$943,'PLAN MAESTRO FINAL'!$A78,'HOJAS DE HORA PROY.'!$M$2:$M$943,M$76)</f>
        <v>0</v>
      </c>
      <c r="N78" s="8">
        <f>SUMIFS('HOJAS DE HORA PROY.'!$D$2:$D$943,'HOJAS DE HORA PROY.'!$A$2:$A$943,'PLAN MAESTRO FINAL'!$A78,'HOJAS DE HORA PROY.'!$M$2:$M$943,N$76)</f>
        <v>0</v>
      </c>
      <c r="O78" s="8">
        <f>SUMIFS('HOJAS DE HORA PROY.'!$D$2:$D$943,'HOJAS DE HORA PROY.'!$A$2:$A$943,'PLAN MAESTRO FINAL'!$A78,'HOJAS DE HORA PROY.'!$M$2:$M$943,O$76)</f>
        <v>0</v>
      </c>
      <c r="P78" s="8">
        <f>SUMIFS('HOJAS DE HORA PROY.'!$D$2:$D$943,'HOJAS DE HORA PROY.'!$A$2:$A$943,'PLAN MAESTRO FINAL'!$A78,'HOJAS DE HORA PROY.'!$M$2:$M$943,P$76)</f>
        <v>0</v>
      </c>
      <c r="Q78" s="8">
        <f>SUMIFS('HOJAS DE HORA PROY.'!$D$2:$D$943,'HOJAS DE HORA PROY.'!$A$2:$A$943,'PLAN MAESTRO FINAL'!$A78,'HOJAS DE HORA PROY.'!$M$2:$M$943,Q$76)</f>
        <v>0</v>
      </c>
      <c r="R78" s="8">
        <f>SUMIFS('HOJAS DE HORA PROY.'!$D$2:$D$943,'HOJAS DE HORA PROY.'!$A$2:$A$943,'PLAN MAESTRO FINAL'!$A78,'HOJAS DE HORA PROY.'!$M$2:$M$943,R$76)</f>
        <v>0</v>
      </c>
      <c r="S78" s="8">
        <f>SUMIFS('HOJAS DE HORA PROY.'!$D$2:$D$943,'HOJAS DE HORA PROY.'!$A$2:$A$943,'PLAN MAESTRO FINAL'!$A78,'HOJAS DE HORA PROY.'!$M$2:$M$943,S$76)</f>
        <v>0</v>
      </c>
      <c r="T78" s="8">
        <f>SUMIFS('HOJAS DE HORA PROY.'!$D$2:$D$943,'HOJAS DE HORA PROY.'!$A$2:$A$943,'PLAN MAESTRO FINAL'!$A78,'HOJAS DE HORA PROY.'!$M$2:$M$943,T$76)</f>
        <v>0</v>
      </c>
      <c r="U78" s="8">
        <f>SUMIFS('HOJAS DE HORA PROY.'!$D$2:$D$943,'HOJAS DE HORA PROY.'!$A$2:$A$943,'PLAN MAESTRO FINAL'!$A78,'HOJAS DE HORA PROY.'!$M$2:$M$943,U$76)</f>
        <v>0</v>
      </c>
      <c r="V78" s="8">
        <f>SUMIFS('HOJAS DE HORA PROY.'!$D$2:$D$943,'HOJAS DE HORA PROY.'!$A$2:$A$943,'PLAN MAESTRO FINAL'!$A78,'HOJAS DE HORA PROY.'!$M$2:$M$943,V$76)</f>
        <v>0</v>
      </c>
      <c r="W78" s="8">
        <f>SUMIFS('HOJAS DE HORA PROY.'!$D$2:$D$943,'HOJAS DE HORA PROY.'!$A$2:$A$943,'PLAN MAESTRO FINAL'!$A78,'HOJAS DE HORA PROY.'!$M$2:$M$943,W$76)</f>
        <v>0</v>
      </c>
    </row>
    <row r="79" spans="1:23" hidden="1" outlineLevel="1" x14ac:dyDescent="0.3">
      <c r="A79" s="13" t="s">
        <v>126</v>
      </c>
      <c r="B79" s="8">
        <f>SUMIFS('HOJAS DE HORA PROY.'!$D$2:$D$943,'HOJAS DE HORA PROY.'!$A$2:$A$943,'PLAN MAESTRO FINAL'!$A79,'HOJAS DE HORA PROY.'!$M$2:$M$943,B$76)</f>
        <v>0</v>
      </c>
      <c r="C79" s="8">
        <f>SUMIFS('HOJAS DE HORA PROY.'!$D$2:$D$943,'HOJAS DE HORA PROY.'!$A$2:$A$943,'PLAN MAESTRO FINAL'!$A79,'HOJAS DE HORA PROY.'!$M$2:$M$943,C$76)</f>
        <v>0</v>
      </c>
      <c r="D79" s="8">
        <f>SUMIFS('HOJAS DE HORA PROY.'!$D$2:$D$943,'HOJAS DE HORA PROY.'!$A$2:$A$943,'PLAN MAESTRO FINAL'!$A79,'HOJAS DE HORA PROY.'!$M$2:$M$943,D$76)</f>
        <v>0</v>
      </c>
      <c r="E79" s="8">
        <f>SUMIFS('HOJAS DE HORA PROY.'!$D$2:$D$943,'HOJAS DE HORA PROY.'!$A$2:$A$943,'PLAN MAESTRO FINAL'!$A79,'HOJAS DE HORA PROY.'!$M$2:$M$943,E$76)</f>
        <v>0</v>
      </c>
      <c r="F79" s="8">
        <f>SUMIFS('HOJAS DE HORA PROY.'!$D$2:$D$943,'HOJAS DE HORA PROY.'!$A$2:$A$943,'PLAN MAESTRO FINAL'!$A79,'HOJAS DE HORA PROY.'!$M$2:$M$943,F$76)</f>
        <v>0</v>
      </c>
      <c r="G79" s="8">
        <f>SUMIFS('HOJAS DE HORA PROY.'!$D$2:$D$943,'HOJAS DE HORA PROY.'!$A$2:$A$943,'PLAN MAESTRO FINAL'!$A79,'HOJAS DE HORA PROY.'!$M$2:$M$943,G$76)</f>
        <v>0</v>
      </c>
      <c r="H79" s="8">
        <f>SUMIFS('HOJAS DE HORA PROY.'!$D$2:$D$943,'HOJAS DE HORA PROY.'!$A$2:$A$943,'PLAN MAESTRO FINAL'!$A79,'HOJAS DE HORA PROY.'!$M$2:$M$943,H$76)</f>
        <v>0</v>
      </c>
      <c r="I79" s="8">
        <f>SUMIFS('HOJAS DE HORA PROY.'!$D$2:$D$943,'HOJAS DE HORA PROY.'!$A$2:$A$943,'PLAN MAESTRO FINAL'!$A79,'HOJAS DE HORA PROY.'!$M$2:$M$943,I$76)</f>
        <v>0</v>
      </c>
      <c r="J79" s="8">
        <f>SUMIFS('HOJAS DE HORA PROY.'!$D$2:$D$943,'HOJAS DE HORA PROY.'!$A$2:$A$943,'PLAN MAESTRO FINAL'!$A79,'HOJAS DE HORA PROY.'!$M$2:$M$943,J$76)</f>
        <v>0</v>
      </c>
      <c r="K79" s="8">
        <f>SUMIFS('HOJAS DE HORA PROY.'!$D$2:$D$943,'HOJAS DE HORA PROY.'!$A$2:$A$943,'PLAN MAESTRO FINAL'!$A79,'HOJAS DE HORA PROY.'!$M$2:$M$943,K$76)</f>
        <v>0</v>
      </c>
      <c r="L79" s="8">
        <f>SUMIFS('HOJAS DE HORA PROY.'!$D$2:$D$943,'HOJAS DE HORA PROY.'!$A$2:$A$943,'PLAN MAESTRO FINAL'!$A79,'HOJAS DE HORA PROY.'!$M$2:$M$943,L$76)</f>
        <v>0</v>
      </c>
      <c r="M79" s="8">
        <f>SUMIFS('HOJAS DE HORA PROY.'!$D$2:$D$943,'HOJAS DE HORA PROY.'!$A$2:$A$943,'PLAN MAESTRO FINAL'!$A79,'HOJAS DE HORA PROY.'!$M$2:$M$943,M$76)</f>
        <v>0</v>
      </c>
      <c r="N79" s="8">
        <f>SUMIFS('HOJAS DE HORA PROY.'!$D$2:$D$943,'HOJAS DE HORA PROY.'!$A$2:$A$943,'PLAN MAESTRO FINAL'!$A79,'HOJAS DE HORA PROY.'!$M$2:$M$943,N$76)</f>
        <v>0</v>
      </c>
      <c r="O79" s="8">
        <f>SUMIFS('HOJAS DE HORA PROY.'!$D$2:$D$943,'HOJAS DE HORA PROY.'!$A$2:$A$943,'PLAN MAESTRO FINAL'!$A79,'HOJAS DE HORA PROY.'!$M$2:$M$943,O$76)</f>
        <v>0</v>
      </c>
      <c r="P79" s="8">
        <f>SUMIFS('HOJAS DE HORA PROY.'!$D$2:$D$943,'HOJAS DE HORA PROY.'!$A$2:$A$943,'PLAN MAESTRO FINAL'!$A79,'HOJAS DE HORA PROY.'!$M$2:$M$943,P$76)</f>
        <v>0</v>
      </c>
      <c r="Q79" s="8">
        <f>SUMIFS('HOJAS DE HORA PROY.'!$D$2:$D$943,'HOJAS DE HORA PROY.'!$A$2:$A$943,'PLAN MAESTRO FINAL'!$A79,'HOJAS DE HORA PROY.'!$M$2:$M$943,Q$76)</f>
        <v>0</v>
      </c>
      <c r="R79" s="8">
        <f>SUMIFS('HOJAS DE HORA PROY.'!$D$2:$D$943,'HOJAS DE HORA PROY.'!$A$2:$A$943,'PLAN MAESTRO FINAL'!$A79,'HOJAS DE HORA PROY.'!$M$2:$M$943,R$76)</f>
        <v>0</v>
      </c>
      <c r="S79" s="8">
        <f>SUMIFS('HOJAS DE HORA PROY.'!$D$2:$D$943,'HOJAS DE HORA PROY.'!$A$2:$A$943,'PLAN MAESTRO FINAL'!$A79,'HOJAS DE HORA PROY.'!$M$2:$M$943,S$76)</f>
        <v>0</v>
      </c>
      <c r="T79" s="8">
        <f>SUMIFS('HOJAS DE HORA PROY.'!$D$2:$D$943,'HOJAS DE HORA PROY.'!$A$2:$A$943,'PLAN MAESTRO FINAL'!$A79,'HOJAS DE HORA PROY.'!$M$2:$M$943,T$76)</f>
        <v>0</v>
      </c>
      <c r="U79" s="8">
        <f>SUMIFS('HOJAS DE HORA PROY.'!$D$2:$D$943,'HOJAS DE HORA PROY.'!$A$2:$A$943,'PLAN MAESTRO FINAL'!$A79,'HOJAS DE HORA PROY.'!$M$2:$M$943,U$76)</f>
        <v>0</v>
      </c>
      <c r="V79" s="8">
        <f>SUMIFS('HOJAS DE HORA PROY.'!$D$2:$D$943,'HOJAS DE HORA PROY.'!$A$2:$A$943,'PLAN MAESTRO FINAL'!$A79,'HOJAS DE HORA PROY.'!$M$2:$M$943,V$76)</f>
        <v>0</v>
      </c>
      <c r="W79" s="8">
        <f>SUMIFS('HOJAS DE HORA PROY.'!$D$2:$D$943,'HOJAS DE HORA PROY.'!$A$2:$A$943,'PLAN MAESTRO FINAL'!$A79,'HOJAS DE HORA PROY.'!$M$2:$M$943,W$76)</f>
        <v>0</v>
      </c>
    </row>
    <row r="80" spans="1:23" hidden="1" outlineLevel="1" x14ac:dyDescent="0.3">
      <c r="A80" s="13" t="s">
        <v>132</v>
      </c>
      <c r="B80" s="8">
        <f>SUMIFS('HOJAS DE HORA PROY.'!$D$2:$D$943,'HOJAS DE HORA PROY.'!$A$2:$A$943,'PLAN MAESTRO FINAL'!$A80,'HOJAS DE HORA PROY.'!$M$2:$M$943,B$76)</f>
        <v>0</v>
      </c>
      <c r="C80" s="8">
        <f>SUMIFS('HOJAS DE HORA PROY.'!$D$2:$D$943,'HOJAS DE HORA PROY.'!$A$2:$A$943,'PLAN MAESTRO FINAL'!$A80,'HOJAS DE HORA PROY.'!$M$2:$M$943,C$76)</f>
        <v>0</v>
      </c>
      <c r="D80" s="8">
        <f>SUMIFS('HOJAS DE HORA PROY.'!$D$2:$D$943,'HOJAS DE HORA PROY.'!$A$2:$A$943,'PLAN MAESTRO FINAL'!$A80,'HOJAS DE HORA PROY.'!$M$2:$M$943,D$76)</f>
        <v>0</v>
      </c>
      <c r="E80" s="8">
        <f>SUMIFS('HOJAS DE HORA PROY.'!$D$2:$D$943,'HOJAS DE HORA PROY.'!$A$2:$A$943,'PLAN MAESTRO FINAL'!$A80,'HOJAS DE HORA PROY.'!$M$2:$M$943,E$76)</f>
        <v>0</v>
      </c>
      <c r="F80" s="8">
        <f>SUMIFS('HOJAS DE HORA PROY.'!$D$2:$D$943,'HOJAS DE HORA PROY.'!$A$2:$A$943,'PLAN MAESTRO FINAL'!$A80,'HOJAS DE HORA PROY.'!$M$2:$M$943,F$76)</f>
        <v>0</v>
      </c>
      <c r="G80" s="8">
        <f>SUMIFS('HOJAS DE HORA PROY.'!$D$2:$D$943,'HOJAS DE HORA PROY.'!$A$2:$A$943,'PLAN MAESTRO FINAL'!$A80,'HOJAS DE HORA PROY.'!$M$2:$M$943,G$76)</f>
        <v>0</v>
      </c>
      <c r="H80" s="8">
        <f>SUMIFS('HOJAS DE HORA PROY.'!$D$2:$D$943,'HOJAS DE HORA PROY.'!$A$2:$A$943,'PLAN MAESTRO FINAL'!$A80,'HOJAS DE HORA PROY.'!$M$2:$M$943,H$76)</f>
        <v>0</v>
      </c>
      <c r="I80" s="8">
        <f>SUMIFS('HOJAS DE HORA PROY.'!$D$2:$D$943,'HOJAS DE HORA PROY.'!$A$2:$A$943,'PLAN MAESTRO FINAL'!$A80,'HOJAS DE HORA PROY.'!$M$2:$M$943,I$76)</f>
        <v>0</v>
      </c>
      <c r="J80" s="8">
        <f>SUMIFS('HOJAS DE HORA PROY.'!$D$2:$D$943,'HOJAS DE HORA PROY.'!$A$2:$A$943,'PLAN MAESTRO FINAL'!$A80,'HOJAS DE HORA PROY.'!$M$2:$M$943,J$76)</f>
        <v>0</v>
      </c>
      <c r="K80" s="8">
        <f>SUMIFS('HOJAS DE HORA PROY.'!$D$2:$D$943,'HOJAS DE HORA PROY.'!$A$2:$A$943,'PLAN MAESTRO FINAL'!$A80,'HOJAS DE HORA PROY.'!$M$2:$M$943,K$76)</f>
        <v>0</v>
      </c>
      <c r="L80" s="8">
        <f>SUMIFS('HOJAS DE HORA PROY.'!$D$2:$D$943,'HOJAS DE HORA PROY.'!$A$2:$A$943,'PLAN MAESTRO FINAL'!$A80,'HOJAS DE HORA PROY.'!$M$2:$M$943,L$76)</f>
        <v>0</v>
      </c>
      <c r="M80" s="8">
        <f>SUMIFS('HOJAS DE HORA PROY.'!$D$2:$D$943,'HOJAS DE HORA PROY.'!$A$2:$A$943,'PLAN MAESTRO FINAL'!$A80,'HOJAS DE HORA PROY.'!$M$2:$M$943,M$76)</f>
        <v>0</v>
      </c>
      <c r="N80" s="8">
        <f>SUMIFS('HOJAS DE HORA PROY.'!$D$2:$D$943,'HOJAS DE HORA PROY.'!$A$2:$A$943,'PLAN MAESTRO FINAL'!$A80,'HOJAS DE HORA PROY.'!$M$2:$M$943,N$76)</f>
        <v>0</v>
      </c>
      <c r="O80" s="8">
        <f>SUMIFS('HOJAS DE HORA PROY.'!$D$2:$D$943,'HOJAS DE HORA PROY.'!$A$2:$A$943,'PLAN MAESTRO FINAL'!$A80,'HOJAS DE HORA PROY.'!$M$2:$M$943,O$76)</f>
        <v>0</v>
      </c>
      <c r="P80" s="8">
        <f>SUMIFS('HOJAS DE HORA PROY.'!$D$2:$D$943,'HOJAS DE HORA PROY.'!$A$2:$A$943,'PLAN MAESTRO FINAL'!$A80,'HOJAS DE HORA PROY.'!$M$2:$M$943,P$76)</f>
        <v>0</v>
      </c>
      <c r="Q80" s="8">
        <f>SUMIFS('HOJAS DE HORA PROY.'!$D$2:$D$943,'HOJAS DE HORA PROY.'!$A$2:$A$943,'PLAN MAESTRO FINAL'!$A80,'HOJAS DE HORA PROY.'!$M$2:$M$943,Q$76)</f>
        <v>0</v>
      </c>
      <c r="R80" s="8">
        <f>SUMIFS('HOJAS DE HORA PROY.'!$D$2:$D$943,'HOJAS DE HORA PROY.'!$A$2:$A$943,'PLAN MAESTRO FINAL'!$A80,'HOJAS DE HORA PROY.'!$M$2:$M$943,R$76)</f>
        <v>0</v>
      </c>
      <c r="S80" s="8">
        <f>SUMIFS('HOJAS DE HORA PROY.'!$D$2:$D$943,'HOJAS DE HORA PROY.'!$A$2:$A$943,'PLAN MAESTRO FINAL'!$A80,'HOJAS DE HORA PROY.'!$M$2:$M$943,S$76)</f>
        <v>0</v>
      </c>
      <c r="T80" s="8">
        <f>SUMIFS('HOJAS DE HORA PROY.'!$D$2:$D$943,'HOJAS DE HORA PROY.'!$A$2:$A$943,'PLAN MAESTRO FINAL'!$A80,'HOJAS DE HORA PROY.'!$M$2:$M$943,T$76)</f>
        <v>0</v>
      </c>
      <c r="U80" s="8">
        <f>SUMIFS('HOJAS DE HORA PROY.'!$D$2:$D$943,'HOJAS DE HORA PROY.'!$A$2:$A$943,'PLAN MAESTRO FINAL'!$A80,'HOJAS DE HORA PROY.'!$M$2:$M$943,U$76)</f>
        <v>0</v>
      </c>
      <c r="V80" s="8">
        <f>SUMIFS('HOJAS DE HORA PROY.'!$D$2:$D$943,'HOJAS DE HORA PROY.'!$A$2:$A$943,'PLAN MAESTRO FINAL'!$A80,'HOJAS DE HORA PROY.'!$M$2:$M$943,V$76)</f>
        <v>0</v>
      </c>
      <c r="W80" s="8">
        <f>SUMIFS('HOJAS DE HORA PROY.'!$D$2:$D$943,'HOJAS DE HORA PROY.'!$A$2:$A$943,'PLAN MAESTRO FINAL'!$A80,'HOJAS DE HORA PROY.'!$M$2:$M$943,W$76)</f>
        <v>0</v>
      </c>
    </row>
    <row r="81" spans="1:23" hidden="1" outlineLevel="1" x14ac:dyDescent="0.3">
      <c r="A81" s="13" t="s">
        <v>141</v>
      </c>
      <c r="B81" s="8">
        <f>SUMIFS('HOJAS DE HORA PROY.'!$D$2:$D$943,'HOJAS DE HORA PROY.'!$A$2:$A$943,'PLAN MAESTRO FINAL'!$A81,'HOJAS DE HORA PROY.'!$M$2:$M$943,B$76)</f>
        <v>0</v>
      </c>
      <c r="C81" s="8">
        <f>SUMIFS('HOJAS DE HORA PROY.'!$D$2:$D$943,'HOJAS DE HORA PROY.'!$A$2:$A$943,'PLAN MAESTRO FINAL'!$A81,'HOJAS DE HORA PROY.'!$M$2:$M$943,C$76)</f>
        <v>0</v>
      </c>
      <c r="D81" s="8">
        <f>SUMIFS('HOJAS DE HORA PROY.'!$D$2:$D$943,'HOJAS DE HORA PROY.'!$A$2:$A$943,'PLAN MAESTRO FINAL'!$A81,'HOJAS DE HORA PROY.'!$M$2:$M$943,D$76)</f>
        <v>0</v>
      </c>
      <c r="E81" s="8">
        <f>SUMIFS('HOJAS DE HORA PROY.'!$D$2:$D$943,'HOJAS DE HORA PROY.'!$A$2:$A$943,'PLAN MAESTRO FINAL'!$A81,'HOJAS DE HORA PROY.'!$M$2:$M$943,E$76)</f>
        <v>0</v>
      </c>
      <c r="F81" s="8">
        <f>SUMIFS('HOJAS DE HORA PROY.'!$D$2:$D$943,'HOJAS DE HORA PROY.'!$A$2:$A$943,'PLAN MAESTRO FINAL'!$A81,'HOJAS DE HORA PROY.'!$M$2:$M$943,F$76)</f>
        <v>0</v>
      </c>
      <c r="G81" s="8">
        <f>SUMIFS('HOJAS DE HORA PROY.'!$D$2:$D$943,'HOJAS DE HORA PROY.'!$A$2:$A$943,'PLAN MAESTRO FINAL'!$A81,'HOJAS DE HORA PROY.'!$M$2:$M$943,G$76)</f>
        <v>0</v>
      </c>
      <c r="H81" s="8">
        <f>SUMIFS('HOJAS DE HORA PROY.'!$D$2:$D$943,'HOJAS DE HORA PROY.'!$A$2:$A$943,'PLAN MAESTRO FINAL'!$A81,'HOJAS DE HORA PROY.'!$M$2:$M$943,H$76)</f>
        <v>0</v>
      </c>
      <c r="I81" s="8">
        <f>SUMIFS('HOJAS DE HORA PROY.'!$D$2:$D$943,'HOJAS DE HORA PROY.'!$A$2:$A$943,'PLAN MAESTRO FINAL'!$A81,'HOJAS DE HORA PROY.'!$M$2:$M$943,I$76)</f>
        <v>0</v>
      </c>
      <c r="J81" s="8">
        <f>SUMIFS('HOJAS DE HORA PROY.'!$D$2:$D$943,'HOJAS DE HORA PROY.'!$A$2:$A$943,'PLAN MAESTRO FINAL'!$A81,'HOJAS DE HORA PROY.'!$M$2:$M$943,J$76)</f>
        <v>0</v>
      </c>
      <c r="K81" s="8">
        <f>SUMIFS('HOJAS DE HORA PROY.'!$D$2:$D$943,'HOJAS DE HORA PROY.'!$A$2:$A$943,'PLAN MAESTRO FINAL'!$A81,'HOJAS DE HORA PROY.'!$M$2:$M$943,K$76)</f>
        <v>0</v>
      </c>
      <c r="L81" s="8">
        <f>SUMIFS('HOJAS DE HORA PROY.'!$D$2:$D$943,'HOJAS DE HORA PROY.'!$A$2:$A$943,'PLAN MAESTRO FINAL'!$A81,'HOJAS DE HORA PROY.'!$M$2:$M$943,L$76)</f>
        <v>0</v>
      </c>
      <c r="M81" s="8">
        <f>SUMIFS('HOJAS DE HORA PROY.'!$D$2:$D$943,'HOJAS DE HORA PROY.'!$A$2:$A$943,'PLAN MAESTRO FINAL'!$A81,'HOJAS DE HORA PROY.'!$M$2:$M$943,M$76)</f>
        <v>0</v>
      </c>
      <c r="N81" s="8">
        <f>SUMIFS('HOJAS DE HORA PROY.'!$D$2:$D$943,'HOJAS DE HORA PROY.'!$A$2:$A$943,'PLAN MAESTRO FINAL'!$A81,'HOJAS DE HORA PROY.'!$M$2:$M$943,N$76)</f>
        <v>0</v>
      </c>
      <c r="O81" s="8">
        <f>SUMIFS('HOJAS DE HORA PROY.'!$D$2:$D$943,'HOJAS DE HORA PROY.'!$A$2:$A$943,'PLAN MAESTRO FINAL'!$A81,'HOJAS DE HORA PROY.'!$M$2:$M$943,O$76)</f>
        <v>0</v>
      </c>
      <c r="P81" s="8">
        <f>SUMIFS('HOJAS DE HORA PROY.'!$D$2:$D$943,'HOJAS DE HORA PROY.'!$A$2:$A$943,'PLAN MAESTRO FINAL'!$A81,'HOJAS DE HORA PROY.'!$M$2:$M$943,P$76)</f>
        <v>0</v>
      </c>
      <c r="Q81" s="8">
        <f>SUMIFS('HOJAS DE HORA PROY.'!$D$2:$D$943,'HOJAS DE HORA PROY.'!$A$2:$A$943,'PLAN MAESTRO FINAL'!$A81,'HOJAS DE HORA PROY.'!$M$2:$M$943,Q$76)</f>
        <v>0</v>
      </c>
      <c r="R81" s="8">
        <f>SUMIFS('HOJAS DE HORA PROY.'!$D$2:$D$943,'HOJAS DE HORA PROY.'!$A$2:$A$943,'PLAN MAESTRO FINAL'!$A81,'HOJAS DE HORA PROY.'!$M$2:$M$943,R$76)</f>
        <v>0</v>
      </c>
      <c r="S81" s="8">
        <f>SUMIFS('HOJAS DE HORA PROY.'!$D$2:$D$943,'HOJAS DE HORA PROY.'!$A$2:$A$943,'PLAN MAESTRO FINAL'!$A81,'HOJAS DE HORA PROY.'!$M$2:$M$943,S$76)</f>
        <v>0</v>
      </c>
      <c r="T81" s="8">
        <f>SUMIFS('HOJAS DE HORA PROY.'!$D$2:$D$943,'HOJAS DE HORA PROY.'!$A$2:$A$943,'PLAN MAESTRO FINAL'!$A81,'HOJAS DE HORA PROY.'!$M$2:$M$943,T$76)</f>
        <v>0</v>
      </c>
      <c r="U81" s="8">
        <f>SUMIFS('HOJAS DE HORA PROY.'!$D$2:$D$943,'HOJAS DE HORA PROY.'!$A$2:$A$943,'PLAN MAESTRO FINAL'!$A81,'HOJAS DE HORA PROY.'!$M$2:$M$943,U$76)</f>
        <v>0</v>
      </c>
      <c r="V81" s="8">
        <f>SUMIFS('HOJAS DE HORA PROY.'!$D$2:$D$943,'HOJAS DE HORA PROY.'!$A$2:$A$943,'PLAN MAESTRO FINAL'!$A81,'HOJAS DE HORA PROY.'!$M$2:$M$943,V$76)</f>
        <v>0</v>
      </c>
      <c r="W81" s="8">
        <f>SUMIFS('HOJAS DE HORA PROY.'!$D$2:$D$943,'HOJAS DE HORA PROY.'!$A$2:$A$943,'PLAN MAESTRO FINAL'!$A81,'HOJAS DE HORA PROY.'!$M$2:$M$943,W$76)</f>
        <v>0</v>
      </c>
    </row>
    <row r="82" spans="1:23" hidden="1" outlineLevel="1" x14ac:dyDescent="0.3">
      <c r="A82" s="13" t="s">
        <v>161</v>
      </c>
      <c r="B82" s="8">
        <f>SUMIFS('HOJAS DE HORA PROY.'!$D$2:$D$943,'HOJAS DE HORA PROY.'!$A$2:$A$943,'PLAN MAESTRO FINAL'!$A82,'HOJAS DE HORA PROY.'!$M$2:$M$943,B$76)</f>
        <v>0</v>
      </c>
      <c r="C82" s="8">
        <f>SUMIFS('HOJAS DE HORA PROY.'!$D$2:$D$943,'HOJAS DE HORA PROY.'!$A$2:$A$943,'PLAN MAESTRO FINAL'!$A82,'HOJAS DE HORA PROY.'!$M$2:$M$943,C$76)</f>
        <v>0</v>
      </c>
      <c r="D82" s="8">
        <f>SUMIFS('HOJAS DE HORA PROY.'!$D$2:$D$943,'HOJAS DE HORA PROY.'!$A$2:$A$943,'PLAN MAESTRO FINAL'!$A82,'HOJAS DE HORA PROY.'!$M$2:$M$943,D$76)</f>
        <v>0</v>
      </c>
      <c r="E82" s="8">
        <f>SUMIFS('HOJAS DE HORA PROY.'!$D$2:$D$943,'HOJAS DE HORA PROY.'!$A$2:$A$943,'PLAN MAESTRO FINAL'!$A82,'HOJAS DE HORA PROY.'!$M$2:$M$943,E$76)</f>
        <v>0</v>
      </c>
      <c r="F82" s="8">
        <f>SUMIFS('HOJAS DE HORA PROY.'!$D$2:$D$943,'HOJAS DE HORA PROY.'!$A$2:$A$943,'PLAN MAESTRO FINAL'!$A82,'HOJAS DE HORA PROY.'!$M$2:$M$943,F$76)</f>
        <v>0</v>
      </c>
      <c r="G82" s="8">
        <f>SUMIFS('HOJAS DE HORA PROY.'!$D$2:$D$943,'HOJAS DE HORA PROY.'!$A$2:$A$943,'PLAN MAESTRO FINAL'!$A82,'HOJAS DE HORA PROY.'!$M$2:$M$943,G$76)</f>
        <v>0</v>
      </c>
      <c r="H82" s="8">
        <f>SUMIFS('HOJAS DE HORA PROY.'!$D$2:$D$943,'HOJAS DE HORA PROY.'!$A$2:$A$943,'PLAN MAESTRO FINAL'!$A82,'HOJAS DE HORA PROY.'!$M$2:$M$943,H$76)</f>
        <v>0</v>
      </c>
      <c r="I82" s="8">
        <f>SUMIFS('HOJAS DE HORA PROY.'!$D$2:$D$943,'HOJAS DE HORA PROY.'!$A$2:$A$943,'PLAN MAESTRO FINAL'!$A82,'HOJAS DE HORA PROY.'!$M$2:$M$943,I$76)</f>
        <v>0</v>
      </c>
      <c r="J82" s="8">
        <f>SUMIFS('HOJAS DE HORA PROY.'!$D$2:$D$943,'HOJAS DE HORA PROY.'!$A$2:$A$943,'PLAN MAESTRO FINAL'!$A82,'HOJAS DE HORA PROY.'!$M$2:$M$943,J$76)</f>
        <v>0</v>
      </c>
      <c r="K82" s="8">
        <f>SUMIFS('HOJAS DE HORA PROY.'!$D$2:$D$943,'HOJAS DE HORA PROY.'!$A$2:$A$943,'PLAN MAESTRO FINAL'!$A82,'HOJAS DE HORA PROY.'!$M$2:$M$943,K$76)</f>
        <v>0</v>
      </c>
      <c r="L82" s="8">
        <f>SUMIFS('HOJAS DE HORA PROY.'!$D$2:$D$943,'HOJAS DE HORA PROY.'!$A$2:$A$943,'PLAN MAESTRO FINAL'!$A82,'HOJAS DE HORA PROY.'!$M$2:$M$943,L$76)</f>
        <v>0</v>
      </c>
      <c r="M82" s="8">
        <f>SUMIFS('HOJAS DE HORA PROY.'!$D$2:$D$943,'HOJAS DE HORA PROY.'!$A$2:$A$943,'PLAN MAESTRO FINAL'!$A82,'HOJAS DE HORA PROY.'!$M$2:$M$943,M$76)</f>
        <v>0</v>
      </c>
      <c r="N82" s="8">
        <f>SUMIFS('HOJAS DE HORA PROY.'!$D$2:$D$943,'HOJAS DE HORA PROY.'!$A$2:$A$943,'PLAN MAESTRO FINAL'!$A82,'HOJAS DE HORA PROY.'!$M$2:$M$943,N$76)</f>
        <v>0</v>
      </c>
      <c r="O82" s="8">
        <f>SUMIFS('HOJAS DE HORA PROY.'!$D$2:$D$943,'HOJAS DE HORA PROY.'!$A$2:$A$943,'PLAN MAESTRO FINAL'!$A82,'HOJAS DE HORA PROY.'!$M$2:$M$943,O$76)</f>
        <v>0</v>
      </c>
      <c r="P82" s="8">
        <f>SUMIFS('HOJAS DE HORA PROY.'!$D$2:$D$943,'HOJAS DE HORA PROY.'!$A$2:$A$943,'PLAN MAESTRO FINAL'!$A82,'HOJAS DE HORA PROY.'!$M$2:$M$943,P$76)</f>
        <v>0</v>
      </c>
      <c r="Q82" s="8">
        <f>SUMIFS('HOJAS DE HORA PROY.'!$D$2:$D$943,'HOJAS DE HORA PROY.'!$A$2:$A$943,'PLAN MAESTRO FINAL'!$A82,'HOJAS DE HORA PROY.'!$M$2:$M$943,Q$76)</f>
        <v>0</v>
      </c>
      <c r="R82" s="8">
        <f>SUMIFS('HOJAS DE HORA PROY.'!$D$2:$D$943,'HOJAS DE HORA PROY.'!$A$2:$A$943,'PLAN MAESTRO FINAL'!$A82,'HOJAS DE HORA PROY.'!$M$2:$M$943,R$76)</f>
        <v>0</v>
      </c>
      <c r="S82" s="8">
        <f>SUMIFS('HOJAS DE HORA PROY.'!$D$2:$D$943,'HOJAS DE HORA PROY.'!$A$2:$A$943,'PLAN MAESTRO FINAL'!$A82,'HOJAS DE HORA PROY.'!$M$2:$M$943,S$76)</f>
        <v>0</v>
      </c>
      <c r="T82" s="8">
        <f>SUMIFS('HOJAS DE HORA PROY.'!$D$2:$D$943,'HOJAS DE HORA PROY.'!$A$2:$A$943,'PLAN MAESTRO FINAL'!$A82,'HOJAS DE HORA PROY.'!$M$2:$M$943,T$76)</f>
        <v>0</v>
      </c>
      <c r="U82" s="8">
        <f>SUMIFS('HOJAS DE HORA PROY.'!$D$2:$D$943,'HOJAS DE HORA PROY.'!$A$2:$A$943,'PLAN MAESTRO FINAL'!$A82,'HOJAS DE HORA PROY.'!$M$2:$M$943,U$76)</f>
        <v>0</v>
      </c>
      <c r="V82" s="8">
        <f>SUMIFS('HOJAS DE HORA PROY.'!$D$2:$D$943,'HOJAS DE HORA PROY.'!$A$2:$A$943,'PLAN MAESTRO FINAL'!$A82,'HOJAS DE HORA PROY.'!$M$2:$M$943,V$76)</f>
        <v>0</v>
      </c>
      <c r="W82" s="8">
        <f>SUMIFS('HOJAS DE HORA PROY.'!$D$2:$D$943,'HOJAS DE HORA PROY.'!$A$2:$A$943,'PLAN MAESTRO FINAL'!$A82,'HOJAS DE HORA PROY.'!$M$2:$M$943,W$76)</f>
        <v>0</v>
      </c>
    </row>
    <row r="83" spans="1:23" hidden="1" outlineLevel="1" x14ac:dyDescent="0.3">
      <c r="A83" s="13" t="s">
        <v>165</v>
      </c>
      <c r="B83" s="8">
        <f>SUMIFS('HOJAS DE HORA PROY.'!$D$2:$D$943,'HOJAS DE HORA PROY.'!$A$2:$A$943,'PLAN MAESTRO FINAL'!$A83,'HOJAS DE HORA PROY.'!$M$2:$M$943,B$76)</f>
        <v>0</v>
      </c>
      <c r="C83" s="8">
        <f>SUMIFS('HOJAS DE HORA PROY.'!$D$2:$D$943,'HOJAS DE HORA PROY.'!$A$2:$A$943,'PLAN MAESTRO FINAL'!$A83,'HOJAS DE HORA PROY.'!$M$2:$M$943,C$76)</f>
        <v>0</v>
      </c>
      <c r="D83" s="8">
        <f>SUMIFS('HOJAS DE HORA PROY.'!$D$2:$D$943,'HOJAS DE HORA PROY.'!$A$2:$A$943,'PLAN MAESTRO FINAL'!$A83,'HOJAS DE HORA PROY.'!$M$2:$M$943,D$76)</f>
        <v>0</v>
      </c>
      <c r="E83" s="8">
        <f>SUMIFS('HOJAS DE HORA PROY.'!$D$2:$D$943,'HOJAS DE HORA PROY.'!$A$2:$A$943,'PLAN MAESTRO FINAL'!$A83,'HOJAS DE HORA PROY.'!$M$2:$M$943,E$76)</f>
        <v>0</v>
      </c>
      <c r="F83" s="8">
        <f>SUMIFS('HOJAS DE HORA PROY.'!$D$2:$D$943,'HOJAS DE HORA PROY.'!$A$2:$A$943,'PLAN MAESTRO FINAL'!$A83,'HOJAS DE HORA PROY.'!$M$2:$M$943,F$76)</f>
        <v>0</v>
      </c>
      <c r="G83" s="8">
        <f>SUMIFS('HOJAS DE HORA PROY.'!$D$2:$D$943,'HOJAS DE HORA PROY.'!$A$2:$A$943,'PLAN MAESTRO FINAL'!$A83,'HOJAS DE HORA PROY.'!$M$2:$M$943,G$76)</f>
        <v>9</v>
      </c>
      <c r="H83" s="8">
        <f>SUMIFS('HOJAS DE HORA PROY.'!$D$2:$D$943,'HOJAS DE HORA PROY.'!$A$2:$A$943,'PLAN MAESTRO FINAL'!$A83,'HOJAS DE HORA PROY.'!$M$2:$M$943,H$76)</f>
        <v>0</v>
      </c>
      <c r="I83" s="8">
        <f>SUMIFS('HOJAS DE HORA PROY.'!$D$2:$D$943,'HOJAS DE HORA PROY.'!$A$2:$A$943,'PLAN MAESTRO FINAL'!$A83,'HOJAS DE HORA PROY.'!$M$2:$M$943,I$76)</f>
        <v>0</v>
      </c>
      <c r="J83" s="8">
        <f>SUMIFS('HOJAS DE HORA PROY.'!$D$2:$D$943,'HOJAS DE HORA PROY.'!$A$2:$A$943,'PLAN MAESTRO FINAL'!$A83,'HOJAS DE HORA PROY.'!$M$2:$M$943,J$76)</f>
        <v>0</v>
      </c>
      <c r="K83" s="8">
        <f>SUMIFS('HOJAS DE HORA PROY.'!$D$2:$D$943,'HOJAS DE HORA PROY.'!$A$2:$A$943,'PLAN MAESTRO FINAL'!$A83,'HOJAS DE HORA PROY.'!$M$2:$M$943,K$76)</f>
        <v>0</v>
      </c>
      <c r="L83" s="8">
        <f>SUMIFS('HOJAS DE HORA PROY.'!$D$2:$D$943,'HOJAS DE HORA PROY.'!$A$2:$A$943,'PLAN MAESTRO FINAL'!$A83,'HOJAS DE HORA PROY.'!$M$2:$M$943,L$76)</f>
        <v>0</v>
      </c>
      <c r="M83" s="8">
        <f>SUMIFS('HOJAS DE HORA PROY.'!$D$2:$D$943,'HOJAS DE HORA PROY.'!$A$2:$A$943,'PLAN MAESTRO FINAL'!$A83,'HOJAS DE HORA PROY.'!$M$2:$M$943,M$76)</f>
        <v>0</v>
      </c>
      <c r="N83" s="8">
        <f>SUMIFS('HOJAS DE HORA PROY.'!$D$2:$D$943,'HOJAS DE HORA PROY.'!$A$2:$A$943,'PLAN MAESTRO FINAL'!$A83,'HOJAS DE HORA PROY.'!$M$2:$M$943,N$76)</f>
        <v>0</v>
      </c>
      <c r="O83" s="8">
        <f>SUMIFS('HOJAS DE HORA PROY.'!$D$2:$D$943,'HOJAS DE HORA PROY.'!$A$2:$A$943,'PLAN MAESTRO FINAL'!$A83,'HOJAS DE HORA PROY.'!$M$2:$M$943,O$76)</f>
        <v>0</v>
      </c>
      <c r="P83" s="8">
        <f>SUMIFS('HOJAS DE HORA PROY.'!$D$2:$D$943,'HOJAS DE HORA PROY.'!$A$2:$A$943,'PLAN MAESTRO FINAL'!$A83,'HOJAS DE HORA PROY.'!$M$2:$M$943,P$76)</f>
        <v>0</v>
      </c>
      <c r="Q83" s="8">
        <f>SUMIFS('HOJAS DE HORA PROY.'!$D$2:$D$943,'HOJAS DE HORA PROY.'!$A$2:$A$943,'PLAN MAESTRO FINAL'!$A83,'HOJAS DE HORA PROY.'!$M$2:$M$943,Q$76)</f>
        <v>0</v>
      </c>
      <c r="R83" s="8">
        <f>SUMIFS('HOJAS DE HORA PROY.'!$D$2:$D$943,'HOJAS DE HORA PROY.'!$A$2:$A$943,'PLAN MAESTRO FINAL'!$A83,'HOJAS DE HORA PROY.'!$M$2:$M$943,R$76)</f>
        <v>0</v>
      </c>
      <c r="S83" s="8">
        <f>SUMIFS('HOJAS DE HORA PROY.'!$D$2:$D$943,'HOJAS DE HORA PROY.'!$A$2:$A$943,'PLAN MAESTRO FINAL'!$A83,'HOJAS DE HORA PROY.'!$M$2:$M$943,S$76)</f>
        <v>0</v>
      </c>
      <c r="T83" s="8">
        <f>SUMIFS('HOJAS DE HORA PROY.'!$D$2:$D$943,'HOJAS DE HORA PROY.'!$A$2:$A$943,'PLAN MAESTRO FINAL'!$A83,'HOJAS DE HORA PROY.'!$M$2:$M$943,T$76)</f>
        <v>0</v>
      </c>
      <c r="U83" s="8">
        <f>SUMIFS('HOJAS DE HORA PROY.'!$D$2:$D$943,'HOJAS DE HORA PROY.'!$A$2:$A$943,'PLAN MAESTRO FINAL'!$A83,'HOJAS DE HORA PROY.'!$M$2:$M$943,U$76)</f>
        <v>0</v>
      </c>
      <c r="V83" s="8">
        <f>SUMIFS('HOJAS DE HORA PROY.'!$D$2:$D$943,'HOJAS DE HORA PROY.'!$A$2:$A$943,'PLAN MAESTRO FINAL'!$A83,'HOJAS DE HORA PROY.'!$M$2:$M$943,V$76)</f>
        <v>0</v>
      </c>
      <c r="W83" s="8">
        <f>SUMIFS('HOJAS DE HORA PROY.'!$D$2:$D$943,'HOJAS DE HORA PROY.'!$A$2:$A$943,'PLAN MAESTRO FINAL'!$A83,'HOJAS DE HORA PROY.'!$M$2:$M$943,W$76)</f>
        <v>0</v>
      </c>
    </row>
    <row r="84" spans="1:23" hidden="1" outlineLevel="1" x14ac:dyDescent="0.3">
      <c r="A84" s="13" t="s">
        <v>203</v>
      </c>
      <c r="B84" s="8">
        <f>SUMIFS('HOJAS DE HORA PROY.'!$D$2:$D$943,'HOJAS DE HORA PROY.'!$A$2:$A$943,'PLAN MAESTRO FINAL'!$A84,'HOJAS DE HORA PROY.'!$M$2:$M$943,B$76)</f>
        <v>0</v>
      </c>
      <c r="C84" s="8">
        <f>SUMIFS('HOJAS DE HORA PROY.'!$D$2:$D$943,'HOJAS DE HORA PROY.'!$A$2:$A$943,'PLAN MAESTRO FINAL'!$A84,'HOJAS DE HORA PROY.'!$M$2:$M$943,C$76)</f>
        <v>0</v>
      </c>
      <c r="D84" s="8">
        <f>SUMIFS('HOJAS DE HORA PROY.'!$D$2:$D$943,'HOJAS DE HORA PROY.'!$A$2:$A$943,'PLAN MAESTRO FINAL'!$A84,'HOJAS DE HORA PROY.'!$M$2:$M$943,D$76)</f>
        <v>0</v>
      </c>
      <c r="E84" s="8">
        <f>SUMIFS('HOJAS DE HORA PROY.'!$D$2:$D$943,'HOJAS DE HORA PROY.'!$A$2:$A$943,'PLAN MAESTRO FINAL'!$A84,'HOJAS DE HORA PROY.'!$M$2:$M$943,E$76)</f>
        <v>0</v>
      </c>
      <c r="F84" s="8">
        <f>SUMIFS('HOJAS DE HORA PROY.'!$D$2:$D$943,'HOJAS DE HORA PROY.'!$A$2:$A$943,'PLAN MAESTRO FINAL'!$A84,'HOJAS DE HORA PROY.'!$M$2:$M$943,F$76)</f>
        <v>0</v>
      </c>
      <c r="G84" s="8">
        <f>SUMIFS('HOJAS DE HORA PROY.'!$D$2:$D$943,'HOJAS DE HORA PROY.'!$A$2:$A$943,'PLAN MAESTRO FINAL'!$A84,'HOJAS DE HORA PROY.'!$M$2:$M$943,G$76)</f>
        <v>0</v>
      </c>
      <c r="H84" s="8">
        <f>SUMIFS('HOJAS DE HORA PROY.'!$D$2:$D$943,'HOJAS DE HORA PROY.'!$A$2:$A$943,'PLAN MAESTRO FINAL'!$A84,'HOJAS DE HORA PROY.'!$M$2:$M$943,H$76)</f>
        <v>0</v>
      </c>
      <c r="I84" s="8">
        <f>SUMIFS('HOJAS DE HORA PROY.'!$D$2:$D$943,'HOJAS DE HORA PROY.'!$A$2:$A$943,'PLAN MAESTRO FINAL'!$A84,'HOJAS DE HORA PROY.'!$M$2:$M$943,I$76)</f>
        <v>0</v>
      </c>
      <c r="J84" s="8">
        <f>SUMIFS('HOJAS DE HORA PROY.'!$D$2:$D$943,'HOJAS DE HORA PROY.'!$A$2:$A$943,'PLAN MAESTRO FINAL'!$A84,'HOJAS DE HORA PROY.'!$M$2:$M$943,J$76)</f>
        <v>0</v>
      </c>
      <c r="K84" s="8">
        <f>SUMIFS('HOJAS DE HORA PROY.'!$D$2:$D$943,'HOJAS DE HORA PROY.'!$A$2:$A$943,'PLAN MAESTRO FINAL'!$A84,'HOJAS DE HORA PROY.'!$M$2:$M$943,K$76)</f>
        <v>0</v>
      </c>
      <c r="L84" s="8">
        <f>SUMIFS('HOJAS DE HORA PROY.'!$D$2:$D$943,'HOJAS DE HORA PROY.'!$A$2:$A$943,'PLAN MAESTRO FINAL'!$A84,'HOJAS DE HORA PROY.'!$M$2:$M$943,L$76)</f>
        <v>0</v>
      </c>
      <c r="M84" s="8">
        <f>SUMIFS('HOJAS DE HORA PROY.'!$D$2:$D$943,'HOJAS DE HORA PROY.'!$A$2:$A$943,'PLAN MAESTRO FINAL'!$A84,'HOJAS DE HORA PROY.'!$M$2:$M$943,M$76)</f>
        <v>0</v>
      </c>
      <c r="N84" s="8">
        <f>SUMIFS('HOJAS DE HORA PROY.'!$D$2:$D$943,'HOJAS DE HORA PROY.'!$A$2:$A$943,'PLAN MAESTRO FINAL'!$A84,'HOJAS DE HORA PROY.'!$M$2:$M$943,N$76)</f>
        <v>0</v>
      </c>
      <c r="O84" s="8">
        <f>SUMIFS('HOJAS DE HORA PROY.'!$D$2:$D$943,'HOJAS DE HORA PROY.'!$A$2:$A$943,'PLAN MAESTRO FINAL'!$A84,'HOJAS DE HORA PROY.'!$M$2:$M$943,O$76)</f>
        <v>0</v>
      </c>
      <c r="P84" s="8">
        <f>SUMIFS('HOJAS DE HORA PROY.'!$D$2:$D$943,'HOJAS DE HORA PROY.'!$A$2:$A$943,'PLAN MAESTRO FINAL'!$A84,'HOJAS DE HORA PROY.'!$M$2:$M$943,P$76)</f>
        <v>0</v>
      </c>
      <c r="Q84" s="8">
        <f>SUMIFS('HOJAS DE HORA PROY.'!$D$2:$D$943,'HOJAS DE HORA PROY.'!$A$2:$A$943,'PLAN MAESTRO FINAL'!$A84,'HOJAS DE HORA PROY.'!$M$2:$M$943,Q$76)</f>
        <v>0</v>
      </c>
      <c r="R84" s="8">
        <f>SUMIFS('HOJAS DE HORA PROY.'!$D$2:$D$943,'HOJAS DE HORA PROY.'!$A$2:$A$943,'PLAN MAESTRO FINAL'!$A84,'HOJAS DE HORA PROY.'!$M$2:$M$943,R$76)</f>
        <v>0</v>
      </c>
      <c r="S84" s="8">
        <f>SUMIFS('HOJAS DE HORA PROY.'!$D$2:$D$943,'HOJAS DE HORA PROY.'!$A$2:$A$943,'PLAN MAESTRO FINAL'!$A84,'HOJAS DE HORA PROY.'!$M$2:$M$943,S$76)</f>
        <v>0</v>
      </c>
      <c r="T84" s="8">
        <f>SUMIFS('HOJAS DE HORA PROY.'!$D$2:$D$943,'HOJAS DE HORA PROY.'!$A$2:$A$943,'PLAN MAESTRO FINAL'!$A84,'HOJAS DE HORA PROY.'!$M$2:$M$943,T$76)</f>
        <v>0</v>
      </c>
      <c r="U84" s="8">
        <f>SUMIFS('HOJAS DE HORA PROY.'!$D$2:$D$943,'HOJAS DE HORA PROY.'!$A$2:$A$943,'PLAN MAESTRO FINAL'!$A84,'HOJAS DE HORA PROY.'!$M$2:$M$943,U$76)</f>
        <v>0</v>
      </c>
      <c r="V84" s="8">
        <f>SUMIFS('HOJAS DE HORA PROY.'!$D$2:$D$943,'HOJAS DE HORA PROY.'!$A$2:$A$943,'PLAN MAESTRO FINAL'!$A84,'HOJAS DE HORA PROY.'!$M$2:$M$943,V$76)</f>
        <v>0</v>
      </c>
      <c r="W84" s="8">
        <f>SUMIFS('HOJAS DE HORA PROY.'!$D$2:$D$943,'HOJAS DE HORA PROY.'!$A$2:$A$943,'PLAN MAESTRO FINAL'!$A84,'HOJAS DE HORA PROY.'!$M$2:$M$943,W$76)</f>
        <v>0</v>
      </c>
    </row>
    <row r="85" spans="1:23" hidden="1" outlineLevel="1" x14ac:dyDescent="0.3">
      <c r="A85" s="13" t="s">
        <v>212</v>
      </c>
      <c r="B85" s="8">
        <f>SUMIFS('HOJAS DE HORA PROY.'!$D$2:$D$943,'HOJAS DE HORA PROY.'!$A$2:$A$943,'PLAN MAESTRO FINAL'!$A85,'HOJAS DE HORA PROY.'!$M$2:$M$943,B$76)</f>
        <v>0</v>
      </c>
      <c r="C85" s="8">
        <f>SUMIFS('HOJAS DE HORA PROY.'!$D$2:$D$943,'HOJAS DE HORA PROY.'!$A$2:$A$943,'PLAN MAESTRO FINAL'!$A85,'HOJAS DE HORA PROY.'!$M$2:$M$943,C$76)</f>
        <v>0</v>
      </c>
      <c r="D85" s="8">
        <f>SUMIFS('HOJAS DE HORA PROY.'!$D$2:$D$943,'HOJAS DE HORA PROY.'!$A$2:$A$943,'PLAN MAESTRO FINAL'!$A85,'HOJAS DE HORA PROY.'!$M$2:$M$943,D$76)</f>
        <v>0</v>
      </c>
      <c r="E85" s="8">
        <f>SUMIFS('HOJAS DE HORA PROY.'!$D$2:$D$943,'HOJAS DE HORA PROY.'!$A$2:$A$943,'PLAN MAESTRO FINAL'!$A85,'HOJAS DE HORA PROY.'!$M$2:$M$943,E$76)</f>
        <v>0</v>
      </c>
      <c r="F85" s="8">
        <f>SUMIFS('HOJAS DE HORA PROY.'!$D$2:$D$943,'HOJAS DE HORA PROY.'!$A$2:$A$943,'PLAN MAESTRO FINAL'!$A85,'HOJAS DE HORA PROY.'!$M$2:$M$943,F$76)</f>
        <v>0</v>
      </c>
      <c r="G85" s="8">
        <f>SUMIFS('HOJAS DE HORA PROY.'!$D$2:$D$943,'HOJAS DE HORA PROY.'!$A$2:$A$943,'PLAN MAESTRO FINAL'!$A85,'HOJAS DE HORA PROY.'!$M$2:$M$943,G$76)</f>
        <v>0</v>
      </c>
      <c r="H85" s="8">
        <f>SUMIFS('HOJAS DE HORA PROY.'!$D$2:$D$943,'HOJAS DE HORA PROY.'!$A$2:$A$943,'PLAN MAESTRO FINAL'!$A85,'HOJAS DE HORA PROY.'!$M$2:$M$943,H$76)</f>
        <v>0</v>
      </c>
      <c r="I85" s="8">
        <f>SUMIFS('HOJAS DE HORA PROY.'!$D$2:$D$943,'HOJAS DE HORA PROY.'!$A$2:$A$943,'PLAN MAESTRO FINAL'!$A85,'HOJAS DE HORA PROY.'!$M$2:$M$943,I$76)</f>
        <v>0</v>
      </c>
      <c r="J85" s="8">
        <f>SUMIFS('HOJAS DE HORA PROY.'!$D$2:$D$943,'HOJAS DE HORA PROY.'!$A$2:$A$943,'PLAN MAESTRO FINAL'!$A85,'HOJAS DE HORA PROY.'!$M$2:$M$943,J$76)</f>
        <v>0</v>
      </c>
      <c r="K85" s="8">
        <f>SUMIFS('HOJAS DE HORA PROY.'!$D$2:$D$943,'HOJAS DE HORA PROY.'!$A$2:$A$943,'PLAN MAESTRO FINAL'!$A85,'HOJAS DE HORA PROY.'!$M$2:$M$943,K$76)</f>
        <v>0</v>
      </c>
      <c r="L85" s="8">
        <f>SUMIFS('HOJAS DE HORA PROY.'!$D$2:$D$943,'HOJAS DE HORA PROY.'!$A$2:$A$943,'PLAN MAESTRO FINAL'!$A85,'HOJAS DE HORA PROY.'!$M$2:$M$943,L$76)</f>
        <v>0</v>
      </c>
      <c r="M85" s="8">
        <f>SUMIFS('HOJAS DE HORA PROY.'!$D$2:$D$943,'HOJAS DE HORA PROY.'!$A$2:$A$943,'PLAN MAESTRO FINAL'!$A85,'HOJAS DE HORA PROY.'!$M$2:$M$943,M$76)</f>
        <v>0</v>
      </c>
      <c r="N85" s="8">
        <f>SUMIFS('HOJAS DE HORA PROY.'!$D$2:$D$943,'HOJAS DE HORA PROY.'!$A$2:$A$943,'PLAN MAESTRO FINAL'!$A85,'HOJAS DE HORA PROY.'!$M$2:$M$943,N$76)</f>
        <v>0</v>
      </c>
      <c r="O85" s="8">
        <f>SUMIFS('HOJAS DE HORA PROY.'!$D$2:$D$943,'HOJAS DE HORA PROY.'!$A$2:$A$943,'PLAN MAESTRO FINAL'!$A85,'HOJAS DE HORA PROY.'!$M$2:$M$943,O$76)</f>
        <v>0</v>
      </c>
      <c r="P85" s="8">
        <f>SUMIFS('HOJAS DE HORA PROY.'!$D$2:$D$943,'HOJAS DE HORA PROY.'!$A$2:$A$943,'PLAN MAESTRO FINAL'!$A85,'HOJAS DE HORA PROY.'!$M$2:$M$943,P$76)</f>
        <v>0</v>
      </c>
      <c r="Q85" s="8">
        <f>SUMIFS('HOJAS DE HORA PROY.'!$D$2:$D$943,'HOJAS DE HORA PROY.'!$A$2:$A$943,'PLAN MAESTRO FINAL'!$A85,'HOJAS DE HORA PROY.'!$M$2:$M$943,Q$76)</f>
        <v>0</v>
      </c>
      <c r="R85" s="8">
        <f>SUMIFS('HOJAS DE HORA PROY.'!$D$2:$D$943,'HOJAS DE HORA PROY.'!$A$2:$A$943,'PLAN MAESTRO FINAL'!$A85,'HOJAS DE HORA PROY.'!$M$2:$M$943,R$76)</f>
        <v>0</v>
      </c>
      <c r="S85" s="8">
        <f>SUMIFS('HOJAS DE HORA PROY.'!$D$2:$D$943,'HOJAS DE HORA PROY.'!$A$2:$A$943,'PLAN MAESTRO FINAL'!$A85,'HOJAS DE HORA PROY.'!$M$2:$M$943,S$76)</f>
        <v>0</v>
      </c>
      <c r="T85" s="8">
        <f>SUMIFS('HOJAS DE HORA PROY.'!$D$2:$D$943,'HOJAS DE HORA PROY.'!$A$2:$A$943,'PLAN MAESTRO FINAL'!$A85,'HOJAS DE HORA PROY.'!$M$2:$M$943,T$76)</f>
        <v>0</v>
      </c>
      <c r="U85" s="8">
        <f>SUMIFS('HOJAS DE HORA PROY.'!$D$2:$D$943,'HOJAS DE HORA PROY.'!$A$2:$A$943,'PLAN MAESTRO FINAL'!$A85,'HOJAS DE HORA PROY.'!$M$2:$M$943,U$76)</f>
        <v>0</v>
      </c>
      <c r="V85" s="8">
        <f>SUMIFS('HOJAS DE HORA PROY.'!$D$2:$D$943,'HOJAS DE HORA PROY.'!$A$2:$A$943,'PLAN MAESTRO FINAL'!$A85,'HOJAS DE HORA PROY.'!$M$2:$M$943,V$76)</f>
        <v>0</v>
      </c>
      <c r="W85" s="8">
        <f>SUMIFS('HOJAS DE HORA PROY.'!$D$2:$D$943,'HOJAS DE HORA PROY.'!$A$2:$A$943,'PLAN MAESTRO FINAL'!$A85,'HOJAS DE HORA PROY.'!$M$2:$M$943,W$76)</f>
        <v>0</v>
      </c>
    </row>
    <row r="86" spans="1:23" hidden="1" outlineLevel="1" x14ac:dyDescent="0.3">
      <c r="A86" s="13" t="s">
        <v>216</v>
      </c>
      <c r="B86" s="8">
        <f>SUMIFS('HOJAS DE HORA PROY.'!$D$2:$D$943,'HOJAS DE HORA PROY.'!$A$2:$A$943,'PLAN MAESTRO FINAL'!$A86,'HOJAS DE HORA PROY.'!$M$2:$M$943,B$76)</f>
        <v>0</v>
      </c>
      <c r="C86" s="8">
        <f>SUMIFS('HOJAS DE HORA PROY.'!$D$2:$D$943,'HOJAS DE HORA PROY.'!$A$2:$A$943,'PLAN MAESTRO FINAL'!$A86,'HOJAS DE HORA PROY.'!$M$2:$M$943,C$76)</f>
        <v>0</v>
      </c>
      <c r="D86" s="8">
        <f>SUMIFS('HOJAS DE HORA PROY.'!$D$2:$D$943,'HOJAS DE HORA PROY.'!$A$2:$A$943,'PLAN MAESTRO FINAL'!$A86,'HOJAS DE HORA PROY.'!$M$2:$M$943,D$76)</f>
        <v>0</v>
      </c>
      <c r="E86" s="8">
        <f>SUMIFS('HOJAS DE HORA PROY.'!$D$2:$D$943,'HOJAS DE HORA PROY.'!$A$2:$A$943,'PLAN MAESTRO FINAL'!$A86,'HOJAS DE HORA PROY.'!$M$2:$M$943,E$76)</f>
        <v>0</v>
      </c>
      <c r="F86" s="8">
        <f>SUMIFS('HOJAS DE HORA PROY.'!$D$2:$D$943,'HOJAS DE HORA PROY.'!$A$2:$A$943,'PLAN MAESTRO FINAL'!$A86,'HOJAS DE HORA PROY.'!$M$2:$M$943,F$76)</f>
        <v>0</v>
      </c>
      <c r="G86" s="8">
        <f>SUMIFS('HOJAS DE HORA PROY.'!$D$2:$D$943,'HOJAS DE HORA PROY.'!$A$2:$A$943,'PLAN MAESTRO FINAL'!$A86,'HOJAS DE HORA PROY.'!$M$2:$M$943,G$76)</f>
        <v>0</v>
      </c>
      <c r="H86" s="8">
        <f>SUMIFS('HOJAS DE HORA PROY.'!$D$2:$D$943,'HOJAS DE HORA PROY.'!$A$2:$A$943,'PLAN MAESTRO FINAL'!$A86,'HOJAS DE HORA PROY.'!$M$2:$M$943,H$76)</f>
        <v>0</v>
      </c>
      <c r="I86" s="8">
        <f>SUMIFS('HOJAS DE HORA PROY.'!$D$2:$D$943,'HOJAS DE HORA PROY.'!$A$2:$A$943,'PLAN MAESTRO FINAL'!$A86,'HOJAS DE HORA PROY.'!$M$2:$M$943,I$76)</f>
        <v>0</v>
      </c>
      <c r="J86" s="8">
        <f>SUMIFS('HOJAS DE HORA PROY.'!$D$2:$D$943,'HOJAS DE HORA PROY.'!$A$2:$A$943,'PLAN MAESTRO FINAL'!$A86,'HOJAS DE HORA PROY.'!$M$2:$M$943,J$76)</f>
        <v>0</v>
      </c>
      <c r="K86" s="8">
        <f>SUMIFS('HOJAS DE HORA PROY.'!$D$2:$D$943,'HOJAS DE HORA PROY.'!$A$2:$A$943,'PLAN MAESTRO FINAL'!$A86,'HOJAS DE HORA PROY.'!$M$2:$M$943,K$76)</f>
        <v>0</v>
      </c>
      <c r="L86" s="8">
        <f>SUMIFS('HOJAS DE HORA PROY.'!$D$2:$D$943,'HOJAS DE HORA PROY.'!$A$2:$A$943,'PLAN MAESTRO FINAL'!$A86,'HOJAS DE HORA PROY.'!$M$2:$M$943,L$76)</f>
        <v>0</v>
      </c>
      <c r="M86" s="8">
        <f>SUMIFS('HOJAS DE HORA PROY.'!$D$2:$D$943,'HOJAS DE HORA PROY.'!$A$2:$A$943,'PLAN MAESTRO FINAL'!$A86,'HOJAS DE HORA PROY.'!$M$2:$M$943,M$76)</f>
        <v>0</v>
      </c>
      <c r="N86" s="8">
        <f>SUMIFS('HOJAS DE HORA PROY.'!$D$2:$D$943,'HOJAS DE HORA PROY.'!$A$2:$A$943,'PLAN MAESTRO FINAL'!$A86,'HOJAS DE HORA PROY.'!$M$2:$M$943,N$76)</f>
        <v>0</v>
      </c>
      <c r="O86" s="8">
        <f>SUMIFS('HOJAS DE HORA PROY.'!$D$2:$D$943,'HOJAS DE HORA PROY.'!$A$2:$A$943,'PLAN MAESTRO FINAL'!$A86,'HOJAS DE HORA PROY.'!$M$2:$M$943,O$76)</f>
        <v>0</v>
      </c>
      <c r="P86" s="8">
        <f>SUMIFS('HOJAS DE HORA PROY.'!$D$2:$D$943,'HOJAS DE HORA PROY.'!$A$2:$A$943,'PLAN MAESTRO FINAL'!$A86,'HOJAS DE HORA PROY.'!$M$2:$M$943,P$76)</f>
        <v>0</v>
      </c>
      <c r="Q86" s="8">
        <f>SUMIFS('HOJAS DE HORA PROY.'!$D$2:$D$943,'HOJAS DE HORA PROY.'!$A$2:$A$943,'PLAN MAESTRO FINAL'!$A86,'HOJAS DE HORA PROY.'!$M$2:$M$943,Q$76)</f>
        <v>0</v>
      </c>
      <c r="R86" s="8">
        <f>SUMIFS('HOJAS DE HORA PROY.'!$D$2:$D$943,'HOJAS DE HORA PROY.'!$A$2:$A$943,'PLAN MAESTRO FINAL'!$A86,'HOJAS DE HORA PROY.'!$M$2:$M$943,R$76)</f>
        <v>0</v>
      </c>
      <c r="S86" s="8">
        <f>SUMIFS('HOJAS DE HORA PROY.'!$D$2:$D$943,'HOJAS DE HORA PROY.'!$A$2:$A$943,'PLAN MAESTRO FINAL'!$A86,'HOJAS DE HORA PROY.'!$M$2:$M$943,S$76)</f>
        <v>0</v>
      </c>
      <c r="T86" s="8">
        <f>SUMIFS('HOJAS DE HORA PROY.'!$D$2:$D$943,'HOJAS DE HORA PROY.'!$A$2:$A$943,'PLAN MAESTRO FINAL'!$A86,'HOJAS DE HORA PROY.'!$M$2:$M$943,T$76)</f>
        <v>0</v>
      </c>
      <c r="U86" s="8">
        <f>SUMIFS('HOJAS DE HORA PROY.'!$D$2:$D$943,'HOJAS DE HORA PROY.'!$A$2:$A$943,'PLAN MAESTRO FINAL'!$A86,'HOJAS DE HORA PROY.'!$M$2:$M$943,U$76)</f>
        <v>0</v>
      </c>
      <c r="V86" s="8">
        <f>SUMIFS('HOJAS DE HORA PROY.'!$D$2:$D$943,'HOJAS DE HORA PROY.'!$A$2:$A$943,'PLAN MAESTRO FINAL'!$A86,'HOJAS DE HORA PROY.'!$M$2:$M$943,V$76)</f>
        <v>0</v>
      </c>
      <c r="W86" s="8">
        <f>SUMIFS('HOJAS DE HORA PROY.'!$D$2:$D$943,'HOJAS DE HORA PROY.'!$A$2:$A$943,'PLAN MAESTRO FINAL'!$A86,'HOJAS DE HORA PROY.'!$M$2:$M$943,W$76)</f>
        <v>0</v>
      </c>
    </row>
    <row r="87" spans="1:23" hidden="1" outlineLevel="1" x14ac:dyDescent="0.3">
      <c r="A87" s="13" t="s">
        <v>217</v>
      </c>
      <c r="B87" s="8">
        <f>SUMIFS('HOJAS DE HORA PROY.'!$D$2:$D$943,'HOJAS DE HORA PROY.'!$A$2:$A$943,'PLAN MAESTRO FINAL'!$A87,'HOJAS DE HORA PROY.'!$M$2:$M$943,B$76)</f>
        <v>0</v>
      </c>
      <c r="C87" s="8">
        <f>SUMIFS('HOJAS DE HORA PROY.'!$D$2:$D$943,'HOJAS DE HORA PROY.'!$A$2:$A$943,'PLAN MAESTRO FINAL'!$A87,'HOJAS DE HORA PROY.'!$M$2:$M$943,C$76)</f>
        <v>0</v>
      </c>
      <c r="D87" s="8">
        <f>SUMIFS('HOJAS DE HORA PROY.'!$D$2:$D$943,'HOJAS DE HORA PROY.'!$A$2:$A$943,'PLAN MAESTRO FINAL'!$A87,'HOJAS DE HORA PROY.'!$M$2:$M$943,D$76)</f>
        <v>0</v>
      </c>
      <c r="E87" s="8">
        <f>SUMIFS('HOJAS DE HORA PROY.'!$D$2:$D$943,'HOJAS DE HORA PROY.'!$A$2:$A$943,'PLAN MAESTRO FINAL'!$A87,'HOJAS DE HORA PROY.'!$M$2:$M$943,E$76)</f>
        <v>0</v>
      </c>
      <c r="F87" s="8">
        <f>SUMIFS('HOJAS DE HORA PROY.'!$D$2:$D$943,'HOJAS DE HORA PROY.'!$A$2:$A$943,'PLAN MAESTRO FINAL'!$A87,'HOJAS DE HORA PROY.'!$M$2:$M$943,F$76)</f>
        <v>0</v>
      </c>
      <c r="G87" s="8">
        <f>SUMIFS('HOJAS DE HORA PROY.'!$D$2:$D$943,'HOJAS DE HORA PROY.'!$A$2:$A$943,'PLAN MAESTRO FINAL'!$A87,'HOJAS DE HORA PROY.'!$M$2:$M$943,G$76)</f>
        <v>36</v>
      </c>
      <c r="H87" s="8">
        <f>SUMIFS('HOJAS DE HORA PROY.'!$D$2:$D$943,'HOJAS DE HORA PROY.'!$A$2:$A$943,'PLAN MAESTRO FINAL'!$A87,'HOJAS DE HORA PROY.'!$M$2:$M$943,H$76)</f>
        <v>0</v>
      </c>
      <c r="I87" s="8">
        <f>SUMIFS('HOJAS DE HORA PROY.'!$D$2:$D$943,'HOJAS DE HORA PROY.'!$A$2:$A$943,'PLAN MAESTRO FINAL'!$A87,'HOJAS DE HORA PROY.'!$M$2:$M$943,I$76)</f>
        <v>0</v>
      </c>
      <c r="J87" s="8">
        <f>SUMIFS('HOJAS DE HORA PROY.'!$D$2:$D$943,'HOJAS DE HORA PROY.'!$A$2:$A$943,'PLAN MAESTRO FINAL'!$A87,'HOJAS DE HORA PROY.'!$M$2:$M$943,J$76)</f>
        <v>0</v>
      </c>
      <c r="K87" s="8">
        <f>SUMIFS('HOJAS DE HORA PROY.'!$D$2:$D$943,'HOJAS DE HORA PROY.'!$A$2:$A$943,'PLAN MAESTRO FINAL'!$A87,'HOJAS DE HORA PROY.'!$M$2:$M$943,K$76)</f>
        <v>0</v>
      </c>
      <c r="L87" s="8">
        <f>SUMIFS('HOJAS DE HORA PROY.'!$D$2:$D$943,'HOJAS DE HORA PROY.'!$A$2:$A$943,'PLAN MAESTRO FINAL'!$A87,'HOJAS DE HORA PROY.'!$M$2:$M$943,L$76)</f>
        <v>0</v>
      </c>
      <c r="M87" s="8">
        <f>SUMIFS('HOJAS DE HORA PROY.'!$D$2:$D$943,'HOJAS DE HORA PROY.'!$A$2:$A$943,'PLAN MAESTRO FINAL'!$A87,'HOJAS DE HORA PROY.'!$M$2:$M$943,M$76)</f>
        <v>0</v>
      </c>
      <c r="N87" s="8">
        <f>SUMIFS('HOJAS DE HORA PROY.'!$D$2:$D$943,'HOJAS DE HORA PROY.'!$A$2:$A$943,'PLAN MAESTRO FINAL'!$A87,'HOJAS DE HORA PROY.'!$M$2:$M$943,N$76)</f>
        <v>0</v>
      </c>
      <c r="O87" s="8">
        <f>SUMIFS('HOJAS DE HORA PROY.'!$D$2:$D$943,'HOJAS DE HORA PROY.'!$A$2:$A$943,'PLAN MAESTRO FINAL'!$A87,'HOJAS DE HORA PROY.'!$M$2:$M$943,O$76)</f>
        <v>0</v>
      </c>
      <c r="P87" s="8">
        <f>SUMIFS('HOJAS DE HORA PROY.'!$D$2:$D$943,'HOJAS DE HORA PROY.'!$A$2:$A$943,'PLAN MAESTRO FINAL'!$A87,'HOJAS DE HORA PROY.'!$M$2:$M$943,P$76)</f>
        <v>0</v>
      </c>
      <c r="Q87" s="8">
        <f>SUMIFS('HOJAS DE HORA PROY.'!$D$2:$D$943,'HOJAS DE HORA PROY.'!$A$2:$A$943,'PLAN MAESTRO FINAL'!$A87,'HOJAS DE HORA PROY.'!$M$2:$M$943,Q$76)</f>
        <v>0</v>
      </c>
      <c r="R87" s="8">
        <f>SUMIFS('HOJAS DE HORA PROY.'!$D$2:$D$943,'HOJAS DE HORA PROY.'!$A$2:$A$943,'PLAN MAESTRO FINAL'!$A87,'HOJAS DE HORA PROY.'!$M$2:$M$943,R$76)</f>
        <v>0</v>
      </c>
      <c r="S87" s="8">
        <f>SUMIFS('HOJAS DE HORA PROY.'!$D$2:$D$943,'HOJAS DE HORA PROY.'!$A$2:$A$943,'PLAN MAESTRO FINAL'!$A87,'HOJAS DE HORA PROY.'!$M$2:$M$943,S$76)</f>
        <v>0</v>
      </c>
      <c r="T87" s="8">
        <f>SUMIFS('HOJAS DE HORA PROY.'!$D$2:$D$943,'HOJAS DE HORA PROY.'!$A$2:$A$943,'PLAN MAESTRO FINAL'!$A87,'HOJAS DE HORA PROY.'!$M$2:$M$943,T$76)</f>
        <v>0</v>
      </c>
      <c r="U87" s="8">
        <f>SUMIFS('HOJAS DE HORA PROY.'!$D$2:$D$943,'HOJAS DE HORA PROY.'!$A$2:$A$943,'PLAN MAESTRO FINAL'!$A87,'HOJAS DE HORA PROY.'!$M$2:$M$943,U$76)</f>
        <v>0</v>
      </c>
      <c r="V87" s="8">
        <f>SUMIFS('HOJAS DE HORA PROY.'!$D$2:$D$943,'HOJAS DE HORA PROY.'!$A$2:$A$943,'PLAN MAESTRO FINAL'!$A87,'HOJAS DE HORA PROY.'!$M$2:$M$943,V$76)</f>
        <v>0</v>
      </c>
      <c r="W87" s="8">
        <f>SUMIFS('HOJAS DE HORA PROY.'!$D$2:$D$943,'HOJAS DE HORA PROY.'!$A$2:$A$943,'PLAN MAESTRO FINAL'!$A87,'HOJAS DE HORA PROY.'!$M$2:$M$943,W$76)</f>
        <v>0</v>
      </c>
    </row>
    <row r="88" spans="1:23" hidden="1" outlineLevel="1" x14ac:dyDescent="0.3">
      <c r="A88" s="13" t="s">
        <v>231</v>
      </c>
      <c r="B88" s="8">
        <f>SUMIFS('HOJAS DE HORA PROY.'!$D$2:$D$943,'HOJAS DE HORA PROY.'!$A$2:$A$943,'PLAN MAESTRO FINAL'!$A88,'HOJAS DE HORA PROY.'!$M$2:$M$943,B$76)</f>
        <v>0</v>
      </c>
      <c r="C88" s="8">
        <f>SUMIFS('HOJAS DE HORA PROY.'!$D$2:$D$943,'HOJAS DE HORA PROY.'!$A$2:$A$943,'PLAN MAESTRO FINAL'!$A88,'HOJAS DE HORA PROY.'!$M$2:$M$943,C$76)</f>
        <v>0</v>
      </c>
      <c r="D88" s="8">
        <f>SUMIFS('HOJAS DE HORA PROY.'!$D$2:$D$943,'HOJAS DE HORA PROY.'!$A$2:$A$943,'PLAN MAESTRO FINAL'!$A88,'HOJAS DE HORA PROY.'!$M$2:$M$943,D$76)</f>
        <v>0</v>
      </c>
      <c r="E88" s="8">
        <f>SUMIFS('HOJAS DE HORA PROY.'!$D$2:$D$943,'HOJAS DE HORA PROY.'!$A$2:$A$943,'PLAN MAESTRO FINAL'!$A88,'HOJAS DE HORA PROY.'!$M$2:$M$943,E$76)</f>
        <v>0</v>
      </c>
      <c r="F88" s="8">
        <f>SUMIFS('HOJAS DE HORA PROY.'!$D$2:$D$943,'HOJAS DE HORA PROY.'!$A$2:$A$943,'PLAN MAESTRO FINAL'!$A88,'HOJAS DE HORA PROY.'!$M$2:$M$943,F$76)</f>
        <v>0</v>
      </c>
      <c r="G88" s="8">
        <f>SUMIFS('HOJAS DE HORA PROY.'!$D$2:$D$943,'HOJAS DE HORA PROY.'!$A$2:$A$943,'PLAN MAESTRO FINAL'!$A88,'HOJAS DE HORA PROY.'!$M$2:$M$943,G$76)</f>
        <v>6</v>
      </c>
      <c r="H88" s="8">
        <f>SUMIFS('HOJAS DE HORA PROY.'!$D$2:$D$943,'HOJAS DE HORA PROY.'!$A$2:$A$943,'PLAN MAESTRO FINAL'!$A88,'HOJAS DE HORA PROY.'!$M$2:$M$943,H$76)</f>
        <v>0</v>
      </c>
      <c r="I88" s="8">
        <f>SUMIFS('HOJAS DE HORA PROY.'!$D$2:$D$943,'HOJAS DE HORA PROY.'!$A$2:$A$943,'PLAN MAESTRO FINAL'!$A88,'HOJAS DE HORA PROY.'!$M$2:$M$943,I$76)</f>
        <v>0</v>
      </c>
      <c r="J88" s="8">
        <f>SUMIFS('HOJAS DE HORA PROY.'!$D$2:$D$943,'HOJAS DE HORA PROY.'!$A$2:$A$943,'PLAN MAESTRO FINAL'!$A88,'HOJAS DE HORA PROY.'!$M$2:$M$943,J$76)</f>
        <v>0</v>
      </c>
      <c r="K88" s="8">
        <f>SUMIFS('HOJAS DE HORA PROY.'!$D$2:$D$943,'HOJAS DE HORA PROY.'!$A$2:$A$943,'PLAN MAESTRO FINAL'!$A88,'HOJAS DE HORA PROY.'!$M$2:$M$943,K$76)</f>
        <v>0</v>
      </c>
      <c r="L88" s="8">
        <f>SUMIFS('HOJAS DE HORA PROY.'!$D$2:$D$943,'HOJAS DE HORA PROY.'!$A$2:$A$943,'PLAN MAESTRO FINAL'!$A88,'HOJAS DE HORA PROY.'!$M$2:$M$943,L$76)</f>
        <v>0</v>
      </c>
      <c r="M88" s="8">
        <f>SUMIFS('HOJAS DE HORA PROY.'!$D$2:$D$943,'HOJAS DE HORA PROY.'!$A$2:$A$943,'PLAN MAESTRO FINAL'!$A88,'HOJAS DE HORA PROY.'!$M$2:$M$943,M$76)</f>
        <v>0</v>
      </c>
      <c r="N88" s="8">
        <f>SUMIFS('HOJAS DE HORA PROY.'!$D$2:$D$943,'HOJAS DE HORA PROY.'!$A$2:$A$943,'PLAN MAESTRO FINAL'!$A88,'HOJAS DE HORA PROY.'!$M$2:$M$943,N$76)</f>
        <v>0</v>
      </c>
      <c r="O88" s="8">
        <f>SUMIFS('HOJAS DE HORA PROY.'!$D$2:$D$943,'HOJAS DE HORA PROY.'!$A$2:$A$943,'PLAN MAESTRO FINAL'!$A88,'HOJAS DE HORA PROY.'!$M$2:$M$943,O$76)</f>
        <v>0</v>
      </c>
      <c r="P88" s="8">
        <f>SUMIFS('HOJAS DE HORA PROY.'!$D$2:$D$943,'HOJAS DE HORA PROY.'!$A$2:$A$943,'PLAN MAESTRO FINAL'!$A88,'HOJAS DE HORA PROY.'!$M$2:$M$943,P$76)</f>
        <v>0</v>
      </c>
      <c r="Q88" s="8">
        <f>SUMIFS('HOJAS DE HORA PROY.'!$D$2:$D$943,'HOJAS DE HORA PROY.'!$A$2:$A$943,'PLAN MAESTRO FINAL'!$A88,'HOJAS DE HORA PROY.'!$M$2:$M$943,Q$76)</f>
        <v>0</v>
      </c>
      <c r="R88" s="8">
        <f>SUMIFS('HOJAS DE HORA PROY.'!$D$2:$D$943,'HOJAS DE HORA PROY.'!$A$2:$A$943,'PLAN MAESTRO FINAL'!$A88,'HOJAS DE HORA PROY.'!$M$2:$M$943,R$76)</f>
        <v>0</v>
      </c>
      <c r="S88" s="8">
        <f>SUMIFS('HOJAS DE HORA PROY.'!$D$2:$D$943,'HOJAS DE HORA PROY.'!$A$2:$A$943,'PLAN MAESTRO FINAL'!$A88,'HOJAS DE HORA PROY.'!$M$2:$M$943,S$76)</f>
        <v>0</v>
      </c>
      <c r="T88" s="8">
        <f>SUMIFS('HOJAS DE HORA PROY.'!$D$2:$D$943,'HOJAS DE HORA PROY.'!$A$2:$A$943,'PLAN MAESTRO FINAL'!$A88,'HOJAS DE HORA PROY.'!$M$2:$M$943,T$76)</f>
        <v>0</v>
      </c>
      <c r="U88" s="8">
        <f>SUMIFS('HOJAS DE HORA PROY.'!$D$2:$D$943,'HOJAS DE HORA PROY.'!$A$2:$A$943,'PLAN MAESTRO FINAL'!$A88,'HOJAS DE HORA PROY.'!$M$2:$M$943,U$76)</f>
        <v>0</v>
      </c>
      <c r="V88" s="8">
        <f>SUMIFS('HOJAS DE HORA PROY.'!$D$2:$D$943,'HOJAS DE HORA PROY.'!$A$2:$A$943,'PLAN MAESTRO FINAL'!$A88,'HOJAS DE HORA PROY.'!$M$2:$M$943,V$76)</f>
        <v>0</v>
      </c>
      <c r="W88" s="8">
        <f>SUMIFS('HOJAS DE HORA PROY.'!$D$2:$D$943,'HOJAS DE HORA PROY.'!$A$2:$A$943,'PLAN MAESTRO FINAL'!$A88,'HOJAS DE HORA PROY.'!$M$2:$M$943,W$76)</f>
        <v>0</v>
      </c>
    </row>
    <row r="89" spans="1:23" hidden="1" outlineLevel="1" x14ac:dyDescent="0.3">
      <c r="A89" s="13" t="s">
        <v>245</v>
      </c>
      <c r="B89" s="8">
        <f>SUMIFS('HOJAS DE HORA PROY.'!$D$2:$D$943,'HOJAS DE HORA PROY.'!$A$2:$A$943,'PLAN MAESTRO FINAL'!$A89,'HOJAS DE HORA PROY.'!$M$2:$M$943,B$76)</f>
        <v>0</v>
      </c>
      <c r="C89" s="8">
        <f>SUMIFS('HOJAS DE HORA PROY.'!$D$2:$D$943,'HOJAS DE HORA PROY.'!$A$2:$A$943,'PLAN MAESTRO FINAL'!$A89,'HOJAS DE HORA PROY.'!$M$2:$M$943,C$76)</f>
        <v>0</v>
      </c>
      <c r="D89" s="8">
        <f>SUMIFS('HOJAS DE HORA PROY.'!$D$2:$D$943,'HOJAS DE HORA PROY.'!$A$2:$A$943,'PLAN MAESTRO FINAL'!$A89,'HOJAS DE HORA PROY.'!$M$2:$M$943,D$76)</f>
        <v>0</v>
      </c>
      <c r="E89" s="8">
        <f>SUMIFS('HOJAS DE HORA PROY.'!$D$2:$D$943,'HOJAS DE HORA PROY.'!$A$2:$A$943,'PLAN MAESTRO FINAL'!$A89,'HOJAS DE HORA PROY.'!$M$2:$M$943,E$76)</f>
        <v>0</v>
      </c>
      <c r="F89" s="8">
        <f>SUMIFS('HOJAS DE HORA PROY.'!$D$2:$D$943,'HOJAS DE HORA PROY.'!$A$2:$A$943,'PLAN MAESTRO FINAL'!$A89,'HOJAS DE HORA PROY.'!$M$2:$M$943,F$76)</f>
        <v>0</v>
      </c>
      <c r="G89" s="8">
        <f>SUMIFS('HOJAS DE HORA PROY.'!$D$2:$D$943,'HOJAS DE HORA PROY.'!$A$2:$A$943,'PLAN MAESTRO FINAL'!$A89,'HOJAS DE HORA PROY.'!$M$2:$M$943,G$76)</f>
        <v>0</v>
      </c>
      <c r="H89" s="8">
        <f>SUMIFS('HOJAS DE HORA PROY.'!$D$2:$D$943,'HOJAS DE HORA PROY.'!$A$2:$A$943,'PLAN MAESTRO FINAL'!$A89,'HOJAS DE HORA PROY.'!$M$2:$M$943,H$76)</f>
        <v>0</v>
      </c>
      <c r="I89" s="8">
        <f>SUMIFS('HOJAS DE HORA PROY.'!$D$2:$D$943,'HOJAS DE HORA PROY.'!$A$2:$A$943,'PLAN MAESTRO FINAL'!$A89,'HOJAS DE HORA PROY.'!$M$2:$M$943,I$76)</f>
        <v>0</v>
      </c>
      <c r="J89" s="8">
        <f>SUMIFS('HOJAS DE HORA PROY.'!$D$2:$D$943,'HOJAS DE HORA PROY.'!$A$2:$A$943,'PLAN MAESTRO FINAL'!$A89,'HOJAS DE HORA PROY.'!$M$2:$M$943,J$76)</f>
        <v>0</v>
      </c>
      <c r="K89" s="8">
        <f>SUMIFS('HOJAS DE HORA PROY.'!$D$2:$D$943,'HOJAS DE HORA PROY.'!$A$2:$A$943,'PLAN MAESTRO FINAL'!$A89,'HOJAS DE HORA PROY.'!$M$2:$M$943,K$76)</f>
        <v>0</v>
      </c>
      <c r="L89" s="8">
        <f>SUMIFS('HOJAS DE HORA PROY.'!$D$2:$D$943,'HOJAS DE HORA PROY.'!$A$2:$A$943,'PLAN MAESTRO FINAL'!$A89,'HOJAS DE HORA PROY.'!$M$2:$M$943,L$76)</f>
        <v>0</v>
      </c>
      <c r="M89" s="8">
        <f>SUMIFS('HOJAS DE HORA PROY.'!$D$2:$D$943,'HOJAS DE HORA PROY.'!$A$2:$A$943,'PLAN MAESTRO FINAL'!$A89,'HOJAS DE HORA PROY.'!$M$2:$M$943,M$76)</f>
        <v>0</v>
      </c>
      <c r="N89" s="8">
        <f>SUMIFS('HOJAS DE HORA PROY.'!$D$2:$D$943,'HOJAS DE HORA PROY.'!$A$2:$A$943,'PLAN MAESTRO FINAL'!$A89,'HOJAS DE HORA PROY.'!$M$2:$M$943,N$76)</f>
        <v>0</v>
      </c>
      <c r="O89" s="8">
        <f>SUMIFS('HOJAS DE HORA PROY.'!$D$2:$D$943,'HOJAS DE HORA PROY.'!$A$2:$A$943,'PLAN MAESTRO FINAL'!$A89,'HOJAS DE HORA PROY.'!$M$2:$M$943,O$76)</f>
        <v>0</v>
      </c>
      <c r="P89" s="8">
        <f>SUMIFS('HOJAS DE HORA PROY.'!$D$2:$D$943,'HOJAS DE HORA PROY.'!$A$2:$A$943,'PLAN MAESTRO FINAL'!$A89,'HOJAS DE HORA PROY.'!$M$2:$M$943,P$76)</f>
        <v>0</v>
      </c>
      <c r="Q89" s="8">
        <f>SUMIFS('HOJAS DE HORA PROY.'!$D$2:$D$943,'HOJAS DE HORA PROY.'!$A$2:$A$943,'PLAN MAESTRO FINAL'!$A89,'HOJAS DE HORA PROY.'!$M$2:$M$943,Q$76)</f>
        <v>0</v>
      </c>
      <c r="R89" s="8">
        <f>SUMIFS('HOJAS DE HORA PROY.'!$D$2:$D$943,'HOJAS DE HORA PROY.'!$A$2:$A$943,'PLAN MAESTRO FINAL'!$A89,'HOJAS DE HORA PROY.'!$M$2:$M$943,R$76)</f>
        <v>0</v>
      </c>
      <c r="S89" s="8">
        <f>SUMIFS('HOJAS DE HORA PROY.'!$D$2:$D$943,'HOJAS DE HORA PROY.'!$A$2:$A$943,'PLAN MAESTRO FINAL'!$A89,'HOJAS DE HORA PROY.'!$M$2:$M$943,S$76)</f>
        <v>0</v>
      </c>
      <c r="T89" s="8">
        <f>SUMIFS('HOJAS DE HORA PROY.'!$D$2:$D$943,'HOJAS DE HORA PROY.'!$A$2:$A$943,'PLAN MAESTRO FINAL'!$A89,'HOJAS DE HORA PROY.'!$M$2:$M$943,T$76)</f>
        <v>0</v>
      </c>
      <c r="U89" s="8">
        <f>SUMIFS('HOJAS DE HORA PROY.'!$D$2:$D$943,'HOJAS DE HORA PROY.'!$A$2:$A$943,'PLAN MAESTRO FINAL'!$A89,'HOJAS DE HORA PROY.'!$M$2:$M$943,U$76)</f>
        <v>0</v>
      </c>
      <c r="V89" s="8">
        <f>SUMIFS('HOJAS DE HORA PROY.'!$D$2:$D$943,'HOJAS DE HORA PROY.'!$A$2:$A$943,'PLAN MAESTRO FINAL'!$A89,'HOJAS DE HORA PROY.'!$M$2:$M$943,V$76)</f>
        <v>0</v>
      </c>
      <c r="W89" s="8">
        <f>SUMIFS('HOJAS DE HORA PROY.'!$D$2:$D$943,'HOJAS DE HORA PROY.'!$A$2:$A$943,'PLAN MAESTRO FINAL'!$A89,'HOJAS DE HORA PROY.'!$M$2:$M$943,W$76)</f>
        <v>0</v>
      </c>
    </row>
    <row r="90" spans="1:23" hidden="1" outlineLevel="1" x14ac:dyDescent="0.3">
      <c r="A90" s="13" t="s">
        <v>262</v>
      </c>
      <c r="B90" s="8">
        <f>SUMIFS('HOJAS DE HORA PROY.'!$D$2:$D$943,'HOJAS DE HORA PROY.'!$A$2:$A$943,'PLAN MAESTRO FINAL'!$A90,'HOJAS DE HORA PROY.'!$M$2:$M$943,B$76)</f>
        <v>0</v>
      </c>
      <c r="C90" s="8">
        <f>SUMIFS('HOJAS DE HORA PROY.'!$D$2:$D$943,'HOJAS DE HORA PROY.'!$A$2:$A$943,'PLAN MAESTRO FINAL'!$A90,'HOJAS DE HORA PROY.'!$M$2:$M$943,C$76)</f>
        <v>0</v>
      </c>
      <c r="D90" s="8">
        <f>SUMIFS('HOJAS DE HORA PROY.'!$D$2:$D$943,'HOJAS DE HORA PROY.'!$A$2:$A$943,'PLAN MAESTRO FINAL'!$A90,'HOJAS DE HORA PROY.'!$M$2:$M$943,D$76)</f>
        <v>0</v>
      </c>
      <c r="E90" s="8">
        <f>SUMIFS('HOJAS DE HORA PROY.'!$D$2:$D$943,'HOJAS DE HORA PROY.'!$A$2:$A$943,'PLAN MAESTRO FINAL'!$A90,'HOJAS DE HORA PROY.'!$M$2:$M$943,E$76)</f>
        <v>0</v>
      </c>
      <c r="F90" s="8">
        <f>SUMIFS('HOJAS DE HORA PROY.'!$D$2:$D$943,'HOJAS DE HORA PROY.'!$A$2:$A$943,'PLAN MAESTRO FINAL'!$A90,'HOJAS DE HORA PROY.'!$M$2:$M$943,F$76)</f>
        <v>0</v>
      </c>
      <c r="G90" s="8">
        <f>SUMIFS('HOJAS DE HORA PROY.'!$D$2:$D$943,'HOJAS DE HORA PROY.'!$A$2:$A$943,'PLAN MAESTRO FINAL'!$A90,'HOJAS DE HORA PROY.'!$M$2:$M$943,G$76)</f>
        <v>0</v>
      </c>
      <c r="H90" s="8">
        <f>SUMIFS('HOJAS DE HORA PROY.'!$D$2:$D$943,'HOJAS DE HORA PROY.'!$A$2:$A$943,'PLAN MAESTRO FINAL'!$A90,'HOJAS DE HORA PROY.'!$M$2:$M$943,H$76)</f>
        <v>0</v>
      </c>
      <c r="I90" s="8">
        <f>SUMIFS('HOJAS DE HORA PROY.'!$D$2:$D$943,'HOJAS DE HORA PROY.'!$A$2:$A$943,'PLAN MAESTRO FINAL'!$A90,'HOJAS DE HORA PROY.'!$M$2:$M$943,I$76)</f>
        <v>0</v>
      </c>
      <c r="J90" s="8">
        <f>SUMIFS('HOJAS DE HORA PROY.'!$D$2:$D$943,'HOJAS DE HORA PROY.'!$A$2:$A$943,'PLAN MAESTRO FINAL'!$A90,'HOJAS DE HORA PROY.'!$M$2:$M$943,J$76)</f>
        <v>0</v>
      </c>
      <c r="K90" s="8">
        <f>SUMIFS('HOJAS DE HORA PROY.'!$D$2:$D$943,'HOJAS DE HORA PROY.'!$A$2:$A$943,'PLAN MAESTRO FINAL'!$A90,'HOJAS DE HORA PROY.'!$M$2:$M$943,K$76)</f>
        <v>0</v>
      </c>
      <c r="L90" s="8">
        <f>SUMIFS('HOJAS DE HORA PROY.'!$D$2:$D$943,'HOJAS DE HORA PROY.'!$A$2:$A$943,'PLAN MAESTRO FINAL'!$A90,'HOJAS DE HORA PROY.'!$M$2:$M$943,L$76)</f>
        <v>0</v>
      </c>
      <c r="M90" s="8">
        <f>SUMIFS('HOJAS DE HORA PROY.'!$D$2:$D$943,'HOJAS DE HORA PROY.'!$A$2:$A$943,'PLAN MAESTRO FINAL'!$A90,'HOJAS DE HORA PROY.'!$M$2:$M$943,M$76)</f>
        <v>0</v>
      </c>
      <c r="N90" s="8">
        <f>SUMIFS('HOJAS DE HORA PROY.'!$D$2:$D$943,'HOJAS DE HORA PROY.'!$A$2:$A$943,'PLAN MAESTRO FINAL'!$A90,'HOJAS DE HORA PROY.'!$M$2:$M$943,N$76)</f>
        <v>0</v>
      </c>
      <c r="O90" s="8">
        <f>SUMIFS('HOJAS DE HORA PROY.'!$D$2:$D$943,'HOJAS DE HORA PROY.'!$A$2:$A$943,'PLAN MAESTRO FINAL'!$A90,'HOJAS DE HORA PROY.'!$M$2:$M$943,O$76)</f>
        <v>0</v>
      </c>
      <c r="P90" s="8">
        <f>SUMIFS('HOJAS DE HORA PROY.'!$D$2:$D$943,'HOJAS DE HORA PROY.'!$A$2:$A$943,'PLAN MAESTRO FINAL'!$A90,'HOJAS DE HORA PROY.'!$M$2:$M$943,P$76)</f>
        <v>0</v>
      </c>
      <c r="Q90" s="8">
        <f>SUMIFS('HOJAS DE HORA PROY.'!$D$2:$D$943,'HOJAS DE HORA PROY.'!$A$2:$A$943,'PLAN MAESTRO FINAL'!$A90,'HOJAS DE HORA PROY.'!$M$2:$M$943,Q$76)</f>
        <v>0</v>
      </c>
      <c r="R90" s="8">
        <f>SUMIFS('HOJAS DE HORA PROY.'!$D$2:$D$943,'HOJAS DE HORA PROY.'!$A$2:$A$943,'PLAN MAESTRO FINAL'!$A90,'HOJAS DE HORA PROY.'!$M$2:$M$943,R$76)</f>
        <v>0</v>
      </c>
      <c r="S90" s="8">
        <f>SUMIFS('HOJAS DE HORA PROY.'!$D$2:$D$943,'HOJAS DE HORA PROY.'!$A$2:$A$943,'PLAN MAESTRO FINAL'!$A90,'HOJAS DE HORA PROY.'!$M$2:$M$943,S$76)</f>
        <v>0</v>
      </c>
      <c r="T90" s="8">
        <f>SUMIFS('HOJAS DE HORA PROY.'!$D$2:$D$943,'HOJAS DE HORA PROY.'!$A$2:$A$943,'PLAN MAESTRO FINAL'!$A90,'HOJAS DE HORA PROY.'!$M$2:$M$943,T$76)</f>
        <v>0</v>
      </c>
      <c r="U90" s="8">
        <f>SUMIFS('HOJAS DE HORA PROY.'!$D$2:$D$943,'HOJAS DE HORA PROY.'!$A$2:$A$943,'PLAN MAESTRO FINAL'!$A90,'HOJAS DE HORA PROY.'!$M$2:$M$943,U$76)</f>
        <v>0</v>
      </c>
      <c r="V90" s="8">
        <f>SUMIFS('HOJAS DE HORA PROY.'!$D$2:$D$943,'HOJAS DE HORA PROY.'!$A$2:$A$943,'PLAN MAESTRO FINAL'!$A90,'HOJAS DE HORA PROY.'!$M$2:$M$943,V$76)</f>
        <v>0</v>
      </c>
      <c r="W90" s="8">
        <f>SUMIFS('HOJAS DE HORA PROY.'!$D$2:$D$943,'HOJAS DE HORA PROY.'!$A$2:$A$943,'PLAN MAESTRO FINAL'!$A90,'HOJAS DE HORA PROY.'!$M$2:$M$943,W$76)</f>
        <v>0</v>
      </c>
    </row>
    <row r="91" spans="1:23" hidden="1" outlineLevel="1" x14ac:dyDescent="0.3">
      <c r="A91" s="13" t="s">
        <v>265</v>
      </c>
      <c r="B91" s="8">
        <f>SUMIFS('HOJAS DE HORA PROY.'!$D$2:$D$943,'HOJAS DE HORA PROY.'!$A$2:$A$943,'PLAN MAESTRO FINAL'!$A91,'HOJAS DE HORA PROY.'!$M$2:$M$943,B$76)</f>
        <v>0</v>
      </c>
      <c r="C91" s="8">
        <f>SUMIFS('HOJAS DE HORA PROY.'!$D$2:$D$943,'HOJAS DE HORA PROY.'!$A$2:$A$943,'PLAN MAESTRO FINAL'!$A91,'HOJAS DE HORA PROY.'!$M$2:$M$943,C$76)</f>
        <v>0</v>
      </c>
      <c r="D91" s="8">
        <f>SUMIFS('HOJAS DE HORA PROY.'!$D$2:$D$943,'HOJAS DE HORA PROY.'!$A$2:$A$943,'PLAN MAESTRO FINAL'!$A91,'HOJAS DE HORA PROY.'!$M$2:$M$943,D$76)</f>
        <v>0</v>
      </c>
      <c r="E91" s="8">
        <f>SUMIFS('HOJAS DE HORA PROY.'!$D$2:$D$943,'HOJAS DE HORA PROY.'!$A$2:$A$943,'PLAN MAESTRO FINAL'!$A91,'HOJAS DE HORA PROY.'!$M$2:$M$943,E$76)</f>
        <v>0</v>
      </c>
      <c r="F91" s="8">
        <f>SUMIFS('HOJAS DE HORA PROY.'!$D$2:$D$943,'HOJAS DE HORA PROY.'!$A$2:$A$943,'PLAN MAESTRO FINAL'!$A91,'HOJAS DE HORA PROY.'!$M$2:$M$943,F$76)</f>
        <v>0</v>
      </c>
      <c r="G91" s="8">
        <f>SUMIFS('HOJAS DE HORA PROY.'!$D$2:$D$943,'HOJAS DE HORA PROY.'!$A$2:$A$943,'PLAN MAESTRO FINAL'!$A91,'HOJAS DE HORA PROY.'!$M$2:$M$943,G$76)</f>
        <v>0</v>
      </c>
      <c r="H91" s="8">
        <f>SUMIFS('HOJAS DE HORA PROY.'!$D$2:$D$943,'HOJAS DE HORA PROY.'!$A$2:$A$943,'PLAN MAESTRO FINAL'!$A91,'HOJAS DE HORA PROY.'!$M$2:$M$943,H$76)</f>
        <v>0</v>
      </c>
      <c r="I91" s="8">
        <f>SUMIFS('HOJAS DE HORA PROY.'!$D$2:$D$943,'HOJAS DE HORA PROY.'!$A$2:$A$943,'PLAN MAESTRO FINAL'!$A91,'HOJAS DE HORA PROY.'!$M$2:$M$943,I$76)</f>
        <v>0</v>
      </c>
      <c r="J91" s="8">
        <f>SUMIFS('HOJAS DE HORA PROY.'!$D$2:$D$943,'HOJAS DE HORA PROY.'!$A$2:$A$943,'PLAN MAESTRO FINAL'!$A91,'HOJAS DE HORA PROY.'!$M$2:$M$943,J$76)</f>
        <v>0</v>
      </c>
      <c r="K91" s="8">
        <f>SUMIFS('HOJAS DE HORA PROY.'!$D$2:$D$943,'HOJAS DE HORA PROY.'!$A$2:$A$943,'PLAN MAESTRO FINAL'!$A91,'HOJAS DE HORA PROY.'!$M$2:$M$943,K$76)</f>
        <v>0</v>
      </c>
      <c r="L91" s="8">
        <f>SUMIFS('HOJAS DE HORA PROY.'!$D$2:$D$943,'HOJAS DE HORA PROY.'!$A$2:$A$943,'PLAN MAESTRO FINAL'!$A91,'HOJAS DE HORA PROY.'!$M$2:$M$943,L$76)</f>
        <v>0</v>
      </c>
      <c r="M91" s="8">
        <f>SUMIFS('HOJAS DE HORA PROY.'!$D$2:$D$943,'HOJAS DE HORA PROY.'!$A$2:$A$943,'PLAN MAESTRO FINAL'!$A91,'HOJAS DE HORA PROY.'!$M$2:$M$943,M$76)</f>
        <v>0</v>
      </c>
      <c r="N91" s="8">
        <f>SUMIFS('HOJAS DE HORA PROY.'!$D$2:$D$943,'HOJAS DE HORA PROY.'!$A$2:$A$943,'PLAN MAESTRO FINAL'!$A91,'HOJAS DE HORA PROY.'!$M$2:$M$943,N$76)</f>
        <v>0</v>
      </c>
      <c r="O91" s="8">
        <f>SUMIFS('HOJAS DE HORA PROY.'!$D$2:$D$943,'HOJAS DE HORA PROY.'!$A$2:$A$943,'PLAN MAESTRO FINAL'!$A91,'HOJAS DE HORA PROY.'!$M$2:$M$943,O$76)</f>
        <v>0</v>
      </c>
      <c r="P91" s="8">
        <f>SUMIFS('HOJAS DE HORA PROY.'!$D$2:$D$943,'HOJAS DE HORA PROY.'!$A$2:$A$943,'PLAN MAESTRO FINAL'!$A91,'HOJAS DE HORA PROY.'!$M$2:$M$943,P$76)</f>
        <v>0</v>
      </c>
      <c r="Q91" s="8">
        <f>SUMIFS('HOJAS DE HORA PROY.'!$D$2:$D$943,'HOJAS DE HORA PROY.'!$A$2:$A$943,'PLAN MAESTRO FINAL'!$A91,'HOJAS DE HORA PROY.'!$M$2:$M$943,Q$76)</f>
        <v>0</v>
      </c>
      <c r="R91" s="8">
        <f>SUMIFS('HOJAS DE HORA PROY.'!$D$2:$D$943,'HOJAS DE HORA PROY.'!$A$2:$A$943,'PLAN MAESTRO FINAL'!$A91,'HOJAS DE HORA PROY.'!$M$2:$M$943,R$76)</f>
        <v>0</v>
      </c>
      <c r="S91" s="8">
        <f>SUMIFS('HOJAS DE HORA PROY.'!$D$2:$D$943,'HOJAS DE HORA PROY.'!$A$2:$A$943,'PLAN MAESTRO FINAL'!$A91,'HOJAS DE HORA PROY.'!$M$2:$M$943,S$76)</f>
        <v>0</v>
      </c>
      <c r="T91" s="8">
        <f>SUMIFS('HOJAS DE HORA PROY.'!$D$2:$D$943,'HOJAS DE HORA PROY.'!$A$2:$A$943,'PLAN MAESTRO FINAL'!$A91,'HOJAS DE HORA PROY.'!$M$2:$M$943,T$76)</f>
        <v>0</v>
      </c>
      <c r="U91" s="8">
        <f>SUMIFS('HOJAS DE HORA PROY.'!$D$2:$D$943,'HOJAS DE HORA PROY.'!$A$2:$A$943,'PLAN MAESTRO FINAL'!$A91,'HOJAS DE HORA PROY.'!$M$2:$M$943,U$76)</f>
        <v>0</v>
      </c>
      <c r="V91" s="8">
        <f>SUMIFS('HOJAS DE HORA PROY.'!$D$2:$D$943,'HOJAS DE HORA PROY.'!$A$2:$A$943,'PLAN MAESTRO FINAL'!$A91,'HOJAS DE HORA PROY.'!$M$2:$M$943,V$76)</f>
        <v>0</v>
      </c>
      <c r="W91" s="8">
        <f>SUMIFS('HOJAS DE HORA PROY.'!$D$2:$D$943,'HOJAS DE HORA PROY.'!$A$2:$A$943,'PLAN MAESTRO FINAL'!$A91,'HOJAS DE HORA PROY.'!$M$2:$M$943,W$76)</f>
        <v>0</v>
      </c>
    </row>
    <row r="92" spans="1:23" ht="24.75" hidden="1" customHeight="1" outlineLevel="1" x14ac:dyDescent="0.3">
      <c r="A92" s="13" t="s">
        <v>267</v>
      </c>
      <c r="B92" s="8">
        <f>SUMIFS('HOJAS DE HORA PROY.'!$D$2:$D$943,'HOJAS DE HORA PROY.'!$A$2:$A$943,'PLAN MAESTRO FINAL'!$A92,'HOJAS DE HORA PROY.'!$M$2:$M$943,B$76)</f>
        <v>0</v>
      </c>
      <c r="C92" s="8">
        <f>SUMIFS('HOJAS DE HORA PROY.'!$D$2:$D$943,'HOJAS DE HORA PROY.'!$A$2:$A$943,'PLAN MAESTRO FINAL'!$A92,'HOJAS DE HORA PROY.'!$M$2:$M$943,C$76)</f>
        <v>0</v>
      </c>
      <c r="D92" s="8">
        <f>SUMIFS('HOJAS DE HORA PROY.'!$D$2:$D$943,'HOJAS DE HORA PROY.'!$A$2:$A$943,'PLAN MAESTRO FINAL'!$A92,'HOJAS DE HORA PROY.'!$M$2:$M$943,D$76)</f>
        <v>0</v>
      </c>
      <c r="E92" s="8">
        <f>SUMIFS('HOJAS DE HORA PROY.'!$D$2:$D$943,'HOJAS DE HORA PROY.'!$A$2:$A$943,'PLAN MAESTRO FINAL'!$A92,'HOJAS DE HORA PROY.'!$M$2:$M$943,E$76)</f>
        <v>0</v>
      </c>
      <c r="F92" s="8">
        <f>SUMIFS('HOJAS DE HORA PROY.'!$D$2:$D$943,'HOJAS DE HORA PROY.'!$A$2:$A$943,'PLAN MAESTRO FINAL'!$A92,'HOJAS DE HORA PROY.'!$M$2:$M$943,F$76)</f>
        <v>0</v>
      </c>
      <c r="G92" s="8">
        <f>SUMIFS('HOJAS DE HORA PROY.'!$D$2:$D$943,'HOJAS DE HORA PROY.'!$A$2:$A$943,'PLAN MAESTRO FINAL'!$A92,'HOJAS DE HORA PROY.'!$M$2:$M$943,G$76)</f>
        <v>0</v>
      </c>
      <c r="H92" s="8">
        <f>SUMIFS('HOJAS DE HORA PROY.'!$D$2:$D$943,'HOJAS DE HORA PROY.'!$A$2:$A$943,'PLAN MAESTRO FINAL'!$A92,'HOJAS DE HORA PROY.'!$M$2:$M$943,H$76)</f>
        <v>0</v>
      </c>
      <c r="I92" s="8">
        <f>SUMIFS('HOJAS DE HORA PROY.'!$D$2:$D$943,'HOJAS DE HORA PROY.'!$A$2:$A$943,'PLAN MAESTRO FINAL'!$A92,'HOJAS DE HORA PROY.'!$M$2:$M$943,I$76)</f>
        <v>0</v>
      </c>
      <c r="J92" s="8">
        <f>SUMIFS('HOJAS DE HORA PROY.'!$D$2:$D$943,'HOJAS DE HORA PROY.'!$A$2:$A$943,'PLAN MAESTRO FINAL'!$A92,'HOJAS DE HORA PROY.'!$M$2:$M$943,J$76)</f>
        <v>0</v>
      </c>
      <c r="K92" s="8">
        <f>SUMIFS('HOJAS DE HORA PROY.'!$D$2:$D$943,'HOJAS DE HORA PROY.'!$A$2:$A$943,'PLAN MAESTRO FINAL'!$A92,'HOJAS DE HORA PROY.'!$M$2:$M$943,K$76)</f>
        <v>0</v>
      </c>
      <c r="L92" s="8">
        <f>SUMIFS('HOJAS DE HORA PROY.'!$D$2:$D$943,'HOJAS DE HORA PROY.'!$A$2:$A$943,'PLAN MAESTRO FINAL'!$A92,'HOJAS DE HORA PROY.'!$M$2:$M$943,L$76)</f>
        <v>0</v>
      </c>
      <c r="M92" s="8">
        <f>SUMIFS('HOJAS DE HORA PROY.'!$D$2:$D$943,'HOJAS DE HORA PROY.'!$A$2:$A$943,'PLAN MAESTRO FINAL'!$A92,'HOJAS DE HORA PROY.'!$M$2:$M$943,M$76)</f>
        <v>0</v>
      </c>
      <c r="N92" s="8">
        <f>SUMIFS('HOJAS DE HORA PROY.'!$D$2:$D$943,'HOJAS DE HORA PROY.'!$A$2:$A$943,'PLAN MAESTRO FINAL'!$A92,'HOJAS DE HORA PROY.'!$M$2:$M$943,N$76)</f>
        <v>0</v>
      </c>
      <c r="O92" s="8">
        <f>SUMIFS('HOJAS DE HORA PROY.'!$D$2:$D$943,'HOJAS DE HORA PROY.'!$A$2:$A$943,'PLAN MAESTRO FINAL'!$A92,'HOJAS DE HORA PROY.'!$M$2:$M$943,O$76)</f>
        <v>0</v>
      </c>
      <c r="P92" s="8">
        <f>SUMIFS('HOJAS DE HORA PROY.'!$D$2:$D$943,'HOJAS DE HORA PROY.'!$A$2:$A$943,'PLAN MAESTRO FINAL'!$A92,'HOJAS DE HORA PROY.'!$M$2:$M$943,P$76)</f>
        <v>0</v>
      </c>
      <c r="Q92" s="8">
        <f>SUMIFS('HOJAS DE HORA PROY.'!$D$2:$D$943,'HOJAS DE HORA PROY.'!$A$2:$A$943,'PLAN MAESTRO FINAL'!$A92,'HOJAS DE HORA PROY.'!$M$2:$M$943,Q$76)</f>
        <v>0</v>
      </c>
      <c r="R92" s="8">
        <f>SUMIFS('HOJAS DE HORA PROY.'!$D$2:$D$943,'HOJAS DE HORA PROY.'!$A$2:$A$943,'PLAN MAESTRO FINAL'!$A92,'HOJAS DE HORA PROY.'!$M$2:$M$943,R$76)</f>
        <v>0</v>
      </c>
      <c r="S92" s="8">
        <f>SUMIFS('HOJAS DE HORA PROY.'!$D$2:$D$943,'HOJAS DE HORA PROY.'!$A$2:$A$943,'PLAN MAESTRO FINAL'!$A92,'HOJAS DE HORA PROY.'!$M$2:$M$943,S$76)</f>
        <v>0</v>
      </c>
      <c r="T92" s="8">
        <f>SUMIFS('HOJAS DE HORA PROY.'!$D$2:$D$943,'HOJAS DE HORA PROY.'!$A$2:$A$943,'PLAN MAESTRO FINAL'!$A92,'HOJAS DE HORA PROY.'!$M$2:$M$943,T$76)</f>
        <v>0</v>
      </c>
      <c r="U92" s="8">
        <f>SUMIFS('HOJAS DE HORA PROY.'!$D$2:$D$943,'HOJAS DE HORA PROY.'!$A$2:$A$943,'PLAN MAESTRO FINAL'!$A92,'HOJAS DE HORA PROY.'!$M$2:$M$943,U$76)</f>
        <v>0</v>
      </c>
      <c r="V92" s="8">
        <f>SUMIFS('HOJAS DE HORA PROY.'!$D$2:$D$943,'HOJAS DE HORA PROY.'!$A$2:$A$943,'PLAN MAESTRO FINAL'!$A92,'HOJAS DE HORA PROY.'!$M$2:$M$943,V$76)</f>
        <v>0</v>
      </c>
      <c r="W92" s="8">
        <f>SUMIFS('HOJAS DE HORA PROY.'!$D$2:$D$943,'HOJAS DE HORA PROY.'!$A$2:$A$943,'PLAN MAESTRO FINAL'!$A92,'HOJAS DE HORA PROY.'!$M$2:$M$943,W$76)</f>
        <v>0</v>
      </c>
    </row>
    <row r="93" spans="1:23" hidden="1" outlineLevel="1" x14ac:dyDescent="0.3">
      <c r="A93" s="13" t="s">
        <v>306</v>
      </c>
      <c r="B93" s="8">
        <f>SUMIFS('HOJAS DE HORA PROY.'!$D$2:$D$943,'HOJAS DE HORA PROY.'!$A$2:$A$943,'PLAN MAESTRO FINAL'!$A93,'HOJAS DE HORA PROY.'!$M$2:$M$943,B$76)</f>
        <v>0</v>
      </c>
      <c r="C93" s="8">
        <f>SUMIFS('HOJAS DE HORA PROY.'!$D$2:$D$943,'HOJAS DE HORA PROY.'!$A$2:$A$943,'PLAN MAESTRO FINAL'!$A93,'HOJAS DE HORA PROY.'!$M$2:$M$943,C$76)</f>
        <v>0</v>
      </c>
      <c r="D93" s="8">
        <f>SUMIFS('HOJAS DE HORA PROY.'!$D$2:$D$943,'HOJAS DE HORA PROY.'!$A$2:$A$943,'PLAN MAESTRO FINAL'!$A93,'HOJAS DE HORA PROY.'!$M$2:$M$943,D$76)</f>
        <v>0</v>
      </c>
      <c r="E93" s="8">
        <f>SUMIFS('HOJAS DE HORA PROY.'!$D$2:$D$943,'HOJAS DE HORA PROY.'!$A$2:$A$943,'PLAN MAESTRO FINAL'!$A93,'HOJAS DE HORA PROY.'!$M$2:$M$943,E$76)</f>
        <v>0</v>
      </c>
      <c r="F93" s="8">
        <f>SUMIFS('HOJAS DE HORA PROY.'!$D$2:$D$943,'HOJAS DE HORA PROY.'!$A$2:$A$943,'PLAN MAESTRO FINAL'!$A93,'HOJAS DE HORA PROY.'!$M$2:$M$943,F$76)</f>
        <v>9</v>
      </c>
      <c r="G93" s="8">
        <f>SUMIFS('HOJAS DE HORA PROY.'!$D$2:$D$943,'HOJAS DE HORA PROY.'!$A$2:$A$943,'PLAN MAESTRO FINAL'!$A93,'HOJAS DE HORA PROY.'!$M$2:$M$943,G$76)</f>
        <v>0</v>
      </c>
      <c r="H93" s="8">
        <f>SUMIFS('HOJAS DE HORA PROY.'!$D$2:$D$943,'HOJAS DE HORA PROY.'!$A$2:$A$943,'PLAN MAESTRO FINAL'!$A93,'HOJAS DE HORA PROY.'!$M$2:$M$943,H$76)</f>
        <v>0</v>
      </c>
      <c r="I93" s="8">
        <f>SUMIFS('HOJAS DE HORA PROY.'!$D$2:$D$943,'HOJAS DE HORA PROY.'!$A$2:$A$943,'PLAN MAESTRO FINAL'!$A93,'HOJAS DE HORA PROY.'!$M$2:$M$943,I$76)</f>
        <v>0</v>
      </c>
      <c r="J93" s="8">
        <f>SUMIFS('HOJAS DE HORA PROY.'!$D$2:$D$943,'HOJAS DE HORA PROY.'!$A$2:$A$943,'PLAN MAESTRO FINAL'!$A93,'HOJAS DE HORA PROY.'!$M$2:$M$943,J$76)</f>
        <v>0</v>
      </c>
      <c r="K93" s="8">
        <f>SUMIFS('HOJAS DE HORA PROY.'!$D$2:$D$943,'HOJAS DE HORA PROY.'!$A$2:$A$943,'PLAN MAESTRO FINAL'!$A93,'HOJAS DE HORA PROY.'!$M$2:$M$943,K$76)</f>
        <v>0</v>
      </c>
      <c r="L93" s="8">
        <f>SUMIFS('HOJAS DE HORA PROY.'!$D$2:$D$943,'HOJAS DE HORA PROY.'!$A$2:$A$943,'PLAN MAESTRO FINAL'!$A93,'HOJAS DE HORA PROY.'!$M$2:$M$943,L$76)</f>
        <v>0</v>
      </c>
      <c r="M93" s="8">
        <f>SUMIFS('HOJAS DE HORA PROY.'!$D$2:$D$943,'HOJAS DE HORA PROY.'!$A$2:$A$943,'PLAN MAESTRO FINAL'!$A93,'HOJAS DE HORA PROY.'!$M$2:$M$943,M$76)</f>
        <v>0</v>
      </c>
      <c r="N93" s="8">
        <f>SUMIFS('HOJAS DE HORA PROY.'!$D$2:$D$943,'HOJAS DE HORA PROY.'!$A$2:$A$943,'PLAN MAESTRO FINAL'!$A93,'HOJAS DE HORA PROY.'!$M$2:$M$943,N$76)</f>
        <v>0</v>
      </c>
      <c r="O93" s="8">
        <f>SUMIFS('HOJAS DE HORA PROY.'!$D$2:$D$943,'HOJAS DE HORA PROY.'!$A$2:$A$943,'PLAN MAESTRO FINAL'!$A93,'HOJAS DE HORA PROY.'!$M$2:$M$943,O$76)</f>
        <v>0</v>
      </c>
      <c r="P93" s="8">
        <f>SUMIFS('HOJAS DE HORA PROY.'!$D$2:$D$943,'HOJAS DE HORA PROY.'!$A$2:$A$943,'PLAN MAESTRO FINAL'!$A93,'HOJAS DE HORA PROY.'!$M$2:$M$943,P$76)</f>
        <v>0</v>
      </c>
      <c r="Q93" s="8">
        <f>SUMIFS('HOJAS DE HORA PROY.'!$D$2:$D$943,'HOJAS DE HORA PROY.'!$A$2:$A$943,'PLAN MAESTRO FINAL'!$A93,'HOJAS DE HORA PROY.'!$M$2:$M$943,Q$76)</f>
        <v>0</v>
      </c>
      <c r="R93" s="8">
        <f>SUMIFS('HOJAS DE HORA PROY.'!$D$2:$D$943,'HOJAS DE HORA PROY.'!$A$2:$A$943,'PLAN MAESTRO FINAL'!$A93,'HOJAS DE HORA PROY.'!$M$2:$M$943,R$76)</f>
        <v>0</v>
      </c>
      <c r="S93" s="8">
        <f>SUMIFS('HOJAS DE HORA PROY.'!$D$2:$D$943,'HOJAS DE HORA PROY.'!$A$2:$A$943,'PLAN MAESTRO FINAL'!$A93,'HOJAS DE HORA PROY.'!$M$2:$M$943,S$76)</f>
        <v>0</v>
      </c>
      <c r="T93" s="8">
        <f>SUMIFS('HOJAS DE HORA PROY.'!$D$2:$D$943,'HOJAS DE HORA PROY.'!$A$2:$A$943,'PLAN MAESTRO FINAL'!$A93,'HOJAS DE HORA PROY.'!$M$2:$M$943,T$76)</f>
        <v>0</v>
      </c>
      <c r="U93" s="8">
        <f>SUMIFS('HOJAS DE HORA PROY.'!$D$2:$D$943,'HOJAS DE HORA PROY.'!$A$2:$A$943,'PLAN MAESTRO FINAL'!$A93,'HOJAS DE HORA PROY.'!$M$2:$M$943,U$76)</f>
        <v>0</v>
      </c>
      <c r="V93" s="8">
        <f>SUMIFS('HOJAS DE HORA PROY.'!$D$2:$D$943,'HOJAS DE HORA PROY.'!$A$2:$A$943,'PLAN MAESTRO FINAL'!$A93,'HOJAS DE HORA PROY.'!$M$2:$M$943,V$76)</f>
        <v>0</v>
      </c>
      <c r="W93" s="8">
        <f>SUMIFS('HOJAS DE HORA PROY.'!$D$2:$D$943,'HOJAS DE HORA PROY.'!$A$2:$A$943,'PLAN MAESTRO FINAL'!$A93,'HOJAS DE HORA PROY.'!$M$2:$M$943,W$76)</f>
        <v>0</v>
      </c>
    </row>
    <row r="94" spans="1:23" hidden="1" outlineLevel="1" x14ac:dyDescent="0.3">
      <c r="A94" s="13" t="s">
        <v>307</v>
      </c>
      <c r="B94" s="8">
        <f>SUMIFS('HOJAS DE HORA PROY.'!$D$2:$D$943,'HOJAS DE HORA PROY.'!$A$2:$A$943,'PLAN MAESTRO FINAL'!$A94,'HOJAS DE HORA PROY.'!$M$2:$M$943,B$76)</f>
        <v>0</v>
      </c>
      <c r="C94" s="8">
        <f>SUMIFS('HOJAS DE HORA PROY.'!$D$2:$D$943,'HOJAS DE HORA PROY.'!$A$2:$A$943,'PLAN MAESTRO FINAL'!$A94,'HOJAS DE HORA PROY.'!$M$2:$M$943,C$76)</f>
        <v>0</v>
      </c>
      <c r="D94" s="8">
        <f>SUMIFS('HOJAS DE HORA PROY.'!$D$2:$D$943,'HOJAS DE HORA PROY.'!$A$2:$A$943,'PLAN MAESTRO FINAL'!$A94,'HOJAS DE HORA PROY.'!$M$2:$M$943,D$76)</f>
        <v>0</v>
      </c>
      <c r="E94" s="8">
        <f>SUMIFS('HOJAS DE HORA PROY.'!$D$2:$D$943,'HOJAS DE HORA PROY.'!$A$2:$A$943,'PLAN MAESTRO FINAL'!$A94,'HOJAS DE HORA PROY.'!$M$2:$M$943,E$76)</f>
        <v>0</v>
      </c>
      <c r="F94" s="8">
        <f>SUMIFS('HOJAS DE HORA PROY.'!$D$2:$D$943,'HOJAS DE HORA PROY.'!$A$2:$A$943,'PLAN MAESTRO FINAL'!$A94,'HOJAS DE HORA PROY.'!$M$2:$M$943,F$76)</f>
        <v>0</v>
      </c>
      <c r="G94" s="8">
        <f>SUMIFS('HOJAS DE HORA PROY.'!$D$2:$D$943,'HOJAS DE HORA PROY.'!$A$2:$A$943,'PLAN MAESTRO FINAL'!$A94,'HOJAS DE HORA PROY.'!$M$2:$M$943,G$76)</f>
        <v>0</v>
      </c>
      <c r="H94" s="8">
        <f>SUMIFS('HOJAS DE HORA PROY.'!$D$2:$D$943,'HOJAS DE HORA PROY.'!$A$2:$A$943,'PLAN MAESTRO FINAL'!$A94,'HOJAS DE HORA PROY.'!$M$2:$M$943,H$76)</f>
        <v>0</v>
      </c>
      <c r="I94" s="8">
        <f>SUMIFS('HOJAS DE HORA PROY.'!$D$2:$D$943,'HOJAS DE HORA PROY.'!$A$2:$A$943,'PLAN MAESTRO FINAL'!$A94,'HOJAS DE HORA PROY.'!$M$2:$M$943,I$76)</f>
        <v>0</v>
      </c>
      <c r="J94" s="8">
        <f>SUMIFS('HOJAS DE HORA PROY.'!$D$2:$D$943,'HOJAS DE HORA PROY.'!$A$2:$A$943,'PLAN MAESTRO FINAL'!$A94,'HOJAS DE HORA PROY.'!$M$2:$M$943,J$76)</f>
        <v>0</v>
      </c>
      <c r="K94" s="8">
        <f>SUMIFS('HOJAS DE HORA PROY.'!$D$2:$D$943,'HOJAS DE HORA PROY.'!$A$2:$A$943,'PLAN MAESTRO FINAL'!$A94,'HOJAS DE HORA PROY.'!$M$2:$M$943,K$76)</f>
        <v>0</v>
      </c>
      <c r="L94" s="8">
        <f>SUMIFS('HOJAS DE HORA PROY.'!$D$2:$D$943,'HOJAS DE HORA PROY.'!$A$2:$A$943,'PLAN MAESTRO FINAL'!$A94,'HOJAS DE HORA PROY.'!$M$2:$M$943,L$76)</f>
        <v>0</v>
      </c>
      <c r="M94" s="8">
        <f>SUMIFS('HOJAS DE HORA PROY.'!$D$2:$D$943,'HOJAS DE HORA PROY.'!$A$2:$A$943,'PLAN MAESTRO FINAL'!$A94,'HOJAS DE HORA PROY.'!$M$2:$M$943,M$76)</f>
        <v>0</v>
      </c>
      <c r="N94" s="8">
        <f>SUMIFS('HOJAS DE HORA PROY.'!$D$2:$D$943,'HOJAS DE HORA PROY.'!$A$2:$A$943,'PLAN MAESTRO FINAL'!$A94,'HOJAS DE HORA PROY.'!$M$2:$M$943,N$76)</f>
        <v>0</v>
      </c>
      <c r="O94" s="8">
        <f>SUMIFS('HOJAS DE HORA PROY.'!$D$2:$D$943,'HOJAS DE HORA PROY.'!$A$2:$A$943,'PLAN MAESTRO FINAL'!$A94,'HOJAS DE HORA PROY.'!$M$2:$M$943,O$76)</f>
        <v>0</v>
      </c>
      <c r="P94" s="8">
        <f>SUMIFS('HOJAS DE HORA PROY.'!$D$2:$D$943,'HOJAS DE HORA PROY.'!$A$2:$A$943,'PLAN MAESTRO FINAL'!$A94,'HOJAS DE HORA PROY.'!$M$2:$M$943,P$76)</f>
        <v>0</v>
      </c>
      <c r="Q94" s="8">
        <f>SUMIFS('HOJAS DE HORA PROY.'!$D$2:$D$943,'HOJAS DE HORA PROY.'!$A$2:$A$943,'PLAN MAESTRO FINAL'!$A94,'HOJAS DE HORA PROY.'!$M$2:$M$943,Q$76)</f>
        <v>0</v>
      </c>
      <c r="R94" s="8">
        <f>SUMIFS('HOJAS DE HORA PROY.'!$D$2:$D$943,'HOJAS DE HORA PROY.'!$A$2:$A$943,'PLAN MAESTRO FINAL'!$A94,'HOJAS DE HORA PROY.'!$M$2:$M$943,R$76)</f>
        <v>0</v>
      </c>
      <c r="S94" s="8">
        <f>SUMIFS('HOJAS DE HORA PROY.'!$D$2:$D$943,'HOJAS DE HORA PROY.'!$A$2:$A$943,'PLAN MAESTRO FINAL'!$A94,'HOJAS DE HORA PROY.'!$M$2:$M$943,S$76)</f>
        <v>0</v>
      </c>
      <c r="T94" s="8">
        <f>SUMIFS('HOJAS DE HORA PROY.'!$D$2:$D$943,'HOJAS DE HORA PROY.'!$A$2:$A$943,'PLAN MAESTRO FINAL'!$A94,'HOJAS DE HORA PROY.'!$M$2:$M$943,T$76)</f>
        <v>0</v>
      </c>
      <c r="U94" s="8">
        <f>SUMIFS('HOJAS DE HORA PROY.'!$D$2:$D$943,'HOJAS DE HORA PROY.'!$A$2:$A$943,'PLAN MAESTRO FINAL'!$A94,'HOJAS DE HORA PROY.'!$M$2:$M$943,U$76)</f>
        <v>0</v>
      </c>
      <c r="V94" s="8">
        <f>SUMIFS('HOJAS DE HORA PROY.'!$D$2:$D$943,'HOJAS DE HORA PROY.'!$A$2:$A$943,'PLAN MAESTRO FINAL'!$A94,'HOJAS DE HORA PROY.'!$M$2:$M$943,V$76)</f>
        <v>0</v>
      </c>
      <c r="W94" s="8">
        <f>SUMIFS('HOJAS DE HORA PROY.'!$D$2:$D$943,'HOJAS DE HORA PROY.'!$A$2:$A$943,'PLAN MAESTRO FINAL'!$A94,'HOJAS DE HORA PROY.'!$M$2:$M$943,W$76)</f>
        <v>0</v>
      </c>
    </row>
    <row r="95" spans="1:23" hidden="1" outlineLevel="1" x14ac:dyDescent="0.3">
      <c r="A95" s="13" t="s">
        <v>321</v>
      </c>
      <c r="B95" s="8">
        <f>SUMIFS('HOJAS DE HORA PROY.'!$D$2:$D$943,'HOJAS DE HORA PROY.'!$A$2:$A$943,'PLAN MAESTRO FINAL'!$A95,'HOJAS DE HORA PROY.'!$M$2:$M$943,B$76)</f>
        <v>0</v>
      </c>
      <c r="C95" s="8">
        <f>SUMIFS('HOJAS DE HORA PROY.'!$D$2:$D$943,'HOJAS DE HORA PROY.'!$A$2:$A$943,'PLAN MAESTRO FINAL'!$A95,'HOJAS DE HORA PROY.'!$M$2:$M$943,C$76)</f>
        <v>0</v>
      </c>
      <c r="D95" s="8">
        <f>SUMIFS('HOJAS DE HORA PROY.'!$D$2:$D$943,'HOJAS DE HORA PROY.'!$A$2:$A$943,'PLAN MAESTRO FINAL'!$A95,'HOJAS DE HORA PROY.'!$M$2:$M$943,D$76)</f>
        <v>0</v>
      </c>
      <c r="E95" s="8">
        <f>SUMIFS('HOJAS DE HORA PROY.'!$D$2:$D$943,'HOJAS DE HORA PROY.'!$A$2:$A$943,'PLAN MAESTRO FINAL'!$A95,'HOJAS DE HORA PROY.'!$M$2:$M$943,E$76)</f>
        <v>0</v>
      </c>
      <c r="F95" s="8">
        <f>SUMIFS('HOJAS DE HORA PROY.'!$D$2:$D$943,'HOJAS DE HORA PROY.'!$A$2:$A$943,'PLAN MAESTRO FINAL'!$A95,'HOJAS DE HORA PROY.'!$M$2:$M$943,F$76)</f>
        <v>0</v>
      </c>
      <c r="G95" s="8">
        <f>SUMIFS('HOJAS DE HORA PROY.'!$D$2:$D$943,'HOJAS DE HORA PROY.'!$A$2:$A$943,'PLAN MAESTRO FINAL'!$A95,'HOJAS DE HORA PROY.'!$M$2:$M$943,G$76)</f>
        <v>0</v>
      </c>
      <c r="H95" s="8">
        <f>SUMIFS('HOJAS DE HORA PROY.'!$D$2:$D$943,'HOJAS DE HORA PROY.'!$A$2:$A$943,'PLAN MAESTRO FINAL'!$A95,'HOJAS DE HORA PROY.'!$M$2:$M$943,H$76)</f>
        <v>0</v>
      </c>
      <c r="I95" s="8">
        <f>SUMIFS('HOJAS DE HORA PROY.'!$D$2:$D$943,'HOJAS DE HORA PROY.'!$A$2:$A$943,'PLAN MAESTRO FINAL'!$A95,'HOJAS DE HORA PROY.'!$M$2:$M$943,I$76)</f>
        <v>0</v>
      </c>
      <c r="J95" s="8">
        <f>SUMIFS('HOJAS DE HORA PROY.'!$D$2:$D$943,'HOJAS DE HORA PROY.'!$A$2:$A$943,'PLAN MAESTRO FINAL'!$A95,'HOJAS DE HORA PROY.'!$M$2:$M$943,J$76)</f>
        <v>0</v>
      </c>
      <c r="K95" s="8">
        <f>SUMIFS('HOJAS DE HORA PROY.'!$D$2:$D$943,'HOJAS DE HORA PROY.'!$A$2:$A$943,'PLAN MAESTRO FINAL'!$A95,'HOJAS DE HORA PROY.'!$M$2:$M$943,K$76)</f>
        <v>0</v>
      </c>
      <c r="L95" s="8">
        <f>SUMIFS('HOJAS DE HORA PROY.'!$D$2:$D$943,'HOJAS DE HORA PROY.'!$A$2:$A$943,'PLAN MAESTRO FINAL'!$A95,'HOJAS DE HORA PROY.'!$M$2:$M$943,L$76)</f>
        <v>0</v>
      </c>
      <c r="M95" s="8">
        <f>SUMIFS('HOJAS DE HORA PROY.'!$D$2:$D$943,'HOJAS DE HORA PROY.'!$A$2:$A$943,'PLAN MAESTRO FINAL'!$A95,'HOJAS DE HORA PROY.'!$M$2:$M$943,M$76)</f>
        <v>0</v>
      </c>
      <c r="N95" s="8">
        <f>SUMIFS('HOJAS DE HORA PROY.'!$D$2:$D$943,'HOJAS DE HORA PROY.'!$A$2:$A$943,'PLAN MAESTRO FINAL'!$A95,'HOJAS DE HORA PROY.'!$M$2:$M$943,N$76)</f>
        <v>0</v>
      </c>
      <c r="O95" s="8">
        <f>SUMIFS('HOJAS DE HORA PROY.'!$D$2:$D$943,'HOJAS DE HORA PROY.'!$A$2:$A$943,'PLAN MAESTRO FINAL'!$A95,'HOJAS DE HORA PROY.'!$M$2:$M$943,O$76)</f>
        <v>0</v>
      </c>
      <c r="P95" s="8">
        <f>SUMIFS('HOJAS DE HORA PROY.'!$D$2:$D$943,'HOJAS DE HORA PROY.'!$A$2:$A$943,'PLAN MAESTRO FINAL'!$A95,'HOJAS DE HORA PROY.'!$M$2:$M$943,P$76)</f>
        <v>0</v>
      </c>
      <c r="Q95" s="8">
        <f>SUMIFS('HOJAS DE HORA PROY.'!$D$2:$D$943,'HOJAS DE HORA PROY.'!$A$2:$A$943,'PLAN MAESTRO FINAL'!$A95,'HOJAS DE HORA PROY.'!$M$2:$M$943,Q$76)</f>
        <v>0</v>
      </c>
      <c r="R95" s="8">
        <f>SUMIFS('HOJAS DE HORA PROY.'!$D$2:$D$943,'HOJAS DE HORA PROY.'!$A$2:$A$943,'PLAN MAESTRO FINAL'!$A95,'HOJAS DE HORA PROY.'!$M$2:$M$943,R$76)</f>
        <v>0</v>
      </c>
      <c r="S95" s="8">
        <f>SUMIFS('HOJAS DE HORA PROY.'!$D$2:$D$943,'HOJAS DE HORA PROY.'!$A$2:$A$943,'PLAN MAESTRO FINAL'!$A95,'HOJAS DE HORA PROY.'!$M$2:$M$943,S$76)</f>
        <v>0</v>
      </c>
      <c r="T95" s="8">
        <f>SUMIFS('HOJAS DE HORA PROY.'!$D$2:$D$943,'HOJAS DE HORA PROY.'!$A$2:$A$943,'PLAN MAESTRO FINAL'!$A95,'HOJAS DE HORA PROY.'!$M$2:$M$943,T$76)</f>
        <v>0</v>
      </c>
      <c r="U95" s="8">
        <f>SUMIFS('HOJAS DE HORA PROY.'!$D$2:$D$943,'HOJAS DE HORA PROY.'!$A$2:$A$943,'PLAN MAESTRO FINAL'!$A95,'HOJAS DE HORA PROY.'!$M$2:$M$943,U$76)</f>
        <v>0</v>
      </c>
      <c r="V95" s="8">
        <f>SUMIFS('HOJAS DE HORA PROY.'!$D$2:$D$943,'HOJAS DE HORA PROY.'!$A$2:$A$943,'PLAN MAESTRO FINAL'!$A95,'HOJAS DE HORA PROY.'!$M$2:$M$943,V$76)</f>
        <v>0</v>
      </c>
      <c r="W95" s="8">
        <f>SUMIFS('HOJAS DE HORA PROY.'!$D$2:$D$943,'HOJAS DE HORA PROY.'!$A$2:$A$943,'PLAN MAESTRO FINAL'!$A95,'HOJAS DE HORA PROY.'!$M$2:$M$943,W$76)</f>
        <v>0</v>
      </c>
    </row>
    <row r="96" spans="1:23" hidden="1" outlineLevel="1" x14ac:dyDescent="0.3">
      <c r="A96" s="13" t="s">
        <v>453</v>
      </c>
      <c r="B96" s="8">
        <f>SUMIFS('HOJAS DE HORA PROY.'!$D$2:$D$943,'HOJAS DE HORA PROY.'!$A$2:$A$943,'PLAN MAESTRO FINAL'!$A96,'HOJAS DE HORA PROY.'!$M$2:$M$943,B$76)</f>
        <v>0</v>
      </c>
      <c r="C96" s="8">
        <f>SUMIFS('HOJAS DE HORA PROY.'!$D$2:$D$943,'HOJAS DE HORA PROY.'!$A$2:$A$943,'PLAN MAESTRO FINAL'!$A96,'HOJAS DE HORA PROY.'!$M$2:$M$943,C$76)</f>
        <v>0</v>
      </c>
      <c r="D96" s="8">
        <f>SUMIFS('HOJAS DE HORA PROY.'!$D$2:$D$943,'HOJAS DE HORA PROY.'!$A$2:$A$943,'PLAN MAESTRO FINAL'!$A96,'HOJAS DE HORA PROY.'!$M$2:$M$943,D$76)</f>
        <v>0</v>
      </c>
      <c r="E96" s="8">
        <f>SUMIFS('HOJAS DE HORA PROY.'!$D$2:$D$943,'HOJAS DE HORA PROY.'!$A$2:$A$943,'PLAN MAESTRO FINAL'!$A96,'HOJAS DE HORA PROY.'!$M$2:$M$943,E$76)</f>
        <v>0</v>
      </c>
      <c r="F96" s="8">
        <f>SUMIFS('HOJAS DE HORA PROY.'!$D$2:$D$943,'HOJAS DE HORA PROY.'!$A$2:$A$943,'PLAN MAESTRO FINAL'!$A96,'HOJAS DE HORA PROY.'!$M$2:$M$943,F$76)</f>
        <v>0</v>
      </c>
      <c r="G96" s="8">
        <f>SUMIFS('HOJAS DE HORA PROY.'!$D$2:$D$943,'HOJAS DE HORA PROY.'!$A$2:$A$943,'PLAN MAESTRO FINAL'!$A96,'HOJAS DE HORA PROY.'!$M$2:$M$943,G$76)</f>
        <v>0</v>
      </c>
      <c r="H96" s="8">
        <f>SUMIFS('HOJAS DE HORA PROY.'!$D$2:$D$943,'HOJAS DE HORA PROY.'!$A$2:$A$943,'PLAN MAESTRO FINAL'!$A96,'HOJAS DE HORA PROY.'!$M$2:$M$943,H$76)</f>
        <v>0</v>
      </c>
      <c r="I96" s="8">
        <f>SUMIFS('HOJAS DE HORA PROY.'!$D$2:$D$943,'HOJAS DE HORA PROY.'!$A$2:$A$943,'PLAN MAESTRO FINAL'!$A96,'HOJAS DE HORA PROY.'!$M$2:$M$943,I$76)</f>
        <v>0</v>
      </c>
      <c r="J96" s="8">
        <f>SUMIFS('HOJAS DE HORA PROY.'!$D$2:$D$943,'HOJAS DE HORA PROY.'!$A$2:$A$943,'PLAN MAESTRO FINAL'!$A96,'HOJAS DE HORA PROY.'!$M$2:$M$943,J$76)</f>
        <v>0</v>
      </c>
      <c r="K96" s="8">
        <f>SUMIFS('HOJAS DE HORA PROY.'!$D$2:$D$943,'HOJAS DE HORA PROY.'!$A$2:$A$943,'PLAN MAESTRO FINAL'!$A96,'HOJAS DE HORA PROY.'!$M$2:$M$943,K$76)</f>
        <v>0</v>
      </c>
      <c r="L96" s="8">
        <f>SUMIFS('HOJAS DE HORA PROY.'!$D$2:$D$943,'HOJAS DE HORA PROY.'!$A$2:$A$943,'PLAN MAESTRO FINAL'!$A96,'HOJAS DE HORA PROY.'!$M$2:$M$943,L$76)</f>
        <v>0</v>
      </c>
      <c r="M96" s="8">
        <f>SUMIFS('HOJAS DE HORA PROY.'!$D$2:$D$943,'HOJAS DE HORA PROY.'!$A$2:$A$943,'PLAN MAESTRO FINAL'!$A96,'HOJAS DE HORA PROY.'!$M$2:$M$943,M$76)</f>
        <v>0</v>
      </c>
      <c r="N96" s="8">
        <f>SUMIFS('HOJAS DE HORA PROY.'!$D$2:$D$943,'HOJAS DE HORA PROY.'!$A$2:$A$943,'PLAN MAESTRO FINAL'!$A96,'HOJAS DE HORA PROY.'!$M$2:$M$943,N$76)</f>
        <v>0</v>
      </c>
      <c r="O96" s="8">
        <f>SUMIFS('HOJAS DE HORA PROY.'!$D$2:$D$943,'HOJAS DE HORA PROY.'!$A$2:$A$943,'PLAN MAESTRO FINAL'!$A96,'HOJAS DE HORA PROY.'!$M$2:$M$943,O$76)</f>
        <v>0</v>
      </c>
      <c r="P96" s="8">
        <f>SUMIFS('HOJAS DE HORA PROY.'!$D$2:$D$943,'HOJAS DE HORA PROY.'!$A$2:$A$943,'PLAN MAESTRO FINAL'!$A96,'HOJAS DE HORA PROY.'!$M$2:$M$943,P$76)</f>
        <v>0</v>
      </c>
      <c r="Q96" s="8">
        <f>SUMIFS('HOJAS DE HORA PROY.'!$D$2:$D$943,'HOJAS DE HORA PROY.'!$A$2:$A$943,'PLAN MAESTRO FINAL'!$A96,'HOJAS DE HORA PROY.'!$M$2:$M$943,Q$76)</f>
        <v>0</v>
      </c>
      <c r="R96" s="8">
        <f>SUMIFS('HOJAS DE HORA PROY.'!$D$2:$D$943,'HOJAS DE HORA PROY.'!$A$2:$A$943,'PLAN MAESTRO FINAL'!$A96,'HOJAS DE HORA PROY.'!$M$2:$M$943,R$76)</f>
        <v>0</v>
      </c>
      <c r="S96" s="8">
        <f>SUMIFS('HOJAS DE HORA PROY.'!$D$2:$D$943,'HOJAS DE HORA PROY.'!$A$2:$A$943,'PLAN MAESTRO FINAL'!$A96,'HOJAS DE HORA PROY.'!$M$2:$M$943,S$76)</f>
        <v>0</v>
      </c>
      <c r="T96" s="8">
        <f>SUMIFS('HOJAS DE HORA PROY.'!$D$2:$D$943,'HOJAS DE HORA PROY.'!$A$2:$A$943,'PLAN MAESTRO FINAL'!$A96,'HOJAS DE HORA PROY.'!$M$2:$M$943,T$76)</f>
        <v>0</v>
      </c>
      <c r="U96" s="8">
        <f>SUMIFS('HOJAS DE HORA PROY.'!$D$2:$D$943,'HOJAS DE HORA PROY.'!$A$2:$A$943,'PLAN MAESTRO FINAL'!$A96,'HOJAS DE HORA PROY.'!$M$2:$M$943,U$76)</f>
        <v>0</v>
      </c>
      <c r="V96" s="8">
        <f>SUMIFS('HOJAS DE HORA PROY.'!$D$2:$D$943,'HOJAS DE HORA PROY.'!$A$2:$A$943,'PLAN MAESTRO FINAL'!$A96,'HOJAS DE HORA PROY.'!$M$2:$M$943,V$76)</f>
        <v>0</v>
      </c>
      <c r="W96" s="8">
        <f>SUMIFS('HOJAS DE HORA PROY.'!$D$2:$D$943,'HOJAS DE HORA PROY.'!$A$2:$A$943,'PLAN MAESTRO FINAL'!$A96,'HOJAS DE HORA PROY.'!$M$2:$M$943,W$76)</f>
        <v>0</v>
      </c>
    </row>
    <row r="97" spans="1:23" hidden="1" outlineLevel="1" x14ac:dyDescent="0.3">
      <c r="A97" s="13" t="s">
        <v>468</v>
      </c>
      <c r="B97" s="8">
        <f>SUMIFS('HOJAS DE HORA PROY.'!$D$2:$D$943,'HOJAS DE HORA PROY.'!$A$2:$A$943,'PLAN MAESTRO FINAL'!$A97,'HOJAS DE HORA PROY.'!$M$2:$M$943,B$76)</f>
        <v>0</v>
      </c>
      <c r="C97" s="8">
        <f>SUMIFS('HOJAS DE HORA PROY.'!$D$2:$D$943,'HOJAS DE HORA PROY.'!$A$2:$A$943,'PLAN MAESTRO FINAL'!$A97,'HOJAS DE HORA PROY.'!$M$2:$M$943,C$76)</f>
        <v>0</v>
      </c>
      <c r="D97" s="8">
        <f>SUMIFS('HOJAS DE HORA PROY.'!$D$2:$D$943,'HOJAS DE HORA PROY.'!$A$2:$A$943,'PLAN MAESTRO FINAL'!$A97,'HOJAS DE HORA PROY.'!$M$2:$M$943,D$76)</f>
        <v>0</v>
      </c>
      <c r="E97" s="8">
        <f>SUMIFS('HOJAS DE HORA PROY.'!$D$2:$D$943,'HOJAS DE HORA PROY.'!$A$2:$A$943,'PLAN MAESTRO FINAL'!$A97,'HOJAS DE HORA PROY.'!$M$2:$M$943,E$76)</f>
        <v>0</v>
      </c>
      <c r="F97" s="8">
        <f>SUMIFS('HOJAS DE HORA PROY.'!$D$2:$D$943,'HOJAS DE HORA PROY.'!$A$2:$A$943,'PLAN MAESTRO FINAL'!$A97,'HOJAS DE HORA PROY.'!$M$2:$M$943,F$76)</f>
        <v>8</v>
      </c>
      <c r="G97" s="8">
        <f>SUMIFS('HOJAS DE HORA PROY.'!$D$2:$D$943,'HOJAS DE HORA PROY.'!$A$2:$A$943,'PLAN MAESTRO FINAL'!$A97,'HOJAS DE HORA PROY.'!$M$2:$M$943,G$76)</f>
        <v>29</v>
      </c>
      <c r="H97" s="8">
        <f>SUMIFS('HOJAS DE HORA PROY.'!$D$2:$D$943,'HOJAS DE HORA PROY.'!$A$2:$A$943,'PLAN MAESTRO FINAL'!$A97,'HOJAS DE HORA PROY.'!$M$2:$M$943,H$76)</f>
        <v>0</v>
      </c>
      <c r="I97" s="8">
        <f>SUMIFS('HOJAS DE HORA PROY.'!$D$2:$D$943,'HOJAS DE HORA PROY.'!$A$2:$A$943,'PLAN MAESTRO FINAL'!$A97,'HOJAS DE HORA PROY.'!$M$2:$M$943,I$76)</f>
        <v>0</v>
      </c>
      <c r="J97" s="8">
        <f>SUMIFS('HOJAS DE HORA PROY.'!$D$2:$D$943,'HOJAS DE HORA PROY.'!$A$2:$A$943,'PLAN MAESTRO FINAL'!$A97,'HOJAS DE HORA PROY.'!$M$2:$M$943,J$76)</f>
        <v>18</v>
      </c>
      <c r="K97" s="8">
        <f>SUMIFS('HOJAS DE HORA PROY.'!$D$2:$D$943,'HOJAS DE HORA PROY.'!$A$2:$A$943,'PLAN MAESTRO FINAL'!$A97,'HOJAS DE HORA PROY.'!$M$2:$M$943,K$76)</f>
        <v>0</v>
      </c>
      <c r="L97" s="8">
        <f>SUMIFS('HOJAS DE HORA PROY.'!$D$2:$D$943,'HOJAS DE HORA PROY.'!$A$2:$A$943,'PLAN MAESTRO FINAL'!$A97,'HOJAS DE HORA PROY.'!$M$2:$M$943,L$76)</f>
        <v>0</v>
      </c>
      <c r="M97" s="8">
        <f>SUMIFS('HOJAS DE HORA PROY.'!$D$2:$D$943,'HOJAS DE HORA PROY.'!$A$2:$A$943,'PLAN MAESTRO FINAL'!$A97,'HOJAS DE HORA PROY.'!$M$2:$M$943,M$76)</f>
        <v>0</v>
      </c>
      <c r="N97" s="8">
        <f>SUMIFS('HOJAS DE HORA PROY.'!$D$2:$D$943,'HOJAS DE HORA PROY.'!$A$2:$A$943,'PLAN MAESTRO FINAL'!$A97,'HOJAS DE HORA PROY.'!$M$2:$M$943,N$76)</f>
        <v>0</v>
      </c>
      <c r="O97" s="8">
        <f>SUMIFS('HOJAS DE HORA PROY.'!$D$2:$D$943,'HOJAS DE HORA PROY.'!$A$2:$A$943,'PLAN MAESTRO FINAL'!$A97,'HOJAS DE HORA PROY.'!$M$2:$M$943,O$76)</f>
        <v>0</v>
      </c>
      <c r="P97" s="8">
        <f>SUMIFS('HOJAS DE HORA PROY.'!$D$2:$D$943,'HOJAS DE HORA PROY.'!$A$2:$A$943,'PLAN MAESTRO FINAL'!$A97,'HOJAS DE HORA PROY.'!$M$2:$M$943,P$76)</f>
        <v>0</v>
      </c>
      <c r="Q97" s="8">
        <f>SUMIFS('HOJAS DE HORA PROY.'!$D$2:$D$943,'HOJAS DE HORA PROY.'!$A$2:$A$943,'PLAN MAESTRO FINAL'!$A97,'HOJAS DE HORA PROY.'!$M$2:$M$943,Q$76)</f>
        <v>0</v>
      </c>
      <c r="R97" s="8">
        <f>SUMIFS('HOJAS DE HORA PROY.'!$D$2:$D$943,'HOJAS DE HORA PROY.'!$A$2:$A$943,'PLAN MAESTRO FINAL'!$A97,'HOJAS DE HORA PROY.'!$M$2:$M$943,R$76)</f>
        <v>0</v>
      </c>
      <c r="S97" s="8">
        <f>SUMIFS('HOJAS DE HORA PROY.'!$D$2:$D$943,'HOJAS DE HORA PROY.'!$A$2:$A$943,'PLAN MAESTRO FINAL'!$A97,'HOJAS DE HORA PROY.'!$M$2:$M$943,S$76)</f>
        <v>0</v>
      </c>
      <c r="T97" s="8">
        <f>SUMIFS('HOJAS DE HORA PROY.'!$D$2:$D$943,'HOJAS DE HORA PROY.'!$A$2:$A$943,'PLAN MAESTRO FINAL'!$A97,'HOJAS DE HORA PROY.'!$M$2:$M$943,T$76)</f>
        <v>0</v>
      </c>
      <c r="U97" s="8">
        <f>SUMIFS('HOJAS DE HORA PROY.'!$D$2:$D$943,'HOJAS DE HORA PROY.'!$A$2:$A$943,'PLAN MAESTRO FINAL'!$A97,'HOJAS DE HORA PROY.'!$M$2:$M$943,U$76)</f>
        <v>0</v>
      </c>
      <c r="V97" s="8">
        <f>SUMIFS('HOJAS DE HORA PROY.'!$D$2:$D$943,'HOJAS DE HORA PROY.'!$A$2:$A$943,'PLAN MAESTRO FINAL'!$A97,'HOJAS DE HORA PROY.'!$M$2:$M$943,V$76)</f>
        <v>0</v>
      </c>
      <c r="W97" s="8">
        <f>SUMIFS('HOJAS DE HORA PROY.'!$D$2:$D$943,'HOJAS DE HORA PROY.'!$A$2:$A$943,'PLAN MAESTRO FINAL'!$A97,'HOJAS DE HORA PROY.'!$M$2:$M$943,W$76)</f>
        <v>0</v>
      </c>
    </row>
    <row r="98" spans="1:23" hidden="1" outlineLevel="1" x14ac:dyDescent="0.3">
      <c r="A98" s="13" t="s">
        <v>553</v>
      </c>
      <c r="B98" s="8">
        <f>SUMIFS('HOJAS DE HORA PROY.'!$D$2:$D$943,'HOJAS DE HORA PROY.'!$A$2:$A$943,'PLAN MAESTRO FINAL'!$A98,'HOJAS DE HORA PROY.'!$M$2:$M$943,B$76)</f>
        <v>0</v>
      </c>
      <c r="C98" s="8">
        <f>SUMIFS('HOJAS DE HORA PROY.'!$D$2:$D$943,'HOJAS DE HORA PROY.'!$A$2:$A$943,'PLAN MAESTRO FINAL'!$A98,'HOJAS DE HORA PROY.'!$M$2:$M$943,C$76)</f>
        <v>0</v>
      </c>
      <c r="D98" s="8">
        <f>SUMIFS('HOJAS DE HORA PROY.'!$D$2:$D$943,'HOJAS DE HORA PROY.'!$A$2:$A$943,'PLAN MAESTRO FINAL'!$A98,'HOJAS DE HORA PROY.'!$M$2:$M$943,D$76)</f>
        <v>0</v>
      </c>
      <c r="E98" s="8">
        <f>SUMIFS('HOJAS DE HORA PROY.'!$D$2:$D$943,'HOJAS DE HORA PROY.'!$A$2:$A$943,'PLAN MAESTRO FINAL'!$A98,'HOJAS DE HORA PROY.'!$M$2:$M$943,E$76)</f>
        <v>0</v>
      </c>
      <c r="F98" s="8">
        <f>SUMIFS('HOJAS DE HORA PROY.'!$D$2:$D$943,'HOJAS DE HORA PROY.'!$A$2:$A$943,'PLAN MAESTRO FINAL'!$A98,'HOJAS DE HORA PROY.'!$M$2:$M$943,F$76)</f>
        <v>0</v>
      </c>
      <c r="G98" s="8">
        <f>SUMIFS('HOJAS DE HORA PROY.'!$D$2:$D$943,'HOJAS DE HORA PROY.'!$A$2:$A$943,'PLAN MAESTRO FINAL'!$A98,'HOJAS DE HORA PROY.'!$M$2:$M$943,G$76)</f>
        <v>18</v>
      </c>
      <c r="H98" s="8">
        <f>SUMIFS('HOJAS DE HORA PROY.'!$D$2:$D$943,'HOJAS DE HORA PROY.'!$A$2:$A$943,'PLAN MAESTRO FINAL'!$A98,'HOJAS DE HORA PROY.'!$M$2:$M$943,H$76)</f>
        <v>0</v>
      </c>
      <c r="I98" s="8">
        <f>SUMIFS('HOJAS DE HORA PROY.'!$D$2:$D$943,'HOJAS DE HORA PROY.'!$A$2:$A$943,'PLAN MAESTRO FINAL'!$A98,'HOJAS DE HORA PROY.'!$M$2:$M$943,I$76)</f>
        <v>0</v>
      </c>
      <c r="J98" s="8">
        <f>SUMIFS('HOJAS DE HORA PROY.'!$D$2:$D$943,'HOJAS DE HORA PROY.'!$A$2:$A$943,'PLAN MAESTRO FINAL'!$A98,'HOJAS DE HORA PROY.'!$M$2:$M$943,J$76)</f>
        <v>0</v>
      </c>
      <c r="K98" s="8">
        <f>SUMIFS('HOJAS DE HORA PROY.'!$D$2:$D$943,'HOJAS DE HORA PROY.'!$A$2:$A$943,'PLAN MAESTRO FINAL'!$A98,'HOJAS DE HORA PROY.'!$M$2:$M$943,K$76)</f>
        <v>0</v>
      </c>
      <c r="L98" s="8">
        <f>SUMIFS('HOJAS DE HORA PROY.'!$D$2:$D$943,'HOJAS DE HORA PROY.'!$A$2:$A$943,'PLAN MAESTRO FINAL'!$A98,'HOJAS DE HORA PROY.'!$M$2:$M$943,L$76)</f>
        <v>0</v>
      </c>
      <c r="M98" s="8">
        <f>SUMIFS('HOJAS DE HORA PROY.'!$D$2:$D$943,'HOJAS DE HORA PROY.'!$A$2:$A$943,'PLAN MAESTRO FINAL'!$A98,'HOJAS DE HORA PROY.'!$M$2:$M$943,M$76)</f>
        <v>0</v>
      </c>
      <c r="N98" s="8">
        <f>SUMIFS('HOJAS DE HORA PROY.'!$D$2:$D$943,'HOJAS DE HORA PROY.'!$A$2:$A$943,'PLAN MAESTRO FINAL'!$A98,'HOJAS DE HORA PROY.'!$M$2:$M$943,N$76)</f>
        <v>0</v>
      </c>
      <c r="O98" s="8">
        <f>SUMIFS('HOJAS DE HORA PROY.'!$D$2:$D$943,'HOJAS DE HORA PROY.'!$A$2:$A$943,'PLAN MAESTRO FINAL'!$A98,'HOJAS DE HORA PROY.'!$M$2:$M$943,O$76)</f>
        <v>0</v>
      </c>
      <c r="P98" s="8">
        <f>SUMIFS('HOJAS DE HORA PROY.'!$D$2:$D$943,'HOJAS DE HORA PROY.'!$A$2:$A$943,'PLAN MAESTRO FINAL'!$A98,'HOJAS DE HORA PROY.'!$M$2:$M$943,P$76)</f>
        <v>0</v>
      </c>
      <c r="Q98" s="8">
        <f>SUMIFS('HOJAS DE HORA PROY.'!$D$2:$D$943,'HOJAS DE HORA PROY.'!$A$2:$A$943,'PLAN MAESTRO FINAL'!$A98,'HOJAS DE HORA PROY.'!$M$2:$M$943,Q$76)</f>
        <v>0</v>
      </c>
      <c r="R98" s="8">
        <f>SUMIFS('HOJAS DE HORA PROY.'!$D$2:$D$943,'HOJAS DE HORA PROY.'!$A$2:$A$943,'PLAN MAESTRO FINAL'!$A98,'HOJAS DE HORA PROY.'!$M$2:$M$943,R$76)</f>
        <v>0</v>
      </c>
      <c r="S98" s="8">
        <f>SUMIFS('HOJAS DE HORA PROY.'!$D$2:$D$943,'HOJAS DE HORA PROY.'!$A$2:$A$943,'PLAN MAESTRO FINAL'!$A98,'HOJAS DE HORA PROY.'!$M$2:$M$943,S$76)</f>
        <v>0</v>
      </c>
      <c r="T98" s="8">
        <f>SUMIFS('HOJAS DE HORA PROY.'!$D$2:$D$943,'HOJAS DE HORA PROY.'!$A$2:$A$943,'PLAN MAESTRO FINAL'!$A98,'HOJAS DE HORA PROY.'!$M$2:$M$943,T$76)</f>
        <v>0</v>
      </c>
      <c r="U98" s="8">
        <f>SUMIFS('HOJAS DE HORA PROY.'!$D$2:$D$943,'HOJAS DE HORA PROY.'!$A$2:$A$943,'PLAN MAESTRO FINAL'!$A98,'HOJAS DE HORA PROY.'!$M$2:$M$943,U$76)</f>
        <v>0</v>
      </c>
      <c r="V98" s="8">
        <f>SUMIFS('HOJAS DE HORA PROY.'!$D$2:$D$943,'HOJAS DE HORA PROY.'!$A$2:$A$943,'PLAN MAESTRO FINAL'!$A98,'HOJAS DE HORA PROY.'!$M$2:$M$943,V$76)</f>
        <v>0</v>
      </c>
      <c r="W98" s="8">
        <f>SUMIFS('HOJAS DE HORA PROY.'!$D$2:$D$943,'HOJAS DE HORA PROY.'!$A$2:$A$943,'PLAN MAESTRO FINAL'!$A98,'HOJAS DE HORA PROY.'!$M$2:$M$943,W$76)</f>
        <v>0</v>
      </c>
    </row>
    <row r="99" spans="1:23" hidden="1" outlineLevel="1" x14ac:dyDescent="0.3">
      <c r="A99" s="13" t="s">
        <v>479</v>
      </c>
      <c r="B99" s="8">
        <f>SUMIFS('HOJAS DE HORA PROY.'!$D$2:$D$943,'HOJAS DE HORA PROY.'!$A$2:$A$943,'PLAN MAESTRO FINAL'!$A99,'HOJAS DE HORA PROY.'!$M$2:$M$943,B$76)</f>
        <v>0</v>
      </c>
      <c r="C99" s="8">
        <f>SUMIFS('HOJAS DE HORA PROY.'!$D$2:$D$943,'HOJAS DE HORA PROY.'!$A$2:$A$943,'PLAN MAESTRO FINAL'!$A99,'HOJAS DE HORA PROY.'!$M$2:$M$943,C$76)</f>
        <v>0</v>
      </c>
      <c r="D99" s="8">
        <f>SUMIFS('HOJAS DE HORA PROY.'!$D$2:$D$943,'HOJAS DE HORA PROY.'!$A$2:$A$943,'PLAN MAESTRO FINAL'!$A99,'HOJAS DE HORA PROY.'!$M$2:$M$943,D$76)</f>
        <v>0</v>
      </c>
      <c r="E99" s="8">
        <f>SUMIFS('HOJAS DE HORA PROY.'!$D$2:$D$943,'HOJAS DE HORA PROY.'!$A$2:$A$943,'PLAN MAESTRO FINAL'!$A99,'HOJAS DE HORA PROY.'!$M$2:$M$943,E$76)</f>
        <v>0</v>
      </c>
      <c r="F99" s="8">
        <f>SUMIFS('HOJAS DE HORA PROY.'!$D$2:$D$943,'HOJAS DE HORA PROY.'!$A$2:$A$943,'PLAN MAESTRO FINAL'!$A99,'HOJAS DE HORA PROY.'!$M$2:$M$943,F$76)</f>
        <v>0</v>
      </c>
      <c r="G99" s="8">
        <f>SUMIFS('HOJAS DE HORA PROY.'!$D$2:$D$943,'HOJAS DE HORA PROY.'!$A$2:$A$943,'PLAN MAESTRO FINAL'!$A99,'HOJAS DE HORA PROY.'!$M$2:$M$943,G$76)</f>
        <v>0</v>
      </c>
      <c r="H99" s="8">
        <f>SUMIFS('HOJAS DE HORA PROY.'!$D$2:$D$943,'HOJAS DE HORA PROY.'!$A$2:$A$943,'PLAN MAESTRO FINAL'!$A99,'HOJAS DE HORA PROY.'!$M$2:$M$943,H$76)</f>
        <v>0</v>
      </c>
      <c r="I99" s="8">
        <f>SUMIFS('HOJAS DE HORA PROY.'!$D$2:$D$943,'HOJAS DE HORA PROY.'!$A$2:$A$943,'PLAN MAESTRO FINAL'!$A99,'HOJAS DE HORA PROY.'!$M$2:$M$943,I$76)</f>
        <v>0</v>
      </c>
      <c r="J99" s="8">
        <f>SUMIFS('HOJAS DE HORA PROY.'!$D$2:$D$943,'HOJAS DE HORA PROY.'!$A$2:$A$943,'PLAN MAESTRO FINAL'!$A99,'HOJAS DE HORA PROY.'!$M$2:$M$943,J$76)</f>
        <v>0</v>
      </c>
      <c r="K99" s="8">
        <f>SUMIFS('HOJAS DE HORA PROY.'!$D$2:$D$943,'HOJAS DE HORA PROY.'!$A$2:$A$943,'PLAN MAESTRO FINAL'!$A99,'HOJAS DE HORA PROY.'!$M$2:$M$943,K$76)</f>
        <v>0</v>
      </c>
      <c r="L99" s="8">
        <f>SUMIFS('HOJAS DE HORA PROY.'!$D$2:$D$943,'HOJAS DE HORA PROY.'!$A$2:$A$943,'PLAN MAESTRO FINAL'!$A99,'HOJAS DE HORA PROY.'!$M$2:$M$943,L$76)</f>
        <v>0</v>
      </c>
      <c r="M99" s="8">
        <f>SUMIFS('HOJAS DE HORA PROY.'!$D$2:$D$943,'HOJAS DE HORA PROY.'!$A$2:$A$943,'PLAN MAESTRO FINAL'!$A99,'HOJAS DE HORA PROY.'!$M$2:$M$943,M$76)</f>
        <v>0</v>
      </c>
      <c r="N99" s="8">
        <f>SUMIFS('HOJAS DE HORA PROY.'!$D$2:$D$943,'HOJAS DE HORA PROY.'!$A$2:$A$943,'PLAN MAESTRO FINAL'!$A99,'HOJAS DE HORA PROY.'!$M$2:$M$943,N$76)</f>
        <v>0</v>
      </c>
      <c r="O99" s="8">
        <f>SUMIFS('HOJAS DE HORA PROY.'!$D$2:$D$943,'HOJAS DE HORA PROY.'!$A$2:$A$943,'PLAN MAESTRO FINAL'!$A99,'HOJAS DE HORA PROY.'!$M$2:$M$943,O$76)</f>
        <v>0</v>
      </c>
      <c r="P99" s="8">
        <f>SUMIFS('HOJAS DE HORA PROY.'!$D$2:$D$943,'HOJAS DE HORA PROY.'!$A$2:$A$943,'PLAN MAESTRO FINAL'!$A99,'HOJAS DE HORA PROY.'!$M$2:$M$943,P$76)</f>
        <v>0</v>
      </c>
      <c r="Q99" s="8">
        <f>SUMIFS('HOJAS DE HORA PROY.'!$D$2:$D$943,'HOJAS DE HORA PROY.'!$A$2:$A$943,'PLAN MAESTRO FINAL'!$A99,'HOJAS DE HORA PROY.'!$M$2:$M$943,Q$76)</f>
        <v>0</v>
      </c>
      <c r="R99" s="8">
        <f>SUMIFS('HOJAS DE HORA PROY.'!$D$2:$D$943,'HOJAS DE HORA PROY.'!$A$2:$A$943,'PLAN MAESTRO FINAL'!$A99,'HOJAS DE HORA PROY.'!$M$2:$M$943,R$76)</f>
        <v>0</v>
      </c>
      <c r="S99" s="8">
        <f>SUMIFS('HOJAS DE HORA PROY.'!$D$2:$D$943,'HOJAS DE HORA PROY.'!$A$2:$A$943,'PLAN MAESTRO FINAL'!$A99,'HOJAS DE HORA PROY.'!$M$2:$M$943,S$76)</f>
        <v>0</v>
      </c>
      <c r="T99" s="8">
        <f>SUMIFS('HOJAS DE HORA PROY.'!$D$2:$D$943,'HOJAS DE HORA PROY.'!$A$2:$A$943,'PLAN MAESTRO FINAL'!$A99,'HOJAS DE HORA PROY.'!$M$2:$M$943,T$76)</f>
        <v>0</v>
      </c>
      <c r="U99" s="8">
        <f>SUMIFS('HOJAS DE HORA PROY.'!$D$2:$D$943,'HOJAS DE HORA PROY.'!$A$2:$A$943,'PLAN MAESTRO FINAL'!$A99,'HOJAS DE HORA PROY.'!$M$2:$M$943,U$76)</f>
        <v>0</v>
      </c>
      <c r="V99" s="8">
        <f>SUMIFS('HOJAS DE HORA PROY.'!$D$2:$D$943,'HOJAS DE HORA PROY.'!$A$2:$A$943,'PLAN MAESTRO FINAL'!$A99,'HOJAS DE HORA PROY.'!$M$2:$M$943,V$76)</f>
        <v>0</v>
      </c>
      <c r="W99" s="8">
        <f>SUMIFS('HOJAS DE HORA PROY.'!$D$2:$D$943,'HOJAS DE HORA PROY.'!$A$2:$A$943,'PLAN MAESTRO FINAL'!$A99,'HOJAS DE HORA PROY.'!$M$2:$M$943,W$76)</f>
        <v>0</v>
      </c>
    </row>
    <row r="100" spans="1:23" hidden="1" outlineLevel="1" x14ac:dyDescent="0.3">
      <c r="A100" s="13" t="s">
        <v>488</v>
      </c>
      <c r="B100" s="8">
        <f>SUMIFS('HOJAS DE HORA PROY.'!$D$2:$D$943,'HOJAS DE HORA PROY.'!$A$2:$A$943,'PLAN MAESTRO FINAL'!$A100,'HOJAS DE HORA PROY.'!$M$2:$M$943,B$76)</f>
        <v>0</v>
      </c>
      <c r="C100" s="8">
        <f>SUMIFS('HOJAS DE HORA PROY.'!$D$2:$D$943,'HOJAS DE HORA PROY.'!$A$2:$A$943,'PLAN MAESTRO FINAL'!$A100,'HOJAS DE HORA PROY.'!$M$2:$M$943,C$76)</f>
        <v>0</v>
      </c>
      <c r="D100" s="8">
        <f>SUMIFS('HOJAS DE HORA PROY.'!$D$2:$D$943,'HOJAS DE HORA PROY.'!$A$2:$A$943,'PLAN MAESTRO FINAL'!$A100,'HOJAS DE HORA PROY.'!$M$2:$M$943,D$76)</f>
        <v>0</v>
      </c>
      <c r="E100" s="8">
        <f>SUMIFS('HOJAS DE HORA PROY.'!$D$2:$D$943,'HOJAS DE HORA PROY.'!$A$2:$A$943,'PLAN MAESTRO FINAL'!$A100,'HOJAS DE HORA PROY.'!$M$2:$M$943,E$76)</f>
        <v>0</v>
      </c>
      <c r="F100" s="8">
        <f>SUMIFS('HOJAS DE HORA PROY.'!$D$2:$D$943,'HOJAS DE HORA PROY.'!$A$2:$A$943,'PLAN MAESTRO FINAL'!$A100,'HOJAS DE HORA PROY.'!$M$2:$M$943,F$76)</f>
        <v>31</v>
      </c>
      <c r="G100" s="8">
        <f>SUMIFS('HOJAS DE HORA PROY.'!$D$2:$D$943,'HOJAS DE HORA PROY.'!$A$2:$A$943,'PLAN MAESTRO FINAL'!$A100,'HOJAS DE HORA PROY.'!$M$2:$M$943,G$76)</f>
        <v>0</v>
      </c>
      <c r="H100" s="8">
        <f>SUMIFS('HOJAS DE HORA PROY.'!$D$2:$D$943,'HOJAS DE HORA PROY.'!$A$2:$A$943,'PLAN MAESTRO FINAL'!$A100,'HOJAS DE HORA PROY.'!$M$2:$M$943,H$76)</f>
        <v>18</v>
      </c>
      <c r="I100" s="8">
        <f>SUMIFS('HOJAS DE HORA PROY.'!$D$2:$D$943,'HOJAS DE HORA PROY.'!$A$2:$A$943,'PLAN MAESTRO FINAL'!$A100,'HOJAS DE HORA PROY.'!$M$2:$M$943,I$76)</f>
        <v>0</v>
      </c>
      <c r="J100" s="8">
        <f>SUMIFS('HOJAS DE HORA PROY.'!$D$2:$D$943,'HOJAS DE HORA PROY.'!$A$2:$A$943,'PLAN MAESTRO FINAL'!$A100,'HOJAS DE HORA PROY.'!$M$2:$M$943,J$76)</f>
        <v>0</v>
      </c>
      <c r="K100" s="8">
        <f>SUMIFS('HOJAS DE HORA PROY.'!$D$2:$D$943,'HOJAS DE HORA PROY.'!$A$2:$A$943,'PLAN MAESTRO FINAL'!$A100,'HOJAS DE HORA PROY.'!$M$2:$M$943,K$76)</f>
        <v>0</v>
      </c>
      <c r="L100" s="8">
        <f>SUMIFS('HOJAS DE HORA PROY.'!$D$2:$D$943,'HOJAS DE HORA PROY.'!$A$2:$A$943,'PLAN MAESTRO FINAL'!$A100,'HOJAS DE HORA PROY.'!$M$2:$M$943,L$76)</f>
        <v>0</v>
      </c>
      <c r="M100" s="8">
        <f>SUMIFS('HOJAS DE HORA PROY.'!$D$2:$D$943,'HOJAS DE HORA PROY.'!$A$2:$A$943,'PLAN MAESTRO FINAL'!$A100,'HOJAS DE HORA PROY.'!$M$2:$M$943,M$76)</f>
        <v>0</v>
      </c>
      <c r="N100" s="8">
        <f>SUMIFS('HOJAS DE HORA PROY.'!$D$2:$D$943,'HOJAS DE HORA PROY.'!$A$2:$A$943,'PLAN MAESTRO FINAL'!$A100,'HOJAS DE HORA PROY.'!$M$2:$M$943,N$76)</f>
        <v>0</v>
      </c>
      <c r="O100" s="8">
        <f>SUMIFS('HOJAS DE HORA PROY.'!$D$2:$D$943,'HOJAS DE HORA PROY.'!$A$2:$A$943,'PLAN MAESTRO FINAL'!$A100,'HOJAS DE HORA PROY.'!$M$2:$M$943,O$76)</f>
        <v>0</v>
      </c>
      <c r="P100" s="8">
        <f>SUMIFS('HOJAS DE HORA PROY.'!$D$2:$D$943,'HOJAS DE HORA PROY.'!$A$2:$A$943,'PLAN MAESTRO FINAL'!$A100,'HOJAS DE HORA PROY.'!$M$2:$M$943,P$76)</f>
        <v>0</v>
      </c>
      <c r="Q100" s="8">
        <f>SUMIFS('HOJAS DE HORA PROY.'!$D$2:$D$943,'HOJAS DE HORA PROY.'!$A$2:$A$943,'PLAN MAESTRO FINAL'!$A100,'HOJAS DE HORA PROY.'!$M$2:$M$943,Q$76)</f>
        <v>0</v>
      </c>
      <c r="R100" s="8">
        <f>SUMIFS('HOJAS DE HORA PROY.'!$D$2:$D$943,'HOJAS DE HORA PROY.'!$A$2:$A$943,'PLAN MAESTRO FINAL'!$A100,'HOJAS DE HORA PROY.'!$M$2:$M$943,R$76)</f>
        <v>0</v>
      </c>
      <c r="S100" s="8">
        <f>SUMIFS('HOJAS DE HORA PROY.'!$D$2:$D$943,'HOJAS DE HORA PROY.'!$A$2:$A$943,'PLAN MAESTRO FINAL'!$A100,'HOJAS DE HORA PROY.'!$M$2:$M$943,S$76)</f>
        <v>0</v>
      </c>
      <c r="T100" s="8">
        <f>SUMIFS('HOJAS DE HORA PROY.'!$D$2:$D$943,'HOJAS DE HORA PROY.'!$A$2:$A$943,'PLAN MAESTRO FINAL'!$A100,'HOJAS DE HORA PROY.'!$M$2:$M$943,T$76)</f>
        <v>0</v>
      </c>
      <c r="U100" s="8">
        <f>SUMIFS('HOJAS DE HORA PROY.'!$D$2:$D$943,'HOJAS DE HORA PROY.'!$A$2:$A$943,'PLAN MAESTRO FINAL'!$A100,'HOJAS DE HORA PROY.'!$M$2:$M$943,U$76)</f>
        <v>0</v>
      </c>
      <c r="V100" s="8">
        <f>SUMIFS('HOJAS DE HORA PROY.'!$D$2:$D$943,'HOJAS DE HORA PROY.'!$A$2:$A$943,'PLAN MAESTRO FINAL'!$A100,'HOJAS DE HORA PROY.'!$M$2:$M$943,V$76)</f>
        <v>0</v>
      </c>
      <c r="W100" s="8">
        <f>SUMIFS('HOJAS DE HORA PROY.'!$D$2:$D$943,'HOJAS DE HORA PROY.'!$A$2:$A$943,'PLAN MAESTRO FINAL'!$A100,'HOJAS DE HORA PROY.'!$M$2:$M$943,W$76)</f>
        <v>0</v>
      </c>
    </row>
    <row r="101" spans="1:23" hidden="1" outlineLevel="1" x14ac:dyDescent="0.3">
      <c r="A101" s="13" t="s">
        <v>492</v>
      </c>
      <c r="B101" s="8">
        <f>SUMIFS('HOJAS DE HORA PROY.'!$D$2:$D$943,'HOJAS DE HORA PROY.'!$A$2:$A$943,'PLAN MAESTRO FINAL'!$A101,'HOJAS DE HORA PROY.'!$M$2:$M$943,B$76)</f>
        <v>0</v>
      </c>
      <c r="C101" s="8">
        <f>SUMIFS('HOJAS DE HORA PROY.'!$D$2:$D$943,'HOJAS DE HORA PROY.'!$A$2:$A$943,'PLAN MAESTRO FINAL'!$A101,'HOJAS DE HORA PROY.'!$M$2:$M$943,C$76)</f>
        <v>0</v>
      </c>
      <c r="D101" s="8">
        <f>SUMIFS('HOJAS DE HORA PROY.'!$D$2:$D$943,'HOJAS DE HORA PROY.'!$A$2:$A$943,'PLAN MAESTRO FINAL'!$A101,'HOJAS DE HORA PROY.'!$M$2:$M$943,D$76)</f>
        <v>0</v>
      </c>
      <c r="E101" s="8">
        <f>SUMIFS('HOJAS DE HORA PROY.'!$D$2:$D$943,'HOJAS DE HORA PROY.'!$A$2:$A$943,'PLAN MAESTRO FINAL'!$A101,'HOJAS DE HORA PROY.'!$M$2:$M$943,E$76)</f>
        <v>0</v>
      </c>
      <c r="F101" s="8">
        <f>SUMIFS('HOJAS DE HORA PROY.'!$D$2:$D$943,'HOJAS DE HORA PROY.'!$A$2:$A$943,'PLAN MAESTRO FINAL'!$A101,'HOJAS DE HORA PROY.'!$M$2:$M$943,F$76)</f>
        <v>0</v>
      </c>
      <c r="G101" s="8">
        <f>SUMIFS('HOJAS DE HORA PROY.'!$D$2:$D$943,'HOJAS DE HORA PROY.'!$A$2:$A$943,'PLAN MAESTRO FINAL'!$A101,'HOJAS DE HORA PROY.'!$M$2:$M$943,G$76)</f>
        <v>0</v>
      </c>
      <c r="H101" s="8">
        <f>SUMIFS('HOJAS DE HORA PROY.'!$D$2:$D$943,'HOJAS DE HORA PROY.'!$A$2:$A$943,'PLAN MAESTRO FINAL'!$A101,'HOJAS DE HORA PROY.'!$M$2:$M$943,H$76)</f>
        <v>0</v>
      </c>
      <c r="I101" s="8">
        <f>SUMIFS('HOJAS DE HORA PROY.'!$D$2:$D$943,'HOJAS DE HORA PROY.'!$A$2:$A$943,'PLAN MAESTRO FINAL'!$A101,'HOJAS DE HORA PROY.'!$M$2:$M$943,I$76)</f>
        <v>0</v>
      </c>
      <c r="J101" s="8">
        <f>SUMIFS('HOJAS DE HORA PROY.'!$D$2:$D$943,'HOJAS DE HORA PROY.'!$A$2:$A$943,'PLAN MAESTRO FINAL'!$A101,'HOJAS DE HORA PROY.'!$M$2:$M$943,J$76)</f>
        <v>0</v>
      </c>
      <c r="K101" s="8">
        <f>SUMIFS('HOJAS DE HORA PROY.'!$D$2:$D$943,'HOJAS DE HORA PROY.'!$A$2:$A$943,'PLAN MAESTRO FINAL'!$A101,'HOJAS DE HORA PROY.'!$M$2:$M$943,K$76)</f>
        <v>0</v>
      </c>
      <c r="L101" s="8">
        <f>SUMIFS('HOJAS DE HORA PROY.'!$D$2:$D$943,'HOJAS DE HORA PROY.'!$A$2:$A$943,'PLAN MAESTRO FINAL'!$A101,'HOJAS DE HORA PROY.'!$M$2:$M$943,L$76)</f>
        <v>0</v>
      </c>
      <c r="M101" s="8">
        <f>SUMIFS('HOJAS DE HORA PROY.'!$D$2:$D$943,'HOJAS DE HORA PROY.'!$A$2:$A$943,'PLAN MAESTRO FINAL'!$A101,'HOJAS DE HORA PROY.'!$M$2:$M$943,M$76)</f>
        <v>0</v>
      </c>
      <c r="N101" s="8">
        <f>SUMIFS('HOJAS DE HORA PROY.'!$D$2:$D$943,'HOJAS DE HORA PROY.'!$A$2:$A$943,'PLAN MAESTRO FINAL'!$A101,'HOJAS DE HORA PROY.'!$M$2:$M$943,N$76)</f>
        <v>0</v>
      </c>
      <c r="O101" s="8">
        <f>SUMIFS('HOJAS DE HORA PROY.'!$D$2:$D$943,'HOJAS DE HORA PROY.'!$A$2:$A$943,'PLAN MAESTRO FINAL'!$A101,'HOJAS DE HORA PROY.'!$M$2:$M$943,O$76)</f>
        <v>0</v>
      </c>
      <c r="P101" s="8">
        <f>SUMIFS('HOJAS DE HORA PROY.'!$D$2:$D$943,'HOJAS DE HORA PROY.'!$A$2:$A$943,'PLAN MAESTRO FINAL'!$A101,'HOJAS DE HORA PROY.'!$M$2:$M$943,P$76)</f>
        <v>0</v>
      </c>
      <c r="Q101" s="8">
        <f>SUMIFS('HOJAS DE HORA PROY.'!$D$2:$D$943,'HOJAS DE HORA PROY.'!$A$2:$A$943,'PLAN MAESTRO FINAL'!$A101,'HOJAS DE HORA PROY.'!$M$2:$M$943,Q$76)</f>
        <v>0</v>
      </c>
      <c r="R101" s="8">
        <f>SUMIFS('HOJAS DE HORA PROY.'!$D$2:$D$943,'HOJAS DE HORA PROY.'!$A$2:$A$943,'PLAN MAESTRO FINAL'!$A101,'HOJAS DE HORA PROY.'!$M$2:$M$943,R$76)</f>
        <v>0</v>
      </c>
      <c r="S101" s="8">
        <f>SUMIFS('HOJAS DE HORA PROY.'!$D$2:$D$943,'HOJAS DE HORA PROY.'!$A$2:$A$943,'PLAN MAESTRO FINAL'!$A101,'HOJAS DE HORA PROY.'!$M$2:$M$943,S$76)</f>
        <v>0</v>
      </c>
      <c r="T101" s="8">
        <f>SUMIFS('HOJAS DE HORA PROY.'!$D$2:$D$943,'HOJAS DE HORA PROY.'!$A$2:$A$943,'PLAN MAESTRO FINAL'!$A101,'HOJAS DE HORA PROY.'!$M$2:$M$943,T$76)</f>
        <v>0</v>
      </c>
      <c r="U101" s="8">
        <f>SUMIFS('HOJAS DE HORA PROY.'!$D$2:$D$943,'HOJAS DE HORA PROY.'!$A$2:$A$943,'PLAN MAESTRO FINAL'!$A101,'HOJAS DE HORA PROY.'!$M$2:$M$943,U$76)</f>
        <v>0</v>
      </c>
      <c r="V101" s="8">
        <f>SUMIFS('HOJAS DE HORA PROY.'!$D$2:$D$943,'HOJAS DE HORA PROY.'!$A$2:$A$943,'PLAN MAESTRO FINAL'!$A101,'HOJAS DE HORA PROY.'!$M$2:$M$943,V$76)</f>
        <v>0</v>
      </c>
      <c r="W101" s="8">
        <f>SUMIFS('HOJAS DE HORA PROY.'!$D$2:$D$943,'HOJAS DE HORA PROY.'!$A$2:$A$943,'PLAN MAESTRO FINAL'!$A101,'HOJAS DE HORA PROY.'!$M$2:$M$943,W$76)</f>
        <v>0</v>
      </c>
    </row>
    <row r="102" spans="1:23" hidden="1" outlineLevel="1" x14ac:dyDescent="0.3">
      <c r="A102" s="13" t="s">
        <v>507</v>
      </c>
      <c r="B102" s="8">
        <f>SUMIFS('HOJAS DE HORA PROY.'!$D$2:$D$943,'HOJAS DE HORA PROY.'!$A$2:$A$943,'PLAN MAESTRO FINAL'!$A102,'HOJAS DE HORA PROY.'!$M$2:$M$943,B$76)</f>
        <v>0</v>
      </c>
      <c r="C102" s="8">
        <f>SUMIFS('HOJAS DE HORA PROY.'!$D$2:$D$943,'HOJAS DE HORA PROY.'!$A$2:$A$943,'PLAN MAESTRO FINAL'!$A102,'HOJAS DE HORA PROY.'!$M$2:$M$943,C$76)</f>
        <v>0</v>
      </c>
      <c r="D102" s="8">
        <f>SUMIFS('HOJAS DE HORA PROY.'!$D$2:$D$943,'HOJAS DE HORA PROY.'!$A$2:$A$943,'PLAN MAESTRO FINAL'!$A102,'HOJAS DE HORA PROY.'!$M$2:$M$943,D$76)</f>
        <v>0</v>
      </c>
      <c r="E102" s="8">
        <f>SUMIFS('HOJAS DE HORA PROY.'!$D$2:$D$943,'HOJAS DE HORA PROY.'!$A$2:$A$943,'PLAN MAESTRO FINAL'!$A102,'HOJAS DE HORA PROY.'!$M$2:$M$943,E$76)</f>
        <v>0</v>
      </c>
      <c r="F102" s="8">
        <f>SUMIFS('HOJAS DE HORA PROY.'!$D$2:$D$943,'HOJAS DE HORA PROY.'!$A$2:$A$943,'PLAN MAESTRO FINAL'!$A102,'HOJAS DE HORA PROY.'!$M$2:$M$943,F$76)</f>
        <v>0</v>
      </c>
      <c r="G102" s="8">
        <f>SUMIFS('HOJAS DE HORA PROY.'!$D$2:$D$943,'HOJAS DE HORA PROY.'!$A$2:$A$943,'PLAN MAESTRO FINAL'!$A102,'HOJAS DE HORA PROY.'!$M$2:$M$943,G$76)</f>
        <v>0</v>
      </c>
      <c r="H102" s="8">
        <f>SUMIFS('HOJAS DE HORA PROY.'!$D$2:$D$943,'HOJAS DE HORA PROY.'!$A$2:$A$943,'PLAN MAESTRO FINAL'!$A102,'HOJAS DE HORA PROY.'!$M$2:$M$943,H$76)</f>
        <v>0</v>
      </c>
      <c r="I102" s="8">
        <f>SUMIFS('HOJAS DE HORA PROY.'!$D$2:$D$943,'HOJAS DE HORA PROY.'!$A$2:$A$943,'PLAN MAESTRO FINAL'!$A102,'HOJAS DE HORA PROY.'!$M$2:$M$943,I$76)</f>
        <v>0</v>
      </c>
      <c r="J102" s="8">
        <f>SUMIFS('HOJAS DE HORA PROY.'!$D$2:$D$943,'HOJAS DE HORA PROY.'!$A$2:$A$943,'PLAN MAESTRO FINAL'!$A102,'HOJAS DE HORA PROY.'!$M$2:$M$943,J$76)</f>
        <v>0</v>
      </c>
      <c r="K102" s="8">
        <f>SUMIFS('HOJAS DE HORA PROY.'!$D$2:$D$943,'HOJAS DE HORA PROY.'!$A$2:$A$943,'PLAN MAESTRO FINAL'!$A102,'HOJAS DE HORA PROY.'!$M$2:$M$943,K$76)</f>
        <v>0</v>
      </c>
      <c r="L102" s="8">
        <f>SUMIFS('HOJAS DE HORA PROY.'!$D$2:$D$943,'HOJAS DE HORA PROY.'!$A$2:$A$943,'PLAN MAESTRO FINAL'!$A102,'HOJAS DE HORA PROY.'!$M$2:$M$943,L$76)</f>
        <v>0</v>
      </c>
      <c r="M102" s="8">
        <f>SUMIFS('HOJAS DE HORA PROY.'!$D$2:$D$943,'HOJAS DE HORA PROY.'!$A$2:$A$943,'PLAN MAESTRO FINAL'!$A102,'HOJAS DE HORA PROY.'!$M$2:$M$943,M$76)</f>
        <v>0</v>
      </c>
      <c r="N102" s="8">
        <f>SUMIFS('HOJAS DE HORA PROY.'!$D$2:$D$943,'HOJAS DE HORA PROY.'!$A$2:$A$943,'PLAN MAESTRO FINAL'!$A102,'HOJAS DE HORA PROY.'!$M$2:$M$943,N$76)</f>
        <v>0</v>
      </c>
      <c r="O102" s="8">
        <f>SUMIFS('HOJAS DE HORA PROY.'!$D$2:$D$943,'HOJAS DE HORA PROY.'!$A$2:$A$943,'PLAN MAESTRO FINAL'!$A102,'HOJAS DE HORA PROY.'!$M$2:$M$943,O$76)</f>
        <v>0</v>
      </c>
      <c r="P102" s="8">
        <f>SUMIFS('HOJAS DE HORA PROY.'!$D$2:$D$943,'HOJAS DE HORA PROY.'!$A$2:$A$943,'PLAN MAESTRO FINAL'!$A102,'HOJAS DE HORA PROY.'!$M$2:$M$943,P$76)</f>
        <v>0</v>
      </c>
      <c r="Q102" s="8">
        <f>SUMIFS('HOJAS DE HORA PROY.'!$D$2:$D$943,'HOJAS DE HORA PROY.'!$A$2:$A$943,'PLAN MAESTRO FINAL'!$A102,'HOJAS DE HORA PROY.'!$M$2:$M$943,Q$76)</f>
        <v>0</v>
      </c>
      <c r="R102" s="8">
        <f>SUMIFS('HOJAS DE HORA PROY.'!$D$2:$D$943,'HOJAS DE HORA PROY.'!$A$2:$A$943,'PLAN MAESTRO FINAL'!$A102,'HOJAS DE HORA PROY.'!$M$2:$M$943,R$76)</f>
        <v>0</v>
      </c>
      <c r="S102" s="8">
        <f>SUMIFS('HOJAS DE HORA PROY.'!$D$2:$D$943,'HOJAS DE HORA PROY.'!$A$2:$A$943,'PLAN MAESTRO FINAL'!$A102,'HOJAS DE HORA PROY.'!$M$2:$M$943,S$76)</f>
        <v>0</v>
      </c>
      <c r="T102" s="8">
        <f>SUMIFS('HOJAS DE HORA PROY.'!$D$2:$D$943,'HOJAS DE HORA PROY.'!$A$2:$A$943,'PLAN MAESTRO FINAL'!$A102,'HOJAS DE HORA PROY.'!$M$2:$M$943,T$76)</f>
        <v>0</v>
      </c>
      <c r="U102" s="8">
        <f>SUMIFS('HOJAS DE HORA PROY.'!$D$2:$D$943,'HOJAS DE HORA PROY.'!$A$2:$A$943,'PLAN MAESTRO FINAL'!$A102,'HOJAS DE HORA PROY.'!$M$2:$M$943,U$76)</f>
        <v>0</v>
      </c>
      <c r="V102" s="8">
        <f>SUMIFS('HOJAS DE HORA PROY.'!$D$2:$D$943,'HOJAS DE HORA PROY.'!$A$2:$A$943,'PLAN MAESTRO FINAL'!$A102,'HOJAS DE HORA PROY.'!$M$2:$M$943,V$76)</f>
        <v>0</v>
      </c>
      <c r="W102" s="8">
        <f>SUMIFS('HOJAS DE HORA PROY.'!$D$2:$D$943,'HOJAS DE HORA PROY.'!$A$2:$A$943,'PLAN MAESTRO FINAL'!$A102,'HOJAS DE HORA PROY.'!$M$2:$M$943,W$76)</f>
        <v>0</v>
      </c>
    </row>
    <row r="103" spans="1:23" hidden="1" outlineLevel="1" x14ac:dyDescent="0.3">
      <c r="A103" s="13" t="s">
        <v>517</v>
      </c>
      <c r="B103" s="8">
        <f>SUMIFS('HOJAS DE HORA PROY.'!$D$2:$D$943,'HOJAS DE HORA PROY.'!$A$2:$A$943,'PLAN MAESTRO FINAL'!$A103,'HOJAS DE HORA PROY.'!$M$2:$M$943,B$76)</f>
        <v>0</v>
      </c>
      <c r="C103" s="8">
        <f>SUMIFS('HOJAS DE HORA PROY.'!$D$2:$D$943,'HOJAS DE HORA PROY.'!$A$2:$A$943,'PLAN MAESTRO FINAL'!$A103,'HOJAS DE HORA PROY.'!$M$2:$M$943,C$76)</f>
        <v>0</v>
      </c>
      <c r="D103" s="8">
        <f>SUMIFS('HOJAS DE HORA PROY.'!$D$2:$D$943,'HOJAS DE HORA PROY.'!$A$2:$A$943,'PLAN MAESTRO FINAL'!$A103,'HOJAS DE HORA PROY.'!$M$2:$M$943,D$76)</f>
        <v>0</v>
      </c>
      <c r="E103" s="8">
        <f>SUMIFS('HOJAS DE HORA PROY.'!$D$2:$D$943,'HOJAS DE HORA PROY.'!$A$2:$A$943,'PLAN MAESTRO FINAL'!$A103,'HOJAS DE HORA PROY.'!$M$2:$M$943,E$76)</f>
        <v>0</v>
      </c>
      <c r="F103" s="8">
        <f>SUMIFS('HOJAS DE HORA PROY.'!$D$2:$D$943,'HOJAS DE HORA PROY.'!$A$2:$A$943,'PLAN MAESTRO FINAL'!$A103,'HOJAS DE HORA PROY.'!$M$2:$M$943,F$76)</f>
        <v>0</v>
      </c>
      <c r="G103" s="8">
        <f>SUMIFS('HOJAS DE HORA PROY.'!$D$2:$D$943,'HOJAS DE HORA PROY.'!$A$2:$A$943,'PLAN MAESTRO FINAL'!$A103,'HOJAS DE HORA PROY.'!$M$2:$M$943,G$76)</f>
        <v>0</v>
      </c>
      <c r="H103" s="8">
        <f>SUMIFS('HOJAS DE HORA PROY.'!$D$2:$D$943,'HOJAS DE HORA PROY.'!$A$2:$A$943,'PLAN MAESTRO FINAL'!$A103,'HOJAS DE HORA PROY.'!$M$2:$M$943,H$76)</f>
        <v>0</v>
      </c>
      <c r="I103" s="8">
        <f>SUMIFS('HOJAS DE HORA PROY.'!$D$2:$D$943,'HOJAS DE HORA PROY.'!$A$2:$A$943,'PLAN MAESTRO FINAL'!$A103,'HOJAS DE HORA PROY.'!$M$2:$M$943,I$76)</f>
        <v>0</v>
      </c>
      <c r="J103" s="8">
        <f>SUMIFS('HOJAS DE HORA PROY.'!$D$2:$D$943,'HOJAS DE HORA PROY.'!$A$2:$A$943,'PLAN MAESTRO FINAL'!$A103,'HOJAS DE HORA PROY.'!$M$2:$M$943,J$76)</f>
        <v>0</v>
      </c>
      <c r="K103" s="8">
        <f>SUMIFS('HOJAS DE HORA PROY.'!$D$2:$D$943,'HOJAS DE HORA PROY.'!$A$2:$A$943,'PLAN MAESTRO FINAL'!$A103,'HOJAS DE HORA PROY.'!$M$2:$M$943,K$76)</f>
        <v>0</v>
      </c>
      <c r="L103" s="8">
        <f>SUMIFS('HOJAS DE HORA PROY.'!$D$2:$D$943,'HOJAS DE HORA PROY.'!$A$2:$A$943,'PLAN MAESTRO FINAL'!$A103,'HOJAS DE HORA PROY.'!$M$2:$M$943,L$76)</f>
        <v>0</v>
      </c>
      <c r="M103" s="8">
        <f>SUMIFS('HOJAS DE HORA PROY.'!$D$2:$D$943,'HOJAS DE HORA PROY.'!$A$2:$A$943,'PLAN MAESTRO FINAL'!$A103,'HOJAS DE HORA PROY.'!$M$2:$M$943,M$76)</f>
        <v>0</v>
      </c>
      <c r="N103" s="8">
        <f>SUMIFS('HOJAS DE HORA PROY.'!$D$2:$D$943,'HOJAS DE HORA PROY.'!$A$2:$A$943,'PLAN MAESTRO FINAL'!$A103,'HOJAS DE HORA PROY.'!$M$2:$M$943,N$76)</f>
        <v>0</v>
      </c>
      <c r="O103" s="8">
        <f>SUMIFS('HOJAS DE HORA PROY.'!$D$2:$D$943,'HOJAS DE HORA PROY.'!$A$2:$A$943,'PLAN MAESTRO FINAL'!$A103,'HOJAS DE HORA PROY.'!$M$2:$M$943,O$76)</f>
        <v>0</v>
      </c>
      <c r="P103" s="8">
        <f>SUMIFS('HOJAS DE HORA PROY.'!$D$2:$D$943,'HOJAS DE HORA PROY.'!$A$2:$A$943,'PLAN MAESTRO FINAL'!$A103,'HOJAS DE HORA PROY.'!$M$2:$M$943,P$76)</f>
        <v>0</v>
      </c>
      <c r="Q103" s="8">
        <f>SUMIFS('HOJAS DE HORA PROY.'!$D$2:$D$943,'HOJAS DE HORA PROY.'!$A$2:$A$943,'PLAN MAESTRO FINAL'!$A103,'HOJAS DE HORA PROY.'!$M$2:$M$943,Q$76)</f>
        <v>0</v>
      </c>
      <c r="R103" s="8">
        <f>SUMIFS('HOJAS DE HORA PROY.'!$D$2:$D$943,'HOJAS DE HORA PROY.'!$A$2:$A$943,'PLAN MAESTRO FINAL'!$A103,'HOJAS DE HORA PROY.'!$M$2:$M$943,R$76)</f>
        <v>0</v>
      </c>
      <c r="S103" s="8">
        <f>SUMIFS('HOJAS DE HORA PROY.'!$D$2:$D$943,'HOJAS DE HORA PROY.'!$A$2:$A$943,'PLAN MAESTRO FINAL'!$A103,'HOJAS DE HORA PROY.'!$M$2:$M$943,S$76)</f>
        <v>0</v>
      </c>
      <c r="T103" s="8">
        <f>SUMIFS('HOJAS DE HORA PROY.'!$D$2:$D$943,'HOJAS DE HORA PROY.'!$A$2:$A$943,'PLAN MAESTRO FINAL'!$A103,'HOJAS DE HORA PROY.'!$M$2:$M$943,T$76)</f>
        <v>0</v>
      </c>
      <c r="U103" s="8">
        <f>SUMIFS('HOJAS DE HORA PROY.'!$D$2:$D$943,'HOJAS DE HORA PROY.'!$A$2:$A$943,'PLAN MAESTRO FINAL'!$A103,'HOJAS DE HORA PROY.'!$M$2:$M$943,U$76)</f>
        <v>0</v>
      </c>
      <c r="V103" s="8">
        <f>SUMIFS('HOJAS DE HORA PROY.'!$D$2:$D$943,'HOJAS DE HORA PROY.'!$A$2:$A$943,'PLAN MAESTRO FINAL'!$A103,'HOJAS DE HORA PROY.'!$M$2:$M$943,V$76)</f>
        <v>0</v>
      </c>
      <c r="W103" s="8">
        <f>SUMIFS('HOJAS DE HORA PROY.'!$D$2:$D$943,'HOJAS DE HORA PROY.'!$A$2:$A$943,'PLAN MAESTRO FINAL'!$A103,'HOJAS DE HORA PROY.'!$M$2:$M$943,W$76)</f>
        <v>0</v>
      </c>
    </row>
    <row r="104" spans="1:23" hidden="1" outlineLevel="1" x14ac:dyDescent="0.3">
      <c r="A104" s="13" t="s">
        <v>520</v>
      </c>
      <c r="B104" s="8">
        <f>SUMIFS('HOJAS DE HORA PROY.'!$D$2:$D$943,'HOJAS DE HORA PROY.'!$A$2:$A$943,'PLAN MAESTRO FINAL'!$A104,'HOJAS DE HORA PROY.'!$M$2:$M$943,B$76)</f>
        <v>0</v>
      </c>
      <c r="C104" s="8">
        <f>SUMIFS('HOJAS DE HORA PROY.'!$D$2:$D$943,'HOJAS DE HORA PROY.'!$A$2:$A$943,'PLAN MAESTRO FINAL'!$A104,'HOJAS DE HORA PROY.'!$M$2:$M$943,C$76)</f>
        <v>0</v>
      </c>
      <c r="D104" s="8">
        <f>SUMIFS('HOJAS DE HORA PROY.'!$D$2:$D$943,'HOJAS DE HORA PROY.'!$A$2:$A$943,'PLAN MAESTRO FINAL'!$A104,'HOJAS DE HORA PROY.'!$M$2:$M$943,D$76)</f>
        <v>0</v>
      </c>
      <c r="E104" s="8">
        <f>SUMIFS('HOJAS DE HORA PROY.'!$D$2:$D$943,'HOJAS DE HORA PROY.'!$A$2:$A$943,'PLAN MAESTRO FINAL'!$A104,'HOJAS DE HORA PROY.'!$M$2:$M$943,E$76)</f>
        <v>0</v>
      </c>
      <c r="F104" s="8">
        <f>SUMIFS('HOJAS DE HORA PROY.'!$D$2:$D$943,'HOJAS DE HORA PROY.'!$A$2:$A$943,'PLAN MAESTRO FINAL'!$A104,'HOJAS DE HORA PROY.'!$M$2:$M$943,F$76)</f>
        <v>0</v>
      </c>
      <c r="G104" s="8">
        <f>SUMIFS('HOJAS DE HORA PROY.'!$D$2:$D$943,'HOJAS DE HORA PROY.'!$A$2:$A$943,'PLAN MAESTRO FINAL'!$A104,'HOJAS DE HORA PROY.'!$M$2:$M$943,G$76)</f>
        <v>0</v>
      </c>
      <c r="H104" s="8">
        <f>SUMIFS('HOJAS DE HORA PROY.'!$D$2:$D$943,'HOJAS DE HORA PROY.'!$A$2:$A$943,'PLAN MAESTRO FINAL'!$A104,'HOJAS DE HORA PROY.'!$M$2:$M$943,H$76)</f>
        <v>0</v>
      </c>
      <c r="I104" s="8">
        <f>SUMIFS('HOJAS DE HORA PROY.'!$D$2:$D$943,'HOJAS DE HORA PROY.'!$A$2:$A$943,'PLAN MAESTRO FINAL'!$A104,'HOJAS DE HORA PROY.'!$M$2:$M$943,I$76)</f>
        <v>0</v>
      </c>
      <c r="J104" s="8">
        <f>SUMIFS('HOJAS DE HORA PROY.'!$D$2:$D$943,'HOJAS DE HORA PROY.'!$A$2:$A$943,'PLAN MAESTRO FINAL'!$A104,'HOJAS DE HORA PROY.'!$M$2:$M$943,J$76)</f>
        <v>0</v>
      </c>
      <c r="K104" s="8">
        <f>SUMIFS('HOJAS DE HORA PROY.'!$D$2:$D$943,'HOJAS DE HORA PROY.'!$A$2:$A$943,'PLAN MAESTRO FINAL'!$A104,'HOJAS DE HORA PROY.'!$M$2:$M$943,K$76)</f>
        <v>0</v>
      </c>
      <c r="L104" s="8">
        <f>SUMIFS('HOJAS DE HORA PROY.'!$D$2:$D$943,'HOJAS DE HORA PROY.'!$A$2:$A$943,'PLAN MAESTRO FINAL'!$A104,'HOJAS DE HORA PROY.'!$M$2:$M$943,L$76)</f>
        <v>0</v>
      </c>
      <c r="M104" s="8">
        <f>SUMIFS('HOJAS DE HORA PROY.'!$D$2:$D$943,'HOJAS DE HORA PROY.'!$A$2:$A$943,'PLAN MAESTRO FINAL'!$A104,'HOJAS DE HORA PROY.'!$M$2:$M$943,M$76)</f>
        <v>0</v>
      </c>
      <c r="N104" s="8">
        <f>SUMIFS('HOJAS DE HORA PROY.'!$D$2:$D$943,'HOJAS DE HORA PROY.'!$A$2:$A$943,'PLAN MAESTRO FINAL'!$A104,'HOJAS DE HORA PROY.'!$M$2:$M$943,N$76)</f>
        <v>0</v>
      </c>
      <c r="O104" s="8">
        <f>SUMIFS('HOJAS DE HORA PROY.'!$D$2:$D$943,'HOJAS DE HORA PROY.'!$A$2:$A$943,'PLAN MAESTRO FINAL'!$A104,'HOJAS DE HORA PROY.'!$M$2:$M$943,O$76)</f>
        <v>0</v>
      </c>
      <c r="P104" s="8">
        <f>SUMIFS('HOJAS DE HORA PROY.'!$D$2:$D$943,'HOJAS DE HORA PROY.'!$A$2:$A$943,'PLAN MAESTRO FINAL'!$A104,'HOJAS DE HORA PROY.'!$M$2:$M$943,P$76)</f>
        <v>0</v>
      </c>
      <c r="Q104" s="8">
        <f>SUMIFS('HOJAS DE HORA PROY.'!$D$2:$D$943,'HOJAS DE HORA PROY.'!$A$2:$A$943,'PLAN MAESTRO FINAL'!$A104,'HOJAS DE HORA PROY.'!$M$2:$M$943,Q$76)</f>
        <v>0</v>
      </c>
      <c r="R104" s="8">
        <f>SUMIFS('HOJAS DE HORA PROY.'!$D$2:$D$943,'HOJAS DE HORA PROY.'!$A$2:$A$943,'PLAN MAESTRO FINAL'!$A104,'HOJAS DE HORA PROY.'!$M$2:$M$943,R$76)</f>
        <v>0</v>
      </c>
      <c r="S104" s="8">
        <f>SUMIFS('HOJAS DE HORA PROY.'!$D$2:$D$943,'HOJAS DE HORA PROY.'!$A$2:$A$943,'PLAN MAESTRO FINAL'!$A104,'HOJAS DE HORA PROY.'!$M$2:$M$943,S$76)</f>
        <v>0</v>
      </c>
      <c r="T104" s="8">
        <f>SUMIFS('HOJAS DE HORA PROY.'!$D$2:$D$943,'HOJAS DE HORA PROY.'!$A$2:$A$943,'PLAN MAESTRO FINAL'!$A104,'HOJAS DE HORA PROY.'!$M$2:$M$943,T$76)</f>
        <v>0</v>
      </c>
      <c r="U104" s="8">
        <f>SUMIFS('HOJAS DE HORA PROY.'!$D$2:$D$943,'HOJAS DE HORA PROY.'!$A$2:$A$943,'PLAN MAESTRO FINAL'!$A104,'HOJAS DE HORA PROY.'!$M$2:$M$943,U$76)</f>
        <v>0</v>
      </c>
      <c r="V104" s="8">
        <f>SUMIFS('HOJAS DE HORA PROY.'!$D$2:$D$943,'HOJAS DE HORA PROY.'!$A$2:$A$943,'PLAN MAESTRO FINAL'!$A104,'HOJAS DE HORA PROY.'!$M$2:$M$943,V$76)</f>
        <v>0</v>
      </c>
      <c r="W104" s="8">
        <f>SUMIFS('HOJAS DE HORA PROY.'!$D$2:$D$943,'HOJAS DE HORA PROY.'!$A$2:$A$943,'PLAN MAESTRO FINAL'!$A104,'HOJAS DE HORA PROY.'!$M$2:$M$943,W$76)</f>
        <v>0</v>
      </c>
    </row>
    <row r="105" spans="1:23" hidden="1" outlineLevel="1" x14ac:dyDescent="0.3">
      <c r="A105" s="13" t="s">
        <v>525</v>
      </c>
      <c r="B105" s="8">
        <f>SUMIFS('HOJAS DE HORA PROY.'!$D$2:$D$943,'HOJAS DE HORA PROY.'!$A$2:$A$943,'PLAN MAESTRO FINAL'!$A105,'HOJAS DE HORA PROY.'!$M$2:$M$943,B$76)</f>
        <v>0</v>
      </c>
      <c r="C105" s="8">
        <f>SUMIFS('HOJAS DE HORA PROY.'!$D$2:$D$943,'HOJAS DE HORA PROY.'!$A$2:$A$943,'PLAN MAESTRO FINAL'!$A105,'HOJAS DE HORA PROY.'!$M$2:$M$943,C$76)</f>
        <v>0</v>
      </c>
      <c r="D105" s="8">
        <f>SUMIFS('HOJAS DE HORA PROY.'!$D$2:$D$943,'HOJAS DE HORA PROY.'!$A$2:$A$943,'PLAN MAESTRO FINAL'!$A105,'HOJAS DE HORA PROY.'!$M$2:$M$943,D$76)</f>
        <v>0</v>
      </c>
      <c r="E105" s="8">
        <f>SUMIFS('HOJAS DE HORA PROY.'!$D$2:$D$943,'HOJAS DE HORA PROY.'!$A$2:$A$943,'PLAN MAESTRO FINAL'!$A105,'HOJAS DE HORA PROY.'!$M$2:$M$943,E$76)</f>
        <v>0</v>
      </c>
      <c r="F105" s="8">
        <f>SUMIFS('HOJAS DE HORA PROY.'!$D$2:$D$943,'HOJAS DE HORA PROY.'!$A$2:$A$943,'PLAN MAESTRO FINAL'!$A105,'HOJAS DE HORA PROY.'!$M$2:$M$943,F$76)</f>
        <v>0</v>
      </c>
      <c r="G105" s="8">
        <f>SUMIFS('HOJAS DE HORA PROY.'!$D$2:$D$943,'HOJAS DE HORA PROY.'!$A$2:$A$943,'PLAN MAESTRO FINAL'!$A105,'HOJAS DE HORA PROY.'!$M$2:$M$943,G$76)</f>
        <v>10</v>
      </c>
      <c r="H105" s="8">
        <f>SUMIFS('HOJAS DE HORA PROY.'!$D$2:$D$943,'HOJAS DE HORA PROY.'!$A$2:$A$943,'PLAN MAESTRO FINAL'!$A105,'HOJAS DE HORA PROY.'!$M$2:$M$943,H$76)</f>
        <v>0</v>
      </c>
      <c r="I105" s="8">
        <f>SUMIFS('HOJAS DE HORA PROY.'!$D$2:$D$943,'HOJAS DE HORA PROY.'!$A$2:$A$943,'PLAN MAESTRO FINAL'!$A105,'HOJAS DE HORA PROY.'!$M$2:$M$943,I$76)</f>
        <v>0</v>
      </c>
      <c r="J105" s="8">
        <f>SUMIFS('HOJAS DE HORA PROY.'!$D$2:$D$943,'HOJAS DE HORA PROY.'!$A$2:$A$943,'PLAN MAESTRO FINAL'!$A105,'HOJAS DE HORA PROY.'!$M$2:$M$943,J$76)</f>
        <v>0</v>
      </c>
      <c r="K105" s="8">
        <f>SUMIFS('HOJAS DE HORA PROY.'!$D$2:$D$943,'HOJAS DE HORA PROY.'!$A$2:$A$943,'PLAN MAESTRO FINAL'!$A105,'HOJAS DE HORA PROY.'!$M$2:$M$943,K$76)</f>
        <v>0</v>
      </c>
      <c r="L105" s="8">
        <f>SUMIFS('HOJAS DE HORA PROY.'!$D$2:$D$943,'HOJAS DE HORA PROY.'!$A$2:$A$943,'PLAN MAESTRO FINAL'!$A105,'HOJAS DE HORA PROY.'!$M$2:$M$943,L$76)</f>
        <v>0</v>
      </c>
      <c r="M105" s="8">
        <f>SUMIFS('HOJAS DE HORA PROY.'!$D$2:$D$943,'HOJAS DE HORA PROY.'!$A$2:$A$943,'PLAN MAESTRO FINAL'!$A105,'HOJAS DE HORA PROY.'!$M$2:$M$943,M$76)</f>
        <v>0</v>
      </c>
      <c r="N105" s="8">
        <f>SUMIFS('HOJAS DE HORA PROY.'!$D$2:$D$943,'HOJAS DE HORA PROY.'!$A$2:$A$943,'PLAN MAESTRO FINAL'!$A105,'HOJAS DE HORA PROY.'!$M$2:$M$943,N$76)</f>
        <v>0</v>
      </c>
      <c r="O105" s="8">
        <f>SUMIFS('HOJAS DE HORA PROY.'!$D$2:$D$943,'HOJAS DE HORA PROY.'!$A$2:$A$943,'PLAN MAESTRO FINAL'!$A105,'HOJAS DE HORA PROY.'!$M$2:$M$943,O$76)</f>
        <v>0</v>
      </c>
      <c r="P105" s="8">
        <f>SUMIFS('HOJAS DE HORA PROY.'!$D$2:$D$943,'HOJAS DE HORA PROY.'!$A$2:$A$943,'PLAN MAESTRO FINAL'!$A105,'HOJAS DE HORA PROY.'!$M$2:$M$943,P$76)</f>
        <v>0</v>
      </c>
      <c r="Q105" s="8">
        <f>SUMIFS('HOJAS DE HORA PROY.'!$D$2:$D$943,'HOJAS DE HORA PROY.'!$A$2:$A$943,'PLAN MAESTRO FINAL'!$A105,'HOJAS DE HORA PROY.'!$M$2:$M$943,Q$76)</f>
        <v>0</v>
      </c>
      <c r="R105" s="8">
        <f>SUMIFS('HOJAS DE HORA PROY.'!$D$2:$D$943,'HOJAS DE HORA PROY.'!$A$2:$A$943,'PLAN MAESTRO FINAL'!$A105,'HOJAS DE HORA PROY.'!$M$2:$M$943,R$76)</f>
        <v>0</v>
      </c>
      <c r="S105" s="8">
        <f>SUMIFS('HOJAS DE HORA PROY.'!$D$2:$D$943,'HOJAS DE HORA PROY.'!$A$2:$A$943,'PLAN MAESTRO FINAL'!$A105,'HOJAS DE HORA PROY.'!$M$2:$M$943,S$76)</f>
        <v>0</v>
      </c>
      <c r="T105" s="8">
        <f>SUMIFS('HOJAS DE HORA PROY.'!$D$2:$D$943,'HOJAS DE HORA PROY.'!$A$2:$A$943,'PLAN MAESTRO FINAL'!$A105,'HOJAS DE HORA PROY.'!$M$2:$M$943,T$76)</f>
        <v>0</v>
      </c>
      <c r="U105" s="8">
        <f>SUMIFS('HOJAS DE HORA PROY.'!$D$2:$D$943,'HOJAS DE HORA PROY.'!$A$2:$A$943,'PLAN MAESTRO FINAL'!$A105,'HOJAS DE HORA PROY.'!$M$2:$M$943,U$76)</f>
        <v>0</v>
      </c>
      <c r="V105" s="8">
        <f>SUMIFS('HOJAS DE HORA PROY.'!$D$2:$D$943,'HOJAS DE HORA PROY.'!$A$2:$A$943,'PLAN MAESTRO FINAL'!$A105,'HOJAS DE HORA PROY.'!$M$2:$M$943,V$76)</f>
        <v>0</v>
      </c>
      <c r="W105" s="8">
        <f>SUMIFS('HOJAS DE HORA PROY.'!$D$2:$D$943,'HOJAS DE HORA PROY.'!$A$2:$A$943,'PLAN MAESTRO FINAL'!$A105,'HOJAS DE HORA PROY.'!$M$2:$M$943,W$76)</f>
        <v>0</v>
      </c>
    </row>
    <row r="106" spans="1:23" hidden="1" outlineLevel="1" x14ac:dyDescent="0.3">
      <c r="A106" s="13" t="s">
        <v>547</v>
      </c>
      <c r="B106" s="8">
        <f>SUMIFS('HOJAS DE HORA PROY.'!$D$2:$D$943,'HOJAS DE HORA PROY.'!$A$2:$A$943,'PLAN MAESTRO FINAL'!$A106,'HOJAS DE HORA PROY.'!$M$2:$M$943,B$76)</f>
        <v>0</v>
      </c>
      <c r="C106" s="8">
        <f>SUMIFS('HOJAS DE HORA PROY.'!$D$2:$D$943,'HOJAS DE HORA PROY.'!$A$2:$A$943,'PLAN MAESTRO FINAL'!$A106,'HOJAS DE HORA PROY.'!$M$2:$M$943,C$76)</f>
        <v>0</v>
      </c>
      <c r="D106" s="8">
        <f>SUMIFS('HOJAS DE HORA PROY.'!$D$2:$D$943,'HOJAS DE HORA PROY.'!$A$2:$A$943,'PLAN MAESTRO FINAL'!$A106,'HOJAS DE HORA PROY.'!$M$2:$M$943,D$76)</f>
        <v>0</v>
      </c>
      <c r="E106" s="8">
        <f>SUMIFS('HOJAS DE HORA PROY.'!$D$2:$D$943,'HOJAS DE HORA PROY.'!$A$2:$A$943,'PLAN MAESTRO FINAL'!$A106,'HOJAS DE HORA PROY.'!$M$2:$M$943,E$76)</f>
        <v>0</v>
      </c>
      <c r="F106" s="8">
        <f>SUMIFS('HOJAS DE HORA PROY.'!$D$2:$D$943,'HOJAS DE HORA PROY.'!$A$2:$A$943,'PLAN MAESTRO FINAL'!$A106,'HOJAS DE HORA PROY.'!$M$2:$M$943,F$76)</f>
        <v>0</v>
      </c>
      <c r="G106" s="8">
        <f>SUMIFS('HOJAS DE HORA PROY.'!$D$2:$D$943,'HOJAS DE HORA PROY.'!$A$2:$A$943,'PLAN MAESTRO FINAL'!$A106,'HOJAS DE HORA PROY.'!$M$2:$M$943,G$76)</f>
        <v>31</v>
      </c>
      <c r="H106" s="8">
        <f>SUMIFS('HOJAS DE HORA PROY.'!$D$2:$D$943,'HOJAS DE HORA PROY.'!$A$2:$A$943,'PLAN MAESTRO FINAL'!$A106,'HOJAS DE HORA PROY.'!$M$2:$M$943,H$76)</f>
        <v>0</v>
      </c>
      <c r="I106" s="8">
        <f>SUMIFS('HOJAS DE HORA PROY.'!$D$2:$D$943,'HOJAS DE HORA PROY.'!$A$2:$A$943,'PLAN MAESTRO FINAL'!$A106,'HOJAS DE HORA PROY.'!$M$2:$M$943,I$76)</f>
        <v>0</v>
      </c>
      <c r="J106" s="8">
        <f>SUMIFS('HOJAS DE HORA PROY.'!$D$2:$D$943,'HOJAS DE HORA PROY.'!$A$2:$A$943,'PLAN MAESTRO FINAL'!$A106,'HOJAS DE HORA PROY.'!$M$2:$M$943,J$76)</f>
        <v>0</v>
      </c>
      <c r="K106" s="8">
        <f>SUMIFS('HOJAS DE HORA PROY.'!$D$2:$D$943,'HOJAS DE HORA PROY.'!$A$2:$A$943,'PLAN MAESTRO FINAL'!$A106,'HOJAS DE HORA PROY.'!$M$2:$M$943,K$76)</f>
        <v>0</v>
      </c>
      <c r="L106" s="8">
        <f>SUMIFS('HOJAS DE HORA PROY.'!$D$2:$D$943,'HOJAS DE HORA PROY.'!$A$2:$A$943,'PLAN MAESTRO FINAL'!$A106,'HOJAS DE HORA PROY.'!$M$2:$M$943,L$76)</f>
        <v>0</v>
      </c>
      <c r="M106" s="8">
        <f>SUMIFS('HOJAS DE HORA PROY.'!$D$2:$D$943,'HOJAS DE HORA PROY.'!$A$2:$A$943,'PLAN MAESTRO FINAL'!$A106,'HOJAS DE HORA PROY.'!$M$2:$M$943,M$76)</f>
        <v>0</v>
      </c>
      <c r="N106" s="8">
        <f>SUMIFS('HOJAS DE HORA PROY.'!$D$2:$D$943,'HOJAS DE HORA PROY.'!$A$2:$A$943,'PLAN MAESTRO FINAL'!$A106,'HOJAS DE HORA PROY.'!$M$2:$M$943,N$76)</f>
        <v>0</v>
      </c>
      <c r="O106" s="8">
        <f>SUMIFS('HOJAS DE HORA PROY.'!$D$2:$D$943,'HOJAS DE HORA PROY.'!$A$2:$A$943,'PLAN MAESTRO FINAL'!$A106,'HOJAS DE HORA PROY.'!$M$2:$M$943,O$76)</f>
        <v>0</v>
      </c>
      <c r="P106" s="8">
        <f>SUMIFS('HOJAS DE HORA PROY.'!$D$2:$D$943,'HOJAS DE HORA PROY.'!$A$2:$A$943,'PLAN MAESTRO FINAL'!$A106,'HOJAS DE HORA PROY.'!$M$2:$M$943,P$76)</f>
        <v>0</v>
      </c>
      <c r="Q106" s="8">
        <f>SUMIFS('HOJAS DE HORA PROY.'!$D$2:$D$943,'HOJAS DE HORA PROY.'!$A$2:$A$943,'PLAN MAESTRO FINAL'!$A106,'HOJAS DE HORA PROY.'!$M$2:$M$943,Q$76)</f>
        <v>0</v>
      </c>
      <c r="R106" s="8">
        <f>SUMIFS('HOJAS DE HORA PROY.'!$D$2:$D$943,'HOJAS DE HORA PROY.'!$A$2:$A$943,'PLAN MAESTRO FINAL'!$A106,'HOJAS DE HORA PROY.'!$M$2:$M$943,R$76)</f>
        <v>0</v>
      </c>
      <c r="S106" s="8">
        <f>SUMIFS('HOJAS DE HORA PROY.'!$D$2:$D$943,'HOJAS DE HORA PROY.'!$A$2:$A$943,'PLAN MAESTRO FINAL'!$A106,'HOJAS DE HORA PROY.'!$M$2:$M$943,S$76)</f>
        <v>0</v>
      </c>
      <c r="T106" s="8">
        <f>SUMIFS('HOJAS DE HORA PROY.'!$D$2:$D$943,'HOJAS DE HORA PROY.'!$A$2:$A$943,'PLAN MAESTRO FINAL'!$A106,'HOJAS DE HORA PROY.'!$M$2:$M$943,T$76)</f>
        <v>0</v>
      </c>
      <c r="U106" s="8">
        <f>SUMIFS('HOJAS DE HORA PROY.'!$D$2:$D$943,'HOJAS DE HORA PROY.'!$A$2:$A$943,'PLAN MAESTRO FINAL'!$A106,'HOJAS DE HORA PROY.'!$M$2:$M$943,U$76)</f>
        <v>0</v>
      </c>
      <c r="V106" s="8">
        <f>SUMIFS('HOJAS DE HORA PROY.'!$D$2:$D$943,'HOJAS DE HORA PROY.'!$A$2:$A$943,'PLAN MAESTRO FINAL'!$A106,'HOJAS DE HORA PROY.'!$M$2:$M$943,V$76)</f>
        <v>0</v>
      </c>
      <c r="W106" s="8">
        <f>SUMIFS('HOJAS DE HORA PROY.'!$D$2:$D$943,'HOJAS DE HORA PROY.'!$A$2:$A$943,'PLAN MAESTRO FINAL'!$A106,'HOJAS DE HORA PROY.'!$M$2:$M$943,W$76)</f>
        <v>0</v>
      </c>
    </row>
    <row r="107" spans="1:23" hidden="1" outlineLevel="1" x14ac:dyDescent="0.3">
      <c r="A107" s="13"/>
      <c r="B107" s="8">
        <f>SUMIFS('HOJAS DE HORA PROY.'!$D$2:$D$943,'HOJAS DE HORA PROY.'!$A$2:$A$943,'PLAN MAESTRO FINAL'!$A107,'HOJAS DE HORA PROY.'!$M$2:$M$943,B$76)</f>
        <v>0</v>
      </c>
      <c r="C107" s="8">
        <f>SUMIFS('HOJAS DE HORA PROY.'!$D$2:$D$943,'HOJAS DE HORA PROY.'!$A$2:$A$943,'PLAN MAESTRO FINAL'!$A107,'HOJAS DE HORA PROY.'!$M$2:$M$943,C$76)</f>
        <v>0</v>
      </c>
      <c r="D107" s="8">
        <f>SUMIFS('HOJAS DE HORA PROY.'!$D$2:$D$943,'HOJAS DE HORA PROY.'!$A$2:$A$943,'PLAN MAESTRO FINAL'!$A107,'HOJAS DE HORA PROY.'!$M$2:$M$943,D$76)</f>
        <v>0</v>
      </c>
      <c r="E107" s="8">
        <f>SUMIFS('HOJAS DE HORA PROY.'!$D$2:$D$943,'HOJAS DE HORA PROY.'!$A$2:$A$943,'PLAN MAESTRO FINAL'!$A107,'HOJAS DE HORA PROY.'!$M$2:$M$943,E$76)</f>
        <v>0</v>
      </c>
      <c r="F107" s="8">
        <f>SUMIFS('HOJAS DE HORA PROY.'!$D$2:$D$943,'HOJAS DE HORA PROY.'!$A$2:$A$943,'PLAN MAESTRO FINAL'!$A107,'HOJAS DE HORA PROY.'!$M$2:$M$943,F$76)</f>
        <v>0</v>
      </c>
      <c r="G107" s="8">
        <f>SUMIFS('HOJAS DE HORA PROY.'!$D$2:$D$943,'HOJAS DE HORA PROY.'!$A$2:$A$943,'PLAN MAESTRO FINAL'!$A107,'HOJAS DE HORA PROY.'!$M$2:$M$943,G$76)</f>
        <v>0</v>
      </c>
      <c r="H107" s="8">
        <f>SUMIFS('HOJAS DE HORA PROY.'!$D$2:$D$943,'HOJAS DE HORA PROY.'!$A$2:$A$943,'PLAN MAESTRO FINAL'!$A107,'HOJAS DE HORA PROY.'!$M$2:$M$943,H$76)</f>
        <v>0</v>
      </c>
      <c r="I107" s="8">
        <f>SUMIFS('HOJAS DE HORA PROY.'!$D$2:$D$943,'HOJAS DE HORA PROY.'!$A$2:$A$943,'PLAN MAESTRO FINAL'!$A107,'HOJAS DE HORA PROY.'!$M$2:$M$943,I$76)</f>
        <v>0</v>
      </c>
      <c r="J107" s="8">
        <f>SUMIFS('HOJAS DE HORA PROY.'!$D$2:$D$943,'HOJAS DE HORA PROY.'!$A$2:$A$943,'PLAN MAESTRO FINAL'!$A107,'HOJAS DE HORA PROY.'!$M$2:$M$943,J$76)</f>
        <v>0</v>
      </c>
      <c r="K107" s="8">
        <f>SUMIFS('HOJAS DE HORA PROY.'!$D$2:$D$943,'HOJAS DE HORA PROY.'!$A$2:$A$943,'PLAN MAESTRO FINAL'!$A107,'HOJAS DE HORA PROY.'!$M$2:$M$943,K$76)</f>
        <v>0</v>
      </c>
      <c r="L107" s="8">
        <f>SUMIFS('HOJAS DE HORA PROY.'!$D$2:$D$943,'HOJAS DE HORA PROY.'!$A$2:$A$943,'PLAN MAESTRO FINAL'!$A107,'HOJAS DE HORA PROY.'!$M$2:$M$943,L$76)</f>
        <v>0</v>
      </c>
      <c r="M107" s="8">
        <f>SUMIFS('HOJAS DE HORA PROY.'!$D$2:$D$943,'HOJAS DE HORA PROY.'!$A$2:$A$943,'PLAN MAESTRO FINAL'!$A107,'HOJAS DE HORA PROY.'!$M$2:$M$943,M$76)</f>
        <v>0</v>
      </c>
      <c r="N107" s="8">
        <f>SUMIFS('HOJAS DE HORA PROY.'!$D$2:$D$943,'HOJAS DE HORA PROY.'!$A$2:$A$943,'PLAN MAESTRO FINAL'!$A107,'HOJAS DE HORA PROY.'!$M$2:$M$943,N$76)</f>
        <v>0</v>
      </c>
      <c r="O107" s="8">
        <f>SUMIFS('HOJAS DE HORA PROY.'!$D$2:$D$943,'HOJAS DE HORA PROY.'!$A$2:$A$943,'PLAN MAESTRO FINAL'!$A107,'HOJAS DE HORA PROY.'!$M$2:$M$943,O$76)</f>
        <v>0</v>
      </c>
      <c r="P107" s="8">
        <f>SUMIFS('HOJAS DE HORA PROY.'!$D$2:$D$943,'HOJAS DE HORA PROY.'!$A$2:$A$943,'PLAN MAESTRO FINAL'!$A107,'HOJAS DE HORA PROY.'!$M$2:$M$943,P$76)</f>
        <v>0</v>
      </c>
      <c r="Q107" s="8">
        <f>SUMIFS('HOJAS DE HORA PROY.'!$D$2:$D$943,'HOJAS DE HORA PROY.'!$A$2:$A$943,'PLAN MAESTRO FINAL'!$A107,'HOJAS DE HORA PROY.'!$M$2:$M$943,Q$76)</f>
        <v>0</v>
      </c>
      <c r="R107" s="8">
        <f>SUMIFS('HOJAS DE HORA PROY.'!$D$2:$D$943,'HOJAS DE HORA PROY.'!$A$2:$A$943,'PLAN MAESTRO FINAL'!$A107,'HOJAS DE HORA PROY.'!$M$2:$M$943,R$76)</f>
        <v>0</v>
      </c>
      <c r="S107" s="8">
        <f>SUMIFS('HOJAS DE HORA PROY.'!$D$2:$D$943,'HOJAS DE HORA PROY.'!$A$2:$A$943,'PLAN MAESTRO FINAL'!$A107,'HOJAS DE HORA PROY.'!$M$2:$M$943,S$76)</f>
        <v>0</v>
      </c>
      <c r="T107" s="8">
        <f>SUMIFS('HOJAS DE HORA PROY.'!$D$2:$D$943,'HOJAS DE HORA PROY.'!$A$2:$A$943,'PLAN MAESTRO FINAL'!$A107,'HOJAS DE HORA PROY.'!$M$2:$M$943,T$76)</f>
        <v>0</v>
      </c>
      <c r="U107" s="8">
        <f>SUMIFS('HOJAS DE HORA PROY.'!$D$2:$D$943,'HOJAS DE HORA PROY.'!$A$2:$A$943,'PLAN MAESTRO FINAL'!$A107,'HOJAS DE HORA PROY.'!$M$2:$M$943,U$76)</f>
        <v>0</v>
      </c>
      <c r="V107" s="8">
        <f>SUMIFS('HOJAS DE HORA PROY.'!$D$2:$D$943,'HOJAS DE HORA PROY.'!$A$2:$A$943,'PLAN MAESTRO FINAL'!$A107,'HOJAS DE HORA PROY.'!$M$2:$M$943,V$76)</f>
        <v>0</v>
      </c>
      <c r="W107" s="8">
        <f>SUMIFS('HOJAS DE HORA PROY.'!$D$2:$D$943,'HOJAS DE HORA PROY.'!$A$2:$A$943,'PLAN MAESTRO FINAL'!$A107,'HOJAS DE HORA PROY.'!$M$2:$M$943,W$76)</f>
        <v>0</v>
      </c>
    </row>
    <row r="108" spans="1:23" collapsed="1" x14ac:dyDescent="0.3">
      <c r="A108" s="14" t="s">
        <v>471</v>
      </c>
      <c r="B108" s="15">
        <f t="shared" ref="B108:W108" si="4">SUM(B77:B107)</f>
        <v>0</v>
      </c>
      <c r="C108" s="15">
        <f t="shared" si="4"/>
        <v>0</v>
      </c>
      <c r="D108" s="15">
        <f t="shared" si="4"/>
        <v>0</v>
      </c>
      <c r="E108" s="15">
        <f t="shared" si="4"/>
        <v>0</v>
      </c>
      <c r="F108" s="15">
        <f t="shared" si="4"/>
        <v>48</v>
      </c>
      <c r="G108" s="15">
        <f t="shared" si="4"/>
        <v>148</v>
      </c>
      <c r="H108" s="15">
        <f t="shared" si="4"/>
        <v>18</v>
      </c>
      <c r="I108" s="15">
        <f t="shared" si="4"/>
        <v>0</v>
      </c>
      <c r="J108" s="15">
        <f t="shared" si="4"/>
        <v>18</v>
      </c>
      <c r="K108" s="15">
        <f t="shared" si="4"/>
        <v>9</v>
      </c>
      <c r="L108" s="15">
        <f t="shared" si="4"/>
        <v>0</v>
      </c>
      <c r="M108" s="15">
        <f t="shared" si="4"/>
        <v>0</v>
      </c>
      <c r="N108" s="15">
        <f t="shared" si="4"/>
        <v>0</v>
      </c>
      <c r="O108" s="15">
        <f t="shared" si="4"/>
        <v>0</v>
      </c>
      <c r="P108" s="15">
        <f t="shared" si="4"/>
        <v>0</v>
      </c>
      <c r="Q108" s="15">
        <f t="shared" si="4"/>
        <v>0</v>
      </c>
      <c r="R108" s="15">
        <f t="shared" si="4"/>
        <v>0</v>
      </c>
      <c r="S108" s="15">
        <f t="shared" si="4"/>
        <v>0</v>
      </c>
      <c r="T108" s="15">
        <f t="shared" si="4"/>
        <v>0</v>
      </c>
      <c r="U108" s="15">
        <f t="shared" si="4"/>
        <v>0</v>
      </c>
      <c r="V108" s="15">
        <f t="shared" si="4"/>
        <v>0</v>
      </c>
      <c r="W108" s="15">
        <f t="shared" si="4"/>
        <v>0</v>
      </c>
    </row>
    <row r="109" spans="1:23" x14ac:dyDescent="0.3">
      <c r="A109" s="14" t="s">
        <v>29</v>
      </c>
      <c r="B109" s="16">
        <f>CAPACIDAD!G24</f>
        <v>126</v>
      </c>
      <c r="C109" s="16">
        <f>CAPACIDAD!H24</f>
        <v>126</v>
      </c>
      <c r="D109" s="16">
        <f>CAPACIDAD!I24</f>
        <v>84</v>
      </c>
      <c r="E109" s="16">
        <f>CAPACIDAD!J24</f>
        <v>168</v>
      </c>
      <c r="F109" s="16">
        <f>CAPACIDAD!K24</f>
        <v>144</v>
      </c>
      <c r="G109" s="16">
        <f>CAPACIDAD!L24</f>
        <v>144</v>
      </c>
      <c r="H109" s="16">
        <f>CAPACIDAD!M24</f>
        <v>144</v>
      </c>
      <c r="I109" s="16">
        <f>CAPACIDAD!N24</f>
        <v>144</v>
      </c>
      <c r="J109" s="16">
        <f>CAPACIDAD!O24</f>
        <v>144</v>
      </c>
      <c r="K109" s="16">
        <f>CAPACIDAD!P24</f>
        <v>144</v>
      </c>
      <c r="L109" s="16">
        <f>CAPACIDAD!Q24</f>
        <v>144</v>
      </c>
      <c r="M109" s="16">
        <f>CAPACIDAD!R24</f>
        <v>144</v>
      </c>
      <c r="N109" s="16">
        <f>CAPACIDAD!S24</f>
        <v>144</v>
      </c>
      <c r="O109" s="16">
        <f>CAPACIDAD!T24</f>
        <v>144</v>
      </c>
      <c r="P109" s="16">
        <f>CAPACIDAD!U24</f>
        <v>144</v>
      </c>
      <c r="Q109" s="16">
        <f>CAPACIDAD!V24</f>
        <v>144</v>
      </c>
      <c r="R109" s="16">
        <f>CAPACIDAD!W24</f>
        <v>144</v>
      </c>
      <c r="S109" s="16">
        <f>CAPACIDAD!X24</f>
        <v>144</v>
      </c>
      <c r="T109" s="16">
        <f>CAPACIDAD!Y24</f>
        <v>144</v>
      </c>
      <c r="U109" s="16">
        <f>CAPACIDAD!Z24</f>
        <v>144</v>
      </c>
      <c r="V109" s="16">
        <f>CAPACIDAD!AA24</f>
        <v>144</v>
      </c>
      <c r="W109" s="16">
        <f>CAPACIDAD!AB24</f>
        <v>144</v>
      </c>
    </row>
    <row r="110" spans="1:23" s="10" customFormat="1" x14ac:dyDescent="0.3">
      <c r="A110" s="2" t="s">
        <v>28</v>
      </c>
      <c r="B110" s="9" t="str">
        <f t="shared" ref="B110:W110" si="5">IF(B108/B109=0,"",IF(B108/B109&lt;=85%,"🟢 Saludable",IF(B108/B109&lt;=100%,"🟡 Riesgo","🔴 Atraso seguro")))</f>
        <v/>
      </c>
      <c r="C110" s="9" t="str">
        <f t="shared" si="5"/>
        <v/>
      </c>
      <c r="D110" s="9" t="str">
        <f t="shared" si="5"/>
        <v/>
      </c>
      <c r="E110" s="9" t="str">
        <f t="shared" si="5"/>
        <v/>
      </c>
      <c r="F110" s="9" t="str">
        <f t="shared" si="5"/>
        <v>🟢 Saludable</v>
      </c>
      <c r="G110" s="9" t="str">
        <f t="shared" si="5"/>
        <v>🔴 Atraso seguro</v>
      </c>
      <c r="H110" s="9" t="str">
        <f t="shared" si="5"/>
        <v>🟢 Saludable</v>
      </c>
      <c r="I110" s="9" t="str">
        <f t="shared" si="5"/>
        <v/>
      </c>
      <c r="J110" s="9" t="str">
        <f t="shared" si="5"/>
        <v>🟢 Saludable</v>
      </c>
      <c r="K110" s="9" t="str">
        <f t="shared" si="5"/>
        <v>🟢 Saludable</v>
      </c>
      <c r="L110" s="9" t="str">
        <f t="shared" si="5"/>
        <v/>
      </c>
      <c r="M110" s="9" t="str">
        <f t="shared" si="5"/>
        <v/>
      </c>
      <c r="N110" s="9" t="str">
        <f t="shared" si="5"/>
        <v/>
      </c>
      <c r="O110" s="9" t="str">
        <f t="shared" si="5"/>
        <v/>
      </c>
      <c r="P110" s="9" t="str">
        <f t="shared" si="5"/>
        <v/>
      </c>
      <c r="Q110" s="9" t="str">
        <f t="shared" si="5"/>
        <v/>
      </c>
      <c r="R110" s="9" t="str">
        <f t="shared" si="5"/>
        <v/>
      </c>
      <c r="S110" s="9" t="str">
        <f t="shared" si="5"/>
        <v/>
      </c>
      <c r="T110" s="9" t="str">
        <f t="shared" si="5"/>
        <v/>
      </c>
      <c r="U110" s="9" t="str">
        <f t="shared" si="5"/>
        <v/>
      </c>
      <c r="V110" s="9" t="str">
        <f t="shared" si="5"/>
        <v/>
      </c>
      <c r="W110" s="9" t="str">
        <f t="shared" si="5"/>
        <v/>
      </c>
    </row>
    <row r="112" spans="1:23" ht="21" x14ac:dyDescent="0.4">
      <c r="A112" s="50" t="s">
        <v>472</v>
      </c>
    </row>
    <row r="113" spans="1:23" x14ac:dyDescent="0.3">
      <c r="A113" s="20" t="s">
        <v>27</v>
      </c>
      <c r="B113" s="20" t="s">
        <v>34</v>
      </c>
      <c r="C113" s="20" t="s">
        <v>35</v>
      </c>
      <c r="D113" s="20" t="s">
        <v>36</v>
      </c>
      <c r="E113" s="20" t="s">
        <v>37</v>
      </c>
      <c r="F113" s="20" t="s">
        <v>38</v>
      </c>
      <c r="G113" s="20" t="s">
        <v>40</v>
      </c>
      <c r="H113" s="20" t="s">
        <v>39</v>
      </c>
      <c r="I113" s="20" t="s">
        <v>41</v>
      </c>
      <c r="J113" s="20" t="s">
        <v>42</v>
      </c>
      <c r="K113" s="20" t="s">
        <v>43</v>
      </c>
      <c r="L113" s="20" t="s">
        <v>44</v>
      </c>
      <c r="M113" s="20" t="s">
        <v>45</v>
      </c>
      <c r="N113" s="20" t="s">
        <v>46</v>
      </c>
      <c r="O113" s="20" t="s">
        <v>47</v>
      </c>
      <c r="P113" s="20" t="s">
        <v>48</v>
      </c>
      <c r="Q113" s="20" t="s">
        <v>49</v>
      </c>
      <c r="R113" s="20" t="s">
        <v>50</v>
      </c>
      <c r="S113" s="20" t="s">
        <v>51</v>
      </c>
      <c r="T113" s="20" t="s">
        <v>52</v>
      </c>
      <c r="U113" s="20" t="s">
        <v>53</v>
      </c>
      <c r="V113" s="20" t="s">
        <v>54</v>
      </c>
      <c r="W113" s="20" t="s">
        <v>55</v>
      </c>
    </row>
    <row r="114" spans="1:23" hidden="1" outlineLevel="1" x14ac:dyDescent="0.3">
      <c r="A114" s="13" t="s">
        <v>79</v>
      </c>
      <c r="B114" s="8">
        <f>SUMIFS('HOJAS DE HORA PROY.'!$F$2:$F$943,'HOJAS DE HORA PROY.'!$A$2:$A$943,'PLAN MAESTRO FINAL'!$A114,'HOJAS DE HORA PROY.'!$M$2:$M$943,B$113)</f>
        <v>0</v>
      </c>
      <c r="C114" s="8">
        <f>SUMIFS('HOJAS DE HORA PROY.'!$F$2:$F$943,'HOJAS DE HORA PROY.'!$A$2:$A$943,'PLAN MAESTRO FINAL'!$A114,'HOJAS DE HORA PROY.'!$M$2:$M$943,C$113)</f>
        <v>0</v>
      </c>
      <c r="D114" s="8">
        <f>SUMIFS('HOJAS DE HORA PROY.'!$F$2:$F$943,'HOJAS DE HORA PROY.'!$A$2:$A$943,'PLAN MAESTRO FINAL'!$A114,'HOJAS DE HORA PROY.'!$M$2:$M$943,D$113)</f>
        <v>0</v>
      </c>
      <c r="E114" s="8">
        <f>SUMIFS('HOJAS DE HORA PROY.'!$F$2:$F$943,'HOJAS DE HORA PROY.'!$A$2:$A$943,'PLAN MAESTRO FINAL'!$A114,'HOJAS DE HORA PROY.'!$M$2:$M$943,E$113)</f>
        <v>0</v>
      </c>
      <c r="F114" s="8">
        <f>SUMIFS('HOJAS DE HORA PROY.'!$F$2:$F$943,'HOJAS DE HORA PROY.'!$A$2:$A$943,'PLAN MAESTRO FINAL'!$A114,'HOJAS DE HORA PROY.'!$M$2:$M$943,F$113)</f>
        <v>0</v>
      </c>
      <c r="G114" s="8">
        <f>SUMIFS('HOJAS DE HORA PROY.'!$F$2:$F$943,'HOJAS DE HORA PROY.'!$A$2:$A$943,'PLAN MAESTRO FINAL'!$A114,'HOJAS DE HORA PROY.'!$M$2:$M$943,G$113)</f>
        <v>0</v>
      </c>
      <c r="H114" s="8">
        <f>SUMIFS('HOJAS DE HORA PROY.'!$F$2:$F$943,'HOJAS DE HORA PROY.'!$A$2:$A$943,'PLAN MAESTRO FINAL'!$A114,'HOJAS DE HORA PROY.'!$M$2:$M$943,H$113)</f>
        <v>0</v>
      </c>
      <c r="I114" s="8">
        <f>SUMIFS('HOJAS DE HORA PROY.'!$F$2:$F$943,'HOJAS DE HORA PROY.'!$A$2:$A$943,'PLAN MAESTRO FINAL'!$A114,'HOJAS DE HORA PROY.'!$M$2:$M$943,I$113)</f>
        <v>0</v>
      </c>
      <c r="J114" s="8">
        <f>SUMIFS('HOJAS DE HORA PROY.'!$F$2:$F$943,'HOJAS DE HORA PROY.'!$A$2:$A$943,'PLAN MAESTRO FINAL'!$A114,'HOJAS DE HORA PROY.'!$M$2:$M$943,J$113)</f>
        <v>0</v>
      </c>
      <c r="K114" s="8">
        <f>SUMIFS('HOJAS DE HORA PROY.'!$F$2:$F$943,'HOJAS DE HORA PROY.'!$A$2:$A$943,'PLAN MAESTRO FINAL'!$A114,'HOJAS DE HORA PROY.'!$M$2:$M$943,K$113)</f>
        <v>0</v>
      </c>
      <c r="L114" s="8">
        <f>SUMIFS('HOJAS DE HORA PROY.'!$F$2:$F$943,'HOJAS DE HORA PROY.'!$A$2:$A$943,'PLAN MAESTRO FINAL'!$A114,'HOJAS DE HORA PROY.'!$M$2:$M$943,L$113)</f>
        <v>0</v>
      </c>
      <c r="M114" s="8">
        <f>SUMIFS('HOJAS DE HORA PROY.'!$F$2:$F$943,'HOJAS DE HORA PROY.'!$A$2:$A$943,'PLAN MAESTRO FINAL'!$A114,'HOJAS DE HORA PROY.'!$M$2:$M$943,M$113)</f>
        <v>0</v>
      </c>
      <c r="N114" s="8">
        <f>SUMIFS('HOJAS DE HORA PROY.'!$F$2:$F$943,'HOJAS DE HORA PROY.'!$A$2:$A$943,'PLAN MAESTRO FINAL'!$A114,'HOJAS DE HORA PROY.'!$M$2:$M$943,N$113)</f>
        <v>0</v>
      </c>
      <c r="O114" s="8">
        <f>SUMIFS('HOJAS DE HORA PROY.'!$F$2:$F$943,'HOJAS DE HORA PROY.'!$A$2:$A$943,'PLAN MAESTRO FINAL'!$A114,'HOJAS DE HORA PROY.'!$M$2:$M$943,O$113)</f>
        <v>0</v>
      </c>
      <c r="P114" s="8">
        <f>SUMIFS('HOJAS DE HORA PROY.'!$F$2:$F$943,'HOJAS DE HORA PROY.'!$A$2:$A$943,'PLAN MAESTRO FINAL'!$A114,'HOJAS DE HORA PROY.'!$M$2:$M$943,P$113)</f>
        <v>0</v>
      </c>
      <c r="Q114" s="8">
        <f>SUMIFS('HOJAS DE HORA PROY.'!$F$2:$F$943,'HOJAS DE HORA PROY.'!$A$2:$A$943,'PLAN MAESTRO FINAL'!$A114,'HOJAS DE HORA PROY.'!$M$2:$M$943,Q$113)</f>
        <v>0</v>
      </c>
      <c r="R114" s="8">
        <f>SUMIFS('HOJAS DE HORA PROY.'!$F$2:$F$943,'HOJAS DE HORA PROY.'!$A$2:$A$943,'PLAN MAESTRO FINAL'!$A114,'HOJAS DE HORA PROY.'!$M$2:$M$943,R$113)</f>
        <v>0</v>
      </c>
      <c r="S114" s="8">
        <f>SUMIFS('HOJAS DE HORA PROY.'!$F$2:$F$943,'HOJAS DE HORA PROY.'!$A$2:$A$943,'PLAN MAESTRO FINAL'!$A114,'HOJAS DE HORA PROY.'!$M$2:$M$943,S$113)</f>
        <v>0</v>
      </c>
      <c r="T114" s="8">
        <f>SUMIFS('HOJAS DE HORA PROY.'!$F$2:$F$943,'HOJAS DE HORA PROY.'!$A$2:$A$943,'PLAN MAESTRO FINAL'!$A114,'HOJAS DE HORA PROY.'!$M$2:$M$943,T$113)</f>
        <v>0</v>
      </c>
      <c r="U114" s="8">
        <f>SUMIFS('HOJAS DE HORA PROY.'!$F$2:$F$943,'HOJAS DE HORA PROY.'!$A$2:$A$943,'PLAN MAESTRO FINAL'!$A114,'HOJAS DE HORA PROY.'!$M$2:$M$943,U$113)</f>
        <v>0</v>
      </c>
      <c r="V114" s="8">
        <f>SUMIFS('HOJAS DE HORA PROY.'!$F$2:$F$943,'HOJAS DE HORA PROY.'!$A$2:$A$943,'PLAN MAESTRO FINAL'!$A114,'HOJAS DE HORA PROY.'!$M$2:$M$943,V$113)</f>
        <v>0</v>
      </c>
      <c r="W114" s="8">
        <f>SUMIFS('HOJAS DE HORA PROY.'!$F$2:$F$943,'HOJAS DE HORA PROY.'!$A$2:$A$943,'PLAN MAESTRO FINAL'!$A114,'HOJAS DE HORA PROY.'!$M$2:$M$943,W$113)</f>
        <v>0</v>
      </c>
    </row>
    <row r="115" spans="1:23" hidden="1" outlineLevel="1" x14ac:dyDescent="0.3">
      <c r="A115" s="13" t="s">
        <v>85</v>
      </c>
      <c r="B115" s="8">
        <f>SUMIFS('HOJAS DE HORA PROY.'!$F$2:$F$943,'HOJAS DE HORA PROY.'!$A$2:$A$943,'PLAN MAESTRO FINAL'!$A115,'HOJAS DE HORA PROY.'!$M$2:$M$943,B$113)</f>
        <v>0</v>
      </c>
      <c r="C115" s="8">
        <f>SUMIFS('HOJAS DE HORA PROY.'!$F$2:$F$943,'HOJAS DE HORA PROY.'!$A$2:$A$943,'PLAN MAESTRO FINAL'!$A115,'HOJAS DE HORA PROY.'!$M$2:$M$943,C$113)</f>
        <v>0</v>
      </c>
      <c r="D115" s="8">
        <f>SUMIFS('HOJAS DE HORA PROY.'!$F$2:$F$943,'HOJAS DE HORA PROY.'!$A$2:$A$943,'PLAN MAESTRO FINAL'!$A115,'HOJAS DE HORA PROY.'!$M$2:$M$943,D$113)</f>
        <v>0</v>
      </c>
      <c r="E115" s="8">
        <f>SUMIFS('HOJAS DE HORA PROY.'!$F$2:$F$943,'HOJAS DE HORA PROY.'!$A$2:$A$943,'PLAN MAESTRO FINAL'!$A115,'HOJAS DE HORA PROY.'!$M$2:$M$943,E$113)</f>
        <v>0</v>
      </c>
      <c r="F115" s="8">
        <f>SUMIFS('HOJAS DE HORA PROY.'!$F$2:$F$943,'HOJAS DE HORA PROY.'!$A$2:$A$943,'PLAN MAESTRO FINAL'!$A115,'HOJAS DE HORA PROY.'!$M$2:$M$943,F$113)</f>
        <v>0</v>
      </c>
      <c r="G115" s="8">
        <f>SUMIFS('HOJAS DE HORA PROY.'!$F$2:$F$943,'HOJAS DE HORA PROY.'!$A$2:$A$943,'PLAN MAESTRO FINAL'!$A115,'HOJAS DE HORA PROY.'!$M$2:$M$943,G$113)</f>
        <v>5</v>
      </c>
      <c r="H115" s="8">
        <f>SUMIFS('HOJAS DE HORA PROY.'!$F$2:$F$943,'HOJAS DE HORA PROY.'!$A$2:$A$943,'PLAN MAESTRO FINAL'!$A115,'HOJAS DE HORA PROY.'!$M$2:$M$943,H$113)</f>
        <v>0</v>
      </c>
      <c r="I115" s="8">
        <f>SUMIFS('HOJAS DE HORA PROY.'!$F$2:$F$943,'HOJAS DE HORA PROY.'!$A$2:$A$943,'PLAN MAESTRO FINAL'!$A115,'HOJAS DE HORA PROY.'!$M$2:$M$943,I$113)</f>
        <v>0</v>
      </c>
      <c r="J115" s="8">
        <f>SUMIFS('HOJAS DE HORA PROY.'!$F$2:$F$943,'HOJAS DE HORA PROY.'!$A$2:$A$943,'PLAN MAESTRO FINAL'!$A115,'HOJAS DE HORA PROY.'!$M$2:$M$943,J$113)</f>
        <v>0</v>
      </c>
      <c r="K115" s="8">
        <f>SUMIFS('HOJAS DE HORA PROY.'!$F$2:$F$943,'HOJAS DE HORA PROY.'!$A$2:$A$943,'PLAN MAESTRO FINAL'!$A115,'HOJAS DE HORA PROY.'!$M$2:$M$943,K$113)</f>
        <v>5</v>
      </c>
      <c r="L115" s="8">
        <f>SUMIFS('HOJAS DE HORA PROY.'!$F$2:$F$943,'HOJAS DE HORA PROY.'!$A$2:$A$943,'PLAN MAESTRO FINAL'!$A115,'HOJAS DE HORA PROY.'!$M$2:$M$943,L$113)</f>
        <v>0</v>
      </c>
      <c r="M115" s="8">
        <f>SUMIFS('HOJAS DE HORA PROY.'!$F$2:$F$943,'HOJAS DE HORA PROY.'!$A$2:$A$943,'PLAN MAESTRO FINAL'!$A115,'HOJAS DE HORA PROY.'!$M$2:$M$943,M$113)</f>
        <v>0</v>
      </c>
      <c r="N115" s="8">
        <f>SUMIFS('HOJAS DE HORA PROY.'!$F$2:$F$943,'HOJAS DE HORA PROY.'!$A$2:$A$943,'PLAN MAESTRO FINAL'!$A115,'HOJAS DE HORA PROY.'!$M$2:$M$943,N$113)</f>
        <v>0</v>
      </c>
      <c r="O115" s="8">
        <f>SUMIFS('HOJAS DE HORA PROY.'!$F$2:$F$943,'HOJAS DE HORA PROY.'!$A$2:$A$943,'PLAN MAESTRO FINAL'!$A115,'HOJAS DE HORA PROY.'!$M$2:$M$943,O$113)</f>
        <v>0</v>
      </c>
      <c r="P115" s="8">
        <f>SUMIFS('HOJAS DE HORA PROY.'!$F$2:$F$943,'HOJAS DE HORA PROY.'!$A$2:$A$943,'PLAN MAESTRO FINAL'!$A115,'HOJAS DE HORA PROY.'!$M$2:$M$943,P$113)</f>
        <v>0</v>
      </c>
      <c r="Q115" s="8">
        <f>SUMIFS('HOJAS DE HORA PROY.'!$F$2:$F$943,'HOJAS DE HORA PROY.'!$A$2:$A$943,'PLAN MAESTRO FINAL'!$A115,'HOJAS DE HORA PROY.'!$M$2:$M$943,Q$113)</f>
        <v>0</v>
      </c>
      <c r="R115" s="8">
        <f>SUMIFS('HOJAS DE HORA PROY.'!$F$2:$F$943,'HOJAS DE HORA PROY.'!$A$2:$A$943,'PLAN MAESTRO FINAL'!$A115,'HOJAS DE HORA PROY.'!$M$2:$M$943,R$113)</f>
        <v>0</v>
      </c>
      <c r="S115" s="8">
        <f>SUMIFS('HOJAS DE HORA PROY.'!$F$2:$F$943,'HOJAS DE HORA PROY.'!$A$2:$A$943,'PLAN MAESTRO FINAL'!$A115,'HOJAS DE HORA PROY.'!$M$2:$M$943,S$113)</f>
        <v>0</v>
      </c>
      <c r="T115" s="8">
        <f>SUMIFS('HOJAS DE HORA PROY.'!$F$2:$F$943,'HOJAS DE HORA PROY.'!$A$2:$A$943,'PLAN MAESTRO FINAL'!$A115,'HOJAS DE HORA PROY.'!$M$2:$M$943,T$113)</f>
        <v>0</v>
      </c>
      <c r="U115" s="8">
        <f>SUMIFS('HOJAS DE HORA PROY.'!$F$2:$F$943,'HOJAS DE HORA PROY.'!$A$2:$A$943,'PLAN MAESTRO FINAL'!$A115,'HOJAS DE HORA PROY.'!$M$2:$M$943,U$113)</f>
        <v>0</v>
      </c>
      <c r="V115" s="8">
        <f>SUMIFS('HOJAS DE HORA PROY.'!$F$2:$F$943,'HOJAS DE HORA PROY.'!$A$2:$A$943,'PLAN MAESTRO FINAL'!$A115,'HOJAS DE HORA PROY.'!$M$2:$M$943,V$113)</f>
        <v>0</v>
      </c>
      <c r="W115" s="8">
        <f>SUMIFS('HOJAS DE HORA PROY.'!$F$2:$F$943,'HOJAS DE HORA PROY.'!$A$2:$A$943,'PLAN MAESTRO FINAL'!$A115,'HOJAS DE HORA PROY.'!$M$2:$M$943,W$113)</f>
        <v>0</v>
      </c>
    </row>
    <row r="116" spans="1:23" hidden="1" outlineLevel="1" x14ac:dyDescent="0.3">
      <c r="A116" s="13" t="s">
        <v>126</v>
      </c>
      <c r="B116" s="8">
        <f>SUMIFS('HOJAS DE HORA PROY.'!$F$2:$F$943,'HOJAS DE HORA PROY.'!$A$2:$A$943,'PLAN MAESTRO FINAL'!$A116,'HOJAS DE HORA PROY.'!$M$2:$M$943,B$113)</f>
        <v>0</v>
      </c>
      <c r="C116" s="8">
        <f>SUMIFS('HOJAS DE HORA PROY.'!$F$2:$F$943,'HOJAS DE HORA PROY.'!$A$2:$A$943,'PLAN MAESTRO FINAL'!$A116,'HOJAS DE HORA PROY.'!$M$2:$M$943,C$113)</f>
        <v>0</v>
      </c>
      <c r="D116" s="8">
        <f>SUMIFS('HOJAS DE HORA PROY.'!$F$2:$F$943,'HOJAS DE HORA PROY.'!$A$2:$A$943,'PLAN MAESTRO FINAL'!$A116,'HOJAS DE HORA PROY.'!$M$2:$M$943,D$113)</f>
        <v>0</v>
      </c>
      <c r="E116" s="8">
        <f>SUMIFS('HOJAS DE HORA PROY.'!$F$2:$F$943,'HOJAS DE HORA PROY.'!$A$2:$A$943,'PLAN MAESTRO FINAL'!$A116,'HOJAS DE HORA PROY.'!$M$2:$M$943,E$113)</f>
        <v>0</v>
      </c>
      <c r="F116" s="8">
        <f>SUMIFS('HOJAS DE HORA PROY.'!$F$2:$F$943,'HOJAS DE HORA PROY.'!$A$2:$A$943,'PLAN MAESTRO FINAL'!$A116,'HOJAS DE HORA PROY.'!$M$2:$M$943,F$113)</f>
        <v>0</v>
      </c>
      <c r="G116" s="8">
        <f>SUMIFS('HOJAS DE HORA PROY.'!$F$2:$F$943,'HOJAS DE HORA PROY.'!$A$2:$A$943,'PLAN MAESTRO FINAL'!$A116,'HOJAS DE HORA PROY.'!$M$2:$M$943,G$113)</f>
        <v>0</v>
      </c>
      <c r="H116" s="8">
        <f>SUMIFS('HOJAS DE HORA PROY.'!$F$2:$F$943,'HOJAS DE HORA PROY.'!$A$2:$A$943,'PLAN MAESTRO FINAL'!$A116,'HOJAS DE HORA PROY.'!$M$2:$M$943,H$113)</f>
        <v>0</v>
      </c>
      <c r="I116" s="8">
        <f>SUMIFS('HOJAS DE HORA PROY.'!$F$2:$F$943,'HOJAS DE HORA PROY.'!$A$2:$A$943,'PLAN MAESTRO FINAL'!$A116,'HOJAS DE HORA PROY.'!$M$2:$M$943,I$113)</f>
        <v>0</v>
      </c>
      <c r="J116" s="8">
        <f>SUMIFS('HOJAS DE HORA PROY.'!$F$2:$F$943,'HOJAS DE HORA PROY.'!$A$2:$A$943,'PLAN MAESTRO FINAL'!$A116,'HOJAS DE HORA PROY.'!$M$2:$M$943,J$113)</f>
        <v>0</v>
      </c>
      <c r="K116" s="8">
        <f>SUMIFS('HOJAS DE HORA PROY.'!$F$2:$F$943,'HOJAS DE HORA PROY.'!$A$2:$A$943,'PLAN MAESTRO FINAL'!$A116,'HOJAS DE HORA PROY.'!$M$2:$M$943,K$113)</f>
        <v>0</v>
      </c>
      <c r="L116" s="8">
        <f>SUMIFS('HOJAS DE HORA PROY.'!$F$2:$F$943,'HOJAS DE HORA PROY.'!$A$2:$A$943,'PLAN MAESTRO FINAL'!$A116,'HOJAS DE HORA PROY.'!$M$2:$M$943,L$113)</f>
        <v>0</v>
      </c>
      <c r="M116" s="8">
        <f>SUMIFS('HOJAS DE HORA PROY.'!$F$2:$F$943,'HOJAS DE HORA PROY.'!$A$2:$A$943,'PLAN MAESTRO FINAL'!$A116,'HOJAS DE HORA PROY.'!$M$2:$M$943,M$113)</f>
        <v>0</v>
      </c>
      <c r="N116" s="8">
        <f>SUMIFS('HOJAS DE HORA PROY.'!$F$2:$F$943,'HOJAS DE HORA PROY.'!$A$2:$A$943,'PLAN MAESTRO FINAL'!$A116,'HOJAS DE HORA PROY.'!$M$2:$M$943,N$113)</f>
        <v>0</v>
      </c>
      <c r="O116" s="8">
        <f>SUMIFS('HOJAS DE HORA PROY.'!$F$2:$F$943,'HOJAS DE HORA PROY.'!$A$2:$A$943,'PLAN MAESTRO FINAL'!$A116,'HOJAS DE HORA PROY.'!$M$2:$M$943,O$113)</f>
        <v>0</v>
      </c>
      <c r="P116" s="8">
        <f>SUMIFS('HOJAS DE HORA PROY.'!$F$2:$F$943,'HOJAS DE HORA PROY.'!$A$2:$A$943,'PLAN MAESTRO FINAL'!$A116,'HOJAS DE HORA PROY.'!$M$2:$M$943,P$113)</f>
        <v>0</v>
      </c>
      <c r="Q116" s="8">
        <f>SUMIFS('HOJAS DE HORA PROY.'!$F$2:$F$943,'HOJAS DE HORA PROY.'!$A$2:$A$943,'PLAN MAESTRO FINAL'!$A116,'HOJAS DE HORA PROY.'!$M$2:$M$943,Q$113)</f>
        <v>0</v>
      </c>
      <c r="R116" s="8">
        <f>SUMIFS('HOJAS DE HORA PROY.'!$F$2:$F$943,'HOJAS DE HORA PROY.'!$A$2:$A$943,'PLAN MAESTRO FINAL'!$A116,'HOJAS DE HORA PROY.'!$M$2:$M$943,R$113)</f>
        <v>0</v>
      </c>
      <c r="S116" s="8">
        <f>SUMIFS('HOJAS DE HORA PROY.'!$F$2:$F$943,'HOJAS DE HORA PROY.'!$A$2:$A$943,'PLAN MAESTRO FINAL'!$A116,'HOJAS DE HORA PROY.'!$M$2:$M$943,S$113)</f>
        <v>0</v>
      </c>
      <c r="T116" s="8">
        <f>SUMIFS('HOJAS DE HORA PROY.'!$F$2:$F$943,'HOJAS DE HORA PROY.'!$A$2:$A$943,'PLAN MAESTRO FINAL'!$A116,'HOJAS DE HORA PROY.'!$M$2:$M$943,T$113)</f>
        <v>0</v>
      </c>
      <c r="U116" s="8">
        <f>SUMIFS('HOJAS DE HORA PROY.'!$F$2:$F$943,'HOJAS DE HORA PROY.'!$A$2:$A$943,'PLAN MAESTRO FINAL'!$A116,'HOJAS DE HORA PROY.'!$M$2:$M$943,U$113)</f>
        <v>0</v>
      </c>
      <c r="V116" s="8">
        <f>SUMIFS('HOJAS DE HORA PROY.'!$F$2:$F$943,'HOJAS DE HORA PROY.'!$A$2:$A$943,'PLAN MAESTRO FINAL'!$A116,'HOJAS DE HORA PROY.'!$M$2:$M$943,V$113)</f>
        <v>0</v>
      </c>
      <c r="W116" s="8">
        <f>SUMIFS('HOJAS DE HORA PROY.'!$F$2:$F$943,'HOJAS DE HORA PROY.'!$A$2:$A$943,'PLAN MAESTRO FINAL'!$A116,'HOJAS DE HORA PROY.'!$M$2:$M$943,W$113)</f>
        <v>0</v>
      </c>
    </row>
    <row r="117" spans="1:23" hidden="1" outlineLevel="1" x14ac:dyDescent="0.3">
      <c r="A117" s="13" t="s">
        <v>132</v>
      </c>
      <c r="B117" s="8">
        <f>SUMIFS('HOJAS DE HORA PROY.'!$F$2:$F$943,'HOJAS DE HORA PROY.'!$A$2:$A$943,'PLAN MAESTRO FINAL'!$A117,'HOJAS DE HORA PROY.'!$M$2:$M$943,B$113)</f>
        <v>0</v>
      </c>
      <c r="C117" s="8">
        <f>SUMIFS('HOJAS DE HORA PROY.'!$F$2:$F$943,'HOJAS DE HORA PROY.'!$A$2:$A$943,'PLAN MAESTRO FINAL'!$A117,'HOJAS DE HORA PROY.'!$M$2:$M$943,C$113)</f>
        <v>0</v>
      </c>
      <c r="D117" s="8">
        <f>SUMIFS('HOJAS DE HORA PROY.'!$F$2:$F$943,'HOJAS DE HORA PROY.'!$A$2:$A$943,'PLAN MAESTRO FINAL'!$A117,'HOJAS DE HORA PROY.'!$M$2:$M$943,D$113)</f>
        <v>0</v>
      </c>
      <c r="E117" s="8">
        <f>SUMIFS('HOJAS DE HORA PROY.'!$F$2:$F$943,'HOJAS DE HORA PROY.'!$A$2:$A$943,'PLAN MAESTRO FINAL'!$A117,'HOJAS DE HORA PROY.'!$M$2:$M$943,E$113)</f>
        <v>0</v>
      </c>
      <c r="F117" s="8">
        <f>SUMIFS('HOJAS DE HORA PROY.'!$F$2:$F$943,'HOJAS DE HORA PROY.'!$A$2:$A$943,'PLAN MAESTRO FINAL'!$A117,'HOJAS DE HORA PROY.'!$M$2:$M$943,F$113)</f>
        <v>0</v>
      </c>
      <c r="G117" s="8">
        <f>SUMIFS('HOJAS DE HORA PROY.'!$F$2:$F$943,'HOJAS DE HORA PROY.'!$A$2:$A$943,'PLAN MAESTRO FINAL'!$A117,'HOJAS DE HORA PROY.'!$M$2:$M$943,G$113)</f>
        <v>0</v>
      </c>
      <c r="H117" s="8">
        <f>SUMIFS('HOJAS DE HORA PROY.'!$F$2:$F$943,'HOJAS DE HORA PROY.'!$A$2:$A$943,'PLAN MAESTRO FINAL'!$A117,'HOJAS DE HORA PROY.'!$M$2:$M$943,H$113)</f>
        <v>0</v>
      </c>
      <c r="I117" s="8">
        <f>SUMIFS('HOJAS DE HORA PROY.'!$F$2:$F$943,'HOJAS DE HORA PROY.'!$A$2:$A$943,'PLAN MAESTRO FINAL'!$A117,'HOJAS DE HORA PROY.'!$M$2:$M$943,I$113)</f>
        <v>0</v>
      </c>
      <c r="J117" s="8">
        <f>SUMIFS('HOJAS DE HORA PROY.'!$F$2:$F$943,'HOJAS DE HORA PROY.'!$A$2:$A$943,'PLAN MAESTRO FINAL'!$A117,'HOJAS DE HORA PROY.'!$M$2:$M$943,J$113)</f>
        <v>0</v>
      </c>
      <c r="K117" s="8">
        <f>SUMIFS('HOJAS DE HORA PROY.'!$F$2:$F$943,'HOJAS DE HORA PROY.'!$A$2:$A$943,'PLAN MAESTRO FINAL'!$A117,'HOJAS DE HORA PROY.'!$M$2:$M$943,K$113)</f>
        <v>0</v>
      </c>
      <c r="L117" s="8">
        <f>SUMIFS('HOJAS DE HORA PROY.'!$F$2:$F$943,'HOJAS DE HORA PROY.'!$A$2:$A$943,'PLAN MAESTRO FINAL'!$A117,'HOJAS DE HORA PROY.'!$M$2:$M$943,L$113)</f>
        <v>0</v>
      </c>
      <c r="M117" s="8">
        <f>SUMIFS('HOJAS DE HORA PROY.'!$F$2:$F$943,'HOJAS DE HORA PROY.'!$A$2:$A$943,'PLAN MAESTRO FINAL'!$A117,'HOJAS DE HORA PROY.'!$M$2:$M$943,M$113)</f>
        <v>0</v>
      </c>
      <c r="N117" s="8">
        <f>SUMIFS('HOJAS DE HORA PROY.'!$F$2:$F$943,'HOJAS DE HORA PROY.'!$A$2:$A$943,'PLAN MAESTRO FINAL'!$A117,'HOJAS DE HORA PROY.'!$M$2:$M$943,N$113)</f>
        <v>0</v>
      </c>
      <c r="O117" s="8">
        <f>SUMIFS('HOJAS DE HORA PROY.'!$F$2:$F$943,'HOJAS DE HORA PROY.'!$A$2:$A$943,'PLAN MAESTRO FINAL'!$A117,'HOJAS DE HORA PROY.'!$M$2:$M$943,O$113)</f>
        <v>0</v>
      </c>
      <c r="P117" s="8">
        <f>SUMIFS('HOJAS DE HORA PROY.'!$F$2:$F$943,'HOJAS DE HORA PROY.'!$A$2:$A$943,'PLAN MAESTRO FINAL'!$A117,'HOJAS DE HORA PROY.'!$M$2:$M$943,P$113)</f>
        <v>0</v>
      </c>
      <c r="Q117" s="8">
        <f>SUMIFS('HOJAS DE HORA PROY.'!$F$2:$F$943,'HOJAS DE HORA PROY.'!$A$2:$A$943,'PLAN MAESTRO FINAL'!$A117,'HOJAS DE HORA PROY.'!$M$2:$M$943,Q$113)</f>
        <v>0</v>
      </c>
      <c r="R117" s="8">
        <f>SUMIFS('HOJAS DE HORA PROY.'!$F$2:$F$943,'HOJAS DE HORA PROY.'!$A$2:$A$943,'PLAN MAESTRO FINAL'!$A117,'HOJAS DE HORA PROY.'!$M$2:$M$943,R$113)</f>
        <v>0</v>
      </c>
      <c r="S117" s="8">
        <f>SUMIFS('HOJAS DE HORA PROY.'!$F$2:$F$943,'HOJAS DE HORA PROY.'!$A$2:$A$943,'PLAN MAESTRO FINAL'!$A117,'HOJAS DE HORA PROY.'!$M$2:$M$943,S$113)</f>
        <v>0</v>
      </c>
      <c r="T117" s="8">
        <f>SUMIFS('HOJAS DE HORA PROY.'!$F$2:$F$943,'HOJAS DE HORA PROY.'!$A$2:$A$943,'PLAN MAESTRO FINAL'!$A117,'HOJAS DE HORA PROY.'!$M$2:$M$943,T$113)</f>
        <v>0</v>
      </c>
      <c r="U117" s="8">
        <f>SUMIFS('HOJAS DE HORA PROY.'!$F$2:$F$943,'HOJAS DE HORA PROY.'!$A$2:$A$943,'PLAN MAESTRO FINAL'!$A117,'HOJAS DE HORA PROY.'!$M$2:$M$943,U$113)</f>
        <v>0</v>
      </c>
      <c r="V117" s="8">
        <f>SUMIFS('HOJAS DE HORA PROY.'!$F$2:$F$943,'HOJAS DE HORA PROY.'!$A$2:$A$943,'PLAN MAESTRO FINAL'!$A117,'HOJAS DE HORA PROY.'!$M$2:$M$943,V$113)</f>
        <v>0</v>
      </c>
      <c r="W117" s="8">
        <f>SUMIFS('HOJAS DE HORA PROY.'!$F$2:$F$943,'HOJAS DE HORA PROY.'!$A$2:$A$943,'PLAN MAESTRO FINAL'!$A117,'HOJAS DE HORA PROY.'!$M$2:$M$943,W$113)</f>
        <v>0</v>
      </c>
    </row>
    <row r="118" spans="1:23" hidden="1" outlineLevel="1" x14ac:dyDescent="0.3">
      <c r="A118" s="13" t="s">
        <v>141</v>
      </c>
      <c r="B118" s="8">
        <f>SUMIFS('HOJAS DE HORA PROY.'!$F$2:$F$943,'HOJAS DE HORA PROY.'!$A$2:$A$943,'PLAN MAESTRO FINAL'!$A118,'HOJAS DE HORA PROY.'!$M$2:$M$943,B$113)</f>
        <v>0</v>
      </c>
      <c r="C118" s="8">
        <f>SUMIFS('HOJAS DE HORA PROY.'!$F$2:$F$943,'HOJAS DE HORA PROY.'!$A$2:$A$943,'PLAN MAESTRO FINAL'!$A118,'HOJAS DE HORA PROY.'!$M$2:$M$943,C$113)</f>
        <v>0</v>
      </c>
      <c r="D118" s="8">
        <f>SUMIFS('HOJAS DE HORA PROY.'!$F$2:$F$943,'HOJAS DE HORA PROY.'!$A$2:$A$943,'PLAN MAESTRO FINAL'!$A118,'HOJAS DE HORA PROY.'!$M$2:$M$943,D$113)</f>
        <v>0</v>
      </c>
      <c r="E118" s="8">
        <f>SUMIFS('HOJAS DE HORA PROY.'!$F$2:$F$943,'HOJAS DE HORA PROY.'!$A$2:$A$943,'PLAN MAESTRO FINAL'!$A118,'HOJAS DE HORA PROY.'!$M$2:$M$943,E$113)</f>
        <v>0</v>
      </c>
      <c r="F118" s="8">
        <f>SUMIFS('HOJAS DE HORA PROY.'!$F$2:$F$943,'HOJAS DE HORA PROY.'!$A$2:$A$943,'PLAN MAESTRO FINAL'!$A118,'HOJAS DE HORA PROY.'!$M$2:$M$943,F$113)</f>
        <v>0</v>
      </c>
      <c r="G118" s="8">
        <f>SUMIFS('HOJAS DE HORA PROY.'!$F$2:$F$943,'HOJAS DE HORA PROY.'!$A$2:$A$943,'PLAN MAESTRO FINAL'!$A118,'HOJAS DE HORA PROY.'!$M$2:$M$943,G$113)</f>
        <v>0</v>
      </c>
      <c r="H118" s="8">
        <f>SUMIFS('HOJAS DE HORA PROY.'!$F$2:$F$943,'HOJAS DE HORA PROY.'!$A$2:$A$943,'PLAN MAESTRO FINAL'!$A118,'HOJAS DE HORA PROY.'!$M$2:$M$943,H$113)</f>
        <v>0</v>
      </c>
      <c r="I118" s="8">
        <f>SUMIFS('HOJAS DE HORA PROY.'!$F$2:$F$943,'HOJAS DE HORA PROY.'!$A$2:$A$943,'PLAN MAESTRO FINAL'!$A118,'HOJAS DE HORA PROY.'!$M$2:$M$943,I$113)</f>
        <v>0</v>
      </c>
      <c r="J118" s="8">
        <f>SUMIFS('HOJAS DE HORA PROY.'!$F$2:$F$943,'HOJAS DE HORA PROY.'!$A$2:$A$943,'PLAN MAESTRO FINAL'!$A118,'HOJAS DE HORA PROY.'!$M$2:$M$943,J$113)</f>
        <v>0</v>
      </c>
      <c r="K118" s="8">
        <f>SUMIFS('HOJAS DE HORA PROY.'!$F$2:$F$943,'HOJAS DE HORA PROY.'!$A$2:$A$943,'PLAN MAESTRO FINAL'!$A118,'HOJAS DE HORA PROY.'!$M$2:$M$943,K$113)</f>
        <v>0</v>
      </c>
      <c r="L118" s="8">
        <f>SUMIFS('HOJAS DE HORA PROY.'!$F$2:$F$943,'HOJAS DE HORA PROY.'!$A$2:$A$943,'PLAN MAESTRO FINAL'!$A118,'HOJAS DE HORA PROY.'!$M$2:$M$943,L$113)</f>
        <v>0</v>
      </c>
      <c r="M118" s="8">
        <f>SUMIFS('HOJAS DE HORA PROY.'!$F$2:$F$943,'HOJAS DE HORA PROY.'!$A$2:$A$943,'PLAN MAESTRO FINAL'!$A118,'HOJAS DE HORA PROY.'!$M$2:$M$943,M$113)</f>
        <v>0</v>
      </c>
      <c r="N118" s="8">
        <f>SUMIFS('HOJAS DE HORA PROY.'!$F$2:$F$943,'HOJAS DE HORA PROY.'!$A$2:$A$943,'PLAN MAESTRO FINAL'!$A118,'HOJAS DE HORA PROY.'!$M$2:$M$943,N$113)</f>
        <v>0</v>
      </c>
      <c r="O118" s="8">
        <f>SUMIFS('HOJAS DE HORA PROY.'!$F$2:$F$943,'HOJAS DE HORA PROY.'!$A$2:$A$943,'PLAN MAESTRO FINAL'!$A118,'HOJAS DE HORA PROY.'!$M$2:$M$943,O$113)</f>
        <v>0</v>
      </c>
      <c r="P118" s="8">
        <f>SUMIFS('HOJAS DE HORA PROY.'!$F$2:$F$943,'HOJAS DE HORA PROY.'!$A$2:$A$943,'PLAN MAESTRO FINAL'!$A118,'HOJAS DE HORA PROY.'!$M$2:$M$943,P$113)</f>
        <v>0</v>
      </c>
      <c r="Q118" s="8">
        <f>SUMIFS('HOJAS DE HORA PROY.'!$F$2:$F$943,'HOJAS DE HORA PROY.'!$A$2:$A$943,'PLAN MAESTRO FINAL'!$A118,'HOJAS DE HORA PROY.'!$M$2:$M$943,Q$113)</f>
        <v>0</v>
      </c>
      <c r="R118" s="8">
        <f>SUMIFS('HOJAS DE HORA PROY.'!$F$2:$F$943,'HOJAS DE HORA PROY.'!$A$2:$A$943,'PLAN MAESTRO FINAL'!$A118,'HOJAS DE HORA PROY.'!$M$2:$M$943,R$113)</f>
        <v>0</v>
      </c>
      <c r="S118" s="8">
        <f>SUMIFS('HOJAS DE HORA PROY.'!$F$2:$F$943,'HOJAS DE HORA PROY.'!$A$2:$A$943,'PLAN MAESTRO FINAL'!$A118,'HOJAS DE HORA PROY.'!$M$2:$M$943,S$113)</f>
        <v>0</v>
      </c>
      <c r="T118" s="8">
        <f>SUMIFS('HOJAS DE HORA PROY.'!$F$2:$F$943,'HOJAS DE HORA PROY.'!$A$2:$A$943,'PLAN MAESTRO FINAL'!$A118,'HOJAS DE HORA PROY.'!$M$2:$M$943,T$113)</f>
        <v>0</v>
      </c>
      <c r="U118" s="8">
        <f>SUMIFS('HOJAS DE HORA PROY.'!$F$2:$F$943,'HOJAS DE HORA PROY.'!$A$2:$A$943,'PLAN MAESTRO FINAL'!$A118,'HOJAS DE HORA PROY.'!$M$2:$M$943,U$113)</f>
        <v>0</v>
      </c>
      <c r="V118" s="8">
        <f>SUMIFS('HOJAS DE HORA PROY.'!$F$2:$F$943,'HOJAS DE HORA PROY.'!$A$2:$A$943,'PLAN MAESTRO FINAL'!$A118,'HOJAS DE HORA PROY.'!$M$2:$M$943,V$113)</f>
        <v>0</v>
      </c>
      <c r="W118" s="8">
        <f>SUMIFS('HOJAS DE HORA PROY.'!$F$2:$F$943,'HOJAS DE HORA PROY.'!$A$2:$A$943,'PLAN MAESTRO FINAL'!$A118,'HOJAS DE HORA PROY.'!$M$2:$M$943,W$113)</f>
        <v>0</v>
      </c>
    </row>
    <row r="119" spans="1:23" hidden="1" outlineLevel="1" x14ac:dyDescent="0.3">
      <c r="A119" s="13" t="s">
        <v>161</v>
      </c>
      <c r="B119" s="8">
        <f>SUMIFS('HOJAS DE HORA PROY.'!$F$2:$F$943,'HOJAS DE HORA PROY.'!$A$2:$A$943,'PLAN MAESTRO FINAL'!$A119,'HOJAS DE HORA PROY.'!$M$2:$M$943,B$113)</f>
        <v>0</v>
      </c>
      <c r="C119" s="8">
        <f>SUMIFS('HOJAS DE HORA PROY.'!$F$2:$F$943,'HOJAS DE HORA PROY.'!$A$2:$A$943,'PLAN MAESTRO FINAL'!$A119,'HOJAS DE HORA PROY.'!$M$2:$M$943,C$113)</f>
        <v>0</v>
      </c>
      <c r="D119" s="8">
        <f>SUMIFS('HOJAS DE HORA PROY.'!$F$2:$F$943,'HOJAS DE HORA PROY.'!$A$2:$A$943,'PLAN MAESTRO FINAL'!$A119,'HOJAS DE HORA PROY.'!$M$2:$M$943,D$113)</f>
        <v>0</v>
      </c>
      <c r="E119" s="8">
        <f>SUMIFS('HOJAS DE HORA PROY.'!$F$2:$F$943,'HOJAS DE HORA PROY.'!$A$2:$A$943,'PLAN MAESTRO FINAL'!$A119,'HOJAS DE HORA PROY.'!$M$2:$M$943,E$113)</f>
        <v>0</v>
      </c>
      <c r="F119" s="8">
        <f>SUMIFS('HOJAS DE HORA PROY.'!$F$2:$F$943,'HOJAS DE HORA PROY.'!$A$2:$A$943,'PLAN MAESTRO FINAL'!$A119,'HOJAS DE HORA PROY.'!$M$2:$M$943,F$113)</f>
        <v>0</v>
      </c>
      <c r="G119" s="8">
        <f>SUMIFS('HOJAS DE HORA PROY.'!$F$2:$F$943,'HOJAS DE HORA PROY.'!$A$2:$A$943,'PLAN MAESTRO FINAL'!$A119,'HOJAS DE HORA PROY.'!$M$2:$M$943,G$113)</f>
        <v>0</v>
      </c>
      <c r="H119" s="8">
        <f>SUMIFS('HOJAS DE HORA PROY.'!$F$2:$F$943,'HOJAS DE HORA PROY.'!$A$2:$A$943,'PLAN MAESTRO FINAL'!$A119,'HOJAS DE HORA PROY.'!$M$2:$M$943,H$113)</f>
        <v>0</v>
      </c>
      <c r="I119" s="8">
        <f>SUMIFS('HOJAS DE HORA PROY.'!$F$2:$F$943,'HOJAS DE HORA PROY.'!$A$2:$A$943,'PLAN MAESTRO FINAL'!$A119,'HOJAS DE HORA PROY.'!$M$2:$M$943,I$113)</f>
        <v>0</v>
      </c>
      <c r="J119" s="8">
        <f>SUMIFS('HOJAS DE HORA PROY.'!$F$2:$F$943,'HOJAS DE HORA PROY.'!$A$2:$A$943,'PLAN MAESTRO FINAL'!$A119,'HOJAS DE HORA PROY.'!$M$2:$M$943,J$113)</f>
        <v>0</v>
      </c>
      <c r="K119" s="8">
        <f>SUMIFS('HOJAS DE HORA PROY.'!$F$2:$F$943,'HOJAS DE HORA PROY.'!$A$2:$A$943,'PLAN MAESTRO FINAL'!$A119,'HOJAS DE HORA PROY.'!$M$2:$M$943,K$113)</f>
        <v>0</v>
      </c>
      <c r="L119" s="8">
        <f>SUMIFS('HOJAS DE HORA PROY.'!$F$2:$F$943,'HOJAS DE HORA PROY.'!$A$2:$A$943,'PLAN MAESTRO FINAL'!$A119,'HOJAS DE HORA PROY.'!$M$2:$M$943,L$113)</f>
        <v>0</v>
      </c>
      <c r="M119" s="8">
        <f>SUMIFS('HOJAS DE HORA PROY.'!$F$2:$F$943,'HOJAS DE HORA PROY.'!$A$2:$A$943,'PLAN MAESTRO FINAL'!$A119,'HOJAS DE HORA PROY.'!$M$2:$M$943,M$113)</f>
        <v>0</v>
      </c>
      <c r="N119" s="8">
        <f>SUMIFS('HOJAS DE HORA PROY.'!$F$2:$F$943,'HOJAS DE HORA PROY.'!$A$2:$A$943,'PLAN MAESTRO FINAL'!$A119,'HOJAS DE HORA PROY.'!$M$2:$M$943,N$113)</f>
        <v>0</v>
      </c>
      <c r="O119" s="8">
        <f>SUMIFS('HOJAS DE HORA PROY.'!$F$2:$F$943,'HOJAS DE HORA PROY.'!$A$2:$A$943,'PLAN MAESTRO FINAL'!$A119,'HOJAS DE HORA PROY.'!$M$2:$M$943,O$113)</f>
        <v>0</v>
      </c>
      <c r="P119" s="8">
        <f>SUMIFS('HOJAS DE HORA PROY.'!$F$2:$F$943,'HOJAS DE HORA PROY.'!$A$2:$A$943,'PLAN MAESTRO FINAL'!$A119,'HOJAS DE HORA PROY.'!$M$2:$M$943,P$113)</f>
        <v>0</v>
      </c>
      <c r="Q119" s="8">
        <f>SUMIFS('HOJAS DE HORA PROY.'!$F$2:$F$943,'HOJAS DE HORA PROY.'!$A$2:$A$943,'PLAN MAESTRO FINAL'!$A119,'HOJAS DE HORA PROY.'!$M$2:$M$943,Q$113)</f>
        <v>0</v>
      </c>
      <c r="R119" s="8">
        <f>SUMIFS('HOJAS DE HORA PROY.'!$F$2:$F$943,'HOJAS DE HORA PROY.'!$A$2:$A$943,'PLAN MAESTRO FINAL'!$A119,'HOJAS DE HORA PROY.'!$M$2:$M$943,R$113)</f>
        <v>0</v>
      </c>
      <c r="S119" s="8">
        <f>SUMIFS('HOJAS DE HORA PROY.'!$F$2:$F$943,'HOJAS DE HORA PROY.'!$A$2:$A$943,'PLAN MAESTRO FINAL'!$A119,'HOJAS DE HORA PROY.'!$M$2:$M$943,S$113)</f>
        <v>0</v>
      </c>
      <c r="T119" s="8">
        <f>SUMIFS('HOJAS DE HORA PROY.'!$F$2:$F$943,'HOJAS DE HORA PROY.'!$A$2:$A$943,'PLAN MAESTRO FINAL'!$A119,'HOJAS DE HORA PROY.'!$M$2:$M$943,T$113)</f>
        <v>0</v>
      </c>
      <c r="U119" s="8">
        <f>SUMIFS('HOJAS DE HORA PROY.'!$F$2:$F$943,'HOJAS DE HORA PROY.'!$A$2:$A$943,'PLAN MAESTRO FINAL'!$A119,'HOJAS DE HORA PROY.'!$M$2:$M$943,U$113)</f>
        <v>0</v>
      </c>
      <c r="V119" s="8">
        <f>SUMIFS('HOJAS DE HORA PROY.'!$F$2:$F$943,'HOJAS DE HORA PROY.'!$A$2:$A$943,'PLAN MAESTRO FINAL'!$A119,'HOJAS DE HORA PROY.'!$M$2:$M$943,V$113)</f>
        <v>0</v>
      </c>
      <c r="W119" s="8">
        <f>SUMIFS('HOJAS DE HORA PROY.'!$F$2:$F$943,'HOJAS DE HORA PROY.'!$A$2:$A$943,'PLAN MAESTRO FINAL'!$A119,'HOJAS DE HORA PROY.'!$M$2:$M$943,W$113)</f>
        <v>0</v>
      </c>
    </row>
    <row r="120" spans="1:23" hidden="1" outlineLevel="1" x14ac:dyDescent="0.3">
      <c r="A120" s="13" t="s">
        <v>165</v>
      </c>
      <c r="B120" s="8">
        <f>SUMIFS('HOJAS DE HORA PROY.'!$F$2:$F$943,'HOJAS DE HORA PROY.'!$A$2:$A$943,'PLAN MAESTRO FINAL'!$A120,'HOJAS DE HORA PROY.'!$M$2:$M$943,B$113)</f>
        <v>0</v>
      </c>
      <c r="C120" s="8">
        <f>SUMIFS('HOJAS DE HORA PROY.'!$F$2:$F$943,'HOJAS DE HORA PROY.'!$A$2:$A$943,'PLAN MAESTRO FINAL'!$A120,'HOJAS DE HORA PROY.'!$M$2:$M$943,C$113)</f>
        <v>0</v>
      </c>
      <c r="D120" s="8">
        <f>SUMIFS('HOJAS DE HORA PROY.'!$F$2:$F$943,'HOJAS DE HORA PROY.'!$A$2:$A$943,'PLAN MAESTRO FINAL'!$A120,'HOJAS DE HORA PROY.'!$M$2:$M$943,D$113)</f>
        <v>0</v>
      </c>
      <c r="E120" s="8">
        <f>SUMIFS('HOJAS DE HORA PROY.'!$F$2:$F$943,'HOJAS DE HORA PROY.'!$A$2:$A$943,'PLAN MAESTRO FINAL'!$A120,'HOJAS DE HORA PROY.'!$M$2:$M$943,E$113)</f>
        <v>0</v>
      </c>
      <c r="F120" s="8">
        <f>SUMIFS('HOJAS DE HORA PROY.'!$F$2:$F$943,'HOJAS DE HORA PROY.'!$A$2:$A$943,'PLAN MAESTRO FINAL'!$A120,'HOJAS DE HORA PROY.'!$M$2:$M$943,F$113)</f>
        <v>0</v>
      </c>
      <c r="G120" s="8">
        <f>SUMIFS('HOJAS DE HORA PROY.'!$F$2:$F$943,'HOJAS DE HORA PROY.'!$A$2:$A$943,'PLAN MAESTRO FINAL'!$A120,'HOJAS DE HORA PROY.'!$M$2:$M$943,G$113)</f>
        <v>4</v>
      </c>
      <c r="H120" s="8">
        <f>SUMIFS('HOJAS DE HORA PROY.'!$F$2:$F$943,'HOJAS DE HORA PROY.'!$A$2:$A$943,'PLAN MAESTRO FINAL'!$A120,'HOJAS DE HORA PROY.'!$M$2:$M$943,H$113)</f>
        <v>0</v>
      </c>
      <c r="I120" s="8">
        <f>SUMIFS('HOJAS DE HORA PROY.'!$F$2:$F$943,'HOJAS DE HORA PROY.'!$A$2:$A$943,'PLAN MAESTRO FINAL'!$A120,'HOJAS DE HORA PROY.'!$M$2:$M$943,I$113)</f>
        <v>0</v>
      </c>
      <c r="J120" s="8">
        <f>SUMIFS('HOJAS DE HORA PROY.'!$F$2:$F$943,'HOJAS DE HORA PROY.'!$A$2:$A$943,'PLAN MAESTRO FINAL'!$A120,'HOJAS DE HORA PROY.'!$M$2:$M$943,J$113)</f>
        <v>0</v>
      </c>
      <c r="K120" s="8">
        <f>SUMIFS('HOJAS DE HORA PROY.'!$F$2:$F$943,'HOJAS DE HORA PROY.'!$A$2:$A$943,'PLAN MAESTRO FINAL'!$A120,'HOJAS DE HORA PROY.'!$M$2:$M$943,K$113)</f>
        <v>0</v>
      </c>
      <c r="L120" s="8">
        <f>SUMIFS('HOJAS DE HORA PROY.'!$F$2:$F$943,'HOJAS DE HORA PROY.'!$A$2:$A$943,'PLAN MAESTRO FINAL'!$A120,'HOJAS DE HORA PROY.'!$M$2:$M$943,L$113)</f>
        <v>0</v>
      </c>
      <c r="M120" s="8">
        <f>SUMIFS('HOJAS DE HORA PROY.'!$F$2:$F$943,'HOJAS DE HORA PROY.'!$A$2:$A$943,'PLAN MAESTRO FINAL'!$A120,'HOJAS DE HORA PROY.'!$M$2:$M$943,M$113)</f>
        <v>0</v>
      </c>
      <c r="N120" s="8">
        <f>SUMIFS('HOJAS DE HORA PROY.'!$F$2:$F$943,'HOJAS DE HORA PROY.'!$A$2:$A$943,'PLAN MAESTRO FINAL'!$A120,'HOJAS DE HORA PROY.'!$M$2:$M$943,N$113)</f>
        <v>0</v>
      </c>
      <c r="O120" s="8">
        <f>SUMIFS('HOJAS DE HORA PROY.'!$F$2:$F$943,'HOJAS DE HORA PROY.'!$A$2:$A$943,'PLAN MAESTRO FINAL'!$A120,'HOJAS DE HORA PROY.'!$M$2:$M$943,O$113)</f>
        <v>0</v>
      </c>
      <c r="P120" s="8">
        <f>SUMIFS('HOJAS DE HORA PROY.'!$F$2:$F$943,'HOJAS DE HORA PROY.'!$A$2:$A$943,'PLAN MAESTRO FINAL'!$A120,'HOJAS DE HORA PROY.'!$M$2:$M$943,P$113)</f>
        <v>0</v>
      </c>
      <c r="Q120" s="8">
        <f>SUMIFS('HOJAS DE HORA PROY.'!$F$2:$F$943,'HOJAS DE HORA PROY.'!$A$2:$A$943,'PLAN MAESTRO FINAL'!$A120,'HOJAS DE HORA PROY.'!$M$2:$M$943,Q$113)</f>
        <v>0</v>
      </c>
      <c r="R120" s="8">
        <f>SUMIFS('HOJAS DE HORA PROY.'!$F$2:$F$943,'HOJAS DE HORA PROY.'!$A$2:$A$943,'PLAN MAESTRO FINAL'!$A120,'HOJAS DE HORA PROY.'!$M$2:$M$943,R$113)</f>
        <v>0</v>
      </c>
      <c r="S120" s="8">
        <f>SUMIFS('HOJAS DE HORA PROY.'!$F$2:$F$943,'HOJAS DE HORA PROY.'!$A$2:$A$943,'PLAN MAESTRO FINAL'!$A120,'HOJAS DE HORA PROY.'!$M$2:$M$943,S$113)</f>
        <v>0</v>
      </c>
      <c r="T120" s="8">
        <f>SUMIFS('HOJAS DE HORA PROY.'!$F$2:$F$943,'HOJAS DE HORA PROY.'!$A$2:$A$943,'PLAN MAESTRO FINAL'!$A120,'HOJAS DE HORA PROY.'!$M$2:$M$943,T$113)</f>
        <v>0</v>
      </c>
      <c r="U120" s="8">
        <f>SUMIFS('HOJAS DE HORA PROY.'!$F$2:$F$943,'HOJAS DE HORA PROY.'!$A$2:$A$943,'PLAN MAESTRO FINAL'!$A120,'HOJAS DE HORA PROY.'!$M$2:$M$943,U$113)</f>
        <v>0</v>
      </c>
      <c r="V120" s="8">
        <f>SUMIFS('HOJAS DE HORA PROY.'!$F$2:$F$943,'HOJAS DE HORA PROY.'!$A$2:$A$943,'PLAN MAESTRO FINAL'!$A120,'HOJAS DE HORA PROY.'!$M$2:$M$943,V$113)</f>
        <v>0</v>
      </c>
      <c r="W120" s="8">
        <f>SUMIFS('HOJAS DE HORA PROY.'!$F$2:$F$943,'HOJAS DE HORA PROY.'!$A$2:$A$943,'PLAN MAESTRO FINAL'!$A120,'HOJAS DE HORA PROY.'!$M$2:$M$943,W$113)</f>
        <v>0</v>
      </c>
    </row>
    <row r="121" spans="1:23" hidden="1" outlineLevel="1" x14ac:dyDescent="0.3">
      <c r="A121" s="13" t="s">
        <v>203</v>
      </c>
      <c r="B121" s="8">
        <f>SUMIFS('HOJAS DE HORA PROY.'!$F$2:$F$943,'HOJAS DE HORA PROY.'!$A$2:$A$943,'PLAN MAESTRO FINAL'!$A121,'HOJAS DE HORA PROY.'!$M$2:$M$943,B$113)</f>
        <v>0</v>
      </c>
      <c r="C121" s="8">
        <f>SUMIFS('HOJAS DE HORA PROY.'!$F$2:$F$943,'HOJAS DE HORA PROY.'!$A$2:$A$943,'PLAN MAESTRO FINAL'!$A121,'HOJAS DE HORA PROY.'!$M$2:$M$943,C$113)</f>
        <v>0</v>
      </c>
      <c r="D121" s="8">
        <f>SUMIFS('HOJAS DE HORA PROY.'!$F$2:$F$943,'HOJAS DE HORA PROY.'!$A$2:$A$943,'PLAN MAESTRO FINAL'!$A121,'HOJAS DE HORA PROY.'!$M$2:$M$943,D$113)</f>
        <v>0</v>
      </c>
      <c r="E121" s="8">
        <f>SUMIFS('HOJAS DE HORA PROY.'!$F$2:$F$943,'HOJAS DE HORA PROY.'!$A$2:$A$943,'PLAN MAESTRO FINAL'!$A121,'HOJAS DE HORA PROY.'!$M$2:$M$943,E$113)</f>
        <v>0</v>
      </c>
      <c r="F121" s="8">
        <f>SUMIFS('HOJAS DE HORA PROY.'!$F$2:$F$943,'HOJAS DE HORA PROY.'!$A$2:$A$943,'PLAN MAESTRO FINAL'!$A121,'HOJAS DE HORA PROY.'!$M$2:$M$943,F$113)</f>
        <v>0</v>
      </c>
      <c r="G121" s="8">
        <f>SUMIFS('HOJAS DE HORA PROY.'!$F$2:$F$943,'HOJAS DE HORA PROY.'!$A$2:$A$943,'PLAN MAESTRO FINAL'!$A121,'HOJAS DE HORA PROY.'!$M$2:$M$943,G$113)</f>
        <v>0</v>
      </c>
      <c r="H121" s="8">
        <f>SUMIFS('HOJAS DE HORA PROY.'!$F$2:$F$943,'HOJAS DE HORA PROY.'!$A$2:$A$943,'PLAN MAESTRO FINAL'!$A121,'HOJAS DE HORA PROY.'!$M$2:$M$943,H$113)</f>
        <v>0</v>
      </c>
      <c r="I121" s="8">
        <f>SUMIFS('HOJAS DE HORA PROY.'!$F$2:$F$943,'HOJAS DE HORA PROY.'!$A$2:$A$943,'PLAN MAESTRO FINAL'!$A121,'HOJAS DE HORA PROY.'!$M$2:$M$943,I$113)</f>
        <v>0</v>
      </c>
      <c r="J121" s="8">
        <f>SUMIFS('HOJAS DE HORA PROY.'!$F$2:$F$943,'HOJAS DE HORA PROY.'!$A$2:$A$943,'PLAN MAESTRO FINAL'!$A121,'HOJAS DE HORA PROY.'!$M$2:$M$943,J$113)</f>
        <v>0</v>
      </c>
      <c r="K121" s="8">
        <f>SUMIFS('HOJAS DE HORA PROY.'!$F$2:$F$943,'HOJAS DE HORA PROY.'!$A$2:$A$943,'PLAN MAESTRO FINAL'!$A121,'HOJAS DE HORA PROY.'!$M$2:$M$943,K$113)</f>
        <v>0</v>
      </c>
      <c r="L121" s="8">
        <f>SUMIFS('HOJAS DE HORA PROY.'!$F$2:$F$943,'HOJAS DE HORA PROY.'!$A$2:$A$943,'PLAN MAESTRO FINAL'!$A121,'HOJAS DE HORA PROY.'!$M$2:$M$943,L$113)</f>
        <v>0</v>
      </c>
      <c r="M121" s="8">
        <f>SUMIFS('HOJAS DE HORA PROY.'!$F$2:$F$943,'HOJAS DE HORA PROY.'!$A$2:$A$943,'PLAN MAESTRO FINAL'!$A121,'HOJAS DE HORA PROY.'!$M$2:$M$943,M$113)</f>
        <v>0</v>
      </c>
      <c r="N121" s="8">
        <f>SUMIFS('HOJAS DE HORA PROY.'!$F$2:$F$943,'HOJAS DE HORA PROY.'!$A$2:$A$943,'PLAN MAESTRO FINAL'!$A121,'HOJAS DE HORA PROY.'!$M$2:$M$943,N$113)</f>
        <v>0</v>
      </c>
      <c r="O121" s="8">
        <f>SUMIFS('HOJAS DE HORA PROY.'!$F$2:$F$943,'HOJAS DE HORA PROY.'!$A$2:$A$943,'PLAN MAESTRO FINAL'!$A121,'HOJAS DE HORA PROY.'!$M$2:$M$943,O$113)</f>
        <v>0</v>
      </c>
      <c r="P121" s="8">
        <f>SUMIFS('HOJAS DE HORA PROY.'!$F$2:$F$943,'HOJAS DE HORA PROY.'!$A$2:$A$943,'PLAN MAESTRO FINAL'!$A121,'HOJAS DE HORA PROY.'!$M$2:$M$943,P$113)</f>
        <v>0</v>
      </c>
      <c r="Q121" s="8">
        <f>SUMIFS('HOJAS DE HORA PROY.'!$F$2:$F$943,'HOJAS DE HORA PROY.'!$A$2:$A$943,'PLAN MAESTRO FINAL'!$A121,'HOJAS DE HORA PROY.'!$M$2:$M$943,Q$113)</f>
        <v>0</v>
      </c>
      <c r="R121" s="8">
        <f>SUMIFS('HOJAS DE HORA PROY.'!$F$2:$F$943,'HOJAS DE HORA PROY.'!$A$2:$A$943,'PLAN MAESTRO FINAL'!$A121,'HOJAS DE HORA PROY.'!$M$2:$M$943,R$113)</f>
        <v>0</v>
      </c>
      <c r="S121" s="8">
        <f>SUMIFS('HOJAS DE HORA PROY.'!$F$2:$F$943,'HOJAS DE HORA PROY.'!$A$2:$A$943,'PLAN MAESTRO FINAL'!$A121,'HOJAS DE HORA PROY.'!$M$2:$M$943,S$113)</f>
        <v>0</v>
      </c>
      <c r="T121" s="8">
        <f>SUMIFS('HOJAS DE HORA PROY.'!$F$2:$F$943,'HOJAS DE HORA PROY.'!$A$2:$A$943,'PLAN MAESTRO FINAL'!$A121,'HOJAS DE HORA PROY.'!$M$2:$M$943,T$113)</f>
        <v>0</v>
      </c>
      <c r="U121" s="8">
        <f>SUMIFS('HOJAS DE HORA PROY.'!$F$2:$F$943,'HOJAS DE HORA PROY.'!$A$2:$A$943,'PLAN MAESTRO FINAL'!$A121,'HOJAS DE HORA PROY.'!$M$2:$M$943,U$113)</f>
        <v>0</v>
      </c>
      <c r="V121" s="8">
        <f>SUMIFS('HOJAS DE HORA PROY.'!$F$2:$F$943,'HOJAS DE HORA PROY.'!$A$2:$A$943,'PLAN MAESTRO FINAL'!$A121,'HOJAS DE HORA PROY.'!$M$2:$M$943,V$113)</f>
        <v>0</v>
      </c>
      <c r="W121" s="8">
        <f>SUMIFS('HOJAS DE HORA PROY.'!$F$2:$F$943,'HOJAS DE HORA PROY.'!$A$2:$A$943,'PLAN MAESTRO FINAL'!$A121,'HOJAS DE HORA PROY.'!$M$2:$M$943,W$113)</f>
        <v>0</v>
      </c>
    </row>
    <row r="122" spans="1:23" hidden="1" outlineLevel="1" x14ac:dyDescent="0.3">
      <c r="A122" s="13" t="s">
        <v>212</v>
      </c>
      <c r="B122" s="8">
        <f>SUMIFS('HOJAS DE HORA PROY.'!$F$2:$F$943,'HOJAS DE HORA PROY.'!$A$2:$A$943,'PLAN MAESTRO FINAL'!$A122,'HOJAS DE HORA PROY.'!$M$2:$M$943,B$113)</f>
        <v>0</v>
      </c>
      <c r="C122" s="8">
        <f>SUMIFS('HOJAS DE HORA PROY.'!$F$2:$F$943,'HOJAS DE HORA PROY.'!$A$2:$A$943,'PLAN MAESTRO FINAL'!$A122,'HOJAS DE HORA PROY.'!$M$2:$M$943,C$113)</f>
        <v>0</v>
      </c>
      <c r="D122" s="8">
        <f>SUMIFS('HOJAS DE HORA PROY.'!$F$2:$F$943,'HOJAS DE HORA PROY.'!$A$2:$A$943,'PLAN MAESTRO FINAL'!$A122,'HOJAS DE HORA PROY.'!$M$2:$M$943,D$113)</f>
        <v>0</v>
      </c>
      <c r="E122" s="8">
        <f>SUMIFS('HOJAS DE HORA PROY.'!$F$2:$F$943,'HOJAS DE HORA PROY.'!$A$2:$A$943,'PLAN MAESTRO FINAL'!$A122,'HOJAS DE HORA PROY.'!$M$2:$M$943,E$113)</f>
        <v>0</v>
      </c>
      <c r="F122" s="8">
        <f>SUMIFS('HOJAS DE HORA PROY.'!$F$2:$F$943,'HOJAS DE HORA PROY.'!$A$2:$A$943,'PLAN MAESTRO FINAL'!$A122,'HOJAS DE HORA PROY.'!$M$2:$M$943,F$113)</f>
        <v>0</v>
      </c>
      <c r="G122" s="8">
        <f>SUMIFS('HOJAS DE HORA PROY.'!$F$2:$F$943,'HOJAS DE HORA PROY.'!$A$2:$A$943,'PLAN MAESTRO FINAL'!$A122,'HOJAS DE HORA PROY.'!$M$2:$M$943,G$113)</f>
        <v>0</v>
      </c>
      <c r="H122" s="8">
        <f>SUMIFS('HOJAS DE HORA PROY.'!$F$2:$F$943,'HOJAS DE HORA PROY.'!$A$2:$A$943,'PLAN MAESTRO FINAL'!$A122,'HOJAS DE HORA PROY.'!$M$2:$M$943,H$113)</f>
        <v>0</v>
      </c>
      <c r="I122" s="8">
        <f>SUMIFS('HOJAS DE HORA PROY.'!$F$2:$F$943,'HOJAS DE HORA PROY.'!$A$2:$A$943,'PLAN MAESTRO FINAL'!$A122,'HOJAS DE HORA PROY.'!$M$2:$M$943,I$113)</f>
        <v>0</v>
      </c>
      <c r="J122" s="8">
        <f>SUMIFS('HOJAS DE HORA PROY.'!$F$2:$F$943,'HOJAS DE HORA PROY.'!$A$2:$A$943,'PLAN MAESTRO FINAL'!$A122,'HOJAS DE HORA PROY.'!$M$2:$M$943,J$113)</f>
        <v>0</v>
      </c>
      <c r="K122" s="8">
        <f>SUMIFS('HOJAS DE HORA PROY.'!$F$2:$F$943,'HOJAS DE HORA PROY.'!$A$2:$A$943,'PLAN MAESTRO FINAL'!$A122,'HOJAS DE HORA PROY.'!$M$2:$M$943,K$113)</f>
        <v>0</v>
      </c>
      <c r="L122" s="8">
        <f>SUMIFS('HOJAS DE HORA PROY.'!$F$2:$F$943,'HOJAS DE HORA PROY.'!$A$2:$A$943,'PLAN MAESTRO FINAL'!$A122,'HOJAS DE HORA PROY.'!$M$2:$M$943,L$113)</f>
        <v>0</v>
      </c>
      <c r="M122" s="8">
        <f>SUMIFS('HOJAS DE HORA PROY.'!$F$2:$F$943,'HOJAS DE HORA PROY.'!$A$2:$A$943,'PLAN MAESTRO FINAL'!$A122,'HOJAS DE HORA PROY.'!$M$2:$M$943,M$113)</f>
        <v>0</v>
      </c>
      <c r="N122" s="8">
        <f>SUMIFS('HOJAS DE HORA PROY.'!$F$2:$F$943,'HOJAS DE HORA PROY.'!$A$2:$A$943,'PLAN MAESTRO FINAL'!$A122,'HOJAS DE HORA PROY.'!$M$2:$M$943,N$113)</f>
        <v>0</v>
      </c>
      <c r="O122" s="8">
        <f>SUMIFS('HOJAS DE HORA PROY.'!$F$2:$F$943,'HOJAS DE HORA PROY.'!$A$2:$A$943,'PLAN MAESTRO FINAL'!$A122,'HOJAS DE HORA PROY.'!$M$2:$M$943,O$113)</f>
        <v>0</v>
      </c>
      <c r="P122" s="8">
        <f>SUMIFS('HOJAS DE HORA PROY.'!$F$2:$F$943,'HOJAS DE HORA PROY.'!$A$2:$A$943,'PLAN MAESTRO FINAL'!$A122,'HOJAS DE HORA PROY.'!$M$2:$M$943,P$113)</f>
        <v>0</v>
      </c>
      <c r="Q122" s="8">
        <f>SUMIFS('HOJAS DE HORA PROY.'!$F$2:$F$943,'HOJAS DE HORA PROY.'!$A$2:$A$943,'PLAN MAESTRO FINAL'!$A122,'HOJAS DE HORA PROY.'!$M$2:$M$943,Q$113)</f>
        <v>0</v>
      </c>
      <c r="R122" s="8">
        <f>SUMIFS('HOJAS DE HORA PROY.'!$F$2:$F$943,'HOJAS DE HORA PROY.'!$A$2:$A$943,'PLAN MAESTRO FINAL'!$A122,'HOJAS DE HORA PROY.'!$M$2:$M$943,R$113)</f>
        <v>0</v>
      </c>
      <c r="S122" s="8">
        <f>SUMIFS('HOJAS DE HORA PROY.'!$F$2:$F$943,'HOJAS DE HORA PROY.'!$A$2:$A$943,'PLAN MAESTRO FINAL'!$A122,'HOJAS DE HORA PROY.'!$M$2:$M$943,S$113)</f>
        <v>0</v>
      </c>
      <c r="T122" s="8">
        <f>SUMIFS('HOJAS DE HORA PROY.'!$F$2:$F$943,'HOJAS DE HORA PROY.'!$A$2:$A$943,'PLAN MAESTRO FINAL'!$A122,'HOJAS DE HORA PROY.'!$M$2:$M$943,T$113)</f>
        <v>0</v>
      </c>
      <c r="U122" s="8">
        <f>SUMIFS('HOJAS DE HORA PROY.'!$F$2:$F$943,'HOJAS DE HORA PROY.'!$A$2:$A$943,'PLAN MAESTRO FINAL'!$A122,'HOJAS DE HORA PROY.'!$M$2:$M$943,U$113)</f>
        <v>0</v>
      </c>
      <c r="V122" s="8">
        <f>SUMIFS('HOJAS DE HORA PROY.'!$F$2:$F$943,'HOJAS DE HORA PROY.'!$A$2:$A$943,'PLAN MAESTRO FINAL'!$A122,'HOJAS DE HORA PROY.'!$M$2:$M$943,V$113)</f>
        <v>0</v>
      </c>
      <c r="W122" s="8">
        <f>SUMIFS('HOJAS DE HORA PROY.'!$F$2:$F$943,'HOJAS DE HORA PROY.'!$A$2:$A$943,'PLAN MAESTRO FINAL'!$A122,'HOJAS DE HORA PROY.'!$M$2:$M$943,W$113)</f>
        <v>0</v>
      </c>
    </row>
    <row r="123" spans="1:23" hidden="1" outlineLevel="1" x14ac:dyDescent="0.3">
      <c r="A123" s="13" t="s">
        <v>216</v>
      </c>
      <c r="B123" s="8">
        <f>SUMIFS('HOJAS DE HORA PROY.'!$F$2:$F$943,'HOJAS DE HORA PROY.'!$A$2:$A$943,'PLAN MAESTRO FINAL'!$A123,'HOJAS DE HORA PROY.'!$M$2:$M$943,B$113)</f>
        <v>0</v>
      </c>
      <c r="C123" s="8">
        <f>SUMIFS('HOJAS DE HORA PROY.'!$F$2:$F$943,'HOJAS DE HORA PROY.'!$A$2:$A$943,'PLAN MAESTRO FINAL'!$A123,'HOJAS DE HORA PROY.'!$M$2:$M$943,C$113)</f>
        <v>0</v>
      </c>
      <c r="D123" s="8">
        <f>SUMIFS('HOJAS DE HORA PROY.'!$F$2:$F$943,'HOJAS DE HORA PROY.'!$A$2:$A$943,'PLAN MAESTRO FINAL'!$A123,'HOJAS DE HORA PROY.'!$M$2:$M$943,D$113)</f>
        <v>0</v>
      </c>
      <c r="E123" s="8">
        <f>SUMIFS('HOJAS DE HORA PROY.'!$F$2:$F$943,'HOJAS DE HORA PROY.'!$A$2:$A$943,'PLAN MAESTRO FINAL'!$A123,'HOJAS DE HORA PROY.'!$M$2:$M$943,E$113)</f>
        <v>0</v>
      </c>
      <c r="F123" s="8">
        <f>SUMIFS('HOJAS DE HORA PROY.'!$F$2:$F$943,'HOJAS DE HORA PROY.'!$A$2:$A$943,'PLAN MAESTRO FINAL'!$A123,'HOJAS DE HORA PROY.'!$M$2:$M$943,F$113)</f>
        <v>0</v>
      </c>
      <c r="G123" s="8">
        <f>SUMIFS('HOJAS DE HORA PROY.'!$F$2:$F$943,'HOJAS DE HORA PROY.'!$A$2:$A$943,'PLAN MAESTRO FINAL'!$A123,'HOJAS DE HORA PROY.'!$M$2:$M$943,G$113)</f>
        <v>0</v>
      </c>
      <c r="H123" s="8">
        <f>SUMIFS('HOJAS DE HORA PROY.'!$F$2:$F$943,'HOJAS DE HORA PROY.'!$A$2:$A$943,'PLAN MAESTRO FINAL'!$A123,'HOJAS DE HORA PROY.'!$M$2:$M$943,H$113)</f>
        <v>0</v>
      </c>
      <c r="I123" s="8">
        <f>SUMIFS('HOJAS DE HORA PROY.'!$F$2:$F$943,'HOJAS DE HORA PROY.'!$A$2:$A$943,'PLAN MAESTRO FINAL'!$A123,'HOJAS DE HORA PROY.'!$M$2:$M$943,I$113)</f>
        <v>0</v>
      </c>
      <c r="J123" s="8">
        <f>SUMIFS('HOJAS DE HORA PROY.'!$F$2:$F$943,'HOJAS DE HORA PROY.'!$A$2:$A$943,'PLAN MAESTRO FINAL'!$A123,'HOJAS DE HORA PROY.'!$M$2:$M$943,J$113)</f>
        <v>0</v>
      </c>
      <c r="K123" s="8">
        <f>SUMIFS('HOJAS DE HORA PROY.'!$F$2:$F$943,'HOJAS DE HORA PROY.'!$A$2:$A$943,'PLAN MAESTRO FINAL'!$A123,'HOJAS DE HORA PROY.'!$M$2:$M$943,K$113)</f>
        <v>0</v>
      </c>
      <c r="L123" s="8">
        <f>SUMIFS('HOJAS DE HORA PROY.'!$F$2:$F$943,'HOJAS DE HORA PROY.'!$A$2:$A$943,'PLAN MAESTRO FINAL'!$A123,'HOJAS DE HORA PROY.'!$M$2:$M$943,L$113)</f>
        <v>0</v>
      </c>
      <c r="M123" s="8">
        <f>SUMIFS('HOJAS DE HORA PROY.'!$F$2:$F$943,'HOJAS DE HORA PROY.'!$A$2:$A$943,'PLAN MAESTRO FINAL'!$A123,'HOJAS DE HORA PROY.'!$M$2:$M$943,M$113)</f>
        <v>0</v>
      </c>
      <c r="N123" s="8">
        <f>SUMIFS('HOJAS DE HORA PROY.'!$F$2:$F$943,'HOJAS DE HORA PROY.'!$A$2:$A$943,'PLAN MAESTRO FINAL'!$A123,'HOJAS DE HORA PROY.'!$M$2:$M$943,N$113)</f>
        <v>0</v>
      </c>
      <c r="O123" s="8">
        <f>SUMIFS('HOJAS DE HORA PROY.'!$F$2:$F$943,'HOJAS DE HORA PROY.'!$A$2:$A$943,'PLAN MAESTRO FINAL'!$A123,'HOJAS DE HORA PROY.'!$M$2:$M$943,O$113)</f>
        <v>0</v>
      </c>
      <c r="P123" s="8">
        <f>SUMIFS('HOJAS DE HORA PROY.'!$F$2:$F$943,'HOJAS DE HORA PROY.'!$A$2:$A$943,'PLAN MAESTRO FINAL'!$A123,'HOJAS DE HORA PROY.'!$M$2:$M$943,P$113)</f>
        <v>0</v>
      </c>
      <c r="Q123" s="8">
        <f>SUMIFS('HOJAS DE HORA PROY.'!$F$2:$F$943,'HOJAS DE HORA PROY.'!$A$2:$A$943,'PLAN MAESTRO FINAL'!$A123,'HOJAS DE HORA PROY.'!$M$2:$M$943,Q$113)</f>
        <v>0</v>
      </c>
      <c r="R123" s="8">
        <f>SUMIFS('HOJAS DE HORA PROY.'!$F$2:$F$943,'HOJAS DE HORA PROY.'!$A$2:$A$943,'PLAN MAESTRO FINAL'!$A123,'HOJAS DE HORA PROY.'!$M$2:$M$943,R$113)</f>
        <v>0</v>
      </c>
      <c r="S123" s="8">
        <f>SUMIFS('HOJAS DE HORA PROY.'!$F$2:$F$943,'HOJAS DE HORA PROY.'!$A$2:$A$943,'PLAN MAESTRO FINAL'!$A123,'HOJAS DE HORA PROY.'!$M$2:$M$943,S$113)</f>
        <v>0</v>
      </c>
      <c r="T123" s="8">
        <f>SUMIFS('HOJAS DE HORA PROY.'!$F$2:$F$943,'HOJAS DE HORA PROY.'!$A$2:$A$943,'PLAN MAESTRO FINAL'!$A123,'HOJAS DE HORA PROY.'!$M$2:$M$943,T$113)</f>
        <v>0</v>
      </c>
      <c r="U123" s="8">
        <f>SUMIFS('HOJAS DE HORA PROY.'!$F$2:$F$943,'HOJAS DE HORA PROY.'!$A$2:$A$943,'PLAN MAESTRO FINAL'!$A123,'HOJAS DE HORA PROY.'!$M$2:$M$943,U$113)</f>
        <v>0</v>
      </c>
      <c r="V123" s="8">
        <f>SUMIFS('HOJAS DE HORA PROY.'!$F$2:$F$943,'HOJAS DE HORA PROY.'!$A$2:$A$943,'PLAN MAESTRO FINAL'!$A123,'HOJAS DE HORA PROY.'!$M$2:$M$943,V$113)</f>
        <v>0</v>
      </c>
      <c r="W123" s="8">
        <f>SUMIFS('HOJAS DE HORA PROY.'!$F$2:$F$943,'HOJAS DE HORA PROY.'!$A$2:$A$943,'PLAN MAESTRO FINAL'!$A123,'HOJAS DE HORA PROY.'!$M$2:$M$943,W$113)</f>
        <v>0</v>
      </c>
    </row>
    <row r="124" spans="1:23" hidden="1" outlineLevel="1" x14ac:dyDescent="0.3">
      <c r="A124" s="13" t="s">
        <v>217</v>
      </c>
      <c r="B124" s="8">
        <f>SUMIFS('HOJAS DE HORA PROY.'!$F$2:$F$943,'HOJAS DE HORA PROY.'!$A$2:$A$943,'PLAN MAESTRO FINAL'!$A124,'HOJAS DE HORA PROY.'!$M$2:$M$943,B$113)</f>
        <v>0</v>
      </c>
      <c r="C124" s="8">
        <f>SUMIFS('HOJAS DE HORA PROY.'!$F$2:$F$943,'HOJAS DE HORA PROY.'!$A$2:$A$943,'PLAN MAESTRO FINAL'!$A124,'HOJAS DE HORA PROY.'!$M$2:$M$943,C$113)</f>
        <v>0</v>
      </c>
      <c r="D124" s="8">
        <f>SUMIFS('HOJAS DE HORA PROY.'!$F$2:$F$943,'HOJAS DE HORA PROY.'!$A$2:$A$943,'PLAN MAESTRO FINAL'!$A124,'HOJAS DE HORA PROY.'!$M$2:$M$943,D$113)</f>
        <v>0</v>
      </c>
      <c r="E124" s="8">
        <f>SUMIFS('HOJAS DE HORA PROY.'!$F$2:$F$943,'HOJAS DE HORA PROY.'!$A$2:$A$943,'PLAN MAESTRO FINAL'!$A124,'HOJAS DE HORA PROY.'!$M$2:$M$943,E$113)</f>
        <v>0</v>
      </c>
      <c r="F124" s="8">
        <f>SUMIFS('HOJAS DE HORA PROY.'!$F$2:$F$943,'HOJAS DE HORA PROY.'!$A$2:$A$943,'PLAN MAESTRO FINAL'!$A124,'HOJAS DE HORA PROY.'!$M$2:$M$943,F$113)</f>
        <v>0</v>
      </c>
      <c r="G124" s="8">
        <f>SUMIFS('HOJAS DE HORA PROY.'!$F$2:$F$943,'HOJAS DE HORA PROY.'!$A$2:$A$943,'PLAN MAESTRO FINAL'!$A124,'HOJAS DE HORA PROY.'!$M$2:$M$943,G$113)</f>
        <v>13</v>
      </c>
      <c r="H124" s="8">
        <f>SUMIFS('HOJAS DE HORA PROY.'!$F$2:$F$943,'HOJAS DE HORA PROY.'!$A$2:$A$943,'PLAN MAESTRO FINAL'!$A124,'HOJAS DE HORA PROY.'!$M$2:$M$943,H$113)</f>
        <v>0</v>
      </c>
      <c r="I124" s="8">
        <f>SUMIFS('HOJAS DE HORA PROY.'!$F$2:$F$943,'HOJAS DE HORA PROY.'!$A$2:$A$943,'PLAN MAESTRO FINAL'!$A124,'HOJAS DE HORA PROY.'!$M$2:$M$943,I$113)</f>
        <v>0</v>
      </c>
      <c r="J124" s="8">
        <f>SUMIFS('HOJAS DE HORA PROY.'!$F$2:$F$943,'HOJAS DE HORA PROY.'!$A$2:$A$943,'PLAN MAESTRO FINAL'!$A124,'HOJAS DE HORA PROY.'!$M$2:$M$943,J$113)</f>
        <v>0</v>
      </c>
      <c r="K124" s="8">
        <f>SUMIFS('HOJAS DE HORA PROY.'!$F$2:$F$943,'HOJAS DE HORA PROY.'!$A$2:$A$943,'PLAN MAESTRO FINAL'!$A124,'HOJAS DE HORA PROY.'!$M$2:$M$943,K$113)</f>
        <v>0</v>
      </c>
      <c r="L124" s="8">
        <f>SUMIFS('HOJAS DE HORA PROY.'!$F$2:$F$943,'HOJAS DE HORA PROY.'!$A$2:$A$943,'PLAN MAESTRO FINAL'!$A124,'HOJAS DE HORA PROY.'!$M$2:$M$943,L$113)</f>
        <v>0</v>
      </c>
      <c r="M124" s="8">
        <f>SUMIFS('HOJAS DE HORA PROY.'!$F$2:$F$943,'HOJAS DE HORA PROY.'!$A$2:$A$943,'PLAN MAESTRO FINAL'!$A124,'HOJAS DE HORA PROY.'!$M$2:$M$943,M$113)</f>
        <v>0</v>
      </c>
      <c r="N124" s="8">
        <f>SUMIFS('HOJAS DE HORA PROY.'!$F$2:$F$943,'HOJAS DE HORA PROY.'!$A$2:$A$943,'PLAN MAESTRO FINAL'!$A124,'HOJAS DE HORA PROY.'!$M$2:$M$943,N$113)</f>
        <v>0</v>
      </c>
      <c r="O124" s="8">
        <f>SUMIFS('HOJAS DE HORA PROY.'!$F$2:$F$943,'HOJAS DE HORA PROY.'!$A$2:$A$943,'PLAN MAESTRO FINAL'!$A124,'HOJAS DE HORA PROY.'!$M$2:$M$943,O$113)</f>
        <v>0</v>
      </c>
      <c r="P124" s="8">
        <f>SUMIFS('HOJAS DE HORA PROY.'!$F$2:$F$943,'HOJAS DE HORA PROY.'!$A$2:$A$943,'PLAN MAESTRO FINAL'!$A124,'HOJAS DE HORA PROY.'!$M$2:$M$943,P$113)</f>
        <v>0</v>
      </c>
      <c r="Q124" s="8">
        <f>SUMIFS('HOJAS DE HORA PROY.'!$F$2:$F$943,'HOJAS DE HORA PROY.'!$A$2:$A$943,'PLAN MAESTRO FINAL'!$A124,'HOJAS DE HORA PROY.'!$M$2:$M$943,Q$113)</f>
        <v>0</v>
      </c>
      <c r="R124" s="8">
        <f>SUMIFS('HOJAS DE HORA PROY.'!$F$2:$F$943,'HOJAS DE HORA PROY.'!$A$2:$A$943,'PLAN MAESTRO FINAL'!$A124,'HOJAS DE HORA PROY.'!$M$2:$M$943,R$113)</f>
        <v>0</v>
      </c>
      <c r="S124" s="8">
        <f>SUMIFS('HOJAS DE HORA PROY.'!$F$2:$F$943,'HOJAS DE HORA PROY.'!$A$2:$A$943,'PLAN MAESTRO FINAL'!$A124,'HOJAS DE HORA PROY.'!$M$2:$M$943,S$113)</f>
        <v>0</v>
      </c>
      <c r="T124" s="8">
        <f>SUMIFS('HOJAS DE HORA PROY.'!$F$2:$F$943,'HOJAS DE HORA PROY.'!$A$2:$A$943,'PLAN MAESTRO FINAL'!$A124,'HOJAS DE HORA PROY.'!$M$2:$M$943,T$113)</f>
        <v>0</v>
      </c>
      <c r="U124" s="8">
        <f>SUMIFS('HOJAS DE HORA PROY.'!$F$2:$F$943,'HOJAS DE HORA PROY.'!$A$2:$A$943,'PLAN MAESTRO FINAL'!$A124,'HOJAS DE HORA PROY.'!$M$2:$M$943,U$113)</f>
        <v>0</v>
      </c>
      <c r="V124" s="8">
        <f>SUMIFS('HOJAS DE HORA PROY.'!$F$2:$F$943,'HOJAS DE HORA PROY.'!$A$2:$A$943,'PLAN MAESTRO FINAL'!$A124,'HOJAS DE HORA PROY.'!$M$2:$M$943,V$113)</f>
        <v>0</v>
      </c>
      <c r="W124" s="8">
        <f>SUMIFS('HOJAS DE HORA PROY.'!$F$2:$F$943,'HOJAS DE HORA PROY.'!$A$2:$A$943,'PLAN MAESTRO FINAL'!$A124,'HOJAS DE HORA PROY.'!$M$2:$M$943,W$113)</f>
        <v>0</v>
      </c>
    </row>
    <row r="125" spans="1:23" hidden="1" outlineLevel="1" x14ac:dyDescent="0.3">
      <c r="A125" s="13" t="s">
        <v>231</v>
      </c>
      <c r="B125" s="8">
        <f>SUMIFS('HOJAS DE HORA PROY.'!$F$2:$F$943,'HOJAS DE HORA PROY.'!$A$2:$A$943,'PLAN MAESTRO FINAL'!$A125,'HOJAS DE HORA PROY.'!$M$2:$M$943,B$113)</f>
        <v>0</v>
      </c>
      <c r="C125" s="8">
        <f>SUMIFS('HOJAS DE HORA PROY.'!$F$2:$F$943,'HOJAS DE HORA PROY.'!$A$2:$A$943,'PLAN MAESTRO FINAL'!$A125,'HOJAS DE HORA PROY.'!$M$2:$M$943,C$113)</f>
        <v>0</v>
      </c>
      <c r="D125" s="8">
        <f>SUMIFS('HOJAS DE HORA PROY.'!$F$2:$F$943,'HOJAS DE HORA PROY.'!$A$2:$A$943,'PLAN MAESTRO FINAL'!$A125,'HOJAS DE HORA PROY.'!$M$2:$M$943,D$113)</f>
        <v>0</v>
      </c>
      <c r="E125" s="8">
        <f>SUMIFS('HOJAS DE HORA PROY.'!$F$2:$F$943,'HOJAS DE HORA PROY.'!$A$2:$A$943,'PLAN MAESTRO FINAL'!$A125,'HOJAS DE HORA PROY.'!$M$2:$M$943,E$113)</f>
        <v>0</v>
      </c>
      <c r="F125" s="8">
        <f>SUMIFS('HOJAS DE HORA PROY.'!$F$2:$F$943,'HOJAS DE HORA PROY.'!$A$2:$A$943,'PLAN MAESTRO FINAL'!$A125,'HOJAS DE HORA PROY.'!$M$2:$M$943,F$113)</f>
        <v>0</v>
      </c>
      <c r="G125" s="8">
        <f>SUMIFS('HOJAS DE HORA PROY.'!$F$2:$F$943,'HOJAS DE HORA PROY.'!$A$2:$A$943,'PLAN MAESTRO FINAL'!$A125,'HOJAS DE HORA PROY.'!$M$2:$M$943,G$113)</f>
        <v>2</v>
      </c>
      <c r="H125" s="8">
        <f>SUMIFS('HOJAS DE HORA PROY.'!$F$2:$F$943,'HOJAS DE HORA PROY.'!$A$2:$A$943,'PLAN MAESTRO FINAL'!$A125,'HOJAS DE HORA PROY.'!$M$2:$M$943,H$113)</f>
        <v>0</v>
      </c>
      <c r="I125" s="8">
        <f>SUMIFS('HOJAS DE HORA PROY.'!$F$2:$F$943,'HOJAS DE HORA PROY.'!$A$2:$A$943,'PLAN MAESTRO FINAL'!$A125,'HOJAS DE HORA PROY.'!$M$2:$M$943,I$113)</f>
        <v>0</v>
      </c>
      <c r="J125" s="8">
        <f>SUMIFS('HOJAS DE HORA PROY.'!$F$2:$F$943,'HOJAS DE HORA PROY.'!$A$2:$A$943,'PLAN MAESTRO FINAL'!$A125,'HOJAS DE HORA PROY.'!$M$2:$M$943,J$113)</f>
        <v>0</v>
      </c>
      <c r="K125" s="8">
        <f>SUMIFS('HOJAS DE HORA PROY.'!$F$2:$F$943,'HOJAS DE HORA PROY.'!$A$2:$A$943,'PLAN MAESTRO FINAL'!$A125,'HOJAS DE HORA PROY.'!$M$2:$M$943,K$113)</f>
        <v>0</v>
      </c>
      <c r="L125" s="8">
        <f>SUMIFS('HOJAS DE HORA PROY.'!$F$2:$F$943,'HOJAS DE HORA PROY.'!$A$2:$A$943,'PLAN MAESTRO FINAL'!$A125,'HOJAS DE HORA PROY.'!$M$2:$M$943,L$113)</f>
        <v>0</v>
      </c>
      <c r="M125" s="8">
        <f>SUMIFS('HOJAS DE HORA PROY.'!$F$2:$F$943,'HOJAS DE HORA PROY.'!$A$2:$A$943,'PLAN MAESTRO FINAL'!$A125,'HOJAS DE HORA PROY.'!$M$2:$M$943,M$113)</f>
        <v>0</v>
      </c>
      <c r="N125" s="8">
        <f>SUMIFS('HOJAS DE HORA PROY.'!$F$2:$F$943,'HOJAS DE HORA PROY.'!$A$2:$A$943,'PLAN MAESTRO FINAL'!$A125,'HOJAS DE HORA PROY.'!$M$2:$M$943,N$113)</f>
        <v>0</v>
      </c>
      <c r="O125" s="8">
        <f>SUMIFS('HOJAS DE HORA PROY.'!$F$2:$F$943,'HOJAS DE HORA PROY.'!$A$2:$A$943,'PLAN MAESTRO FINAL'!$A125,'HOJAS DE HORA PROY.'!$M$2:$M$943,O$113)</f>
        <v>0</v>
      </c>
      <c r="P125" s="8">
        <f>SUMIFS('HOJAS DE HORA PROY.'!$F$2:$F$943,'HOJAS DE HORA PROY.'!$A$2:$A$943,'PLAN MAESTRO FINAL'!$A125,'HOJAS DE HORA PROY.'!$M$2:$M$943,P$113)</f>
        <v>0</v>
      </c>
      <c r="Q125" s="8">
        <f>SUMIFS('HOJAS DE HORA PROY.'!$F$2:$F$943,'HOJAS DE HORA PROY.'!$A$2:$A$943,'PLAN MAESTRO FINAL'!$A125,'HOJAS DE HORA PROY.'!$M$2:$M$943,Q$113)</f>
        <v>0</v>
      </c>
      <c r="R125" s="8">
        <f>SUMIFS('HOJAS DE HORA PROY.'!$F$2:$F$943,'HOJAS DE HORA PROY.'!$A$2:$A$943,'PLAN MAESTRO FINAL'!$A125,'HOJAS DE HORA PROY.'!$M$2:$M$943,R$113)</f>
        <v>0</v>
      </c>
      <c r="S125" s="8">
        <f>SUMIFS('HOJAS DE HORA PROY.'!$F$2:$F$943,'HOJAS DE HORA PROY.'!$A$2:$A$943,'PLAN MAESTRO FINAL'!$A125,'HOJAS DE HORA PROY.'!$M$2:$M$943,S$113)</f>
        <v>0</v>
      </c>
      <c r="T125" s="8">
        <f>SUMIFS('HOJAS DE HORA PROY.'!$F$2:$F$943,'HOJAS DE HORA PROY.'!$A$2:$A$943,'PLAN MAESTRO FINAL'!$A125,'HOJAS DE HORA PROY.'!$M$2:$M$943,T$113)</f>
        <v>0</v>
      </c>
      <c r="U125" s="8">
        <f>SUMIFS('HOJAS DE HORA PROY.'!$F$2:$F$943,'HOJAS DE HORA PROY.'!$A$2:$A$943,'PLAN MAESTRO FINAL'!$A125,'HOJAS DE HORA PROY.'!$M$2:$M$943,U$113)</f>
        <v>0</v>
      </c>
      <c r="V125" s="8">
        <f>SUMIFS('HOJAS DE HORA PROY.'!$F$2:$F$943,'HOJAS DE HORA PROY.'!$A$2:$A$943,'PLAN MAESTRO FINAL'!$A125,'HOJAS DE HORA PROY.'!$M$2:$M$943,V$113)</f>
        <v>0</v>
      </c>
      <c r="W125" s="8">
        <f>SUMIFS('HOJAS DE HORA PROY.'!$F$2:$F$943,'HOJAS DE HORA PROY.'!$A$2:$A$943,'PLAN MAESTRO FINAL'!$A125,'HOJAS DE HORA PROY.'!$M$2:$M$943,W$113)</f>
        <v>0</v>
      </c>
    </row>
    <row r="126" spans="1:23" hidden="1" outlineLevel="1" x14ac:dyDescent="0.3">
      <c r="A126" s="13" t="s">
        <v>245</v>
      </c>
      <c r="B126" s="8">
        <f>SUMIFS('HOJAS DE HORA PROY.'!$F$2:$F$943,'HOJAS DE HORA PROY.'!$A$2:$A$943,'PLAN MAESTRO FINAL'!$A126,'HOJAS DE HORA PROY.'!$M$2:$M$943,B$113)</f>
        <v>0</v>
      </c>
      <c r="C126" s="8">
        <f>SUMIFS('HOJAS DE HORA PROY.'!$F$2:$F$943,'HOJAS DE HORA PROY.'!$A$2:$A$943,'PLAN MAESTRO FINAL'!$A126,'HOJAS DE HORA PROY.'!$M$2:$M$943,C$113)</f>
        <v>0</v>
      </c>
      <c r="D126" s="8">
        <f>SUMIFS('HOJAS DE HORA PROY.'!$F$2:$F$943,'HOJAS DE HORA PROY.'!$A$2:$A$943,'PLAN MAESTRO FINAL'!$A126,'HOJAS DE HORA PROY.'!$M$2:$M$943,D$113)</f>
        <v>0</v>
      </c>
      <c r="E126" s="8">
        <f>SUMIFS('HOJAS DE HORA PROY.'!$F$2:$F$943,'HOJAS DE HORA PROY.'!$A$2:$A$943,'PLAN MAESTRO FINAL'!$A126,'HOJAS DE HORA PROY.'!$M$2:$M$943,E$113)</f>
        <v>0</v>
      </c>
      <c r="F126" s="8">
        <f>SUMIFS('HOJAS DE HORA PROY.'!$F$2:$F$943,'HOJAS DE HORA PROY.'!$A$2:$A$943,'PLAN MAESTRO FINAL'!$A126,'HOJAS DE HORA PROY.'!$M$2:$M$943,F$113)</f>
        <v>0</v>
      </c>
      <c r="G126" s="8">
        <f>SUMIFS('HOJAS DE HORA PROY.'!$F$2:$F$943,'HOJAS DE HORA PROY.'!$A$2:$A$943,'PLAN MAESTRO FINAL'!$A126,'HOJAS DE HORA PROY.'!$M$2:$M$943,G$113)</f>
        <v>0</v>
      </c>
      <c r="H126" s="8">
        <f>SUMIFS('HOJAS DE HORA PROY.'!$F$2:$F$943,'HOJAS DE HORA PROY.'!$A$2:$A$943,'PLAN MAESTRO FINAL'!$A126,'HOJAS DE HORA PROY.'!$M$2:$M$943,H$113)</f>
        <v>0</v>
      </c>
      <c r="I126" s="8">
        <f>SUMIFS('HOJAS DE HORA PROY.'!$F$2:$F$943,'HOJAS DE HORA PROY.'!$A$2:$A$943,'PLAN MAESTRO FINAL'!$A126,'HOJAS DE HORA PROY.'!$M$2:$M$943,I$113)</f>
        <v>0</v>
      </c>
      <c r="J126" s="8">
        <f>SUMIFS('HOJAS DE HORA PROY.'!$F$2:$F$943,'HOJAS DE HORA PROY.'!$A$2:$A$943,'PLAN MAESTRO FINAL'!$A126,'HOJAS DE HORA PROY.'!$M$2:$M$943,J$113)</f>
        <v>0</v>
      </c>
      <c r="K126" s="8">
        <f>SUMIFS('HOJAS DE HORA PROY.'!$F$2:$F$943,'HOJAS DE HORA PROY.'!$A$2:$A$943,'PLAN MAESTRO FINAL'!$A126,'HOJAS DE HORA PROY.'!$M$2:$M$943,K$113)</f>
        <v>0</v>
      </c>
      <c r="L126" s="8">
        <f>SUMIFS('HOJAS DE HORA PROY.'!$F$2:$F$943,'HOJAS DE HORA PROY.'!$A$2:$A$943,'PLAN MAESTRO FINAL'!$A126,'HOJAS DE HORA PROY.'!$M$2:$M$943,L$113)</f>
        <v>0</v>
      </c>
      <c r="M126" s="8">
        <f>SUMIFS('HOJAS DE HORA PROY.'!$F$2:$F$943,'HOJAS DE HORA PROY.'!$A$2:$A$943,'PLAN MAESTRO FINAL'!$A126,'HOJAS DE HORA PROY.'!$M$2:$M$943,M$113)</f>
        <v>0</v>
      </c>
      <c r="N126" s="8">
        <f>SUMIFS('HOJAS DE HORA PROY.'!$F$2:$F$943,'HOJAS DE HORA PROY.'!$A$2:$A$943,'PLAN MAESTRO FINAL'!$A126,'HOJAS DE HORA PROY.'!$M$2:$M$943,N$113)</f>
        <v>0</v>
      </c>
      <c r="O126" s="8">
        <f>SUMIFS('HOJAS DE HORA PROY.'!$F$2:$F$943,'HOJAS DE HORA PROY.'!$A$2:$A$943,'PLAN MAESTRO FINAL'!$A126,'HOJAS DE HORA PROY.'!$M$2:$M$943,O$113)</f>
        <v>0</v>
      </c>
      <c r="P126" s="8">
        <f>SUMIFS('HOJAS DE HORA PROY.'!$F$2:$F$943,'HOJAS DE HORA PROY.'!$A$2:$A$943,'PLAN MAESTRO FINAL'!$A126,'HOJAS DE HORA PROY.'!$M$2:$M$943,P$113)</f>
        <v>0</v>
      </c>
      <c r="Q126" s="8">
        <f>SUMIFS('HOJAS DE HORA PROY.'!$F$2:$F$943,'HOJAS DE HORA PROY.'!$A$2:$A$943,'PLAN MAESTRO FINAL'!$A126,'HOJAS DE HORA PROY.'!$M$2:$M$943,Q$113)</f>
        <v>0</v>
      </c>
      <c r="R126" s="8">
        <f>SUMIFS('HOJAS DE HORA PROY.'!$F$2:$F$943,'HOJAS DE HORA PROY.'!$A$2:$A$943,'PLAN MAESTRO FINAL'!$A126,'HOJAS DE HORA PROY.'!$M$2:$M$943,R$113)</f>
        <v>0</v>
      </c>
      <c r="S126" s="8">
        <f>SUMIFS('HOJAS DE HORA PROY.'!$F$2:$F$943,'HOJAS DE HORA PROY.'!$A$2:$A$943,'PLAN MAESTRO FINAL'!$A126,'HOJAS DE HORA PROY.'!$M$2:$M$943,S$113)</f>
        <v>0</v>
      </c>
      <c r="T126" s="8">
        <f>SUMIFS('HOJAS DE HORA PROY.'!$F$2:$F$943,'HOJAS DE HORA PROY.'!$A$2:$A$943,'PLAN MAESTRO FINAL'!$A126,'HOJAS DE HORA PROY.'!$M$2:$M$943,T$113)</f>
        <v>0</v>
      </c>
      <c r="U126" s="8">
        <f>SUMIFS('HOJAS DE HORA PROY.'!$F$2:$F$943,'HOJAS DE HORA PROY.'!$A$2:$A$943,'PLAN MAESTRO FINAL'!$A126,'HOJAS DE HORA PROY.'!$M$2:$M$943,U$113)</f>
        <v>0</v>
      </c>
      <c r="V126" s="8">
        <f>SUMIFS('HOJAS DE HORA PROY.'!$F$2:$F$943,'HOJAS DE HORA PROY.'!$A$2:$A$943,'PLAN MAESTRO FINAL'!$A126,'HOJAS DE HORA PROY.'!$M$2:$M$943,V$113)</f>
        <v>0</v>
      </c>
      <c r="W126" s="8">
        <f>SUMIFS('HOJAS DE HORA PROY.'!$F$2:$F$943,'HOJAS DE HORA PROY.'!$A$2:$A$943,'PLAN MAESTRO FINAL'!$A126,'HOJAS DE HORA PROY.'!$M$2:$M$943,W$113)</f>
        <v>0</v>
      </c>
    </row>
    <row r="127" spans="1:23" hidden="1" outlineLevel="1" x14ac:dyDescent="0.3">
      <c r="A127" s="13" t="s">
        <v>262</v>
      </c>
      <c r="B127" s="8">
        <f>SUMIFS('HOJAS DE HORA PROY.'!$F$2:$F$943,'HOJAS DE HORA PROY.'!$A$2:$A$943,'PLAN MAESTRO FINAL'!$A127,'HOJAS DE HORA PROY.'!$M$2:$M$943,B$113)</f>
        <v>0</v>
      </c>
      <c r="C127" s="8">
        <f>SUMIFS('HOJAS DE HORA PROY.'!$F$2:$F$943,'HOJAS DE HORA PROY.'!$A$2:$A$943,'PLAN MAESTRO FINAL'!$A127,'HOJAS DE HORA PROY.'!$M$2:$M$943,C$113)</f>
        <v>0</v>
      </c>
      <c r="D127" s="8">
        <f>SUMIFS('HOJAS DE HORA PROY.'!$F$2:$F$943,'HOJAS DE HORA PROY.'!$A$2:$A$943,'PLAN MAESTRO FINAL'!$A127,'HOJAS DE HORA PROY.'!$M$2:$M$943,D$113)</f>
        <v>0</v>
      </c>
      <c r="E127" s="8">
        <f>SUMIFS('HOJAS DE HORA PROY.'!$F$2:$F$943,'HOJAS DE HORA PROY.'!$A$2:$A$943,'PLAN MAESTRO FINAL'!$A127,'HOJAS DE HORA PROY.'!$M$2:$M$943,E$113)</f>
        <v>0</v>
      </c>
      <c r="F127" s="8">
        <f>SUMIFS('HOJAS DE HORA PROY.'!$F$2:$F$943,'HOJAS DE HORA PROY.'!$A$2:$A$943,'PLAN MAESTRO FINAL'!$A127,'HOJAS DE HORA PROY.'!$M$2:$M$943,F$113)</f>
        <v>0</v>
      </c>
      <c r="G127" s="8">
        <f>SUMIFS('HOJAS DE HORA PROY.'!$F$2:$F$943,'HOJAS DE HORA PROY.'!$A$2:$A$943,'PLAN MAESTRO FINAL'!$A127,'HOJAS DE HORA PROY.'!$M$2:$M$943,G$113)</f>
        <v>0</v>
      </c>
      <c r="H127" s="8">
        <f>SUMIFS('HOJAS DE HORA PROY.'!$F$2:$F$943,'HOJAS DE HORA PROY.'!$A$2:$A$943,'PLAN MAESTRO FINAL'!$A127,'HOJAS DE HORA PROY.'!$M$2:$M$943,H$113)</f>
        <v>0</v>
      </c>
      <c r="I127" s="8">
        <f>SUMIFS('HOJAS DE HORA PROY.'!$F$2:$F$943,'HOJAS DE HORA PROY.'!$A$2:$A$943,'PLAN MAESTRO FINAL'!$A127,'HOJAS DE HORA PROY.'!$M$2:$M$943,I$113)</f>
        <v>0</v>
      </c>
      <c r="J127" s="8">
        <f>SUMIFS('HOJAS DE HORA PROY.'!$F$2:$F$943,'HOJAS DE HORA PROY.'!$A$2:$A$943,'PLAN MAESTRO FINAL'!$A127,'HOJAS DE HORA PROY.'!$M$2:$M$943,J$113)</f>
        <v>0</v>
      </c>
      <c r="K127" s="8">
        <f>SUMIFS('HOJAS DE HORA PROY.'!$F$2:$F$943,'HOJAS DE HORA PROY.'!$A$2:$A$943,'PLAN MAESTRO FINAL'!$A127,'HOJAS DE HORA PROY.'!$M$2:$M$943,K$113)</f>
        <v>0</v>
      </c>
      <c r="L127" s="8">
        <f>SUMIFS('HOJAS DE HORA PROY.'!$F$2:$F$943,'HOJAS DE HORA PROY.'!$A$2:$A$943,'PLAN MAESTRO FINAL'!$A127,'HOJAS DE HORA PROY.'!$M$2:$M$943,L$113)</f>
        <v>0</v>
      </c>
      <c r="M127" s="8">
        <f>SUMIFS('HOJAS DE HORA PROY.'!$F$2:$F$943,'HOJAS DE HORA PROY.'!$A$2:$A$943,'PLAN MAESTRO FINAL'!$A127,'HOJAS DE HORA PROY.'!$M$2:$M$943,M$113)</f>
        <v>0</v>
      </c>
      <c r="N127" s="8">
        <f>SUMIFS('HOJAS DE HORA PROY.'!$F$2:$F$943,'HOJAS DE HORA PROY.'!$A$2:$A$943,'PLAN MAESTRO FINAL'!$A127,'HOJAS DE HORA PROY.'!$M$2:$M$943,N$113)</f>
        <v>0</v>
      </c>
      <c r="O127" s="8">
        <f>SUMIFS('HOJAS DE HORA PROY.'!$F$2:$F$943,'HOJAS DE HORA PROY.'!$A$2:$A$943,'PLAN MAESTRO FINAL'!$A127,'HOJAS DE HORA PROY.'!$M$2:$M$943,O$113)</f>
        <v>0</v>
      </c>
      <c r="P127" s="8">
        <f>SUMIFS('HOJAS DE HORA PROY.'!$F$2:$F$943,'HOJAS DE HORA PROY.'!$A$2:$A$943,'PLAN MAESTRO FINAL'!$A127,'HOJAS DE HORA PROY.'!$M$2:$M$943,P$113)</f>
        <v>0</v>
      </c>
      <c r="Q127" s="8">
        <f>SUMIFS('HOJAS DE HORA PROY.'!$F$2:$F$943,'HOJAS DE HORA PROY.'!$A$2:$A$943,'PLAN MAESTRO FINAL'!$A127,'HOJAS DE HORA PROY.'!$M$2:$M$943,Q$113)</f>
        <v>0</v>
      </c>
      <c r="R127" s="8">
        <f>SUMIFS('HOJAS DE HORA PROY.'!$F$2:$F$943,'HOJAS DE HORA PROY.'!$A$2:$A$943,'PLAN MAESTRO FINAL'!$A127,'HOJAS DE HORA PROY.'!$M$2:$M$943,R$113)</f>
        <v>0</v>
      </c>
      <c r="S127" s="8">
        <f>SUMIFS('HOJAS DE HORA PROY.'!$F$2:$F$943,'HOJAS DE HORA PROY.'!$A$2:$A$943,'PLAN MAESTRO FINAL'!$A127,'HOJAS DE HORA PROY.'!$M$2:$M$943,S$113)</f>
        <v>0</v>
      </c>
      <c r="T127" s="8">
        <f>SUMIFS('HOJAS DE HORA PROY.'!$F$2:$F$943,'HOJAS DE HORA PROY.'!$A$2:$A$943,'PLAN MAESTRO FINAL'!$A127,'HOJAS DE HORA PROY.'!$M$2:$M$943,T$113)</f>
        <v>0</v>
      </c>
      <c r="U127" s="8">
        <f>SUMIFS('HOJAS DE HORA PROY.'!$F$2:$F$943,'HOJAS DE HORA PROY.'!$A$2:$A$943,'PLAN MAESTRO FINAL'!$A127,'HOJAS DE HORA PROY.'!$M$2:$M$943,U$113)</f>
        <v>0</v>
      </c>
      <c r="V127" s="8">
        <f>SUMIFS('HOJAS DE HORA PROY.'!$F$2:$F$943,'HOJAS DE HORA PROY.'!$A$2:$A$943,'PLAN MAESTRO FINAL'!$A127,'HOJAS DE HORA PROY.'!$M$2:$M$943,V$113)</f>
        <v>0</v>
      </c>
      <c r="W127" s="8">
        <f>SUMIFS('HOJAS DE HORA PROY.'!$F$2:$F$943,'HOJAS DE HORA PROY.'!$A$2:$A$943,'PLAN MAESTRO FINAL'!$A127,'HOJAS DE HORA PROY.'!$M$2:$M$943,W$113)</f>
        <v>0</v>
      </c>
    </row>
    <row r="128" spans="1:23" hidden="1" outlineLevel="1" x14ac:dyDescent="0.3">
      <c r="A128" s="13" t="s">
        <v>265</v>
      </c>
      <c r="B128" s="8">
        <f>SUMIFS('HOJAS DE HORA PROY.'!$F$2:$F$943,'HOJAS DE HORA PROY.'!$A$2:$A$943,'PLAN MAESTRO FINAL'!$A128,'HOJAS DE HORA PROY.'!$M$2:$M$943,B$113)</f>
        <v>0</v>
      </c>
      <c r="C128" s="8">
        <f>SUMIFS('HOJAS DE HORA PROY.'!$F$2:$F$943,'HOJAS DE HORA PROY.'!$A$2:$A$943,'PLAN MAESTRO FINAL'!$A128,'HOJAS DE HORA PROY.'!$M$2:$M$943,C$113)</f>
        <v>0</v>
      </c>
      <c r="D128" s="8">
        <f>SUMIFS('HOJAS DE HORA PROY.'!$F$2:$F$943,'HOJAS DE HORA PROY.'!$A$2:$A$943,'PLAN MAESTRO FINAL'!$A128,'HOJAS DE HORA PROY.'!$M$2:$M$943,D$113)</f>
        <v>0</v>
      </c>
      <c r="E128" s="8">
        <f>SUMIFS('HOJAS DE HORA PROY.'!$F$2:$F$943,'HOJAS DE HORA PROY.'!$A$2:$A$943,'PLAN MAESTRO FINAL'!$A128,'HOJAS DE HORA PROY.'!$M$2:$M$943,E$113)</f>
        <v>0</v>
      </c>
      <c r="F128" s="8">
        <f>SUMIFS('HOJAS DE HORA PROY.'!$F$2:$F$943,'HOJAS DE HORA PROY.'!$A$2:$A$943,'PLAN MAESTRO FINAL'!$A128,'HOJAS DE HORA PROY.'!$M$2:$M$943,F$113)</f>
        <v>0</v>
      </c>
      <c r="G128" s="8">
        <f>SUMIFS('HOJAS DE HORA PROY.'!$F$2:$F$943,'HOJAS DE HORA PROY.'!$A$2:$A$943,'PLAN MAESTRO FINAL'!$A128,'HOJAS DE HORA PROY.'!$M$2:$M$943,G$113)</f>
        <v>0</v>
      </c>
      <c r="H128" s="8">
        <f>SUMIFS('HOJAS DE HORA PROY.'!$F$2:$F$943,'HOJAS DE HORA PROY.'!$A$2:$A$943,'PLAN MAESTRO FINAL'!$A128,'HOJAS DE HORA PROY.'!$M$2:$M$943,H$113)</f>
        <v>0</v>
      </c>
      <c r="I128" s="8">
        <f>SUMIFS('HOJAS DE HORA PROY.'!$F$2:$F$943,'HOJAS DE HORA PROY.'!$A$2:$A$943,'PLAN MAESTRO FINAL'!$A128,'HOJAS DE HORA PROY.'!$M$2:$M$943,I$113)</f>
        <v>0</v>
      </c>
      <c r="J128" s="8">
        <f>SUMIFS('HOJAS DE HORA PROY.'!$F$2:$F$943,'HOJAS DE HORA PROY.'!$A$2:$A$943,'PLAN MAESTRO FINAL'!$A128,'HOJAS DE HORA PROY.'!$M$2:$M$943,J$113)</f>
        <v>0</v>
      </c>
      <c r="K128" s="8">
        <f>SUMIFS('HOJAS DE HORA PROY.'!$F$2:$F$943,'HOJAS DE HORA PROY.'!$A$2:$A$943,'PLAN MAESTRO FINAL'!$A128,'HOJAS DE HORA PROY.'!$M$2:$M$943,K$113)</f>
        <v>0</v>
      </c>
      <c r="L128" s="8">
        <f>SUMIFS('HOJAS DE HORA PROY.'!$F$2:$F$943,'HOJAS DE HORA PROY.'!$A$2:$A$943,'PLAN MAESTRO FINAL'!$A128,'HOJAS DE HORA PROY.'!$M$2:$M$943,L$113)</f>
        <v>0</v>
      </c>
      <c r="M128" s="8">
        <f>SUMIFS('HOJAS DE HORA PROY.'!$F$2:$F$943,'HOJAS DE HORA PROY.'!$A$2:$A$943,'PLAN MAESTRO FINAL'!$A128,'HOJAS DE HORA PROY.'!$M$2:$M$943,M$113)</f>
        <v>0</v>
      </c>
      <c r="N128" s="8">
        <f>SUMIFS('HOJAS DE HORA PROY.'!$F$2:$F$943,'HOJAS DE HORA PROY.'!$A$2:$A$943,'PLAN MAESTRO FINAL'!$A128,'HOJAS DE HORA PROY.'!$M$2:$M$943,N$113)</f>
        <v>0</v>
      </c>
      <c r="O128" s="8">
        <f>SUMIFS('HOJAS DE HORA PROY.'!$F$2:$F$943,'HOJAS DE HORA PROY.'!$A$2:$A$943,'PLAN MAESTRO FINAL'!$A128,'HOJAS DE HORA PROY.'!$M$2:$M$943,O$113)</f>
        <v>0</v>
      </c>
      <c r="P128" s="8">
        <f>SUMIFS('HOJAS DE HORA PROY.'!$F$2:$F$943,'HOJAS DE HORA PROY.'!$A$2:$A$943,'PLAN MAESTRO FINAL'!$A128,'HOJAS DE HORA PROY.'!$M$2:$M$943,P$113)</f>
        <v>0</v>
      </c>
      <c r="Q128" s="8">
        <f>SUMIFS('HOJAS DE HORA PROY.'!$F$2:$F$943,'HOJAS DE HORA PROY.'!$A$2:$A$943,'PLAN MAESTRO FINAL'!$A128,'HOJAS DE HORA PROY.'!$M$2:$M$943,Q$113)</f>
        <v>0</v>
      </c>
      <c r="R128" s="8">
        <f>SUMIFS('HOJAS DE HORA PROY.'!$F$2:$F$943,'HOJAS DE HORA PROY.'!$A$2:$A$943,'PLAN MAESTRO FINAL'!$A128,'HOJAS DE HORA PROY.'!$M$2:$M$943,R$113)</f>
        <v>0</v>
      </c>
      <c r="S128" s="8">
        <f>SUMIFS('HOJAS DE HORA PROY.'!$F$2:$F$943,'HOJAS DE HORA PROY.'!$A$2:$A$943,'PLAN MAESTRO FINAL'!$A128,'HOJAS DE HORA PROY.'!$M$2:$M$943,S$113)</f>
        <v>0</v>
      </c>
      <c r="T128" s="8">
        <f>SUMIFS('HOJAS DE HORA PROY.'!$F$2:$F$943,'HOJAS DE HORA PROY.'!$A$2:$A$943,'PLAN MAESTRO FINAL'!$A128,'HOJAS DE HORA PROY.'!$M$2:$M$943,T$113)</f>
        <v>0</v>
      </c>
      <c r="U128" s="8">
        <f>SUMIFS('HOJAS DE HORA PROY.'!$F$2:$F$943,'HOJAS DE HORA PROY.'!$A$2:$A$943,'PLAN MAESTRO FINAL'!$A128,'HOJAS DE HORA PROY.'!$M$2:$M$943,U$113)</f>
        <v>0</v>
      </c>
      <c r="V128" s="8">
        <f>SUMIFS('HOJAS DE HORA PROY.'!$F$2:$F$943,'HOJAS DE HORA PROY.'!$A$2:$A$943,'PLAN MAESTRO FINAL'!$A128,'HOJAS DE HORA PROY.'!$M$2:$M$943,V$113)</f>
        <v>0</v>
      </c>
      <c r="W128" s="8">
        <f>SUMIFS('HOJAS DE HORA PROY.'!$F$2:$F$943,'HOJAS DE HORA PROY.'!$A$2:$A$943,'PLAN MAESTRO FINAL'!$A128,'HOJAS DE HORA PROY.'!$M$2:$M$943,W$113)</f>
        <v>0</v>
      </c>
    </row>
    <row r="129" spans="1:23" hidden="1" outlineLevel="1" x14ac:dyDescent="0.3">
      <c r="A129" s="13" t="s">
        <v>267</v>
      </c>
      <c r="B129" s="8">
        <f>SUMIFS('HOJAS DE HORA PROY.'!$F$2:$F$943,'HOJAS DE HORA PROY.'!$A$2:$A$943,'PLAN MAESTRO FINAL'!$A129,'HOJAS DE HORA PROY.'!$M$2:$M$943,B$113)</f>
        <v>0</v>
      </c>
      <c r="C129" s="8">
        <f>SUMIFS('HOJAS DE HORA PROY.'!$F$2:$F$943,'HOJAS DE HORA PROY.'!$A$2:$A$943,'PLAN MAESTRO FINAL'!$A129,'HOJAS DE HORA PROY.'!$M$2:$M$943,C$113)</f>
        <v>0</v>
      </c>
      <c r="D129" s="8">
        <f>SUMIFS('HOJAS DE HORA PROY.'!$F$2:$F$943,'HOJAS DE HORA PROY.'!$A$2:$A$943,'PLAN MAESTRO FINAL'!$A129,'HOJAS DE HORA PROY.'!$M$2:$M$943,D$113)</f>
        <v>0</v>
      </c>
      <c r="E129" s="8">
        <f>SUMIFS('HOJAS DE HORA PROY.'!$F$2:$F$943,'HOJAS DE HORA PROY.'!$A$2:$A$943,'PLAN MAESTRO FINAL'!$A129,'HOJAS DE HORA PROY.'!$M$2:$M$943,E$113)</f>
        <v>0</v>
      </c>
      <c r="F129" s="8">
        <f>SUMIFS('HOJAS DE HORA PROY.'!$F$2:$F$943,'HOJAS DE HORA PROY.'!$A$2:$A$943,'PLAN MAESTRO FINAL'!$A129,'HOJAS DE HORA PROY.'!$M$2:$M$943,F$113)</f>
        <v>0</v>
      </c>
      <c r="G129" s="8">
        <f>SUMIFS('HOJAS DE HORA PROY.'!$F$2:$F$943,'HOJAS DE HORA PROY.'!$A$2:$A$943,'PLAN MAESTRO FINAL'!$A129,'HOJAS DE HORA PROY.'!$M$2:$M$943,G$113)</f>
        <v>0</v>
      </c>
      <c r="H129" s="8">
        <f>SUMIFS('HOJAS DE HORA PROY.'!$F$2:$F$943,'HOJAS DE HORA PROY.'!$A$2:$A$943,'PLAN MAESTRO FINAL'!$A129,'HOJAS DE HORA PROY.'!$M$2:$M$943,H$113)</f>
        <v>0</v>
      </c>
      <c r="I129" s="8">
        <f>SUMIFS('HOJAS DE HORA PROY.'!$F$2:$F$943,'HOJAS DE HORA PROY.'!$A$2:$A$943,'PLAN MAESTRO FINAL'!$A129,'HOJAS DE HORA PROY.'!$M$2:$M$943,I$113)</f>
        <v>0</v>
      </c>
      <c r="J129" s="8">
        <f>SUMIFS('HOJAS DE HORA PROY.'!$F$2:$F$943,'HOJAS DE HORA PROY.'!$A$2:$A$943,'PLAN MAESTRO FINAL'!$A129,'HOJAS DE HORA PROY.'!$M$2:$M$943,J$113)</f>
        <v>0</v>
      </c>
      <c r="K129" s="8">
        <f>SUMIFS('HOJAS DE HORA PROY.'!$F$2:$F$943,'HOJAS DE HORA PROY.'!$A$2:$A$943,'PLAN MAESTRO FINAL'!$A129,'HOJAS DE HORA PROY.'!$M$2:$M$943,K$113)</f>
        <v>0</v>
      </c>
      <c r="L129" s="8">
        <f>SUMIFS('HOJAS DE HORA PROY.'!$F$2:$F$943,'HOJAS DE HORA PROY.'!$A$2:$A$943,'PLAN MAESTRO FINAL'!$A129,'HOJAS DE HORA PROY.'!$M$2:$M$943,L$113)</f>
        <v>0</v>
      </c>
      <c r="M129" s="8">
        <f>SUMIFS('HOJAS DE HORA PROY.'!$F$2:$F$943,'HOJAS DE HORA PROY.'!$A$2:$A$943,'PLAN MAESTRO FINAL'!$A129,'HOJAS DE HORA PROY.'!$M$2:$M$943,M$113)</f>
        <v>0</v>
      </c>
      <c r="N129" s="8">
        <f>SUMIFS('HOJAS DE HORA PROY.'!$F$2:$F$943,'HOJAS DE HORA PROY.'!$A$2:$A$943,'PLAN MAESTRO FINAL'!$A129,'HOJAS DE HORA PROY.'!$M$2:$M$943,N$113)</f>
        <v>0</v>
      </c>
      <c r="O129" s="8">
        <f>SUMIFS('HOJAS DE HORA PROY.'!$F$2:$F$943,'HOJAS DE HORA PROY.'!$A$2:$A$943,'PLAN MAESTRO FINAL'!$A129,'HOJAS DE HORA PROY.'!$M$2:$M$943,O$113)</f>
        <v>0</v>
      </c>
      <c r="P129" s="8">
        <f>SUMIFS('HOJAS DE HORA PROY.'!$F$2:$F$943,'HOJAS DE HORA PROY.'!$A$2:$A$943,'PLAN MAESTRO FINAL'!$A129,'HOJAS DE HORA PROY.'!$M$2:$M$943,P$113)</f>
        <v>0</v>
      </c>
      <c r="Q129" s="8">
        <f>SUMIFS('HOJAS DE HORA PROY.'!$F$2:$F$943,'HOJAS DE HORA PROY.'!$A$2:$A$943,'PLAN MAESTRO FINAL'!$A129,'HOJAS DE HORA PROY.'!$M$2:$M$943,Q$113)</f>
        <v>0</v>
      </c>
      <c r="R129" s="8">
        <f>SUMIFS('HOJAS DE HORA PROY.'!$F$2:$F$943,'HOJAS DE HORA PROY.'!$A$2:$A$943,'PLAN MAESTRO FINAL'!$A129,'HOJAS DE HORA PROY.'!$M$2:$M$943,R$113)</f>
        <v>0</v>
      </c>
      <c r="S129" s="8">
        <f>SUMIFS('HOJAS DE HORA PROY.'!$F$2:$F$943,'HOJAS DE HORA PROY.'!$A$2:$A$943,'PLAN MAESTRO FINAL'!$A129,'HOJAS DE HORA PROY.'!$M$2:$M$943,S$113)</f>
        <v>0</v>
      </c>
      <c r="T129" s="8">
        <f>SUMIFS('HOJAS DE HORA PROY.'!$F$2:$F$943,'HOJAS DE HORA PROY.'!$A$2:$A$943,'PLAN MAESTRO FINAL'!$A129,'HOJAS DE HORA PROY.'!$M$2:$M$943,T$113)</f>
        <v>0</v>
      </c>
      <c r="U129" s="8">
        <f>SUMIFS('HOJAS DE HORA PROY.'!$F$2:$F$943,'HOJAS DE HORA PROY.'!$A$2:$A$943,'PLAN MAESTRO FINAL'!$A129,'HOJAS DE HORA PROY.'!$M$2:$M$943,U$113)</f>
        <v>0</v>
      </c>
      <c r="V129" s="8">
        <f>SUMIFS('HOJAS DE HORA PROY.'!$F$2:$F$943,'HOJAS DE HORA PROY.'!$A$2:$A$943,'PLAN MAESTRO FINAL'!$A129,'HOJAS DE HORA PROY.'!$M$2:$M$943,V$113)</f>
        <v>0</v>
      </c>
      <c r="W129" s="8">
        <f>SUMIFS('HOJAS DE HORA PROY.'!$F$2:$F$943,'HOJAS DE HORA PROY.'!$A$2:$A$943,'PLAN MAESTRO FINAL'!$A129,'HOJAS DE HORA PROY.'!$M$2:$M$943,W$113)</f>
        <v>0</v>
      </c>
    </row>
    <row r="130" spans="1:23" hidden="1" outlineLevel="1" x14ac:dyDescent="0.3">
      <c r="A130" s="13" t="s">
        <v>306</v>
      </c>
      <c r="B130" s="8">
        <f>SUMIFS('HOJAS DE HORA PROY.'!$F$2:$F$943,'HOJAS DE HORA PROY.'!$A$2:$A$943,'PLAN MAESTRO FINAL'!$A130,'HOJAS DE HORA PROY.'!$M$2:$M$943,B$113)</f>
        <v>0</v>
      </c>
      <c r="C130" s="8">
        <f>SUMIFS('HOJAS DE HORA PROY.'!$F$2:$F$943,'HOJAS DE HORA PROY.'!$A$2:$A$943,'PLAN MAESTRO FINAL'!$A130,'HOJAS DE HORA PROY.'!$M$2:$M$943,C$113)</f>
        <v>0</v>
      </c>
      <c r="D130" s="8">
        <f>SUMIFS('HOJAS DE HORA PROY.'!$F$2:$F$943,'HOJAS DE HORA PROY.'!$A$2:$A$943,'PLAN MAESTRO FINAL'!$A130,'HOJAS DE HORA PROY.'!$M$2:$M$943,D$113)</f>
        <v>0</v>
      </c>
      <c r="E130" s="8">
        <f>SUMIFS('HOJAS DE HORA PROY.'!$F$2:$F$943,'HOJAS DE HORA PROY.'!$A$2:$A$943,'PLAN MAESTRO FINAL'!$A130,'HOJAS DE HORA PROY.'!$M$2:$M$943,E$113)</f>
        <v>0</v>
      </c>
      <c r="F130" s="8">
        <f>SUMIFS('HOJAS DE HORA PROY.'!$F$2:$F$943,'HOJAS DE HORA PROY.'!$A$2:$A$943,'PLAN MAESTRO FINAL'!$A130,'HOJAS DE HORA PROY.'!$M$2:$M$943,F$113)</f>
        <v>5</v>
      </c>
      <c r="G130" s="8">
        <f>SUMIFS('HOJAS DE HORA PROY.'!$F$2:$F$943,'HOJAS DE HORA PROY.'!$A$2:$A$943,'PLAN MAESTRO FINAL'!$A130,'HOJAS DE HORA PROY.'!$M$2:$M$943,G$113)</f>
        <v>0</v>
      </c>
      <c r="H130" s="8">
        <f>SUMIFS('HOJAS DE HORA PROY.'!$F$2:$F$943,'HOJAS DE HORA PROY.'!$A$2:$A$943,'PLAN MAESTRO FINAL'!$A130,'HOJAS DE HORA PROY.'!$M$2:$M$943,H$113)</f>
        <v>0</v>
      </c>
      <c r="I130" s="8">
        <f>SUMIFS('HOJAS DE HORA PROY.'!$F$2:$F$943,'HOJAS DE HORA PROY.'!$A$2:$A$943,'PLAN MAESTRO FINAL'!$A130,'HOJAS DE HORA PROY.'!$M$2:$M$943,I$113)</f>
        <v>0</v>
      </c>
      <c r="J130" s="8">
        <f>SUMIFS('HOJAS DE HORA PROY.'!$F$2:$F$943,'HOJAS DE HORA PROY.'!$A$2:$A$943,'PLAN MAESTRO FINAL'!$A130,'HOJAS DE HORA PROY.'!$M$2:$M$943,J$113)</f>
        <v>0</v>
      </c>
      <c r="K130" s="8">
        <f>SUMIFS('HOJAS DE HORA PROY.'!$F$2:$F$943,'HOJAS DE HORA PROY.'!$A$2:$A$943,'PLAN MAESTRO FINAL'!$A130,'HOJAS DE HORA PROY.'!$M$2:$M$943,K$113)</f>
        <v>0</v>
      </c>
      <c r="L130" s="8">
        <f>SUMIFS('HOJAS DE HORA PROY.'!$F$2:$F$943,'HOJAS DE HORA PROY.'!$A$2:$A$943,'PLAN MAESTRO FINAL'!$A130,'HOJAS DE HORA PROY.'!$M$2:$M$943,L$113)</f>
        <v>0</v>
      </c>
      <c r="M130" s="8">
        <f>SUMIFS('HOJAS DE HORA PROY.'!$F$2:$F$943,'HOJAS DE HORA PROY.'!$A$2:$A$943,'PLAN MAESTRO FINAL'!$A130,'HOJAS DE HORA PROY.'!$M$2:$M$943,M$113)</f>
        <v>0</v>
      </c>
      <c r="N130" s="8">
        <f>SUMIFS('HOJAS DE HORA PROY.'!$F$2:$F$943,'HOJAS DE HORA PROY.'!$A$2:$A$943,'PLAN MAESTRO FINAL'!$A130,'HOJAS DE HORA PROY.'!$M$2:$M$943,N$113)</f>
        <v>0</v>
      </c>
      <c r="O130" s="8">
        <f>SUMIFS('HOJAS DE HORA PROY.'!$F$2:$F$943,'HOJAS DE HORA PROY.'!$A$2:$A$943,'PLAN MAESTRO FINAL'!$A130,'HOJAS DE HORA PROY.'!$M$2:$M$943,O$113)</f>
        <v>0</v>
      </c>
      <c r="P130" s="8">
        <f>SUMIFS('HOJAS DE HORA PROY.'!$F$2:$F$943,'HOJAS DE HORA PROY.'!$A$2:$A$943,'PLAN MAESTRO FINAL'!$A130,'HOJAS DE HORA PROY.'!$M$2:$M$943,P$113)</f>
        <v>0</v>
      </c>
      <c r="Q130" s="8">
        <f>SUMIFS('HOJAS DE HORA PROY.'!$F$2:$F$943,'HOJAS DE HORA PROY.'!$A$2:$A$943,'PLAN MAESTRO FINAL'!$A130,'HOJAS DE HORA PROY.'!$M$2:$M$943,Q$113)</f>
        <v>0</v>
      </c>
      <c r="R130" s="8">
        <f>SUMIFS('HOJAS DE HORA PROY.'!$F$2:$F$943,'HOJAS DE HORA PROY.'!$A$2:$A$943,'PLAN MAESTRO FINAL'!$A130,'HOJAS DE HORA PROY.'!$M$2:$M$943,R$113)</f>
        <v>0</v>
      </c>
      <c r="S130" s="8">
        <f>SUMIFS('HOJAS DE HORA PROY.'!$F$2:$F$943,'HOJAS DE HORA PROY.'!$A$2:$A$943,'PLAN MAESTRO FINAL'!$A130,'HOJAS DE HORA PROY.'!$M$2:$M$943,S$113)</f>
        <v>0</v>
      </c>
      <c r="T130" s="8">
        <f>SUMIFS('HOJAS DE HORA PROY.'!$F$2:$F$943,'HOJAS DE HORA PROY.'!$A$2:$A$943,'PLAN MAESTRO FINAL'!$A130,'HOJAS DE HORA PROY.'!$M$2:$M$943,T$113)</f>
        <v>0</v>
      </c>
      <c r="U130" s="8">
        <f>SUMIFS('HOJAS DE HORA PROY.'!$F$2:$F$943,'HOJAS DE HORA PROY.'!$A$2:$A$943,'PLAN MAESTRO FINAL'!$A130,'HOJAS DE HORA PROY.'!$M$2:$M$943,U$113)</f>
        <v>0</v>
      </c>
      <c r="V130" s="8">
        <f>SUMIFS('HOJAS DE HORA PROY.'!$F$2:$F$943,'HOJAS DE HORA PROY.'!$A$2:$A$943,'PLAN MAESTRO FINAL'!$A130,'HOJAS DE HORA PROY.'!$M$2:$M$943,V$113)</f>
        <v>0</v>
      </c>
      <c r="W130" s="8">
        <f>SUMIFS('HOJAS DE HORA PROY.'!$F$2:$F$943,'HOJAS DE HORA PROY.'!$A$2:$A$943,'PLAN MAESTRO FINAL'!$A130,'HOJAS DE HORA PROY.'!$M$2:$M$943,W$113)</f>
        <v>0</v>
      </c>
    </row>
    <row r="131" spans="1:23" hidden="1" outlineLevel="1" x14ac:dyDescent="0.3">
      <c r="A131" s="13" t="s">
        <v>307</v>
      </c>
      <c r="B131" s="8">
        <f>SUMIFS('HOJAS DE HORA PROY.'!$F$2:$F$943,'HOJAS DE HORA PROY.'!$A$2:$A$943,'PLAN MAESTRO FINAL'!$A131,'HOJAS DE HORA PROY.'!$M$2:$M$943,B$113)</f>
        <v>0</v>
      </c>
      <c r="C131" s="8">
        <f>SUMIFS('HOJAS DE HORA PROY.'!$F$2:$F$943,'HOJAS DE HORA PROY.'!$A$2:$A$943,'PLAN MAESTRO FINAL'!$A131,'HOJAS DE HORA PROY.'!$M$2:$M$943,C$113)</f>
        <v>0</v>
      </c>
      <c r="D131" s="8">
        <f>SUMIFS('HOJAS DE HORA PROY.'!$F$2:$F$943,'HOJAS DE HORA PROY.'!$A$2:$A$943,'PLAN MAESTRO FINAL'!$A131,'HOJAS DE HORA PROY.'!$M$2:$M$943,D$113)</f>
        <v>0</v>
      </c>
      <c r="E131" s="8">
        <f>SUMIFS('HOJAS DE HORA PROY.'!$F$2:$F$943,'HOJAS DE HORA PROY.'!$A$2:$A$943,'PLAN MAESTRO FINAL'!$A131,'HOJAS DE HORA PROY.'!$M$2:$M$943,E$113)</f>
        <v>0</v>
      </c>
      <c r="F131" s="8">
        <f>SUMIFS('HOJAS DE HORA PROY.'!$F$2:$F$943,'HOJAS DE HORA PROY.'!$A$2:$A$943,'PLAN MAESTRO FINAL'!$A131,'HOJAS DE HORA PROY.'!$M$2:$M$943,F$113)</f>
        <v>0</v>
      </c>
      <c r="G131" s="8">
        <f>SUMIFS('HOJAS DE HORA PROY.'!$F$2:$F$943,'HOJAS DE HORA PROY.'!$A$2:$A$943,'PLAN MAESTRO FINAL'!$A131,'HOJAS DE HORA PROY.'!$M$2:$M$943,G$113)</f>
        <v>0</v>
      </c>
      <c r="H131" s="8">
        <f>SUMIFS('HOJAS DE HORA PROY.'!$F$2:$F$943,'HOJAS DE HORA PROY.'!$A$2:$A$943,'PLAN MAESTRO FINAL'!$A131,'HOJAS DE HORA PROY.'!$M$2:$M$943,H$113)</f>
        <v>0</v>
      </c>
      <c r="I131" s="8">
        <f>SUMIFS('HOJAS DE HORA PROY.'!$F$2:$F$943,'HOJAS DE HORA PROY.'!$A$2:$A$943,'PLAN MAESTRO FINAL'!$A131,'HOJAS DE HORA PROY.'!$M$2:$M$943,I$113)</f>
        <v>0</v>
      </c>
      <c r="J131" s="8">
        <f>SUMIFS('HOJAS DE HORA PROY.'!$F$2:$F$943,'HOJAS DE HORA PROY.'!$A$2:$A$943,'PLAN MAESTRO FINAL'!$A131,'HOJAS DE HORA PROY.'!$M$2:$M$943,J$113)</f>
        <v>0</v>
      </c>
      <c r="K131" s="8">
        <f>SUMIFS('HOJAS DE HORA PROY.'!$F$2:$F$943,'HOJAS DE HORA PROY.'!$A$2:$A$943,'PLAN MAESTRO FINAL'!$A131,'HOJAS DE HORA PROY.'!$M$2:$M$943,K$113)</f>
        <v>0</v>
      </c>
      <c r="L131" s="8">
        <f>SUMIFS('HOJAS DE HORA PROY.'!$F$2:$F$943,'HOJAS DE HORA PROY.'!$A$2:$A$943,'PLAN MAESTRO FINAL'!$A131,'HOJAS DE HORA PROY.'!$M$2:$M$943,L$113)</f>
        <v>0</v>
      </c>
      <c r="M131" s="8">
        <f>SUMIFS('HOJAS DE HORA PROY.'!$F$2:$F$943,'HOJAS DE HORA PROY.'!$A$2:$A$943,'PLAN MAESTRO FINAL'!$A131,'HOJAS DE HORA PROY.'!$M$2:$M$943,M$113)</f>
        <v>0</v>
      </c>
      <c r="N131" s="8">
        <f>SUMIFS('HOJAS DE HORA PROY.'!$F$2:$F$943,'HOJAS DE HORA PROY.'!$A$2:$A$943,'PLAN MAESTRO FINAL'!$A131,'HOJAS DE HORA PROY.'!$M$2:$M$943,N$113)</f>
        <v>0</v>
      </c>
      <c r="O131" s="8">
        <f>SUMIFS('HOJAS DE HORA PROY.'!$F$2:$F$943,'HOJAS DE HORA PROY.'!$A$2:$A$943,'PLAN MAESTRO FINAL'!$A131,'HOJAS DE HORA PROY.'!$M$2:$M$943,O$113)</f>
        <v>0</v>
      </c>
      <c r="P131" s="8">
        <f>SUMIFS('HOJAS DE HORA PROY.'!$F$2:$F$943,'HOJAS DE HORA PROY.'!$A$2:$A$943,'PLAN MAESTRO FINAL'!$A131,'HOJAS DE HORA PROY.'!$M$2:$M$943,P$113)</f>
        <v>0</v>
      </c>
      <c r="Q131" s="8">
        <f>SUMIFS('HOJAS DE HORA PROY.'!$F$2:$F$943,'HOJAS DE HORA PROY.'!$A$2:$A$943,'PLAN MAESTRO FINAL'!$A131,'HOJAS DE HORA PROY.'!$M$2:$M$943,Q$113)</f>
        <v>0</v>
      </c>
      <c r="R131" s="8">
        <f>SUMIFS('HOJAS DE HORA PROY.'!$F$2:$F$943,'HOJAS DE HORA PROY.'!$A$2:$A$943,'PLAN MAESTRO FINAL'!$A131,'HOJAS DE HORA PROY.'!$M$2:$M$943,R$113)</f>
        <v>0</v>
      </c>
      <c r="S131" s="8">
        <f>SUMIFS('HOJAS DE HORA PROY.'!$F$2:$F$943,'HOJAS DE HORA PROY.'!$A$2:$A$943,'PLAN MAESTRO FINAL'!$A131,'HOJAS DE HORA PROY.'!$M$2:$M$943,S$113)</f>
        <v>0</v>
      </c>
      <c r="T131" s="8">
        <f>SUMIFS('HOJAS DE HORA PROY.'!$F$2:$F$943,'HOJAS DE HORA PROY.'!$A$2:$A$943,'PLAN MAESTRO FINAL'!$A131,'HOJAS DE HORA PROY.'!$M$2:$M$943,T$113)</f>
        <v>0</v>
      </c>
      <c r="U131" s="8">
        <f>SUMIFS('HOJAS DE HORA PROY.'!$F$2:$F$943,'HOJAS DE HORA PROY.'!$A$2:$A$943,'PLAN MAESTRO FINAL'!$A131,'HOJAS DE HORA PROY.'!$M$2:$M$943,U$113)</f>
        <v>0</v>
      </c>
      <c r="V131" s="8">
        <f>SUMIFS('HOJAS DE HORA PROY.'!$F$2:$F$943,'HOJAS DE HORA PROY.'!$A$2:$A$943,'PLAN MAESTRO FINAL'!$A131,'HOJAS DE HORA PROY.'!$M$2:$M$943,V$113)</f>
        <v>0</v>
      </c>
      <c r="W131" s="8">
        <f>SUMIFS('HOJAS DE HORA PROY.'!$F$2:$F$943,'HOJAS DE HORA PROY.'!$A$2:$A$943,'PLAN MAESTRO FINAL'!$A131,'HOJAS DE HORA PROY.'!$M$2:$M$943,W$113)</f>
        <v>0</v>
      </c>
    </row>
    <row r="132" spans="1:23" hidden="1" outlineLevel="1" x14ac:dyDescent="0.3">
      <c r="A132" s="13" t="s">
        <v>321</v>
      </c>
      <c r="B132" s="8">
        <f>SUMIFS('HOJAS DE HORA PROY.'!$F$2:$F$943,'HOJAS DE HORA PROY.'!$A$2:$A$943,'PLAN MAESTRO FINAL'!$A132,'HOJAS DE HORA PROY.'!$M$2:$M$943,B$113)</f>
        <v>0</v>
      </c>
      <c r="C132" s="8">
        <f>SUMIFS('HOJAS DE HORA PROY.'!$F$2:$F$943,'HOJAS DE HORA PROY.'!$A$2:$A$943,'PLAN MAESTRO FINAL'!$A132,'HOJAS DE HORA PROY.'!$M$2:$M$943,C$113)</f>
        <v>0</v>
      </c>
      <c r="D132" s="8">
        <f>SUMIFS('HOJAS DE HORA PROY.'!$F$2:$F$943,'HOJAS DE HORA PROY.'!$A$2:$A$943,'PLAN MAESTRO FINAL'!$A132,'HOJAS DE HORA PROY.'!$M$2:$M$943,D$113)</f>
        <v>0</v>
      </c>
      <c r="E132" s="8">
        <f>SUMIFS('HOJAS DE HORA PROY.'!$F$2:$F$943,'HOJAS DE HORA PROY.'!$A$2:$A$943,'PLAN MAESTRO FINAL'!$A132,'HOJAS DE HORA PROY.'!$M$2:$M$943,E$113)</f>
        <v>0</v>
      </c>
      <c r="F132" s="8">
        <f>SUMIFS('HOJAS DE HORA PROY.'!$F$2:$F$943,'HOJAS DE HORA PROY.'!$A$2:$A$943,'PLAN MAESTRO FINAL'!$A132,'HOJAS DE HORA PROY.'!$M$2:$M$943,F$113)</f>
        <v>0</v>
      </c>
      <c r="G132" s="8">
        <f>SUMIFS('HOJAS DE HORA PROY.'!$F$2:$F$943,'HOJAS DE HORA PROY.'!$A$2:$A$943,'PLAN MAESTRO FINAL'!$A132,'HOJAS DE HORA PROY.'!$M$2:$M$943,G$113)</f>
        <v>0</v>
      </c>
      <c r="H132" s="8">
        <f>SUMIFS('HOJAS DE HORA PROY.'!$F$2:$F$943,'HOJAS DE HORA PROY.'!$A$2:$A$943,'PLAN MAESTRO FINAL'!$A132,'HOJAS DE HORA PROY.'!$M$2:$M$943,H$113)</f>
        <v>0</v>
      </c>
      <c r="I132" s="8">
        <f>SUMIFS('HOJAS DE HORA PROY.'!$F$2:$F$943,'HOJAS DE HORA PROY.'!$A$2:$A$943,'PLAN MAESTRO FINAL'!$A132,'HOJAS DE HORA PROY.'!$M$2:$M$943,I$113)</f>
        <v>0</v>
      </c>
      <c r="J132" s="8">
        <f>SUMIFS('HOJAS DE HORA PROY.'!$F$2:$F$943,'HOJAS DE HORA PROY.'!$A$2:$A$943,'PLAN MAESTRO FINAL'!$A132,'HOJAS DE HORA PROY.'!$M$2:$M$943,J$113)</f>
        <v>0</v>
      </c>
      <c r="K132" s="8">
        <f>SUMIFS('HOJAS DE HORA PROY.'!$F$2:$F$943,'HOJAS DE HORA PROY.'!$A$2:$A$943,'PLAN MAESTRO FINAL'!$A132,'HOJAS DE HORA PROY.'!$M$2:$M$943,K$113)</f>
        <v>0</v>
      </c>
      <c r="L132" s="8">
        <f>SUMIFS('HOJAS DE HORA PROY.'!$F$2:$F$943,'HOJAS DE HORA PROY.'!$A$2:$A$943,'PLAN MAESTRO FINAL'!$A132,'HOJAS DE HORA PROY.'!$M$2:$M$943,L$113)</f>
        <v>0</v>
      </c>
      <c r="M132" s="8">
        <f>SUMIFS('HOJAS DE HORA PROY.'!$F$2:$F$943,'HOJAS DE HORA PROY.'!$A$2:$A$943,'PLAN MAESTRO FINAL'!$A132,'HOJAS DE HORA PROY.'!$M$2:$M$943,M$113)</f>
        <v>0</v>
      </c>
      <c r="N132" s="8">
        <f>SUMIFS('HOJAS DE HORA PROY.'!$F$2:$F$943,'HOJAS DE HORA PROY.'!$A$2:$A$943,'PLAN MAESTRO FINAL'!$A132,'HOJAS DE HORA PROY.'!$M$2:$M$943,N$113)</f>
        <v>0</v>
      </c>
      <c r="O132" s="8">
        <f>SUMIFS('HOJAS DE HORA PROY.'!$F$2:$F$943,'HOJAS DE HORA PROY.'!$A$2:$A$943,'PLAN MAESTRO FINAL'!$A132,'HOJAS DE HORA PROY.'!$M$2:$M$943,O$113)</f>
        <v>0</v>
      </c>
      <c r="P132" s="8">
        <f>SUMIFS('HOJAS DE HORA PROY.'!$F$2:$F$943,'HOJAS DE HORA PROY.'!$A$2:$A$943,'PLAN MAESTRO FINAL'!$A132,'HOJAS DE HORA PROY.'!$M$2:$M$943,P$113)</f>
        <v>0</v>
      </c>
      <c r="Q132" s="8">
        <f>SUMIFS('HOJAS DE HORA PROY.'!$F$2:$F$943,'HOJAS DE HORA PROY.'!$A$2:$A$943,'PLAN MAESTRO FINAL'!$A132,'HOJAS DE HORA PROY.'!$M$2:$M$943,Q$113)</f>
        <v>0</v>
      </c>
      <c r="R132" s="8">
        <f>SUMIFS('HOJAS DE HORA PROY.'!$F$2:$F$943,'HOJAS DE HORA PROY.'!$A$2:$A$943,'PLAN MAESTRO FINAL'!$A132,'HOJAS DE HORA PROY.'!$M$2:$M$943,R$113)</f>
        <v>0</v>
      </c>
      <c r="S132" s="8">
        <f>SUMIFS('HOJAS DE HORA PROY.'!$F$2:$F$943,'HOJAS DE HORA PROY.'!$A$2:$A$943,'PLAN MAESTRO FINAL'!$A132,'HOJAS DE HORA PROY.'!$M$2:$M$943,S$113)</f>
        <v>0</v>
      </c>
      <c r="T132" s="8">
        <f>SUMIFS('HOJAS DE HORA PROY.'!$F$2:$F$943,'HOJAS DE HORA PROY.'!$A$2:$A$943,'PLAN MAESTRO FINAL'!$A132,'HOJAS DE HORA PROY.'!$M$2:$M$943,T$113)</f>
        <v>0</v>
      </c>
      <c r="U132" s="8">
        <f>SUMIFS('HOJAS DE HORA PROY.'!$F$2:$F$943,'HOJAS DE HORA PROY.'!$A$2:$A$943,'PLAN MAESTRO FINAL'!$A132,'HOJAS DE HORA PROY.'!$M$2:$M$943,U$113)</f>
        <v>0</v>
      </c>
      <c r="V132" s="8">
        <f>SUMIFS('HOJAS DE HORA PROY.'!$F$2:$F$943,'HOJAS DE HORA PROY.'!$A$2:$A$943,'PLAN MAESTRO FINAL'!$A132,'HOJAS DE HORA PROY.'!$M$2:$M$943,V$113)</f>
        <v>0</v>
      </c>
      <c r="W132" s="8">
        <f>SUMIFS('HOJAS DE HORA PROY.'!$F$2:$F$943,'HOJAS DE HORA PROY.'!$A$2:$A$943,'PLAN MAESTRO FINAL'!$A132,'HOJAS DE HORA PROY.'!$M$2:$M$943,W$113)</f>
        <v>0</v>
      </c>
    </row>
    <row r="133" spans="1:23" hidden="1" outlineLevel="1" x14ac:dyDescent="0.3">
      <c r="A133" s="13" t="s">
        <v>453</v>
      </c>
      <c r="B133" s="8">
        <f>SUMIFS('HOJAS DE HORA PROY.'!$F$2:$F$943,'HOJAS DE HORA PROY.'!$A$2:$A$943,'PLAN MAESTRO FINAL'!$A133,'HOJAS DE HORA PROY.'!$M$2:$M$943,B$113)</f>
        <v>0</v>
      </c>
      <c r="C133" s="8">
        <f>SUMIFS('HOJAS DE HORA PROY.'!$F$2:$F$943,'HOJAS DE HORA PROY.'!$A$2:$A$943,'PLAN MAESTRO FINAL'!$A133,'HOJAS DE HORA PROY.'!$M$2:$M$943,C$113)</f>
        <v>0</v>
      </c>
      <c r="D133" s="8">
        <f>SUMIFS('HOJAS DE HORA PROY.'!$F$2:$F$943,'HOJAS DE HORA PROY.'!$A$2:$A$943,'PLAN MAESTRO FINAL'!$A133,'HOJAS DE HORA PROY.'!$M$2:$M$943,D$113)</f>
        <v>0</v>
      </c>
      <c r="E133" s="8">
        <f>SUMIFS('HOJAS DE HORA PROY.'!$F$2:$F$943,'HOJAS DE HORA PROY.'!$A$2:$A$943,'PLAN MAESTRO FINAL'!$A133,'HOJAS DE HORA PROY.'!$M$2:$M$943,E$113)</f>
        <v>0.5</v>
      </c>
      <c r="F133" s="8">
        <f>SUMIFS('HOJAS DE HORA PROY.'!$F$2:$F$943,'HOJAS DE HORA PROY.'!$A$2:$A$943,'PLAN MAESTRO FINAL'!$A133,'HOJAS DE HORA PROY.'!$M$2:$M$943,F$113)</f>
        <v>0</v>
      </c>
      <c r="G133" s="8">
        <f>SUMIFS('HOJAS DE HORA PROY.'!$F$2:$F$943,'HOJAS DE HORA PROY.'!$A$2:$A$943,'PLAN MAESTRO FINAL'!$A133,'HOJAS DE HORA PROY.'!$M$2:$M$943,G$113)</f>
        <v>0</v>
      </c>
      <c r="H133" s="8">
        <f>SUMIFS('HOJAS DE HORA PROY.'!$F$2:$F$943,'HOJAS DE HORA PROY.'!$A$2:$A$943,'PLAN MAESTRO FINAL'!$A133,'HOJAS DE HORA PROY.'!$M$2:$M$943,H$113)</f>
        <v>0</v>
      </c>
      <c r="I133" s="8">
        <f>SUMIFS('HOJAS DE HORA PROY.'!$F$2:$F$943,'HOJAS DE HORA PROY.'!$A$2:$A$943,'PLAN MAESTRO FINAL'!$A133,'HOJAS DE HORA PROY.'!$M$2:$M$943,I$113)</f>
        <v>0</v>
      </c>
      <c r="J133" s="8">
        <f>SUMIFS('HOJAS DE HORA PROY.'!$F$2:$F$943,'HOJAS DE HORA PROY.'!$A$2:$A$943,'PLAN MAESTRO FINAL'!$A133,'HOJAS DE HORA PROY.'!$M$2:$M$943,J$113)</f>
        <v>0</v>
      </c>
      <c r="K133" s="8">
        <f>SUMIFS('HOJAS DE HORA PROY.'!$F$2:$F$943,'HOJAS DE HORA PROY.'!$A$2:$A$943,'PLAN MAESTRO FINAL'!$A133,'HOJAS DE HORA PROY.'!$M$2:$M$943,K$113)</f>
        <v>0</v>
      </c>
      <c r="L133" s="8">
        <f>SUMIFS('HOJAS DE HORA PROY.'!$F$2:$F$943,'HOJAS DE HORA PROY.'!$A$2:$A$943,'PLAN MAESTRO FINAL'!$A133,'HOJAS DE HORA PROY.'!$M$2:$M$943,L$113)</f>
        <v>0</v>
      </c>
      <c r="M133" s="8">
        <f>SUMIFS('HOJAS DE HORA PROY.'!$F$2:$F$943,'HOJAS DE HORA PROY.'!$A$2:$A$943,'PLAN MAESTRO FINAL'!$A133,'HOJAS DE HORA PROY.'!$M$2:$M$943,M$113)</f>
        <v>0</v>
      </c>
      <c r="N133" s="8">
        <f>SUMIFS('HOJAS DE HORA PROY.'!$F$2:$F$943,'HOJAS DE HORA PROY.'!$A$2:$A$943,'PLAN MAESTRO FINAL'!$A133,'HOJAS DE HORA PROY.'!$M$2:$M$943,N$113)</f>
        <v>0</v>
      </c>
      <c r="O133" s="8">
        <f>SUMIFS('HOJAS DE HORA PROY.'!$F$2:$F$943,'HOJAS DE HORA PROY.'!$A$2:$A$943,'PLAN MAESTRO FINAL'!$A133,'HOJAS DE HORA PROY.'!$M$2:$M$943,O$113)</f>
        <v>0</v>
      </c>
      <c r="P133" s="8">
        <f>SUMIFS('HOJAS DE HORA PROY.'!$F$2:$F$943,'HOJAS DE HORA PROY.'!$A$2:$A$943,'PLAN MAESTRO FINAL'!$A133,'HOJAS DE HORA PROY.'!$M$2:$M$943,P$113)</f>
        <v>0</v>
      </c>
      <c r="Q133" s="8">
        <f>SUMIFS('HOJAS DE HORA PROY.'!$F$2:$F$943,'HOJAS DE HORA PROY.'!$A$2:$A$943,'PLAN MAESTRO FINAL'!$A133,'HOJAS DE HORA PROY.'!$M$2:$M$943,Q$113)</f>
        <v>0</v>
      </c>
      <c r="R133" s="8">
        <f>SUMIFS('HOJAS DE HORA PROY.'!$F$2:$F$943,'HOJAS DE HORA PROY.'!$A$2:$A$943,'PLAN MAESTRO FINAL'!$A133,'HOJAS DE HORA PROY.'!$M$2:$M$943,R$113)</f>
        <v>0</v>
      </c>
      <c r="S133" s="8">
        <f>SUMIFS('HOJAS DE HORA PROY.'!$F$2:$F$943,'HOJAS DE HORA PROY.'!$A$2:$A$943,'PLAN MAESTRO FINAL'!$A133,'HOJAS DE HORA PROY.'!$M$2:$M$943,S$113)</f>
        <v>0</v>
      </c>
      <c r="T133" s="8">
        <f>SUMIFS('HOJAS DE HORA PROY.'!$F$2:$F$943,'HOJAS DE HORA PROY.'!$A$2:$A$943,'PLAN MAESTRO FINAL'!$A133,'HOJAS DE HORA PROY.'!$M$2:$M$943,T$113)</f>
        <v>0</v>
      </c>
      <c r="U133" s="8">
        <f>SUMIFS('HOJAS DE HORA PROY.'!$F$2:$F$943,'HOJAS DE HORA PROY.'!$A$2:$A$943,'PLAN MAESTRO FINAL'!$A133,'HOJAS DE HORA PROY.'!$M$2:$M$943,U$113)</f>
        <v>0</v>
      </c>
      <c r="V133" s="8">
        <f>SUMIFS('HOJAS DE HORA PROY.'!$F$2:$F$943,'HOJAS DE HORA PROY.'!$A$2:$A$943,'PLAN MAESTRO FINAL'!$A133,'HOJAS DE HORA PROY.'!$M$2:$M$943,V$113)</f>
        <v>0</v>
      </c>
      <c r="W133" s="8">
        <f>SUMIFS('HOJAS DE HORA PROY.'!$F$2:$F$943,'HOJAS DE HORA PROY.'!$A$2:$A$943,'PLAN MAESTRO FINAL'!$A133,'HOJAS DE HORA PROY.'!$M$2:$M$943,W$113)</f>
        <v>0</v>
      </c>
    </row>
    <row r="134" spans="1:23" hidden="1" outlineLevel="1" x14ac:dyDescent="0.3">
      <c r="A134" s="13" t="s">
        <v>468</v>
      </c>
      <c r="B134" s="8">
        <f>SUMIFS('HOJAS DE HORA PROY.'!$F$2:$F$943,'HOJAS DE HORA PROY.'!$A$2:$A$943,'PLAN MAESTRO FINAL'!$A134,'HOJAS DE HORA PROY.'!$M$2:$M$943,B$113)</f>
        <v>0</v>
      </c>
      <c r="C134" s="8">
        <f>SUMIFS('HOJAS DE HORA PROY.'!$F$2:$F$943,'HOJAS DE HORA PROY.'!$A$2:$A$943,'PLAN MAESTRO FINAL'!$A134,'HOJAS DE HORA PROY.'!$M$2:$M$943,C$113)</f>
        <v>0</v>
      </c>
      <c r="D134" s="8">
        <f>SUMIFS('HOJAS DE HORA PROY.'!$F$2:$F$943,'HOJAS DE HORA PROY.'!$A$2:$A$943,'PLAN MAESTRO FINAL'!$A134,'HOJAS DE HORA PROY.'!$M$2:$M$943,D$113)</f>
        <v>0</v>
      </c>
      <c r="E134" s="8">
        <f>SUMIFS('HOJAS DE HORA PROY.'!$F$2:$F$943,'HOJAS DE HORA PROY.'!$A$2:$A$943,'PLAN MAESTRO FINAL'!$A134,'HOJAS DE HORA PROY.'!$M$2:$M$943,E$113)</f>
        <v>0</v>
      </c>
      <c r="F134" s="8">
        <f>SUMIFS('HOJAS DE HORA PROY.'!$F$2:$F$943,'HOJAS DE HORA PROY.'!$A$2:$A$943,'PLAN MAESTRO FINAL'!$A134,'HOJAS DE HORA PROY.'!$M$2:$M$943,F$113)</f>
        <v>0.5</v>
      </c>
      <c r="G134" s="8">
        <f>SUMIFS('HOJAS DE HORA PROY.'!$F$2:$F$943,'HOJAS DE HORA PROY.'!$A$2:$A$943,'PLAN MAESTRO FINAL'!$A134,'HOJAS DE HORA PROY.'!$M$2:$M$943,G$113)</f>
        <v>30</v>
      </c>
      <c r="H134" s="8">
        <f>SUMIFS('HOJAS DE HORA PROY.'!$F$2:$F$943,'HOJAS DE HORA PROY.'!$A$2:$A$943,'PLAN MAESTRO FINAL'!$A134,'HOJAS DE HORA PROY.'!$M$2:$M$943,H$113)</f>
        <v>0</v>
      </c>
      <c r="I134" s="8">
        <f>SUMIFS('HOJAS DE HORA PROY.'!$F$2:$F$943,'HOJAS DE HORA PROY.'!$A$2:$A$943,'PLAN MAESTRO FINAL'!$A134,'HOJAS DE HORA PROY.'!$M$2:$M$943,I$113)</f>
        <v>0</v>
      </c>
      <c r="J134" s="8">
        <f>SUMIFS('HOJAS DE HORA PROY.'!$F$2:$F$943,'HOJAS DE HORA PROY.'!$A$2:$A$943,'PLAN MAESTRO FINAL'!$A134,'HOJAS DE HORA PROY.'!$M$2:$M$943,J$113)</f>
        <v>18</v>
      </c>
      <c r="K134" s="8">
        <f>SUMIFS('HOJAS DE HORA PROY.'!$F$2:$F$943,'HOJAS DE HORA PROY.'!$A$2:$A$943,'PLAN MAESTRO FINAL'!$A134,'HOJAS DE HORA PROY.'!$M$2:$M$943,K$113)</f>
        <v>0</v>
      </c>
      <c r="L134" s="8">
        <f>SUMIFS('HOJAS DE HORA PROY.'!$F$2:$F$943,'HOJAS DE HORA PROY.'!$A$2:$A$943,'PLAN MAESTRO FINAL'!$A134,'HOJAS DE HORA PROY.'!$M$2:$M$943,L$113)</f>
        <v>0</v>
      </c>
      <c r="M134" s="8">
        <f>SUMIFS('HOJAS DE HORA PROY.'!$F$2:$F$943,'HOJAS DE HORA PROY.'!$A$2:$A$943,'PLAN MAESTRO FINAL'!$A134,'HOJAS DE HORA PROY.'!$M$2:$M$943,M$113)</f>
        <v>0</v>
      </c>
      <c r="N134" s="8">
        <f>SUMIFS('HOJAS DE HORA PROY.'!$F$2:$F$943,'HOJAS DE HORA PROY.'!$A$2:$A$943,'PLAN MAESTRO FINAL'!$A134,'HOJAS DE HORA PROY.'!$M$2:$M$943,N$113)</f>
        <v>0</v>
      </c>
      <c r="O134" s="8">
        <f>SUMIFS('HOJAS DE HORA PROY.'!$F$2:$F$943,'HOJAS DE HORA PROY.'!$A$2:$A$943,'PLAN MAESTRO FINAL'!$A134,'HOJAS DE HORA PROY.'!$M$2:$M$943,O$113)</f>
        <v>0</v>
      </c>
      <c r="P134" s="8">
        <f>SUMIFS('HOJAS DE HORA PROY.'!$F$2:$F$943,'HOJAS DE HORA PROY.'!$A$2:$A$943,'PLAN MAESTRO FINAL'!$A134,'HOJAS DE HORA PROY.'!$M$2:$M$943,P$113)</f>
        <v>0</v>
      </c>
      <c r="Q134" s="8">
        <f>SUMIFS('HOJAS DE HORA PROY.'!$F$2:$F$943,'HOJAS DE HORA PROY.'!$A$2:$A$943,'PLAN MAESTRO FINAL'!$A134,'HOJAS DE HORA PROY.'!$M$2:$M$943,Q$113)</f>
        <v>0</v>
      </c>
      <c r="R134" s="8">
        <f>SUMIFS('HOJAS DE HORA PROY.'!$F$2:$F$943,'HOJAS DE HORA PROY.'!$A$2:$A$943,'PLAN MAESTRO FINAL'!$A134,'HOJAS DE HORA PROY.'!$M$2:$M$943,R$113)</f>
        <v>0</v>
      </c>
      <c r="S134" s="8">
        <f>SUMIFS('HOJAS DE HORA PROY.'!$F$2:$F$943,'HOJAS DE HORA PROY.'!$A$2:$A$943,'PLAN MAESTRO FINAL'!$A134,'HOJAS DE HORA PROY.'!$M$2:$M$943,S$113)</f>
        <v>0</v>
      </c>
      <c r="T134" s="8">
        <f>SUMIFS('HOJAS DE HORA PROY.'!$F$2:$F$943,'HOJAS DE HORA PROY.'!$A$2:$A$943,'PLAN MAESTRO FINAL'!$A134,'HOJAS DE HORA PROY.'!$M$2:$M$943,T$113)</f>
        <v>0</v>
      </c>
      <c r="U134" s="8">
        <f>SUMIFS('HOJAS DE HORA PROY.'!$F$2:$F$943,'HOJAS DE HORA PROY.'!$A$2:$A$943,'PLAN MAESTRO FINAL'!$A134,'HOJAS DE HORA PROY.'!$M$2:$M$943,U$113)</f>
        <v>0</v>
      </c>
      <c r="V134" s="8">
        <f>SUMIFS('HOJAS DE HORA PROY.'!$F$2:$F$943,'HOJAS DE HORA PROY.'!$A$2:$A$943,'PLAN MAESTRO FINAL'!$A134,'HOJAS DE HORA PROY.'!$M$2:$M$943,V$113)</f>
        <v>0</v>
      </c>
      <c r="W134" s="8">
        <f>SUMIFS('HOJAS DE HORA PROY.'!$F$2:$F$943,'HOJAS DE HORA PROY.'!$A$2:$A$943,'PLAN MAESTRO FINAL'!$A134,'HOJAS DE HORA PROY.'!$M$2:$M$943,W$113)</f>
        <v>0</v>
      </c>
    </row>
    <row r="135" spans="1:23" hidden="1" outlineLevel="1" x14ac:dyDescent="0.3">
      <c r="A135" s="13" t="s">
        <v>553</v>
      </c>
      <c r="B135" s="8">
        <f>SUMIFS('HOJAS DE HORA PROY.'!$F$2:$F$943,'HOJAS DE HORA PROY.'!$A$2:$A$943,'PLAN MAESTRO FINAL'!$A135,'HOJAS DE HORA PROY.'!$M$2:$M$943,B$113)</f>
        <v>0</v>
      </c>
      <c r="C135" s="8">
        <f>SUMIFS('HOJAS DE HORA PROY.'!$F$2:$F$943,'HOJAS DE HORA PROY.'!$A$2:$A$943,'PLAN MAESTRO FINAL'!$A135,'HOJAS DE HORA PROY.'!$M$2:$M$943,C$113)</f>
        <v>0</v>
      </c>
      <c r="D135" s="8">
        <f>SUMIFS('HOJAS DE HORA PROY.'!$F$2:$F$943,'HOJAS DE HORA PROY.'!$A$2:$A$943,'PLAN MAESTRO FINAL'!$A135,'HOJAS DE HORA PROY.'!$M$2:$M$943,D$113)</f>
        <v>0</v>
      </c>
      <c r="E135" s="8">
        <f>SUMIFS('HOJAS DE HORA PROY.'!$F$2:$F$943,'HOJAS DE HORA PROY.'!$A$2:$A$943,'PLAN MAESTRO FINAL'!$A135,'HOJAS DE HORA PROY.'!$M$2:$M$943,E$113)</f>
        <v>0</v>
      </c>
      <c r="F135" s="8">
        <f>SUMIFS('HOJAS DE HORA PROY.'!$F$2:$F$943,'HOJAS DE HORA PROY.'!$A$2:$A$943,'PLAN MAESTRO FINAL'!$A135,'HOJAS DE HORA PROY.'!$M$2:$M$943,F$113)</f>
        <v>0</v>
      </c>
      <c r="G135" s="8">
        <f>SUMIFS('HOJAS DE HORA PROY.'!$F$2:$F$943,'HOJAS DE HORA PROY.'!$A$2:$A$943,'PLAN MAESTRO FINAL'!$A135,'HOJAS DE HORA PROY.'!$M$2:$M$943,G$113)</f>
        <v>18</v>
      </c>
      <c r="H135" s="8">
        <f>SUMIFS('HOJAS DE HORA PROY.'!$F$2:$F$943,'HOJAS DE HORA PROY.'!$A$2:$A$943,'PLAN MAESTRO FINAL'!$A135,'HOJAS DE HORA PROY.'!$M$2:$M$943,H$113)</f>
        <v>0</v>
      </c>
      <c r="I135" s="8">
        <f>SUMIFS('HOJAS DE HORA PROY.'!$F$2:$F$943,'HOJAS DE HORA PROY.'!$A$2:$A$943,'PLAN MAESTRO FINAL'!$A135,'HOJAS DE HORA PROY.'!$M$2:$M$943,I$113)</f>
        <v>0</v>
      </c>
      <c r="J135" s="8">
        <f>SUMIFS('HOJAS DE HORA PROY.'!$F$2:$F$943,'HOJAS DE HORA PROY.'!$A$2:$A$943,'PLAN MAESTRO FINAL'!$A135,'HOJAS DE HORA PROY.'!$M$2:$M$943,J$113)</f>
        <v>0</v>
      </c>
      <c r="K135" s="8">
        <f>SUMIFS('HOJAS DE HORA PROY.'!$F$2:$F$943,'HOJAS DE HORA PROY.'!$A$2:$A$943,'PLAN MAESTRO FINAL'!$A135,'HOJAS DE HORA PROY.'!$M$2:$M$943,K$113)</f>
        <v>0</v>
      </c>
      <c r="L135" s="8">
        <f>SUMIFS('HOJAS DE HORA PROY.'!$F$2:$F$943,'HOJAS DE HORA PROY.'!$A$2:$A$943,'PLAN MAESTRO FINAL'!$A135,'HOJAS DE HORA PROY.'!$M$2:$M$943,L$113)</f>
        <v>0</v>
      </c>
      <c r="M135" s="8">
        <f>SUMIFS('HOJAS DE HORA PROY.'!$F$2:$F$943,'HOJAS DE HORA PROY.'!$A$2:$A$943,'PLAN MAESTRO FINAL'!$A135,'HOJAS DE HORA PROY.'!$M$2:$M$943,M$113)</f>
        <v>0</v>
      </c>
      <c r="N135" s="8">
        <f>SUMIFS('HOJAS DE HORA PROY.'!$F$2:$F$943,'HOJAS DE HORA PROY.'!$A$2:$A$943,'PLAN MAESTRO FINAL'!$A135,'HOJAS DE HORA PROY.'!$M$2:$M$943,N$113)</f>
        <v>0</v>
      </c>
      <c r="O135" s="8">
        <f>SUMIFS('HOJAS DE HORA PROY.'!$F$2:$F$943,'HOJAS DE HORA PROY.'!$A$2:$A$943,'PLAN MAESTRO FINAL'!$A135,'HOJAS DE HORA PROY.'!$M$2:$M$943,O$113)</f>
        <v>0</v>
      </c>
      <c r="P135" s="8">
        <f>SUMIFS('HOJAS DE HORA PROY.'!$F$2:$F$943,'HOJAS DE HORA PROY.'!$A$2:$A$943,'PLAN MAESTRO FINAL'!$A135,'HOJAS DE HORA PROY.'!$M$2:$M$943,P$113)</f>
        <v>0</v>
      </c>
      <c r="Q135" s="8">
        <f>SUMIFS('HOJAS DE HORA PROY.'!$F$2:$F$943,'HOJAS DE HORA PROY.'!$A$2:$A$943,'PLAN MAESTRO FINAL'!$A135,'HOJAS DE HORA PROY.'!$M$2:$M$943,Q$113)</f>
        <v>0</v>
      </c>
      <c r="R135" s="8">
        <f>SUMIFS('HOJAS DE HORA PROY.'!$F$2:$F$943,'HOJAS DE HORA PROY.'!$A$2:$A$943,'PLAN MAESTRO FINAL'!$A135,'HOJAS DE HORA PROY.'!$M$2:$M$943,R$113)</f>
        <v>0</v>
      </c>
      <c r="S135" s="8">
        <f>SUMIFS('HOJAS DE HORA PROY.'!$F$2:$F$943,'HOJAS DE HORA PROY.'!$A$2:$A$943,'PLAN MAESTRO FINAL'!$A135,'HOJAS DE HORA PROY.'!$M$2:$M$943,S$113)</f>
        <v>0</v>
      </c>
      <c r="T135" s="8">
        <f>SUMIFS('HOJAS DE HORA PROY.'!$F$2:$F$943,'HOJAS DE HORA PROY.'!$A$2:$A$943,'PLAN MAESTRO FINAL'!$A135,'HOJAS DE HORA PROY.'!$M$2:$M$943,T$113)</f>
        <v>0</v>
      </c>
      <c r="U135" s="8">
        <f>SUMIFS('HOJAS DE HORA PROY.'!$F$2:$F$943,'HOJAS DE HORA PROY.'!$A$2:$A$943,'PLAN MAESTRO FINAL'!$A135,'HOJAS DE HORA PROY.'!$M$2:$M$943,U$113)</f>
        <v>0</v>
      </c>
      <c r="V135" s="8">
        <f>SUMIFS('HOJAS DE HORA PROY.'!$F$2:$F$943,'HOJAS DE HORA PROY.'!$A$2:$A$943,'PLAN MAESTRO FINAL'!$A135,'HOJAS DE HORA PROY.'!$M$2:$M$943,V$113)</f>
        <v>0</v>
      </c>
      <c r="W135" s="8">
        <f>SUMIFS('HOJAS DE HORA PROY.'!$F$2:$F$943,'HOJAS DE HORA PROY.'!$A$2:$A$943,'PLAN MAESTRO FINAL'!$A135,'HOJAS DE HORA PROY.'!$M$2:$M$943,W$113)</f>
        <v>0</v>
      </c>
    </row>
    <row r="136" spans="1:23" hidden="1" outlineLevel="1" x14ac:dyDescent="0.3">
      <c r="A136" s="13" t="s">
        <v>479</v>
      </c>
      <c r="B136" s="8">
        <f>SUMIFS('HOJAS DE HORA PROY.'!$F$2:$F$943,'HOJAS DE HORA PROY.'!$A$2:$A$943,'PLAN MAESTRO FINAL'!$A136,'HOJAS DE HORA PROY.'!$M$2:$M$943,B$113)</f>
        <v>0</v>
      </c>
      <c r="C136" s="8">
        <f>SUMIFS('HOJAS DE HORA PROY.'!$F$2:$F$943,'HOJAS DE HORA PROY.'!$A$2:$A$943,'PLAN MAESTRO FINAL'!$A136,'HOJAS DE HORA PROY.'!$M$2:$M$943,C$113)</f>
        <v>0</v>
      </c>
      <c r="D136" s="8">
        <f>SUMIFS('HOJAS DE HORA PROY.'!$F$2:$F$943,'HOJAS DE HORA PROY.'!$A$2:$A$943,'PLAN MAESTRO FINAL'!$A136,'HOJAS DE HORA PROY.'!$M$2:$M$943,D$113)</f>
        <v>0</v>
      </c>
      <c r="E136" s="8">
        <f>SUMIFS('HOJAS DE HORA PROY.'!$F$2:$F$943,'HOJAS DE HORA PROY.'!$A$2:$A$943,'PLAN MAESTRO FINAL'!$A136,'HOJAS DE HORA PROY.'!$M$2:$M$943,E$113)</f>
        <v>0</v>
      </c>
      <c r="F136" s="8">
        <f>SUMIFS('HOJAS DE HORA PROY.'!$F$2:$F$943,'HOJAS DE HORA PROY.'!$A$2:$A$943,'PLAN MAESTRO FINAL'!$A136,'HOJAS DE HORA PROY.'!$M$2:$M$943,F$113)</f>
        <v>0</v>
      </c>
      <c r="G136" s="8">
        <f>SUMIFS('HOJAS DE HORA PROY.'!$F$2:$F$943,'HOJAS DE HORA PROY.'!$A$2:$A$943,'PLAN MAESTRO FINAL'!$A136,'HOJAS DE HORA PROY.'!$M$2:$M$943,G$113)</f>
        <v>0</v>
      </c>
      <c r="H136" s="8">
        <f>SUMIFS('HOJAS DE HORA PROY.'!$F$2:$F$943,'HOJAS DE HORA PROY.'!$A$2:$A$943,'PLAN MAESTRO FINAL'!$A136,'HOJAS DE HORA PROY.'!$M$2:$M$943,H$113)</f>
        <v>0</v>
      </c>
      <c r="I136" s="8">
        <f>SUMIFS('HOJAS DE HORA PROY.'!$F$2:$F$943,'HOJAS DE HORA PROY.'!$A$2:$A$943,'PLAN MAESTRO FINAL'!$A136,'HOJAS DE HORA PROY.'!$M$2:$M$943,I$113)</f>
        <v>0</v>
      </c>
      <c r="J136" s="8">
        <f>SUMIFS('HOJAS DE HORA PROY.'!$F$2:$F$943,'HOJAS DE HORA PROY.'!$A$2:$A$943,'PLAN MAESTRO FINAL'!$A136,'HOJAS DE HORA PROY.'!$M$2:$M$943,J$113)</f>
        <v>0</v>
      </c>
      <c r="K136" s="8">
        <f>SUMIFS('HOJAS DE HORA PROY.'!$F$2:$F$943,'HOJAS DE HORA PROY.'!$A$2:$A$943,'PLAN MAESTRO FINAL'!$A136,'HOJAS DE HORA PROY.'!$M$2:$M$943,K$113)</f>
        <v>0</v>
      </c>
      <c r="L136" s="8">
        <f>SUMIFS('HOJAS DE HORA PROY.'!$F$2:$F$943,'HOJAS DE HORA PROY.'!$A$2:$A$943,'PLAN MAESTRO FINAL'!$A136,'HOJAS DE HORA PROY.'!$M$2:$M$943,L$113)</f>
        <v>0</v>
      </c>
      <c r="M136" s="8">
        <f>SUMIFS('HOJAS DE HORA PROY.'!$F$2:$F$943,'HOJAS DE HORA PROY.'!$A$2:$A$943,'PLAN MAESTRO FINAL'!$A136,'HOJAS DE HORA PROY.'!$M$2:$M$943,M$113)</f>
        <v>0</v>
      </c>
      <c r="N136" s="8">
        <f>SUMIFS('HOJAS DE HORA PROY.'!$F$2:$F$943,'HOJAS DE HORA PROY.'!$A$2:$A$943,'PLAN MAESTRO FINAL'!$A136,'HOJAS DE HORA PROY.'!$M$2:$M$943,N$113)</f>
        <v>0</v>
      </c>
      <c r="O136" s="8">
        <f>SUMIFS('HOJAS DE HORA PROY.'!$F$2:$F$943,'HOJAS DE HORA PROY.'!$A$2:$A$943,'PLAN MAESTRO FINAL'!$A136,'HOJAS DE HORA PROY.'!$M$2:$M$943,O$113)</f>
        <v>0</v>
      </c>
      <c r="P136" s="8">
        <f>SUMIFS('HOJAS DE HORA PROY.'!$F$2:$F$943,'HOJAS DE HORA PROY.'!$A$2:$A$943,'PLAN MAESTRO FINAL'!$A136,'HOJAS DE HORA PROY.'!$M$2:$M$943,P$113)</f>
        <v>0</v>
      </c>
      <c r="Q136" s="8">
        <f>SUMIFS('HOJAS DE HORA PROY.'!$F$2:$F$943,'HOJAS DE HORA PROY.'!$A$2:$A$943,'PLAN MAESTRO FINAL'!$A136,'HOJAS DE HORA PROY.'!$M$2:$M$943,Q$113)</f>
        <v>0</v>
      </c>
      <c r="R136" s="8">
        <f>SUMIFS('HOJAS DE HORA PROY.'!$F$2:$F$943,'HOJAS DE HORA PROY.'!$A$2:$A$943,'PLAN MAESTRO FINAL'!$A136,'HOJAS DE HORA PROY.'!$M$2:$M$943,R$113)</f>
        <v>0</v>
      </c>
      <c r="S136" s="8">
        <f>SUMIFS('HOJAS DE HORA PROY.'!$F$2:$F$943,'HOJAS DE HORA PROY.'!$A$2:$A$943,'PLAN MAESTRO FINAL'!$A136,'HOJAS DE HORA PROY.'!$M$2:$M$943,S$113)</f>
        <v>0</v>
      </c>
      <c r="T136" s="8">
        <f>SUMIFS('HOJAS DE HORA PROY.'!$F$2:$F$943,'HOJAS DE HORA PROY.'!$A$2:$A$943,'PLAN MAESTRO FINAL'!$A136,'HOJAS DE HORA PROY.'!$M$2:$M$943,T$113)</f>
        <v>0</v>
      </c>
      <c r="U136" s="8">
        <f>SUMIFS('HOJAS DE HORA PROY.'!$F$2:$F$943,'HOJAS DE HORA PROY.'!$A$2:$A$943,'PLAN MAESTRO FINAL'!$A136,'HOJAS DE HORA PROY.'!$M$2:$M$943,U$113)</f>
        <v>0</v>
      </c>
      <c r="V136" s="8">
        <f>SUMIFS('HOJAS DE HORA PROY.'!$F$2:$F$943,'HOJAS DE HORA PROY.'!$A$2:$A$943,'PLAN MAESTRO FINAL'!$A136,'HOJAS DE HORA PROY.'!$M$2:$M$943,V$113)</f>
        <v>0</v>
      </c>
      <c r="W136" s="8">
        <f>SUMIFS('HOJAS DE HORA PROY.'!$F$2:$F$943,'HOJAS DE HORA PROY.'!$A$2:$A$943,'PLAN MAESTRO FINAL'!$A136,'HOJAS DE HORA PROY.'!$M$2:$M$943,W$113)</f>
        <v>0</v>
      </c>
    </row>
    <row r="137" spans="1:23" hidden="1" outlineLevel="1" x14ac:dyDescent="0.3">
      <c r="A137" s="13" t="s">
        <v>488</v>
      </c>
      <c r="B137" s="8">
        <f>SUMIFS('HOJAS DE HORA PROY.'!$F$2:$F$943,'HOJAS DE HORA PROY.'!$A$2:$A$943,'PLAN MAESTRO FINAL'!$A137,'HOJAS DE HORA PROY.'!$M$2:$M$943,B$113)</f>
        <v>0</v>
      </c>
      <c r="C137" s="8">
        <f>SUMIFS('HOJAS DE HORA PROY.'!$F$2:$F$943,'HOJAS DE HORA PROY.'!$A$2:$A$943,'PLAN MAESTRO FINAL'!$A137,'HOJAS DE HORA PROY.'!$M$2:$M$943,C$113)</f>
        <v>0</v>
      </c>
      <c r="D137" s="8">
        <f>SUMIFS('HOJAS DE HORA PROY.'!$F$2:$F$943,'HOJAS DE HORA PROY.'!$A$2:$A$943,'PLAN MAESTRO FINAL'!$A137,'HOJAS DE HORA PROY.'!$M$2:$M$943,D$113)</f>
        <v>0</v>
      </c>
      <c r="E137" s="8">
        <f>SUMIFS('HOJAS DE HORA PROY.'!$F$2:$F$943,'HOJAS DE HORA PROY.'!$A$2:$A$943,'PLAN MAESTRO FINAL'!$A137,'HOJAS DE HORA PROY.'!$M$2:$M$943,E$113)</f>
        <v>0</v>
      </c>
      <c r="F137" s="8">
        <f>SUMIFS('HOJAS DE HORA PROY.'!$F$2:$F$943,'HOJAS DE HORA PROY.'!$A$2:$A$943,'PLAN MAESTRO FINAL'!$A137,'HOJAS DE HORA PROY.'!$M$2:$M$943,F$113)</f>
        <v>40</v>
      </c>
      <c r="G137" s="8">
        <f>SUMIFS('HOJAS DE HORA PROY.'!$F$2:$F$943,'HOJAS DE HORA PROY.'!$A$2:$A$943,'PLAN MAESTRO FINAL'!$A137,'HOJAS DE HORA PROY.'!$M$2:$M$943,G$113)</f>
        <v>0</v>
      </c>
      <c r="H137" s="8">
        <f>SUMIFS('HOJAS DE HORA PROY.'!$F$2:$F$943,'HOJAS DE HORA PROY.'!$A$2:$A$943,'PLAN MAESTRO FINAL'!$A137,'HOJAS DE HORA PROY.'!$M$2:$M$943,H$113)</f>
        <v>20</v>
      </c>
      <c r="I137" s="8">
        <f>SUMIFS('HOJAS DE HORA PROY.'!$F$2:$F$943,'HOJAS DE HORA PROY.'!$A$2:$A$943,'PLAN MAESTRO FINAL'!$A137,'HOJAS DE HORA PROY.'!$M$2:$M$943,I$113)</f>
        <v>0</v>
      </c>
      <c r="J137" s="8">
        <f>SUMIFS('HOJAS DE HORA PROY.'!$F$2:$F$943,'HOJAS DE HORA PROY.'!$A$2:$A$943,'PLAN MAESTRO FINAL'!$A137,'HOJAS DE HORA PROY.'!$M$2:$M$943,J$113)</f>
        <v>0</v>
      </c>
      <c r="K137" s="8">
        <f>SUMIFS('HOJAS DE HORA PROY.'!$F$2:$F$943,'HOJAS DE HORA PROY.'!$A$2:$A$943,'PLAN MAESTRO FINAL'!$A137,'HOJAS DE HORA PROY.'!$M$2:$M$943,K$113)</f>
        <v>0</v>
      </c>
      <c r="L137" s="8">
        <f>SUMIFS('HOJAS DE HORA PROY.'!$F$2:$F$943,'HOJAS DE HORA PROY.'!$A$2:$A$943,'PLAN MAESTRO FINAL'!$A137,'HOJAS DE HORA PROY.'!$M$2:$M$943,L$113)</f>
        <v>0</v>
      </c>
      <c r="M137" s="8">
        <f>SUMIFS('HOJAS DE HORA PROY.'!$F$2:$F$943,'HOJAS DE HORA PROY.'!$A$2:$A$943,'PLAN MAESTRO FINAL'!$A137,'HOJAS DE HORA PROY.'!$M$2:$M$943,M$113)</f>
        <v>0</v>
      </c>
      <c r="N137" s="8">
        <f>SUMIFS('HOJAS DE HORA PROY.'!$F$2:$F$943,'HOJAS DE HORA PROY.'!$A$2:$A$943,'PLAN MAESTRO FINAL'!$A137,'HOJAS DE HORA PROY.'!$M$2:$M$943,N$113)</f>
        <v>0</v>
      </c>
      <c r="O137" s="8">
        <f>SUMIFS('HOJAS DE HORA PROY.'!$F$2:$F$943,'HOJAS DE HORA PROY.'!$A$2:$A$943,'PLAN MAESTRO FINAL'!$A137,'HOJAS DE HORA PROY.'!$M$2:$M$943,O$113)</f>
        <v>0</v>
      </c>
      <c r="P137" s="8">
        <f>SUMIFS('HOJAS DE HORA PROY.'!$F$2:$F$943,'HOJAS DE HORA PROY.'!$A$2:$A$943,'PLAN MAESTRO FINAL'!$A137,'HOJAS DE HORA PROY.'!$M$2:$M$943,P$113)</f>
        <v>0</v>
      </c>
      <c r="Q137" s="8">
        <f>SUMIFS('HOJAS DE HORA PROY.'!$F$2:$F$943,'HOJAS DE HORA PROY.'!$A$2:$A$943,'PLAN MAESTRO FINAL'!$A137,'HOJAS DE HORA PROY.'!$M$2:$M$943,Q$113)</f>
        <v>0</v>
      </c>
      <c r="R137" s="8">
        <f>SUMIFS('HOJAS DE HORA PROY.'!$F$2:$F$943,'HOJAS DE HORA PROY.'!$A$2:$A$943,'PLAN MAESTRO FINAL'!$A137,'HOJAS DE HORA PROY.'!$M$2:$M$943,R$113)</f>
        <v>0</v>
      </c>
      <c r="S137" s="8">
        <f>SUMIFS('HOJAS DE HORA PROY.'!$F$2:$F$943,'HOJAS DE HORA PROY.'!$A$2:$A$943,'PLAN MAESTRO FINAL'!$A137,'HOJAS DE HORA PROY.'!$M$2:$M$943,S$113)</f>
        <v>0</v>
      </c>
      <c r="T137" s="8">
        <f>SUMIFS('HOJAS DE HORA PROY.'!$F$2:$F$943,'HOJAS DE HORA PROY.'!$A$2:$A$943,'PLAN MAESTRO FINAL'!$A137,'HOJAS DE HORA PROY.'!$M$2:$M$943,T$113)</f>
        <v>0</v>
      </c>
      <c r="U137" s="8">
        <f>SUMIFS('HOJAS DE HORA PROY.'!$F$2:$F$943,'HOJAS DE HORA PROY.'!$A$2:$A$943,'PLAN MAESTRO FINAL'!$A137,'HOJAS DE HORA PROY.'!$M$2:$M$943,U$113)</f>
        <v>0</v>
      </c>
      <c r="V137" s="8">
        <f>SUMIFS('HOJAS DE HORA PROY.'!$F$2:$F$943,'HOJAS DE HORA PROY.'!$A$2:$A$943,'PLAN MAESTRO FINAL'!$A137,'HOJAS DE HORA PROY.'!$M$2:$M$943,V$113)</f>
        <v>0</v>
      </c>
      <c r="W137" s="8">
        <f>SUMIFS('HOJAS DE HORA PROY.'!$F$2:$F$943,'HOJAS DE HORA PROY.'!$A$2:$A$943,'PLAN MAESTRO FINAL'!$A137,'HOJAS DE HORA PROY.'!$M$2:$M$943,W$113)</f>
        <v>0</v>
      </c>
    </row>
    <row r="138" spans="1:23" hidden="1" outlineLevel="1" x14ac:dyDescent="0.3">
      <c r="A138" s="13" t="s">
        <v>492</v>
      </c>
      <c r="B138" s="8">
        <f>SUMIFS('HOJAS DE HORA PROY.'!$F$2:$F$943,'HOJAS DE HORA PROY.'!$A$2:$A$943,'PLAN MAESTRO FINAL'!$A138,'HOJAS DE HORA PROY.'!$M$2:$M$943,B$113)</f>
        <v>0</v>
      </c>
      <c r="C138" s="8">
        <f>SUMIFS('HOJAS DE HORA PROY.'!$F$2:$F$943,'HOJAS DE HORA PROY.'!$A$2:$A$943,'PLAN MAESTRO FINAL'!$A138,'HOJAS DE HORA PROY.'!$M$2:$M$943,C$113)</f>
        <v>0</v>
      </c>
      <c r="D138" s="8">
        <f>SUMIFS('HOJAS DE HORA PROY.'!$F$2:$F$943,'HOJAS DE HORA PROY.'!$A$2:$A$943,'PLAN MAESTRO FINAL'!$A138,'HOJAS DE HORA PROY.'!$M$2:$M$943,D$113)</f>
        <v>0</v>
      </c>
      <c r="E138" s="8">
        <f>SUMIFS('HOJAS DE HORA PROY.'!$F$2:$F$943,'HOJAS DE HORA PROY.'!$A$2:$A$943,'PLAN MAESTRO FINAL'!$A138,'HOJAS DE HORA PROY.'!$M$2:$M$943,E$113)</f>
        <v>0</v>
      </c>
      <c r="F138" s="8">
        <f>SUMIFS('HOJAS DE HORA PROY.'!$F$2:$F$943,'HOJAS DE HORA PROY.'!$A$2:$A$943,'PLAN MAESTRO FINAL'!$A138,'HOJAS DE HORA PROY.'!$M$2:$M$943,F$113)</f>
        <v>0</v>
      </c>
      <c r="G138" s="8">
        <f>SUMIFS('HOJAS DE HORA PROY.'!$F$2:$F$943,'HOJAS DE HORA PROY.'!$A$2:$A$943,'PLAN MAESTRO FINAL'!$A138,'HOJAS DE HORA PROY.'!$M$2:$M$943,G$113)</f>
        <v>0</v>
      </c>
      <c r="H138" s="8">
        <f>SUMIFS('HOJAS DE HORA PROY.'!$F$2:$F$943,'HOJAS DE HORA PROY.'!$A$2:$A$943,'PLAN MAESTRO FINAL'!$A138,'HOJAS DE HORA PROY.'!$M$2:$M$943,H$113)</f>
        <v>0</v>
      </c>
      <c r="I138" s="8">
        <f>SUMIFS('HOJAS DE HORA PROY.'!$F$2:$F$943,'HOJAS DE HORA PROY.'!$A$2:$A$943,'PLAN MAESTRO FINAL'!$A138,'HOJAS DE HORA PROY.'!$M$2:$M$943,I$113)</f>
        <v>0</v>
      </c>
      <c r="J138" s="8">
        <f>SUMIFS('HOJAS DE HORA PROY.'!$F$2:$F$943,'HOJAS DE HORA PROY.'!$A$2:$A$943,'PLAN MAESTRO FINAL'!$A138,'HOJAS DE HORA PROY.'!$M$2:$M$943,J$113)</f>
        <v>0</v>
      </c>
      <c r="K138" s="8">
        <f>SUMIFS('HOJAS DE HORA PROY.'!$F$2:$F$943,'HOJAS DE HORA PROY.'!$A$2:$A$943,'PLAN MAESTRO FINAL'!$A138,'HOJAS DE HORA PROY.'!$M$2:$M$943,K$113)</f>
        <v>0</v>
      </c>
      <c r="L138" s="8">
        <f>SUMIFS('HOJAS DE HORA PROY.'!$F$2:$F$943,'HOJAS DE HORA PROY.'!$A$2:$A$943,'PLAN MAESTRO FINAL'!$A138,'HOJAS DE HORA PROY.'!$M$2:$M$943,L$113)</f>
        <v>0</v>
      </c>
      <c r="M138" s="8">
        <f>SUMIFS('HOJAS DE HORA PROY.'!$F$2:$F$943,'HOJAS DE HORA PROY.'!$A$2:$A$943,'PLAN MAESTRO FINAL'!$A138,'HOJAS DE HORA PROY.'!$M$2:$M$943,M$113)</f>
        <v>0</v>
      </c>
      <c r="N138" s="8">
        <f>SUMIFS('HOJAS DE HORA PROY.'!$F$2:$F$943,'HOJAS DE HORA PROY.'!$A$2:$A$943,'PLAN MAESTRO FINAL'!$A138,'HOJAS DE HORA PROY.'!$M$2:$M$943,N$113)</f>
        <v>0</v>
      </c>
      <c r="O138" s="8">
        <f>SUMIFS('HOJAS DE HORA PROY.'!$F$2:$F$943,'HOJAS DE HORA PROY.'!$A$2:$A$943,'PLAN MAESTRO FINAL'!$A138,'HOJAS DE HORA PROY.'!$M$2:$M$943,O$113)</f>
        <v>0</v>
      </c>
      <c r="P138" s="8">
        <f>SUMIFS('HOJAS DE HORA PROY.'!$F$2:$F$943,'HOJAS DE HORA PROY.'!$A$2:$A$943,'PLAN MAESTRO FINAL'!$A138,'HOJAS DE HORA PROY.'!$M$2:$M$943,P$113)</f>
        <v>0</v>
      </c>
      <c r="Q138" s="8">
        <f>SUMIFS('HOJAS DE HORA PROY.'!$F$2:$F$943,'HOJAS DE HORA PROY.'!$A$2:$A$943,'PLAN MAESTRO FINAL'!$A138,'HOJAS DE HORA PROY.'!$M$2:$M$943,Q$113)</f>
        <v>0</v>
      </c>
      <c r="R138" s="8">
        <f>SUMIFS('HOJAS DE HORA PROY.'!$F$2:$F$943,'HOJAS DE HORA PROY.'!$A$2:$A$943,'PLAN MAESTRO FINAL'!$A138,'HOJAS DE HORA PROY.'!$M$2:$M$943,R$113)</f>
        <v>0</v>
      </c>
      <c r="S138" s="8">
        <f>SUMIFS('HOJAS DE HORA PROY.'!$F$2:$F$943,'HOJAS DE HORA PROY.'!$A$2:$A$943,'PLAN MAESTRO FINAL'!$A138,'HOJAS DE HORA PROY.'!$M$2:$M$943,S$113)</f>
        <v>0</v>
      </c>
      <c r="T138" s="8">
        <f>SUMIFS('HOJAS DE HORA PROY.'!$F$2:$F$943,'HOJAS DE HORA PROY.'!$A$2:$A$943,'PLAN MAESTRO FINAL'!$A138,'HOJAS DE HORA PROY.'!$M$2:$M$943,T$113)</f>
        <v>0</v>
      </c>
      <c r="U138" s="8">
        <f>SUMIFS('HOJAS DE HORA PROY.'!$F$2:$F$943,'HOJAS DE HORA PROY.'!$A$2:$A$943,'PLAN MAESTRO FINAL'!$A138,'HOJAS DE HORA PROY.'!$M$2:$M$943,U$113)</f>
        <v>0</v>
      </c>
      <c r="V138" s="8">
        <f>SUMIFS('HOJAS DE HORA PROY.'!$F$2:$F$943,'HOJAS DE HORA PROY.'!$A$2:$A$943,'PLAN MAESTRO FINAL'!$A138,'HOJAS DE HORA PROY.'!$M$2:$M$943,V$113)</f>
        <v>0</v>
      </c>
      <c r="W138" s="8">
        <f>SUMIFS('HOJAS DE HORA PROY.'!$F$2:$F$943,'HOJAS DE HORA PROY.'!$A$2:$A$943,'PLAN MAESTRO FINAL'!$A138,'HOJAS DE HORA PROY.'!$M$2:$M$943,W$113)</f>
        <v>0</v>
      </c>
    </row>
    <row r="139" spans="1:23" hidden="1" outlineLevel="1" x14ac:dyDescent="0.3">
      <c r="A139" s="13" t="s">
        <v>507</v>
      </c>
      <c r="B139" s="8">
        <f>SUMIFS('HOJAS DE HORA PROY.'!$F$2:$F$943,'HOJAS DE HORA PROY.'!$A$2:$A$943,'PLAN MAESTRO FINAL'!$A139,'HOJAS DE HORA PROY.'!$M$2:$M$943,B$113)</f>
        <v>0</v>
      </c>
      <c r="C139" s="8">
        <f>SUMIFS('HOJAS DE HORA PROY.'!$F$2:$F$943,'HOJAS DE HORA PROY.'!$A$2:$A$943,'PLAN MAESTRO FINAL'!$A139,'HOJAS DE HORA PROY.'!$M$2:$M$943,C$113)</f>
        <v>0</v>
      </c>
      <c r="D139" s="8">
        <f>SUMIFS('HOJAS DE HORA PROY.'!$F$2:$F$943,'HOJAS DE HORA PROY.'!$A$2:$A$943,'PLAN MAESTRO FINAL'!$A139,'HOJAS DE HORA PROY.'!$M$2:$M$943,D$113)</f>
        <v>0</v>
      </c>
      <c r="E139" s="8">
        <f>SUMIFS('HOJAS DE HORA PROY.'!$F$2:$F$943,'HOJAS DE HORA PROY.'!$A$2:$A$943,'PLAN MAESTRO FINAL'!$A139,'HOJAS DE HORA PROY.'!$M$2:$M$943,E$113)</f>
        <v>0</v>
      </c>
      <c r="F139" s="8">
        <f>SUMIFS('HOJAS DE HORA PROY.'!$F$2:$F$943,'HOJAS DE HORA PROY.'!$A$2:$A$943,'PLAN MAESTRO FINAL'!$A139,'HOJAS DE HORA PROY.'!$M$2:$M$943,F$113)</f>
        <v>0</v>
      </c>
      <c r="G139" s="8">
        <f>SUMIFS('HOJAS DE HORA PROY.'!$F$2:$F$943,'HOJAS DE HORA PROY.'!$A$2:$A$943,'PLAN MAESTRO FINAL'!$A139,'HOJAS DE HORA PROY.'!$M$2:$M$943,G$113)</f>
        <v>0</v>
      </c>
      <c r="H139" s="8">
        <f>SUMIFS('HOJAS DE HORA PROY.'!$F$2:$F$943,'HOJAS DE HORA PROY.'!$A$2:$A$943,'PLAN MAESTRO FINAL'!$A139,'HOJAS DE HORA PROY.'!$M$2:$M$943,H$113)</f>
        <v>0</v>
      </c>
      <c r="I139" s="8">
        <f>SUMIFS('HOJAS DE HORA PROY.'!$F$2:$F$943,'HOJAS DE HORA PROY.'!$A$2:$A$943,'PLAN MAESTRO FINAL'!$A139,'HOJAS DE HORA PROY.'!$M$2:$M$943,I$113)</f>
        <v>0</v>
      </c>
      <c r="J139" s="8">
        <f>SUMIFS('HOJAS DE HORA PROY.'!$F$2:$F$943,'HOJAS DE HORA PROY.'!$A$2:$A$943,'PLAN MAESTRO FINAL'!$A139,'HOJAS DE HORA PROY.'!$M$2:$M$943,J$113)</f>
        <v>0</v>
      </c>
      <c r="K139" s="8">
        <f>SUMIFS('HOJAS DE HORA PROY.'!$F$2:$F$943,'HOJAS DE HORA PROY.'!$A$2:$A$943,'PLAN MAESTRO FINAL'!$A139,'HOJAS DE HORA PROY.'!$M$2:$M$943,K$113)</f>
        <v>0</v>
      </c>
      <c r="L139" s="8">
        <f>SUMIFS('HOJAS DE HORA PROY.'!$F$2:$F$943,'HOJAS DE HORA PROY.'!$A$2:$A$943,'PLAN MAESTRO FINAL'!$A139,'HOJAS DE HORA PROY.'!$M$2:$M$943,L$113)</f>
        <v>0</v>
      </c>
      <c r="M139" s="8">
        <f>SUMIFS('HOJAS DE HORA PROY.'!$F$2:$F$943,'HOJAS DE HORA PROY.'!$A$2:$A$943,'PLAN MAESTRO FINAL'!$A139,'HOJAS DE HORA PROY.'!$M$2:$M$943,M$113)</f>
        <v>0</v>
      </c>
      <c r="N139" s="8">
        <f>SUMIFS('HOJAS DE HORA PROY.'!$F$2:$F$943,'HOJAS DE HORA PROY.'!$A$2:$A$943,'PLAN MAESTRO FINAL'!$A139,'HOJAS DE HORA PROY.'!$M$2:$M$943,N$113)</f>
        <v>0</v>
      </c>
      <c r="O139" s="8">
        <f>SUMIFS('HOJAS DE HORA PROY.'!$F$2:$F$943,'HOJAS DE HORA PROY.'!$A$2:$A$943,'PLAN MAESTRO FINAL'!$A139,'HOJAS DE HORA PROY.'!$M$2:$M$943,O$113)</f>
        <v>0</v>
      </c>
      <c r="P139" s="8">
        <f>SUMIFS('HOJAS DE HORA PROY.'!$F$2:$F$943,'HOJAS DE HORA PROY.'!$A$2:$A$943,'PLAN MAESTRO FINAL'!$A139,'HOJAS DE HORA PROY.'!$M$2:$M$943,P$113)</f>
        <v>0</v>
      </c>
      <c r="Q139" s="8">
        <f>SUMIFS('HOJAS DE HORA PROY.'!$F$2:$F$943,'HOJAS DE HORA PROY.'!$A$2:$A$943,'PLAN MAESTRO FINAL'!$A139,'HOJAS DE HORA PROY.'!$M$2:$M$943,Q$113)</f>
        <v>0</v>
      </c>
      <c r="R139" s="8">
        <f>SUMIFS('HOJAS DE HORA PROY.'!$F$2:$F$943,'HOJAS DE HORA PROY.'!$A$2:$A$943,'PLAN MAESTRO FINAL'!$A139,'HOJAS DE HORA PROY.'!$M$2:$M$943,R$113)</f>
        <v>0</v>
      </c>
      <c r="S139" s="8">
        <f>SUMIFS('HOJAS DE HORA PROY.'!$F$2:$F$943,'HOJAS DE HORA PROY.'!$A$2:$A$943,'PLAN MAESTRO FINAL'!$A139,'HOJAS DE HORA PROY.'!$M$2:$M$943,S$113)</f>
        <v>0</v>
      </c>
      <c r="T139" s="8">
        <f>SUMIFS('HOJAS DE HORA PROY.'!$F$2:$F$943,'HOJAS DE HORA PROY.'!$A$2:$A$943,'PLAN MAESTRO FINAL'!$A139,'HOJAS DE HORA PROY.'!$M$2:$M$943,T$113)</f>
        <v>0</v>
      </c>
      <c r="U139" s="8">
        <f>SUMIFS('HOJAS DE HORA PROY.'!$F$2:$F$943,'HOJAS DE HORA PROY.'!$A$2:$A$943,'PLAN MAESTRO FINAL'!$A139,'HOJAS DE HORA PROY.'!$M$2:$M$943,U$113)</f>
        <v>0</v>
      </c>
      <c r="V139" s="8">
        <f>SUMIFS('HOJAS DE HORA PROY.'!$F$2:$F$943,'HOJAS DE HORA PROY.'!$A$2:$A$943,'PLAN MAESTRO FINAL'!$A139,'HOJAS DE HORA PROY.'!$M$2:$M$943,V$113)</f>
        <v>0</v>
      </c>
      <c r="W139" s="8">
        <f>SUMIFS('HOJAS DE HORA PROY.'!$F$2:$F$943,'HOJAS DE HORA PROY.'!$A$2:$A$943,'PLAN MAESTRO FINAL'!$A139,'HOJAS DE HORA PROY.'!$M$2:$M$943,W$113)</f>
        <v>0</v>
      </c>
    </row>
    <row r="140" spans="1:23" hidden="1" outlineLevel="1" x14ac:dyDescent="0.3">
      <c r="A140" s="13" t="s">
        <v>517</v>
      </c>
      <c r="B140" s="8">
        <f>SUMIFS('HOJAS DE HORA PROY.'!$F$2:$F$943,'HOJAS DE HORA PROY.'!$A$2:$A$943,'PLAN MAESTRO FINAL'!$A140,'HOJAS DE HORA PROY.'!$M$2:$M$943,B$113)</f>
        <v>0</v>
      </c>
      <c r="C140" s="8">
        <f>SUMIFS('HOJAS DE HORA PROY.'!$F$2:$F$943,'HOJAS DE HORA PROY.'!$A$2:$A$943,'PLAN MAESTRO FINAL'!$A140,'HOJAS DE HORA PROY.'!$M$2:$M$943,C$113)</f>
        <v>0</v>
      </c>
      <c r="D140" s="8">
        <f>SUMIFS('HOJAS DE HORA PROY.'!$F$2:$F$943,'HOJAS DE HORA PROY.'!$A$2:$A$943,'PLAN MAESTRO FINAL'!$A140,'HOJAS DE HORA PROY.'!$M$2:$M$943,D$113)</f>
        <v>0</v>
      </c>
      <c r="E140" s="8">
        <f>SUMIFS('HOJAS DE HORA PROY.'!$F$2:$F$943,'HOJAS DE HORA PROY.'!$A$2:$A$943,'PLAN MAESTRO FINAL'!$A140,'HOJAS DE HORA PROY.'!$M$2:$M$943,E$113)</f>
        <v>0</v>
      </c>
      <c r="F140" s="8">
        <f>SUMIFS('HOJAS DE HORA PROY.'!$F$2:$F$943,'HOJAS DE HORA PROY.'!$A$2:$A$943,'PLAN MAESTRO FINAL'!$A140,'HOJAS DE HORA PROY.'!$M$2:$M$943,F$113)</f>
        <v>0</v>
      </c>
      <c r="G140" s="8">
        <f>SUMIFS('HOJAS DE HORA PROY.'!$F$2:$F$943,'HOJAS DE HORA PROY.'!$A$2:$A$943,'PLAN MAESTRO FINAL'!$A140,'HOJAS DE HORA PROY.'!$M$2:$M$943,G$113)</f>
        <v>0</v>
      </c>
      <c r="H140" s="8">
        <f>SUMIFS('HOJAS DE HORA PROY.'!$F$2:$F$943,'HOJAS DE HORA PROY.'!$A$2:$A$943,'PLAN MAESTRO FINAL'!$A140,'HOJAS DE HORA PROY.'!$M$2:$M$943,H$113)</f>
        <v>0</v>
      </c>
      <c r="I140" s="8">
        <f>SUMIFS('HOJAS DE HORA PROY.'!$F$2:$F$943,'HOJAS DE HORA PROY.'!$A$2:$A$943,'PLAN MAESTRO FINAL'!$A140,'HOJAS DE HORA PROY.'!$M$2:$M$943,I$113)</f>
        <v>0</v>
      </c>
      <c r="J140" s="8">
        <f>SUMIFS('HOJAS DE HORA PROY.'!$F$2:$F$943,'HOJAS DE HORA PROY.'!$A$2:$A$943,'PLAN MAESTRO FINAL'!$A140,'HOJAS DE HORA PROY.'!$M$2:$M$943,J$113)</f>
        <v>0</v>
      </c>
      <c r="K140" s="8">
        <f>SUMIFS('HOJAS DE HORA PROY.'!$F$2:$F$943,'HOJAS DE HORA PROY.'!$A$2:$A$943,'PLAN MAESTRO FINAL'!$A140,'HOJAS DE HORA PROY.'!$M$2:$M$943,K$113)</f>
        <v>0</v>
      </c>
      <c r="L140" s="8">
        <f>SUMIFS('HOJAS DE HORA PROY.'!$F$2:$F$943,'HOJAS DE HORA PROY.'!$A$2:$A$943,'PLAN MAESTRO FINAL'!$A140,'HOJAS DE HORA PROY.'!$M$2:$M$943,L$113)</f>
        <v>0</v>
      </c>
      <c r="M140" s="8">
        <f>SUMIFS('HOJAS DE HORA PROY.'!$F$2:$F$943,'HOJAS DE HORA PROY.'!$A$2:$A$943,'PLAN MAESTRO FINAL'!$A140,'HOJAS DE HORA PROY.'!$M$2:$M$943,M$113)</f>
        <v>0</v>
      </c>
      <c r="N140" s="8">
        <f>SUMIFS('HOJAS DE HORA PROY.'!$F$2:$F$943,'HOJAS DE HORA PROY.'!$A$2:$A$943,'PLAN MAESTRO FINAL'!$A140,'HOJAS DE HORA PROY.'!$M$2:$M$943,N$113)</f>
        <v>0</v>
      </c>
      <c r="O140" s="8">
        <f>SUMIFS('HOJAS DE HORA PROY.'!$F$2:$F$943,'HOJAS DE HORA PROY.'!$A$2:$A$943,'PLAN MAESTRO FINAL'!$A140,'HOJAS DE HORA PROY.'!$M$2:$M$943,O$113)</f>
        <v>0</v>
      </c>
      <c r="P140" s="8">
        <f>SUMIFS('HOJAS DE HORA PROY.'!$F$2:$F$943,'HOJAS DE HORA PROY.'!$A$2:$A$943,'PLAN MAESTRO FINAL'!$A140,'HOJAS DE HORA PROY.'!$M$2:$M$943,P$113)</f>
        <v>0</v>
      </c>
      <c r="Q140" s="8">
        <f>SUMIFS('HOJAS DE HORA PROY.'!$F$2:$F$943,'HOJAS DE HORA PROY.'!$A$2:$A$943,'PLAN MAESTRO FINAL'!$A140,'HOJAS DE HORA PROY.'!$M$2:$M$943,Q$113)</f>
        <v>0</v>
      </c>
      <c r="R140" s="8">
        <f>SUMIFS('HOJAS DE HORA PROY.'!$F$2:$F$943,'HOJAS DE HORA PROY.'!$A$2:$A$943,'PLAN MAESTRO FINAL'!$A140,'HOJAS DE HORA PROY.'!$M$2:$M$943,R$113)</f>
        <v>0</v>
      </c>
      <c r="S140" s="8">
        <f>SUMIFS('HOJAS DE HORA PROY.'!$F$2:$F$943,'HOJAS DE HORA PROY.'!$A$2:$A$943,'PLAN MAESTRO FINAL'!$A140,'HOJAS DE HORA PROY.'!$M$2:$M$943,S$113)</f>
        <v>0</v>
      </c>
      <c r="T140" s="8">
        <f>SUMIFS('HOJAS DE HORA PROY.'!$F$2:$F$943,'HOJAS DE HORA PROY.'!$A$2:$A$943,'PLAN MAESTRO FINAL'!$A140,'HOJAS DE HORA PROY.'!$M$2:$M$943,T$113)</f>
        <v>0</v>
      </c>
      <c r="U140" s="8">
        <f>SUMIFS('HOJAS DE HORA PROY.'!$F$2:$F$943,'HOJAS DE HORA PROY.'!$A$2:$A$943,'PLAN MAESTRO FINAL'!$A140,'HOJAS DE HORA PROY.'!$M$2:$M$943,U$113)</f>
        <v>0</v>
      </c>
      <c r="V140" s="8">
        <f>SUMIFS('HOJAS DE HORA PROY.'!$F$2:$F$943,'HOJAS DE HORA PROY.'!$A$2:$A$943,'PLAN MAESTRO FINAL'!$A140,'HOJAS DE HORA PROY.'!$M$2:$M$943,V$113)</f>
        <v>0</v>
      </c>
      <c r="W140" s="8">
        <f>SUMIFS('HOJAS DE HORA PROY.'!$F$2:$F$943,'HOJAS DE HORA PROY.'!$A$2:$A$943,'PLAN MAESTRO FINAL'!$A140,'HOJAS DE HORA PROY.'!$M$2:$M$943,W$113)</f>
        <v>0</v>
      </c>
    </row>
    <row r="141" spans="1:23" hidden="1" outlineLevel="1" x14ac:dyDescent="0.3">
      <c r="A141" s="13" t="s">
        <v>520</v>
      </c>
      <c r="B141" s="8">
        <f>SUMIFS('HOJAS DE HORA PROY.'!$F$2:$F$943,'HOJAS DE HORA PROY.'!$A$2:$A$943,'PLAN MAESTRO FINAL'!$A141,'HOJAS DE HORA PROY.'!$M$2:$M$943,B$113)</f>
        <v>0</v>
      </c>
      <c r="C141" s="8">
        <f>SUMIFS('HOJAS DE HORA PROY.'!$F$2:$F$943,'HOJAS DE HORA PROY.'!$A$2:$A$943,'PLAN MAESTRO FINAL'!$A141,'HOJAS DE HORA PROY.'!$M$2:$M$943,C$113)</f>
        <v>0</v>
      </c>
      <c r="D141" s="8">
        <f>SUMIFS('HOJAS DE HORA PROY.'!$F$2:$F$943,'HOJAS DE HORA PROY.'!$A$2:$A$943,'PLAN MAESTRO FINAL'!$A141,'HOJAS DE HORA PROY.'!$M$2:$M$943,D$113)</f>
        <v>0</v>
      </c>
      <c r="E141" s="8">
        <f>SUMIFS('HOJAS DE HORA PROY.'!$F$2:$F$943,'HOJAS DE HORA PROY.'!$A$2:$A$943,'PLAN MAESTRO FINAL'!$A141,'HOJAS DE HORA PROY.'!$M$2:$M$943,E$113)</f>
        <v>0</v>
      </c>
      <c r="F141" s="8">
        <f>SUMIFS('HOJAS DE HORA PROY.'!$F$2:$F$943,'HOJAS DE HORA PROY.'!$A$2:$A$943,'PLAN MAESTRO FINAL'!$A141,'HOJAS DE HORA PROY.'!$M$2:$M$943,F$113)</f>
        <v>0</v>
      </c>
      <c r="G141" s="8">
        <f>SUMIFS('HOJAS DE HORA PROY.'!$F$2:$F$943,'HOJAS DE HORA PROY.'!$A$2:$A$943,'PLAN MAESTRO FINAL'!$A141,'HOJAS DE HORA PROY.'!$M$2:$M$943,G$113)</f>
        <v>0</v>
      </c>
      <c r="H141" s="8">
        <f>SUMIFS('HOJAS DE HORA PROY.'!$F$2:$F$943,'HOJAS DE HORA PROY.'!$A$2:$A$943,'PLAN MAESTRO FINAL'!$A141,'HOJAS DE HORA PROY.'!$M$2:$M$943,H$113)</f>
        <v>0</v>
      </c>
      <c r="I141" s="8">
        <f>SUMIFS('HOJAS DE HORA PROY.'!$F$2:$F$943,'HOJAS DE HORA PROY.'!$A$2:$A$943,'PLAN MAESTRO FINAL'!$A141,'HOJAS DE HORA PROY.'!$M$2:$M$943,I$113)</f>
        <v>0</v>
      </c>
      <c r="J141" s="8">
        <f>SUMIFS('HOJAS DE HORA PROY.'!$F$2:$F$943,'HOJAS DE HORA PROY.'!$A$2:$A$943,'PLAN MAESTRO FINAL'!$A141,'HOJAS DE HORA PROY.'!$M$2:$M$943,J$113)</f>
        <v>0</v>
      </c>
      <c r="K141" s="8">
        <f>SUMIFS('HOJAS DE HORA PROY.'!$F$2:$F$943,'HOJAS DE HORA PROY.'!$A$2:$A$943,'PLAN MAESTRO FINAL'!$A141,'HOJAS DE HORA PROY.'!$M$2:$M$943,K$113)</f>
        <v>0</v>
      </c>
      <c r="L141" s="8">
        <f>SUMIFS('HOJAS DE HORA PROY.'!$F$2:$F$943,'HOJAS DE HORA PROY.'!$A$2:$A$943,'PLAN MAESTRO FINAL'!$A141,'HOJAS DE HORA PROY.'!$M$2:$M$943,L$113)</f>
        <v>0</v>
      </c>
      <c r="M141" s="8">
        <f>SUMIFS('HOJAS DE HORA PROY.'!$F$2:$F$943,'HOJAS DE HORA PROY.'!$A$2:$A$943,'PLAN MAESTRO FINAL'!$A141,'HOJAS DE HORA PROY.'!$M$2:$M$943,M$113)</f>
        <v>0</v>
      </c>
      <c r="N141" s="8">
        <f>SUMIFS('HOJAS DE HORA PROY.'!$F$2:$F$943,'HOJAS DE HORA PROY.'!$A$2:$A$943,'PLAN MAESTRO FINAL'!$A141,'HOJAS DE HORA PROY.'!$M$2:$M$943,N$113)</f>
        <v>0</v>
      </c>
      <c r="O141" s="8">
        <f>SUMIFS('HOJAS DE HORA PROY.'!$F$2:$F$943,'HOJAS DE HORA PROY.'!$A$2:$A$943,'PLAN MAESTRO FINAL'!$A141,'HOJAS DE HORA PROY.'!$M$2:$M$943,O$113)</f>
        <v>0</v>
      </c>
      <c r="P141" s="8">
        <f>SUMIFS('HOJAS DE HORA PROY.'!$F$2:$F$943,'HOJAS DE HORA PROY.'!$A$2:$A$943,'PLAN MAESTRO FINAL'!$A141,'HOJAS DE HORA PROY.'!$M$2:$M$943,P$113)</f>
        <v>0</v>
      </c>
      <c r="Q141" s="8">
        <f>SUMIFS('HOJAS DE HORA PROY.'!$F$2:$F$943,'HOJAS DE HORA PROY.'!$A$2:$A$943,'PLAN MAESTRO FINAL'!$A141,'HOJAS DE HORA PROY.'!$M$2:$M$943,Q$113)</f>
        <v>0</v>
      </c>
      <c r="R141" s="8">
        <f>SUMIFS('HOJAS DE HORA PROY.'!$F$2:$F$943,'HOJAS DE HORA PROY.'!$A$2:$A$943,'PLAN MAESTRO FINAL'!$A141,'HOJAS DE HORA PROY.'!$M$2:$M$943,R$113)</f>
        <v>0</v>
      </c>
      <c r="S141" s="8">
        <f>SUMIFS('HOJAS DE HORA PROY.'!$F$2:$F$943,'HOJAS DE HORA PROY.'!$A$2:$A$943,'PLAN MAESTRO FINAL'!$A141,'HOJAS DE HORA PROY.'!$M$2:$M$943,S$113)</f>
        <v>0</v>
      </c>
      <c r="T141" s="8">
        <f>SUMIFS('HOJAS DE HORA PROY.'!$F$2:$F$943,'HOJAS DE HORA PROY.'!$A$2:$A$943,'PLAN MAESTRO FINAL'!$A141,'HOJAS DE HORA PROY.'!$M$2:$M$943,T$113)</f>
        <v>0</v>
      </c>
      <c r="U141" s="8">
        <f>SUMIFS('HOJAS DE HORA PROY.'!$F$2:$F$943,'HOJAS DE HORA PROY.'!$A$2:$A$943,'PLAN MAESTRO FINAL'!$A141,'HOJAS DE HORA PROY.'!$M$2:$M$943,U$113)</f>
        <v>0</v>
      </c>
      <c r="V141" s="8">
        <f>SUMIFS('HOJAS DE HORA PROY.'!$F$2:$F$943,'HOJAS DE HORA PROY.'!$A$2:$A$943,'PLAN MAESTRO FINAL'!$A141,'HOJAS DE HORA PROY.'!$M$2:$M$943,V$113)</f>
        <v>0</v>
      </c>
      <c r="W141" s="8">
        <f>SUMIFS('HOJAS DE HORA PROY.'!$F$2:$F$943,'HOJAS DE HORA PROY.'!$A$2:$A$943,'PLAN MAESTRO FINAL'!$A141,'HOJAS DE HORA PROY.'!$M$2:$M$943,W$113)</f>
        <v>0</v>
      </c>
    </row>
    <row r="142" spans="1:23" hidden="1" outlineLevel="1" x14ac:dyDescent="0.3">
      <c r="A142" s="13" t="s">
        <v>525</v>
      </c>
      <c r="B142" s="8">
        <f>SUMIFS('HOJAS DE HORA PROY.'!$F$2:$F$943,'HOJAS DE HORA PROY.'!$A$2:$A$943,'PLAN MAESTRO FINAL'!$A142,'HOJAS DE HORA PROY.'!$M$2:$M$943,B$113)</f>
        <v>0</v>
      </c>
      <c r="C142" s="8">
        <f>SUMIFS('HOJAS DE HORA PROY.'!$F$2:$F$943,'HOJAS DE HORA PROY.'!$A$2:$A$943,'PLAN MAESTRO FINAL'!$A142,'HOJAS DE HORA PROY.'!$M$2:$M$943,C$113)</f>
        <v>0</v>
      </c>
      <c r="D142" s="8">
        <f>SUMIFS('HOJAS DE HORA PROY.'!$F$2:$F$943,'HOJAS DE HORA PROY.'!$A$2:$A$943,'PLAN MAESTRO FINAL'!$A142,'HOJAS DE HORA PROY.'!$M$2:$M$943,D$113)</f>
        <v>0</v>
      </c>
      <c r="E142" s="8">
        <f>SUMIFS('HOJAS DE HORA PROY.'!$F$2:$F$943,'HOJAS DE HORA PROY.'!$A$2:$A$943,'PLAN MAESTRO FINAL'!$A142,'HOJAS DE HORA PROY.'!$M$2:$M$943,E$113)</f>
        <v>0</v>
      </c>
      <c r="F142" s="8">
        <f>SUMIFS('HOJAS DE HORA PROY.'!$F$2:$F$943,'HOJAS DE HORA PROY.'!$A$2:$A$943,'PLAN MAESTRO FINAL'!$A142,'HOJAS DE HORA PROY.'!$M$2:$M$943,F$113)</f>
        <v>0</v>
      </c>
      <c r="G142" s="8">
        <f>SUMIFS('HOJAS DE HORA PROY.'!$F$2:$F$943,'HOJAS DE HORA PROY.'!$A$2:$A$943,'PLAN MAESTRO FINAL'!$A142,'HOJAS DE HORA PROY.'!$M$2:$M$943,G$113)</f>
        <v>0</v>
      </c>
      <c r="H142" s="8">
        <f>SUMIFS('HOJAS DE HORA PROY.'!$F$2:$F$943,'HOJAS DE HORA PROY.'!$A$2:$A$943,'PLAN MAESTRO FINAL'!$A142,'HOJAS DE HORA PROY.'!$M$2:$M$943,H$113)</f>
        <v>0</v>
      </c>
      <c r="I142" s="8">
        <f>SUMIFS('HOJAS DE HORA PROY.'!$F$2:$F$943,'HOJAS DE HORA PROY.'!$A$2:$A$943,'PLAN MAESTRO FINAL'!$A142,'HOJAS DE HORA PROY.'!$M$2:$M$943,I$113)</f>
        <v>0</v>
      </c>
      <c r="J142" s="8">
        <f>SUMIFS('HOJAS DE HORA PROY.'!$F$2:$F$943,'HOJAS DE HORA PROY.'!$A$2:$A$943,'PLAN MAESTRO FINAL'!$A142,'HOJAS DE HORA PROY.'!$M$2:$M$943,J$113)</f>
        <v>0</v>
      </c>
      <c r="K142" s="8">
        <f>SUMIFS('HOJAS DE HORA PROY.'!$F$2:$F$943,'HOJAS DE HORA PROY.'!$A$2:$A$943,'PLAN MAESTRO FINAL'!$A142,'HOJAS DE HORA PROY.'!$M$2:$M$943,K$113)</f>
        <v>0</v>
      </c>
      <c r="L142" s="8">
        <f>SUMIFS('HOJAS DE HORA PROY.'!$F$2:$F$943,'HOJAS DE HORA PROY.'!$A$2:$A$943,'PLAN MAESTRO FINAL'!$A142,'HOJAS DE HORA PROY.'!$M$2:$M$943,L$113)</f>
        <v>0</v>
      </c>
      <c r="M142" s="8">
        <f>SUMIFS('HOJAS DE HORA PROY.'!$F$2:$F$943,'HOJAS DE HORA PROY.'!$A$2:$A$943,'PLAN MAESTRO FINAL'!$A142,'HOJAS DE HORA PROY.'!$M$2:$M$943,M$113)</f>
        <v>0</v>
      </c>
      <c r="N142" s="8">
        <f>SUMIFS('HOJAS DE HORA PROY.'!$F$2:$F$943,'HOJAS DE HORA PROY.'!$A$2:$A$943,'PLAN MAESTRO FINAL'!$A142,'HOJAS DE HORA PROY.'!$M$2:$M$943,N$113)</f>
        <v>0</v>
      </c>
      <c r="O142" s="8">
        <f>SUMIFS('HOJAS DE HORA PROY.'!$F$2:$F$943,'HOJAS DE HORA PROY.'!$A$2:$A$943,'PLAN MAESTRO FINAL'!$A142,'HOJAS DE HORA PROY.'!$M$2:$M$943,O$113)</f>
        <v>0</v>
      </c>
      <c r="P142" s="8">
        <f>SUMIFS('HOJAS DE HORA PROY.'!$F$2:$F$943,'HOJAS DE HORA PROY.'!$A$2:$A$943,'PLAN MAESTRO FINAL'!$A142,'HOJAS DE HORA PROY.'!$M$2:$M$943,P$113)</f>
        <v>0</v>
      </c>
      <c r="Q142" s="8">
        <f>SUMIFS('HOJAS DE HORA PROY.'!$F$2:$F$943,'HOJAS DE HORA PROY.'!$A$2:$A$943,'PLAN MAESTRO FINAL'!$A142,'HOJAS DE HORA PROY.'!$M$2:$M$943,Q$113)</f>
        <v>0</v>
      </c>
      <c r="R142" s="8">
        <f>SUMIFS('HOJAS DE HORA PROY.'!$F$2:$F$943,'HOJAS DE HORA PROY.'!$A$2:$A$943,'PLAN MAESTRO FINAL'!$A142,'HOJAS DE HORA PROY.'!$M$2:$M$943,R$113)</f>
        <v>0</v>
      </c>
      <c r="S142" s="8">
        <f>SUMIFS('HOJAS DE HORA PROY.'!$F$2:$F$943,'HOJAS DE HORA PROY.'!$A$2:$A$943,'PLAN MAESTRO FINAL'!$A142,'HOJAS DE HORA PROY.'!$M$2:$M$943,S$113)</f>
        <v>0</v>
      </c>
      <c r="T142" s="8">
        <f>SUMIFS('HOJAS DE HORA PROY.'!$F$2:$F$943,'HOJAS DE HORA PROY.'!$A$2:$A$943,'PLAN MAESTRO FINAL'!$A142,'HOJAS DE HORA PROY.'!$M$2:$M$943,T$113)</f>
        <v>0</v>
      </c>
      <c r="U142" s="8">
        <f>SUMIFS('HOJAS DE HORA PROY.'!$F$2:$F$943,'HOJAS DE HORA PROY.'!$A$2:$A$943,'PLAN MAESTRO FINAL'!$A142,'HOJAS DE HORA PROY.'!$M$2:$M$943,U$113)</f>
        <v>0</v>
      </c>
      <c r="V142" s="8">
        <f>SUMIFS('HOJAS DE HORA PROY.'!$F$2:$F$943,'HOJAS DE HORA PROY.'!$A$2:$A$943,'PLAN MAESTRO FINAL'!$A142,'HOJAS DE HORA PROY.'!$M$2:$M$943,V$113)</f>
        <v>0</v>
      </c>
      <c r="W142" s="8">
        <f>SUMIFS('HOJAS DE HORA PROY.'!$F$2:$F$943,'HOJAS DE HORA PROY.'!$A$2:$A$943,'PLAN MAESTRO FINAL'!$A142,'HOJAS DE HORA PROY.'!$M$2:$M$943,W$113)</f>
        <v>0</v>
      </c>
    </row>
    <row r="143" spans="1:23" hidden="1" outlineLevel="1" x14ac:dyDescent="0.3">
      <c r="A143" s="13" t="s">
        <v>547</v>
      </c>
      <c r="B143" s="8">
        <f>SUMIFS('HOJAS DE HORA PROY.'!$F$2:$F$943,'HOJAS DE HORA PROY.'!$A$2:$A$943,'PLAN MAESTRO FINAL'!$A143,'HOJAS DE HORA PROY.'!$M$2:$M$943,B$113)</f>
        <v>0</v>
      </c>
      <c r="C143" s="8">
        <f>SUMIFS('HOJAS DE HORA PROY.'!$F$2:$F$943,'HOJAS DE HORA PROY.'!$A$2:$A$943,'PLAN MAESTRO FINAL'!$A143,'HOJAS DE HORA PROY.'!$M$2:$M$943,C$113)</f>
        <v>0</v>
      </c>
      <c r="D143" s="8">
        <f>SUMIFS('HOJAS DE HORA PROY.'!$F$2:$F$943,'HOJAS DE HORA PROY.'!$A$2:$A$943,'PLAN MAESTRO FINAL'!$A143,'HOJAS DE HORA PROY.'!$M$2:$M$943,D$113)</f>
        <v>0</v>
      </c>
      <c r="E143" s="8">
        <f>SUMIFS('HOJAS DE HORA PROY.'!$F$2:$F$943,'HOJAS DE HORA PROY.'!$A$2:$A$943,'PLAN MAESTRO FINAL'!$A143,'HOJAS DE HORA PROY.'!$M$2:$M$943,E$113)</f>
        <v>0</v>
      </c>
      <c r="F143" s="8">
        <f>SUMIFS('HOJAS DE HORA PROY.'!$F$2:$F$943,'HOJAS DE HORA PROY.'!$A$2:$A$943,'PLAN MAESTRO FINAL'!$A143,'HOJAS DE HORA PROY.'!$M$2:$M$943,F$113)</f>
        <v>0</v>
      </c>
      <c r="G143" s="8">
        <f>SUMIFS('HOJAS DE HORA PROY.'!$F$2:$F$943,'HOJAS DE HORA PROY.'!$A$2:$A$943,'PLAN MAESTRO FINAL'!$A143,'HOJAS DE HORA PROY.'!$M$2:$M$943,G$113)</f>
        <v>21</v>
      </c>
      <c r="H143" s="8">
        <f>SUMIFS('HOJAS DE HORA PROY.'!$F$2:$F$943,'HOJAS DE HORA PROY.'!$A$2:$A$943,'PLAN MAESTRO FINAL'!$A143,'HOJAS DE HORA PROY.'!$M$2:$M$943,H$113)</f>
        <v>0</v>
      </c>
      <c r="I143" s="8">
        <f>SUMIFS('HOJAS DE HORA PROY.'!$F$2:$F$943,'HOJAS DE HORA PROY.'!$A$2:$A$943,'PLAN MAESTRO FINAL'!$A143,'HOJAS DE HORA PROY.'!$M$2:$M$943,I$113)</f>
        <v>0</v>
      </c>
      <c r="J143" s="8">
        <f>SUMIFS('HOJAS DE HORA PROY.'!$F$2:$F$943,'HOJAS DE HORA PROY.'!$A$2:$A$943,'PLAN MAESTRO FINAL'!$A143,'HOJAS DE HORA PROY.'!$M$2:$M$943,J$113)</f>
        <v>0</v>
      </c>
      <c r="K143" s="8">
        <f>SUMIFS('HOJAS DE HORA PROY.'!$F$2:$F$943,'HOJAS DE HORA PROY.'!$A$2:$A$943,'PLAN MAESTRO FINAL'!$A143,'HOJAS DE HORA PROY.'!$M$2:$M$943,K$113)</f>
        <v>0</v>
      </c>
      <c r="L143" s="8">
        <f>SUMIFS('HOJAS DE HORA PROY.'!$F$2:$F$943,'HOJAS DE HORA PROY.'!$A$2:$A$943,'PLAN MAESTRO FINAL'!$A143,'HOJAS DE HORA PROY.'!$M$2:$M$943,L$113)</f>
        <v>0</v>
      </c>
      <c r="M143" s="8">
        <f>SUMIFS('HOJAS DE HORA PROY.'!$F$2:$F$943,'HOJAS DE HORA PROY.'!$A$2:$A$943,'PLAN MAESTRO FINAL'!$A143,'HOJAS DE HORA PROY.'!$M$2:$M$943,M$113)</f>
        <v>0</v>
      </c>
      <c r="N143" s="8">
        <f>SUMIFS('HOJAS DE HORA PROY.'!$F$2:$F$943,'HOJAS DE HORA PROY.'!$A$2:$A$943,'PLAN MAESTRO FINAL'!$A143,'HOJAS DE HORA PROY.'!$M$2:$M$943,N$113)</f>
        <v>0</v>
      </c>
      <c r="O143" s="8">
        <f>SUMIFS('HOJAS DE HORA PROY.'!$F$2:$F$943,'HOJAS DE HORA PROY.'!$A$2:$A$943,'PLAN MAESTRO FINAL'!$A143,'HOJAS DE HORA PROY.'!$M$2:$M$943,O$113)</f>
        <v>0</v>
      </c>
      <c r="P143" s="8">
        <f>SUMIFS('HOJAS DE HORA PROY.'!$F$2:$F$943,'HOJAS DE HORA PROY.'!$A$2:$A$943,'PLAN MAESTRO FINAL'!$A143,'HOJAS DE HORA PROY.'!$M$2:$M$943,P$113)</f>
        <v>0</v>
      </c>
      <c r="Q143" s="8">
        <f>SUMIFS('HOJAS DE HORA PROY.'!$F$2:$F$943,'HOJAS DE HORA PROY.'!$A$2:$A$943,'PLAN MAESTRO FINAL'!$A143,'HOJAS DE HORA PROY.'!$M$2:$M$943,Q$113)</f>
        <v>0</v>
      </c>
      <c r="R143" s="8">
        <f>SUMIFS('HOJAS DE HORA PROY.'!$F$2:$F$943,'HOJAS DE HORA PROY.'!$A$2:$A$943,'PLAN MAESTRO FINAL'!$A143,'HOJAS DE HORA PROY.'!$M$2:$M$943,R$113)</f>
        <v>0</v>
      </c>
      <c r="S143" s="8">
        <f>SUMIFS('HOJAS DE HORA PROY.'!$F$2:$F$943,'HOJAS DE HORA PROY.'!$A$2:$A$943,'PLAN MAESTRO FINAL'!$A143,'HOJAS DE HORA PROY.'!$M$2:$M$943,S$113)</f>
        <v>0</v>
      </c>
      <c r="T143" s="8">
        <f>SUMIFS('HOJAS DE HORA PROY.'!$F$2:$F$943,'HOJAS DE HORA PROY.'!$A$2:$A$943,'PLAN MAESTRO FINAL'!$A143,'HOJAS DE HORA PROY.'!$M$2:$M$943,T$113)</f>
        <v>0</v>
      </c>
      <c r="U143" s="8">
        <f>SUMIFS('HOJAS DE HORA PROY.'!$F$2:$F$943,'HOJAS DE HORA PROY.'!$A$2:$A$943,'PLAN MAESTRO FINAL'!$A143,'HOJAS DE HORA PROY.'!$M$2:$M$943,U$113)</f>
        <v>0</v>
      </c>
      <c r="V143" s="8">
        <f>SUMIFS('HOJAS DE HORA PROY.'!$F$2:$F$943,'HOJAS DE HORA PROY.'!$A$2:$A$943,'PLAN MAESTRO FINAL'!$A143,'HOJAS DE HORA PROY.'!$M$2:$M$943,V$113)</f>
        <v>0</v>
      </c>
      <c r="W143" s="8">
        <f>SUMIFS('HOJAS DE HORA PROY.'!$F$2:$F$943,'HOJAS DE HORA PROY.'!$A$2:$A$943,'PLAN MAESTRO FINAL'!$A143,'HOJAS DE HORA PROY.'!$M$2:$M$943,W$113)</f>
        <v>0</v>
      </c>
    </row>
    <row r="144" spans="1:23" hidden="1" outlineLevel="1" x14ac:dyDescent="0.3">
      <c r="A144" s="13"/>
      <c r="B144" s="8">
        <f>SUMIFS('HOJAS DE HORA PROY.'!$F$2:$F$943,'HOJAS DE HORA PROY.'!$A$2:$A$943,'PLAN MAESTRO FINAL'!$A144,'HOJAS DE HORA PROY.'!$M$2:$M$943,B$113)</f>
        <v>0</v>
      </c>
      <c r="C144" s="8">
        <f>SUMIFS('HOJAS DE HORA PROY.'!$F$2:$F$943,'HOJAS DE HORA PROY.'!$A$2:$A$943,'PLAN MAESTRO FINAL'!$A144,'HOJAS DE HORA PROY.'!$M$2:$M$943,C$113)</f>
        <v>0</v>
      </c>
      <c r="D144" s="8">
        <f>SUMIFS('HOJAS DE HORA PROY.'!$F$2:$F$943,'HOJAS DE HORA PROY.'!$A$2:$A$943,'PLAN MAESTRO FINAL'!$A144,'HOJAS DE HORA PROY.'!$M$2:$M$943,D$113)</f>
        <v>0</v>
      </c>
      <c r="E144" s="8">
        <f>SUMIFS('HOJAS DE HORA PROY.'!$F$2:$F$943,'HOJAS DE HORA PROY.'!$A$2:$A$943,'PLAN MAESTRO FINAL'!$A144,'HOJAS DE HORA PROY.'!$M$2:$M$943,E$113)</f>
        <v>0</v>
      </c>
      <c r="F144" s="8">
        <f>SUMIFS('HOJAS DE HORA PROY.'!$F$2:$F$943,'HOJAS DE HORA PROY.'!$A$2:$A$943,'PLAN MAESTRO FINAL'!$A144,'HOJAS DE HORA PROY.'!$M$2:$M$943,F$113)</f>
        <v>0</v>
      </c>
      <c r="G144" s="8">
        <f>SUMIFS('HOJAS DE HORA PROY.'!$F$2:$F$943,'HOJAS DE HORA PROY.'!$A$2:$A$943,'PLAN MAESTRO FINAL'!$A144,'HOJAS DE HORA PROY.'!$M$2:$M$943,G$113)</f>
        <v>0</v>
      </c>
      <c r="H144" s="8">
        <f>SUMIFS('HOJAS DE HORA PROY.'!$F$2:$F$943,'HOJAS DE HORA PROY.'!$A$2:$A$943,'PLAN MAESTRO FINAL'!$A144,'HOJAS DE HORA PROY.'!$M$2:$M$943,H$113)</f>
        <v>0</v>
      </c>
      <c r="I144" s="8">
        <f>SUMIFS('HOJAS DE HORA PROY.'!$F$2:$F$943,'HOJAS DE HORA PROY.'!$A$2:$A$943,'PLAN MAESTRO FINAL'!$A144,'HOJAS DE HORA PROY.'!$M$2:$M$943,I$113)</f>
        <v>0</v>
      </c>
      <c r="J144" s="8">
        <f>SUMIFS('HOJAS DE HORA PROY.'!$F$2:$F$943,'HOJAS DE HORA PROY.'!$A$2:$A$943,'PLAN MAESTRO FINAL'!$A144,'HOJAS DE HORA PROY.'!$M$2:$M$943,J$113)</f>
        <v>0</v>
      </c>
      <c r="K144" s="8">
        <f>SUMIFS('HOJAS DE HORA PROY.'!$F$2:$F$943,'HOJAS DE HORA PROY.'!$A$2:$A$943,'PLAN MAESTRO FINAL'!$A144,'HOJAS DE HORA PROY.'!$M$2:$M$943,K$113)</f>
        <v>0</v>
      </c>
      <c r="L144" s="8">
        <f>SUMIFS('HOJAS DE HORA PROY.'!$F$2:$F$943,'HOJAS DE HORA PROY.'!$A$2:$A$943,'PLAN MAESTRO FINAL'!$A144,'HOJAS DE HORA PROY.'!$M$2:$M$943,L$113)</f>
        <v>0</v>
      </c>
      <c r="M144" s="8">
        <f>SUMIFS('HOJAS DE HORA PROY.'!$F$2:$F$943,'HOJAS DE HORA PROY.'!$A$2:$A$943,'PLAN MAESTRO FINAL'!$A144,'HOJAS DE HORA PROY.'!$M$2:$M$943,M$113)</f>
        <v>0</v>
      </c>
      <c r="N144" s="8">
        <f>SUMIFS('HOJAS DE HORA PROY.'!$F$2:$F$943,'HOJAS DE HORA PROY.'!$A$2:$A$943,'PLAN MAESTRO FINAL'!$A144,'HOJAS DE HORA PROY.'!$M$2:$M$943,N$113)</f>
        <v>0</v>
      </c>
      <c r="O144" s="8">
        <f>SUMIFS('HOJAS DE HORA PROY.'!$F$2:$F$943,'HOJAS DE HORA PROY.'!$A$2:$A$943,'PLAN MAESTRO FINAL'!$A144,'HOJAS DE HORA PROY.'!$M$2:$M$943,O$113)</f>
        <v>0</v>
      </c>
      <c r="P144" s="8">
        <f>SUMIFS('HOJAS DE HORA PROY.'!$F$2:$F$943,'HOJAS DE HORA PROY.'!$A$2:$A$943,'PLAN MAESTRO FINAL'!$A144,'HOJAS DE HORA PROY.'!$M$2:$M$943,P$113)</f>
        <v>0</v>
      </c>
      <c r="Q144" s="8">
        <f>SUMIFS('HOJAS DE HORA PROY.'!$F$2:$F$943,'HOJAS DE HORA PROY.'!$A$2:$A$943,'PLAN MAESTRO FINAL'!$A144,'HOJAS DE HORA PROY.'!$M$2:$M$943,Q$113)</f>
        <v>0</v>
      </c>
      <c r="R144" s="8">
        <f>SUMIFS('HOJAS DE HORA PROY.'!$F$2:$F$943,'HOJAS DE HORA PROY.'!$A$2:$A$943,'PLAN MAESTRO FINAL'!$A144,'HOJAS DE HORA PROY.'!$M$2:$M$943,R$113)</f>
        <v>0</v>
      </c>
      <c r="S144" s="8">
        <f>SUMIFS('HOJAS DE HORA PROY.'!$F$2:$F$943,'HOJAS DE HORA PROY.'!$A$2:$A$943,'PLAN MAESTRO FINAL'!$A144,'HOJAS DE HORA PROY.'!$M$2:$M$943,S$113)</f>
        <v>0</v>
      </c>
      <c r="T144" s="8">
        <f>SUMIFS('HOJAS DE HORA PROY.'!$F$2:$F$943,'HOJAS DE HORA PROY.'!$A$2:$A$943,'PLAN MAESTRO FINAL'!$A144,'HOJAS DE HORA PROY.'!$M$2:$M$943,T$113)</f>
        <v>0</v>
      </c>
      <c r="U144" s="8">
        <f>SUMIFS('HOJAS DE HORA PROY.'!$F$2:$F$943,'HOJAS DE HORA PROY.'!$A$2:$A$943,'PLAN MAESTRO FINAL'!$A144,'HOJAS DE HORA PROY.'!$M$2:$M$943,U$113)</f>
        <v>0</v>
      </c>
      <c r="V144" s="8">
        <f>SUMIFS('HOJAS DE HORA PROY.'!$F$2:$F$943,'HOJAS DE HORA PROY.'!$A$2:$A$943,'PLAN MAESTRO FINAL'!$A144,'HOJAS DE HORA PROY.'!$M$2:$M$943,V$113)</f>
        <v>0</v>
      </c>
      <c r="W144" s="8">
        <f>SUMIFS('HOJAS DE HORA PROY.'!$F$2:$F$943,'HOJAS DE HORA PROY.'!$A$2:$A$943,'PLAN MAESTRO FINAL'!$A144,'HOJAS DE HORA PROY.'!$M$2:$M$943,W$113)</f>
        <v>0</v>
      </c>
    </row>
    <row r="145" spans="1:23" collapsed="1" x14ac:dyDescent="0.3">
      <c r="A145" s="28" t="s">
        <v>471</v>
      </c>
      <c r="B145" s="29">
        <f t="shared" ref="B145:W145" si="6">SUM(B114:B144)</f>
        <v>0</v>
      </c>
      <c r="C145" s="29">
        <f t="shared" si="6"/>
        <v>0</v>
      </c>
      <c r="D145" s="29">
        <f t="shared" si="6"/>
        <v>0</v>
      </c>
      <c r="E145" s="29">
        <f t="shared" si="6"/>
        <v>0.5</v>
      </c>
      <c r="F145" s="29">
        <f t="shared" si="6"/>
        <v>45.5</v>
      </c>
      <c r="G145" s="29">
        <f t="shared" si="6"/>
        <v>93</v>
      </c>
      <c r="H145" s="29">
        <f t="shared" si="6"/>
        <v>20</v>
      </c>
      <c r="I145" s="29">
        <f t="shared" si="6"/>
        <v>0</v>
      </c>
      <c r="J145" s="29">
        <f t="shared" si="6"/>
        <v>18</v>
      </c>
      <c r="K145" s="29">
        <f t="shared" si="6"/>
        <v>5</v>
      </c>
      <c r="L145" s="29">
        <f t="shared" si="6"/>
        <v>0</v>
      </c>
      <c r="M145" s="29">
        <f t="shared" si="6"/>
        <v>0</v>
      </c>
      <c r="N145" s="29">
        <f t="shared" si="6"/>
        <v>0</v>
      </c>
      <c r="O145" s="29">
        <f t="shared" si="6"/>
        <v>0</v>
      </c>
      <c r="P145" s="29">
        <f t="shared" si="6"/>
        <v>0</v>
      </c>
      <c r="Q145" s="29">
        <f t="shared" si="6"/>
        <v>0</v>
      </c>
      <c r="R145" s="29">
        <f t="shared" si="6"/>
        <v>0</v>
      </c>
      <c r="S145" s="29">
        <f t="shared" si="6"/>
        <v>0</v>
      </c>
      <c r="T145" s="29">
        <f t="shared" si="6"/>
        <v>0</v>
      </c>
      <c r="U145" s="29">
        <f t="shared" si="6"/>
        <v>0</v>
      </c>
      <c r="V145" s="29">
        <f t="shared" si="6"/>
        <v>0</v>
      </c>
      <c r="W145" s="29">
        <f t="shared" si="6"/>
        <v>0</v>
      </c>
    </row>
    <row r="146" spans="1:23" x14ac:dyDescent="0.3">
      <c r="A146" s="28" t="s">
        <v>29</v>
      </c>
      <c r="B146" s="30">
        <f>CAPACIDAD!G26</f>
        <v>120</v>
      </c>
      <c r="C146" s="30">
        <f>CAPACIDAD!H26</f>
        <v>120</v>
      </c>
      <c r="D146" s="30">
        <f>CAPACIDAD!I26</f>
        <v>48</v>
      </c>
      <c r="E146" s="30">
        <f>CAPACIDAD!J26</f>
        <v>96</v>
      </c>
      <c r="F146" s="30">
        <f>CAPACIDAD!K26</f>
        <v>136</v>
      </c>
      <c r="G146" s="30">
        <f>CAPACIDAD!L26</f>
        <v>136</v>
      </c>
      <c r="H146" s="30">
        <f>CAPACIDAD!M26</f>
        <v>136</v>
      </c>
      <c r="I146" s="30">
        <f>CAPACIDAD!N26</f>
        <v>136</v>
      </c>
      <c r="J146" s="30">
        <f>CAPACIDAD!O26</f>
        <v>136</v>
      </c>
      <c r="K146" s="30">
        <f>CAPACIDAD!P26</f>
        <v>136</v>
      </c>
      <c r="L146" s="30">
        <f>CAPACIDAD!Q26</f>
        <v>136</v>
      </c>
      <c r="M146" s="30">
        <f>CAPACIDAD!R26</f>
        <v>136</v>
      </c>
      <c r="N146" s="30">
        <f>CAPACIDAD!S26</f>
        <v>136</v>
      </c>
      <c r="O146" s="30">
        <f>CAPACIDAD!T26</f>
        <v>136</v>
      </c>
      <c r="P146" s="30">
        <f>CAPACIDAD!U26</f>
        <v>136</v>
      </c>
      <c r="Q146" s="30">
        <f>CAPACIDAD!V26</f>
        <v>136</v>
      </c>
      <c r="R146" s="30">
        <f>CAPACIDAD!W26</f>
        <v>136</v>
      </c>
      <c r="S146" s="30">
        <f>CAPACIDAD!X26</f>
        <v>136</v>
      </c>
      <c r="T146" s="30">
        <f>CAPACIDAD!Y26</f>
        <v>136</v>
      </c>
      <c r="U146" s="30">
        <f>CAPACIDAD!Z26</f>
        <v>136</v>
      </c>
      <c r="V146" s="30">
        <f>CAPACIDAD!AA26</f>
        <v>136</v>
      </c>
      <c r="W146" s="30">
        <f>CAPACIDAD!AB26</f>
        <v>136</v>
      </c>
    </row>
    <row r="147" spans="1:23" s="10" customFormat="1" x14ac:dyDescent="0.3">
      <c r="A147" s="2" t="s">
        <v>28</v>
      </c>
      <c r="B147" s="9" t="str">
        <f t="shared" ref="B147:W147" si="7">IF(B145/B146=0,"",IF(B145/B146&lt;=85%,"🟢 Saludable",IF(B145/B146&lt;=100%,"🟡 Riesgo","🔴 Atraso seguro")))</f>
        <v/>
      </c>
      <c r="C147" s="9" t="str">
        <f t="shared" si="7"/>
        <v/>
      </c>
      <c r="D147" s="9" t="str">
        <f t="shared" si="7"/>
        <v/>
      </c>
      <c r="E147" s="9" t="str">
        <f t="shared" si="7"/>
        <v>🟢 Saludable</v>
      </c>
      <c r="F147" s="9" t="str">
        <f t="shared" si="7"/>
        <v>🟢 Saludable</v>
      </c>
      <c r="G147" s="9" t="str">
        <f t="shared" si="7"/>
        <v>🟢 Saludable</v>
      </c>
      <c r="H147" s="9" t="str">
        <f t="shared" si="7"/>
        <v>🟢 Saludable</v>
      </c>
      <c r="I147" s="9" t="str">
        <f t="shared" si="7"/>
        <v/>
      </c>
      <c r="J147" s="9" t="str">
        <f t="shared" si="7"/>
        <v>🟢 Saludable</v>
      </c>
      <c r="K147" s="9" t="str">
        <f t="shared" si="7"/>
        <v>🟢 Saludable</v>
      </c>
      <c r="L147" s="9" t="str">
        <f t="shared" si="7"/>
        <v/>
      </c>
      <c r="M147" s="9" t="str">
        <f t="shared" si="7"/>
        <v/>
      </c>
      <c r="N147" s="9" t="str">
        <f t="shared" si="7"/>
        <v/>
      </c>
      <c r="O147" s="9" t="str">
        <f t="shared" si="7"/>
        <v/>
      </c>
      <c r="P147" s="9" t="str">
        <f t="shared" si="7"/>
        <v/>
      </c>
      <c r="Q147" s="9" t="str">
        <f t="shared" si="7"/>
        <v/>
      </c>
      <c r="R147" s="9" t="str">
        <f t="shared" si="7"/>
        <v/>
      </c>
      <c r="S147" s="9" t="str">
        <f t="shared" si="7"/>
        <v/>
      </c>
      <c r="T147" s="9" t="str">
        <f t="shared" si="7"/>
        <v/>
      </c>
      <c r="U147" s="9" t="str">
        <f t="shared" si="7"/>
        <v/>
      </c>
      <c r="V147" s="9" t="str">
        <f t="shared" si="7"/>
        <v/>
      </c>
      <c r="W147" s="9" t="str">
        <f t="shared" si="7"/>
        <v/>
      </c>
    </row>
    <row r="149" spans="1:23" ht="21" x14ac:dyDescent="0.4">
      <c r="A149" s="50" t="s">
        <v>473</v>
      </c>
    </row>
    <row r="150" spans="1:23" x14ac:dyDescent="0.3">
      <c r="A150" s="35" t="s">
        <v>27</v>
      </c>
      <c r="B150" s="35" t="s">
        <v>34</v>
      </c>
      <c r="C150" s="35" t="s">
        <v>35</v>
      </c>
      <c r="D150" s="35" t="s">
        <v>36</v>
      </c>
      <c r="E150" s="35" t="s">
        <v>37</v>
      </c>
      <c r="F150" s="35" t="s">
        <v>38</v>
      </c>
      <c r="G150" s="35" t="s">
        <v>40</v>
      </c>
      <c r="H150" s="35" t="s">
        <v>39</v>
      </c>
      <c r="I150" s="35" t="s">
        <v>41</v>
      </c>
      <c r="J150" s="35" t="s">
        <v>42</v>
      </c>
      <c r="K150" s="35" t="s">
        <v>43</v>
      </c>
      <c r="L150" s="35" t="s">
        <v>44</v>
      </c>
      <c r="M150" s="35" t="s">
        <v>45</v>
      </c>
      <c r="N150" s="35" t="s">
        <v>46</v>
      </c>
      <c r="O150" s="35" t="s">
        <v>47</v>
      </c>
      <c r="P150" s="35" t="s">
        <v>48</v>
      </c>
      <c r="Q150" s="35" t="s">
        <v>49</v>
      </c>
      <c r="R150" s="35" t="s">
        <v>50</v>
      </c>
      <c r="S150" s="35" t="s">
        <v>51</v>
      </c>
      <c r="T150" s="35" t="s">
        <v>52</v>
      </c>
      <c r="U150" s="35" t="s">
        <v>53</v>
      </c>
      <c r="V150" s="35" t="s">
        <v>54</v>
      </c>
      <c r="W150" s="35" t="s">
        <v>55</v>
      </c>
    </row>
    <row r="151" spans="1:23" hidden="1" outlineLevel="1" x14ac:dyDescent="0.3">
      <c r="A151" s="13" t="s">
        <v>79</v>
      </c>
      <c r="B151" s="8">
        <f>SUMIFS('HOJAS DE HORA PROY.'!$F$2:$F$943,'HOJAS DE HORA PROY.'!$A$2:$A$943,'PLAN MAESTRO FINAL'!$A151,'HOJAS DE HORA PROY.'!$M$2:$M$943,B$113)</f>
        <v>0</v>
      </c>
      <c r="C151" s="8">
        <f>SUMIFS('HOJAS DE HORA PROY.'!$F$2:$F$943,'HOJAS DE HORA PROY.'!$A$2:$A$943,'PLAN MAESTRO FINAL'!$A151,'HOJAS DE HORA PROY.'!$M$2:$M$943,C$113)</f>
        <v>0</v>
      </c>
      <c r="D151" s="8">
        <f>SUMIFS('HOJAS DE HORA PROY.'!$F$2:$F$943,'HOJAS DE HORA PROY.'!$A$2:$A$943,'PLAN MAESTRO FINAL'!$A151,'HOJAS DE HORA PROY.'!$M$2:$M$943,D$113)</f>
        <v>0</v>
      </c>
      <c r="E151" s="8">
        <f>SUMIFS('HOJAS DE HORA PROY.'!$F$2:$F$943,'HOJAS DE HORA PROY.'!$A$2:$A$943,'PLAN MAESTRO FINAL'!$A151,'HOJAS DE HORA PROY.'!$M$2:$M$943,E$113)</f>
        <v>0</v>
      </c>
      <c r="F151" s="8">
        <f>SUMIFS('HOJAS DE HORA PROY.'!$F$2:$F$943,'HOJAS DE HORA PROY.'!$A$2:$A$943,'PLAN MAESTRO FINAL'!$A151,'HOJAS DE HORA PROY.'!$M$2:$M$943,F$113)</f>
        <v>0</v>
      </c>
      <c r="G151" s="8">
        <f>SUMIFS('HOJAS DE HORA PROY.'!$F$2:$F$943,'HOJAS DE HORA PROY.'!$A$2:$A$943,'PLAN MAESTRO FINAL'!$A151,'HOJAS DE HORA PROY.'!$M$2:$M$943,G$113)</f>
        <v>0</v>
      </c>
      <c r="H151" s="8">
        <f>SUMIFS('HOJAS DE HORA PROY.'!$F$2:$F$943,'HOJAS DE HORA PROY.'!$A$2:$A$943,'PLAN MAESTRO FINAL'!$A151,'HOJAS DE HORA PROY.'!$M$2:$M$943,H$113)</f>
        <v>0</v>
      </c>
      <c r="I151" s="8">
        <f>SUMIFS('HOJAS DE HORA PROY.'!$F$2:$F$943,'HOJAS DE HORA PROY.'!$A$2:$A$943,'PLAN MAESTRO FINAL'!$A151,'HOJAS DE HORA PROY.'!$M$2:$M$943,I$113)</f>
        <v>0</v>
      </c>
      <c r="J151" s="8">
        <f>SUMIFS('HOJAS DE HORA PROY.'!$F$2:$F$943,'HOJAS DE HORA PROY.'!$A$2:$A$943,'PLAN MAESTRO FINAL'!$A151,'HOJAS DE HORA PROY.'!$M$2:$M$943,J$113)</f>
        <v>0</v>
      </c>
      <c r="K151" s="8">
        <f>SUMIFS('HOJAS DE HORA PROY.'!$F$2:$F$943,'HOJAS DE HORA PROY.'!$A$2:$A$943,'PLAN MAESTRO FINAL'!$A151,'HOJAS DE HORA PROY.'!$M$2:$M$943,K$113)</f>
        <v>0</v>
      </c>
      <c r="L151" s="8">
        <f>SUMIFS('HOJAS DE HORA PROY.'!$F$2:$F$943,'HOJAS DE HORA PROY.'!$A$2:$A$943,'PLAN MAESTRO FINAL'!$A151,'HOJAS DE HORA PROY.'!$M$2:$M$943,L$113)</f>
        <v>0</v>
      </c>
      <c r="M151" s="8">
        <f>SUMIFS('HOJAS DE HORA PROY.'!$F$2:$F$943,'HOJAS DE HORA PROY.'!$A$2:$A$943,'PLAN MAESTRO FINAL'!$A151,'HOJAS DE HORA PROY.'!$M$2:$M$943,M$113)</f>
        <v>0</v>
      </c>
      <c r="N151" s="8">
        <f>SUMIFS('HOJAS DE HORA PROY.'!$F$2:$F$943,'HOJAS DE HORA PROY.'!$A$2:$A$943,'PLAN MAESTRO FINAL'!$A151,'HOJAS DE HORA PROY.'!$M$2:$M$943,N$113)</f>
        <v>0</v>
      </c>
      <c r="O151" s="8">
        <f>SUMIFS('HOJAS DE HORA PROY.'!$F$2:$F$943,'HOJAS DE HORA PROY.'!$A$2:$A$943,'PLAN MAESTRO FINAL'!$A151,'HOJAS DE HORA PROY.'!$M$2:$M$943,O$113)</f>
        <v>0</v>
      </c>
      <c r="P151" s="8">
        <f>SUMIFS('HOJAS DE HORA PROY.'!$F$2:$F$943,'HOJAS DE HORA PROY.'!$A$2:$A$943,'PLAN MAESTRO FINAL'!$A151,'HOJAS DE HORA PROY.'!$M$2:$M$943,P$113)</f>
        <v>0</v>
      </c>
      <c r="Q151" s="8">
        <f>SUMIFS('HOJAS DE HORA PROY.'!$F$2:$F$943,'HOJAS DE HORA PROY.'!$A$2:$A$943,'PLAN MAESTRO FINAL'!$A151,'HOJAS DE HORA PROY.'!$M$2:$M$943,Q$113)</f>
        <v>0</v>
      </c>
      <c r="R151" s="8">
        <f>SUMIFS('HOJAS DE HORA PROY.'!$F$2:$F$943,'HOJAS DE HORA PROY.'!$A$2:$A$943,'PLAN MAESTRO FINAL'!$A151,'HOJAS DE HORA PROY.'!$M$2:$M$943,R$113)</f>
        <v>0</v>
      </c>
      <c r="S151" s="8">
        <f>SUMIFS('HOJAS DE HORA PROY.'!$F$2:$F$943,'HOJAS DE HORA PROY.'!$A$2:$A$943,'PLAN MAESTRO FINAL'!$A151,'HOJAS DE HORA PROY.'!$M$2:$M$943,S$113)</f>
        <v>0</v>
      </c>
      <c r="T151" s="8">
        <f>SUMIFS('HOJAS DE HORA PROY.'!$F$2:$F$943,'HOJAS DE HORA PROY.'!$A$2:$A$943,'PLAN MAESTRO FINAL'!$A151,'HOJAS DE HORA PROY.'!$M$2:$M$943,T$113)</f>
        <v>0</v>
      </c>
      <c r="U151" s="8">
        <f>SUMIFS('HOJAS DE HORA PROY.'!$F$2:$F$943,'HOJAS DE HORA PROY.'!$A$2:$A$943,'PLAN MAESTRO FINAL'!$A151,'HOJAS DE HORA PROY.'!$M$2:$M$943,U$113)</f>
        <v>0</v>
      </c>
      <c r="V151" s="8">
        <f>SUMIFS('HOJAS DE HORA PROY.'!$F$2:$F$943,'HOJAS DE HORA PROY.'!$A$2:$A$943,'PLAN MAESTRO FINAL'!$A151,'HOJAS DE HORA PROY.'!$M$2:$M$943,V$113)</f>
        <v>0</v>
      </c>
      <c r="W151" s="8">
        <f>SUMIFS('HOJAS DE HORA PROY.'!$F$2:$F$943,'HOJAS DE HORA PROY.'!$A$2:$A$943,'PLAN MAESTRO FINAL'!$A151,'HOJAS DE HORA PROY.'!$M$2:$M$943,W$113)</f>
        <v>0</v>
      </c>
    </row>
    <row r="152" spans="1:23" hidden="1" outlineLevel="1" x14ac:dyDescent="0.3">
      <c r="A152" s="13" t="s">
        <v>85</v>
      </c>
      <c r="B152" s="8">
        <f>SUMIFS('HOJAS DE HORA PROY.'!$F$2:$F$943,'HOJAS DE HORA PROY.'!$A$2:$A$943,'PLAN MAESTRO FINAL'!$A152,'HOJAS DE HORA PROY.'!$M$2:$M$943,B$113)</f>
        <v>0</v>
      </c>
      <c r="C152" s="8">
        <f>SUMIFS('HOJAS DE HORA PROY.'!$F$2:$F$943,'HOJAS DE HORA PROY.'!$A$2:$A$943,'PLAN MAESTRO FINAL'!$A152,'HOJAS DE HORA PROY.'!$M$2:$M$943,C$113)</f>
        <v>0</v>
      </c>
      <c r="D152" s="8">
        <f>SUMIFS('HOJAS DE HORA PROY.'!$F$2:$F$943,'HOJAS DE HORA PROY.'!$A$2:$A$943,'PLAN MAESTRO FINAL'!$A152,'HOJAS DE HORA PROY.'!$M$2:$M$943,D$113)</f>
        <v>0</v>
      </c>
      <c r="E152" s="8">
        <f>SUMIFS('HOJAS DE HORA PROY.'!$F$2:$F$943,'HOJAS DE HORA PROY.'!$A$2:$A$943,'PLAN MAESTRO FINAL'!$A152,'HOJAS DE HORA PROY.'!$M$2:$M$943,E$113)</f>
        <v>0</v>
      </c>
      <c r="F152" s="8">
        <f>SUMIFS('HOJAS DE HORA PROY.'!$F$2:$F$943,'HOJAS DE HORA PROY.'!$A$2:$A$943,'PLAN MAESTRO FINAL'!$A152,'HOJAS DE HORA PROY.'!$M$2:$M$943,F$113)</f>
        <v>0</v>
      </c>
      <c r="G152" s="8">
        <f>SUMIFS('HOJAS DE HORA PROY.'!$F$2:$F$943,'HOJAS DE HORA PROY.'!$A$2:$A$943,'PLAN MAESTRO FINAL'!$A152,'HOJAS DE HORA PROY.'!$M$2:$M$943,G$113)</f>
        <v>5</v>
      </c>
      <c r="H152" s="8">
        <f>SUMIFS('HOJAS DE HORA PROY.'!$F$2:$F$943,'HOJAS DE HORA PROY.'!$A$2:$A$943,'PLAN MAESTRO FINAL'!$A152,'HOJAS DE HORA PROY.'!$M$2:$M$943,H$113)</f>
        <v>0</v>
      </c>
      <c r="I152" s="8">
        <f>SUMIFS('HOJAS DE HORA PROY.'!$F$2:$F$943,'HOJAS DE HORA PROY.'!$A$2:$A$943,'PLAN MAESTRO FINAL'!$A152,'HOJAS DE HORA PROY.'!$M$2:$M$943,I$113)</f>
        <v>0</v>
      </c>
      <c r="J152" s="8">
        <f>SUMIFS('HOJAS DE HORA PROY.'!$F$2:$F$943,'HOJAS DE HORA PROY.'!$A$2:$A$943,'PLAN MAESTRO FINAL'!$A152,'HOJAS DE HORA PROY.'!$M$2:$M$943,J$113)</f>
        <v>0</v>
      </c>
      <c r="K152" s="8">
        <f>SUMIFS('HOJAS DE HORA PROY.'!$F$2:$F$943,'HOJAS DE HORA PROY.'!$A$2:$A$943,'PLAN MAESTRO FINAL'!$A152,'HOJAS DE HORA PROY.'!$M$2:$M$943,K$113)</f>
        <v>5</v>
      </c>
      <c r="L152" s="8">
        <f>SUMIFS('HOJAS DE HORA PROY.'!$F$2:$F$943,'HOJAS DE HORA PROY.'!$A$2:$A$943,'PLAN MAESTRO FINAL'!$A152,'HOJAS DE HORA PROY.'!$M$2:$M$943,L$113)</f>
        <v>0</v>
      </c>
      <c r="M152" s="8">
        <f>SUMIFS('HOJAS DE HORA PROY.'!$F$2:$F$943,'HOJAS DE HORA PROY.'!$A$2:$A$943,'PLAN MAESTRO FINAL'!$A152,'HOJAS DE HORA PROY.'!$M$2:$M$943,M$113)</f>
        <v>0</v>
      </c>
      <c r="N152" s="8">
        <f>SUMIFS('HOJAS DE HORA PROY.'!$F$2:$F$943,'HOJAS DE HORA PROY.'!$A$2:$A$943,'PLAN MAESTRO FINAL'!$A152,'HOJAS DE HORA PROY.'!$M$2:$M$943,N$113)</f>
        <v>0</v>
      </c>
      <c r="O152" s="8">
        <f>SUMIFS('HOJAS DE HORA PROY.'!$F$2:$F$943,'HOJAS DE HORA PROY.'!$A$2:$A$943,'PLAN MAESTRO FINAL'!$A152,'HOJAS DE HORA PROY.'!$M$2:$M$943,O$113)</f>
        <v>0</v>
      </c>
      <c r="P152" s="8">
        <f>SUMIFS('HOJAS DE HORA PROY.'!$F$2:$F$943,'HOJAS DE HORA PROY.'!$A$2:$A$943,'PLAN MAESTRO FINAL'!$A152,'HOJAS DE HORA PROY.'!$M$2:$M$943,P$113)</f>
        <v>0</v>
      </c>
      <c r="Q152" s="8">
        <f>SUMIFS('HOJAS DE HORA PROY.'!$F$2:$F$943,'HOJAS DE HORA PROY.'!$A$2:$A$943,'PLAN MAESTRO FINAL'!$A152,'HOJAS DE HORA PROY.'!$M$2:$M$943,Q$113)</f>
        <v>0</v>
      </c>
      <c r="R152" s="8">
        <f>SUMIFS('HOJAS DE HORA PROY.'!$F$2:$F$943,'HOJAS DE HORA PROY.'!$A$2:$A$943,'PLAN MAESTRO FINAL'!$A152,'HOJAS DE HORA PROY.'!$M$2:$M$943,R$113)</f>
        <v>0</v>
      </c>
      <c r="S152" s="8">
        <f>SUMIFS('HOJAS DE HORA PROY.'!$F$2:$F$943,'HOJAS DE HORA PROY.'!$A$2:$A$943,'PLAN MAESTRO FINAL'!$A152,'HOJAS DE HORA PROY.'!$M$2:$M$943,S$113)</f>
        <v>0</v>
      </c>
      <c r="T152" s="8">
        <f>SUMIFS('HOJAS DE HORA PROY.'!$F$2:$F$943,'HOJAS DE HORA PROY.'!$A$2:$A$943,'PLAN MAESTRO FINAL'!$A152,'HOJAS DE HORA PROY.'!$M$2:$M$943,T$113)</f>
        <v>0</v>
      </c>
      <c r="U152" s="8">
        <f>SUMIFS('HOJAS DE HORA PROY.'!$F$2:$F$943,'HOJAS DE HORA PROY.'!$A$2:$A$943,'PLAN MAESTRO FINAL'!$A152,'HOJAS DE HORA PROY.'!$M$2:$M$943,U$113)</f>
        <v>0</v>
      </c>
      <c r="V152" s="8">
        <f>SUMIFS('HOJAS DE HORA PROY.'!$F$2:$F$943,'HOJAS DE HORA PROY.'!$A$2:$A$943,'PLAN MAESTRO FINAL'!$A152,'HOJAS DE HORA PROY.'!$M$2:$M$943,V$113)</f>
        <v>0</v>
      </c>
      <c r="W152" s="8">
        <f>SUMIFS('HOJAS DE HORA PROY.'!$F$2:$F$943,'HOJAS DE HORA PROY.'!$A$2:$A$943,'PLAN MAESTRO FINAL'!$A152,'HOJAS DE HORA PROY.'!$M$2:$M$943,W$113)</f>
        <v>0</v>
      </c>
    </row>
    <row r="153" spans="1:23" hidden="1" outlineLevel="1" x14ac:dyDescent="0.3">
      <c r="A153" s="13" t="s">
        <v>126</v>
      </c>
      <c r="B153" s="8">
        <f>SUMIFS('HOJAS DE HORA PROY.'!$F$2:$F$943,'HOJAS DE HORA PROY.'!$A$2:$A$943,'PLAN MAESTRO FINAL'!$A153,'HOJAS DE HORA PROY.'!$M$2:$M$943,B$113)</f>
        <v>0</v>
      </c>
      <c r="C153" s="8">
        <f>SUMIFS('HOJAS DE HORA PROY.'!$F$2:$F$943,'HOJAS DE HORA PROY.'!$A$2:$A$943,'PLAN MAESTRO FINAL'!$A153,'HOJAS DE HORA PROY.'!$M$2:$M$943,C$113)</f>
        <v>0</v>
      </c>
      <c r="D153" s="8">
        <f>SUMIFS('HOJAS DE HORA PROY.'!$F$2:$F$943,'HOJAS DE HORA PROY.'!$A$2:$A$943,'PLAN MAESTRO FINAL'!$A153,'HOJAS DE HORA PROY.'!$M$2:$M$943,D$113)</f>
        <v>0</v>
      </c>
      <c r="E153" s="8">
        <f>SUMIFS('HOJAS DE HORA PROY.'!$F$2:$F$943,'HOJAS DE HORA PROY.'!$A$2:$A$943,'PLAN MAESTRO FINAL'!$A153,'HOJAS DE HORA PROY.'!$M$2:$M$943,E$113)</f>
        <v>0</v>
      </c>
      <c r="F153" s="8">
        <f>SUMIFS('HOJAS DE HORA PROY.'!$F$2:$F$943,'HOJAS DE HORA PROY.'!$A$2:$A$943,'PLAN MAESTRO FINAL'!$A153,'HOJAS DE HORA PROY.'!$M$2:$M$943,F$113)</f>
        <v>0</v>
      </c>
      <c r="G153" s="8">
        <f>SUMIFS('HOJAS DE HORA PROY.'!$F$2:$F$943,'HOJAS DE HORA PROY.'!$A$2:$A$943,'PLAN MAESTRO FINAL'!$A153,'HOJAS DE HORA PROY.'!$M$2:$M$943,G$113)</f>
        <v>0</v>
      </c>
      <c r="H153" s="8">
        <f>SUMIFS('HOJAS DE HORA PROY.'!$F$2:$F$943,'HOJAS DE HORA PROY.'!$A$2:$A$943,'PLAN MAESTRO FINAL'!$A153,'HOJAS DE HORA PROY.'!$M$2:$M$943,H$113)</f>
        <v>0</v>
      </c>
      <c r="I153" s="8">
        <f>SUMIFS('HOJAS DE HORA PROY.'!$F$2:$F$943,'HOJAS DE HORA PROY.'!$A$2:$A$943,'PLAN MAESTRO FINAL'!$A153,'HOJAS DE HORA PROY.'!$M$2:$M$943,I$113)</f>
        <v>0</v>
      </c>
      <c r="J153" s="8">
        <f>SUMIFS('HOJAS DE HORA PROY.'!$F$2:$F$943,'HOJAS DE HORA PROY.'!$A$2:$A$943,'PLAN MAESTRO FINAL'!$A153,'HOJAS DE HORA PROY.'!$M$2:$M$943,J$113)</f>
        <v>0</v>
      </c>
      <c r="K153" s="8">
        <f>SUMIFS('HOJAS DE HORA PROY.'!$F$2:$F$943,'HOJAS DE HORA PROY.'!$A$2:$A$943,'PLAN MAESTRO FINAL'!$A153,'HOJAS DE HORA PROY.'!$M$2:$M$943,K$113)</f>
        <v>0</v>
      </c>
      <c r="L153" s="8">
        <f>SUMIFS('HOJAS DE HORA PROY.'!$F$2:$F$943,'HOJAS DE HORA PROY.'!$A$2:$A$943,'PLAN MAESTRO FINAL'!$A153,'HOJAS DE HORA PROY.'!$M$2:$M$943,L$113)</f>
        <v>0</v>
      </c>
      <c r="M153" s="8">
        <f>SUMIFS('HOJAS DE HORA PROY.'!$F$2:$F$943,'HOJAS DE HORA PROY.'!$A$2:$A$943,'PLAN MAESTRO FINAL'!$A153,'HOJAS DE HORA PROY.'!$M$2:$M$943,M$113)</f>
        <v>0</v>
      </c>
      <c r="N153" s="8">
        <f>SUMIFS('HOJAS DE HORA PROY.'!$F$2:$F$943,'HOJAS DE HORA PROY.'!$A$2:$A$943,'PLAN MAESTRO FINAL'!$A153,'HOJAS DE HORA PROY.'!$M$2:$M$943,N$113)</f>
        <v>0</v>
      </c>
      <c r="O153" s="8">
        <f>SUMIFS('HOJAS DE HORA PROY.'!$F$2:$F$943,'HOJAS DE HORA PROY.'!$A$2:$A$943,'PLAN MAESTRO FINAL'!$A153,'HOJAS DE HORA PROY.'!$M$2:$M$943,O$113)</f>
        <v>0</v>
      </c>
      <c r="P153" s="8">
        <f>SUMIFS('HOJAS DE HORA PROY.'!$F$2:$F$943,'HOJAS DE HORA PROY.'!$A$2:$A$943,'PLAN MAESTRO FINAL'!$A153,'HOJAS DE HORA PROY.'!$M$2:$M$943,P$113)</f>
        <v>0</v>
      </c>
      <c r="Q153" s="8">
        <f>SUMIFS('HOJAS DE HORA PROY.'!$F$2:$F$943,'HOJAS DE HORA PROY.'!$A$2:$A$943,'PLAN MAESTRO FINAL'!$A153,'HOJAS DE HORA PROY.'!$M$2:$M$943,Q$113)</f>
        <v>0</v>
      </c>
      <c r="R153" s="8">
        <f>SUMIFS('HOJAS DE HORA PROY.'!$F$2:$F$943,'HOJAS DE HORA PROY.'!$A$2:$A$943,'PLAN MAESTRO FINAL'!$A153,'HOJAS DE HORA PROY.'!$M$2:$M$943,R$113)</f>
        <v>0</v>
      </c>
      <c r="S153" s="8">
        <f>SUMIFS('HOJAS DE HORA PROY.'!$F$2:$F$943,'HOJAS DE HORA PROY.'!$A$2:$A$943,'PLAN MAESTRO FINAL'!$A153,'HOJAS DE HORA PROY.'!$M$2:$M$943,S$113)</f>
        <v>0</v>
      </c>
      <c r="T153" s="8">
        <f>SUMIFS('HOJAS DE HORA PROY.'!$F$2:$F$943,'HOJAS DE HORA PROY.'!$A$2:$A$943,'PLAN MAESTRO FINAL'!$A153,'HOJAS DE HORA PROY.'!$M$2:$M$943,T$113)</f>
        <v>0</v>
      </c>
      <c r="U153" s="8">
        <f>SUMIFS('HOJAS DE HORA PROY.'!$F$2:$F$943,'HOJAS DE HORA PROY.'!$A$2:$A$943,'PLAN MAESTRO FINAL'!$A153,'HOJAS DE HORA PROY.'!$M$2:$M$943,U$113)</f>
        <v>0</v>
      </c>
      <c r="V153" s="8">
        <f>SUMIFS('HOJAS DE HORA PROY.'!$F$2:$F$943,'HOJAS DE HORA PROY.'!$A$2:$A$943,'PLAN MAESTRO FINAL'!$A153,'HOJAS DE HORA PROY.'!$M$2:$M$943,V$113)</f>
        <v>0</v>
      </c>
      <c r="W153" s="8">
        <f>SUMIFS('HOJAS DE HORA PROY.'!$F$2:$F$943,'HOJAS DE HORA PROY.'!$A$2:$A$943,'PLAN MAESTRO FINAL'!$A153,'HOJAS DE HORA PROY.'!$M$2:$M$943,W$113)</f>
        <v>0</v>
      </c>
    </row>
    <row r="154" spans="1:23" hidden="1" outlineLevel="1" x14ac:dyDescent="0.3">
      <c r="A154" s="13" t="s">
        <v>132</v>
      </c>
      <c r="B154" s="8">
        <f>SUMIFS('HOJAS DE HORA PROY.'!$F$2:$F$943,'HOJAS DE HORA PROY.'!$A$2:$A$943,'PLAN MAESTRO FINAL'!$A154,'HOJAS DE HORA PROY.'!$M$2:$M$943,B$113)</f>
        <v>0</v>
      </c>
      <c r="C154" s="8">
        <f>SUMIFS('HOJAS DE HORA PROY.'!$F$2:$F$943,'HOJAS DE HORA PROY.'!$A$2:$A$943,'PLAN MAESTRO FINAL'!$A154,'HOJAS DE HORA PROY.'!$M$2:$M$943,C$113)</f>
        <v>0</v>
      </c>
      <c r="D154" s="8">
        <f>SUMIFS('HOJAS DE HORA PROY.'!$F$2:$F$943,'HOJAS DE HORA PROY.'!$A$2:$A$943,'PLAN MAESTRO FINAL'!$A154,'HOJAS DE HORA PROY.'!$M$2:$M$943,D$113)</f>
        <v>0</v>
      </c>
      <c r="E154" s="8">
        <f>SUMIFS('HOJAS DE HORA PROY.'!$F$2:$F$943,'HOJAS DE HORA PROY.'!$A$2:$A$943,'PLAN MAESTRO FINAL'!$A154,'HOJAS DE HORA PROY.'!$M$2:$M$943,E$113)</f>
        <v>0</v>
      </c>
      <c r="F154" s="8">
        <f>SUMIFS('HOJAS DE HORA PROY.'!$F$2:$F$943,'HOJAS DE HORA PROY.'!$A$2:$A$943,'PLAN MAESTRO FINAL'!$A154,'HOJAS DE HORA PROY.'!$M$2:$M$943,F$113)</f>
        <v>0</v>
      </c>
      <c r="G154" s="8">
        <f>SUMIFS('HOJAS DE HORA PROY.'!$F$2:$F$943,'HOJAS DE HORA PROY.'!$A$2:$A$943,'PLAN MAESTRO FINAL'!$A154,'HOJAS DE HORA PROY.'!$M$2:$M$943,G$113)</f>
        <v>0</v>
      </c>
      <c r="H154" s="8">
        <f>SUMIFS('HOJAS DE HORA PROY.'!$F$2:$F$943,'HOJAS DE HORA PROY.'!$A$2:$A$943,'PLAN MAESTRO FINAL'!$A154,'HOJAS DE HORA PROY.'!$M$2:$M$943,H$113)</f>
        <v>0</v>
      </c>
      <c r="I154" s="8">
        <f>SUMIFS('HOJAS DE HORA PROY.'!$F$2:$F$943,'HOJAS DE HORA PROY.'!$A$2:$A$943,'PLAN MAESTRO FINAL'!$A154,'HOJAS DE HORA PROY.'!$M$2:$M$943,I$113)</f>
        <v>0</v>
      </c>
      <c r="J154" s="8">
        <f>SUMIFS('HOJAS DE HORA PROY.'!$F$2:$F$943,'HOJAS DE HORA PROY.'!$A$2:$A$943,'PLAN MAESTRO FINAL'!$A154,'HOJAS DE HORA PROY.'!$M$2:$M$943,J$113)</f>
        <v>0</v>
      </c>
      <c r="K154" s="8">
        <f>SUMIFS('HOJAS DE HORA PROY.'!$F$2:$F$943,'HOJAS DE HORA PROY.'!$A$2:$A$943,'PLAN MAESTRO FINAL'!$A154,'HOJAS DE HORA PROY.'!$M$2:$M$943,K$113)</f>
        <v>0</v>
      </c>
      <c r="L154" s="8">
        <f>SUMIFS('HOJAS DE HORA PROY.'!$F$2:$F$943,'HOJAS DE HORA PROY.'!$A$2:$A$943,'PLAN MAESTRO FINAL'!$A154,'HOJAS DE HORA PROY.'!$M$2:$M$943,L$113)</f>
        <v>0</v>
      </c>
      <c r="M154" s="8">
        <f>SUMIFS('HOJAS DE HORA PROY.'!$F$2:$F$943,'HOJAS DE HORA PROY.'!$A$2:$A$943,'PLAN MAESTRO FINAL'!$A154,'HOJAS DE HORA PROY.'!$M$2:$M$943,M$113)</f>
        <v>0</v>
      </c>
      <c r="N154" s="8">
        <f>SUMIFS('HOJAS DE HORA PROY.'!$F$2:$F$943,'HOJAS DE HORA PROY.'!$A$2:$A$943,'PLAN MAESTRO FINAL'!$A154,'HOJAS DE HORA PROY.'!$M$2:$M$943,N$113)</f>
        <v>0</v>
      </c>
      <c r="O154" s="8">
        <f>SUMIFS('HOJAS DE HORA PROY.'!$F$2:$F$943,'HOJAS DE HORA PROY.'!$A$2:$A$943,'PLAN MAESTRO FINAL'!$A154,'HOJAS DE HORA PROY.'!$M$2:$M$943,O$113)</f>
        <v>0</v>
      </c>
      <c r="P154" s="8">
        <f>SUMIFS('HOJAS DE HORA PROY.'!$F$2:$F$943,'HOJAS DE HORA PROY.'!$A$2:$A$943,'PLAN MAESTRO FINAL'!$A154,'HOJAS DE HORA PROY.'!$M$2:$M$943,P$113)</f>
        <v>0</v>
      </c>
      <c r="Q154" s="8">
        <f>SUMIFS('HOJAS DE HORA PROY.'!$F$2:$F$943,'HOJAS DE HORA PROY.'!$A$2:$A$943,'PLAN MAESTRO FINAL'!$A154,'HOJAS DE HORA PROY.'!$M$2:$M$943,Q$113)</f>
        <v>0</v>
      </c>
      <c r="R154" s="8">
        <f>SUMIFS('HOJAS DE HORA PROY.'!$F$2:$F$943,'HOJAS DE HORA PROY.'!$A$2:$A$943,'PLAN MAESTRO FINAL'!$A154,'HOJAS DE HORA PROY.'!$M$2:$M$943,R$113)</f>
        <v>0</v>
      </c>
      <c r="S154" s="8">
        <f>SUMIFS('HOJAS DE HORA PROY.'!$F$2:$F$943,'HOJAS DE HORA PROY.'!$A$2:$A$943,'PLAN MAESTRO FINAL'!$A154,'HOJAS DE HORA PROY.'!$M$2:$M$943,S$113)</f>
        <v>0</v>
      </c>
      <c r="T154" s="8">
        <f>SUMIFS('HOJAS DE HORA PROY.'!$F$2:$F$943,'HOJAS DE HORA PROY.'!$A$2:$A$943,'PLAN MAESTRO FINAL'!$A154,'HOJAS DE HORA PROY.'!$M$2:$M$943,T$113)</f>
        <v>0</v>
      </c>
      <c r="U154" s="8">
        <f>SUMIFS('HOJAS DE HORA PROY.'!$F$2:$F$943,'HOJAS DE HORA PROY.'!$A$2:$A$943,'PLAN MAESTRO FINAL'!$A154,'HOJAS DE HORA PROY.'!$M$2:$M$943,U$113)</f>
        <v>0</v>
      </c>
      <c r="V154" s="8">
        <f>SUMIFS('HOJAS DE HORA PROY.'!$F$2:$F$943,'HOJAS DE HORA PROY.'!$A$2:$A$943,'PLAN MAESTRO FINAL'!$A154,'HOJAS DE HORA PROY.'!$M$2:$M$943,V$113)</f>
        <v>0</v>
      </c>
      <c r="W154" s="8">
        <f>SUMIFS('HOJAS DE HORA PROY.'!$F$2:$F$943,'HOJAS DE HORA PROY.'!$A$2:$A$943,'PLAN MAESTRO FINAL'!$A154,'HOJAS DE HORA PROY.'!$M$2:$M$943,W$113)</f>
        <v>0</v>
      </c>
    </row>
    <row r="155" spans="1:23" hidden="1" outlineLevel="1" x14ac:dyDescent="0.3">
      <c r="A155" s="13" t="s">
        <v>141</v>
      </c>
      <c r="B155" s="8">
        <f>SUMIFS('HOJAS DE HORA PROY.'!$F$2:$F$943,'HOJAS DE HORA PROY.'!$A$2:$A$943,'PLAN MAESTRO FINAL'!$A155,'HOJAS DE HORA PROY.'!$M$2:$M$943,B$113)</f>
        <v>0</v>
      </c>
      <c r="C155" s="8">
        <f>SUMIFS('HOJAS DE HORA PROY.'!$F$2:$F$943,'HOJAS DE HORA PROY.'!$A$2:$A$943,'PLAN MAESTRO FINAL'!$A155,'HOJAS DE HORA PROY.'!$M$2:$M$943,C$113)</f>
        <v>0</v>
      </c>
      <c r="D155" s="8">
        <f>SUMIFS('HOJAS DE HORA PROY.'!$F$2:$F$943,'HOJAS DE HORA PROY.'!$A$2:$A$943,'PLAN MAESTRO FINAL'!$A155,'HOJAS DE HORA PROY.'!$M$2:$M$943,D$113)</f>
        <v>0</v>
      </c>
      <c r="E155" s="8">
        <f>SUMIFS('HOJAS DE HORA PROY.'!$F$2:$F$943,'HOJAS DE HORA PROY.'!$A$2:$A$943,'PLAN MAESTRO FINAL'!$A155,'HOJAS DE HORA PROY.'!$M$2:$M$943,E$113)</f>
        <v>0</v>
      </c>
      <c r="F155" s="8">
        <f>SUMIFS('HOJAS DE HORA PROY.'!$F$2:$F$943,'HOJAS DE HORA PROY.'!$A$2:$A$943,'PLAN MAESTRO FINAL'!$A155,'HOJAS DE HORA PROY.'!$M$2:$M$943,F$113)</f>
        <v>0</v>
      </c>
      <c r="G155" s="8">
        <f>SUMIFS('HOJAS DE HORA PROY.'!$F$2:$F$943,'HOJAS DE HORA PROY.'!$A$2:$A$943,'PLAN MAESTRO FINAL'!$A155,'HOJAS DE HORA PROY.'!$M$2:$M$943,G$113)</f>
        <v>0</v>
      </c>
      <c r="H155" s="8">
        <f>SUMIFS('HOJAS DE HORA PROY.'!$F$2:$F$943,'HOJAS DE HORA PROY.'!$A$2:$A$943,'PLAN MAESTRO FINAL'!$A155,'HOJAS DE HORA PROY.'!$M$2:$M$943,H$113)</f>
        <v>0</v>
      </c>
      <c r="I155" s="8">
        <f>SUMIFS('HOJAS DE HORA PROY.'!$F$2:$F$943,'HOJAS DE HORA PROY.'!$A$2:$A$943,'PLAN MAESTRO FINAL'!$A155,'HOJAS DE HORA PROY.'!$M$2:$M$943,I$113)</f>
        <v>0</v>
      </c>
      <c r="J155" s="8">
        <f>SUMIFS('HOJAS DE HORA PROY.'!$F$2:$F$943,'HOJAS DE HORA PROY.'!$A$2:$A$943,'PLAN MAESTRO FINAL'!$A155,'HOJAS DE HORA PROY.'!$M$2:$M$943,J$113)</f>
        <v>0</v>
      </c>
      <c r="K155" s="8">
        <f>SUMIFS('HOJAS DE HORA PROY.'!$F$2:$F$943,'HOJAS DE HORA PROY.'!$A$2:$A$943,'PLAN MAESTRO FINAL'!$A155,'HOJAS DE HORA PROY.'!$M$2:$M$943,K$113)</f>
        <v>0</v>
      </c>
      <c r="L155" s="8">
        <f>SUMIFS('HOJAS DE HORA PROY.'!$F$2:$F$943,'HOJAS DE HORA PROY.'!$A$2:$A$943,'PLAN MAESTRO FINAL'!$A155,'HOJAS DE HORA PROY.'!$M$2:$M$943,L$113)</f>
        <v>0</v>
      </c>
      <c r="M155" s="8">
        <f>SUMIFS('HOJAS DE HORA PROY.'!$F$2:$F$943,'HOJAS DE HORA PROY.'!$A$2:$A$943,'PLAN MAESTRO FINAL'!$A155,'HOJAS DE HORA PROY.'!$M$2:$M$943,M$113)</f>
        <v>0</v>
      </c>
      <c r="N155" s="8">
        <f>SUMIFS('HOJAS DE HORA PROY.'!$F$2:$F$943,'HOJAS DE HORA PROY.'!$A$2:$A$943,'PLAN MAESTRO FINAL'!$A155,'HOJAS DE HORA PROY.'!$M$2:$M$943,N$113)</f>
        <v>0</v>
      </c>
      <c r="O155" s="8">
        <f>SUMIFS('HOJAS DE HORA PROY.'!$F$2:$F$943,'HOJAS DE HORA PROY.'!$A$2:$A$943,'PLAN MAESTRO FINAL'!$A155,'HOJAS DE HORA PROY.'!$M$2:$M$943,O$113)</f>
        <v>0</v>
      </c>
      <c r="P155" s="8">
        <f>SUMIFS('HOJAS DE HORA PROY.'!$F$2:$F$943,'HOJAS DE HORA PROY.'!$A$2:$A$943,'PLAN MAESTRO FINAL'!$A155,'HOJAS DE HORA PROY.'!$M$2:$M$943,P$113)</f>
        <v>0</v>
      </c>
      <c r="Q155" s="8">
        <f>SUMIFS('HOJAS DE HORA PROY.'!$F$2:$F$943,'HOJAS DE HORA PROY.'!$A$2:$A$943,'PLAN MAESTRO FINAL'!$A155,'HOJAS DE HORA PROY.'!$M$2:$M$943,Q$113)</f>
        <v>0</v>
      </c>
      <c r="R155" s="8">
        <f>SUMIFS('HOJAS DE HORA PROY.'!$F$2:$F$943,'HOJAS DE HORA PROY.'!$A$2:$A$943,'PLAN MAESTRO FINAL'!$A155,'HOJAS DE HORA PROY.'!$M$2:$M$943,R$113)</f>
        <v>0</v>
      </c>
      <c r="S155" s="8">
        <f>SUMIFS('HOJAS DE HORA PROY.'!$F$2:$F$943,'HOJAS DE HORA PROY.'!$A$2:$A$943,'PLAN MAESTRO FINAL'!$A155,'HOJAS DE HORA PROY.'!$M$2:$M$943,S$113)</f>
        <v>0</v>
      </c>
      <c r="T155" s="8">
        <f>SUMIFS('HOJAS DE HORA PROY.'!$F$2:$F$943,'HOJAS DE HORA PROY.'!$A$2:$A$943,'PLAN MAESTRO FINAL'!$A155,'HOJAS DE HORA PROY.'!$M$2:$M$943,T$113)</f>
        <v>0</v>
      </c>
      <c r="U155" s="8">
        <f>SUMIFS('HOJAS DE HORA PROY.'!$F$2:$F$943,'HOJAS DE HORA PROY.'!$A$2:$A$943,'PLAN MAESTRO FINAL'!$A155,'HOJAS DE HORA PROY.'!$M$2:$M$943,U$113)</f>
        <v>0</v>
      </c>
      <c r="V155" s="8">
        <f>SUMIFS('HOJAS DE HORA PROY.'!$F$2:$F$943,'HOJAS DE HORA PROY.'!$A$2:$A$943,'PLAN MAESTRO FINAL'!$A155,'HOJAS DE HORA PROY.'!$M$2:$M$943,V$113)</f>
        <v>0</v>
      </c>
      <c r="W155" s="8">
        <f>SUMIFS('HOJAS DE HORA PROY.'!$F$2:$F$943,'HOJAS DE HORA PROY.'!$A$2:$A$943,'PLAN MAESTRO FINAL'!$A155,'HOJAS DE HORA PROY.'!$M$2:$M$943,W$113)</f>
        <v>0</v>
      </c>
    </row>
    <row r="156" spans="1:23" hidden="1" outlineLevel="1" x14ac:dyDescent="0.3">
      <c r="A156" s="13" t="s">
        <v>161</v>
      </c>
      <c r="B156" s="8">
        <f>SUMIFS('HOJAS DE HORA PROY.'!$F$2:$F$943,'HOJAS DE HORA PROY.'!$A$2:$A$943,'PLAN MAESTRO FINAL'!$A156,'HOJAS DE HORA PROY.'!$M$2:$M$943,B$113)</f>
        <v>0</v>
      </c>
      <c r="C156" s="8">
        <f>SUMIFS('HOJAS DE HORA PROY.'!$F$2:$F$943,'HOJAS DE HORA PROY.'!$A$2:$A$943,'PLAN MAESTRO FINAL'!$A156,'HOJAS DE HORA PROY.'!$M$2:$M$943,C$113)</f>
        <v>0</v>
      </c>
      <c r="D156" s="8">
        <f>SUMIFS('HOJAS DE HORA PROY.'!$F$2:$F$943,'HOJAS DE HORA PROY.'!$A$2:$A$943,'PLAN MAESTRO FINAL'!$A156,'HOJAS DE HORA PROY.'!$M$2:$M$943,D$113)</f>
        <v>0</v>
      </c>
      <c r="E156" s="8">
        <f>SUMIFS('HOJAS DE HORA PROY.'!$F$2:$F$943,'HOJAS DE HORA PROY.'!$A$2:$A$943,'PLAN MAESTRO FINAL'!$A156,'HOJAS DE HORA PROY.'!$M$2:$M$943,E$113)</f>
        <v>0</v>
      </c>
      <c r="F156" s="8">
        <f>SUMIFS('HOJAS DE HORA PROY.'!$F$2:$F$943,'HOJAS DE HORA PROY.'!$A$2:$A$943,'PLAN MAESTRO FINAL'!$A156,'HOJAS DE HORA PROY.'!$M$2:$M$943,F$113)</f>
        <v>0</v>
      </c>
      <c r="G156" s="8">
        <f>SUMIFS('HOJAS DE HORA PROY.'!$F$2:$F$943,'HOJAS DE HORA PROY.'!$A$2:$A$943,'PLAN MAESTRO FINAL'!$A156,'HOJAS DE HORA PROY.'!$M$2:$M$943,G$113)</f>
        <v>0</v>
      </c>
      <c r="H156" s="8">
        <f>SUMIFS('HOJAS DE HORA PROY.'!$F$2:$F$943,'HOJAS DE HORA PROY.'!$A$2:$A$943,'PLAN MAESTRO FINAL'!$A156,'HOJAS DE HORA PROY.'!$M$2:$M$943,H$113)</f>
        <v>0</v>
      </c>
      <c r="I156" s="8">
        <f>SUMIFS('HOJAS DE HORA PROY.'!$F$2:$F$943,'HOJAS DE HORA PROY.'!$A$2:$A$943,'PLAN MAESTRO FINAL'!$A156,'HOJAS DE HORA PROY.'!$M$2:$M$943,I$113)</f>
        <v>0</v>
      </c>
      <c r="J156" s="8">
        <f>SUMIFS('HOJAS DE HORA PROY.'!$F$2:$F$943,'HOJAS DE HORA PROY.'!$A$2:$A$943,'PLAN MAESTRO FINAL'!$A156,'HOJAS DE HORA PROY.'!$M$2:$M$943,J$113)</f>
        <v>0</v>
      </c>
      <c r="K156" s="8">
        <f>SUMIFS('HOJAS DE HORA PROY.'!$F$2:$F$943,'HOJAS DE HORA PROY.'!$A$2:$A$943,'PLAN MAESTRO FINAL'!$A156,'HOJAS DE HORA PROY.'!$M$2:$M$943,K$113)</f>
        <v>0</v>
      </c>
      <c r="L156" s="8">
        <f>SUMIFS('HOJAS DE HORA PROY.'!$F$2:$F$943,'HOJAS DE HORA PROY.'!$A$2:$A$943,'PLAN MAESTRO FINAL'!$A156,'HOJAS DE HORA PROY.'!$M$2:$M$943,L$113)</f>
        <v>0</v>
      </c>
      <c r="M156" s="8">
        <f>SUMIFS('HOJAS DE HORA PROY.'!$F$2:$F$943,'HOJAS DE HORA PROY.'!$A$2:$A$943,'PLAN MAESTRO FINAL'!$A156,'HOJAS DE HORA PROY.'!$M$2:$M$943,M$113)</f>
        <v>0</v>
      </c>
      <c r="N156" s="8">
        <f>SUMIFS('HOJAS DE HORA PROY.'!$F$2:$F$943,'HOJAS DE HORA PROY.'!$A$2:$A$943,'PLAN MAESTRO FINAL'!$A156,'HOJAS DE HORA PROY.'!$M$2:$M$943,N$113)</f>
        <v>0</v>
      </c>
      <c r="O156" s="8">
        <f>SUMIFS('HOJAS DE HORA PROY.'!$F$2:$F$943,'HOJAS DE HORA PROY.'!$A$2:$A$943,'PLAN MAESTRO FINAL'!$A156,'HOJAS DE HORA PROY.'!$M$2:$M$943,O$113)</f>
        <v>0</v>
      </c>
      <c r="P156" s="8">
        <f>SUMIFS('HOJAS DE HORA PROY.'!$F$2:$F$943,'HOJAS DE HORA PROY.'!$A$2:$A$943,'PLAN MAESTRO FINAL'!$A156,'HOJAS DE HORA PROY.'!$M$2:$M$943,P$113)</f>
        <v>0</v>
      </c>
      <c r="Q156" s="8">
        <f>SUMIFS('HOJAS DE HORA PROY.'!$F$2:$F$943,'HOJAS DE HORA PROY.'!$A$2:$A$943,'PLAN MAESTRO FINAL'!$A156,'HOJAS DE HORA PROY.'!$M$2:$M$943,Q$113)</f>
        <v>0</v>
      </c>
      <c r="R156" s="8">
        <f>SUMIFS('HOJAS DE HORA PROY.'!$F$2:$F$943,'HOJAS DE HORA PROY.'!$A$2:$A$943,'PLAN MAESTRO FINAL'!$A156,'HOJAS DE HORA PROY.'!$M$2:$M$943,R$113)</f>
        <v>0</v>
      </c>
      <c r="S156" s="8">
        <f>SUMIFS('HOJAS DE HORA PROY.'!$F$2:$F$943,'HOJAS DE HORA PROY.'!$A$2:$A$943,'PLAN MAESTRO FINAL'!$A156,'HOJAS DE HORA PROY.'!$M$2:$M$943,S$113)</f>
        <v>0</v>
      </c>
      <c r="T156" s="8">
        <f>SUMIFS('HOJAS DE HORA PROY.'!$F$2:$F$943,'HOJAS DE HORA PROY.'!$A$2:$A$943,'PLAN MAESTRO FINAL'!$A156,'HOJAS DE HORA PROY.'!$M$2:$M$943,T$113)</f>
        <v>0</v>
      </c>
      <c r="U156" s="8">
        <f>SUMIFS('HOJAS DE HORA PROY.'!$F$2:$F$943,'HOJAS DE HORA PROY.'!$A$2:$A$943,'PLAN MAESTRO FINAL'!$A156,'HOJAS DE HORA PROY.'!$M$2:$M$943,U$113)</f>
        <v>0</v>
      </c>
      <c r="V156" s="8">
        <f>SUMIFS('HOJAS DE HORA PROY.'!$F$2:$F$943,'HOJAS DE HORA PROY.'!$A$2:$A$943,'PLAN MAESTRO FINAL'!$A156,'HOJAS DE HORA PROY.'!$M$2:$M$943,V$113)</f>
        <v>0</v>
      </c>
      <c r="W156" s="8">
        <f>SUMIFS('HOJAS DE HORA PROY.'!$F$2:$F$943,'HOJAS DE HORA PROY.'!$A$2:$A$943,'PLAN MAESTRO FINAL'!$A156,'HOJAS DE HORA PROY.'!$M$2:$M$943,W$113)</f>
        <v>0</v>
      </c>
    </row>
    <row r="157" spans="1:23" hidden="1" outlineLevel="1" x14ac:dyDescent="0.3">
      <c r="A157" s="13" t="s">
        <v>165</v>
      </c>
      <c r="B157" s="8">
        <f>SUMIFS('HOJAS DE HORA PROY.'!$F$2:$F$943,'HOJAS DE HORA PROY.'!$A$2:$A$943,'PLAN MAESTRO FINAL'!$A157,'HOJAS DE HORA PROY.'!$M$2:$M$943,B$113)</f>
        <v>0</v>
      </c>
      <c r="C157" s="8">
        <f>SUMIFS('HOJAS DE HORA PROY.'!$F$2:$F$943,'HOJAS DE HORA PROY.'!$A$2:$A$943,'PLAN MAESTRO FINAL'!$A157,'HOJAS DE HORA PROY.'!$M$2:$M$943,C$113)</f>
        <v>0</v>
      </c>
      <c r="D157" s="8">
        <f>SUMIFS('HOJAS DE HORA PROY.'!$F$2:$F$943,'HOJAS DE HORA PROY.'!$A$2:$A$943,'PLAN MAESTRO FINAL'!$A157,'HOJAS DE HORA PROY.'!$M$2:$M$943,D$113)</f>
        <v>0</v>
      </c>
      <c r="E157" s="8">
        <f>SUMIFS('HOJAS DE HORA PROY.'!$F$2:$F$943,'HOJAS DE HORA PROY.'!$A$2:$A$943,'PLAN MAESTRO FINAL'!$A157,'HOJAS DE HORA PROY.'!$M$2:$M$943,E$113)</f>
        <v>0</v>
      </c>
      <c r="F157" s="8">
        <f>SUMIFS('HOJAS DE HORA PROY.'!$F$2:$F$943,'HOJAS DE HORA PROY.'!$A$2:$A$943,'PLAN MAESTRO FINAL'!$A157,'HOJAS DE HORA PROY.'!$M$2:$M$943,F$113)</f>
        <v>0</v>
      </c>
      <c r="G157" s="8">
        <f>SUMIFS('HOJAS DE HORA PROY.'!$F$2:$F$943,'HOJAS DE HORA PROY.'!$A$2:$A$943,'PLAN MAESTRO FINAL'!$A157,'HOJAS DE HORA PROY.'!$M$2:$M$943,G$113)</f>
        <v>4</v>
      </c>
      <c r="H157" s="8">
        <f>SUMIFS('HOJAS DE HORA PROY.'!$F$2:$F$943,'HOJAS DE HORA PROY.'!$A$2:$A$943,'PLAN MAESTRO FINAL'!$A157,'HOJAS DE HORA PROY.'!$M$2:$M$943,H$113)</f>
        <v>0</v>
      </c>
      <c r="I157" s="8">
        <f>SUMIFS('HOJAS DE HORA PROY.'!$F$2:$F$943,'HOJAS DE HORA PROY.'!$A$2:$A$943,'PLAN MAESTRO FINAL'!$A157,'HOJAS DE HORA PROY.'!$M$2:$M$943,I$113)</f>
        <v>0</v>
      </c>
      <c r="J157" s="8">
        <f>SUMIFS('HOJAS DE HORA PROY.'!$F$2:$F$943,'HOJAS DE HORA PROY.'!$A$2:$A$943,'PLAN MAESTRO FINAL'!$A157,'HOJAS DE HORA PROY.'!$M$2:$M$943,J$113)</f>
        <v>0</v>
      </c>
      <c r="K157" s="8">
        <f>SUMIFS('HOJAS DE HORA PROY.'!$F$2:$F$943,'HOJAS DE HORA PROY.'!$A$2:$A$943,'PLAN MAESTRO FINAL'!$A157,'HOJAS DE HORA PROY.'!$M$2:$M$943,K$113)</f>
        <v>0</v>
      </c>
      <c r="L157" s="8">
        <f>SUMIFS('HOJAS DE HORA PROY.'!$F$2:$F$943,'HOJAS DE HORA PROY.'!$A$2:$A$943,'PLAN MAESTRO FINAL'!$A157,'HOJAS DE HORA PROY.'!$M$2:$M$943,L$113)</f>
        <v>0</v>
      </c>
      <c r="M157" s="8">
        <f>SUMIFS('HOJAS DE HORA PROY.'!$F$2:$F$943,'HOJAS DE HORA PROY.'!$A$2:$A$943,'PLAN MAESTRO FINAL'!$A157,'HOJAS DE HORA PROY.'!$M$2:$M$943,M$113)</f>
        <v>0</v>
      </c>
      <c r="N157" s="8">
        <f>SUMIFS('HOJAS DE HORA PROY.'!$F$2:$F$943,'HOJAS DE HORA PROY.'!$A$2:$A$943,'PLAN MAESTRO FINAL'!$A157,'HOJAS DE HORA PROY.'!$M$2:$M$943,N$113)</f>
        <v>0</v>
      </c>
      <c r="O157" s="8">
        <f>SUMIFS('HOJAS DE HORA PROY.'!$F$2:$F$943,'HOJAS DE HORA PROY.'!$A$2:$A$943,'PLAN MAESTRO FINAL'!$A157,'HOJAS DE HORA PROY.'!$M$2:$M$943,O$113)</f>
        <v>0</v>
      </c>
      <c r="P157" s="8">
        <f>SUMIFS('HOJAS DE HORA PROY.'!$F$2:$F$943,'HOJAS DE HORA PROY.'!$A$2:$A$943,'PLAN MAESTRO FINAL'!$A157,'HOJAS DE HORA PROY.'!$M$2:$M$943,P$113)</f>
        <v>0</v>
      </c>
      <c r="Q157" s="8">
        <f>SUMIFS('HOJAS DE HORA PROY.'!$F$2:$F$943,'HOJAS DE HORA PROY.'!$A$2:$A$943,'PLAN MAESTRO FINAL'!$A157,'HOJAS DE HORA PROY.'!$M$2:$M$943,Q$113)</f>
        <v>0</v>
      </c>
      <c r="R157" s="8">
        <f>SUMIFS('HOJAS DE HORA PROY.'!$F$2:$F$943,'HOJAS DE HORA PROY.'!$A$2:$A$943,'PLAN MAESTRO FINAL'!$A157,'HOJAS DE HORA PROY.'!$M$2:$M$943,R$113)</f>
        <v>0</v>
      </c>
      <c r="S157" s="8">
        <f>SUMIFS('HOJAS DE HORA PROY.'!$F$2:$F$943,'HOJAS DE HORA PROY.'!$A$2:$A$943,'PLAN MAESTRO FINAL'!$A157,'HOJAS DE HORA PROY.'!$M$2:$M$943,S$113)</f>
        <v>0</v>
      </c>
      <c r="T157" s="8">
        <f>SUMIFS('HOJAS DE HORA PROY.'!$F$2:$F$943,'HOJAS DE HORA PROY.'!$A$2:$A$943,'PLAN MAESTRO FINAL'!$A157,'HOJAS DE HORA PROY.'!$M$2:$M$943,T$113)</f>
        <v>0</v>
      </c>
      <c r="U157" s="8">
        <f>SUMIFS('HOJAS DE HORA PROY.'!$F$2:$F$943,'HOJAS DE HORA PROY.'!$A$2:$A$943,'PLAN MAESTRO FINAL'!$A157,'HOJAS DE HORA PROY.'!$M$2:$M$943,U$113)</f>
        <v>0</v>
      </c>
      <c r="V157" s="8">
        <f>SUMIFS('HOJAS DE HORA PROY.'!$F$2:$F$943,'HOJAS DE HORA PROY.'!$A$2:$A$943,'PLAN MAESTRO FINAL'!$A157,'HOJAS DE HORA PROY.'!$M$2:$M$943,V$113)</f>
        <v>0</v>
      </c>
      <c r="W157" s="8">
        <f>SUMIFS('HOJAS DE HORA PROY.'!$F$2:$F$943,'HOJAS DE HORA PROY.'!$A$2:$A$943,'PLAN MAESTRO FINAL'!$A157,'HOJAS DE HORA PROY.'!$M$2:$M$943,W$113)</f>
        <v>0</v>
      </c>
    </row>
    <row r="158" spans="1:23" hidden="1" outlineLevel="1" x14ac:dyDescent="0.3">
      <c r="A158" s="13" t="s">
        <v>203</v>
      </c>
      <c r="B158" s="8">
        <f>SUMIFS('HOJAS DE HORA PROY.'!$F$2:$F$943,'HOJAS DE HORA PROY.'!$A$2:$A$943,'PLAN MAESTRO FINAL'!$A158,'HOJAS DE HORA PROY.'!$M$2:$M$943,B$113)</f>
        <v>0</v>
      </c>
      <c r="C158" s="8">
        <f>SUMIFS('HOJAS DE HORA PROY.'!$F$2:$F$943,'HOJAS DE HORA PROY.'!$A$2:$A$943,'PLAN MAESTRO FINAL'!$A158,'HOJAS DE HORA PROY.'!$M$2:$M$943,C$113)</f>
        <v>0</v>
      </c>
      <c r="D158" s="8">
        <f>SUMIFS('HOJAS DE HORA PROY.'!$F$2:$F$943,'HOJAS DE HORA PROY.'!$A$2:$A$943,'PLAN MAESTRO FINAL'!$A158,'HOJAS DE HORA PROY.'!$M$2:$M$943,D$113)</f>
        <v>0</v>
      </c>
      <c r="E158" s="8">
        <f>SUMIFS('HOJAS DE HORA PROY.'!$F$2:$F$943,'HOJAS DE HORA PROY.'!$A$2:$A$943,'PLAN MAESTRO FINAL'!$A158,'HOJAS DE HORA PROY.'!$M$2:$M$943,E$113)</f>
        <v>0</v>
      </c>
      <c r="F158" s="8">
        <f>SUMIFS('HOJAS DE HORA PROY.'!$F$2:$F$943,'HOJAS DE HORA PROY.'!$A$2:$A$943,'PLAN MAESTRO FINAL'!$A158,'HOJAS DE HORA PROY.'!$M$2:$M$943,F$113)</f>
        <v>0</v>
      </c>
      <c r="G158" s="8">
        <f>SUMIFS('HOJAS DE HORA PROY.'!$F$2:$F$943,'HOJAS DE HORA PROY.'!$A$2:$A$943,'PLAN MAESTRO FINAL'!$A158,'HOJAS DE HORA PROY.'!$M$2:$M$943,G$113)</f>
        <v>0</v>
      </c>
      <c r="H158" s="8">
        <f>SUMIFS('HOJAS DE HORA PROY.'!$F$2:$F$943,'HOJAS DE HORA PROY.'!$A$2:$A$943,'PLAN MAESTRO FINAL'!$A158,'HOJAS DE HORA PROY.'!$M$2:$M$943,H$113)</f>
        <v>0</v>
      </c>
      <c r="I158" s="8">
        <f>SUMIFS('HOJAS DE HORA PROY.'!$F$2:$F$943,'HOJAS DE HORA PROY.'!$A$2:$A$943,'PLAN MAESTRO FINAL'!$A158,'HOJAS DE HORA PROY.'!$M$2:$M$943,I$113)</f>
        <v>0</v>
      </c>
      <c r="J158" s="8">
        <f>SUMIFS('HOJAS DE HORA PROY.'!$F$2:$F$943,'HOJAS DE HORA PROY.'!$A$2:$A$943,'PLAN MAESTRO FINAL'!$A158,'HOJAS DE HORA PROY.'!$M$2:$M$943,J$113)</f>
        <v>0</v>
      </c>
      <c r="K158" s="8">
        <f>SUMIFS('HOJAS DE HORA PROY.'!$F$2:$F$943,'HOJAS DE HORA PROY.'!$A$2:$A$943,'PLAN MAESTRO FINAL'!$A158,'HOJAS DE HORA PROY.'!$M$2:$M$943,K$113)</f>
        <v>0</v>
      </c>
      <c r="L158" s="8">
        <f>SUMIFS('HOJAS DE HORA PROY.'!$F$2:$F$943,'HOJAS DE HORA PROY.'!$A$2:$A$943,'PLAN MAESTRO FINAL'!$A158,'HOJAS DE HORA PROY.'!$M$2:$M$943,L$113)</f>
        <v>0</v>
      </c>
      <c r="M158" s="8">
        <f>SUMIFS('HOJAS DE HORA PROY.'!$F$2:$F$943,'HOJAS DE HORA PROY.'!$A$2:$A$943,'PLAN MAESTRO FINAL'!$A158,'HOJAS DE HORA PROY.'!$M$2:$M$943,M$113)</f>
        <v>0</v>
      </c>
      <c r="N158" s="8">
        <f>SUMIFS('HOJAS DE HORA PROY.'!$F$2:$F$943,'HOJAS DE HORA PROY.'!$A$2:$A$943,'PLAN MAESTRO FINAL'!$A158,'HOJAS DE HORA PROY.'!$M$2:$M$943,N$113)</f>
        <v>0</v>
      </c>
      <c r="O158" s="8">
        <f>SUMIFS('HOJAS DE HORA PROY.'!$F$2:$F$943,'HOJAS DE HORA PROY.'!$A$2:$A$943,'PLAN MAESTRO FINAL'!$A158,'HOJAS DE HORA PROY.'!$M$2:$M$943,O$113)</f>
        <v>0</v>
      </c>
      <c r="P158" s="8">
        <f>SUMIFS('HOJAS DE HORA PROY.'!$F$2:$F$943,'HOJAS DE HORA PROY.'!$A$2:$A$943,'PLAN MAESTRO FINAL'!$A158,'HOJAS DE HORA PROY.'!$M$2:$M$943,P$113)</f>
        <v>0</v>
      </c>
      <c r="Q158" s="8">
        <f>SUMIFS('HOJAS DE HORA PROY.'!$F$2:$F$943,'HOJAS DE HORA PROY.'!$A$2:$A$943,'PLAN MAESTRO FINAL'!$A158,'HOJAS DE HORA PROY.'!$M$2:$M$943,Q$113)</f>
        <v>0</v>
      </c>
      <c r="R158" s="8">
        <f>SUMIFS('HOJAS DE HORA PROY.'!$F$2:$F$943,'HOJAS DE HORA PROY.'!$A$2:$A$943,'PLAN MAESTRO FINAL'!$A158,'HOJAS DE HORA PROY.'!$M$2:$M$943,R$113)</f>
        <v>0</v>
      </c>
      <c r="S158" s="8">
        <f>SUMIFS('HOJAS DE HORA PROY.'!$F$2:$F$943,'HOJAS DE HORA PROY.'!$A$2:$A$943,'PLAN MAESTRO FINAL'!$A158,'HOJAS DE HORA PROY.'!$M$2:$M$943,S$113)</f>
        <v>0</v>
      </c>
      <c r="T158" s="8">
        <f>SUMIFS('HOJAS DE HORA PROY.'!$F$2:$F$943,'HOJAS DE HORA PROY.'!$A$2:$A$943,'PLAN MAESTRO FINAL'!$A158,'HOJAS DE HORA PROY.'!$M$2:$M$943,T$113)</f>
        <v>0</v>
      </c>
      <c r="U158" s="8">
        <f>SUMIFS('HOJAS DE HORA PROY.'!$F$2:$F$943,'HOJAS DE HORA PROY.'!$A$2:$A$943,'PLAN MAESTRO FINAL'!$A158,'HOJAS DE HORA PROY.'!$M$2:$M$943,U$113)</f>
        <v>0</v>
      </c>
      <c r="V158" s="8">
        <f>SUMIFS('HOJAS DE HORA PROY.'!$F$2:$F$943,'HOJAS DE HORA PROY.'!$A$2:$A$943,'PLAN MAESTRO FINAL'!$A158,'HOJAS DE HORA PROY.'!$M$2:$M$943,V$113)</f>
        <v>0</v>
      </c>
      <c r="W158" s="8">
        <f>SUMIFS('HOJAS DE HORA PROY.'!$F$2:$F$943,'HOJAS DE HORA PROY.'!$A$2:$A$943,'PLAN MAESTRO FINAL'!$A158,'HOJAS DE HORA PROY.'!$M$2:$M$943,W$113)</f>
        <v>0</v>
      </c>
    </row>
    <row r="159" spans="1:23" hidden="1" outlineLevel="1" x14ac:dyDescent="0.3">
      <c r="A159" s="13" t="s">
        <v>212</v>
      </c>
      <c r="B159" s="8">
        <f>SUMIFS('HOJAS DE HORA PROY.'!$F$2:$F$943,'HOJAS DE HORA PROY.'!$A$2:$A$943,'PLAN MAESTRO FINAL'!$A159,'HOJAS DE HORA PROY.'!$M$2:$M$943,B$113)</f>
        <v>0</v>
      </c>
      <c r="C159" s="8">
        <f>SUMIFS('HOJAS DE HORA PROY.'!$F$2:$F$943,'HOJAS DE HORA PROY.'!$A$2:$A$943,'PLAN MAESTRO FINAL'!$A159,'HOJAS DE HORA PROY.'!$M$2:$M$943,C$113)</f>
        <v>0</v>
      </c>
      <c r="D159" s="8">
        <f>SUMIFS('HOJAS DE HORA PROY.'!$F$2:$F$943,'HOJAS DE HORA PROY.'!$A$2:$A$943,'PLAN MAESTRO FINAL'!$A159,'HOJAS DE HORA PROY.'!$M$2:$M$943,D$113)</f>
        <v>0</v>
      </c>
      <c r="E159" s="8">
        <f>SUMIFS('HOJAS DE HORA PROY.'!$F$2:$F$943,'HOJAS DE HORA PROY.'!$A$2:$A$943,'PLAN MAESTRO FINAL'!$A159,'HOJAS DE HORA PROY.'!$M$2:$M$943,E$113)</f>
        <v>0</v>
      </c>
      <c r="F159" s="8">
        <f>SUMIFS('HOJAS DE HORA PROY.'!$F$2:$F$943,'HOJAS DE HORA PROY.'!$A$2:$A$943,'PLAN MAESTRO FINAL'!$A159,'HOJAS DE HORA PROY.'!$M$2:$M$943,F$113)</f>
        <v>0</v>
      </c>
      <c r="G159" s="8">
        <f>SUMIFS('HOJAS DE HORA PROY.'!$F$2:$F$943,'HOJAS DE HORA PROY.'!$A$2:$A$943,'PLAN MAESTRO FINAL'!$A159,'HOJAS DE HORA PROY.'!$M$2:$M$943,G$113)</f>
        <v>0</v>
      </c>
      <c r="H159" s="8">
        <f>SUMIFS('HOJAS DE HORA PROY.'!$F$2:$F$943,'HOJAS DE HORA PROY.'!$A$2:$A$943,'PLAN MAESTRO FINAL'!$A159,'HOJAS DE HORA PROY.'!$M$2:$M$943,H$113)</f>
        <v>0</v>
      </c>
      <c r="I159" s="8">
        <f>SUMIFS('HOJAS DE HORA PROY.'!$F$2:$F$943,'HOJAS DE HORA PROY.'!$A$2:$A$943,'PLAN MAESTRO FINAL'!$A159,'HOJAS DE HORA PROY.'!$M$2:$M$943,I$113)</f>
        <v>0</v>
      </c>
      <c r="J159" s="8">
        <f>SUMIFS('HOJAS DE HORA PROY.'!$F$2:$F$943,'HOJAS DE HORA PROY.'!$A$2:$A$943,'PLAN MAESTRO FINAL'!$A159,'HOJAS DE HORA PROY.'!$M$2:$M$943,J$113)</f>
        <v>0</v>
      </c>
      <c r="K159" s="8">
        <f>SUMIFS('HOJAS DE HORA PROY.'!$F$2:$F$943,'HOJAS DE HORA PROY.'!$A$2:$A$943,'PLAN MAESTRO FINAL'!$A159,'HOJAS DE HORA PROY.'!$M$2:$M$943,K$113)</f>
        <v>0</v>
      </c>
      <c r="L159" s="8">
        <f>SUMIFS('HOJAS DE HORA PROY.'!$F$2:$F$943,'HOJAS DE HORA PROY.'!$A$2:$A$943,'PLAN MAESTRO FINAL'!$A159,'HOJAS DE HORA PROY.'!$M$2:$M$943,L$113)</f>
        <v>0</v>
      </c>
      <c r="M159" s="8">
        <f>SUMIFS('HOJAS DE HORA PROY.'!$F$2:$F$943,'HOJAS DE HORA PROY.'!$A$2:$A$943,'PLAN MAESTRO FINAL'!$A159,'HOJAS DE HORA PROY.'!$M$2:$M$943,M$113)</f>
        <v>0</v>
      </c>
      <c r="N159" s="8">
        <f>SUMIFS('HOJAS DE HORA PROY.'!$F$2:$F$943,'HOJAS DE HORA PROY.'!$A$2:$A$943,'PLAN MAESTRO FINAL'!$A159,'HOJAS DE HORA PROY.'!$M$2:$M$943,N$113)</f>
        <v>0</v>
      </c>
      <c r="O159" s="8">
        <f>SUMIFS('HOJAS DE HORA PROY.'!$F$2:$F$943,'HOJAS DE HORA PROY.'!$A$2:$A$943,'PLAN MAESTRO FINAL'!$A159,'HOJAS DE HORA PROY.'!$M$2:$M$943,O$113)</f>
        <v>0</v>
      </c>
      <c r="P159" s="8">
        <f>SUMIFS('HOJAS DE HORA PROY.'!$F$2:$F$943,'HOJAS DE HORA PROY.'!$A$2:$A$943,'PLAN MAESTRO FINAL'!$A159,'HOJAS DE HORA PROY.'!$M$2:$M$943,P$113)</f>
        <v>0</v>
      </c>
      <c r="Q159" s="8">
        <f>SUMIFS('HOJAS DE HORA PROY.'!$F$2:$F$943,'HOJAS DE HORA PROY.'!$A$2:$A$943,'PLAN MAESTRO FINAL'!$A159,'HOJAS DE HORA PROY.'!$M$2:$M$943,Q$113)</f>
        <v>0</v>
      </c>
      <c r="R159" s="8">
        <f>SUMIFS('HOJAS DE HORA PROY.'!$F$2:$F$943,'HOJAS DE HORA PROY.'!$A$2:$A$943,'PLAN MAESTRO FINAL'!$A159,'HOJAS DE HORA PROY.'!$M$2:$M$943,R$113)</f>
        <v>0</v>
      </c>
      <c r="S159" s="8">
        <f>SUMIFS('HOJAS DE HORA PROY.'!$F$2:$F$943,'HOJAS DE HORA PROY.'!$A$2:$A$943,'PLAN MAESTRO FINAL'!$A159,'HOJAS DE HORA PROY.'!$M$2:$M$943,S$113)</f>
        <v>0</v>
      </c>
      <c r="T159" s="8">
        <f>SUMIFS('HOJAS DE HORA PROY.'!$F$2:$F$943,'HOJAS DE HORA PROY.'!$A$2:$A$943,'PLAN MAESTRO FINAL'!$A159,'HOJAS DE HORA PROY.'!$M$2:$M$943,T$113)</f>
        <v>0</v>
      </c>
      <c r="U159" s="8">
        <f>SUMIFS('HOJAS DE HORA PROY.'!$F$2:$F$943,'HOJAS DE HORA PROY.'!$A$2:$A$943,'PLAN MAESTRO FINAL'!$A159,'HOJAS DE HORA PROY.'!$M$2:$M$943,U$113)</f>
        <v>0</v>
      </c>
      <c r="V159" s="8">
        <f>SUMIFS('HOJAS DE HORA PROY.'!$F$2:$F$943,'HOJAS DE HORA PROY.'!$A$2:$A$943,'PLAN MAESTRO FINAL'!$A159,'HOJAS DE HORA PROY.'!$M$2:$M$943,V$113)</f>
        <v>0</v>
      </c>
      <c r="W159" s="8">
        <f>SUMIFS('HOJAS DE HORA PROY.'!$F$2:$F$943,'HOJAS DE HORA PROY.'!$A$2:$A$943,'PLAN MAESTRO FINAL'!$A159,'HOJAS DE HORA PROY.'!$M$2:$M$943,W$113)</f>
        <v>0</v>
      </c>
    </row>
    <row r="160" spans="1:23" hidden="1" outlineLevel="1" x14ac:dyDescent="0.3">
      <c r="A160" s="13" t="s">
        <v>216</v>
      </c>
      <c r="B160" s="8">
        <f>SUMIFS('HOJAS DE HORA PROY.'!$F$2:$F$943,'HOJAS DE HORA PROY.'!$A$2:$A$943,'PLAN MAESTRO FINAL'!$A160,'HOJAS DE HORA PROY.'!$M$2:$M$943,B$113)</f>
        <v>0</v>
      </c>
      <c r="C160" s="8">
        <f>SUMIFS('HOJAS DE HORA PROY.'!$F$2:$F$943,'HOJAS DE HORA PROY.'!$A$2:$A$943,'PLAN MAESTRO FINAL'!$A160,'HOJAS DE HORA PROY.'!$M$2:$M$943,C$113)</f>
        <v>0</v>
      </c>
      <c r="D160" s="8">
        <f>SUMIFS('HOJAS DE HORA PROY.'!$F$2:$F$943,'HOJAS DE HORA PROY.'!$A$2:$A$943,'PLAN MAESTRO FINAL'!$A160,'HOJAS DE HORA PROY.'!$M$2:$M$943,D$113)</f>
        <v>0</v>
      </c>
      <c r="E160" s="8">
        <f>SUMIFS('HOJAS DE HORA PROY.'!$F$2:$F$943,'HOJAS DE HORA PROY.'!$A$2:$A$943,'PLAN MAESTRO FINAL'!$A160,'HOJAS DE HORA PROY.'!$M$2:$M$943,E$113)</f>
        <v>0</v>
      </c>
      <c r="F160" s="8">
        <f>SUMIFS('HOJAS DE HORA PROY.'!$F$2:$F$943,'HOJAS DE HORA PROY.'!$A$2:$A$943,'PLAN MAESTRO FINAL'!$A160,'HOJAS DE HORA PROY.'!$M$2:$M$943,F$113)</f>
        <v>0</v>
      </c>
      <c r="G160" s="8">
        <f>SUMIFS('HOJAS DE HORA PROY.'!$F$2:$F$943,'HOJAS DE HORA PROY.'!$A$2:$A$943,'PLAN MAESTRO FINAL'!$A160,'HOJAS DE HORA PROY.'!$M$2:$M$943,G$113)</f>
        <v>0</v>
      </c>
      <c r="H160" s="8">
        <f>SUMIFS('HOJAS DE HORA PROY.'!$F$2:$F$943,'HOJAS DE HORA PROY.'!$A$2:$A$943,'PLAN MAESTRO FINAL'!$A160,'HOJAS DE HORA PROY.'!$M$2:$M$943,H$113)</f>
        <v>0</v>
      </c>
      <c r="I160" s="8">
        <f>SUMIFS('HOJAS DE HORA PROY.'!$F$2:$F$943,'HOJAS DE HORA PROY.'!$A$2:$A$943,'PLAN MAESTRO FINAL'!$A160,'HOJAS DE HORA PROY.'!$M$2:$M$943,I$113)</f>
        <v>0</v>
      </c>
      <c r="J160" s="8">
        <f>SUMIFS('HOJAS DE HORA PROY.'!$F$2:$F$943,'HOJAS DE HORA PROY.'!$A$2:$A$943,'PLAN MAESTRO FINAL'!$A160,'HOJAS DE HORA PROY.'!$M$2:$M$943,J$113)</f>
        <v>0</v>
      </c>
      <c r="K160" s="8">
        <f>SUMIFS('HOJAS DE HORA PROY.'!$F$2:$F$943,'HOJAS DE HORA PROY.'!$A$2:$A$943,'PLAN MAESTRO FINAL'!$A160,'HOJAS DE HORA PROY.'!$M$2:$M$943,K$113)</f>
        <v>0</v>
      </c>
      <c r="L160" s="8">
        <f>SUMIFS('HOJAS DE HORA PROY.'!$F$2:$F$943,'HOJAS DE HORA PROY.'!$A$2:$A$943,'PLAN MAESTRO FINAL'!$A160,'HOJAS DE HORA PROY.'!$M$2:$M$943,L$113)</f>
        <v>0</v>
      </c>
      <c r="M160" s="8">
        <f>SUMIFS('HOJAS DE HORA PROY.'!$F$2:$F$943,'HOJAS DE HORA PROY.'!$A$2:$A$943,'PLAN MAESTRO FINAL'!$A160,'HOJAS DE HORA PROY.'!$M$2:$M$943,M$113)</f>
        <v>0</v>
      </c>
      <c r="N160" s="8">
        <f>SUMIFS('HOJAS DE HORA PROY.'!$F$2:$F$943,'HOJAS DE HORA PROY.'!$A$2:$A$943,'PLAN MAESTRO FINAL'!$A160,'HOJAS DE HORA PROY.'!$M$2:$M$943,N$113)</f>
        <v>0</v>
      </c>
      <c r="O160" s="8">
        <f>SUMIFS('HOJAS DE HORA PROY.'!$F$2:$F$943,'HOJAS DE HORA PROY.'!$A$2:$A$943,'PLAN MAESTRO FINAL'!$A160,'HOJAS DE HORA PROY.'!$M$2:$M$943,O$113)</f>
        <v>0</v>
      </c>
      <c r="P160" s="8">
        <f>SUMIFS('HOJAS DE HORA PROY.'!$F$2:$F$943,'HOJAS DE HORA PROY.'!$A$2:$A$943,'PLAN MAESTRO FINAL'!$A160,'HOJAS DE HORA PROY.'!$M$2:$M$943,P$113)</f>
        <v>0</v>
      </c>
      <c r="Q160" s="8">
        <f>SUMIFS('HOJAS DE HORA PROY.'!$F$2:$F$943,'HOJAS DE HORA PROY.'!$A$2:$A$943,'PLAN MAESTRO FINAL'!$A160,'HOJAS DE HORA PROY.'!$M$2:$M$943,Q$113)</f>
        <v>0</v>
      </c>
      <c r="R160" s="8">
        <f>SUMIFS('HOJAS DE HORA PROY.'!$F$2:$F$943,'HOJAS DE HORA PROY.'!$A$2:$A$943,'PLAN MAESTRO FINAL'!$A160,'HOJAS DE HORA PROY.'!$M$2:$M$943,R$113)</f>
        <v>0</v>
      </c>
      <c r="S160" s="8">
        <f>SUMIFS('HOJAS DE HORA PROY.'!$F$2:$F$943,'HOJAS DE HORA PROY.'!$A$2:$A$943,'PLAN MAESTRO FINAL'!$A160,'HOJAS DE HORA PROY.'!$M$2:$M$943,S$113)</f>
        <v>0</v>
      </c>
      <c r="T160" s="8">
        <f>SUMIFS('HOJAS DE HORA PROY.'!$F$2:$F$943,'HOJAS DE HORA PROY.'!$A$2:$A$943,'PLAN MAESTRO FINAL'!$A160,'HOJAS DE HORA PROY.'!$M$2:$M$943,T$113)</f>
        <v>0</v>
      </c>
      <c r="U160" s="8">
        <f>SUMIFS('HOJAS DE HORA PROY.'!$F$2:$F$943,'HOJAS DE HORA PROY.'!$A$2:$A$943,'PLAN MAESTRO FINAL'!$A160,'HOJAS DE HORA PROY.'!$M$2:$M$943,U$113)</f>
        <v>0</v>
      </c>
      <c r="V160" s="8">
        <f>SUMIFS('HOJAS DE HORA PROY.'!$F$2:$F$943,'HOJAS DE HORA PROY.'!$A$2:$A$943,'PLAN MAESTRO FINAL'!$A160,'HOJAS DE HORA PROY.'!$M$2:$M$943,V$113)</f>
        <v>0</v>
      </c>
      <c r="W160" s="8">
        <f>SUMIFS('HOJAS DE HORA PROY.'!$F$2:$F$943,'HOJAS DE HORA PROY.'!$A$2:$A$943,'PLAN MAESTRO FINAL'!$A160,'HOJAS DE HORA PROY.'!$M$2:$M$943,W$113)</f>
        <v>0</v>
      </c>
    </row>
    <row r="161" spans="1:23" hidden="1" outlineLevel="1" x14ac:dyDescent="0.3">
      <c r="A161" s="13" t="s">
        <v>217</v>
      </c>
      <c r="B161" s="8">
        <f>SUMIFS('HOJAS DE HORA PROY.'!$F$2:$F$943,'HOJAS DE HORA PROY.'!$A$2:$A$943,'PLAN MAESTRO FINAL'!$A161,'HOJAS DE HORA PROY.'!$M$2:$M$943,B$113)</f>
        <v>0</v>
      </c>
      <c r="C161" s="8">
        <f>SUMIFS('HOJAS DE HORA PROY.'!$F$2:$F$943,'HOJAS DE HORA PROY.'!$A$2:$A$943,'PLAN MAESTRO FINAL'!$A161,'HOJAS DE HORA PROY.'!$M$2:$M$943,C$113)</f>
        <v>0</v>
      </c>
      <c r="D161" s="8">
        <f>SUMIFS('HOJAS DE HORA PROY.'!$F$2:$F$943,'HOJAS DE HORA PROY.'!$A$2:$A$943,'PLAN MAESTRO FINAL'!$A161,'HOJAS DE HORA PROY.'!$M$2:$M$943,D$113)</f>
        <v>0</v>
      </c>
      <c r="E161" s="8">
        <f>SUMIFS('HOJAS DE HORA PROY.'!$F$2:$F$943,'HOJAS DE HORA PROY.'!$A$2:$A$943,'PLAN MAESTRO FINAL'!$A161,'HOJAS DE HORA PROY.'!$M$2:$M$943,E$113)</f>
        <v>0</v>
      </c>
      <c r="F161" s="8">
        <f>SUMIFS('HOJAS DE HORA PROY.'!$F$2:$F$943,'HOJAS DE HORA PROY.'!$A$2:$A$943,'PLAN MAESTRO FINAL'!$A161,'HOJAS DE HORA PROY.'!$M$2:$M$943,F$113)</f>
        <v>0</v>
      </c>
      <c r="G161" s="8">
        <f>SUMIFS('HOJAS DE HORA PROY.'!$F$2:$F$943,'HOJAS DE HORA PROY.'!$A$2:$A$943,'PLAN MAESTRO FINAL'!$A161,'HOJAS DE HORA PROY.'!$M$2:$M$943,G$113)</f>
        <v>13</v>
      </c>
      <c r="H161" s="8">
        <f>SUMIFS('HOJAS DE HORA PROY.'!$F$2:$F$943,'HOJAS DE HORA PROY.'!$A$2:$A$943,'PLAN MAESTRO FINAL'!$A161,'HOJAS DE HORA PROY.'!$M$2:$M$943,H$113)</f>
        <v>0</v>
      </c>
      <c r="I161" s="8">
        <f>SUMIFS('HOJAS DE HORA PROY.'!$F$2:$F$943,'HOJAS DE HORA PROY.'!$A$2:$A$943,'PLAN MAESTRO FINAL'!$A161,'HOJAS DE HORA PROY.'!$M$2:$M$943,I$113)</f>
        <v>0</v>
      </c>
      <c r="J161" s="8">
        <f>SUMIFS('HOJAS DE HORA PROY.'!$F$2:$F$943,'HOJAS DE HORA PROY.'!$A$2:$A$943,'PLAN MAESTRO FINAL'!$A161,'HOJAS DE HORA PROY.'!$M$2:$M$943,J$113)</f>
        <v>0</v>
      </c>
      <c r="K161" s="8">
        <f>SUMIFS('HOJAS DE HORA PROY.'!$F$2:$F$943,'HOJAS DE HORA PROY.'!$A$2:$A$943,'PLAN MAESTRO FINAL'!$A161,'HOJAS DE HORA PROY.'!$M$2:$M$943,K$113)</f>
        <v>0</v>
      </c>
      <c r="L161" s="8">
        <f>SUMIFS('HOJAS DE HORA PROY.'!$F$2:$F$943,'HOJAS DE HORA PROY.'!$A$2:$A$943,'PLAN MAESTRO FINAL'!$A161,'HOJAS DE HORA PROY.'!$M$2:$M$943,L$113)</f>
        <v>0</v>
      </c>
      <c r="M161" s="8">
        <f>SUMIFS('HOJAS DE HORA PROY.'!$F$2:$F$943,'HOJAS DE HORA PROY.'!$A$2:$A$943,'PLAN MAESTRO FINAL'!$A161,'HOJAS DE HORA PROY.'!$M$2:$M$943,M$113)</f>
        <v>0</v>
      </c>
      <c r="N161" s="8">
        <f>SUMIFS('HOJAS DE HORA PROY.'!$F$2:$F$943,'HOJAS DE HORA PROY.'!$A$2:$A$943,'PLAN MAESTRO FINAL'!$A161,'HOJAS DE HORA PROY.'!$M$2:$M$943,N$113)</f>
        <v>0</v>
      </c>
      <c r="O161" s="8">
        <f>SUMIFS('HOJAS DE HORA PROY.'!$F$2:$F$943,'HOJAS DE HORA PROY.'!$A$2:$A$943,'PLAN MAESTRO FINAL'!$A161,'HOJAS DE HORA PROY.'!$M$2:$M$943,O$113)</f>
        <v>0</v>
      </c>
      <c r="P161" s="8">
        <f>SUMIFS('HOJAS DE HORA PROY.'!$F$2:$F$943,'HOJAS DE HORA PROY.'!$A$2:$A$943,'PLAN MAESTRO FINAL'!$A161,'HOJAS DE HORA PROY.'!$M$2:$M$943,P$113)</f>
        <v>0</v>
      </c>
      <c r="Q161" s="8">
        <f>SUMIFS('HOJAS DE HORA PROY.'!$F$2:$F$943,'HOJAS DE HORA PROY.'!$A$2:$A$943,'PLAN MAESTRO FINAL'!$A161,'HOJAS DE HORA PROY.'!$M$2:$M$943,Q$113)</f>
        <v>0</v>
      </c>
      <c r="R161" s="8">
        <f>SUMIFS('HOJAS DE HORA PROY.'!$F$2:$F$943,'HOJAS DE HORA PROY.'!$A$2:$A$943,'PLAN MAESTRO FINAL'!$A161,'HOJAS DE HORA PROY.'!$M$2:$M$943,R$113)</f>
        <v>0</v>
      </c>
      <c r="S161" s="8">
        <f>SUMIFS('HOJAS DE HORA PROY.'!$F$2:$F$943,'HOJAS DE HORA PROY.'!$A$2:$A$943,'PLAN MAESTRO FINAL'!$A161,'HOJAS DE HORA PROY.'!$M$2:$M$943,S$113)</f>
        <v>0</v>
      </c>
      <c r="T161" s="8">
        <f>SUMIFS('HOJAS DE HORA PROY.'!$F$2:$F$943,'HOJAS DE HORA PROY.'!$A$2:$A$943,'PLAN MAESTRO FINAL'!$A161,'HOJAS DE HORA PROY.'!$M$2:$M$943,T$113)</f>
        <v>0</v>
      </c>
      <c r="U161" s="8">
        <f>SUMIFS('HOJAS DE HORA PROY.'!$F$2:$F$943,'HOJAS DE HORA PROY.'!$A$2:$A$943,'PLAN MAESTRO FINAL'!$A161,'HOJAS DE HORA PROY.'!$M$2:$M$943,U$113)</f>
        <v>0</v>
      </c>
      <c r="V161" s="8">
        <f>SUMIFS('HOJAS DE HORA PROY.'!$F$2:$F$943,'HOJAS DE HORA PROY.'!$A$2:$A$943,'PLAN MAESTRO FINAL'!$A161,'HOJAS DE HORA PROY.'!$M$2:$M$943,V$113)</f>
        <v>0</v>
      </c>
      <c r="W161" s="8">
        <f>SUMIFS('HOJAS DE HORA PROY.'!$F$2:$F$943,'HOJAS DE HORA PROY.'!$A$2:$A$943,'PLAN MAESTRO FINAL'!$A161,'HOJAS DE HORA PROY.'!$M$2:$M$943,W$113)</f>
        <v>0</v>
      </c>
    </row>
    <row r="162" spans="1:23" hidden="1" outlineLevel="1" x14ac:dyDescent="0.3">
      <c r="A162" s="13" t="s">
        <v>231</v>
      </c>
      <c r="B162" s="8">
        <f>SUMIFS('HOJAS DE HORA PROY.'!$F$2:$F$943,'HOJAS DE HORA PROY.'!$A$2:$A$943,'PLAN MAESTRO FINAL'!$A162,'HOJAS DE HORA PROY.'!$M$2:$M$943,B$113)</f>
        <v>0</v>
      </c>
      <c r="C162" s="8">
        <f>SUMIFS('HOJAS DE HORA PROY.'!$F$2:$F$943,'HOJAS DE HORA PROY.'!$A$2:$A$943,'PLAN MAESTRO FINAL'!$A162,'HOJAS DE HORA PROY.'!$M$2:$M$943,C$113)</f>
        <v>0</v>
      </c>
      <c r="D162" s="8">
        <f>SUMIFS('HOJAS DE HORA PROY.'!$F$2:$F$943,'HOJAS DE HORA PROY.'!$A$2:$A$943,'PLAN MAESTRO FINAL'!$A162,'HOJAS DE HORA PROY.'!$M$2:$M$943,D$113)</f>
        <v>0</v>
      </c>
      <c r="E162" s="8">
        <f>SUMIFS('HOJAS DE HORA PROY.'!$F$2:$F$943,'HOJAS DE HORA PROY.'!$A$2:$A$943,'PLAN MAESTRO FINAL'!$A162,'HOJAS DE HORA PROY.'!$M$2:$M$943,E$113)</f>
        <v>0</v>
      </c>
      <c r="F162" s="8">
        <f>SUMIFS('HOJAS DE HORA PROY.'!$F$2:$F$943,'HOJAS DE HORA PROY.'!$A$2:$A$943,'PLAN MAESTRO FINAL'!$A162,'HOJAS DE HORA PROY.'!$M$2:$M$943,F$113)</f>
        <v>0</v>
      </c>
      <c r="G162" s="8">
        <f>SUMIFS('HOJAS DE HORA PROY.'!$F$2:$F$943,'HOJAS DE HORA PROY.'!$A$2:$A$943,'PLAN MAESTRO FINAL'!$A162,'HOJAS DE HORA PROY.'!$M$2:$M$943,G$113)</f>
        <v>2</v>
      </c>
      <c r="H162" s="8">
        <f>SUMIFS('HOJAS DE HORA PROY.'!$F$2:$F$943,'HOJAS DE HORA PROY.'!$A$2:$A$943,'PLAN MAESTRO FINAL'!$A162,'HOJAS DE HORA PROY.'!$M$2:$M$943,H$113)</f>
        <v>0</v>
      </c>
      <c r="I162" s="8">
        <f>SUMIFS('HOJAS DE HORA PROY.'!$F$2:$F$943,'HOJAS DE HORA PROY.'!$A$2:$A$943,'PLAN MAESTRO FINAL'!$A162,'HOJAS DE HORA PROY.'!$M$2:$M$943,I$113)</f>
        <v>0</v>
      </c>
      <c r="J162" s="8">
        <f>SUMIFS('HOJAS DE HORA PROY.'!$F$2:$F$943,'HOJAS DE HORA PROY.'!$A$2:$A$943,'PLAN MAESTRO FINAL'!$A162,'HOJAS DE HORA PROY.'!$M$2:$M$943,J$113)</f>
        <v>0</v>
      </c>
      <c r="K162" s="8">
        <f>SUMIFS('HOJAS DE HORA PROY.'!$F$2:$F$943,'HOJAS DE HORA PROY.'!$A$2:$A$943,'PLAN MAESTRO FINAL'!$A162,'HOJAS DE HORA PROY.'!$M$2:$M$943,K$113)</f>
        <v>0</v>
      </c>
      <c r="L162" s="8">
        <f>SUMIFS('HOJAS DE HORA PROY.'!$F$2:$F$943,'HOJAS DE HORA PROY.'!$A$2:$A$943,'PLAN MAESTRO FINAL'!$A162,'HOJAS DE HORA PROY.'!$M$2:$M$943,L$113)</f>
        <v>0</v>
      </c>
      <c r="M162" s="8">
        <f>SUMIFS('HOJAS DE HORA PROY.'!$F$2:$F$943,'HOJAS DE HORA PROY.'!$A$2:$A$943,'PLAN MAESTRO FINAL'!$A162,'HOJAS DE HORA PROY.'!$M$2:$M$943,M$113)</f>
        <v>0</v>
      </c>
      <c r="N162" s="8">
        <f>SUMIFS('HOJAS DE HORA PROY.'!$F$2:$F$943,'HOJAS DE HORA PROY.'!$A$2:$A$943,'PLAN MAESTRO FINAL'!$A162,'HOJAS DE HORA PROY.'!$M$2:$M$943,N$113)</f>
        <v>0</v>
      </c>
      <c r="O162" s="8">
        <f>SUMIFS('HOJAS DE HORA PROY.'!$F$2:$F$943,'HOJAS DE HORA PROY.'!$A$2:$A$943,'PLAN MAESTRO FINAL'!$A162,'HOJAS DE HORA PROY.'!$M$2:$M$943,O$113)</f>
        <v>0</v>
      </c>
      <c r="P162" s="8">
        <f>SUMIFS('HOJAS DE HORA PROY.'!$F$2:$F$943,'HOJAS DE HORA PROY.'!$A$2:$A$943,'PLAN MAESTRO FINAL'!$A162,'HOJAS DE HORA PROY.'!$M$2:$M$943,P$113)</f>
        <v>0</v>
      </c>
      <c r="Q162" s="8">
        <f>SUMIFS('HOJAS DE HORA PROY.'!$F$2:$F$943,'HOJAS DE HORA PROY.'!$A$2:$A$943,'PLAN MAESTRO FINAL'!$A162,'HOJAS DE HORA PROY.'!$M$2:$M$943,Q$113)</f>
        <v>0</v>
      </c>
      <c r="R162" s="8">
        <f>SUMIFS('HOJAS DE HORA PROY.'!$F$2:$F$943,'HOJAS DE HORA PROY.'!$A$2:$A$943,'PLAN MAESTRO FINAL'!$A162,'HOJAS DE HORA PROY.'!$M$2:$M$943,R$113)</f>
        <v>0</v>
      </c>
      <c r="S162" s="8">
        <f>SUMIFS('HOJAS DE HORA PROY.'!$F$2:$F$943,'HOJAS DE HORA PROY.'!$A$2:$A$943,'PLAN MAESTRO FINAL'!$A162,'HOJAS DE HORA PROY.'!$M$2:$M$943,S$113)</f>
        <v>0</v>
      </c>
      <c r="T162" s="8">
        <f>SUMIFS('HOJAS DE HORA PROY.'!$F$2:$F$943,'HOJAS DE HORA PROY.'!$A$2:$A$943,'PLAN MAESTRO FINAL'!$A162,'HOJAS DE HORA PROY.'!$M$2:$M$943,T$113)</f>
        <v>0</v>
      </c>
      <c r="U162" s="8">
        <f>SUMIFS('HOJAS DE HORA PROY.'!$F$2:$F$943,'HOJAS DE HORA PROY.'!$A$2:$A$943,'PLAN MAESTRO FINAL'!$A162,'HOJAS DE HORA PROY.'!$M$2:$M$943,U$113)</f>
        <v>0</v>
      </c>
      <c r="V162" s="8">
        <f>SUMIFS('HOJAS DE HORA PROY.'!$F$2:$F$943,'HOJAS DE HORA PROY.'!$A$2:$A$943,'PLAN MAESTRO FINAL'!$A162,'HOJAS DE HORA PROY.'!$M$2:$M$943,V$113)</f>
        <v>0</v>
      </c>
      <c r="W162" s="8">
        <f>SUMIFS('HOJAS DE HORA PROY.'!$F$2:$F$943,'HOJAS DE HORA PROY.'!$A$2:$A$943,'PLAN MAESTRO FINAL'!$A162,'HOJAS DE HORA PROY.'!$M$2:$M$943,W$113)</f>
        <v>0</v>
      </c>
    </row>
    <row r="163" spans="1:23" hidden="1" outlineLevel="1" x14ac:dyDescent="0.3">
      <c r="A163" s="13" t="s">
        <v>245</v>
      </c>
      <c r="B163" s="8">
        <f>SUMIFS('HOJAS DE HORA PROY.'!$F$2:$F$943,'HOJAS DE HORA PROY.'!$A$2:$A$943,'PLAN MAESTRO FINAL'!$A163,'HOJAS DE HORA PROY.'!$M$2:$M$943,B$113)</f>
        <v>0</v>
      </c>
      <c r="C163" s="8">
        <f>SUMIFS('HOJAS DE HORA PROY.'!$F$2:$F$943,'HOJAS DE HORA PROY.'!$A$2:$A$943,'PLAN MAESTRO FINAL'!$A163,'HOJAS DE HORA PROY.'!$M$2:$M$943,C$113)</f>
        <v>0</v>
      </c>
      <c r="D163" s="8">
        <f>SUMIFS('HOJAS DE HORA PROY.'!$F$2:$F$943,'HOJAS DE HORA PROY.'!$A$2:$A$943,'PLAN MAESTRO FINAL'!$A163,'HOJAS DE HORA PROY.'!$M$2:$M$943,D$113)</f>
        <v>0</v>
      </c>
      <c r="E163" s="8">
        <f>SUMIFS('HOJAS DE HORA PROY.'!$F$2:$F$943,'HOJAS DE HORA PROY.'!$A$2:$A$943,'PLAN MAESTRO FINAL'!$A163,'HOJAS DE HORA PROY.'!$M$2:$M$943,E$113)</f>
        <v>0</v>
      </c>
      <c r="F163" s="8">
        <f>SUMIFS('HOJAS DE HORA PROY.'!$F$2:$F$943,'HOJAS DE HORA PROY.'!$A$2:$A$943,'PLAN MAESTRO FINAL'!$A163,'HOJAS DE HORA PROY.'!$M$2:$M$943,F$113)</f>
        <v>0</v>
      </c>
      <c r="G163" s="8">
        <f>SUMIFS('HOJAS DE HORA PROY.'!$F$2:$F$943,'HOJAS DE HORA PROY.'!$A$2:$A$943,'PLAN MAESTRO FINAL'!$A163,'HOJAS DE HORA PROY.'!$M$2:$M$943,G$113)</f>
        <v>0</v>
      </c>
      <c r="H163" s="8">
        <f>SUMIFS('HOJAS DE HORA PROY.'!$F$2:$F$943,'HOJAS DE HORA PROY.'!$A$2:$A$943,'PLAN MAESTRO FINAL'!$A163,'HOJAS DE HORA PROY.'!$M$2:$M$943,H$113)</f>
        <v>0</v>
      </c>
      <c r="I163" s="8">
        <f>SUMIFS('HOJAS DE HORA PROY.'!$F$2:$F$943,'HOJAS DE HORA PROY.'!$A$2:$A$943,'PLAN MAESTRO FINAL'!$A163,'HOJAS DE HORA PROY.'!$M$2:$M$943,I$113)</f>
        <v>0</v>
      </c>
      <c r="J163" s="8">
        <f>SUMIFS('HOJAS DE HORA PROY.'!$F$2:$F$943,'HOJAS DE HORA PROY.'!$A$2:$A$943,'PLAN MAESTRO FINAL'!$A163,'HOJAS DE HORA PROY.'!$M$2:$M$943,J$113)</f>
        <v>0</v>
      </c>
      <c r="K163" s="8">
        <f>SUMIFS('HOJAS DE HORA PROY.'!$F$2:$F$943,'HOJAS DE HORA PROY.'!$A$2:$A$943,'PLAN MAESTRO FINAL'!$A163,'HOJAS DE HORA PROY.'!$M$2:$M$943,K$113)</f>
        <v>0</v>
      </c>
      <c r="L163" s="8">
        <f>SUMIFS('HOJAS DE HORA PROY.'!$F$2:$F$943,'HOJAS DE HORA PROY.'!$A$2:$A$943,'PLAN MAESTRO FINAL'!$A163,'HOJAS DE HORA PROY.'!$M$2:$M$943,L$113)</f>
        <v>0</v>
      </c>
      <c r="M163" s="8">
        <f>SUMIFS('HOJAS DE HORA PROY.'!$F$2:$F$943,'HOJAS DE HORA PROY.'!$A$2:$A$943,'PLAN MAESTRO FINAL'!$A163,'HOJAS DE HORA PROY.'!$M$2:$M$943,M$113)</f>
        <v>0</v>
      </c>
      <c r="N163" s="8">
        <f>SUMIFS('HOJAS DE HORA PROY.'!$F$2:$F$943,'HOJAS DE HORA PROY.'!$A$2:$A$943,'PLAN MAESTRO FINAL'!$A163,'HOJAS DE HORA PROY.'!$M$2:$M$943,N$113)</f>
        <v>0</v>
      </c>
      <c r="O163" s="8">
        <f>SUMIFS('HOJAS DE HORA PROY.'!$F$2:$F$943,'HOJAS DE HORA PROY.'!$A$2:$A$943,'PLAN MAESTRO FINAL'!$A163,'HOJAS DE HORA PROY.'!$M$2:$M$943,O$113)</f>
        <v>0</v>
      </c>
      <c r="P163" s="8">
        <f>SUMIFS('HOJAS DE HORA PROY.'!$F$2:$F$943,'HOJAS DE HORA PROY.'!$A$2:$A$943,'PLAN MAESTRO FINAL'!$A163,'HOJAS DE HORA PROY.'!$M$2:$M$943,P$113)</f>
        <v>0</v>
      </c>
      <c r="Q163" s="8">
        <f>SUMIFS('HOJAS DE HORA PROY.'!$F$2:$F$943,'HOJAS DE HORA PROY.'!$A$2:$A$943,'PLAN MAESTRO FINAL'!$A163,'HOJAS DE HORA PROY.'!$M$2:$M$943,Q$113)</f>
        <v>0</v>
      </c>
      <c r="R163" s="8">
        <f>SUMIFS('HOJAS DE HORA PROY.'!$F$2:$F$943,'HOJAS DE HORA PROY.'!$A$2:$A$943,'PLAN MAESTRO FINAL'!$A163,'HOJAS DE HORA PROY.'!$M$2:$M$943,R$113)</f>
        <v>0</v>
      </c>
      <c r="S163" s="8">
        <f>SUMIFS('HOJAS DE HORA PROY.'!$F$2:$F$943,'HOJAS DE HORA PROY.'!$A$2:$A$943,'PLAN MAESTRO FINAL'!$A163,'HOJAS DE HORA PROY.'!$M$2:$M$943,S$113)</f>
        <v>0</v>
      </c>
      <c r="T163" s="8">
        <f>SUMIFS('HOJAS DE HORA PROY.'!$F$2:$F$943,'HOJAS DE HORA PROY.'!$A$2:$A$943,'PLAN MAESTRO FINAL'!$A163,'HOJAS DE HORA PROY.'!$M$2:$M$943,T$113)</f>
        <v>0</v>
      </c>
      <c r="U163" s="8">
        <f>SUMIFS('HOJAS DE HORA PROY.'!$F$2:$F$943,'HOJAS DE HORA PROY.'!$A$2:$A$943,'PLAN MAESTRO FINAL'!$A163,'HOJAS DE HORA PROY.'!$M$2:$M$943,U$113)</f>
        <v>0</v>
      </c>
      <c r="V163" s="8">
        <f>SUMIFS('HOJAS DE HORA PROY.'!$F$2:$F$943,'HOJAS DE HORA PROY.'!$A$2:$A$943,'PLAN MAESTRO FINAL'!$A163,'HOJAS DE HORA PROY.'!$M$2:$M$943,V$113)</f>
        <v>0</v>
      </c>
      <c r="W163" s="8">
        <f>SUMIFS('HOJAS DE HORA PROY.'!$F$2:$F$943,'HOJAS DE HORA PROY.'!$A$2:$A$943,'PLAN MAESTRO FINAL'!$A163,'HOJAS DE HORA PROY.'!$M$2:$M$943,W$113)</f>
        <v>0</v>
      </c>
    </row>
    <row r="164" spans="1:23" hidden="1" outlineLevel="1" x14ac:dyDescent="0.3">
      <c r="A164" s="13" t="s">
        <v>262</v>
      </c>
      <c r="B164" s="8">
        <f>SUMIFS('HOJAS DE HORA PROY.'!$F$2:$F$943,'HOJAS DE HORA PROY.'!$A$2:$A$943,'PLAN MAESTRO FINAL'!$A164,'HOJAS DE HORA PROY.'!$M$2:$M$943,B$113)</f>
        <v>0</v>
      </c>
      <c r="C164" s="8">
        <f>SUMIFS('HOJAS DE HORA PROY.'!$F$2:$F$943,'HOJAS DE HORA PROY.'!$A$2:$A$943,'PLAN MAESTRO FINAL'!$A164,'HOJAS DE HORA PROY.'!$M$2:$M$943,C$113)</f>
        <v>0</v>
      </c>
      <c r="D164" s="8">
        <f>SUMIFS('HOJAS DE HORA PROY.'!$F$2:$F$943,'HOJAS DE HORA PROY.'!$A$2:$A$943,'PLAN MAESTRO FINAL'!$A164,'HOJAS DE HORA PROY.'!$M$2:$M$943,D$113)</f>
        <v>0</v>
      </c>
      <c r="E164" s="8">
        <f>SUMIFS('HOJAS DE HORA PROY.'!$F$2:$F$943,'HOJAS DE HORA PROY.'!$A$2:$A$943,'PLAN MAESTRO FINAL'!$A164,'HOJAS DE HORA PROY.'!$M$2:$M$943,E$113)</f>
        <v>0</v>
      </c>
      <c r="F164" s="8">
        <f>SUMIFS('HOJAS DE HORA PROY.'!$F$2:$F$943,'HOJAS DE HORA PROY.'!$A$2:$A$943,'PLAN MAESTRO FINAL'!$A164,'HOJAS DE HORA PROY.'!$M$2:$M$943,F$113)</f>
        <v>0</v>
      </c>
      <c r="G164" s="8">
        <f>SUMIFS('HOJAS DE HORA PROY.'!$F$2:$F$943,'HOJAS DE HORA PROY.'!$A$2:$A$943,'PLAN MAESTRO FINAL'!$A164,'HOJAS DE HORA PROY.'!$M$2:$M$943,G$113)</f>
        <v>0</v>
      </c>
      <c r="H164" s="8">
        <f>SUMIFS('HOJAS DE HORA PROY.'!$F$2:$F$943,'HOJAS DE HORA PROY.'!$A$2:$A$943,'PLAN MAESTRO FINAL'!$A164,'HOJAS DE HORA PROY.'!$M$2:$M$943,H$113)</f>
        <v>0</v>
      </c>
      <c r="I164" s="8">
        <f>SUMIFS('HOJAS DE HORA PROY.'!$F$2:$F$943,'HOJAS DE HORA PROY.'!$A$2:$A$943,'PLAN MAESTRO FINAL'!$A164,'HOJAS DE HORA PROY.'!$M$2:$M$943,I$113)</f>
        <v>0</v>
      </c>
      <c r="J164" s="8">
        <f>SUMIFS('HOJAS DE HORA PROY.'!$F$2:$F$943,'HOJAS DE HORA PROY.'!$A$2:$A$943,'PLAN MAESTRO FINAL'!$A164,'HOJAS DE HORA PROY.'!$M$2:$M$943,J$113)</f>
        <v>0</v>
      </c>
      <c r="K164" s="8">
        <f>SUMIFS('HOJAS DE HORA PROY.'!$F$2:$F$943,'HOJAS DE HORA PROY.'!$A$2:$A$943,'PLAN MAESTRO FINAL'!$A164,'HOJAS DE HORA PROY.'!$M$2:$M$943,K$113)</f>
        <v>0</v>
      </c>
      <c r="L164" s="8">
        <f>SUMIFS('HOJAS DE HORA PROY.'!$F$2:$F$943,'HOJAS DE HORA PROY.'!$A$2:$A$943,'PLAN MAESTRO FINAL'!$A164,'HOJAS DE HORA PROY.'!$M$2:$M$943,L$113)</f>
        <v>0</v>
      </c>
      <c r="M164" s="8">
        <f>SUMIFS('HOJAS DE HORA PROY.'!$F$2:$F$943,'HOJAS DE HORA PROY.'!$A$2:$A$943,'PLAN MAESTRO FINAL'!$A164,'HOJAS DE HORA PROY.'!$M$2:$M$943,M$113)</f>
        <v>0</v>
      </c>
      <c r="N164" s="8">
        <f>SUMIFS('HOJAS DE HORA PROY.'!$F$2:$F$943,'HOJAS DE HORA PROY.'!$A$2:$A$943,'PLAN MAESTRO FINAL'!$A164,'HOJAS DE HORA PROY.'!$M$2:$M$943,N$113)</f>
        <v>0</v>
      </c>
      <c r="O164" s="8">
        <f>SUMIFS('HOJAS DE HORA PROY.'!$F$2:$F$943,'HOJAS DE HORA PROY.'!$A$2:$A$943,'PLAN MAESTRO FINAL'!$A164,'HOJAS DE HORA PROY.'!$M$2:$M$943,O$113)</f>
        <v>0</v>
      </c>
      <c r="P164" s="8">
        <f>SUMIFS('HOJAS DE HORA PROY.'!$F$2:$F$943,'HOJAS DE HORA PROY.'!$A$2:$A$943,'PLAN MAESTRO FINAL'!$A164,'HOJAS DE HORA PROY.'!$M$2:$M$943,P$113)</f>
        <v>0</v>
      </c>
      <c r="Q164" s="8">
        <f>SUMIFS('HOJAS DE HORA PROY.'!$F$2:$F$943,'HOJAS DE HORA PROY.'!$A$2:$A$943,'PLAN MAESTRO FINAL'!$A164,'HOJAS DE HORA PROY.'!$M$2:$M$943,Q$113)</f>
        <v>0</v>
      </c>
      <c r="R164" s="8">
        <f>SUMIFS('HOJAS DE HORA PROY.'!$F$2:$F$943,'HOJAS DE HORA PROY.'!$A$2:$A$943,'PLAN MAESTRO FINAL'!$A164,'HOJAS DE HORA PROY.'!$M$2:$M$943,R$113)</f>
        <v>0</v>
      </c>
      <c r="S164" s="8">
        <f>SUMIFS('HOJAS DE HORA PROY.'!$F$2:$F$943,'HOJAS DE HORA PROY.'!$A$2:$A$943,'PLAN MAESTRO FINAL'!$A164,'HOJAS DE HORA PROY.'!$M$2:$M$943,S$113)</f>
        <v>0</v>
      </c>
      <c r="T164" s="8">
        <f>SUMIFS('HOJAS DE HORA PROY.'!$F$2:$F$943,'HOJAS DE HORA PROY.'!$A$2:$A$943,'PLAN MAESTRO FINAL'!$A164,'HOJAS DE HORA PROY.'!$M$2:$M$943,T$113)</f>
        <v>0</v>
      </c>
      <c r="U164" s="8">
        <f>SUMIFS('HOJAS DE HORA PROY.'!$F$2:$F$943,'HOJAS DE HORA PROY.'!$A$2:$A$943,'PLAN MAESTRO FINAL'!$A164,'HOJAS DE HORA PROY.'!$M$2:$M$943,U$113)</f>
        <v>0</v>
      </c>
      <c r="V164" s="8">
        <f>SUMIFS('HOJAS DE HORA PROY.'!$F$2:$F$943,'HOJAS DE HORA PROY.'!$A$2:$A$943,'PLAN MAESTRO FINAL'!$A164,'HOJAS DE HORA PROY.'!$M$2:$M$943,V$113)</f>
        <v>0</v>
      </c>
      <c r="W164" s="8">
        <f>SUMIFS('HOJAS DE HORA PROY.'!$F$2:$F$943,'HOJAS DE HORA PROY.'!$A$2:$A$943,'PLAN MAESTRO FINAL'!$A164,'HOJAS DE HORA PROY.'!$M$2:$M$943,W$113)</f>
        <v>0</v>
      </c>
    </row>
    <row r="165" spans="1:23" hidden="1" outlineLevel="1" x14ac:dyDescent="0.3">
      <c r="A165" s="13" t="s">
        <v>265</v>
      </c>
      <c r="B165" s="8">
        <f>SUMIFS('HOJAS DE HORA PROY.'!$F$2:$F$943,'HOJAS DE HORA PROY.'!$A$2:$A$943,'PLAN MAESTRO FINAL'!$A165,'HOJAS DE HORA PROY.'!$M$2:$M$943,B$113)</f>
        <v>0</v>
      </c>
      <c r="C165" s="8">
        <f>SUMIFS('HOJAS DE HORA PROY.'!$F$2:$F$943,'HOJAS DE HORA PROY.'!$A$2:$A$943,'PLAN MAESTRO FINAL'!$A165,'HOJAS DE HORA PROY.'!$M$2:$M$943,C$113)</f>
        <v>0</v>
      </c>
      <c r="D165" s="8">
        <f>SUMIFS('HOJAS DE HORA PROY.'!$F$2:$F$943,'HOJAS DE HORA PROY.'!$A$2:$A$943,'PLAN MAESTRO FINAL'!$A165,'HOJAS DE HORA PROY.'!$M$2:$M$943,D$113)</f>
        <v>0</v>
      </c>
      <c r="E165" s="8">
        <f>SUMIFS('HOJAS DE HORA PROY.'!$F$2:$F$943,'HOJAS DE HORA PROY.'!$A$2:$A$943,'PLAN MAESTRO FINAL'!$A165,'HOJAS DE HORA PROY.'!$M$2:$M$943,E$113)</f>
        <v>0</v>
      </c>
      <c r="F165" s="8">
        <f>SUMIFS('HOJAS DE HORA PROY.'!$F$2:$F$943,'HOJAS DE HORA PROY.'!$A$2:$A$943,'PLAN MAESTRO FINAL'!$A165,'HOJAS DE HORA PROY.'!$M$2:$M$943,F$113)</f>
        <v>0</v>
      </c>
      <c r="G165" s="8">
        <f>SUMIFS('HOJAS DE HORA PROY.'!$F$2:$F$943,'HOJAS DE HORA PROY.'!$A$2:$A$943,'PLAN MAESTRO FINAL'!$A165,'HOJAS DE HORA PROY.'!$M$2:$M$943,G$113)</f>
        <v>0</v>
      </c>
      <c r="H165" s="8">
        <f>SUMIFS('HOJAS DE HORA PROY.'!$F$2:$F$943,'HOJAS DE HORA PROY.'!$A$2:$A$943,'PLAN MAESTRO FINAL'!$A165,'HOJAS DE HORA PROY.'!$M$2:$M$943,H$113)</f>
        <v>0</v>
      </c>
      <c r="I165" s="8">
        <f>SUMIFS('HOJAS DE HORA PROY.'!$F$2:$F$943,'HOJAS DE HORA PROY.'!$A$2:$A$943,'PLAN MAESTRO FINAL'!$A165,'HOJAS DE HORA PROY.'!$M$2:$M$943,I$113)</f>
        <v>0</v>
      </c>
      <c r="J165" s="8">
        <f>SUMIFS('HOJAS DE HORA PROY.'!$F$2:$F$943,'HOJAS DE HORA PROY.'!$A$2:$A$943,'PLAN MAESTRO FINAL'!$A165,'HOJAS DE HORA PROY.'!$M$2:$M$943,J$113)</f>
        <v>0</v>
      </c>
      <c r="K165" s="8">
        <f>SUMIFS('HOJAS DE HORA PROY.'!$F$2:$F$943,'HOJAS DE HORA PROY.'!$A$2:$A$943,'PLAN MAESTRO FINAL'!$A165,'HOJAS DE HORA PROY.'!$M$2:$M$943,K$113)</f>
        <v>0</v>
      </c>
      <c r="L165" s="8">
        <f>SUMIFS('HOJAS DE HORA PROY.'!$F$2:$F$943,'HOJAS DE HORA PROY.'!$A$2:$A$943,'PLAN MAESTRO FINAL'!$A165,'HOJAS DE HORA PROY.'!$M$2:$M$943,L$113)</f>
        <v>0</v>
      </c>
      <c r="M165" s="8">
        <f>SUMIFS('HOJAS DE HORA PROY.'!$F$2:$F$943,'HOJAS DE HORA PROY.'!$A$2:$A$943,'PLAN MAESTRO FINAL'!$A165,'HOJAS DE HORA PROY.'!$M$2:$M$943,M$113)</f>
        <v>0</v>
      </c>
      <c r="N165" s="8">
        <f>SUMIFS('HOJAS DE HORA PROY.'!$F$2:$F$943,'HOJAS DE HORA PROY.'!$A$2:$A$943,'PLAN MAESTRO FINAL'!$A165,'HOJAS DE HORA PROY.'!$M$2:$M$943,N$113)</f>
        <v>0</v>
      </c>
      <c r="O165" s="8">
        <f>SUMIFS('HOJAS DE HORA PROY.'!$F$2:$F$943,'HOJAS DE HORA PROY.'!$A$2:$A$943,'PLAN MAESTRO FINAL'!$A165,'HOJAS DE HORA PROY.'!$M$2:$M$943,O$113)</f>
        <v>0</v>
      </c>
      <c r="P165" s="8">
        <f>SUMIFS('HOJAS DE HORA PROY.'!$F$2:$F$943,'HOJAS DE HORA PROY.'!$A$2:$A$943,'PLAN MAESTRO FINAL'!$A165,'HOJAS DE HORA PROY.'!$M$2:$M$943,P$113)</f>
        <v>0</v>
      </c>
      <c r="Q165" s="8">
        <f>SUMIFS('HOJAS DE HORA PROY.'!$F$2:$F$943,'HOJAS DE HORA PROY.'!$A$2:$A$943,'PLAN MAESTRO FINAL'!$A165,'HOJAS DE HORA PROY.'!$M$2:$M$943,Q$113)</f>
        <v>0</v>
      </c>
      <c r="R165" s="8">
        <f>SUMIFS('HOJAS DE HORA PROY.'!$F$2:$F$943,'HOJAS DE HORA PROY.'!$A$2:$A$943,'PLAN MAESTRO FINAL'!$A165,'HOJAS DE HORA PROY.'!$M$2:$M$943,R$113)</f>
        <v>0</v>
      </c>
      <c r="S165" s="8">
        <f>SUMIFS('HOJAS DE HORA PROY.'!$F$2:$F$943,'HOJAS DE HORA PROY.'!$A$2:$A$943,'PLAN MAESTRO FINAL'!$A165,'HOJAS DE HORA PROY.'!$M$2:$M$943,S$113)</f>
        <v>0</v>
      </c>
      <c r="T165" s="8">
        <f>SUMIFS('HOJAS DE HORA PROY.'!$F$2:$F$943,'HOJAS DE HORA PROY.'!$A$2:$A$943,'PLAN MAESTRO FINAL'!$A165,'HOJAS DE HORA PROY.'!$M$2:$M$943,T$113)</f>
        <v>0</v>
      </c>
      <c r="U165" s="8">
        <f>SUMIFS('HOJAS DE HORA PROY.'!$F$2:$F$943,'HOJAS DE HORA PROY.'!$A$2:$A$943,'PLAN MAESTRO FINAL'!$A165,'HOJAS DE HORA PROY.'!$M$2:$M$943,U$113)</f>
        <v>0</v>
      </c>
      <c r="V165" s="8">
        <f>SUMIFS('HOJAS DE HORA PROY.'!$F$2:$F$943,'HOJAS DE HORA PROY.'!$A$2:$A$943,'PLAN MAESTRO FINAL'!$A165,'HOJAS DE HORA PROY.'!$M$2:$M$943,V$113)</f>
        <v>0</v>
      </c>
      <c r="W165" s="8">
        <f>SUMIFS('HOJAS DE HORA PROY.'!$F$2:$F$943,'HOJAS DE HORA PROY.'!$A$2:$A$943,'PLAN MAESTRO FINAL'!$A165,'HOJAS DE HORA PROY.'!$M$2:$M$943,W$113)</f>
        <v>0</v>
      </c>
    </row>
    <row r="166" spans="1:23" hidden="1" outlineLevel="1" x14ac:dyDescent="0.3">
      <c r="A166" s="13" t="s">
        <v>267</v>
      </c>
      <c r="B166" s="8">
        <f>SUMIFS('HOJAS DE HORA PROY.'!$F$2:$F$943,'HOJAS DE HORA PROY.'!$A$2:$A$943,'PLAN MAESTRO FINAL'!$A166,'HOJAS DE HORA PROY.'!$M$2:$M$943,B$113)</f>
        <v>0</v>
      </c>
      <c r="C166" s="8">
        <f>SUMIFS('HOJAS DE HORA PROY.'!$F$2:$F$943,'HOJAS DE HORA PROY.'!$A$2:$A$943,'PLAN MAESTRO FINAL'!$A166,'HOJAS DE HORA PROY.'!$M$2:$M$943,C$113)</f>
        <v>0</v>
      </c>
      <c r="D166" s="8">
        <f>SUMIFS('HOJAS DE HORA PROY.'!$F$2:$F$943,'HOJAS DE HORA PROY.'!$A$2:$A$943,'PLAN MAESTRO FINAL'!$A166,'HOJAS DE HORA PROY.'!$M$2:$M$943,D$113)</f>
        <v>0</v>
      </c>
      <c r="E166" s="8">
        <f>SUMIFS('HOJAS DE HORA PROY.'!$F$2:$F$943,'HOJAS DE HORA PROY.'!$A$2:$A$943,'PLAN MAESTRO FINAL'!$A166,'HOJAS DE HORA PROY.'!$M$2:$M$943,E$113)</f>
        <v>0</v>
      </c>
      <c r="F166" s="8">
        <f>SUMIFS('HOJAS DE HORA PROY.'!$F$2:$F$943,'HOJAS DE HORA PROY.'!$A$2:$A$943,'PLAN MAESTRO FINAL'!$A166,'HOJAS DE HORA PROY.'!$M$2:$M$943,F$113)</f>
        <v>0</v>
      </c>
      <c r="G166" s="8">
        <f>SUMIFS('HOJAS DE HORA PROY.'!$F$2:$F$943,'HOJAS DE HORA PROY.'!$A$2:$A$943,'PLAN MAESTRO FINAL'!$A166,'HOJAS DE HORA PROY.'!$M$2:$M$943,G$113)</f>
        <v>0</v>
      </c>
      <c r="H166" s="8">
        <f>SUMIFS('HOJAS DE HORA PROY.'!$F$2:$F$943,'HOJAS DE HORA PROY.'!$A$2:$A$943,'PLAN MAESTRO FINAL'!$A166,'HOJAS DE HORA PROY.'!$M$2:$M$943,H$113)</f>
        <v>0</v>
      </c>
      <c r="I166" s="8">
        <f>SUMIFS('HOJAS DE HORA PROY.'!$F$2:$F$943,'HOJAS DE HORA PROY.'!$A$2:$A$943,'PLAN MAESTRO FINAL'!$A166,'HOJAS DE HORA PROY.'!$M$2:$M$943,I$113)</f>
        <v>0</v>
      </c>
      <c r="J166" s="8">
        <f>SUMIFS('HOJAS DE HORA PROY.'!$F$2:$F$943,'HOJAS DE HORA PROY.'!$A$2:$A$943,'PLAN MAESTRO FINAL'!$A166,'HOJAS DE HORA PROY.'!$M$2:$M$943,J$113)</f>
        <v>0</v>
      </c>
      <c r="K166" s="8">
        <f>SUMIFS('HOJAS DE HORA PROY.'!$F$2:$F$943,'HOJAS DE HORA PROY.'!$A$2:$A$943,'PLAN MAESTRO FINAL'!$A166,'HOJAS DE HORA PROY.'!$M$2:$M$943,K$113)</f>
        <v>0</v>
      </c>
      <c r="L166" s="8">
        <f>SUMIFS('HOJAS DE HORA PROY.'!$F$2:$F$943,'HOJAS DE HORA PROY.'!$A$2:$A$943,'PLAN MAESTRO FINAL'!$A166,'HOJAS DE HORA PROY.'!$M$2:$M$943,L$113)</f>
        <v>0</v>
      </c>
      <c r="M166" s="8">
        <f>SUMIFS('HOJAS DE HORA PROY.'!$F$2:$F$943,'HOJAS DE HORA PROY.'!$A$2:$A$943,'PLAN MAESTRO FINAL'!$A166,'HOJAS DE HORA PROY.'!$M$2:$M$943,M$113)</f>
        <v>0</v>
      </c>
      <c r="N166" s="8">
        <f>SUMIFS('HOJAS DE HORA PROY.'!$F$2:$F$943,'HOJAS DE HORA PROY.'!$A$2:$A$943,'PLAN MAESTRO FINAL'!$A166,'HOJAS DE HORA PROY.'!$M$2:$M$943,N$113)</f>
        <v>0</v>
      </c>
      <c r="O166" s="8">
        <f>SUMIFS('HOJAS DE HORA PROY.'!$F$2:$F$943,'HOJAS DE HORA PROY.'!$A$2:$A$943,'PLAN MAESTRO FINAL'!$A166,'HOJAS DE HORA PROY.'!$M$2:$M$943,O$113)</f>
        <v>0</v>
      </c>
      <c r="P166" s="8">
        <f>SUMIFS('HOJAS DE HORA PROY.'!$F$2:$F$943,'HOJAS DE HORA PROY.'!$A$2:$A$943,'PLAN MAESTRO FINAL'!$A166,'HOJAS DE HORA PROY.'!$M$2:$M$943,P$113)</f>
        <v>0</v>
      </c>
      <c r="Q166" s="8">
        <f>SUMIFS('HOJAS DE HORA PROY.'!$F$2:$F$943,'HOJAS DE HORA PROY.'!$A$2:$A$943,'PLAN MAESTRO FINAL'!$A166,'HOJAS DE HORA PROY.'!$M$2:$M$943,Q$113)</f>
        <v>0</v>
      </c>
      <c r="R166" s="8">
        <f>SUMIFS('HOJAS DE HORA PROY.'!$F$2:$F$943,'HOJAS DE HORA PROY.'!$A$2:$A$943,'PLAN MAESTRO FINAL'!$A166,'HOJAS DE HORA PROY.'!$M$2:$M$943,R$113)</f>
        <v>0</v>
      </c>
      <c r="S166" s="8">
        <f>SUMIFS('HOJAS DE HORA PROY.'!$F$2:$F$943,'HOJAS DE HORA PROY.'!$A$2:$A$943,'PLAN MAESTRO FINAL'!$A166,'HOJAS DE HORA PROY.'!$M$2:$M$943,S$113)</f>
        <v>0</v>
      </c>
      <c r="T166" s="8">
        <f>SUMIFS('HOJAS DE HORA PROY.'!$F$2:$F$943,'HOJAS DE HORA PROY.'!$A$2:$A$943,'PLAN MAESTRO FINAL'!$A166,'HOJAS DE HORA PROY.'!$M$2:$M$943,T$113)</f>
        <v>0</v>
      </c>
      <c r="U166" s="8">
        <f>SUMIFS('HOJAS DE HORA PROY.'!$F$2:$F$943,'HOJAS DE HORA PROY.'!$A$2:$A$943,'PLAN MAESTRO FINAL'!$A166,'HOJAS DE HORA PROY.'!$M$2:$M$943,U$113)</f>
        <v>0</v>
      </c>
      <c r="V166" s="8">
        <f>SUMIFS('HOJAS DE HORA PROY.'!$F$2:$F$943,'HOJAS DE HORA PROY.'!$A$2:$A$943,'PLAN MAESTRO FINAL'!$A166,'HOJAS DE HORA PROY.'!$M$2:$M$943,V$113)</f>
        <v>0</v>
      </c>
      <c r="W166" s="8">
        <f>SUMIFS('HOJAS DE HORA PROY.'!$F$2:$F$943,'HOJAS DE HORA PROY.'!$A$2:$A$943,'PLAN MAESTRO FINAL'!$A166,'HOJAS DE HORA PROY.'!$M$2:$M$943,W$113)</f>
        <v>0</v>
      </c>
    </row>
    <row r="167" spans="1:23" hidden="1" outlineLevel="1" x14ac:dyDescent="0.3">
      <c r="A167" s="13" t="s">
        <v>306</v>
      </c>
      <c r="B167" s="8">
        <f>SUMIFS('HOJAS DE HORA PROY.'!$F$2:$F$943,'HOJAS DE HORA PROY.'!$A$2:$A$943,'PLAN MAESTRO FINAL'!$A167,'HOJAS DE HORA PROY.'!$M$2:$M$943,B$113)</f>
        <v>0</v>
      </c>
      <c r="C167" s="8">
        <f>SUMIFS('HOJAS DE HORA PROY.'!$F$2:$F$943,'HOJAS DE HORA PROY.'!$A$2:$A$943,'PLAN MAESTRO FINAL'!$A167,'HOJAS DE HORA PROY.'!$M$2:$M$943,C$113)</f>
        <v>0</v>
      </c>
      <c r="D167" s="8">
        <f>SUMIFS('HOJAS DE HORA PROY.'!$F$2:$F$943,'HOJAS DE HORA PROY.'!$A$2:$A$943,'PLAN MAESTRO FINAL'!$A167,'HOJAS DE HORA PROY.'!$M$2:$M$943,D$113)</f>
        <v>0</v>
      </c>
      <c r="E167" s="8">
        <f>SUMIFS('HOJAS DE HORA PROY.'!$F$2:$F$943,'HOJAS DE HORA PROY.'!$A$2:$A$943,'PLAN MAESTRO FINAL'!$A167,'HOJAS DE HORA PROY.'!$M$2:$M$943,E$113)</f>
        <v>0</v>
      </c>
      <c r="F167" s="8">
        <f>SUMIFS('HOJAS DE HORA PROY.'!$F$2:$F$943,'HOJAS DE HORA PROY.'!$A$2:$A$943,'PLAN MAESTRO FINAL'!$A167,'HOJAS DE HORA PROY.'!$M$2:$M$943,F$113)</f>
        <v>5</v>
      </c>
      <c r="G167" s="8">
        <f>SUMIFS('HOJAS DE HORA PROY.'!$F$2:$F$943,'HOJAS DE HORA PROY.'!$A$2:$A$943,'PLAN MAESTRO FINAL'!$A167,'HOJAS DE HORA PROY.'!$M$2:$M$943,G$113)</f>
        <v>0</v>
      </c>
      <c r="H167" s="8">
        <f>SUMIFS('HOJAS DE HORA PROY.'!$F$2:$F$943,'HOJAS DE HORA PROY.'!$A$2:$A$943,'PLAN MAESTRO FINAL'!$A167,'HOJAS DE HORA PROY.'!$M$2:$M$943,H$113)</f>
        <v>0</v>
      </c>
      <c r="I167" s="8">
        <f>SUMIFS('HOJAS DE HORA PROY.'!$F$2:$F$943,'HOJAS DE HORA PROY.'!$A$2:$A$943,'PLAN MAESTRO FINAL'!$A167,'HOJAS DE HORA PROY.'!$M$2:$M$943,I$113)</f>
        <v>0</v>
      </c>
      <c r="J167" s="8">
        <f>SUMIFS('HOJAS DE HORA PROY.'!$F$2:$F$943,'HOJAS DE HORA PROY.'!$A$2:$A$943,'PLAN MAESTRO FINAL'!$A167,'HOJAS DE HORA PROY.'!$M$2:$M$943,J$113)</f>
        <v>0</v>
      </c>
      <c r="K167" s="8">
        <f>SUMIFS('HOJAS DE HORA PROY.'!$F$2:$F$943,'HOJAS DE HORA PROY.'!$A$2:$A$943,'PLAN MAESTRO FINAL'!$A167,'HOJAS DE HORA PROY.'!$M$2:$M$943,K$113)</f>
        <v>0</v>
      </c>
      <c r="L167" s="8">
        <f>SUMIFS('HOJAS DE HORA PROY.'!$F$2:$F$943,'HOJAS DE HORA PROY.'!$A$2:$A$943,'PLAN MAESTRO FINAL'!$A167,'HOJAS DE HORA PROY.'!$M$2:$M$943,L$113)</f>
        <v>0</v>
      </c>
      <c r="M167" s="8">
        <f>SUMIFS('HOJAS DE HORA PROY.'!$F$2:$F$943,'HOJAS DE HORA PROY.'!$A$2:$A$943,'PLAN MAESTRO FINAL'!$A167,'HOJAS DE HORA PROY.'!$M$2:$M$943,M$113)</f>
        <v>0</v>
      </c>
      <c r="N167" s="8">
        <f>SUMIFS('HOJAS DE HORA PROY.'!$F$2:$F$943,'HOJAS DE HORA PROY.'!$A$2:$A$943,'PLAN MAESTRO FINAL'!$A167,'HOJAS DE HORA PROY.'!$M$2:$M$943,N$113)</f>
        <v>0</v>
      </c>
      <c r="O167" s="8">
        <f>SUMIFS('HOJAS DE HORA PROY.'!$F$2:$F$943,'HOJAS DE HORA PROY.'!$A$2:$A$943,'PLAN MAESTRO FINAL'!$A167,'HOJAS DE HORA PROY.'!$M$2:$M$943,O$113)</f>
        <v>0</v>
      </c>
      <c r="P167" s="8">
        <f>SUMIFS('HOJAS DE HORA PROY.'!$F$2:$F$943,'HOJAS DE HORA PROY.'!$A$2:$A$943,'PLAN MAESTRO FINAL'!$A167,'HOJAS DE HORA PROY.'!$M$2:$M$943,P$113)</f>
        <v>0</v>
      </c>
      <c r="Q167" s="8">
        <f>SUMIFS('HOJAS DE HORA PROY.'!$F$2:$F$943,'HOJAS DE HORA PROY.'!$A$2:$A$943,'PLAN MAESTRO FINAL'!$A167,'HOJAS DE HORA PROY.'!$M$2:$M$943,Q$113)</f>
        <v>0</v>
      </c>
      <c r="R167" s="8">
        <f>SUMIFS('HOJAS DE HORA PROY.'!$F$2:$F$943,'HOJAS DE HORA PROY.'!$A$2:$A$943,'PLAN MAESTRO FINAL'!$A167,'HOJAS DE HORA PROY.'!$M$2:$M$943,R$113)</f>
        <v>0</v>
      </c>
      <c r="S167" s="8">
        <f>SUMIFS('HOJAS DE HORA PROY.'!$F$2:$F$943,'HOJAS DE HORA PROY.'!$A$2:$A$943,'PLAN MAESTRO FINAL'!$A167,'HOJAS DE HORA PROY.'!$M$2:$M$943,S$113)</f>
        <v>0</v>
      </c>
      <c r="T167" s="8">
        <f>SUMIFS('HOJAS DE HORA PROY.'!$F$2:$F$943,'HOJAS DE HORA PROY.'!$A$2:$A$943,'PLAN MAESTRO FINAL'!$A167,'HOJAS DE HORA PROY.'!$M$2:$M$943,T$113)</f>
        <v>0</v>
      </c>
      <c r="U167" s="8">
        <f>SUMIFS('HOJAS DE HORA PROY.'!$F$2:$F$943,'HOJAS DE HORA PROY.'!$A$2:$A$943,'PLAN MAESTRO FINAL'!$A167,'HOJAS DE HORA PROY.'!$M$2:$M$943,U$113)</f>
        <v>0</v>
      </c>
      <c r="V167" s="8">
        <f>SUMIFS('HOJAS DE HORA PROY.'!$F$2:$F$943,'HOJAS DE HORA PROY.'!$A$2:$A$943,'PLAN MAESTRO FINAL'!$A167,'HOJAS DE HORA PROY.'!$M$2:$M$943,V$113)</f>
        <v>0</v>
      </c>
      <c r="W167" s="8">
        <f>SUMIFS('HOJAS DE HORA PROY.'!$F$2:$F$943,'HOJAS DE HORA PROY.'!$A$2:$A$943,'PLAN MAESTRO FINAL'!$A167,'HOJAS DE HORA PROY.'!$M$2:$M$943,W$113)</f>
        <v>0</v>
      </c>
    </row>
    <row r="168" spans="1:23" hidden="1" outlineLevel="1" x14ac:dyDescent="0.3">
      <c r="A168" s="13" t="s">
        <v>307</v>
      </c>
      <c r="B168" s="8">
        <f>SUMIFS('HOJAS DE HORA PROY.'!$F$2:$F$943,'HOJAS DE HORA PROY.'!$A$2:$A$943,'PLAN MAESTRO FINAL'!$A168,'HOJAS DE HORA PROY.'!$M$2:$M$943,B$113)</f>
        <v>0</v>
      </c>
      <c r="C168" s="8">
        <f>SUMIFS('HOJAS DE HORA PROY.'!$F$2:$F$943,'HOJAS DE HORA PROY.'!$A$2:$A$943,'PLAN MAESTRO FINAL'!$A168,'HOJAS DE HORA PROY.'!$M$2:$M$943,C$113)</f>
        <v>0</v>
      </c>
      <c r="D168" s="8">
        <f>SUMIFS('HOJAS DE HORA PROY.'!$F$2:$F$943,'HOJAS DE HORA PROY.'!$A$2:$A$943,'PLAN MAESTRO FINAL'!$A168,'HOJAS DE HORA PROY.'!$M$2:$M$943,D$113)</f>
        <v>0</v>
      </c>
      <c r="E168" s="8">
        <f>SUMIFS('HOJAS DE HORA PROY.'!$F$2:$F$943,'HOJAS DE HORA PROY.'!$A$2:$A$943,'PLAN MAESTRO FINAL'!$A168,'HOJAS DE HORA PROY.'!$M$2:$M$943,E$113)</f>
        <v>0</v>
      </c>
      <c r="F168" s="8">
        <f>SUMIFS('HOJAS DE HORA PROY.'!$F$2:$F$943,'HOJAS DE HORA PROY.'!$A$2:$A$943,'PLAN MAESTRO FINAL'!$A168,'HOJAS DE HORA PROY.'!$M$2:$M$943,F$113)</f>
        <v>0</v>
      </c>
      <c r="G168" s="8">
        <f>SUMIFS('HOJAS DE HORA PROY.'!$F$2:$F$943,'HOJAS DE HORA PROY.'!$A$2:$A$943,'PLAN MAESTRO FINAL'!$A168,'HOJAS DE HORA PROY.'!$M$2:$M$943,G$113)</f>
        <v>0</v>
      </c>
      <c r="H168" s="8">
        <f>SUMIFS('HOJAS DE HORA PROY.'!$F$2:$F$943,'HOJAS DE HORA PROY.'!$A$2:$A$943,'PLAN MAESTRO FINAL'!$A168,'HOJAS DE HORA PROY.'!$M$2:$M$943,H$113)</f>
        <v>0</v>
      </c>
      <c r="I168" s="8">
        <f>SUMIFS('HOJAS DE HORA PROY.'!$F$2:$F$943,'HOJAS DE HORA PROY.'!$A$2:$A$943,'PLAN MAESTRO FINAL'!$A168,'HOJAS DE HORA PROY.'!$M$2:$M$943,I$113)</f>
        <v>0</v>
      </c>
      <c r="J168" s="8">
        <f>SUMIFS('HOJAS DE HORA PROY.'!$F$2:$F$943,'HOJAS DE HORA PROY.'!$A$2:$A$943,'PLAN MAESTRO FINAL'!$A168,'HOJAS DE HORA PROY.'!$M$2:$M$943,J$113)</f>
        <v>0</v>
      </c>
      <c r="K168" s="8">
        <f>SUMIFS('HOJAS DE HORA PROY.'!$F$2:$F$943,'HOJAS DE HORA PROY.'!$A$2:$A$943,'PLAN MAESTRO FINAL'!$A168,'HOJAS DE HORA PROY.'!$M$2:$M$943,K$113)</f>
        <v>0</v>
      </c>
      <c r="L168" s="8">
        <f>SUMIFS('HOJAS DE HORA PROY.'!$F$2:$F$943,'HOJAS DE HORA PROY.'!$A$2:$A$943,'PLAN MAESTRO FINAL'!$A168,'HOJAS DE HORA PROY.'!$M$2:$M$943,L$113)</f>
        <v>0</v>
      </c>
      <c r="M168" s="8">
        <f>SUMIFS('HOJAS DE HORA PROY.'!$F$2:$F$943,'HOJAS DE HORA PROY.'!$A$2:$A$943,'PLAN MAESTRO FINAL'!$A168,'HOJAS DE HORA PROY.'!$M$2:$M$943,M$113)</f>
        <v>0</v>
      </c>
      <c r="N168" s="8">
        <f>SUMIFS('HOJAS DE HORA PROY.'!$F$2:$F$943,'HOJAS DE HORA PROY.'!$A$2:$A$943,'PLAN MAESTRO FINAL'!$A168,'HOJAS DE HORA PROY.'!$M$2:$M$943,N$113)</f>
        <v>0</v>
      </c>
      <c r="O168" s="8">
        <f>SUMIFS('HOJAS DE HORA PROY.'!$F$2:$F$943,'HOJAS DE HORA PROY.'!$A$2:$A$943,'PLAN MAESTRO FINAL'!$A168,'HOJAS DE HORA PROY.'!$M$2:$M$943,O$113)</f>
        <v>0</v>
      </c>
      <c r="P168" s="8">
        <f>SUMIFS('HOJAS DE HORA PROY.'!$F$2:$F$943,'HOJAS DE HORA PROY.'!$A$2:$A$943,'PLAN MAESTRO FINAL'!$A168,'HOJAS DE HORA PROY.'!$M$2:$M$943,P$113)</f>
        <v>0</v>
      </c>
      <c r="Q168" s="8">
        <f>SUMIFS('HOJAS DE HORA PROY.'!$F$2:$F$943,'HOJAS DE HORA PROY.'!$A$2:$A$943,'PLAN MAESTRO FINAL'!$A168,'HOJAS DE HORA PROY.'!$M$2:$M$943,Q$113)</f>
        <v>0</v>
      </c>
      <c r="R168" s="8">
        <f>SUMIFS('HOJAS DE HORA PROY.'!$F$2:$F$943,'HOJAS DE HORA PROY.'!$A$2:$A$943,'PLAN MAESTRO FINAL'!$A168,'HOJAS DE HORA PROY.'!$M$2:$M$943,R$113)</f>
        <v>0</v>
      </c>
      <c r="S168" s="8">
        <f>SUMIFS('HOJAS DE HORA PROY.'!$F$2:$F$943,'HOJAS DE HORA PROY.'!$A$2:$A$943,'PLAN MAESTRO FINAL'!$A168,'HOJAS DE HORA PROY.'!$M$2:$M$943,S$113)</f>
        <v>0</v>
      </c>
      <c r="T168" s="8">
        <f>SUMIFS('HOJAS DE HORA PROY.'!$F$2:$F$943,'HOJAS DE HORA PROY.'!$A$2:$A$943,'PLAN MAESTRO FINAL'!$A168,'HOJAS DE HORA PROY.'!$M$2:$M$943,T$113)</f>
        <v>0</v>
      </c>
      <c r="U168" s="8">
        <f>SUMIFS('HOJAS DE HORA PROY.'!$F$2:$F$943,'HOJAS DE HORA PROY.'!$A$2:$A$943,'PLAN MAESTRO FINAL'!$A168,'HOJAS DE HORA PROY.'!$M$2:$M$943,U$113)</f>
        <v>0</v>
      </c>
      <c r="V168" s="8">
        <f>SUMIFS('HOJAS DE HORA PROY.'!$F$2:$F$943,'HOJAS DE HORA PROY.'!$A$2:$A$943,'PLAN MAESTRO FINAL'!$A168,'HOJAS DE HORA PROY.'!$M$2:$M$943,V$113)</f>
        <v>0</v>
      </c>
      <c r="W168" s="8">
        <f>SUMIFS('HOJAS DE HORA PROY.'!$F$2:$F$943,'HOJAS DE HORA PROY.'!$A$2:$A$943,'PLAN MAESTRO FINAL'!$A168,'HOJAS DE HORA PROY.'!$M$2:$M$943,W$113)</f>
        <v>0</v>
      </c>
    </row>
    <row r="169" spans="1:23" hidden="1" outlineLevel="1" x14ac:dyDescent="0.3">
      <c r="A169" s="13" t="s">
        <v>321</v>
      </c>
      <c r="B169" s="8">
        <f>SUMIFS('HOJAS DE HORA PROY.'!$F$2:$F$943,'HOJAS DE HORA PROY.'!$A$2:$A$943,'PLAN MAESTRO FINAL'!$A169,'HOJAS DE HORA PROY.'!$M$2:$M$943,B$113)</f>
        <v>0</v>
      </c>
      <c r="C169" s="8">
        <f>SUMIFS('HOJAS DE HORA PROY.'!$F$2:$F$943,'HOJAS DE HORA PROY.'!$A$2:$A$943,'PLAN MAESTRO FINAL'!$A169,'HOJAS DE HORA PROY.'!$M$2:$M$943,C$113)</f>
        <v>0</v>
      </c>
      <c r="D169" s="8">
        <f>SUMIFS('HOJAS DE HORA PROY.'!$F$2:$F$943,'HOJAS DE HORA PROY.'!$A$2:$A$943,'PLAN MAESTRO FINAL'!$A169,'HOJAS DE HORA PROY.'!$M$2:$M$943,D$113)</f>
        <v>0</v>
      </c>
      <c r="E169" s="8">
        <f>SUMIFS('HOJAS DE HORA PROY.'!$F$2:$F$943,'HOJAS DE HORA PROY.'!$A$2:$A$943,'PLAN MAESTRO FINAL'!$A169,'HOJAS DE HORA PROY.'!$M$2:$M$943,E$113)</f>
        <v>0</v>
      </c>
      <c r="F169" s="8">
        <f>SUMIFS('HOJAS DE HORA PROY.'!$F$2:$F$943,'HOJAS DE HORA PROY.'!$A$2:$A$943,'PLAN MAESTRO FINAL'!$A169,'HOJAS DE HORA PROY.'!$M$2:$M$943,F$113)</f>
        <v>0</v>
      </c>
      <c r="G169" s="8">
        <f>SUMIFS('HOJAS DE HORA PROY.'!$F$2:$F$943,'HOJAS DE HORA PROY.'!$A$2:$A$943,'PLAN MAESTRO FINAL'!$A169,'HOJAS DE HORA PROY.'!$M$2:$M$943,G$113)</f>
        <v>0</v>
      </c>
      <c r="H169" s="8">
        <f>SUMIFS('HOJAS DE HORA PROY.'!$F$2:$F$943,'HOJAS DE HORA PROY.'!$A$2:$A$943,'PLAN MAESTRO FINAL'!$A169,'HOJAS DE HORA PROY.'!$M$2:$M$943,H$113)</f>
        <v>0</v>
      </c>
      <c r="I169" s="8">
        <f>SUMIFS('HOJAS DE HORA PROY.'!$F$2:$F$943,'HOJAS DE HORA PROY.'!$A$2:$A$943,'PLAN MAESTRO FINAL'!$A169,'HOJAS DE HORA PROY.'!$M$2:$M$943,I$113)</f>
        <v>0</v>
      </c>
      <c r="J169" s="8">
        <f>SUMIFS('HOJAS DE HORA PROY.'!$F$2:$F$943,'HOJAS DE HORA PROY.'!$A$2:$A$943,'PLAN MAESTRO FINAL'!$A169,'HOJAS DE HORA PROY.'!$M$2:$M$943,J$113)</f>
        <v>0</v>
      </c>
      <c r="K169" s="8">
        <f>SUMIFS('HOJAS DE HORA PROY.'!$F$2:$F$943,'HOJAS DE HORA PROY.'!$A$2:$A$943,'PLAN MAESTRO FINAL'!$A169,'HOJAS DE HORA PROY.'!$M$2:$M$943,K$113)</f>
        <v>0</v>
      </c>
      <c r="L169" s="8">
        <f>SUMIFS('HOJAS DE HORA PROY.'!$F$2:$F$943,'HOJAS DE HORA PROY.'!$A$2:$A$943,'PLAN MAESTRO FINAL'!$A169,'HOJAS DE HORA PROY.'!$M$2:$M$943,L$113)</f>
        <v>0</v>
      </c>
      <c r="M169" s="8">
        <f>SUMIFS('HOJAS DE HORA PROY.'!$F$2:$F$943,'HOJAS DE HORA PROY.'!$A$2:$A$943,'PLAN MAESTRO FINAL'!$A169,'HOJAS DE HORA PROY.'!$M$2:$M$943,M$113)</f>
        <v>0</v>
      </c>
      <c r="N169" s="8">
        <f>SUMIFS('HOJAS DE HORA PROY.'!$F$2:$F$943,'HOJAS DE HORA PROY.'!$A$2:$A$943,'PLAN MAESTRO FINAL'!$A169,'HOJAS DE HORA PROY.'!$M$2:$M$943,N$113)</f>
        <v>0</v>
      </c>
      <c r="O169" s="8">
        <f>SUMIFS('HOJAS DE HORA PROY.'!$F$2:$F$943,'HOJAS DE HORA PROY.'!$A$2:$A$943,'PLAN MAESTRO FINAL'!$A169,'HOJAS DE HORA PROY.'!$M$2:$M$943,O$113)</f>
        <v>0</v>
      </c>
      <c r="P169" s="8">
        <f>SUMIFS('HOJAS DE HORA PROY.'!$F$2:$F$943,'HOJAS DE HORA PROY.'!$A$2:$A$943,'PLAN MAESTRO FINAL'!$A169,'HOJAS DE HORA PROY.'!$M$2:$M$943,P$113)</f>
        <v>0</v>
      </c>
      <c r="Q169" s="8">
        <f>SUMIFS('HOJAS DE HORA PROY.'!$F$2:$F$943,'HOJAS DE HORA PROY.'!$A$2:$A$943,'PLAN MAESTRO FINAL'!$A169,'HOJAS DE HORA PROY.'!$M$2:$M$943,Q$113)</f>
        <v>0</v>
      </c>
      <c r="R169" s="8">
        <f>SUMIFS('HOJAS DE HORA PROY.'!$F$2:$F$943,'HOJAS DE HORA PROY.'!$A$2:$A$943,'PLAN MAESTRO FINAL'!$A169,'HOJAS DE HORA PROY.'!$M$2:$M$943,R$113)</f>
        <v>0</v>
      </c>
      <c r="S169" s="8">
        <f>SUMIFS('HOJAS DE HORA PROY.'!$F$2:$F$943,'HOJAS DE HORA PROY.'!$A$2:$A$943,'PLAN MAESTRO FINAL'!$A169,'HOJAS DE HORA PROY.'!$M$2:$M$943,S$113)</f>
        <v>0</v>
      </c>
      <c r="T169" s="8">
        <f>SUMIFS('HOJAS DE HORA PROY.'!$F$2:$F$943,'HOJAS DE HORA PROY.'!$A$2:$A$943,'PLAN MAESTRO FINAL'!$A169,'HOJAS DE HORA PROY.'!$M$2:$M$943,T$113)</f>
        <v>0</v>
      </c>
      <c r="U169" s="8">
        <f>SUMIFS('HOJAS DE HORA PROY.'!$F$2:$F$943,'HOJAS DE HORA PROY.'!$A$2:$A$943,'PLAN MAESTRO FINAL'!$A169,'HOJAS DE HORA PROY.'!$M$2:$M$943,U$113)</f>
        <v>0</v>
      </c>
      <c r="V169" s="8">
        <f>SUMIFS('HOJAS DE HORA PROY.'!$F$2:$F$943,'HOJAS DE HORA PROY.'!$A$2:$A$943,'PLAN MAESTRO FINAL'!$A169,'HOJAS DE HORA PROY.'!$M$2:$M$943,V$113)</f>
        <v>0</v>
      </c>
      <c r="W169" s="8">
        <f>SUMIFS('HOJAS DE HORA PROY.'!$F$2:$F$943,'HOJAS DE HORA PROY.'!$A$2:$A$943,'PLAN MAESTRO FINAL'!$A169,'HOJAS DE HORA PROY.'!$M$2:$M$943,W$113)</f>
        <v>0</v>
      </c>
    </row>
    <row r="170" spans="1:23" hidden="1" outlineLevel="1" x14ac:dyDescent="0.3">
      <c r="A170" s="13" t="s">
        <v>453</v>
      </c>
      <c r="B170" s="8">
        <f>SUMIFS('HOJAS DE HORA PROY.'!$F$2:$F$943,'HOJAS DE HORA PROY.'!$A$2:$A$943,'PLAN MAESTRO FINAL'!$A170,'HOJAS DE HORA PROY.'!$M$2:$M$943,B$113)</f>
        <v>0</v>
      </c>
      <c r="C170" s="8">
        <f>SUMIFS('HOJAS DE HORA PROY.'!$F$2:$F$943,'HOJAS DE HORA PROY.'!$A$2:$A$943,'PLAN MAESTRO FINAL'!$A170,'HOJAS DE HORA PROY.'!$M$2:$M$943,C$113)</f>
        <v>0</v>
      </c>
      <c r="D170" s="8">
        <f>SUMIFS('HOJAS DE HORA PROY.'!$F$2:$F$943,'HOJAS DE HORA PROY.'!$A$2:$A$943,'PLAN MAESTRO FINAL'!$A170,'HOJAS DE HORA PROY.'!$M$2:$M$943,D$113)</f>
        <v>0</v>
      </c>
      <c r="E170" s="8">
        <f>SUMIFS('HOJAS DE HORA PROY.'!$F$2:$F$943,'HOJAS DE HORA PROY.'!$A$2:$A$943,'PLAN MAESTRO FINAL'!$A170,'HOJAS DE HORA PROY.'!$M$2:$M$943,E$113)</f>
        <v>0.5</v>
      </c>
      <c r="F170" s="8">
        <f>SUMIFS('HOJAS DE HORA PROY.'!$F$2:$F$943,'HOJAS DE HORA PROY.'!$A$2:$A$943,'PLAN MAESTRO FINAL'!$A170,'HOJAS DE HORA PROY.'!$M$2:$M$943,F$113)</f>
        <v>0</v>
      </c>
      <c r="G170" s="8">
        <f>SUMIFS('HOJAS DE HORA PROY.'!$F$2:$F$943,'HOJAS DE HORA PROY.'!$A$2:$A$943,'PLAN MAESTRO FINAL'!$A170,'HOJAS DE HORA PROY.'!$M$2:$M$943,G$113)</f>
        <v>0</v>
      </c>
      <c r="H170" s="8">
        <f>SUMIFS('HOJAS DE HORA PROY.'!$F$2:$F$943,'HOJAS DE HORA PROY.'!$A$2:$A$943,'PLAN MAESTRO FINAL'!$A170,'HOJAS DE HORA PROY.'!$M$2:$M$943,H$113)</f>
        <v>0</v>
      </c>
      <c r="I170" s="8">
        <f>SUMIFS('HOJAS DE HORA PROY.'!$F$2:$F$943,'HOJAS DE HORA PROY.'!$A$2:$A$943,'PLAN MAESTRO FINAL'!$A170,'HOJAS DE HORA PROY.'!$M$2:$M$943,I$113)</f>
        <v>0</v>
      </c>
      <c r="J170" s="8">
        <f>SUMIFS('HOJAS DE HORA PROY.'!$F$2:$F$943,'HOJAS DE HORA PROY.'!$A$2:$A$943,'PLAN MAESTRO FINAL'!$A170,'HOJAS DE HORA PROY.'!$M$2:$M$943,J$113)</f>
        <v>0</v>
      </c>
      <c r="K170" s="8">
        <f>SUMIFS('HOJAS DE HORA PROY.'!$F$2:$F$943,'HOJAS DE HORA PROY.'!$A$2:$A$943,'PLAN MAESTRO FINAL'!$A170,'HOJAS DE HORA PROY.'!$M$2:$M$943,K$113)</f>
        <v>0</v>
      </c>
      <c r="L170" s="8">
        <f>SUMIFS('HOJAS DE HORA PROY.'!$F$2:$F$943,'HOJAS DE HORA PROY.'!$A$2:$A$943,'PLAN MAESTRO FINAL'!$A170,'HOJAS DE HORA PROY.'!$M$2:$M$943,L$113)</f>
        <v>0</v>
      </c>
      <c r="M170" s="8">
        <f>SUMIFS('HOJAS DE HORA PROY.'!$F$2:$F$943,'HOJAS DE HORA PROY.'!$A$2:$A$943,'PLAN MAESTRO FINAL'!$A170,'HOJAS DE HORA PROY.'!$M$2:$M$943,M$113)</f>
        <v>0</v>
      </c>
      <c r="N170" s="8">
        <f>SUMIFS('HOJAS DE HORA PROY.'!$F$2:$F$943,'HOJAS DE HORA PROY.'!$A$2:$A$943,'PLAN MAESTRO FINAL'!$A170,'HOJAS DE HORA PROY.'!$M$2:$M$943,N$113)</f>
        <v>0</v>
      </c>
      <c r="O170" s="8">
        <f>SUMIFS('HOJAS DE HORA PROY.'!$F$2:$F$943,'HOJAS DE HORA PROY.'!$A$2:$A$943,'PLAN MAESTRO FINAL'!$A170,'HOJAS DE HORA PROY.'!$M$2:$M$943,O$113)</f>
        <v>0</v>
      </c>
      <c r="P170" s="8">
        <f>SUMIFS('HOJAS DE HORA PROY.'!$F$2:$F$943,'HOJAS DE HORA PROY.'!$A$2:$A$943,'PLAN MAESTRO FINAL'!$A170,'HOJAS DE HORA PROY.'!$M$2:$M$943,P$113)</f>
        <v>0</v>
      </c>
      <c r="Q170" s="8">
        <f>SUMIFS('HOJAS DE HORA PROY.'!$F$2:$F$943,'HOJAS DE HORA PROY.'!$A$2:$A$943,'PLAN MAESTRO FINAL'!$A170,'HOJAS DE HORA PROY.'!$M$2:$M$943,Q$113)</f>
        <v>0</v>
      </c>
      <c r="R170" s="8">
        <f>SUMIFS('HOJAS DE HORA PROY.'!$F$2:$F$943,'HOJAS DE HORA PROY.'!$A$2:$A$943,'PLAN MAESTRO FINAL'!$A170,'HOJAS DE HORA PROY.'!$M$2:$M$943,R$113)</f>
        <v>0</v>
      </c>
      <c r="S170" s="8">
        <f>SUMIFS('HOJAS DE HORA PROY.'!$F$2:$F$943,'HOJAS DE HORA PROY.'!$A$2:$A$943,'PLAN MAESTRO FINAL'!$A170,'HOJAS DE HORA PROY.'!$M$2:$M$943,S$113)</f>
        <v>0</v>
      </c>
      <c r="T170" s="8">
        <f>SUMIFS('HOJAS DE HORA PROY.'!$F$2:$F$943,'HOJAS DE HORA PROY.'!$A$2:$A$943,'PLAN MAESTRO FINAL'!$A170,'HOJAS DE HORA PROY.'!$M$2:$M$943,T$113)</f>
        <v>0</v>
      </c>
      <c r="U170" s="8">
        <f>SUMIFS('HOJAS DE HORA PROY.'!$F$2:$F$943,'HOJAS DE HORA PROY.'!$A$2:$A$943,'PLAN MAESTRO FINAL'!$A170,'HOJAS DE HORA PROY.'!$M$2:$M$943,U$113)</f>
        <v>0</v>
      </c>
      <c r="V170" s="8">
        <f>SUMIFS('HOJAS DE HORA PROY.'!$F$2:$F$943,'HOJAS DE HORA PROY.'!$A$2:$A$943,'PLAN MAESTRO FINAL'!$A170,'HOJAS DE HORA PROY.'!$M$2:$M$943,V$113)</f>
        <v>0</v>
      </c>
      <c r="W170" s="8">
        <f>SUMIFS('HOJAS DE HORA PROY.'!$F$2:$F$943,'HOJAS DE HORA PROY.'!$A$2:$A$943,'PLAN MAESTRO FINAL'!$A170,'HOJAS DE HORA PROY.'!$M$2:$M$943,W$113)</f>
        <v>0</v>
      </c>
    </row>
    <row r="171" spans="1:23" hidden="1" outlineLevel="1" x14ac:dyDescent="0.3">
      <c r="A171" s="13" t="s">
        <v>468</v>
      </c>
      <c r="B171" s="8">
        <f>SUMIFS('HOJAS DE HORA PROY.'!$F$2:$F$943,'HOJAS DE HORA PROY.'!$A$2:$A$943,'PLAN MAESTRO FINAL'!$A171,'HOJAS DE HORA PROY.'!$M$2:$M$943,B$113)</f>
        <v>0</v>
      </c>
      <c r="C171" s="8">
        <f>SUMIFS('HOJAS DE HORA PROY.'!$F$2:$F$943,'HOJAS DE HORA PROY.'!$A$2:$A$943,'PLAN MAESTRO FINAL'!$A171,'HOJAS DE HORA PROY.'!$M$2:$M$943,C$113)</f>
        <v>0</v>
      </c>
      <c r="D171" s="8">
        <f>SUMIFS('HOJAS DE HORA PROY.'!$F$2:$F$943,'HOJAS DE HORA PROY.'!$A$2:$A$943,'PLAN MAESTRO FINAL'!$A171,'HOJAS DE HORA PROY.'!$M$2:$M$943,D$113)</f>
        <v>0</v>
      </c>
      <c r="E171" s="8">
        <f>SUMIFS('HOJAS DE HORA PROY.'!$F$2:$F$943,'HOJAS DE HORA PROY.'!$A$2:$A$943,'PLAN MAESTRO FINAL'!$A171,'HOJAS DE HORA PROY.'!$M$2:$M$943,E$113)</f>
        <v>0</v>
      </c>
      <c r="F171" s="8">
        <f>SUMIFS('HOJAS DE HORA PROY.'!$F$2:$F$943,'HOJAS DE HORA PROY.'!$A$2:$A$943,'PLAN MAESTRO FINAL'!$A171,'HOJAS DE HORA PROY.'!$M$2:$M$943,F$113)</f>
        <v>0.5</v>
      </c>
      <c r="G171" s="8">
        <f>SUMIFS('HOJAS DE HORA PROY.'!$F$2:$F$943,'HOJAS DE HORA PROY.'!$A$2:$A$943,'PLAN MAESTRO FINAL'!$A171,'HOJAS DE HORA PROY.'!$M$2:$M$943,G$113)</f>
        <v>30</v>
      </c>
      <c r="H171" s="8">
        <f>SUMIFS('HOJAS DE HORA PROY.'!$F$2:$F$943,'HOJAS DE HORA PROY.'!$A$2:$A$943,'PLAN MAESTRO FINAL'!$A171,'HOJAS DE HORA PROY.'!$M$2:$M$943,H$113)</f>
        <v>0</v>
      </c>
      <c r="I171" s="8">
        <f>SUMIFS('HOJAS DE HORA PROY.'!$F$2:$F$943,'HOJAS DE HORA PROY.'!$A$2:$A$943,'PLAN MAESTRO FINAL'!$A171,'HOJAS DE HORA PROY.'!$M$2:$M$943,I$113)</f>
        <v>0</v>
      </c>
      <c r="J171" s="8">
        <f>SUMIFS('HOJAS DE HORA PROY.'!$F$2:$F$943,'HOJAS DE HORA PROY.'!$A$2:$A$943,'PLAN MAESTRO FINAL'!$A171,'HOJAS DE HORA PROY.'!$M$2:$M$943,J$113)</f>
        <v>18</v>
      </c>
      <c r="K171" s="8">
        <f>SUMIFS('HOJAS DE HORA PROY.'!$F$2:$F$943,'HOJAS DE HORA PROY.'!$A$2:$A$943,'PLAN MAESTRO FINAL'!$A171,'HOJAS DE HORA PROY.'!$M$2:$M$943,K$113)</f>
        <v>0</v>
      </c>
      <c r="L171" s="8">
        <f>SUMIFS('HOJAS DE HORA PROY.'!$F$2:$F$943,'HOJAS DE HORA PROY.'!$A$2:$A$943,'PLAN MAESTRO FINAL'!$A171,'HOJAS DE HORA PROY.'!$M$2:$M$943,L$113)</f>
        <v>0</v>
      </c>
      <c r="M171" s="8">
        <f>SUMIFS('HOJAS DE HORA PROY.'!$F$2:$F$943,'HOJAS DE HORA PROY.'!$A$2:$A$943,'PLAN MAESTRO FINAL'!$A171,'HOJAS DE HORA PROY.'!$M$2:$M$943,M$113)</f>
        <v>0</v>
      </c>
      <c r="N171" s="8">
        <f>SUMIFS('HOJAS DE HORA PROY.'!$F$2:$F$943,'HOJAS DE HORA PROY.'!$A$2:$A$943,'PLAN MAESTRO FINAL'!$A171,'HOJAS DE HORA PROY.'!$M$2:$M$943,N$113)</f>
        <v>0</v>
      </c>
      <c r="O171" s="8">
        <f>SUMIFS('HOJAS DE HORA PROY.'!$F$2:$F$943,'HOJAS DE HORA PROY.'!$A$2:$A$943,'PLAN MAESTRO FINAL'!$A171,'HOJAS DE HORA PROY.'!$M$2:$M$943,O$113)</f>
        <v>0</v>
      </c>
      <c r="P171" s="8">
        <f>SUMIFS('HOJAS DE HORA PROY.'!$F$2:$F$943,'HOJAS DE HORA PROY.'!$A$2:$A$943,'PLAN MAESTRO FINAL'!$A171,'HOJAS DE HORA PROY.'!$M$2:$M$943,P$113)</f>
        <v>0</v>
      </c>
      <c r="Q171" s="8">
        <f>SUMIFS('HOJAS DE HORA PROY.'!$F$2:$F$943,'HOJAS DE HORA PROY.'!$A$2:$A$943,'PLAN MAESTRO FINAL'!$A171,'HOJAS DE HORA PROY.'!$M$2:$M$943,Q$113)</f>
        <v>0</v>
      </c>
      <c r="R171" s="8">
        <f>SUMIFS('HOJAS DE HORA PROY.'!$F$2:$F$943,'HOJAS DE HORA PROY.'!$A$2:$A$943,'PLAN MAESTRO FINAL'!$A171,'HOJAS DE HORA PROY.'!$M$2:$M$943,R$113)</f>
        <v>0</v>
      </c>
      <c r="S171" s="8">
        <f>SUMIFS('HOJAS DE HORA PROY.'!$F$2:$F$943,'HOJAS DE HORA PROY.'!$A$2:$A$943,'PLAN MAESTRO FINAL'!$A171,'HOJAS DE HORA PROY.'!$M$2:$M$943,S$113)</f>
        <v>0</v>
      </c>
      <c r="T171" s="8">
        <f>SUMIFS('HOJAS DE HORA PROY.'!$F$2:$F$943,'HOJAS DE HORA PROY.'!$A$2:$A$943,'PLAN MAESTRO FINAL'!$A171,'HOJAS DE HORA PROY.'!$M$2:$M$943,T$113)</f>
        <v>0</v>
      </c>
      <c r="U171" s="8">
        <f>SUMIFS('HOJAS DE HORA PROY.'!$F$2:$F$943,'HOJAS DE HORA PROY.'!$A$2:$A$943,'PLAN MAESTRO FINAL'!$A171,'HOJAS DE HORA PROY.'!$M$2:$M$943,U$113)</f>
        <v>0</v>
      </c>
      <c r="V171" s="8">
        <f>SUMIFS('HOJAS DE HORA PROY.'!$F$2:$F$943,'HOJAS DE HORA PROY.'!$A$2:$A$943,'PLAN MAESTRO FINAL'!$A171,'HOJAS DE HORA PROY.'!$M$2:$M$943,V$113)</f>
        <v>0</v>
      </c>
      <c r="W171" s="8">
        <f>SUMIFS('HOJAS DE HORA PROY.'!$F$2:$F$943,'HOJAS DE HORA PROY.'!$A$2:$A$943,'PLAN MAESTRO FINAL'!$A171,'HOJAS DE HORA PROY.'!$M$2:$M$943,W$113)</f>
        <v>0</v>
      </c>
    </row>
    <row r="172" spans="1:23" hidden="1" outlineLevel="1" x14ac:dyDescent="0.3">
      <c r="A172" s="13" t="s">
        <v>553</v>
      </c>
      <c r="B172" s="8">
        <f>SUMIFS('HOJAS DE HORA PROY.'!$F$2:$F$943,'HOJAS DE HORA PROY.'!$A$2:$A$943,'PLAN MAESTRO FINAL'!$A172,'HOJAS DE HORA PROY.'!$M$2:$M$943,B$113)</f>
        <v>0</v>
      </c>
      <c r="C172" s="8">
        <f>SUMIFS('HOJAS DE HORA PROY.'!$F$2:$F$943,'HOJAS DE HORA PROY.'!$A$2:$A$943,'PLAN MAESTRO FINAL'!$A172,'HOJAS DE HORA PROY.'!$M$2:$M$943,C$113)</f>
        <v>0</v>
      </c>
      <c r="D172" s="8">
        <f>SUMIFS('HOJAS DE HORA PROY.'!$F$2:$F$943,'HOJAS DE HORA PROY.'!$A$2:$A$943,'PLAN MAESTRO FINAL'!$A172,'HOJAS DE HORA PROY.'!$M$2:$M$943,D$113)</f>
        <v>0</v>
      </c>
      <c r="E172" s="8">
        <f>SUMIFS('HOJAS DE HORA PROY.'!$F$2:$F$943,'HOJAS DE HORA PROY.'!$A$2:$A$943,'PLAN MAESTRO FINAL'!$A172,'HOJAS DE HORA PROY.'!$M$2:$M$943,E$113)</f>
        <v>0</v>
      </c>
      <c r="F172" s="8">
        <f>SUMIFS('HOJAS DE HORA PROY.'!$F$2:$F$943,'HOJAS DE HORA PROY.'!$A$2:$A$943,'PLAN MAESTRO FINAL'!$A172,'HOJAS DE HORA PROY.'!$M$2:$M$943,F$113)</f>
        <v>0</v>
      </c>
      <c r="G172" s="8">
        <f>SUMIFS('HOJAS DE HORA PROY.'!$F$2:$F$943,'HOJAS DE HORA PROY.'!$A$2:$A$943,'PLAN MAESTRO FINAL'!$A172,'HOJAS DE HORA PROY.'!$M$2:$M$943,G$113)</f>
        <v>18</v>
      </c>
      <c r="H172" s="8">
        <f>SUMIFS('HOJAS DE HORA PROY.'!$F$2:$F$943,'HOJAS DE HORA PROY.'!$A$2:$A$943,'PLAN MAESTRO FINAL'!$A172,'HOJAS DE HORA PROY.'!$M$2:$M$943,H$113)</f>
        <v>0</v>
      </c>
      <c r="I172" s="8">
        <f>SUMIFS('HOJAS DE HORA PROY.'!$F$2:$F$943,'HOJAS DE HORA PROY.'!$A$2:$A$943,'PLAN MAESTRO FINAL'!$A172,'HOJAS DE HORA PROY.'!$M$2:$M$943,I$113)</f>
        <v>0</v>
      </c>
      <c r="J172" s="8">
        <f>SUMIFS('HOJAS DE HORA PROY.'!$F$2:$F$943,'HOJAS DE HORA PROY.'!$A$2:$A$943,'PLAN MAESTRO FINAL'!$A172,'HOJAS DE HORA PROY.'!$M$2:$M$943,J$113)</f>
        <v>0</v>
      </c>
      <c r="K172" s="8">
        <f>SUMIFS('HOJAS DE HORA PROY.'!$F$2:$F$943,'HOJAS DE HORA PROY.'!$A$2:$A$943,'PLAN MAESTRO FINAL'!$A172,'HOJAS DE HORA PROY.'!$M$2:$M$943,K$113)</f>
        <v>0</v>
      </c>
      <c r="L172" s="8">
        <f>SUMIFS('HOJAS DE HORA PROY.'!$F$2:$F$943,'HOJAS DE HORA PROY.'!$A$2:$A$943,'PLAN MAESTRO FINAL'!$A172,'HOJAS DE HORA PROY.'!$M$2:$M$943,L$113)</f>
        <v>0</v>
      </c>
      <c r="M172" s="8">
        <f>SUMIFS('HOJAS DE HORA PROY.'!$F$2:$F$943,'HOJAS DE HORA PROY.'!$A$2:$A$943,'PLAN MAESTRO FINAL'!$A172,'HOJAS DE HORA PROY.'!$M$2:$M$943,M$113)</f>
        <v>0</v>
      </c>
      <c r="N172" s="8">
        <f>SUMIFS('HOJAS DE HORA PROY.'!$F$2:$F$943,'HOJAS DE HORA PROY.'!$A$2:$A$943,'PLAN MAESTRO FINAL'!$A172,'HOJAS DE HORA PROY.'!$M$2:$M$943,N$113)</f>
        <v>0</v>
      </c>
      <c r="O172" s="8">
        <f>SUMIFS('HOJAS DE HORA PROY.'!$F$2:$F$943,'HOJAS DE HORA PROY.'!$A$2:$A$943,'PLAN MAESTRO FINAL'!$A172,'HOJAS DE HORA PROY.'!$M$2:$M$943,O$113)</f>
        <v>0</v>
      </c>
      <c r="P172" s="8">
        <f>SUMIFS('HOJAS DE HORA PROY.'!$F$2:$F$943,'HOJAS DE HORA PROY.'!$A$2:$A$943,'PLAN MAESTRO FINAL'!$A172,'HOJAS DE HORA PROY.'!$M$2:$M$943,P$113)</f>
        <v>0</v>
      </c>
      <c r="Q172" s="8">
        <f>SUMIFS('HOJAS DE HORA PROY.'!$F$2:$F$943,'HOJAS DE HORA PROY.'!$A$2:$A$943,'PLAN MAESTRO FINAL'!$A172,'HOJAS DE HORA PROY.'!$M$2:$M$943,Q$113)</f>
        <v>0</v>
      </c>
      <c r="R172" s="8">
        <f>SUMIFS('HOJAS DE HORA PROY.'!$F$2:$F$943,'HOJAS DE HORA PROY.'!$A$2:$A$943,'PLAN MAESTRO FINAL'!$A172,'HOJAS DE HORA PROY.'!$M$2:$M$943,R$113)</f>
        <v>0</v>
      </c>
      <c r="S172" s="8">
        <f>SUMIFS('HOJAS DE HORA PROY.'!$F$2:$F$943,'HOJAS DE HORA PROY.'!$A$2:$A$943,'PLAN MAESTRO FINAL'!$A172,'HOJAS DE HORA PROY.'!$M$2:$M$943,S$113)</f>
        <v>0</v>
      </c>
      <c r="T172" s="8">
        <f>SUMIFS('HOJAS DE HORA PROY.'!$F$2:$F$943,'HOJAS DE HORA PROY.'!$A$2:$A$943,'PLAN MAESTRO FINAL'!$A172,'HOJAS DE HORA PROY.'!$M$2:$M$943,T$113)</f>
        <v>0</v>
      </c>
      <c r="U172" s="8">
        <f>SUMIFS('HOJAS DE HORA PROY.'!$F$2:$F$943,'HOJAS DE HORA PROY.'!$A$2:$A$943,'PLAN MAESTRO FINAL'!$A172,'HOJAS DE HORA PROY.'!$M$2:$M$943,U$113)</f>
        <v>0</v>
      </c>
      <c r="V172" s="8">
        <f>SUMIFS('HOJAS DE HORA PROY.'!$F$2:$F$943,'HOJAS DE HORA PROY.'!$A$2:$A$943,'PLAN MAESTRO FINAL'!$A172,'HOJAS DE HORA PROY.'!$M$2:$M$943,V$113)</f>
        <v>0</v>
      </c>
      <c r="W172" s="8">
        <f>SUMIFS('HOJAS DE HORA PROY.'!$F$2:$F$943,'HOJAS DE HORA PROY.'!$A$2:$A$943,'PLAN MAESTRO FINAL'!$A172,'HOJAS DE HORA PROY.'!$M$2:$M$943,W$113)</f>
        <v>0</v>
      </c>
    </row>
    <row r="173" spans="1:23" hidden="1" outlineLevel="1" x14ac:dyDescent="0.3">
      <c r="A173" s="13" t="s">
        <v>479</v>
      </c>
      <c r="B173" s="8">
        <f>SUMIFS('HOJAS DE HORA PROY.'!$F$2:$F$943,'HOJAS DE HORA PROY.'!$A$2:$A$943,'PLAN MAESTRO FINAL'!$A173,'HOJAS DE HORA PROY.'!$M$2:$M$943,B$113)</f>
        <v>0</v>
      </c>
      <c r="C173" s="8">
        <f>SUMIFS('HOJAS DE HORA PROY.'!$F$2:$F$943,'HOJAS DE HORA PROY.'!$A$2:$A$943,'PLAN MAESTRO FINAL'!$A173,'HOJAS DE HORA PROY.'!$M$2:$M$943,C$113)</f>
        <v>0</v>
      </c>
      <c r="D173" s="8">
        <f>SUMIFS('HOJAS DE HORA PROY.'!$F$2:$F$943,'HOJAS DE HORA PROY.'!$A$2:$A$943,'PLAN MAESTRO FINAL'!$A173,'HOJAS DE HORA PROY.'!$M$2:$M$943,D$113)</f>
        <v>0</v>
      </c>
      <c r="E173" s="8">
        <f>SUMIFS('HOJAS DE HORA PROY.'!$F$2:$F$943,'HOJAS DE HORA PROY.'!$A$2:$A$943,'PLAN MAESTRO FINAL'!$A173,'HOJAS DE HORA PROY.'!$M$2:$M$943,E$113)</f>
        <v>0</v>
      </c>
      <c r="F173" s="8">
        <f>SUMIFS('HOJAS DE HORA PROY.'!$F$2:$F$943,'HOJAS DE HORA PROY.'!$A$2:$A$943,'PLAN MAESTRO FINAL'!$A173,'HOJAS DE HORA PROY.'!$M$2:$M$943,F$113)</f>
        <v>0</v>
      </c>
      <c r="G173" s="8">
        <f>SUMIFS('HOJAS DE HORA PROY.'!$F$2:$F$943,'HOJAS DE HORA PROY.'!$A$2:$A$943,'PLAN MAESTRO FINAL'!$A173,'HOJAS DE HORA PROY.'!$M$2:$M$943,G$113)</f>
        <v>0</v>
      </c>
      <c r="H173" s="8">
        <f>SUMIFS('HOJAS DE HORA PROY.'!$F$2:$F$943,'HOJAS DE HORA PROY.'!$A$2:$A$943,'PLAN MAESTRO FINAL'!$A173,'HOJAS DE HORA PROY.'!$M$2:$M$943,H$113)</f>
        <v>0</v>
      </c>
      <c r="I173" s="8">
        <f>SUMIFS('HOJAS DE HORA PROY.'!$F$2:$F$943,'HOJAS DE HORA PROY.'!$A$2:$A$943,'PLAN MAESTRO FINAL'!$A173,'HOJAS DE HORA PROY.'!$M$2:$M$943,I$113)</f>
        <v>0</v>
      </c>
      <c r="J173" s="8">
        <f>SUMIFS('HOJAS DE HORA PROY.'!$F$2:$F$943,'HOJAS DE HORA PROY.'!$A$2:$A$943,'PLAN MAESTRO FINAL'!$A173,'HOJAS DE HORA PROY.'!$M$2:$M$943,J$113)</f>
        <v>0</v>
      </c>
      <c r="K173" s="8">
        <f>SUMIFS('HOJAS DE HORA PROY.'!$F$2:$F$943,'HOJAS DE HORA PROY.'!$A$2:$A$943,'PLAN MAESTRO FINAL'!$A173,'HOJAS DE HORA PROY.'!$M$2:$M$943,K$113)</f>
        <v>0</v>
      </c>
      <c r="L173" s="8">
        <f>SUMIFS('HOJAS DE HORA PROY.'!$F$2:$F$943,'HOJAS DE HORA PROY.'!$A$2:$A$943,'PLAN MAESTRO FINAL'!$A173,'HOJAS DE HORA PROY.'!$M$2:$M$943,L$113)</f>
        <v>0</v>
      </c>
      <c r="M173" s="8">
        <f>SUMIFS('HOJAS DE HORA PROY.'!$F$2:$F$943,'HOJAS DE HORA PROY.'!$A$2:$A$943,'PLAN MAESTRO FINAL'!$A173,'HOJAS DE HORA PROY.'!$M$2:$M$943,M$113)</f>
        <v>0</v>
      </c>
      <c r="N173" s="8">
        <f>SUMIFS('HOJAS DE HORA PROY.'!$F$2:$F$943,'HOJAS DE HORA PROY.'!$A$2:$A$943,'PLAN MAESTRO FINAL'!$A173,'HOJAS DE HORA PROY.'!$M$2:$M$943,N$113)</f>
        <v>0</v>
      </c>
      <c r="O173" s="8">
        <f>SUMIFS('HOJAS DE HORA PROY.'!$F$2:$F$943,'HOJAS DE HORA PROY.'!$A$2:$A$943,'PLAN MAESTRO FINAL'!$A173,'HOJAS DE HORA PROY.'!$M$2:$M$943,O$113)</f>
        <v>0</v>
      </c>
      <c r="P173" s="8">
        <f>SUMIFS('HOJAS DE HORA PROY.'!$F$2:$F$943,'HOJAS DE HORA PROY.'!$A$2:$A$943,'PLAN MAESTRO FINAL'!$A173,'HOJAS DE HORA PROY.'!$M$2:$M$943,P$113)</f>
        <v>0</v>
      </c>
      <c r="Q173" s="8">
        <f>SUMIFS('HOJAS DE HORA PROY.'!$F$2:$F$943,'HOJAS DE HORA PROY.'!$A$2:$A$943,'PLAN MAESTRO FINAL'!$A173,'HOJAS DE HORA PROY.'!$M$2:$M$943,Q$113)</f>
        <v>0</v>
      </c>
      <c r="R173" s="8">
        <f>SUMIFS('HOJAS DE HORA PROY.'!$F$2:$F$943,'HOJAS DE HORA PROY.'!$A$2:$A$943,'PLAN MAESTRO FINAL'!$A173,'HOJAS DE HORA PROY.'!$M$2:$M$943,R$113)</f>
        <v>0</v>
      </c>
      <c r="S173" s="8">
        <f>SUMIFS('HOJAS DE HORA PROY.'!$F$2:$F$943,'HOJAS DE HORA PROY.'!$A$2:$A$943,'PLAN MAESTRO FINAL'!$A173,'HOJAS DE HORA PROY.'!$M$2:$M$943,S$113)</f>
        <v>0</v>
      </c>
      <c r="T173" s="8">
        <f>SUMIFS('HOJAS DE HORA PROY.'!$F$2:$F$943,'HOJAS DE HORA PROY.'!$A$2:$A$943,'PLAN MAESTRO FINAL'!$A173,'HOJAS DE HORA PROY.'!$M$2:$M$943,T$113)</f>
        <v>0</v>
      </c>
      <c r="U173" s="8">
        <f>SUMIFS('HOJAS DE HORA PROY.'!$F$2:$F$943,'HOJAS DE HORA PROY.'!$A$2:$A$943,'PLAN MAESTRO FINAL'!$A173,'HOJAS DE HORA PROY.'!$M$2:$M$943,U$113)</f>
        <v>0</v>
      </c>
      <c r="V173" s="8">
        <f>SUMIFS('HOJAS DE HORA PROY.'!$F$2:$F$943,'HOJAS DE HORA PROY.'!$A$2:$A$943,'PLAN MAESTRO FINAL'!$A173,'HOJAS DE HORA PROY.'!$M$2:$M$943,V$113)</f>
        <v>0</v>
      </c>
      <c r="W173" s="8">
        <f>SUMIFS('HOJAS DE HORA PROY.'!$F$2:$F$943,'HOJAS DE HORA PROY.'!$A$2:$A$943,'PLAN MAESTRO FINAL'!$A173,'HOJAS DE HORA PROY.'!$M$2:$M$943,W$113)</f>
        <v>0</v>
      </c>
    </row>
    <row r="174" spans="1:23" hidden="1" outlineLevel="1" x14ac:dyDescent="0.3">
      <c r="A174" s="13" t="s">
        <v>488</v>
      </c>
      <c r="B174" s="8">
        <f>SUMIFS('HOJAS DE HORA PROY.'!$F$2:$F$943,'HOJAS DE HORA PROY.'!$A$2:$A$943,'PLAN MAESTRO FINAL'!$A174,'HOJAS DE HORA PROY.'!$M$2:$M$943,B$113)</f>
        <v>0</v>
      </c>
      <c r="C174" s="8">
        <f>SUMIFS('HOJAS DE HORA PROY.'!$F$2:$F$943,'HOJAS DE HORA PROY.'!$A$2:$A$943,'PLAN MAESTRO FINAL'!$A174,'HOJAS DE HORA PROY.'!$M$2:$M$943,C$113)</f>
        <v>0</v>
      </c>
      <c r="D174" s="8">
        <f>SUMIFS('HOJAS DE HORA PROY.'!$F$2:$F$943,'HOJAS DE HORA PROY.'!$A$2:$A$943,'PLAN MAESTRO FINAL'!$A174,'HOJAS DE HORA PROY.'!$M$2:$M$943,D$113)</f>
        <v>0</v>
      </c>
      <c r="E174" s="8">
        <f>SUMIFS('HOJAS DE HORA PROY.'!$F$2:$F$943,'HOJAS DE HORA PROY.'!$A$2:$A$943,'PLAN MAESTRO FINAL'!$A174,'HOJAS DE HORA PROY.'!$M$2:$M$943,E$113)</f>
        <v>0</v>
      </c>
      <c r="F174" s="8">
        <f>SUMIFS('HOJAS DE HORA PROY.'!$F$2:$F$943,'HOJAS DE HORA PROY.'!$A$2:$A$943,'PLAN MAESTRO FINAL'!$A174,'HOJAS DE HORA PROY.'!$M$2:$M$943,F$113)</f>
        <v>40</v>
      </c>
      <c r="G174" s="8">
        <f>SUMIFS('HOJAS DE HORA PROY.'!$F$2:$F$943,'HOJAS DE HORA PROY.'!$A$2:$A$943,'PLAN MAESTRO FINAL'!$A174,'HOJAS DE HORA PROY.'!$M$2:$M$943,G$113)</f>
        <v>0</v>
      </c>
      <c r="H174" s="8">
        <f>SUMIFS('HOJAS DE HORA PROY.'!$F$2:$F$943,'HOJAS DE HORA PROY.'!$A$2:$A$943,'PLAN MAESTRO FINAL'!$A174,'HOJAS DE HORA PROY.'!$M$2:$M$943,H$113)</f>
        <v>20</v>
      </c>
      <c r="I174" s="8">
        <f>SUMIFS('HOJAS DE HORA PROY.'!$F$2:$F$943,'HOJAS DE HORA PROY.'!$A$2:$A$943,'PLAN MAESTRO FINAL'!$A174,'HOJAS DE HORA PROY.'!$M$2:$M$943,I$113)</f>
        <v>0</v>
      </c>
      <c r="J174" s="8">
        <f>SUMIFS('HOJAS DE HORA PROY.'!$F$2:$F$943,'HOJAS DE HORA PROY.'!$A$2:$A$943,'PLAN MAESTRO FINAL'!$A174,'HOJAS DE HORA PROY.'!$M$2:$M$943,J$113)</f>
        <v>0</v>
      </c>
      <c r="K174" s="8">
        <f>SUMIFS('HOJAS DE HORA PROY.'!$F$2:$F$943,'HOJAS DE HORA PROY.'!$A$2:$A$943,'PLAN MAESTRO FINAL'!$A174,'HOJAS DE HORA PROY.'!$M$2:$M$943,K$113)</f>
        <v>0</v>
      </c>
      <c r="L174" s="8">
        <f>SUMIFS('HOJAS DE HORA PROY.'!$F$2:$F$943,'HOJAS DE HORA PROY.'!$A$2:$A$943,'PLAN MAESTRO FINAL'!$A174,'HOJAS DE HORA PROY.'!$M$2:$M$943,L$113)</f>
        <v>0</v>
      </c>
      <c r="M174" s="8">
        <f>SUMIFS('HOJAS DE HORA PROY.'!$F$2:$F$943,'HOJAS DE HORA PROY.'!$A$2:$A$943,'PLAN MAESTRO FINAL'!$A174,'HOJAS DE HORA PROY.'!$M$2:$M$943,M$113)</f>
        <v>0</v>
      </c>
      <c r="N174" s="8">
        <f>SUMIFS('HOJAS DE HORA PROY.'!$F$2:$F$943,'HOJAS DE HORA PROY.'!$A$2:$A$943,'PLAN MAESTRO FINAL'!$A174,'HOJAS DE HORA PROY.'!$M$2:$M$943,N$113)</f>
        <v>0</v>
      </c>
      <c r="O174" s="8">
        <f>SUMIFS('HOJAS DE HORA PROY.'!$F$2:$F$943,'HOJAS DE HORA PROY.'!$A$2:$A$943,'PLAN MAESTRO FINAL'!$A174,'HOJAS DE HORA PROY.'!$M$2:$M$943,O$113)</f>
        <v>0</v>
      </c>
      <c r="P174" s="8">
        <f>SUMIFS('HOJAS DE HORA PROY.'!$F$2:$F$943,'HOJAS DE HORA PROY.'!$A$2:$A$943,'PLAN MAESTRO FINAL'!$A174,'HOJAS DE HORA PROY.'!$M$2:$M$943,P$113)</f>
        <v>0</v>
      </c>
      <c r="Q174" s="8">
        <f>SUMIFS('HOJAS DE HORA PROY.'!$F$2:$F$943,'HOJAS DE HORA PROY.'!$A$2:$A$943,'PLAN MAESTRO FINAL'!$A174,'HOJAS DE HORA PROY.'!$M$2:$M$943,Q$113)</f>
        <v>0</v>
      </c>
      <c r="R174" s="8">
        <f>SUMIFS('HOJAS DE HORA PROY.'!$F$2:$F$943,'HOJAS DE HORA PROY.'!$A$2:$A$943,'PLAN MAESTRO FINAL'!$A174,'HOJAS DE HORA PROY.'!$M$2:$M$943,R$113)</f>
        <v>0</v>
      </c>
      <c r="S174" s="8">
        <f>SUMIFS('HOJAS DE HORA PROY.'!$F$2:$F$943,'HOJAS DE HORA PROY.'!$A$2:$A$943,'PLAN MAESTRO FINAL'!$A174,'HOJAS DE HORA PROY.'!$M$2:$M$943,S$113)</f>
        <v>0</v>
      </c>
      <c r="T174" s="8">
        <f>SUMIFS('HOJAS DE HORA PROY.'!$F$2:$F$943,'HOJAS DE HORA PROY.'!$A$2:$A$943,'PLAN MAESTRO FINAL'!$A174,'HOJAS DE HORA PROY.'!$M$2:$M$943,T$113)</f>
        <v>0</v>
      </c>
      <c r="U174" s="8">
        <f>SUMIFS('HOJAS DE HORA PROY.'!$F$2:$F$943,'HOJAS DE HORA PROY.'!$A$2:$A$943,'PLAN MAESTRO FINAL'!$A174,'HOJAS DE HORA PROY.'!$M$2:$M$943,U$113)</f>
        <v>0</v>
      </c>
      <c r="V174" s="8">
        <f>SUMIFS('HOJAS DE HORA PROY.'!$F$2:$F$943,'HOJAS DE HORA PROY.'!$A$2:$A$943,'PLAN MAESTRO FINAL'!$A174,'HOJAS DE HORA PROY.'!$M$2:$M$943,V$113)</f>
        <v>0</v>
      </c>
      <c r="W174" s="8">
        <f>SUMIFS('HOJAS DE HORA PROY.'!$F$2:$F$943,'HOJAS DE HORA PROY.'!$A$2:$A$943,'PLAN MAESTRO FINAL'!$A174,'HOJAS DE HORA PROY.'!$M$2:$M$943,W$113)</f>
        <v>0</v>
      </c>
    </row>
    <row r="175" spans="1:23" hidden="1" outlineLevel="1" x14ac:dyDescent="0.3">
      <c r="A175" s="13" t="s">
        <v>492</v>
      </c>
      <c r="B175" s="8">
        <f>SUMIFS('HOJAS DE HORA PROY.'!$F$2:$F$943,'HOJAS DE HORA PROY.'!$A$2:$A$943,'PLAN MAESTRO FINAL'!$A175,'HOJAS DE HORA PROY.'!$M$2:$M$943,B$113)</f>
        <v>0</v>
      </c>
      <c r="C175" s="8">
        <f>SUMIFS('HOJAS DE HORA PROY.'!$F$2:$F$943,'HOJAS DE HORA PROY.'!$A$2:$A$943,'PLAN MAESTRO FINAL'!$A175,'HOJAS DE HORA PROY.'!$M$2:$M$943,C$113)</f>
        <v>0</v>
      </c>
      <c r="D175" s="8">
        <f>SUMIFS('HOJAS DE HORA PROY.'!$F$2:$F$943,'HOJAS DE HORA PROY.'!$A$2:$A$943,'PLAN MAESTRO FINAL'!$A175,'HOJAS DE HORA PROY.'!$M$2:$M$943,D$113)</f>
        <v>0</v>
      </c>
      <c r="E175" s="8">
        <f>SUMIFS('HOJAS DE HORA PROY.'!$F$2:$F$943,'HOJAS DE HORA PROY.'!$A$2:$A$943,'PLAN MAESTRO FINAL'!$A175,'HOJAS DE HORA PROY.'!$M$2:$M$943,E$113)</f>
        <v>0</v>
      </c>
      <c r="F175" s="8">
        <f>SUMIFS('HOJAS DE HORA PROY.'!$F$2:$F$943,'HOJAS DE HORA PROY.'!$A$2:$A$943,'PLAN MAESTRO FINAL'!$A175,'HOJAS DE HORA PROY.'!$M$2:$M$943,F$113)</f>
        <v>0</v>
      </c>
      <c r="G175" s="8">
        <f>SUMIFS('HOJAS DE HORA PROY.'!$F$2:$F$943,'HOJAS DE HORA PROY.'!$A$2:$A$943,'PLAN MAESTRO FINAL'!$A175,'HOJAS DE HORA PROY.'!$M$2:$M$943,G$113)</f>
        <v>0</v>
      </c>
      <c r="H175" s="8">
        <f>SUMIFS('HOJAS DE HORA PROY.'!$F$2:$F$943,'HOJAS DE HORA PROY.'!$A$2:$A$943,'PLAN MAESTRO FINAL'!$A175,'HOJAS DE HORA PROY.'!$M$2:$M$943,H$113)</f>
        <v>0</v>
      </c>
      <c r="I175" s="8">
        <f>SUMIFS('HOJAS DE HORA PROY.'!$F$2:$F$943,'HOJAS DE HORA PROY.'!$A$2:$A$943,'PLAN MAESTRO FINAL'!$A175,'HOJAS DE HORA PROY.'!$M$2:$M$943,I$113)</f>
        <v>0</v>
      </c>
      <c r="J175" s="8">
        <f>SUMIFS('HOJAS DE HORA PROY.'!$F$2:$F$943,'HOJAS DE HORA PROY.'!$A$2:$A$943,'PLAN MAESTRO FINAL'!$A175,'HOJAS DE HORA PROY.'!$M$2:$M$943,J$113)</f>
        <v>0</v>
      </c>
      <c r="K175" s="8">
        <f>SUMIFS('HOJAS DE HORA PROY.'!$F$2:$F$943,'HOJAS DE HORA PROY.'!$A$2:$A$943,'PLAN MAESTRO FINAL'!$A175,'HOJAS DE HORA PROY.'!$M$2:$M$943,K$113)</f>
        <v>0</v>
      </c>
      <c r="L175" s="8">
        <f>SUMIFS('HOJAS DE HORA PROY.'!$F$2:$F$943,'HOJAS DE HORA PROY.'!$A$2:$A$943,'PLAN MAESTRO FINAL'!$A175,'HOJAS DE HORA PROY.'!$M$2:$M$943,L$113)</f>
        <v>0</v>
      </c>
      <c r="M175" s="8">
        <f>SUMIFS('HOJAS DE HORA PROY.'!$F$2:$F$943,'HOJAS DE HORA PROY.'!$A$2:$A$943,'PLAN MAESTRO FINAL'!$A175,'HOJAS DE HORA PROY.'!$M$2:$M$943,M$113)</f>
        <v>0</v>
      </c>
      <c r="N175" s="8">
        <f>SUMIFS('HOJAS DE HORA PROY.'!$F$2:$F$943,'HOJAS DE HORA PROY.'!$A$2:$A$943,'PLAN MAESTRO FINAL'!$A175,'HOJAS DE HORA PROY.'!$M$2:$M$943,N$113)</f>
        <v>0</v>
      </c>
      <c r="O175" s="8">
        <f>SUMIFS('HOJAS DE HORA PROY.'!$F$2:$F$943,'HOJAS DE HORA PROY.'!$A$2:$A$943,'PLAN MAESTRO FINAL'!$A175,'HOJAS DE HORA PROY.'!$M$2:$M$943,O$113)</f>
        <v>0</v>
      </c>
      <c r="P175" s="8">
        <f>SUMIFS('HOJAS DE HORA PROY.'!$F$2:$F$943,'HOJAS DE HORA PROY.'!$A$2:$A$943,'PLAN MAESTRO FINAL'!$A175,'HOJAS DE HORA PROY.'!$M$2:$M$943,P$113)</f>
        <v>0</v>
      </c>
      <c r="Q175" s="8">
        <f>SUMIFS('HOJAS DE HORA PROY.'!$F$2:$F$943,'HOJAS DE HORA PROY.'!$A$2:$A$943,'PLAN MAESTRO FINAL'!$A175,'HOJAS DE HORA PROY.'!$M$2:$M$943,Q$113)</f>
        <v>0</v>
      </c>
      <c r="R175" s="8">
        <f>SUMIFS('HOJAS DE HORA PROY.'!$F$2:$F$943,'HOJAS DE HORA PROY.'!$A$2:$A$943,'PLAN MAESTRO FINAL'!$A175,'HOJAS DE HORA PROY.'!$M$2:$M$943,R$113)</f>
        <v>0</v>
      </c>
      <c r="S175" s="8">
        <f>SUMIFS('HOJAS DE HORA PROY.'!$F$2:$F$943,'HOJAS DE HORA PROY.'!$A$2:$A$943,'PLAN MAESTRO FINAL'!$A175,'HOJAS DE HORA PROY.'!$M$2:$M$943,S$113)</f>
        <v>0</v>
      </c>
      <c r="T175" s="8">
        <f>SUMIFS('HOJAS DE HORA PROY.'!$F$2:$F$943,'HOJAS DE HORA PROY.'!$A$2:$A$943,'PLAN MAESTRO FINAL'!$A175,'HOJAS DE HORA PROY.'!$M$2:$M$943,T$113)</f>
        <v>0</v>
      </c>
      <c r="U175" s="8">
        <f>SUMIFS('HOJAS DE HORA PROY.'!$F$2:$F$943,'HOJAS DE HORA PROY.'!$A$2:$A$943,'PLAN MAESTRO FINAL'!$A175,'HOJAS DE HORA PROY.'!$M$2:$M$943,U$113)</f>
        <v>0</v>
      </c>
      <c r="V175" s="8">
        <f>SUMIFS('HOJAS DE HORA PROY.'!$F$2:$F$943,'HOJAS DE HORA PROY.'!$A$2:$A$943,'PLAN MAESTRO FINAL'!$A175,'HOJAS DE HORA PROY.'!$M$2:$M$943,V$113)</f>
        <v>0</v>
      </c>
      <c r="W175" s="8">
        <f>SUMIFS('HOJAS DE HORA PROY.'!$F$2:$F$943,'HOJAS DE HORA PROY.'!$A$2:$A$943,'PLAN MAESTRO FINAL'!$A175,'HOJAS DE HORA PROY.'!$M$2:$M$943,W$113)</f>
        <v>0</v>
      </c>
    </row>
    <row r="176" spans="1:23" hidden="1" outlineLevel="1" x14ac:dyDescent="0.3">
      <c r="A176" s="13" t="s">
        <v>507</v>
      </c>
      <c r="B176" s="8">
        <f>SUMIFS('HOJAS DE HORA PROY.'!$F$2:$F$943,'HOJAS DE HORA PROY.'!$A$2:$A$943,'PLAN MAESTRO FINAL'!$A176,'HOJAS DE HORA PROY.'!$M$2:$M$943,B$113)</f>
        <v>0</v>
      </c>
      <c r="C176" s="8">
        <f>SUMIFS('HOJAS DE HORA PROY.'!$F$2:$F$943,'HOJAS DE HORA PROY.'!$A$2:$A$943,'PLAN MAESTRO FINAL'!$A176,'HOJAS DE HORA PROY.'!$M$2:$M$943,C$113)</f>
        <v>0</v>
      </c>
      <c r="D176" s="8">
        <f>SUMIFS('HOJAS DE HORA PROY.'!$F$2:$F$943,'HOJAS DE HORA PROY.'!$A$2:$A$943,'PLAN MAESTRO FINAL'!$A176,'HOJAS DE HORA PROY.'!$M$2:$M$943,D$113)</f>
        <v>0</v>
      </c>
      <c r="E176" s="8">
        <f>SUMIFS('HOJAS DE HORA PROY.'!$F$2:$F$943,'HOJAS DE HORA PROY.'!$A$2:$A$943,'PLAN MAESTRO FINAL'!$A176,'HOJAS DE HORA PROY.'!$M$2:$M$943,E$113)</f>
        <v>0</v>
      </c>
      <c r="F176" s="8">
        <f>SUMIFS('HOJAS DE HORA PROY.'!$F$2:$F$943,'HOJAS DE HORA PROY.'!$A$2:$A$943,'PLAN MAESTRO FINAL'!$A176,'HOJAS DE HORA PROY.'!$M$2:$M$943,F$113)</f>
        <v>0</v>
      </c>
      <c r="G176" s="8">
        <f>SUMIFS('HOJAS DE HORA PROY.'!$F$2:$F$943,'HOJAS DE HORA PROY.'!$A$2:$A$943,'PLAN MAESTRO FINAL'!$A176,'HOJAS DE HORA PROY.'!$M$2:$M$943,G$113)</f>
        <v>0</v>
      </c>
      <c r="H176" s="8">
        <f>SUMIFS('HOJAS DE HORA PROY.'!$F$2:$F$943,'HOJAS DE HORA PROY.'!$A$2:$A$943,'PLAN MAESTRO FINAL'!$A176,'HOJAS DE HORA PROY.'!$M$2:$M$943,H$113)</f>
        <v>0</v>
      </c>
      <c r="I176" s="8">
        <f>SUMIFS('HOJAS DE HORA PROY.'!$F$2:$F$943,'HOJAS DE HORA PROY.'!$A$2:$A$943,'PLAN MAESTRO FINAL'!$A176,'HOJAS DE HORA PROY.'!$M$2:$M$943,I$113)</f>
        <v>0</v>
      </c>
      <c r="J176" s="8">
        <f>SUMIFS('HOJAS DE HORA PROY.'!$F$2:$F$943,'HOJAS DE HORA PROY.'!$A$2:$A$943,'PLAN MAESTRO FINAL'!$A176,'HOJAS DE HORA PROY.'!$M$2:$M$943,J$113)</f>
        <v>0</v>
      </c>
      <c r="K176" s="8">
        <f>SUMIFS('HOJAS DE HORA PROY.'!$F$2:$F$943,'HOJAS DE HORA PROY.'!$A$2:$A$943,'PLAN MAESTRO FINAL'!$A176,'HOJAS DE HORA PROY.'!$M$2:$M$943,K$113)</f>
        <v>0</v>
      </c>
      <c r="L176" s="8">
        <f>SUMIFS('HOJAS DE HORA PROY.'!$F$2:$F$943,'HOJAS DE HORA PROY.'!$A$2:$A$943,'PLAN MAESTRO FINAL'!$A176,'HOJAS DE HORA PROY.'!$M$2:$M$943,L$113)</f>
        <v>0</v>
      </c>
      <c r="M176" s="8">
        <f>SUMIFS('HOJAS DE HORA PROY.'!$F$2:$F$943,'HOJAS DE HORA PROY.'!$A$2:$A$943,'PLAN MAESTRO FINAL'!$A176,'HOJAS DE HORA PROY.'!$M$2:$M$943,M$113)</f>
        <v>0</v>
      </c>
      <c r="N176" s="8">
        <f>SUMIFS('HOJAS DE HORA PROY.'!$F$2:$F$943,'HOJAS DE HORA PROY.'!$A$2:$A$943,'PLAN MAESTRO FINAL'!$A176,'HOJAS DE HORA PROY.'!$M$2:$M$943,N$113)</f>
        <v>0</v>
      </c>
      <c r="O176" s="8">
        <f>SUMIFS('HOJAS DE HORA PROY.'!$F$2:$F$943,'HOJAS DE HORA PROY.'!$A$2:$A$943,'PLAN MAESTRO FINAL'!$A176,'HOJAS DE HORA PROY.'!$M$2:$M$943,O$113)</f>
        <v>0</v>
      </c>
      <c r="P176" s="8">
        <f>SUMIFS('HOJAS DE HORA PROY.'!$F$2:$F$943,'HOJAS DE HORA PROY.'!$A$2:$A$943,'PLAN MAESTRO FINAL'!$A176,'HOJAS DE HORA PROY.'!$M$2:$M$943,P$113)</f>
        <v>0</v>
      </c>
      <c r="Q176" s="8">
        <f>SUMIFS('HOJAS DE HORA PROY.'!$F$2:$F$943,'HOJAS DE HORA PROY.'!$A$2:$A$943,'PLAN MAESTRO FINAL'!$A176,'HOJAS DE HORA PROY.'!$M$2:$M$943,Q$113)</f>
        <v>0</v>
      </c>
      <c r="R176" s="8">
        <f>SUMIFS('HOJAS DE HORA PROY.'!$F$2:$F$943,'HOJAS DE HORA PROY.'!$A$2:$A$943,'PLAN MAESTRO FINAL'!$A176,'HOJAS DE HORA PROY.'!$M$2:$M$943,R$113)</f>
        <v>0</v>
      </c>
      <c r="S176" s="8">
        <f>SUMIFS('HOJAS DE HORA PROY.'!$F$2:$F$943,'HOJAS DE HORA PROY.'!$A$2:$A$943,'PLAN MAESTRO FINAL'!$A176,'HOJAS DE HORA PROY.'!$M$2:$M$943,S$113)</f>
        <v>0</v>
      </c>
      <c r="T176" s="8">
        <f>SUMIFS('HOJAS DE HORA PROY.'!$F$2:$F$943,'HOJAS DE HORA PROY.'!$A$2:$A$943,'PLAN MAESTRO FINAL'!$A176,'HOJAS DE HORA PROY.'!$M$2:$M$943,T$113)</f>
        <v>0</v>
      </c>
      <c r="U176" s="8">
        <f>SUMIFS('HOJAS DE HORA PROY.'!$F$2:$F$943,'HOJAS DE HORA PROY.'!$A$2:$A$943,'PLAN MAESTRO FINAL'!$A176,'HOJAS DE HORA PROY.'!$M$2:$M$943,U$113)</f>
        <v>0</v>
      </c>
      <c r="V176" s="8">
        <f>SUMIFS('HOJAS DE HORA PROY.'!$F$2:$F$943,'HOJAS DE HORA PROY.'!$A$2:$A$943,'PLAN MAESTRO FINAL'!$A176,'HOJAS DE HORA PROY.'!$M$2:$M$943,V$113)</f>
        <v>0</v>
      </c>
      <c r="W176" s="8">
        <f>SUMIFS('HOJAS DE HORA PROY.'!$F$2:$F$943,'HOJAS DE HORA PROY.'!$A$2:$A$943,'PLAN MAESTRO FINAL'!$A176,'HOJAS DE HORA PROY.'!$M$2:$M$943,W$113)</f>
        <v>0</v>
      </c>
    </row>
    <row r="177" spans="1:23" hidden="1" outlineLevel="1" x14ac:dyDescent="0.3">
      <c r="A177" s="13" t="s">
        <v>517</v>
      </c>
      <c r="B177" s="8">
        <f>SUMIFS('HOJAS DE HORA PROY.'!$F$2:$F$943,'HOJAS DE HORA PROY.'!$A$2:$A$943,'PLAN MAESTRO FINAL'!$A177,'HOJAS DE HORA PROY.'!$M$2:$M$943,B$113)</f>
        <v>0</v>
      </c>
      <c r="C177" s="8">
        <f>SUMIFS('HOJAS DE HORA PROY.'!$F$2:$F$943,'HOJAS DE HORA PROY.'!$A$2:$A$943,'PLAN MAESTRO FINAL'!$A177,'HOJAS DE HORA PROY.'!$M$2:$M$943,C$113)</f>
        <v>0</v>
      </c>
      <c r="D177" s="8">
        <f>SUMIFS('HOJAS DE HORA PROY.'!$F$2:$F$943,'HOJAS DE HORA PROY.'!$A$2:$A$943,'PLAN MAESTRO FINAL'!$A177,'HOJAS DE HORA PROY.'!$M$2:$M$943,D$113)</f>
        <v>0</v>
      </c>
      <c r="E177" s="8">
        <f>SUMIFS('HOJAS DE HORA PROY.'!$F$2:$F$943,'HOJAS DE HORA PROY.'!$A$2:$A$943,'PLAN MAESTRO FINAL'!$A177,'HOJAS DE HORA PROY.'!$M$2:$M$943,E$113)</f>
        <v>0</v>
      </c>
      <c r="F177" s="8">
        <f>SUMIFS('HOJAS DE HORA PROY.'!$F$2:$F$943,'HOJAS DE HORA PROY.'!$A$2:$A$943,'PLAN MAESTRO FINAL'!$A177,'HOJAS DE HORA PROY.'!$M$2:$M$943,F$113)</f>
        <v>0</v>
      </c>
      <c r="G177" s="8">
        <f>SUMIFS('HOJAS DE HORA PROY.'!$F$2:$F$943,'HOJAS DE HORA PROY.'!$A$2:$A$943,'PLAN MAESTRO FINAL'!$A177,'HOJAS DE HORA PROY.'!$M$2:$M$943,G$113)</f>
        <v>0</v>
      </c>
      <c r="H177" s="8">
        <f>SUMIFS('HOJAS DE HORA PROY.'!$F$2:$F$943,'HOJAS DE HORA PROY.'!$A$2:$A$943,'PLAN MAESTRO FINAL'!$A177,'HOJAS DE HORA PROY.'!$M$2:$M$943,H$113)</f>
        <v>0</v>
      </c>
      <c r="I177" s="8">
        <f>SUMIFS('HOJAS DE HORA PROY.'!$F$2:$F$943,'HOJAS DE HORA PROY.'!$A$2:$A$943,'PLAN MAESTRO FINAL'!$A177,'HOJAS DE HORA PROY.'!$M$2:$M$943,I$113)</f>
        <v>0</v>
      </c>
      <c r="J177" s="8">
        <f>SUMIFS('HOJAS DE HORA PROY.'!$F$2:$F$943,'HOJAS DE HORA PROY.'!$A$2:$A$943,'PLAN MAESTRO FINAL'!$A177,'HOJAS DE HORA PROY.'!$M$2:$M$943,J$113)</f>
        <v>0</v>
      </c>
      <c r="K177" s="8">
        <f>SUMIFS('HOJAS DE HORA PROY.'!$F$2:$F$943,'HOJAS DE HORA PROY.'!$A$2:$A$943,'PLAN MAESTRO FINAL'!$A177,'HOJAS DE HORA PROY.'!$M$2:$M$943,K$113)</f>
        <v>0</v>
      </c>
      <c r="L177" s="8">
        <f>SUMIFS('HOJAS DE HORA PROY.'!$F$2:$F$943,'HOJAS DE HORA PROY.'!$A$2:$A$943,'PLAN MAESTRO FINAL'!$A177,'HOJAS DE HORA PROY.'!$M$2:$M$943,L$113)</f>
        <v>0</v>
      </c>
      <c r="M177" s="8">
        <f>SUMIFS('HOJAS DE HORA PROY.'!$F$2:$F$943,'HOJAS DE HORA PROY.'!$A$2:$A$943,'PLAN MAESTRO FINAL'!$A177,'HOJAS DE HORA PROY.'!$M$2:$M$943,M$113)</f>
        <v>0</v>
      </c>
      <c r="N177" s="8">
        <f>SUMIFS('HOJAS DE HORA PROY.'!$F$2:$F$943,'HOJAS DE HORA PROY.'!$A$2:$A$943,'PLAN MAESTRO FINAL'!$A177,'HOJAS DE HORA PROY.'!$M$2:$M$943,N$113)</f>
        <v>0</v>
      </c>
      <c r="O177" s="8">
        <f>SUMIFS('HOJAS DE HORA PROY.'!$F$2:$F$943,'HOJAS DE HORA PROY.'!$A$2:$A$943,'PLAN MAESTRO FINAL'!$A177,'HOJAS DE HORA PROY.'!$M$2:$M$943,O$113)</f>
        <v>0</v>
      </c>
      <c r="P177" s="8">
        <f>SUMIFS('HOJAS DE HORA PROY.'!$F$2:$F$943,'HOJAS DE HORA PROY.'!$A$2:$A$943,'PLAN MAESTRO FINAL'!$A177,'HOJAS DE HORA PROY.'!$M$2:$M$943,P$113)</f>
        <v>0</v>
      </c>
      <c r="Q177" s="8">
        <f>SUMIFS('HOJAS DE HORA PROY.'!$F$2:$F$943,'HOJAS DE HORA PROY.'!$A$2:$A$943,'PLAN MAESTRO FINAL'!$A177,'HOJAS DE HORA PROY.'!$M$2:$M$943,Q$113)</f>
        <v>0</v>
      </c>
      <c r="R177" s="8">
        <f>SUMIFS('HOJAS DE HORA PROY.'!$F$2:$F$943,'HOJAS DE HORA PROY.'!$A$2:$A$943,'PLAN MAESTRO FINAL'!$A177,'HOJAS DE HORA PROY.'!$M$2:$M$943,R$113)</f>
        <v>0</v>
      </c>
      <c r="S177" s="8">
        <f>SUMIFS('HOJAS DE HORA PROY.'!$F$2:$F$943,'HOJAS DE HORA PROY.'!$A$2:$A$943,'PLAN MAESTRO FINAL'!$A177,'HOJAS DE HORA PROY.'!$M$2:$M$943,S$113)</f>
        <v>0</v>
      </c>
      <c r="T177" s="8">
        <f>SUMIFS('HOJAS DE HORA PROY.'!$F$2:$F$943,'HOJAS DE HORA PROY.'!$A$2:$A$943,'PLAN MAESTRO FINAL'!$A177,'HOJAS DE HORA PROY.'!$M$2:$M$943,T$113)</f>
        <v>0</v>
      </c>
      <c r="U177" s="8">
        <f>SUMIFS('HOJAS DE HORA PROY.'!$F$2:$F$943,'HOJAS DE HORA PROY.'!$A$2:$A$943,'PLAN MAESTRO FINAL'!$A177,'HOJAS DE HORA PROY.'!$M$2:$M$943,U$113)</f>
        <v>0</v>
      </c>
      <c r="V177" s="8">
        <f>SUMIFS('HOJAS DE HORA PROY.'!$F$2:$F$943,'HOJAS DE HORA PROY.'!$A$2:$A$943,'PLAN MAESTRO FINAL'!$A177,'HOJAS DE HORA PROY.'!$M$2:$M$943,V$113)</f>
        <v>0</v>
      </c>
      <c r="W177" s="8">
        <f>SUMIFS('HOJAS DE HORA PROY.'!$F$2:$F$943,'HOJAS DE HORA PROY.'!$A$2:$A$943,'PLAN MAESTRO FINAL'!$A177,'HOJAS DE HORA PROY.'!$M$2:$M$943,W$113)</f>
        <v>0</v>
      </c>
    </row>
    <row r="178" spans="1:23" hidden="1" outlineLevel="1" x14ac:dyDescent="0.3">
      <c r="A178" s="13" t="s">
        <v>520</v>
      </c>
      <c r="B178" s="8">
        <f>SUMIFS('HOJAS DE HORA PROY.'!$F$2:$F$943,'HOJAS DE HORA PROY.'!$A$2:$A$943,'PLAN MAESTRO FINAL'!$A178,'HOJAS DE HORA PROY.'!$M$2:$M$943,B$113)</f>
        <v>0</v>
      </c>
      <c r="C178" s="8">
        <f>SUMIFS('HOJAS DE HORA PROY.'!$F$2:$F$943,'HOJAS DE HORA PROY.'!$A$2:$A$943,'PLAN MAESTRO FINAL'!$A178,'HOJAS DE HORA PROY.'!$M$2:$M$943,C$113)</f>
        <v>0</v>
      </c>
      <c r="D178" s="8">
        <f>SUMIFS('HOJAS DE HORA PROY.'!$F$2:$F$943,'HOJAS DE HORA PROY.'!$A$2:$A$943,'PLAN MAESTRO FINAL'!$A178,'HOJAS DE HORA PROY.'!$M$2:$M$943,D$113)</f>
        <v>0</v>
      </c>
      <c r="E178" s="8">
        <f>SUMIFS('HOJAS DE HORA PROY.'!$F$2:$F$943,'HOJAS DE HORA PROY.'!$A$2:$A$943,'PLAN MAESTRO FINAL'!$A178,'HOJAS DE HORA PROY.'!$M$2:$M$943,E$113)</f>
        <v>0</v>
      </c>
      <c r="F178" s="8">
        <f>SUMIFS('HOJAS DE HORA PROY.'!$F$2:$F$943,'HOJAS DE HORA PROY.'!$A$2:$A$943,'PLAN MAESTRO FINAL'!$A178,'HOJAS DE HORA PROY.'!$M$2:$M$943,F$113)</f>
        <v>0</v>
      </c>
      <c r="G178" s="8">
        <f>SUMIFS('HOJAS DE HORA PROY.'!$F$2:$F$943,'HOJAS DE HORA PROY.'!$A$2:$A$943,'PLAN MAESTRO FINAL'!$A178,'HOJAS DE HORA PROY.'!$M$2:$M$943,G$113)</f>
        <v>0</v>
      </c>
      <c r="H178" s="8">
        <f>SUMIFS('HOJAS DE HORA PROY.'!$F$2:$F$943,'HOJAS DE HORA PROY.'!$A$2:$A$943,'PLAN MAESTRO FINAL'!$A178,'HOJAS DE HORA PROY.'!$M$2:$M$943,H$113)</f>
        <v>0</v>
      </c>
      <c r="I178" s="8">
        <f>SUMIFS('HOJAS DE HORA PROY.'!$F$2:$F$943,'HOJAS DE HORA PROY.'!$A$2:$A$943,'PLAN MAESTRO FINAL'!$A178,'HOJAS DE HORA PROY.'!$M$2:$M$943,I$113)</f>
        <v>0</v>
      </c>
      <c r="J178" s="8">
        <f>SUMIFS('HOJAS DE HORA PROY.'!$F$2:$F$943,'HOJAS DE HORA PROY.'!$A$2:$A$943,'PLAN MAESTRO FINAL'!$A178,'HOJAS DE HORA PROY.'!$M$2:$M$943,J$113)</f>
        <v>0</v>
      </c>
      <c r="K178" s="8">
        <f>SUMIFS('HOJAS DE HORA PROY.'!$F$2:$F$943,'HOJAS DE HORA PROY.'!$A$2:$A$943,'PLAN MAESTRO FINAL'!$A178,'HOJAS DE HORA PROY.'!$M$2:$M$943,K$113)</f>
        <v>0</v>
      </c>
      <c r="L178" s="8">
        <f>SUMIFS('HOJAS DE HORA PROY.'!$F$2:$F$943,'HOJAS DE HORA PROY.'!$A$2:$A$943,'PLAN MAESTRO FINAL'!$A178,'HOJAS DE HORA PROY.'!$M$2:$M$943,L$113)</f>
        <v>0</v>
      </c>
      <c r="M178" s="8">
        <f>SUMIFS('HOJAS DE HORA PROY.'!$F$2:$F$943,'HOJAS DE HORA PROY.'!$A$2:$A$943,'PLAN MAESTRO FINAL'!$A178,'HOJAS DE HORA PROY.'!$M$2:$M$943,M$113)</f>
        <v>0</v>
      </c>
      <c r="N178" s="8">
        <f>SUMIFS('HOJAS DE HORA PROY.'!$F$2:$F$943,'HOJAS DE HORA PROY.'!$A$2:$A$943,'PLAN MAESTRO FINAL'!$A178,'HOJAS DE HORA PROY.'!$M$2:$M$943,N$113)</f>
        <v>0</v>
      </c>
      <c r="O178" s="8">
        <f>SUMIFS('HOJAS DE HORA PROY.'!$F$2:$F$943,'HOJAS DE HORA PROY.'!$A$2:$A$943,'PLAN MAESTRO FINAL'!$A178,'HOJAS DE HORA PROY.'!$M$2:$M$943,O$113)</f>
        <v>0</v>
      </c>
      <c r="P178" s="8">
        <f>SUMIFS('HOJAS DE HORA PROY.'!$F$2:$F$943,'HOJAS DE HORA PROY.'!$A$2:$A$943,'PLAN MAESTRO FINAL'!$A178,'HOJAS DE HORA PROY.'!$M$2:$M$943,P$113)</f>
        <v>0</v>
      </c>
      <c r="Q178" s="8">
        <f>SUMIFS('HOJAS DE HORA PROY.'!$F$2:$F$943,'HOJAS DE HORA PROY.'!$A$2:$A$943,'PLAN MAESTRO FINAL'!$A178,'HOJAS DE HORA PROY.'!$M$2:$M$943,Q$113)</f>
        <v>0</v>
      </c>
      <c r="R178" s="8">
        <f>SUMIFS('HOJAS DE HORA PROY.'!$F$2:$F$943,'HOJAS DE HORA PROY.'!$A$2:$A$943,'PLAN MAESTRO FINAL'!$A178,'HOJAS DE HORA PROY.'!$M$2:$M$943,R$113)</f>
        <v>0</v>
      </c>
      <c r="S178" s="8">
        <f>SUMIFS('HOJAS DE HORA PROY.'!$F$2:$F$943,'HOJAS DE HORA PROY.'!$A$2:$A$943,'PLAN MAESTRO FINAL'!$A178,'HOJAS DE HORA PROY.'!$M$2:$M$943,S$113)</f>
        <v>0</v>
      </c>
      <c r="T178" s="8">
        <f>SUMIFS('HOJAS DE HORA PROY.'!$F$2:$F$943,'HOJAS DE HORA PROY.'!$A$2:$A$943,'PLAN MAESTRO FINAL'!$A178,'HOJAS DE HORA PROY.'!$M$2:$M$943,T$113)</f>
        <v>0</v>
      </c>
      <c r="U178" s="8">
        <f>SUMIFS('HOJAS DE HORA PROY.'!$F$2:$F$943,'HOJAS DE HORA PROY.'!$A$2:$A$943,'PLAN MAESTRO FINAL'!$A178,'HOJAS DE HORA PROY.'!$M$2:$M$943,U$113)</f>
        <v>0</v>
      </c>
      <c r="V178" s="8">
        <f>SUMIFS('HOJAS DE HORA PROY.'!$F$2:$F$943,'HOJAS DE HORA PROY.'!$A$2:$A$943,'PLAN MAESTRO FINAL'!$A178,'HOJAS DE HORA PROY.'!$M$2:$M$943,V$113)</f>
        <v>0</v>
      </c>
      <c r="W178" s="8">
        <f>SUMIFS('HOJAS DE HORA PROY.'!$F$2:$F$943,'HOJAS DE HORA PROY.'!$A$2:$A$943,'PLAN MAESTRO FINAL'!$A178,'HOJAS DE HORA PROY.'!$M$2:$M$943,W$113)</f>
        <v>0</v>
      </c>
    </row>
    <row r="179" spans="1:23" hidden="1" outlineLevel="1" x14ac:dyDescent="0.3">
      <c r="A179" s="13" t="s">
        <v>525</v>
      </c>
      <c r="B179" s="8">
        <f>SUMIFS('HOJAS DE HORA PROY.'!$F$2:$F$943,'HOJAS DE HORA PROY.'!$A$2:$A$943,'PLAN MAESTRO FINAL'!$A179,'HOJAS DE HORA PROY.'!$M$2:$M$943,B$113)</f>
        <v>0</v>
      </c>
      <c r="C179" s="8">
        <f>SUMIFS('HOJAS DE HORA PROY.'!$F$2:$F$943,'HOJAS DE HORA PROY.'!$A$2:$A$943,'PLAN MAESTRO FINAL'!$A179,'HOJAS DE HORA PROY.'!$M$2:$M$943,C$113)</f>
        <v>0</v>
      </c>
      <c r="D179" s="8">
        <f>SUMIFS('HOJAS DE HORA PROY.'!$F$2:$F$943,'HOJAS DE HORA PROY.'!$A$2:$A$943,'PLAN MAESTRO FINAL'!$A179,'HOJAS DE HORA PROY.'!$M$2:$M$943,D$113)</f>
        <v>0</v>
      </c>
      <c r="E179" s="8">
        <f>SUMIFS('HOJAS DE HORA PROY.'!$F$2:$F$943,'HOJAS DE HORA PROY.'!$A$2:$A$943,'PLAN MAESTRO FINAL'!$A179,'HOJAS DE HORA PROY.'!$M$2:$M$943,E$113)</f>
        <v>0</v>
      </c>
      <c r="F179" s="8">
        <f>SUMIFS('HOJAS DE HORA PROY.'!$F$2:$F$943,'HOJAS DE HORA PROY.'!$A$2:$A$943,'PLAN MAESTRO FINAL'!$A179,'HOJAS DE HORA PROY.'!$M$2:$M$943,F$113)</f>
        <v>0</v>
      </c>
      <c r="G179" s="8">
        <f>SUMIFS('HOJAS DE HORA PROY.'!$F$2:$F$943,'HOJAS DE HORA PROY.'!$A$2:$A$943,'PLAN MAESTRO FINAL'!$A179,'HOJAS DE HORA PROY.'!$M$2:$M$943,G$113)</f>
        <v>0</v>
      </c>
      <c r="H179" s="8">
        <f>SUMIFS('HOJAS DE HORA PROY.'!$F$2:$F$943,'HOJAS DE HORA PROY.'!$A$2:$A$943,'PLAN MAESTRO FINAL'!$A179,'HOJAS DE HORA PROY.'!$M$2:$M$943,H$113)</f>
        <v>0</v>
      </c>
      <c r="I179" s="8">
        <f>SUMIFS('HOJAS DE HORA PROY.'!$F$2:$F$943,'HOJAS DE HORA PROY.'!$A$2:$A$943,'PLAN MAESTRO FINAL'!$A179,'HOJAS DE HORA PROY.'!$M$2:$M$943,I$113)</f>
        <v>0</v>
      </c>
      <c r="J179" s="8">
        <f>SUMIFS('HOJAS DE HORA PROY.'!$F$2:$F$943,'HOJAS DE HORA PROY.'!$A$2:$A$943,'PLAN MAESTRO FINAL'!$A179,'HOJAS DE HORA PROY.'!$M$2:$M$943,J$113)</f>
        <v>0</v>
      </c>
      <c r="K179" s="8">
        <f>SUMIFS('HOJAS DE HORA PROY.'!$F$2:$F$943,'HOJAS DE HORA PROY.'!$A$2:$A$943,'PLAN MAESTRO FINAL'!$A179,'HOJAS DE HORA PROY.'!$M$2:$M$943,K$113)</f>
        <v>0</v>
      </c>
      <c r="L179" s="8">
        <f>SUMIFS('HOJAS DE HORA PROY.'!$F$2:$F$943,'HOJAS DE HORA PROY.'!$A$2:$A$943,'PLAN MAESTRO FINAL'!$A179,'HOJAS DE HORA PROY.'!$M$2:$M$943,L$113)</f>
        <v>0</v>
      </c>
      <c r="M179" s="8">
        <f>SUMIFS('HOJAS DE HORA PROY.'!$F$2:$F$943,'HOJAS DE HORA PROY.'!$A$2:$A$943,'PLAN MAESTRO FINAL'!$A179,'HOJAS DE HORA PROY.'!$M$2:$M$943,M$113)</f>
        <v>0</v>
      </c>
      <c r="N179" s="8">
        <f>SUMIFS('HOJAS DE HORA PROY.'!$F$2:$F$943,'HOJAS DE HORA PROY.'!$A$2:$A$943,'PLAN MAESTRO FINAL'!$A179,'HOJAS DE HORA PROY.'!$M$2:$M$943,N$113)</f>
        <v>0</v>
      </c>
      <c r="O179" s="8">
        <f>SUMIFS('HOJAS DE HORA PROY.'!$F$2:$F$943,'HOJAS DE HORA PROY.'!$A$2:$A$943,'PLAN MAESTRO FINAL'!$A179,'HOJAS DE HORA PROY.'!$M$2:$M$943,O$113)</f>
        <v>0</v>
      </c>
      <c r="P179" s="8">
        <f>SUMIFS('HOJAS DE HORA PROY.'!$F$2:$F$943,'HOJAS DE HORA PROY.'!$A$2:$A$943,'PLAN MAESTRO FINAL'!$A179,'HOJAS DE HORA PROY.'!$M$2:$M$943,P$113)</f>
        <v>0</v>
      </c>
      <c r="Q179" s="8">
        <f>SUMIFS('HOJAS DE HORA PROY.'!$F$2:$F$943,'HOJAS DE HORA PROY.'!$A$2:$A$943,'PLAN MAESTRO FINAL'!$A179,'HOJAS DE HORA PROY.'!$M$2:$M$943,Q$113)</f>
        <v>0</v>
      </c>
      <c r="R179" s="8">
        <f>SUMIFS('HOJAS DE HORA PROY.'!$F$2:$F$943,'HOJAS DE HORA PROY.'!$A$2:$A$943,'PLAN MAESTRO FINAL'!$A179,'HOJAS DE HORA PROY.'!$M$2:$M$943,R$113)</f>
        <v>0</v>
      </c>
      <c r="S179" s="8">
        <f>SUMIFS('HOJAS DE HORA PROY.'!$F$2:$F$943,'HOJAS DE HORA PROY.'!$A$2:$A$943,'PLAN MAESTRO FINAL'!$A179,'HOJAS DE HORA PROY.'!$M$2:$M$943,S$113)</f>
        <v>0</v>
      </c>
      <c r="T179" s="8">
        <f>SUMIFS('HOJAS DE HORA PROY.'!$F$2:$F$943,'HOJAS DE HORA PROY.'!$A$2:$A$943,'PLAN MAESTRO FINAL'!$A179,'HOJAS DE HORA PROY.'!$M$2:$M$943,T$113)</f>
        <v>0</v>
      </c>
      <c r="U179" s="8">
        <f>SUMIFS('HOJAS DE HORA PROY.'!$F$2:$F$943,'HOJAS DE HORA PROY.'!$A$2:$A$943,'PLAN MAESTRO FINAL'!$A179,'HOJAS DE HORA PROY.'!$M$2:$M$943,U$113)</f>
        <v>0</v>
      </c>
      <c r="V179" s="8">
        <f>SUMIFS('HOJAS DE HORA PROY.'!$F$2:$F$943,'HOJAS DE HORA PROY.'!$A$2:$A$943,'PLAN MAESTRO FINAL'!$A179,'HOJAS DE HORA PROY.'!$M$2:$M$943,V$113)</f>
        <v>0</v>
      </c>
      <c r="W179" s="8">
        <f>SUMIFS('HOJAS DE HORA PROY.'!$F$2:$F$943,'HOJAS DE HORA PROY.'!$A$2:$A$943,'PLAN MAESTRO FINAL'!$A179,'HOJAS DE HORA PROY.'!$M$2:$M$943,W$113)</f>
        <v>0</v>
      </c>
    </row>
    <row r="180" spans="1:23" hidden="1" outlineLevel="1" x14ac:dyDescent="0.3">
      <c r="A180" s="13" t="s">
        <v>547</v>
      </c>
      <c r="B180" s="8">
        <f>SUMIFS('HOJAS DE HORA PROY.'!$F$2:$F$943,'HOJAS DE HORA PROY.'!$A$2:$A$943,'PLAN MAESTRO FINAL'!$A180,'HOJAS DE HORA PROY.'!$M$2:$M$943,B$113)</f>
        <v>0</v>
      </c>
      <c r="C180" s="8">
        <f>SUMIFS('HOJAS DE HORA PROY.'!$F$2:$F$943,'HOJAS DE HORA PROY.'!$A$2:$A$943,'PLAN MAESTRO FINAL'!$A180,'HOJAS DE HORA PROY.'!$M$2:$M$943,C$113)</f>
        <v>0</v>
      </c>
      <c r="D180" s="8">
        <f>SUMIFS('HOJAS DE HORA PROY.'!$F$2:$F$943,'HOJAS DE HORA PROY.'!$A$2:$A$943,'PLAN MAESTRO FINAL'!$A180,'HOJAS DE HORA PROY.'!$M$2:$M$943,D$113)</f>
        <v>0</v>
      </c>
      <c r="E180" s="8">
        <f>SUMIFS('HOJAS DE HORA PROY.'!$F$2:$F$943,'HOJAS DE HORA PROY.'!$A$2:$A$943,'PLAN MAESTRO FINAL'!$A180,'HOJAS DE HORA PROY.'!$M$2:$M$943,E$113)</f>
        <v>0</v>
      </c>
      <c r="F180" s="8">
        <f>SUMIFS('HOJAS DE HORA PROY.'!$F$2:$F$943,'HOJAS DE HORA PROY.'!$A$2:$A$943,'PLAN MAESTRO FINAL'!$A180,'HOJAS DE HORA PROY.'!$M$2:$M$943,F$113)</f>
        <v>0</v>
      </c>
      <c r="G180" s="8">
        <f>SUMIFS('HOJAS DE HORA PROY.'!$F$2:$F$943,'HOJAS DE HORA PROY.'!$A$2:$A$943,'PLAN MAESTRO FINAL'!$A180,'HOJAS DE HORA PROY.'!$M$2:$M$943,G$113)</f>
        <v>21</v>
      </c>
      <c r="H180" s="8">
        <f>SUMIFS('HOJAS DE HORA PROY.'!$F$2:$F$943,'HOJAS DE HORA PROY.'!$A$2:$A$943,'PLAN MAESTRO FINAL'!$A180,'HOJAS DE HORA PROY.'!$M$2:$M$943,H$113)</f>
        <v>0</v>
      </c>
      <c r="I180" s="8">
        <f>SUMIFS('HOJAS DE HORA PROY.'!$F$2:$F$943,'HOJAS DE HORA PROY.'!$A$2:$A$943,'PLAN MAESTRO FINAL'!$A180,'HOJAS DE HORA PROY.'!$M$2:$M$943,I$113)</f>
        <v>0</v>
      </c>
      <c r="J180" s="8">
        <f>SUMIFS('HOJAS DE HORA PROY.'!$F$2:$F$943,'HOJAS DE HORA PROY.'!$A$2:$A$943,'PLAN MAESTRO FINAL'!$A180,'HOJAS DE HORA PROY.'!$M$2:$M$943,J$113)</f>
        <v>0</v>
      </c>
      <c r="K180" s="8">
        <f>SUMIFS('HOJAS DE HORA PROY.'!$F$2:$F$943,'HOJAS DE HORA PROY.'!$A$2:$A$943,'PLAN MAESTRO FINAL'!$A180,'HOJAS DE HORA PROY.'!$M$2:$M$943,K$113)</f>
        <v>0</v>
      </c>
      <c r="L180" s="8">
        <f>SUMIFS('HOJAS DE HORA PROY.'!$F$2:$F$943,'HOJAS DE HORA PROY.'!$A$2:$A$943,'PLAN MAESTRO FINAL'!$A180,'HOJAS DE HORA PROY.'!$M$2:$M$943,L$113)</f>
        <v>0</v>
      </c>
      <c r="M180" s="8">
        <f>SUMIFS('HOJAS DE HORA PROY.'!$F$2:$F$943,'HOJAS DE HORA PROY.'!$A$2:$A$943,'PLAN MAESTRO FINAL'!$A180,'HOJAS DE HORA PROY.'!$M$2:$M$943,M$113)</f>
        <v>0</v>
      </c>
      <c r="N180" s="8">
        <f>SUMIFS('HOJAS DE HORA PROY.'!$F$2:$F$943,'HOJAS DE HORA PROY.'!$A$2:$A$943,'PLAN MAESTRO FINAL'!$A180,'HOJAS DE HORA PROY.'!$M$2:$M$943,N$113)</f>
        <v>0</v>
      </c>
      <c r="O180" s="8">
        <f>SUMIFS('HOJAS DE HORA PROY.'!$F$2:$F$943,'HOJAS DE HORA PROY.'!$A$2:$A$943,'PLAN MAESTRO FINAL'!$A180,'HOJAS DE HORA PROY.'!$M$2:$M$943,O$113)</f>
        <v>0</v>
      </c>
      <c r="P180" s="8">
        <f>SUMIFS('HOJAS DE HORA PROY.'!$F$2:$F$943,'HOJAS DE HORA PROY.'!$A$2:$A$943,'PLAN MAESTRO FINAL'!$A180,'HOJAS DE HORA PROY.'!$M$2:$M$943,P$113)</f>
        <v>0</v>
      </c>
      <c r="Q180" s="8">
        <f>SUMIFS('HOJAS DE HORA PROY.'!$F$2:$F$943,'HOJAS DE HORA PROY.'!$A$2:$A$943,'PLAN MAESTRO FINAL'!$A180,'HOJAS DE HORA PROY.'!$M$2:$M$943,Q$113)</f>
        <v>0</v>
      </c>
      <c r="R180" s="8">
        <f>SUMIFS('HOJAS DE HORA PROY.'!$F$2:$F$943,'HOJAS DE HORA PROY.'!$A$2:$A$943,'PLAN MAESTRO FINAL'!$A180,'HOJAS DE HORA PROY.'!$M$2:$M$943,R$113)</f>
        <v>0</v>
      </c>
      <c r="S180" s="8">
        <f>SUMIFS('HOJAS DE HORA PROY.'!$F$2:$F$943,'HOJAS DE HORA PROY.'!$A$2:$A$943,'PLAN MAESTRO FINAL'!$A180,'HOJAS DE HORA PROY.'!$M$2:$M$943,S$113)</f>
        <v>0</v>
      </c>
      <c r="T180" s="8">
        <f>SUMIFS('HOJAS DE HORA PROY.'!$F$2:$F$943,'HOJAS DE HORA PROY.'!$A$2:$A$943,'PLAN MAESTRO FINAL'!$A180,'HOJAS DE HORA PROY.'!$M$2:$M$943,T$113)</f>
        <v>0</v>
      </c>
      <c r="U180" s="8">
        <f>SUMIFS('HOJAS DE HORA PROY.'!$F$2:$F$943,'HOJAS DE HORA PROY.'!$A$2:$A$943,'PLAN MAESTRO FINAL'!$A180,'HOJAS DE HORA PROY.'!$M$2:$M$943,U$113)</f>
        <v>0</v>
      </c>
      <c r="V180" s="8">
        <f>SUMIFS('HOJAS DE HORA PROY.'!$F$2:$F$943,'HOJAS DE HORA PROY.'!$A$2:$A$943,'PLAN MAESTRO FINAL'!$A180,'HOJAS DE HORA PROY.'!$M$2:$M$943,V$113)</f>
        <v>0</v>
      </c>
      <c r="W180" s="8">
        <f>SUMIFS('HOJAS DE HORA PROY.'!$F$2:$F$943,'HOJAS DE HORA PROY.'!$A$2:$A$943,'PLAN MAESTRO FINAL'!$A180,'HOJAS DE HORA PROY.'!$M$2:$M$943,W$113)</f>
        <v>0</v>
      </c>
    </row>
    <row r="181" spans="1:23" hidden="1" outlineLevel="1" x14ac:dyDescent="0.3">
      <c r="A181" s="13"/>
      <c r="B181" s="8">
        <f>SUMIFS('HOJAS DE HORA PROY.'!$F$2:$F$943,'HOJAS DE HORA PROY.'!$A$2:$A$943,'PLAN MAESTRO FINAL'!$A181,'HOJAS DE HORA PROY.'!$M$2:$M$943,B$113)</f>
        <v>0</v>
      </c>
      <c r="C181" s="8">
        <f>SUMIFS('HOJAS DE HORA PROY.'!$F$2:$F$943,'HOJAS DE HORA PROY.'!$A$2:$A$943,'PLAN MAESTRO FINAL'!$A181,'HOJAS DE HORA PROY.'!$M$2:$M$943,C$113)</f>
        <v>0</v>
      </c>
      <c r="D181" s="8">
        <f>SUMIFS('HOJAS DE HORA PROY.'!$F$2:$F$943,'HOJAS DE HORA PROY.'!$A$2:$A$943,'PLAN MAESTRO FINAL'!$A181,'HOJAS DE HORA PROY.'!$M$2:$M$943,D$113)</f>
        <v>0</v>
      </c>
      <c r="E181" s="8">
        <f>SUMIFS('HOJAS DE HORA PROY.'!$F$2:$F$943,'HOJAS DE HORA PROY.'!$A$2:$A$943,'PLAN MAESTRO FINAL'!$A181,'HOJAS DE HORA PROY.'!$M$2:$M$943,E$113)</f>
        <v>0</v>
      </c>
      <c r="F181" s="8">
        <f>SUMIFS('HOJAS DE HORA PROY.'!$F$2:$F$943,'HOJAS DE HORA PROY.'!$A$2:$A$943,'PLAN MAESTRO FINAL'!$A181,'HOJAS DE HORA PROY.'!$M$2:$M$943,F$113)</f>
        <v>0</v>
      </c>
      <c r="G181" s="8">
        <f>SUMIFS('HOJAS DE HORA PROY.'!$F$2:$F$943,'HOJAS DE HORA PROY.'!$A$2:$A$943,'PLAN MAESTRO FINAL'!$A181,'HOJAS DE HORA PROY.'!$M$2:$M$943,G$113)</f>
        <v>0</v>
      </c>
      <c r="H181" s="8">
        <f>SUMIFS('HOJAS DE HORA PROY.'!$F$2:$F$943,'HOJAS DE HORA PROY.'!$A$2:$A$943,'PLAN MAESTRO FINAL'!$A181,'HOJAS DE HORA PROY.'!$M$2:$M$943,H$113)</f>
        <v>0</v>
      </c>
      <c r="I181" s="8">
        <f>SUMIFS('HOJAS DE HORA PROY.'!$F$2:$F$943,'HOJAS DE HORA PROY.'!$A$2:$A$943,'PLAN MAESTRO FINAL'!$A181,'HOJAS DE HORA PROY.'!$M$2:$M$943,I$113)</f>
        <v>0</v>
      </c>
      <c r="J181" s="8">
        <f>SUMIFS('HOJAS DE HORA PROY.'!$F$2:$F$943,'HOJAS DE HORA PROY.'!$A$2:$A$943,'PLAN MAESTRO FINAL'!$A181,'HOJAS DE HORA PROY.'!$M$2:$M$943,J$113)</f>
        <v>0</v>
      </c>
      <c r="K181" s="8">
        <f>SUMIFS('HOJAS DE HORA PROY.'!$F$2:$F$943,'HOJAS DE HORA PROY.'!$A$2:$A$943,'PLAN MAESTRO FINAL'!$A181,'HOJAS DE HORA PROY.'!$M$2:$M$943,K$113)</f>
        <v>0</v>
      </c>
      <c r="L181" s="8">
        <f>SUMIFS('HOJAS DE HORA PROY.'!$F$2:$F$943,'HOJAS DE HORA PROY.'!$A$2:$A$943,'PLAN MAESTRO FINAL'!$A181,'HOJAS DE HORA PROY.'!$M$2:$M$943,L$113)</f>
        <v>0</v>
      </c>
      <c r="M181" s="8">
        <f>SUMIFS('HOJAS DE HORA PROY.'!$F$2:$F$943,'HOJAS DE HORA PROY.'!$A$2:$A$943,'PLAN MAESTRO FINAL'!$A181,'HOJAS DE HORA PROY.'!$M$2:$M$943,M$113)</f>
        <v>0</v>
      </c>
      <c r="N181" s="8">
        <f>SUMIFS('HOJAS DE HORA PROY.'!$F$2:$F$943,'HOJAS DE HORA PROY.'!$A$2:$A$943,'PLAN MAESTRO FINAL'!$A181,'HOJAS DE HORA PROY.'!$M$2:$M$943,N$113)</f>
        <v>0</v>
      </c>
      <c r="O181" s="8">
        <f>SUMIFS('HOJAS DE HORA PROY.'!$F$2:$F$943,'HOJAS DE HORA PROY.'!$A$2:$A$943,'PLAN MAESTRO FINAL'!$A181,'HOJAS DE HORA PROY.'!$M$2:$M$943,O$113)</f>
        <v>0</v>
      </c>
      <c r="P181" s="8">
        <f>SUMIFS('HOJAS DE HORA PROY.'!$F$2:$F$943,'HOJAS DE HORA PROY.'!$A$2:$A$943,'PLAN MAESTRO FINAL'!$A181,'HOJAS DE HORA PROY.'!$M$2:$M$943,P$113)</f>
        <v>0</v>
      </c>
      <c r="Q181" s="8">
        <f>SUMIFS('HOJAS DE HORA PROY.'!$F$2:$F$943,'HOJAS DE HORA PROY.'!$A$2:$A$943,'PLAN MAESTRO FINAL'!$A181,'HOJAS DE HORA PROY.'!$M$2:$M$943,Q$113)</f>
        <v>0</v>
      </c>
      <c r="R181" s="8">
        <f>SUMIFS('HOJAS DE HORA PROY.'!$F$2:$F$943,'HOJAS DE HORA PROY.'!$A$2:$A$943,'PLAN MAESTRO FINAL'!$A181,'HOJAS DE HORA PROY.'!$M$2:$M$943,R$113)</f>
        <v>0</v>
      </c>
      <c r="S181" s="8">
        <f>SUMIFS('HOJAS DE HORA PROY.'!$F$2:$F$943,'HOJAS DE HORA PROY.'!$A$2:$A$943,'PLAN MAESTRO FINAL'!$A181,'HOJAS DE HORA PROY.'!$M$2:$M$943,S$113)</f>
        <v>0</v>
      </c>
      <c r="T181" s="8">
        <f>SUMIFS('HOJAS DE HORA PROY.'!$F$2:$F$943,'HOJAS DE HORA PROY.'!$A$2:$A$943,'PLAN MAESTRO FINAL'!$A181,'HOJAS DE HORA PROY.'!$M$2:$M$943,T$113)</f>
        <v>0</v>
      </c>
      <c r="U181" s="8">
        <f>SUMIFS('HOJAS DE HORA PROY.'!$F$2:$F$943,'HOJAS DE HORA PROY.'!$A$2:$A$943,'PLAN MAESTRO FINAL'!$A181,'HOJAS DE HORA PROY.'!$M$2:$M$943,U$113)</f>
        <v>0</v>
      </c>
      <c r="V181" s="8">
        <f>SUMIFS('HOJAS DE HORA PROY.'!$F$2:$F$943,'HOJAS DE HORA PROY.'!$A$2:$A$943,'PLAN MAESTRO FINAL'!$A181,'HOJAS DE HORA PROY.'!$M$2:$M$943,V$113)</f>
        <v>0</v>
      </c>
      <c r="W181" s="8">
        <f>SUMIFS('HOJAS DE HORA PROY.'!$F$2:$F$943,'HOJAS DE HORA PROY.'!$A$2:$A$943,'PLAN MAESTRO FINAL'!$A181,'HOJAS DE HORA PROY.'!$M$2:$M$943,W$113)</f>
        <v>0</v>
      </c>
    </row>
    <row r="182" spans="1:23" collapsed="1" x14ac:dyDescent="0.3">
      <c r="A182" s="32" t="s">
        <v>471</v>
      </c>
      <c r="B182" s="33">
        <f t="shared" ref="B182:W182" si="8">SUM(B151:B181)</f>
        <v>0</v>
      </c>
      <c r="C182" s="33">
        <f t="shared" si="8"/>
        <v>0</v>
      </c>
      <c r="D182" s="33">
        <f t="shared" si="8"/>
        <v>0</v>
      </c>
      <c r="E182" s="33">
        <f t="shared" si="8"/>
        <v>0.5</v>
      </c>
      <c r="F182" s="33">
        <f t="shared" si="8"/>
        <v>45.5</v>
      </c>
      <c r="G182" s="33">
        <f t="shared" si="8"/>
        <v>93</v>
      </c>
      <c r="H182" s="33">
        <f t="shared" si="8"/>
        <v>20</v>
      </c>
      <c r="I182" s="33">
        <f t="shared" si="8"/>
        <v>0</v>
      </c>
      <c r="J182" s="33">
        <f t="shared" si="8"/>
        <v>18</v>
      </c>
      <c r="K182" s="33">
        <f t="shared" si="8"/>
        <v>5</v>
      </c>
      <c r="L182" s="33">
        <f t="shared" si="8"/>
        <v>0</v>
      </c>
      <c r="M182" s="33">
        <f t="shared" si="8"/>
        <v>0</v>
      </c>
      <c r="N182" s="33">
        <f t="shared" si="8"/>
        <v>0</v>
      </c>
      <c r="O182" s="33">
        <f t="shared" si="8"/>
        <v>0</v>
      </c>
      <c r="P182" s="33">
        <f t="shared" si="8"/>
        <v>0</v>
      </c>
      <c r="Q182" s="33">
        <f t="shared" si="8"/>
        <v>0</v>
      </c>
      <c r="R182" s="33">
        <f t="shared" si="8"/>
        <v>0</v>
      </c>
      <c r="S182" s="33">
        <f t="shared" si="8"/>
        <v>0</v>
      </c>
      <c r="T182" s="33">
        <f t="shared" si="8"/>
        <v>0</v>
      </c>
      <c r="U182" s="33">
        <f t="shared" si="8"/>
        <v>0</v>
      </c>
      <c r="V182" s="33">
        <f t="shared" si="8"/>
        <v>0</v>
      </c>
      <c r="W182" s="33">
        <f t="shared" si="8"/>
        <v>0</v>
      </c>
    </row>
    <row r="183" spans="1:23" x14ac:dyDescent="0.3">
      <c r="A183" s="32" t="s">
        <v>29</v>
      </c>
      <c r="B183" s="34">
        <f>CAPACIDAD!G27</f>
        <v>122</v>
      </c>
      <c r="C183" s="34">
        <f>CAPACIDAD!H27</f>
        <v>122</v>
      </c>
      <c r="D183" s="34">
        <f>CAPACIDAD!I27</f>
        <v>57</v>
      </c>
      <c r="E183" s="34">
        <f>CAPACIDAD!J27</f>
        <v>114</v>
      </c>
      <c r="F183" s="34">
        <f>CAPACIDAD!K27</f>
        <v>114</v>
      </c>
      <c r="G183" s="34">
        <f>CAPACIDAD!L27</f>
        <v>114</v>
      </c>
      <c r="H183" s="34">
        <f>CAPACIDAD!M27</f>
        <v>114</v>
      </c>
      <c r="I183" s="34">
        <f>CAPACIDAD!N27</f>
        <v>114</v>
      </c>
      <c r="J183" s="34">
        <f>CAPACIDAD!O27</f>
        <v>114</v>
      </c>
      <c r="K183" s="34">
        <f>CAPACIDAD!P27</f>
        <v>114</v>
      </c>
      <c r="L183" s="34">
        <f>CAPACIDAD!Q27</f>
        <v>114</v>
      </c>
      <c r="M183" s="34">
        <f>CAPACIDAD!R27</f>
        <v>114</v>
      </c>
      <c r="N183" s="34">
        <f>CAPACIDAD!S27</f>
        <v>114</v>
      </c>
      <c r="O183" s="34">
        <f>CAPACIDAD!T27</f>
        <v>114</v>
      </c>
      <c r="P183" s="34">
        <f>CAPACIDAD!U27</f>
        <v>114</v>
      </c>
      <c r="Q183" s="34">
        <f>CAPACIDAD!V27</f>
        <v>114</v>
      </c>
      <c r="R183" s="34">
        <f>CAPACIDAD!W27</f>
        <v>114</v>
      </c>
      <c r="S183" s="34">
        <f>CAPACIDAD!X27</f>
        <v>114</v>
      </c>
      <c r="T183" s="34">
        <f>CAPACIDAD!Y27</f>
        <v>114</v>
      </c>
      <c r="U183" s="34">
        <f>CAPACIDAD!Z27</f>
        <v>114</v>
      </c>
      <c r="V183" s="34">
        <f>CAPACIDAD!AA27</f>
        <v>114</v>
      </c>
      <c r="W183" s="34">
        <f>CAPACIDAD!AB27</f>
        <v>114</v>
      </c>
    </row>
    <row r="184" spans="1:23" s="10" customFormat="1" x14ac:dyDescent="0.3">
      <c r="A184" s="2" t="s">
        <v>28</v>
      </c>
      <c r="B184" s="9" t="str">
        <f t="shared" ref="B184:W184" si="9">IF(B182/B183=0,"",IF(B182/B183&lt;=85%,"🟢 Saludable",IF(B182/B183&lt;=100%,"🟡 Riesgo","🔴 Atraso seguro")))</f>
        <v/>
      </c>
      <c r="C184" s="9" t="str">
        <f t="shared" si="9"/>
        <v/>
      </c>
      <c r="D184" s="9" t="str">
        <f t="shared" si="9"/>
        <v/>
      </c>
      <c r="E184" s="9" t="str">
        <f t="shared" si="9"/>
        <v>🟢 Saludable</v>
      </c>
      <c r="F184" s="9" t="str">
        <f t="shared" si="9"/>
        <v>🟢 Saludable</v>
      </c>
      <c r="G184" s="9" t="str">
        <f t="shared" si="9"/>
        <v>🟢 Saludable</v>
      </c>
      <c r="H184" s="9" t="str">
        <f t="shared" si="9"/>
        <v>🟢 Saludable</v>
      </c>
      <c r="I184" s="9" t="str">
        <f t="shared" si="9"/>
        <v/>
      </c>
      <c r="J184" s="9" t="str">
        <f t="shared" si="9"/>
        <v>🟢 Saludable</v>
      </c>
      <c r="K184" s="9" t="str">
        <f t="shared" si="9"/>
        <v>🟢 Saludable</v>
      </c>
      <c r="L184" s="9" t="str">
        <f t="shared" si="9"/>
        <v/>
      </c>
      <c r="M184" s="9" t="str">
        <f t="shared" si="9"/>
        <v/>
      </c>
      <c r="N184" s="9" t="str">
        <f t="shared" si="9"/>
        <v/>
      </c>
      <c r="O184" s="9" t="str">
        <f t="shared" si="9"/>
        <v/>
      </c>
      <c r="P184" s="9" t="str">
        <f t="shared" si="9"/>
        <v/>
      </c>
      <c r="Q184" s="9" t="str">
        <f t="shared" si="9"/>
        <v/>
      </c>
      <c r="R184" s="9" t="str">
        <f t="shared" si="9"/>
        <v/>
      </c>
      <c r="S184" s="9" t="str">
        <f t="shared" si="9"/>
        <v/>
      </c>
      <c r="T184" s="9" t="str">
        <f t="shared" si="9"/>
        <v/>
      </c>
      <c r="U184" s="9" t="str">
        <f t="shared" si="9"/>
        <v/>
      </c>
      <c r="V184" s="9" t="str">
        <f t="shared" si="9"/>
        <v/>
      </c>
      <c r="W184" s="9" t="str">
        <f t="shared" si="9"/>
        <v/>
      </c>
    </row>
    <row r="185" spans="1:23" ht="27" customHeight="1" x14ac:dyDescent="0.3"/>
    <row r="186" spans="1:23" ht="21" x14ac:dyDescent="0.4">
      <c r="A186" s="50" t="s">
        <v>477</v>
      </c>
    </row>
    <row r="187" spans="1:23" x14ac:dyDescent="0.3">
      <c r="A187" s="57" t="s">
        <v>27</v>
      </c>
      <c r="B187" s="57" t="s">
        <v>34</v>
      </c>
      <c r="C187" s="57" t="s">
        <v>35</v>
      </c>
      <c r="D187" s="57" t="s">
        <v>36</v>
      </c>
      <c r="E187" s="57" t="s">
        <v>37</v>
      </c>
      <c r="F187" s="57" t="s">
        <v>38</v>
      </c>
      <c r="G187" s="57" t="s">
        <v>40</v>
      </c>
      <c r="H187" s="57" t="s">
        <v>39</v>
      </c>
      <c r="I187" s="57" t="s">
        <v>41</v>
      </c>
      <c r="J187" s="57" t="s">
        <v>42</v>
      </c>
      <c r="K187" s="57" t="s">
        <v>43</v>
      </c>
      <c r="L187" s="57" t="s">
        <v>44</v>
      </c>
      <c r="M187" s="57" t="s">
        <v>45</v>
      </c>
      <c r="N187" s="57" t="s">
        <v>46</v>
      </c>
      <c r="O187" s="57" t="s">
        <v>47</v>
      </c>
      <c r="P187" s="57" t="s">
        <v>48</v>
      </c>
      <c r="Q187" s="57" t="s">
        <v>49</v>
      </c>
      <c r="R187" s="57" t="s">
        <v>50</v>
      </c>
      <c r="S187" s="57" t="s">
        <v>51</v>
      </c>
      <c r="T187" s="57" t="s">
        <v>52</v>
      </c>
      <c r="U187" s="57" t="s">
        <v>53</v>
      </c>
      <c r="V187" s="57" t="s">
        <v>54</v>
      </c>
      <c r="W187" s="57" t="s">
        <v>55</v>
      </c>
    </row>
    <row r="188" spans="1:23" hidden="1" outlineLevel="1" x14ac:dyDescent="0.3">
      <c r="A188" s="13" t="s">
        <v>79</v>
      </c>
      <c r="B188" s="8">
        <f>SUMIFS('HOJAS DE HORA PROY.'!$H$2:$H$943,'HOJAS DE HORA PROY.'!$A$2:$A$943,'PLAN MAESTRO FINAL'!$A188,'HOJAS DE HORA PROY.'!$M$2:$M$943,B$113)</f>
        <v>0</v>
      </c>
      <c r="C188" s="8">
        <f>SUMIFS('HOJAS DE HORA PROY.'!$H$2:$H$943,'HOJAS DE HORA PROY.'!$A$2:$A$943,'PLAN MAESTRO FINAL'!$A188,'HOJAS DE HORA PROY.'!$M$2:$M$943,C$113)</f>
        <v>0</v>
      </c>
      <c r="D188" s="8">
        <f>SUMIFS('HOJAS DE HORA PROY.'!$H$2:$H$943,'HOJAS DE HORA PROY.'!$A$2:$A$943,'PLAN MAESTRO FINAL'!$A188,'HOJAS DE HORA PROY.'!$M$2:$M$943,D$113)</f>
        <v>0</v>
      </c>
      <c r="E188" s="8">
        <f>SUMIFS('HOJAS DE HORA PROY.'!$H$2:$H$943,'HOJAS DE HORA PROY.'!$A$2:$A$943,'PLAN MAESTRO FINAL'!$A188,'HOJAS DE HORA PROY.'!$M$2:$M$943,E$113)</f>
        <v>0</v>
      </c>
      <c r="F188" s="8">
        <f>SUMIFS('HOJAS DE HORA PROY.'!$H$2:$H$943,'HOJAS DE HORA PROY.'!$A$2:$A$943,'PLAN MAESTRO FINAL'!$A188,'HOJAS DE HORA PROY.'!$M$2:$M$943,F$113)</f>
        <v>0</v>
      </c>
      <c r="G188" s="8">
        <f>SUMIFS('HOJAS DE HORA PROY.'!$H$2:$H$943,'HOJAS DE HORA PROY.'!$A$2:$A$943,'PLAN MAESTRO FINAL'!$A188,'HOJAS DE HORA PROY.'!$M$2:$M$943,G$113)</f>
        <v>0</v>
      </c>
      <c r="H188" s="8">
        <f>SUMIFS('HOJAS DE HORA PROY.'!$F$2:$F$943,'HOJAS DE HORA PROY.'!$A$2:$A$943,'PLAN MAESTRO FINAL'!$A188,'HOJAS DE HORA PROY.'!$M$2:$M$943,H$113)</f>
        <v>0</v>
      </c>
      <c r="I188" s="8">
        <f>SUMIFS('HOJAS DE HORA PROY.'!$F$2:$F$943,'HOJAS DE HORA PROY.'!$A$2:$A$943,'PLAN MAESTRO FINAL'!$A188,'HOJAS DE HORA PROY.'!$M$2:$M$943,I$113)</f>
        <v>0</v>
      </c>
      <c r="J188" s="8">
        <f>SUMIFS('HOJAS DE HORA PROY.'!$F$2:$F$943,'HOJAS DE HORA PROY.'!$A$2:$A$943,'PLAN MAESTRO FINAL'!$A188,'HOJAS DE HORA PROY.'!$M$2:$M$943,J$113)</f>
        <v>0</v>
      </c>
      <c r="K188" s="8">
        <f>SUMIFS('HOJAS DE HORA PROY.'!$F$2:$F$943,'HOJAS DE HORA PROY.'!$A$2:$A$943,'PLAN MAESTRO FINAL'!$A188,'HOJAS DE HORA PROY.'!$M$2:$M$943,K$113)</f>
        <v>0</v>
      </c>
      <c r="L188" s="8">
        <f>SUMIFS('HOJAS DE HORA PROY.'!$F$2:$F$943,'HOJAS DE HORA PROY.'!$A$2:$A$943,'PLAN MAESTRO FINAL'!$A188,'HOJAS DE HORA PROY.'!$M$2:$M$943,L$113)</f>
        <v>0</v>
      </c>
      <c r="M188" s="8">
        <f>SUMIFS('HOJAS DE HORA PROY.'!$F$2:$F$943,'HOJAS DE HORA PROY.'!$A$2:$A$943,'PLAN MAESTRO FINAL'!$A188,'HOJAS DE HORA PROY.'!$M$2:$M$943,M$113)</f>
        <v>0</v>
      </c>
      <c r="N188" s="8">
        <f>SUMIFS('HOJAS DE HORA PROY.'!$F$2:$F$943,'HOJAS DE HORA PROY.'!$A$2:$A$943,'PLAN MAESTRO FINAL'!$A188,'HOJAS DE HORA PROY.'!$M$2:$M$943,N$113)</f>
        <v>0</v>
      </c>
      <c r="O188" s="8">
        <f>SUMIFS('HOJAS DE HORA PROY.'!$F$2:$F$943,'HOJAS DE HORA PROY.'!$A$2:$A$943,'PLAN MAESTRO FINAL'!$A188,'HOJAS DE HORA PROY.'!$M$2:$M$943,O$113)</f>
        <v>0</v>
      </c>
      <c r="P188" s="8">
        <f>SUMIFS('HOJAS DE HORA PROY.'!$F$2:$F$943,'HOJAS DE HORA PROY.'!$A$2:$A$943,'PLAN MAESTRO FINAL'!$A188,'HOJAS DE HORA PROY.'!$M$2:$M$943,P$113)</f>
        <v>0</v>
      </c>
      <c r="Q188" s="8">
        <f>SUMIFS('HOJAS DE HORA PROY.'!$F$2:$F$943,'HOJAS DE HORA PROY.'!$A$2:$A$943,'PLAN MAESTRO FINAL'!$A188,'HOJAS DE HORA PROY.'!$M$2:$M$943,Q$113)</f>
        <v>0</v>
      </c>
      <c r="R188" s="8">
        <f>SUMIFS('HOJAS DE HORA PROY.'!$F$2:$F$943,'HOJAS DE HORA PROY.'!$A$2:$A$943,'PLAN MAESTRO FINAL'!$A188,'HOJAS DE HORA PROY.'!$M$2:$M$943,R$113)</f>
        <v>0</v>
      </c>
      <c r="S188" s="8">
        <f>SUMIFS('HOJAS DE HORA PROY.'!$F$2:$F$943,'HOJAS DE HORA PROY.'!$A$2:$A$943,'PLAN MAESTRO FINAL'!$A188,'HOJAS DE HORA PROY.'!$M$2:$M$943,S$113)</f>
        <v>0</v>
      </c>
      <c r="T188" s="8">
        <f>SUMIFS('HOJAS DE HORA PROY.'!$F$2:$F$943,'HOJAS DE HORA PROY.'!$A$2:$A$943,'PLAN MAESTRO FINAL'!$A188,'HOJAS DE HORA PROY.'!$M$2:$M$943,T$113)</f>
        <v>0</v>
      </c>
      <c r="U188" s="8">
        <f>SUMIFS('HOJAS DE HORA PROY.'!$F$2:$F$943,'HOJAS DE HORA PROY.'!$A$2:$A$943,'PLAN MAESTRO FINAL'!$A188,'HOJAS DE HORA PROY.'!$M$2:$M$943,U$113)</f>
        <v>0</v>
      </c>
      <c r="V188" s="8">
        <f>SUMIFS('HOJAS DE HORA PROY.'!$F$2:$F$943,'HOJAS DE HORA PROY.'!$A$2:$A$943,'PLAN MAESTRO FINAL'!$A188,'HOJAS DE HORA PROY.'!$M$2:$M$943,V$113)</f>
        <v>0</v>
      </c>
      <c r="W188" s="8">
        <f>SUMIFS('HOJAS DE HORA PROY.'!$F$2:$F$943,'HOJAS DE HORA PROY.'!$A$2:$A$943,'PLAN MAESTRO FINAL'!$A188,'HOJAS DE HORA PROY.'!$M$2:$M$943,W$113)</f>
        <v>0</v>
      </c>
    </row>
    <row r="189" spans="1:23" hidden="1" outlineLevel="1" x14ac:dyDescent="0.3">
      <c r="A189" s="13" t="s">
        <v>85</v>
      </c>
      <c r="B189" s="8">
        <f>SUMIFS('HOJAS DE HORA PROY.'!$H$2:$H$943,'HOJAS DE HORA PROY.'!$A$2:$A$943,'PLAN MAESTRO FINAL'!$A189,'HOJAS DE HORA PROY.'!$M$2:$M$943,B$113)</f>
        <v>0</v>
      </c>
      <c r="C189" s="8">
        <f>SUMIFS('HOJAS DE HORA PROY.'!$H$2:$H$943,'HOJAS DE HORA PROY.'!$A$2:$A$943,'PLAN MAESTRO FINAL'!$A189,'HOJAS DE HORA PROY.'!$M$2:$M$943,C$113)</f>
        <v>0</v>
      </c>
      <c r="D189" s="8">
        <f>SUMIFS('HOJAS DE HORA PROY.'!$H$2:$H$943,'HOJAS DE HORA PROY.'!$A$2:$A$943,'PLAN MAESTRO FINAL'!$A189,'HOJAS DE HORA PROY.'!$M$2:$M$943,D$113)</f>
        <v>0</v>
      </c>
      <c r="E189" s="8">
        <f>SUMIFS('HOJAS DE HORA PROY.'!$H$2:$H$943,'HOJAS DE HORA PROY.'!$A$2:$A$943,'PLAN MAESTRO FINAL'!$A189,'HOJAS DE HORA PROY.'!$M$2:$M$943,E$113)</f>
        <v>0</v>
      </c>
      <c r="F189" s="8">
        <f>SUMIFS('HOJAS DE HORA PROY.'!$H$2:$H$943,'HOJAS DE HORA PROY.'!$A$2:$A$943,'PLAN MAESTRO FINAL'!$A189,'HOJAS DE HORA PROY.'!$M$2:$M$943,F$113)</f>
        <v>0</v>
      </c>
      <c r="G189" s="8">
        <f>SUMIFS('HOJAS DE HORA PROY.'!$H$2:$H$943,'HOJAS DE HORA PROY.'!$A$2:$A$943,'PLAN MAESTRO FINAL'!$A189,'HOJAS DE HORA PROY.'!$M$2:$M$943,G$113)</f>
        <v>0</v>
      </c>
      <c r="H189" s="8">
        <f>SUMIFS('HOJAS DE HORA PROY.'!$F$2:$F$943,'HOJAS DE HORA PROY.'!$A$2:$A$943,'PLAN MAESTRO FINAL'!$A189,'HOJAS DE HORA PROY.'!$M$2:$M$943,H$113)</f>
        <v>0</v>
      </c>
      <c r="I189" s="8">
        <f>SUMIFS('HOJAS DE HORA PROY.'!$F$2:$F$943,'HOJAS DE HORA PROY.'!$A$2:$A$943,'PLAN MAESTRO FINAL'!$A189,'HOJAS DE HORA PROY.'!$M$2:$M$943,I$113)</f>
        <v>0</v>
      </c>
      <c r="J189" s="8">
        <f>SUMIFS('HOJAS DE HORA PROY.'!$F$2:$F$943,'HOJAS DE HORA PROY.'!$A$2:$A$943,'PLAN MAESTRO FINAL'!$A189,'HOJAS DE HORA PROY.'!$M$2:$M$943,J$113)</f>
        <v>0</v>
      </c>
      <c r="K189" s="8">
        <f>SUMIFS('HOJAS DE HORA PROY.'!$F$2:$F$943,'HOJAS DE HORA PROY.'!$A$2:$A$943,'PLAN MAESTRO FINAL'!$A189,'HOJAS DE HORA PROY.'!$M$2:$M$943,K$113)</f>
        <v>5</v>
      </c>
      <c r="L189" s="8">
        <f>SUMIFS('HOJAS DE HORA PROY.'!$F$2:$F$943,'HOJAS DE HORA PROY.'!$A$2:$A$943,'PLAN MAESTRO FINAL'!$A189,'HOJAS DE HORA PROY.'!$M$2:$M$943,L$113)</f>
        <v>0</v>
      </c>
      <c r="M189" s="8">
        <f>SUMIFS('HOJAS DE HORA PROY.'!$F$2:$F$943,'HOJAS DE HORA PROY.'!$A$2:$A$943,'PLAN MAESTRO FINAL'!$A189,'HOJAS DE HORA PROY.'!$M$2:$M$943,M$113)</f>
        <v>0</v>
      </c>
      <c r="N189" s="8">
        <f>SUMIFS('HOJAS DE HORA PROY.'!$F$2:$F$943,'HOJAS DE HORA PROY.'!$A$2:$A$943,'PLAN MAESTRO FINAL'!$A189,'HOJAS DE HORA PROY.'!$M$2:$M$943,N$113)</f>
        <v>0</v>
      </c>
      <c r="O189" s="8">
        <f>SUMIFS('HOJAS DE HORA PROY.'!$F$2:$F$943,'HOJAS DE HORA PROY.'!$A$2:$A$943,'PLAN MAESTRO FINAL'!$A189,'HOJAS DE HORA PROY.'!$M$2:$M$943,O$113)</f>
        <v>0</v>
      </c>
      <c r="P189" s="8">
        <f>SUMIFS('HOJAS DE HORA PROY.'!$F$2:$F$943,'HOJAS DE HORA PROY.'!$A$2:$A$943,'PLAN MAESTRO FINAL'!$A189,'HOJAS DE HORA PROY.'!$M$2:$M$943,P$113)</f>
        <v>0</v>
      </c>
      <c r="Q189" s="8">
        <f>SUMIFS('HOJAS DE HORA PROY.'!$F$2:$F$943,'HOJAS DE HORA PROY.'!$A$2:$A$943,'PLAN MAESTRO FINAL'!$A189,'HOJAS DE HORA PROY.'!$M$2:$M$943,Q$113)</f>
        <v>0</v>
      </c>
      <c r="R189" s="8">
        <f>SUMIFS('HOJAS DE HORA PROY.'!$F$2:$F$943,'HOJAS DE HORA PROY.'!$A$2:$A$943,'PLAN MAESTRO FINAL'!$A189,'HOJAS DE HORA PROY.'!$M$2:$M$943,R$113)</f>
        <v>0</v>
      </c>
      <c r="S189" s="8">
        <f>SUMIFS('HOJAS DE HORA PROY.'!$F$2:$F$943,'HOJAS DE HORA PROY.'!$A$2:$A$943,'PLAN MAESTRO FINAL'!$A189,'HOJAS DE HORA PROY.'!$M$2:$M$943,S$113)</f>
        <v>0</v>
      </c>
      <c r="T189" s="8">
        <f>SUMIFS('HOJAS DE HORA PROY.'!$F$2:$F$943,'HOJAS DE HORA PROY.'!$A$2:$A$943,'PLAN MAESTRO FINAL'!$A189,'HOJAS DE HORA PROY.'!$M$2:$M$943,T$113)</f>
        <v>0</v>
      </c>
      <c r="U189" s="8">
        <f>SUMIFS('HOJAS DE HORA PROY.'!$F$2:$F$943,'HOJAS DE HORA PROY.'!$A$2:$A$943,'PLAN MAESTRO FINAL'!$A189,'HOJAS DE HORA PROY.'!$M$2:$M$943,U$113)</f>
        <v>0</v>
      </c>
      <c r="V189" s="8">
        <f>SUMIFS('HOJAS DE HORA PROY.'!$F$2:$F$943,'HOJAS DE HORA PROY.'!$A$2:$A$943,'PLAN MAESTRO FINAL'!$A189,'HOJAS DE HORA PROY.'!$M$2:$M$943,V$113)</f>
        <v>0</v>
      </c>
      <c r="W189" s="8">
        <f>SUMIFS('HOJAS DE HORA PROY.'!$F$2:$F$943,'HOJAS DE HORA PROY.'!$A$2:$A$943,'PLAN MAESTRO FINAL'!$A189,'HOJAS DE HORA PROY.'!$M$2:$M$943,W$113)</f>
        <v>0</v>
      </c>
    </row>
    <row r="190" spans="1:23" hidden="1" outlineLevel="1" x14ac:dyDescent="0.3">
      <c r="A190" s="13" t="s">
        <v>126</v>
      </c>
      <c r="B190" s="8">
        <f>SUMIFS('HOJAS DE HORA PROY.'!$H$2:$H$943,'HOJAS DE HORA PROY.'!$A$2:$A$943,'PLAN MAESTRO FINAL'!$A190,'HOJAS DE HORA PROY.'!$M$2:$M$943,B$113)</f>
        <v>0</v>
      </c>
      <c r="C190" s="8">
        <f>SUMIFS('HOJAS DE HORA PROY.'!$H$2:$H$943,'HOJAS DE HORA PROY.'!$A$2:$A$943,'PLAN MAESTRO FINAL'!$A190,'HOJAS DE HORA PROY.'!$M$2:$M$943,C$113)</f>
        <v>0</v>
      </c>
      <c r="D190" s="8">
        <f>SUMIFS('HOJAS DE HORA PROY.'!$H$2:$H$943,'HOJAS DE HORA PROY.'!$A$2:$A$943,'PLAN MAESTRO FINAL'!$A190,'HOJAS DE HORA PROY.'!$M$2:$M$943,D$113)</f>
        <v>0</v>
      </c>
      <c r="E190" s="8">
        <f>SUMIFS('HOJAS DE HORA PROY.'!$H$2:$H$943,'HOJAS DE HORA PROY.'!$A$2:$A$943,'PLAN MAESTRO FINAL'!$A190,'HOJAS DE HORA PROY.'!$M$2:$M$943,E$113)</f>
        <v>0</v>
      </c>
      <c r="F190" s="8">
        <f>SUMIFS('HOJAS DE HORA PROY.'!$H$2:$H$943,'HOJAS DE HORA PROY.'!$A$2:$A$943,'PLAN MAESTRO FINAL'!$A190,'HOJAS DE HORA PROY.'!$M$2:$M$943,F$113)</f>
        <v>0</v>
      </c>
      <c r="G190" s="8">
        <f>SUMIFS('HOJAS DE HORA PROY.'!$H$2:$H$943,'HOJAS DE HORA PROY.'!$A$2:$A$943,'PLAN MAESTRO FINAL'!$A190,'HOJAS DE HORA PROY.'!$M$2:$M$943,G$113)</f>
        <v>0</v>
      </c>
      <c r="H190" s="8">
        <f>SUMIFS('HOJAS DE HORA PROY.'!$F$2:$F$943,'HOJAS DE HORA PROY.'!$A$2:$A$943,'PLAN MAESTRO FINAL'!$A190,'HOJAS DE HORA PROY.'!$M$2:$M$943,H$113)</f>
        <v>0</v>
      </c>
      <c r="I190" s="8">
        <f>SUMIFS('HOJAS DE HORA PROY.'!$F$2:$F$943,'HOJAS DE HORA PROY.'!$A$2:$A$943,'PLAN MAESTRO FINAL'!$A190,'HOJAS DE HORA PROY.'!$M$2:$M$943,I$113)</f>
        <v>0</v>
      </c>
      <c r="J190" s="8">
        <f>SUMIFS('HOJAS DE HORA PROY.'!$F$2:$F$943,'HOJAS DE HORA PROY.'!$A$2:$A$943,'PLAN MAESTRO FINAL'!$A190,'HOJAS DE HORA PROY.'!$M$2:$M$943,J$113)</f>
        <v>0</v>
      </c>
      <c r="K190" s="8">
        <f>SUMIFS('HOJAS DE HORA PROY.'!$F$2:$F$943,'HOJAS DE HORA PROY.'!$A$2:$A$943,'PLAN MAESTRO FINAL'!$A190,'HOJAS DE HORA PROY.'!$M$2:$M$943,K$113)</f>
        <v>0</v>
      </c>
      <c r="L190" s="8">
        <f>SUMIFS('HOJAS DE HORA PROY.'!$F$2:$F$943,'HOJAS DE HORA PROY.'!$A$2:$A$943,'PLAN MAESTRO FINAL'!$A190,'HOJAS DE HORA PROY.'!$M$2:$M$943,L$113)</f>
        <v>0</v>
      </c>
      <c r="M190" s="8">
        <f>SUMIFS('HOJAS DE HORA PROY.'!$F$2:$F$943,'HOJAS DE HORA PROY.'!$A$2:$A$943,'PLAN MAESTRO FINAL'!$A190,'HOJAS DE HORA PROY.'!$M$2:$M$943,M$113)</f>
        <v>0</v>
      </c>
      <c r="N190" s="8">
        <f>SUMIFS('HOJAS DE HORA PROY.'!$F$2:$F$943,'HOJAS DE HORA PROY.'!$A$2:$A$943,'PLAN MAESTRO FINAL'!$A190,'HOJAS DE HORA PROY.'!$M$2:$M$943,N$113)</f>
        <v>0</v>
      </c>
      <c r="O190" s="8">
        <f>SUMIFS('HOJAS DE HORA PROY.'!$F$2:$F$943,'HOJAS DE HORA PROY.'!$A$2:$A$943,'PLAN MAESTRO FINAL'!$A190,'HOJAS DE HORA PROY.'!$M$2:$M$943,O$113)</f>
        <v>0</v>
      </c>
      <c r="P190" s="8">
        <f>SUMIFS('HOJAS DE HORA PROY.'!$F$2:$F$943,'HOJAS DE HORA PROY.'!$A$2:$A$943,'PLAN MAESTRO FINAL'!$A190,'HOJAS DE HORA PROY.'!$M$2:$M$943,P$113)</f>
        <v>0</v>
      </c>
      <c r="Q190" s="8">
        <f>SUMIFS('HOJAS DE HORA PROY.'!$F$2:$F$943,'HOJAS DE HORA PROY.'!$A$2:$A$943,'PLAN MAESTRO FINAL'!$A190,'HOJAS DE HORA PROY.'!$M$2:$M$943,Q$113)</f>
        <v>0</v>
      </c>
      <c r="R190" s="8">
        <f>SUMIFS('HOJAS DE HORA PROY.'!$F$2:$F$943,'HOJAS DE HORA PROY.'!$A$2:$A$943,'PLAN MAESTRO FINAL'!$A190,'HOJAS DE HORA PROY.'!$M$2:$M$943,R$113)</f>
        <v>0</v>
      </c>
      <c r="S190" s="8">
        <f>SUMIFS('HOJAS DE HORA PROY.'!$F$2:$F$943,'HOJAS DE HORA PROY.'!$A$2:$A$943,'PLAN MAESTRO FINAL'!$A190,'HOJAS DE HORA PROY.'!$M$2:$M$943,S$113)</f>
        <v>0</v>
      </c>
      <c r="T190" s="8">
        <f>SUMIFS('HOJAS DE HORA PROY.'!$F$2:$F$943,'HOJAS DE HORA PROY.'!$A$2:$A$943,'PLAN MAESTRO FINAL'!$A190,'HOJAS DE HORA PROY.'!$M$2:$M$943,T$113)</f>
        <v>0</v>
      </c>
      <c r="U190" s="8">
        <f>SUMIFS('HOJAS DE HORA PROY.'!$F$2:$F$943,'HOJAS DE HORA PROY.'!$A$2:$A$943,'PLAN MAESTRO FINAL'!$A190,'HOJAS DE HORA PROY.'!$M$2:$M$943,U$113)</f>
        <v>0</v>
      </c>
      <c r="V190" s="8">
        <f>SUMIFS('HOJAS DE HORA PROY.'!$F$2:$F$943,'HOJAS DE HORA PROY.'!$A$2:$A$943,'PLAN MAESTRO FINAL'!$A190,'HOJAS DE HORA PROY.'!$M$2:$M$943,V$113)</f>
        <v>0</v>
      </c>
      <c r="W190" s="8">
        <f>SUMIFS('HOJAS DE HORA PROY.'!$F$2:$F$943,'HOJAS DE HORA PROY.'!$A$2:$A$943,'PLAN MAESTRO FINAL'!$A190,'HOJAS DE HORA PROY.'!$M$2:$M$943,W$113)</f>
        <v>0</v>
      </c>
    </row>
    <row r="191" spans="1:23" hidden="1" outlineLevel="1" x14ac:dyDescent="0.3">
      <c r="A191" s="13" t="s">
        <v>132</v>
      </c>
      <c r="B191" s="8">
        <f>SUMIFS('HOJAS DE HORA PROY.'!$H$2:$H$943,'HOJAS DE HORA PROY.'!$A$2:$A$943,'PLAN MAESTRO FINAL'!$A191,'HOJAS DE HORA PROY.'!$M$2:$M$943,B$113)</f>
        <v>0</v>
      </c>
      <c r="C191" s="8">
        <f>SUMIFS('HOJAS DE HORA PROY.'!$H$2:$H$943,'HOJAS DE HORA PROY.'!$A$2:$A$943,'PLAN MAESTRO FINAL'!$A191,'HOJAS DE HORA PROY.'!$M$2:$M$943,C$113)</f>
        <v>0</v>
      </c>
      <c r="D191" s="8">
        <f>SUMIFS('HOJAS DE HORA PROY.'!$H$2:$H$943,'HOJAS DE HORA PROY.'!$A$2:$A$943,'PLAN MAESTRO FINAL'!$A191,'HOJAS DE HORA PROY.'!$M$2:$M$943,D$113)</f>
        <v>0</v>
      </c>
      <c r="E191" s="8">
        <f>SUMIFS('HOJAS DE HORA PROY.'!$H$2:$H$943,'HOJAS DE HORA PROY.'!$A$2:$A$943,'PLAN MAESTRO FINAL'!$A191,'HOJAS DE HORA PROY.'!$M$2:$M$943,E$113)</f>
        <v>0</v>
      </c>
      <c r="F191" s="8">
        <f>SUMIFS('HOJAS DE HORA PROY.'!$H$2:$H$943,'HOJAS DE HORA PROY.'!$A$2:$A$943,'PLAN MAESTRO FINAL'!$A191,'HOJAS DE HORA PROY.'!$M$2:$M$943,F$113)</f>
        <v>0</v>
      </c>
      <c r="G191" s="8">
        <f>SUMIFS('HOJAS DE HORA PROY.'!$H$2:$H$943,'HOJAS DE HORA PROY.'!$A$2:$A$943,'PLAN MAESTRO FINAL'!$A191,'HOJAS DE HORA PROY.'!$M$2:$M$943,G$113)</f>
        <v>0</v>
      </c>
      <c r="H191" s="8">
        <f>SUMIFS('HOJAS DE HORA PROY.'!$F$2:$F$943,'HOJAS DE HORA PROY.'!$A$2:$A$943,'PLAN MAESTRO FINAL'!$A191,'HOJAS DE HORA PROY.'!$M$2:$M$943,H$113)</f>
        <v>0</v>
      </c>
      <c r="I191" s="8">
        <f>SUMIFS('HOJAS DE HORA PROY.'!$F$2:$F$943,'HOJAS DE HORA PROY.'!$A$2:$A$943,'PLAN MAESTRO FINAL'!$A191,'HOJAS DE HORA PROY.'!$M$2:$M$943,I$113)</f>
        <v>0</v>
      </c>
      <c r="J191" s="8">
        <f>SUMIFS('HOJAS DE HORA PROY.'!$F$2:$F$943,'HOJAS DE HORA PROY.'!$A$2:$A$943,'PLAN MAESTRO FINAL'!$A191,'HOJAS DE HORA PROY.'!$M$2:$M$943,J$113)</f>
        <v>0</v>
      </c>
      <c r="K191" s="8">
        <f>SUMIFS('HOJAS DE HORA PROY.'!$F$2:$F$943,'HOJAS DE HORA PROY.'!$A$2:$A$943,'PLAN MAESTRO FINAL'!$A191,'HOJAS DE HORA PROY.'!$M$2:$M$943,K$113)</f>
        <v>0</v>
      </c>
      <c r="L191" s="8">
        <f>SUMIFS('HOJAS DE HORA PROY.'!$F$2:$F$943,'HOJAS DE HORA PROY.'!$A$2:$A$943,'PLAN MAESTRO FINAL'!$A191,'HOJAS DE HORA PROY.'!$M$2:$M$943,L$113)</f>
        <v>0</v>
      </c>
      <c r="M191" s="8">
        <f>SUMIFS('HOJAS DE HORA PROY.'!$F$2:$F$943,'HOJAS DE HORA PROY.'!$A$2:$A$943,'PLAN MAESTRO FINAL'!$A191,'HOJAS DE HORA PROY.'!$M$2:$M$943,M$113)</f>
        <v>0</v>
      </c>
      <c r="N191" s="8">
        <f>SUMIFS('HOJAS DE HORA PROY.'!$F$2:$F$943,'HOJAS DE HORA PROY.'!$A$2:$A$943,'PLAN MAESTRO FINAL'!$A191,'HOJAS DE HORA PROY.'!$M$2:$M$943,N$113)</f>
        <v>0</v>
      </c>
      <c r="O191" s="8">
        <f>SUMIFS('HOJAS DE HORA PROY.'!$F$2:$F$943,'HOJAS DE HORA PROY.'!$A$2:$A$943,'PLAN MAESTRO FINAL'!$A191,'HOJAS DE HORA PROY.'!$M$2:$M$943,O$113)</f>
        <v>0</v>
      </c>
      <c r="P191" s="8">
        <f>SUMIFS('HOJAS DE HORA PROY.'!$F$2:$F$943,'HOJAS DE HORA PROY.'!$A$2:$A$943,'PLAN MAESTRO FINAL'!$A191,'HOJAS DE HORA PROY.'!$M$2:$M$943,P$113)</f>
        <v>0</v>
      </c>
      <c r="Q191" s="8">
        <f>SUMIFS('HOJAS DE HORA PROY.'!$F$2:$F$943,'HOJAS DE HORA PROY.'!$A$2:$A$943,'PLAN MAESTRO FINAL'!$A191,'HOJAS DE HORA PROY.'!$M$2:$M$943,Q$113)</f>
        <v>0</v>
      </c>
      <c r="R191" s="8">
        <f>SUMIFS('HOJAS DE HORA PROY.'!$F$2:$F$943,'HOJAS DE HORA PROY.'!$A$2:$A$943,'PLAN MAESTRO FINAL'!$A191,'HOJAS DE HORA PROY.'!$M$2:$M$943,R$113)</f>
        <v>0</v>
      </c>
      <c r="S191" s="8">
        <f>SUMIFS('HOJAS DE HORA PROY.'!$F$2:$F$943,'HOJAS DE HORA PROY.'!$A$2:$A$943,'PLAN MAESTRO FINAL'!$A191,'HOJAS DE HORA PROY.'!$M$2:$M$943,S$113)</f>
        <v>0</v>
      </c>
      <c r="T191" s="8">
        <f>SUMIFS('HOJAS DE HORA PROY.'!$F$2:$F$943,'HOJAS DE HORA PROY.'!$A$2:$A$943,'PLAN MAESTRO FINAL'!$A191,'HOJAS DE HORA PROY.'!$M$2:$M$943,T$113)</f>
        <v>0</v>
      </c>
      <c r="U191" s="8">
        <f>SUMIFS('HOJAS DE HORA PROY.'!$F$2:$F$943,'HOJAS DE HORA PROY.'!$A$2:$A$943,'PLAN MAESTRO FINAL'!$A191,'HOJAS DE HORA PROY.'!$M$2:$M$943,U$113)</f>
        <v>0</v>
      </c>
      <c r="V191" s="8">
        <f>SUMIFS('HOJAS DE HORA PROY.'!$F$2:$F$943,'HOJAS DE HORA PROY.'!$A$2:$A$943,'PLAN MAESTRO FINAL'!$A191,'HOJAS DE HORA PROY.'!$M$2:$M$943,V$113)</f>
        <v>0</v>
      </c>
      <c r="W191" s="8">
        <f>SUMIFS('HOJAS DE HORA PROY.'!$F$2:$F$943,'HOJAS DE HORA PROY.'!$A$2:$A$943,'PLAN MAESTRO FINAL'!$A191,'HOJAS DE HORA PROY.'!$M$2:$M$943,W$113)</f>
        <v>0</v>
      </c>
    </row>
    <row r="192" spans="1:23" hidden="1" outlineLevel="1" x14ac:dyDescent="0.3">
      <c r="A192" s="13" t="s">
        <v>141</v>
      </c>
      <c r="B192" s="8">
        <f>SUMIFS('HOJAS DE HORA PROY.'!$H$2:$H$943,'HOJAS DE HORA PROY.'!$A$2:$A$943,'PLAN MAESTRO FINAL'!$A192,'HOJAS DE HORA PROY.'!$M$2:$M$943,B$113)</f>
        <v>0</v>
      </c>
      <c r="C192" s="8">
        <f>SUMIFS('HOJAS DE HORA PROY.'!$H$2:$H$943,'HOJAS DE HORA PROY.'!$A$2:$A$943,'PLAN MAESTRO FINAL'!$A192,'HOJAS DE HORA PROY.'!$M$2:$M$943,C$113)</f>
        <v>0</v>
      </c>
      <c r="D192" s="8">
        <f>SUMIFS('HOJAS DE HORA PROY.'!$H$2:$H$943,'HOJAS DE HORA PROY.'!$A$2:$A$943,'PLAN MAESTRO FINAL'!$A192,'HOJAS DE HORA PROY.'!$M$2:$M$943,D$113)</f>
        <v>0</v>
      </c>
      <c r="E192" s="8">
        <f>SUMIFS('HOJAS DE HORA PROY.'!$H$2:$H$943,'HOJAS DE HORA PROY.'!$A$2:$A$943,'PLAN MAESTRO FINAL'!$A192,'HOJAS DE HORA PROY.'!$M$2:$M$943,E$113)</f>
        <v>0</v>
      </c>
      <c r="F192" s="8">
        <f>SUMIFS('HOJAS DE HORA PROY.'!$H$2:$H$943,'HOJAS DE HORA PROY.'!$A$2:$A$943,'PLAN MAESTRO FINAL'!$A192,'HOJAS DE HORA PROY.'!$M$2:$M$943,F$113)</f>
        <v>0</v>
      </c>
      <c r="G192" s="8">
        <f>SUMIFS('HOJAS DE HORA PROY.'!$H$2:$H$943,'HOJAS DE HORA PROY.'!$A$2:$A$943,'PLAN MAESTRO FINAL'!$A192,'HOJAS DE HORA PROY.'!$M$2:$M$943,G$113)</f>
        <v>0</v>
      </c>
      <c r="H192" s="8">
        <f>SUMIFS('HOJAS DE HORA PROY.'!$F$2:$F$943,'HOJAS DE HORA PROY.'!$A$2:$A$943,'PLAN MAESTRO FINAL'!$A192,'HOJAS DE HORA PROY.'!$M$2:$M$943,H$113)</f>
        <v>0</v>
      </c>
      <c r="I192" s="8">
        <f>SUMIFS('HOJAS DE HORA PROY.'!$F$2:$F$943,'HOJAS DE HORA PROY.'!$A$2:$A$943,'PLAN MAESTRO FINAL'!$A192,'HOJAS DE HORA PROY.'!$M$2:$M$943,I$113)</f>
        <v>0</v>
      </c>
      <c r="J192" s="8">
        <f>SUMIFS('HOJAS DE HORA PROY.'!$F$2:$F$943,'HOJAS DE HORA PROY.'!$A$2:$A$943,'PLAN MAESTRO FINAL'!$A192,'HOJAS DE HORA PROY.'!$M$2:$M$943,J$113)</f>
        <v>0</v>
      </c>
      <c r="K192" s="8">
        <f>SUMIFS('HOJAS DE HORA PROY.'!$F$2:$F$943,'HOJAS DE HORA PROY.'!$A$2:$A$943,'PLAN MAESTRO FINAL'!$A192,'HOJAS DE HORA PROY.'!$M$2:$M$943,K$113)</f>
        <v>0</v>
      </c>
      <c r="L192" s="8">
        <f>SUMIFS('HOJAS DE HORA PROY.'!$F$2:$F$943,'HOJAS DE HORA PROY.'!$A$2:$A$943,'PLAN MAESTRO FINAL'!$A192,'HOJAS DE HORA PROY.'!$M$2:$M$943,L$113)</f>
        <v>0</v>
      </c>
      <c r="M192" s="8">
        <f>SUMIFS('HOJAS DE HORA PROY.'!$F$2:$F$943,'HOJAS DE HORA PROY.'!$A$2:$A$943,'PLAN MAESTRO FINAL'!$A192,'HOJAS DE HORA PROY.'!$M$2:$M$943,M$113)</f>
        <v>0</v>
      </c>
      <c r="N192" s="8">
        <f>SUMIFS('HOJAS DE HORA PROY.'!$F$2:$F$943,'HOJAS DE HORA PROY.'!$A$2:$A$943,'PLAN MAESTRO FINAL'!$A192,'HOJAS DE HORA PROY.'!$M$2:$M$943,N$113)</f>
        <v>0</v>
      </c>
      <c r="O192" s="8">
        <f>SUMIFS('HOJAS DE HORA PROY.'!$F$2:$F$943,'HOJAS DE HORA PROY.'!$A$2:$A$943,'PLAN MAESTRO FINAL'!$A192,'HOJAS DE HORA PROY.'!$M$2:$M$943,O$113)</f>
        <v>0</v>
      </c>
      <c r="P192" s="8">
        <f>SUMIFS('HOJAS DE HORA PROY.'!$F$2:$F$943,'HOJAS DE HORA PROY.'!$A$2:$A$943,'PLAN MAESTRO FINAL'!$A192,'HOJAS DE HORA PROY.'!$M$2:$M$943,P$113)</f>
        <v>0</v>
      </c>
      <c r="Q192" s="8">
        <f>SUMIFS('HOJAS DE HORA PROY.'!$F$2:$F$943,'HOJAS DE HORA PROY.'!$A$2:$A$943,'PLAN MAESTRO FINAL'!$A192,'HOJAS DE HORA PROY.'!$M$2:$M$943,Q$113)</f>
        <v>0</v>
      </c>
      <c r="R192" s="8">
        <f>SUMIFS('HOJAS DE HORA PROY.'!$F$2:$F$943,'HOJAS DE HORA PROY.'!$A$2:$A$943,'PLAN MAESTRO FINAL'!$A192,'HOJAS DE HORA PROY.'!$M$2:$M$943,R$113)</f>
        <v>0</v>
      </c>
      <c r="S192" s="8">
        <f>SUMIFS('HOJAS DE HORA PROY.'!$F$2:$F$943,'HOJAS DE HORA PROY.'!$A$2:$A$943,'PLAN MAESTRO FINAL'!$A192,'HOJAS DE HORA PROY.'!$M$2:$M$943,S$113)</f>
        <v>0</v>
      </c>
      <c r="T192" s="8">
        <f>SUMIFS('HOJAS DE HORA PROY.'!$F$2:$F$943,'HOJAS DE HORA PROY.'!$A$2:$A$943,'PLAN MAESTRO FINAL'!$A192,'HOJAS DE HORA PROY.'!$M$2:$M$943,T$113)</f>
        <v>0</v>
      </c>
      <c r="U192" s="8">
        <f>SUMIFS('HOJAS DE HORA PROY.'!$F$2:$F$943,'HOJAS DE HORA PROY.'!$A$2:$A$943,'PLAN MAESTRO FINAL'!$A192,'HOJAS DE HORA PROY.'!$M$2:$M$943,U$113)</f>
        <v>0</v>
      </c>
      <c r="V192" s="8">
        <f>SUMIFS('HOJAS DE HORA PROY.'!$F$2:$F$943,'HOJAS DE HORA PROY.'!$A$2:$A$943,'PLAN MAESTRO FINAL'!$A192,'HOJAS DE HORA PROY.'!$M$2:$M$943,V$113)</f>
        <v>0</v>
      </c>
      <c r="W192" s="8">
        <f>SUMIFS('HOJAS DE HORA PROY.'!$F$2:$F$943,'HOJAS DE HORA PROY.'!$A$2:$A$943,'PLAN MAESTRO FINAL'!$A192,'HOJAS DE HORA PROY.'!$M$2:$M$943,W$113)</f>
        <v>0</v>
      </c>
    </row>
    <row r="193" spans="1:23" hidden="1" outlineLevel="1" x14ac:dyDescent="0.3">
      <c r="A193" s="13" t="s">
        <v>161</v>
      </c>
      <c r="B193" s="8">
        <f>SUMIFS('HOJAS DE HORA PROY.'!$H$2:$H$943,'HOJAS DE HORA PROY.'!$A$2:$A$943,'PLAN MAESTRO FINAL'!$A193,'HOJAS DE HORA PROY.'!$M$2:$M$943,B$113)</f>
        <v>0</v>
      </c>
      <c r="C193" s="8">
        <f>SUMIFS('HOJAS DE HORA PROY.'!$H$2:$H$943,'HOJAS DE HORA PROY.'!$A$2:$A$943,'PLAN MAESTRO FINAL'!$A193,'HOJAS DE HORA PROY.'!$M$2:$M$943,C$113)</f>
        <v>0</v>
      </c>
      <c r="D193" s="8">
        <f>SUMIFS('HOJAS DE HORA PROY.'!$H$2:$H$943,'HOJAS DE HORA PROY.'!$A$2:$A$943,'PLAN MAESTRO FINAL'!$A193,'HOJAS DE HORA PROY.'!$M$2:$M$943,D$113)</f>
        <v>0</v>
      </c>
      <c r="E193" s="8">
        <f>SUMIFS('HOJAS DE HORA PROY.'!$H$2:$H$943,'HOJAS DE HORA PROY.'!$A$2:$A$943,'PLAN MAESTRO FINAL'!$A193,'HOJAS DE HORA PROY.'!$M$2:$M$943,E$113)</f>
        <v>0</v>
      </c>
      <c r="F193" s="8">
        <f>SUMIFS('HOJAS DE HORA PROY.'!$H$2:$H$943,'HOJAS DE HORA PROY.'!$A$2:$A$943,'PLAN MAESTRO FINAL'!$A193,'HOJAS DE HORA PROY.'!$M$2:$M$943,F$113)</f>
        <v>0</v>
      </c>
      <c r="G193" s="8">
        <f>SUMIFS('HOJAS DE HORA PROY.'!$H$2:$H$943,'HOJAS DE HORA PROY.'!$A$2:$A$943,'PLAN MAESTRO FINAL'!$A193,'HOJAS DE HORA PROY.'!$M$2:$M$943,G$113)</f>
        <v>0</v>
      </c>
      <c r="H193" s="8">
        <f>SUMIFS('HOJAS DE HORA PROY.'!$F$2:$F$943,'HOJAS DE HORA PROY.'!$A$2:$A$943,'PLAN MAESTRO FINAL'!$A193,'HOJAS DE HORA PROY.'!$M$2:$M$943,H$113)</f>
        <v>0</v>
      </c>
      <c r="I193" s="8">
        <f>SUMIFS('HOJAS DE HORA PROY.'!$F$2:$F$943,'HOJAS DE HORA PROY.'!$A$2:$A$943,'PLAN MAESTRO FINAL'!$A193,'HOJAS DE HORA PROY.'!$M$2:$M$943,I$113)</f>
        <v>0</v>
      </c>
      <c r="J193" s="8">
        <f>SUMIFS('HOJAS DE HORA PROY.'!$F$2:$F$943,'HOJAS DE HORA PROY.'!$A$2:$A$943,'PLAN MAESTRO FINAL'!$A193,'HOJAS DE HORA PROY.'!$M$2:$M$943,J$113)</f>
        <v>0</v>
      </c>
      <c r="K193" s="8">
        <f>SUMIFS('HOJAS DE HORA PROY.'!$F$2:$F$943,'HOJAS DE HORA PROY.'!$A$2:$A$943,'PLAN MAESTRO FINAL'!$A193,'HOJAS DE HORA PROY.'!$M$2:$M$943,K$113)</f>
        <v>0</v>
      </c>
      <c r="L193" s="8">
        <f>SUMIFS('HOJAS DE HORA PROY.'!$F$2:$F$943,'HOJAS DE HORA PROY.'!$A$2:$A$943,'PLAN MAESTRO FINAL'!$A193,'HOJAS DE HORA PROY.'!$M$2:$M$943,L$113)</f>
        <v>0</v>
      </c>
      <c r="M193" s="8">
        <f>SUMIFS('HOJAS DE HORA PROY.'!$F$2:$F$943,'HOJAS DE HORA PROY.'!$A$2:$A$943,'PLAN MAESTRO FINAL'!$A193,'HOJAS DE HORA PROY.'!$M$2:$M$943,M$113)</f>
        <v>0</v>
      </c>
      <c r="N193" s="8">
        <f>SUMIFS('HOJAS DE HORA PROY.'!$F$2:$F$943,'HOJAS DE HORA PROY.'!$A$2:$A$943,'PLAN MAESTRO FINAL'!$A193,'HOJAS DE HORA PROY.'!$M$2:$M$943,N$113)</f>
        <v>0</v>
      </c>
      <c r="O193" s="8">
        <f>SUMIFS('HOJAS DE HORA PROY.'!$F$2:$F$943,'HOJAS DE HORA PROY.'!$A$2:$A$943,'PLAN MAESTRO FINAL'!$A193,'HOJAS DE HORA PROY.'!$M$2:$M$943,O$113)</f>
        <v>0</v>
      </c>
      <c r="P193" s="8">
        <f>SUMIFS('HOJAS DE HORA PROY.'!$F$2:$F$943,'HOJAS DE HORA PROY.'!$A$2:$A$943,'PLAN MAESTRO FINAL'!$A193,'HOJAS DE HORA PROY.'!$M$2:$M$943,P$113)</f>
        <v>0</v>
      </c>
      <c r="Q193" s="8">
        <f>SUMIFS('HOJAS DE HORA PROY.'!$F$2:$F$943,'HOJAS DE HORA PROY.'!$A$2:$A$943,'PLAN MAESTRO FINAL'!$A193,'HOJAS DE HORA PROY.'!$M$2:$M$943,Q$113)</f>
        <v>0</v>
      </c>
      <c r="R193" s="8">
        <f>SUMIFS('HOJAS DE HORA PROY.'!$F$2:$F$943,'HOJAS DE HORA PROY.'!$A$2:$A$943,'PLAN MAESTRO FINAL'!$A193,'HOJAS DE HORA PROY.'!$M$2:$M$943,R$113)</f>
        <v>0</v>
      </c>
      <c r="S193" s="8">
        <f>SUMIFS('HOJAS DE HORA PROY.'!$F$2:$F$943,'HOJAS DE HORA PROY.'!$A$2:$A$943,'PLAN MAESTRO FINAL'!$A193,'HOJAS DE HORA PROY.'!$M$2:$M$943,S$113)</f>
        <v>0</v>
      </c>
      <c r="T193" s="8">
        <f>SUMIFS('HOJAS DE HORA PROY.'!$F$2:$F$943,'HOJAS DE HORA PROY.'!$A$2:$A$943,'PLAN MAESTRO FINAL'!$A193,'HOJAS DE HORA PROY.'!$M$2:$M$943,T$113)</f>
        <v>0</v>
      </c>
      <c r="U193" s="8">
        <f>SUMIFS('HOJAS DE HORA PROY.'!$F$2:$F$943,'HOJAS DE HORA PROY.'!$A$2:$A$943,'PLAN MAESTRO FINAL'!$A193,'HOJAS DE HORA PROY.'!$M$2:$M$943,U$113)</f>
        <v>0</v>
      </c>
      <c r="V193" s="8">
        <f>SUMIFS('HOJAS DE HORA PROY.'!$F$2:$F$943,'HOJAS DE HORA PROY.'!$A$2:$A$943,'PLAN MAESTRO FINAL'!$A193,'HOJAS DE HORA PROY.'!$M$2:$M$943,V$113)</f>
        <v>0</v>
      </c>
      <c r="W193" s="8">
        <f>SUMIFS('HOJAS DE HORA PROY.'!$F$2:$F$943,'HOJAS DE HORA PROY.'!$A$2:$A$943,'PLAN MAESTRO FINAL'!$A193,'HOJAS DE HORA PROY.'!$M$2:$M$943,W$113)</f>
        <v>0</v>
      </c>
    </row>
    <row r="194" spans="1:23" hidden="1" outlineLevel="1" x14ac:dyDescent="0.3">
      <c r="A194" s="13" t="s">
        <v>165</v>
      </c>
      <c r="B194" s="8">
        <f>SUMIFS('HOJAS DE HORA PROY.'!$H$2:$H$943,'HOJAS DE HORA PROY.'!$A$2:$A$943,'PLAN MAESTRO FINAL'!$A194,'HOJAS DE HORA PROY.'!$M$2:$M$943,B$113)</f>
        <v>0</v>
      </c>
      <c r="C194" s="8">
        <f>SUMIFS('HOJAS DE HORA PROY.'!$H$2:$H$943,'HOJAS DE HORA PROY.'!$A$2:$A$943,'PLAN MAESTRO FINAL'!$A194,'HOJAS DE HORA PROY.'!$M$2:$M$943,C$113)</f>
        <v>0</v>
      </c>
      <c r="D194" s="8">
        <f>SUMIFS('HOJAS DE HORA PROY.'!$H$2:$H$943,'HOJAS DE HORA PROY.'!$A$2:$A$943,'PLAN MAESTRO FINAL'!$A194,'HOJAS DE HORA PROY.'!$M$2:$M$943,D$113)</f>
        <v>0</v>
      </c>
      <c r="E194" s="8">
        <f>SUMIFS('HOJAS DE HORA PROY.'!$H$2:$H$943,'HOJAS DE HORA PROY.'!$A$2:$A$943,'PLAN MAESTRO FINAL'!$A194,'HOJAS DE HORA PROY.'!$M$2:$M$943,E$113)</f>
        <v>0</v>
      </c>
      <c r="F194" s="8">
        <f>SUMIFS('HOJAS DE HORA PROY.'!$H$2:$H$943,'HOJAS DE HORA PROY.'!$A$2:$A$943,'PLAN MAESTRO FINAL'!$A194,'HOJAS DE HORA PROY.'!$M$2:$M$943,F$113)</f>
        <v>0</v>
      </c>
      <c r="G194" s="8">
        <f>SUMIFS('HOJAS DE HORA PROY.'!$H$2:$H$943,'HOJAS DE HORA PROY.'!$A$2:$A$943,'PLAN MAESTRO FINAL'!$A194,'HOJAS DE HORA PROY.'!$M$2:$M$943,G$113)</f>
        <v>0</v>
      </c>
      <c r="H194" s="8">
        <f>SUMIFS('HOJAS DE HORA PROY.'!$F$2:$F$943,'HOJAS DE HORA PROY.'!$A$2:$A$943,'PLAN MAESTRO FINAL'!$A194,'HOJAS DE HORA PROY.'!$M$2:$M$943,H$113)</f>
        <v>0</v>
      </c>
      <c r="I194" s="8">
        <f>SUMIFS('HOJAS DE HORA PROY.'!$F$2:$F$943,'HOJAS DE HORA PROY.'!$A$2:$A$943,'PLAN MAESTRO FINAL'!$A194,'HOJAS DE HORA PROY.'!$M$2:$M$943,I$113)</f>
        <v>0</v>
      </c>
      <c r="J194" s="8">
        <f>SUMIFS('HOJAS DE HORA PROY.'!$F$2:$F$943,'HOJAS DE HORA PROY.'!$A$2:$A$943,'PLAN MAESTRO FINAL'!$A194,'HOJAS DE HORA PROY.'!$M$2:$M$943,J$113)</f>
        <v>0</v>
      </c>
      <c r="K194" s="8">
        <f>SUMIFS('HOJAS DE HORA PROY.'!$F$2:$F$943,'HOJAS DE HORA PROY.'!$A$2:$A$943,'PLAN MAESTRO FINAL'!$A194,'HOJAS DE HORA PROY.'!$M$2:$M$943,K$113)</f>
        <v>0</v>
      </c>
      <c r="L194" s="8">
        <f>SUMIFS('HOJAS DE HORA PROY.'!$F$2:$F$943,'HOJAS DE HORA PROY.'!$A$2:$A$943,'PLAN MAESTRO FINAL'!$A194,'HOJAS DE HORA PROY.'!$M$2:$M$943,L$113)</f>
        <v>0</v>
      </c>
      <c r="M194" s="8">
        <f>SUMIFS('HOJAS DE HORA PROY.'!$F$2:$F$943,'HOJAS DE HORA PROY.'!$A$2:$A$943,'PLAN MAESTRO FINAL'!$A194,'HOJAS DE HORA PROY.'!$M$2:$M$943,M$113)</f>
        <v>0</v>
      </c>
      <c r="N194" s="8">
        <f>SUMIFS('HOJAS DE HORA PROY.'!$F$2:$F$943,'HOJAS DE HORA PROY.'!$A$2:$A$943,'PLAN MAESTRO FINAL'!$A194,'HOJAS DE HORA PROY.'!$M$2:$M$943,N$113)</f>
        <v>0</v>
      </c>
      <c r="O194" s="8">
        <f>SUMIFS('HOJAS DE HORA PROY.'!$F$2:$F$943,'HOJAS DE HORA PROY.'!$A$2:$A$943,'PLAN MAESTRO FINAL'!$A194,'HOJAS DE HORA PROY.'!$M$2:$M$943,O$113)</f>
        <v>0</v>
      </c>
      <c r="P194" s="8">
        <f>SUMIFS('HOJAS DE HORA PROY.'!$F$2:$F$943,'HOJAS DE HORA PROY.'!$A$2:$A$943,'PLAN MAESTRO FINAL'!$A194,'HOJAS DE HORA PROY.'!$M$2:$M$943,P$113)</f>
        <v>0</v>
      </c>
      <c r="Q194" s="8">
        <f>SUMIFS('HOJAS DE HORA PROY.'!$F$2:$F$943,'HOJAS DE HORA PROY.'!$A$2:$A$943,'PLAN MAESTRO FINAL'!$A194,'HOJAS DE HORA PROY.'!$M$2:$M$943,Q$113)</f>
        <v>0</v>
      </c>
      <c r="R194" s="8">
        <f>SUMIFS('HOJAS DE HORA PROY.'!$F$2:$F$943,'HOJAS DE HORA PROY.'!$A$2:$A$943,'PLAN MAESTRO FINAL'!$A194,'HOJAS DE HORA PROY.'!$M$2:$M$943,R$113)</f>
        <v>0</v>
      </c>
      <c r="S194" s="8">
        <f>SUMIFS('HOJAS DE HORA PROY.'!$F$2:$F$943,'HOJAS DE HORA PROY.'!$A$2:$A$943,'PLAN MAESTRO FINAL'!$A194,'HOJAS DE HORA PROY.'!$M$2:$M$943,S$113)</f>
        <v>0</v>
      </c>
      <c r="T194" s="8">
        <f>SUMIFS('HOJAS DE HORA PROY.'!$F$2:$F$943,'HOJAS DE HORA PROY.'!$A$2:$A$943,'PLAN MAESTRO FINAL'!$A194,'HOJAS DE HORA PROY.'!$M$2:$M$943,T$113)</f>
        <v>0</v>
      </c>
      <c r="U194" s="8">
        <f>SUMIFS('HOJAS DE HORA PROY.'!$F$2:$F$943,'HOJAS DE HORA PROY.'!$A$2:$A$943,'PLAN MAESTRO FINAL'!$A194,'HOJAS DE HORA PROY.'!$M$2:$M$943,U$113)</f>
        <v>0</v>
      </c>
      <c r="V194" s="8">
        <f>SUMIFS('HOJAS DE HORA PROY.'!$F$2:$F$943,'HOJAS DE HORA PROY.'!$A$2:$A$943,'PLAN MAESTRO FINAL'!$A194,'HOJAS DE HORA PROY.'!$M$2:$M$943,V$113)</f>
        <v>0</v>
      </c>
      <c r="W194" s="8">
        <f>SUMIFS('HOJAS DE HORA PROY.'!$F$2:$F$943,'HOJAS DE HORA PROY.'!$A$2:$A$943,'PLAN MAESTRO FINAL'!$A194,'HOJAS DE HORA PROY.'!$M$2:$M$943,W$113)</f>
        <v>0</v>
      </c>
    </row>
    <row r="195" spans="1:23" hidden="1" outlineLevel="1" x14ac:dyDescent="0.3">
      <c r="A195" s="13" t="s">
        <v>203</v>
      </c>
      <c r="B195" s="8">
        <f>SUMIFS('HOJAS DE HORA PROY.'!$H$2:$H$943,'HOJAS DE HORA PROY.'!$A$2:$A$943,'PLAN MAESTRO FINAL'!$A195,'HOJAS DE HORA PROY.'!$M$2:$M$943,B$113)</f>
        <v>0</v>
      </c>
      <c r="C195" s="8">
        <f>SUMIFS('HOJAS DE HORA PROY.'!$H$2:$H$943,'HOJAS DE HORA PROY.'!$A$2:$A$943,'PLAN MAESTRO FINAL'!$A195,'HOJAS DE HORA PROY.'!$M$2:$M$943,C$113)</f>
        <v>0</v>
      </c>
      <c r="D195" s="8">
        <f>SUMIFS('HOJAS DE HORA PROY.'!$H$2:$H$943,'HOJAS DE HORA PROY.'!$A$2:$A$943,'PLAN MAESTRO FINAL'!$A195,'HOJAS DE HORA PROY.'!$M$2:$M$943,D$113)</f>
        <v>0</v>
      </c>
      <c r="E195" s="8">
        <f>SUMIFS('HOJAS DE HORA PROY.'!$H$2:$H$943,'HOJAS DE HORA PROY.'!$A$2:$A$943,'PLAN MAESTRO FINAL'!$A195,'HOJAS DE HORA PROY.'!$M$2:$M$943,E$113)</f>
        <v>0</v>
      </c>
      <c r="F195" s="8">
        <f>SUMIFS('HOJAS DE HORA PROY.'!$H$2:$H$943,'HOJAS DE HORA PROY.'!$A$2:$A$943,'PLAN MAESTRO FINAL'!$A195,'HOJAS DE HORA PROY.'!$M$2:$M$943,F$113)</f>
        <v>0</v>
      </c>
      <c r="G195" s="8">
        <f>SUMIFS('HOJAS DE HORA PROY.'!$H$2:$H$943,'HOJAS DE HORA PROY.'!$A$2:$A$943,'PLAN MAESTRO FINAL'!$A195,'HOJAS DE HORA PROY.'!$M$2:$M$943,G$113)</f>
        <v>0</v>
      </c>
      <c r="H195" s="8">
        <f>SUMIFS('HOJAS DE HORA PROY.'!$F$2:$F$943,'HOJAS DE HORA PROY.'!$A$2:$A$943,'PLAN MAESTRO FINAL'!$A195,'HOJAS DE HORA PROY.'!$M$2:$M$943,H$113)</f>
        <v>0</v>
      </c>
      <c r="I195" s="8">
        <f>SUMIFS('HOJAS DE HORA PROY.'!$F$2:$F$943,'HOJAS DE HORA PROY.'!$A$2:$A$943,'PLAN MAESTRO FINAL'!$A195,'HOJAS DE HORA PROY.'!$M$2:$M$943,I$113)</f>
        <v>0</v>
      </c>
      <c r="J195" s="8">
        <f>SUMIFS('HOJAS DE HORA PROY.'!$F$2:$F$943,'HOJAS DE HORA PROY.'!$A$2:$A$943,'PLAN MAESTRO FINAL'!$A195,'HOJAS DE HORA PROY.'!$M$2:$M$943,J$113)</f>
        <v>0</v>
      </c>
      <c r="K195" s="8">
        <f>SUMIFS('HOJAS DE HORA PROY.'!$F$2:$F$943,'HOJAS DE HORA PROY.'!$A$2:$A$943,'PLAN MAESTRO FINAL'!$A195,'HOJAS DE HORA PROY.'!$M$2:$M$943,K$113)</f>
        <v>0</v>
      </c>
      <c r="L195" s="8">
        <f>SUMIFS('HOJAS DE HORA PROY.'!$F$2:$F$943,'HOJAS DE HORA PROY.'!$A$2:$A$943,'PLAN MAESTRO FINAL'!$A195,'HOJAS DE HORA PROY.'!$M$2:$M$943,L$113)</f>
        <v>0</v>
      </c>
      <c r="M195" s="8">
        <f>SUMIFS('HOJAS DE HORA PROY.'!$F$2:$F$943,'HOJAS DE HORA PROY.'!$A$2:$A$943,'PLAN MAESTRO FINAL'!$A195,'HOJAS DE HORA PROY.'!$M$2:$M$943,M$113)</f>
        <v>0</v>
      </c>
      <c r="N195" s="8">
        <f>SUMIFS('HOJAS DE HORA PROY.'!$F$2:$F$943,'HOJAS DE HORA PROY.'!$A$2:$A$943,'PLAN MAESTRO FINAL'!$A195,'HOJAS DE HORA PROY.'!$M$2:$M$943,N$113)</f>
        <v>0</v>
      </c>
      <c r="O195" s="8">
        <f>SUMIFS('HOJAS DE HORA PROY.'!$F$2:$F$943,'HOJAS DE HORA PROY.'!$A$2:$A$943,'PLAN MAESTRO FINAL'!$A195,'HOJAS DE HORA PROY.'!$M$2:$M$943,O$113)</f>
        <v>0</v>
      </c>
      <c r="P195" s="8">
        <f>SUMIFS('HOJAS DE HORA PROY.'!$F$2:$F$943,'HOJAS DE HORA PROY.'!$A$2:$A$943,'PLAN MAESTRO FINAL'!$A195,'HOJAS DE HORA PROY.'!$M$2:$M$943,P$113)</f>
        <v>0</v>
      </c>
      <c r="Q195" s="8">
        <f>SUMIFS('HOJAS DE HORA PROY.'!$F$2:$F$943,'HOJAS DE HORA PROY.'!$A$2:$A$943,'PLAN MAESTRO FINAL'!$A195,'HOJAS DE HORA PROY.'!$M$2:$M$943,Q$113)</f>
        <v>0</v>
      </c>
      <c r="R195" s="8">
        <f>SUMIFS('HOJAS DE HORA PROY.'!$F$2:$F$943,'HOJAS DE HORA PROY.'!$A$2:$A$943,'PLAN MAESTRO FINAL'!$A195,'HOJAS DE HORA PROY.'!$M$2:$M$943,R$113)</f>
        <v>0</v>
      </c>
      <c r="S195" s="8">
        <f>SUMIFS('HOJAS DE HORA PROY.'!$F$2:$F$943,'HOJAS DE HORA PROY.'!$A$2:$A$943,'PLAN MAESTRO FINAL'!$A195,'HOJAS DE HORA PROY.'!$M$2:$M$943,S$113)</f>
        <v>0</v>
      </c>
      <c r="T195" s="8">
        <f>SUMIFS('HOJAS DE HORA PROY.'!$F$2:$F$943,'HOJAS DE HORA PROY.'!$A$2:$A$943,'PLAN MAESTRO FINAL'!$A195,'HOJAS DE HORA PROY.'!$M$2:$M$943,T$113)</f>
        <v>0</v>
      </c>
      <c r="U195" s="8">
        <f>SUMIFS('HOJAS DE HORA PROY.'!$F$2:$F$943,'HOJAS DE HORA PROY.'!$A$2:$A$943,'PLAN MAESTRO FINAL'!$A195,'HOJAS DE HORA PROY.'!$M$2:$M$943,U$113)</f>
        <v>0</v>
      </c>
      <c r="V195" s="8">
        <f>SUMIFS('HOJAS DE HORA PROY.'!$F$2:$F$943,'HOJAS DE HORA PROY.'!$A$2:$A$943,'PLAN MAESTRO FINAL'!$A195,'HOJAS DE HORA PROY.'!$M$2:$M$943,V$113)</f>
        <v>0</v>
      </c>
      <c r="W195" s="8">
        <f>SUMIFS('HOJAS DE HORA PROY.'!$F$2:$F$943,'HOJAS DE HORA PROY.'!$A$2:$A$943,'PLAN MAESTRO FINAL'!$A195,'HOJAS DE HORA PROY.'!$M$2:$M$943,W$113)</f>
        <v>0</v>
      </c>
    </row>
    <row r="196" spans="1:23" hidden="1" outlineLevel="1" x14ac:dyDescent="0.3">
      <c r="A196" s="13" t="s">
        <v>212</v>
      </c>
      <c r="B196" s="8">
        <f>SUMIFS('HOJAS DE HORA PROY.'!$H$2:$H$943,'HOJAS DE HORA PROY.'!$A$2:$A$943,'PLAN MAESTRO FINAL'!$A196,'HOJAS DE HORA PROY.'!$M$2:$M$943,B$113)</f>
        <v>0</v>
      </c>
      <c r="C196" s="8">
        <f>SUMIFS('HOJAS DE HORA PROY.'!$H$2:$H$943,'HOJAS DE HORA PROY.'!$A$2:$A$943,'PLAN MAESTRO FINAL'!$A196,'HOJAS DE HORA PROY.'!$M$2:$M$943,C$113)</f>
        <v>0</v>
      </c>
      <c r="D196" s="8">
        <f>SUMIFS('HOJAS DE HORA PROY.'!$H$2:$H$943,'HOJAS DE HORA PROY.'!$A$2:$A$943,'PLAN MAESTRO FINAL'!$A196,'HOJAS DE HORA PROY.'!$M$2:$M$943,D$113)</f>
        <v>0</v>
      </c>
      <c r="E196" s="8">
        <f>SUMIFS('HOJAS DE HORA PROY.'!$H$2:$H$943,'HOJAS DE HORA PROY.'!$A$2:$A$943,'PLAN MAESTRO FINAL'!$A196,'HOJAS DE HORA PROY.'!$M$2:$M$943,E$113)</f>
        <v>0</v>
      </c>
      <c r="F196" s="8">
        <f>SUMIFS('HOJAS DE HORA PROY.'!$H$2:$H$943,'HOJAS DE HORA PROY.'!$A$2:$A$943,'PLAN MAESTRO FINAL'!$A196,'HOJAS DE HORA PROY.'!$M$2:$M$943,F$113)</f>
        <v>0</v>
      </c>
      <c r="G196" s="8">
        <f>SUMIFS('HOJAS DE HORA PROY.'!$H$2:$H$943,'HOJAS DE HORA PROY.'!$A$2:$A$943,'PLAN MAESTRO FINAL'!$A196,'HOJAS DE HORA PROY.'!$M$2:$M$943,G$113)</f>
        <v>0</v>
      </c>
      <c r="H196" s="8">
        <f>SUMIFS('HOJAS DE HORA PROY.'!$F$2:$F$943,'HOJAS DE HORA PROY.'!$A$2:$A$943,'PLAN MAESTRO FINAL'!$A196,'HOJAS DE HORA PROY.'!$M$2:$M$943,H$113)</f>
        <v>0</v>
      </c>
      <c r="I196" s="8">
        <f>SUMIFS('HOJAS DE HORA PROY.'!$F$2:$F$943,'HOJAS DE HORA PROY.'!$A$2:$A$943,'PLAN MAESTRO FINAL'!$A196,'HOJAS DE HORA PROY.'!$M$2:$M$943,I$113)</f>
        <v>0</v>
      </c>
      <c r="J196" s="8">
        <f>SUMIFS('HOJAS DE HORA PROY.'!$F$2:$F$943,'HOJAS DE HORA PROY.'!$A$2:$A$943,'PLAN MAESTRO FINAL'!$A196,'HOJAS DE HORA PROY.'!$M$2:$M$943,J$113)</f>
        <v>0</v>
      </c>
      <c r="K196" s="8">
        <f>SUMIFS('HOJAS DE HORA PROY.'!$F$2:$F$943,'HOJAS DE HORA PROY.'!$A$2:$A$943,'PLAN MAESTRO FINAL'!$A196,'HOJAS DE HORA PROY.'!$M$2:$M$943,K$113)</f>
        <v>0</v>
      </c>
      <c r="L196" s="8">
        <f>SUMIFS('HOJAS DE HORA PROY.'!$F$2:$F$943,'HOJAS DE HORA PROY.'!$A$2:$A$943,'PLAN MAESTRO FINAL'!$A196,'HOJAS DE HORA PROY.'!$M$2:$M$943,L$113)</f>
        <v>0</v>
      </c>
      <c r="M196" s="8">
        <f>SUMIFS('HOJAS DE HORA PROY.'!$F$2:$F$943,'HOJAS DE HORA PROY.'!$A$2:$A$943,'PLAN MAESTRO FINAL'!$A196,'HOJAS DE HORA PROY.'!$M$2:$M$943,M$113)</f>
        <v>0</v>
      </c>
      <c r="N196" s="8">
        <f>SUMIFS('HOJAS DE HORA PROY.'!$F$2:$F$943,'HOJAS DE HORA PROY.'!$A$2:$A$943,'PLAN MAESTRO FINAL'!$A196,'HOJAS DE HORA PROY.'!$M$2:$M$943,N$113)</f>
        <v>0</v>
      </c>
      <c r="O196" s="8">
        <f>SUMIFS('HOJAS DE HORA PROY.'!$F$2:$F$943,'HOJAS DE HORA PROY.'!$A$2:$A$943,'PLAN MAESTRO FINAL'!$A196,'HOJAS DE HORA PROY.'!$M$2:$M$943,O$113)</f>
        <v>0</v>
      </c>
      <c r="P196" s="8">
        <f>SUMIFS('HOJAS DE HORA PROY.'!$F$2:$F$943,'HOJAS DE HORA PROY.'!$A$2:$A$943,'PLAN MAESTRO FINAL'!$A196,'HOJAS DE HORA PROY.'!$M$2:$M$943,P$113)</f>
        <v>0</v>
      </c>
      <c r="Q196" s="8">
        <f>SUMIFS('HOJAS DE HORA PROY.'!$F$2:$F$943,'HOJAS DE HORA PROY.'!$A$2:$A$943,'PLAN MAESTRO FINAL'!$A196,'HOJAS DE HORA PROY.'!$M$2:$M$943,Q$113)</f>
        <v>0</v>
      </c>
      <c r="R196" s="8">
        <f>SUMIFS('HOJAS DE HORA PROY.'!$F$2:$F$943,'HOJAS DE HORA PROY.'!$A$2:$A$943,'PLAN MAESTRO FINAL'!$A196,'HOJAS DE HORA PROY.'!$M$2:$M$943,R$113)</f>
        <v>0</v>
      </c>
      <c r="S196" s="8">
        <f>SUMIFS('HOJAS DE HORA PROY.'!$F$2:$F$943,'HOJAS DE HORA PROY.'!$A$2:$A$943,'PLAN MAESTRO FINAL'!$A196,'HOJAS DE HORA PROY.'!$M$2:$M$943,S$113)</f>
        <v>0</v>
      </c>
      <c r="T196" s="8">
        <f>SUMIFS('HOJAS DE HORA PROY.'!$F$2:$F$943,'HOJAS DE HORA PROY.'!$A$2:$A$943,'PLAN MAESTRO FINAL'!$A196,'HOJAS DE HORA PROY.'!$M$2:$M$943,T$113)</f>
        <v>0</v>
      </c>
      <c r="U196" s="8">
        <f>SUMIFS('HOJAS DE HORA PROY.'!$F$2:$F$943,'HOJAS DE HORA PROY.'!$A$2:$A$943,'PLAN MAESTRO FINAL'!$A196,'HOJAS DE HORA PROY.'!$M$2:$M$943,U$113)</f>
        <v>0</v>
      </c>
      <c r="V196" s="8">
        <f>SUMIFS('HOJAS DE HORA PROY.'!$F$2:$F$943,'HOJAS DE HORA PROY.'!$A$2:$A$943,'PLAN MAESTRO FINAL'!$A196,'HOJAS DE HORA PROY.'!$M$2:$M$943,V$113)</f>
        <v>0</v>
      </c>
      <c r="W196" s="8">
        <f>SUMIFS('HOJAS DE HORA PROY.'!$F$2:$F$943,'HOJAS DE HORA PROY.'!$A$2:$A$943,'PLAN MAESTRO FINAL'!$A196,'HOJAS DE HORA PROY.'!$M$2:$M$943,W$113)</f>
        <v>0</v>
      </c>
    </row>
    <row r="197" spans="1:23" hidden="1" outlineLevel="1" x14ac:dyDescent="0.3">
      <c r="A197" s="13" t="s">
        <v>216</v>
      </c>
      <c r="B197" s="8">
        <f>SUMIFS('HOJAS DE HORA PROY.'!$H$2:$H$943,'HOJAS DE HORA PROY.'!$A$2:$A$943,'PLAN MAESTRO FINAL'!$A197,'HOJAS DE HORA PROY.'!$M$2:$M$943,B$113)</f>
        <v>0</v>
      </c>
      <c r="C197" s="8">
        <f>SUMIFS('HOJAS DE HORA PROY.'!$H$2:$H$943,'HOJAS DE HORA PROY.'!$A$2:$A$943,'PLAN MAESTRO FINAL'!$A197,'HOJAS DE HORA PROY.'!$M$2:$M$943,C$113)</f>
        <v>0</v>
      </c>
      <c r="D197" s="8">
        <f>SUMIFS('HOJAS DE HORA PROY.'!$H$2:$H$943,'HOJAS DE HORA PROY.'!$A$2:$A$943,'PLAN MAESTRO FINAL'!$A197,'HOJAS DE HORA PROY.'!$M$2:$M$943,D$113)</f>
        <v>0</v>
      </c>
      <c r="E197" s="8">
        <f>SUMIFS('HOJAS DE HORA PROY.'!$H$2:$H$943,'HOJAS DE HORA PROY.'!$A$2:$A$943,'PLAN MAESTRO FINAL'!$A197,'HOJAS DE HORA PROY.'!$M$2:$M$943,E$113)</f>
        <v>0</v>
      </c>
      <c r="F197" s="8">
        <f>SUMIFS('HOJAS DE HORA PROY.'!$H$2:$H$943,'HOJAS DE HORA PROY.'!$A$2:$A$943,'PLAN MAESTRO FINAL'!$A197,'HOJAS DE HORA PROY.'!$M$2:$M$943,F$113)</f>
        <v>0</v>
      </c>
      <c r="G197" s="8">
        <f>SUMIFS('HOJAS DE HORA PROY.'!$H$2:$H$943,'HOJAS DE HORA PROY.'!$A$2:$A$943,'PLAN MAESTRO FINAL'!$A197,'HOJAS DE HORA PROY.'!$M$2:$M$943,G$113)</f>
        <v>0</v>
      </c>
      <c r="H197" s="8">
        <f>SUMIFS('HOJAS DE HORA PROY.'!$F$2:$F$943,'HOJAS DE HORA PROY.'!$A$2:$A$943,'PLAN MAESTRO FINAL'!$A197,'HOJAS DE HORA PROY.'!$M$2:$M$943,H$113)</f>
        <v>0</v>
      </c>
      <c r="I197" s="8">
        <f>SUMIFS('HOJAS DE HORA PROY.'!$F$2:$F$943,'HOJAS DE HORA PROY.'!$A$2:$A$943,'PLAN MAESTRO FINAL'!$A197,'HOJAS DE HORA PROY.'!$M$2:$M$943,I$113)</f>
        <v>0</v>
      </c>
      <c r="J197" s="8">
        <f>SUMIFS('HOJAS DE HORA PROY.'!$F$2:$F$943,'HOJAS DE HORA PROY.'!$A$2:$A$943,'PLAN MAESTRO FINAL'!$A197,'HOJAS DE HORA PROY.'!$M$2:$M$943,J$113)</f>
        <v>0</v>
      </c>
      <c r="K197" s="8">
        <f>SUMIFS('HOJAS DE HORA PROY.'!$F$2:$F$943,'HOJAS DE HORA PROY.'!$A$2:$A$943,'PLAN MAESTRO FINAL'!$A197,'HOJAS DE HORA PROY.'!$M$2:$M$943,K$113)</f>
        <v>0</v>
      </c>
      <c r="L197" s="8">
        <f>SUMIFS('HOJAS DE HORA PROY.'!$F$2:$F$943,'HOJAS DE HORA PROY.'!$A$2:$A$943,'PLAN MAESTRO FINAL'!$A197,'HOJAS DE HORA PROY.'!$M$2:$M$943,L$113)</f>
        <v>0</v>
      </c>
      <c r="M197" s="8">
        <f>SUMIFS('HOJAS DE HORA PROY.'!$F$2:$F$943,'HOJAS DE HORA PROY.'!$A$2:$A$943,'PLAN MAESTRO FINAL'!$A197,'HOJAS DE HORA PROY.'!$M$2:$M$943,M$113)</f>
        <v>0</v>
      </c>
      <c r="N197" s="8">
        <f>SUMIFS('HOJAS DE HORA PROY.'!$F$2:$F$943,'HOJAS DE HORA PROY.'!$A$2:$A$943,'PLAN MAESTRO FINAL'!$A197,'HOJAS DE HORA PROY.'!$M$2:$M$943,N$113)</f>
        <v>0</v>
      </c>
      <c r="O197" s="8">
        <f>SUMIFS('HOJAS DE HORA PROY.'!$F$2:$F$943,'HOJAS DE HORA PROY.'!$A$2:$A$943,'PLAN MAESTRO FINAL'!$A197,'HOJAS DE HORA PROY.'!$M$2:$M$943,O$113)</f>
        <v>0</v>
      </c>
      <c r="P197" s="8">
        <f>SUMIFS('HOJAS DE HORA PROY.'!$F$2:$F$943,'HOJAS DE HORA PROY.'!$A$2:$A$943,'PLAN MAESTRO FINAL'!$A197,'HOJAS DE HORA PROY.'!$M$2:$M$943,P$113)</f>
        <v>0</v>
      </c>
      <c r="Q197" s="8">
        <f>SUMIFS('HOJAS DE HORA PROY.'!$F$2:$F$943,'HOJAS DE HORA PROY.'!$A$2:$A$943,'PLAN MAESTRO FINAL'!$A197,'HOJAS DE HORA PROY.'!$M$2:$M$943,Q$113)</f>
        <v>0</v>
      </c>
      <c r="R197" s="8">
        <f>SUMIFS('HOJAS DE HORA PROY.'!$F$2:$F$943,'HOJAS DE HORA PROY.'!$A$2:$A$943,'PLAN MAESTRO FINAL'!$A197,'HOJAS DE HORA PROY.'!$M$2:$M$943,R$113)</f>
        <v>0</v>
      </c>
      <c r="S197" s="8">
        <f>SUMIFS('HOJAS DE HORA PROY.'!$F$2:$F$943,'HOJAS DE HORA PROY.'!$A$2:$A$943,'PLAN MAESTRO FINAL'!$A197,'HOJAS DE HORA PROY.'!$M$2:$M$943,S$113)</f>
        <v>0</v>
      </c>
      <c r="T197" s="8">
        <f>SUMIFS('HOJAS DE HORA PROY.'!$F$2:$F$943,'HOJAS DE HORA PROY.'!$A$2:$A$943,'PLAN MAESTRO FINAL'!$A197,'HOJAS DE HORA PROY.'!$M$2:$M$943,T$113)</f>
        <v>0</v>
      </c>
      <c r="U197" s="8">
        <f>SUMIFS('HOJAS DE HORA PROY.'!$F$2:$F$943,'HOJAS DE HORA PROY.'!$A$2:$A$943,'PLAN MAESTRO FINAL'!$A197,'HOJAS DE HORA PROY.'!$M$2:$M$943,U$113)</f>
        <v>0</v>
      </c>
      <c r="V197" s="8">
        <f>SUMIFS('HOJAS DE HORA PROY.'!$F$2:$F$943,'HOJAS DE HORA PROY.'!$A$2:$A$943,'PLAN MAESTRO FINAL'!$A197,'HOJAS DE HORA PROY.'!$M$2:$M$943,V$113)</f>
        <v>0</v>
      </c>
      <c r="W197" s="8">
        <f>SUMIFS('HOJAS DE HORA PROY.'!$F$2:$F$943,'HOJAS DE HORA PROY.'!$A$2:$A$943,'PLAN MAESTRO FINAL'!$A197,'HOJAS DE HORA PROY.'!$M$2:$M$943,W$113)</f>
        <v>0</v>
      </c>
    </row>
    <row r="198" spans="1:23" hidden="1" outlineLevel="1" x14ac:dyDescent="0.3">
      <c r="A198" s="13" t="s">
        <v>217</v>
      </c>
      <c r="B198" s="8">
        <f>SUMIFS('HOJAS DE HORA PROY.'!$H$2:$H$943,'HOJAS DE HORA PROY.'!$A$2:$A$943,'PLAN MAESTRO FINAL'!$A198,'HOJAS DE HORA PROY.'!$M$2:$M$943,B$113)</f>
        <v>0</v>
      </c>
      <c r="C198" s="8">
        <f>SUMIFS('HOJAS DE HORA PROY.'!$H$2:$H$943,'HOJAS DE HORA PROY.'!$A$2:$A$943,'PLAN MAESTRO FINAL'!$A198,'HOJAS DE HORA PROY.'!$M$2:$M$943,C$113)</f>
        <v>0</v>
      </c>
      <c r="D198" s="8">
        <f>SUMIFS('HOJAS DE HORA PROY.'!$H$2:$H$943,'HOJAS DE HORA PROY.'!$A$2:$A$943,'PLAN MAESTRO FINAL'!$A198,'HOJAS DE HORA PROY.'!$M$2:$M$943,D$113)</f>
        <v>0</v>
      </c>
      <c r="E198" s="8">
        <f>SUMIFS('HOJAS DE HORA PROY.'!$H$2:$H$943,'HOJAS DE HORA PROY.'!$A$2:$A$943,'PLAN MAESTRO FINAL'!$A198,'HOJAS DE HORA PROY.'!$M$2:$M$943,E$113)</f>
        <v>0</v>
      </c>
      <c r="F198" s="8">
        <f>SUMIFS('HOJAS DE HORA PROY.'!$H$2:$H$943,'HOJAS DE HORA PROY.'!$A$2:$A$943,'PLAN MAESTRO FINAL'!$A198,'HOJAS DE HORA PROY.'!$M$2:$M$943,F$113)</f>
        <v>0</v>
      </c>
      <c r="G198" s="8">
        <f>SUMIFS('HOJAS DE HORA PROY.'!$H$2:$H$943,'HOJAS DE HORA PROY.'!$A$2:$A$943,'PLAN MAESTRO FINAL'!$A198,'HOJAS DE HORA PROY.'!$M$2:$M$943,G$113)</f>
        <v>0</v>
      </c>
      <c r="H198" s="8">
        <f>SUMIFS('HOJAS DE HORA PROY.'!$F$2:$F$943,'HOJAS DE HORA PROY.'!$A$2:$A$943,'PLAN MAESTRO FINAL'!$A198,'HOJAS DE HORA PROY.'!$M$2:$M$943,H$113)</f>
        <v>0</v>
      </c>
      <c r="I198" s="8">
        <f>SUMIFS('HOJAS DE HORA PROY.'!$F$2:$F$943,'HOJAS DE HORA PROY.'!$A$2:$A$943,'PLAN MAESTRO FINAL'!$A198,'HOJAS DE HORA PROY.'!$M$2:$M$943,I$113)</f>
        <v>0</v>
      </c>
      <c r="J198" s="8">
        <f>SUMIFS('HOJAS DE HORA PROY.'!$F$2:$F$943,'HOJAS DE HORA PROY.'!$A$2:$A$943,'PLAN MAESTRO FINAL'!$A198,'HOJAS DE HORA PROY.'!$M$2:$M$943,J$113)</f>
        <v>0</v>
      </c>
      <c r="K198" s="8">
        <f>SUMIFS('HOJAS DE HORA PROY.'!$F$2:$F$943,'HOJAS DE HORA PROY.'!$A$2:$A$943,'PLAN MAESTRO FINAL'!$A198,'HOJAS DE HORA PROY.'!$M$2:$M$943,K$113)</f>
        <v>0</v>
      </c>
      <c r="L198" s="8">
        <f>SUMIFS('HOJAS DE HORA PROY.'!$F$2:$F$943,'HOJAS DE HORA PROY.'!$A$2:$A$943,'PLAN MAESTRO FINAL'!$A198,'HOJAS DE HORA PROY.'!$M$2:$M$943,L$113)</f>
        <v>0</v>
      </c>
      <c r="M198" s="8">
        <f>SUMIFS('HOJAS DE HORA PROY.'!$F$2:$F$943,'HOJAS DE HORA PROY.'!$A$2:$A$943,'PLAN MAESTRO FINAL'!$A198,'HOJAS DE HORA PROY.'!$M$2:$M$943,M$113)</f>
        <v>0</v>
      </c>
      <c r="N198" s="8">
        <f>SUMIFS('HOJAS DE HORA PROY.'!$F$2:$F$943,'HOJAS DE HORA PROY.'!$A$2:$A$943,'PLAN MAESTRO FINAL'!$A198,'HOJAS DE HORA PROY.'!$M$2:$M$943,N$113)</f>
        <v>0</v>
      </c>
      <c r="O198" s="8">
        <f>SUMIFS('HOJAS DE HORA PROY.'!$F$2:$F$943,'HOJAS DE HORA PROY.'!$A$2:$A$943,'PLAN MAESTRO FINAL'!$A198,'HOJAS DE HORA PROY.'!$M$2:$M$943,O$113)</f>
        <v>0</v>
      </c>
      <c r="P198" s="8">
        <f>SUMIFS('HOJAS DE HORA PROY.'!$F$2:$F$943,'HOJAS DE HORA PROY.'!$A$2:$A$943,'PLAN MAESTRO FINAL'!$A198,'HOJAS DE HORA PROY.'!$M$2:$M$943,P$113)</f>
        <v>0</v>
      </c>
      <c r="Q198" s="8">
        <f>SUMIFS('HOJAS DE HORA PROY.'!$F$2:$F$943,'HOJAS DE HORA PROY.'!$A$2:$A$943,'PLAN MAESTRO FINAL'!$A198,'HOJAS DE HORA PROY.'!$M$2:$M$943,Q$113)</f>
        <v>0</v>
      </c>
      <c r="R198" s="8">
        <f>SUMIFS('HOJAS DE HORA PROY.'!$F$2:$F$943,'HOJAS DE HORA PROY.'!$A$2:$A$943,'PLAN MAESTRO FINAL'!$A198,'HOJAS DE HORA PROY.'!$M$2:$M$943,R$113)</f>
        <v>0</v>
      </c>
      <c r="S198" s="8">
        <f>SUMIFS('HOJAS DE HORA PROY.'!$F$2:$F$943,'HOJAS DE HORA PROY.'!$A$2:$A$943,'PLAN MAESTRO FINAL'!$A198,'HOJAS DE HORA PROY.'!$M$2:$M$943,S$113)</f>
        <v>0</v>
      </c>
      <c r="T198" s="8">
        <f>SUMIFS('HOJAS DE HORA PROY.'!$F$2:$F$943,'HOJAS DE HORA PROY.'!$A$2:$A$943,'PLAN MAESTRO FINAL'!$A198,'HOJAS DE HORA PROY.'!$M$2:$M$943,T$113)</f>
        <v>0</v>
      </c>
      <c r="U198" s="8">
        <f>SUMIFS('HOJAS DE HORA PROY.'!$F$2:$F$943,'HOJAS DE HORA PROY.'!$A$2:$A$943,'PLAN MAESTRO FINAL'!$A198,'HOJAS DE HORA PROY.'!$M$2:$M$943,U$113)</f>
        <v>0</v>
      </c>
      <c r="V198" s="8">
        <f>SUMIFS('HOJAS DE HORA PROY.'!$F$2:$F$943,'HOJAS DE HORA PROY.'!$A$2:$A$943,'PLAN MAESTRO FINAL'!$A198,'HOJAS DE HORA PROY.'!$M$2:$M$943,V$113)</f>
        <v>0</v>
      </c>
      <c r="W198" s="8">
        <f>SUMIFS('HOJAS DE HORA PROY.'!$F$2:$F$943,'HOJAS DE HORA PROY.'!$A$2:$A$943,'PLAN MAESTRO FINAL'!$A198,'HOJAS DE HORA PROY.'!$M$2:$M$943,W$113)</f>
        <v>0</v>
      </c>
    </row>
    <row r="199" spans="1:23" hidden="1" outlineLevel="1" x14ac:dyDescent="0.3">
      <c r="A199" s="13" t="s">
        <v>231</v>
      </c>
      <c r="B199" s="8">
        <f>SUMIFS('HOJAS DE HORA PROY.'!$H$2:$H$943,'HOJAS DE HORA PROY.'!$A$2:$A$943,'PLAN MAESTRO FINAL'!$A199,'HOJAS DE HORA PROY.'!$M$2:$M$943,B$113)</f>
        <v>0</v>
      </c>
      <c r="C199" s="8">
        <f>SUMIFS('HOJAS DE HORA PROY.'!$H$2:$H$943,'HOJAS DE HORA PROY.'!$A$2:$A$943,'PLAN MAESTRO FINAL'!$A199,'HOJAS DE HORA PROY.'!$M$2:$M$943,C$113)</f>
        <v>0</v>
      </c>
      <c r="D199" s="8">
        <f>SUMIFS('HOJAS DE HORA PROY.'!$H$2:$H$943,'HOJAS DE HORA PROY.'!$A$2:$A$943,'PLAN MAESTRO FINAL'!$A199,'HOJAS DE HORA PROY.'!$M$2:$M$943,D$113)</f>
        <v>0</v>
      </c>
      <c r="E199" s="8">
        <f>SUMIFS('HOJAS DE HORA PROY.'!$H$2:$H$943,'HOJAS DE HORA PROY.'!$A$2:$A$943,'PLAN MAESTRO FINAL'!$A199,'HOJAS DE HORA PROY.'!$M$2:$M$943,E$113)</f>
        <v>0</v>
      </c>
      <c r="F199" s="8">
        <f>SUMIFS('HOJAS DE HORA PROY.'!$H$2:$H$943,'HOJAS DE HORA PROY.'!$A$2:$A$943,'PLAN MAESTRO FINAL'!$A199,'HOJAS DE HORA PROY.'!$M$2:$M$943,F$113)</f>
        <v>0</v>
      </c>
      <c r="G199" s="8">
        <f>SUMIFS('HOJAS DE HORA PROY.'!$H$2:$H$943,'HOJAS DE HORA PROY.'!$A$2:$A$943,'PLAN MAESTRO FINAL'!$A199,'HOJAS DE HORA PROY.'!$M$2:$M$943,G$113)</f>
        <v>5</v>
      </c>
      <c r="H199" s="8">
        <f>SUMIFS('HOJAS DE HORA PROY.'!$F$2:$F$943,'HOJAS DE HORA PROY.'!$A$2:$A$943,'PLAN MAESTRO FINAL'!$A199,'HOJAS DE HORA PROY.'!$M$2:$M$943,H$113)</f>
        <v>0</v>
      </c>
      <c r="I199" s="8">
        <f>SUMIFS('HOJAS DE HORA PROY.'!$F$2:$F$943,'HOJAS DE HORA PROY.'!$A$2:$A$943,'PLAN MAESTRO FINAL'!$A199,'HOJAS DE HORA PROY.'!$M$2:$M$943,I$113)</f>
        <v>0</v>
      </c>
      <c r="J199" s="8">
        <f>SUMIFS('HOJAS DE HORA PROY.'!$F$2:$F$943,'HOJAS DE HORA PROY.'!$A$2:$A$943,'PLAN MAESTRO FINAL'!$A199,'HOJAS DE HORA PROY.'!$M$2:$M$943,J$113)</f>
        <v>0</v>
      </c>
      <c r="K199" s="8">
        <f>SUMIFS('HOJAS DE HORA PROY.'!$F$2:$F$943,'HOJAS DE HORA PROY.'!$A$2:$A$943,'PLAN MAESTRO FINAL'!$A199,'HOJAS DE HORA PROY.'!$M$2:$M$943,K$113)</f>
        <v>0</v>
      </c>
      <c r="L199" s="8">
        <f>SUMIFS('HOJAS DE HORA PROY.'!$F$2:$F$943,'HOJAS DE HORA PROY.'!$A$2:$A$943,'PLAN MAESTRO FINAL'!$A199,'HOJAS DE HORA PROY.'!$M$2:$M$943,L$113)</f>
        <v>0</v>
      </c>
      <c r="M199" s="8">
        <f>SUMIFS('HOJAS DE HORA PROY.'!$F$2:$F$943,'HOJAS DE HORA PROY.'!$A$2:$A$943,'PLAN MAESTRO FINAL'!$A199,'HOJAS DE HORA PROY.'!$M$2:$M$943,M$113)</f>
        <v>0</v>
      </c>
      <c r="N199" s="8">
        <f>SUMIFS('HOJAS DE HORA PROY.'!$F$2:$F$943,'HOJAS DE HORA PROY.'!$A$2:$A$943,'PLAN MAESTRO FINAL'!$A199,'HOJAS DE HORA PROY.'!$M$2:$M$943,N$113)</f>
        <v>0</v>
      </c>
      <c r="O199" s="8">
        <f>SUMIFS('HOJAS DE HORA PROY.'!$F$2:$F$943,'HOJAS DE HORA PROY.'!$A$2:$A$943,'PLAN MAESTRO FINAL'!$A199,'HOJAS DE HORA PROY.'!$M$2:$M$943,O$113)</f>
        <v>0</v>
      </c>
      <c r="P199" s="8">
        <f>SUMIFS('HOJAS DE HORA PROY.'!$F$2:$F$943,'HOJAS DE HORA PROY.'!$A$2:$A$943,'PLAN MAESTRO FINAL'!$A199,'HOJAS DE HORA PROY.'!$M$2:$M$943,P$113)</f>
        <v>0</v>
      </c>
      <c r="Q199" s="8">
        <f>SUMIFS('HOJAS DE HORA PROY.'!$F$2:$F$943,'HOJAS DE HORA PROY.'!$A$2:$A$943,'PLAN MAESTRO FINAL'!$A199,'HOJAS DE HORA PROY.'!$M$2:$M$943,Q$113)</f>
        <v>0</v>
      </c>
      <c r="R199" s="8">
        <f>SUMIFS('HOJAS DE HORA PROY.'!$F$2:$F$943,'HOJAS DE HORA PROY.'!$A$2:$A$943,'PLAN MAESTRO FINAL'!$A199,'HOJAS DE HORA PROY.'!$M$2:$M$943,R$113)</f>
        <v>0</v>
      </c>
      <c r="S199" s="8">
        <f>SUMIFS('HOJAS DE HORA PROY.'!$F$2:$F$943,'HOJAS DE HORA PROY.'!$A$2:$A$943,'PLAN MAESTRO FINAL'!$A199,'HOJAS DE HORA PROY.'!$M$2:$M$943,S$113)</f>
        <v>0</v>
      </c>
      <c r="T199" s="8">
        <f>SUMIFS('HOJAS DE HORA PROY.'!$F$2:$F$943,'HOJAS DE HORA PROY.'!$A$2:$A$943,'PLAN MAESTRO FINAL'!$A199,'HOJAS DE HORA PROY.'!$M$2:$M$943,T$113)</f>
        <v>0</v>
      </c>
      <c r="U199" s="8">
        <f>SUMIFS('HOJAS DE HORA PROY.'!$F$2:$F$943,'HOJAS DE HORA PROY.'!$A$2:$A$943,'PLAN MAESTRO FINAL'!$A199,'HOJAS DE HORA PROY.'!$M$2:$M$943,U$113)</f>
        <v>0</v>
      </c>
      <c r="V199" s="8">
        <f>SUMIFS('HOJAS DE HORA PROY.'!$F$2:$F$943,'HOJAS DE HORA PROY.'!$A$2:$A$943,'PLAN MAESTRO FINAL'!$A199,'HOJAS DE HORA PROY.'!$M$2:$M$943,V$113)</f>
        <v>0</v>
      </c>
      <c r="W199" s="8">
        <f>SUMIFS('HOJAS DE HORA PROY.'!$F$2:$F$943,'HOJAS DE HORA PROY.'!$A$2:$A$943,'PLAN MAESTRO FINAL'!$A199,'HOJAS DE HORA PROY.'!$M$2:$M$943,W$113)</f>
        <v>0</v>
      </c>
    </row>
    <row r="200" spans="1:23" hidden="1" outlineLevel="1" x14ac:dyDescent="0.3">
      <c r="A200" s="13" t="s">
        <v>245</v>
      </c>
      <c r="B200" s="8">
        <f>SUMIFS('HOJAS DE HORA PROY.'!$H$2:$H$943,'HOJAS DE HORA PROY.'!$A$2:$A$943,'PLAN MAESTRO FINAL'!$A200,'HOJAS DE HORA PROY.'!$M$2:$M$943,B$113)</f>
        <v>0</v>
      </c>
      <c r="C200" s="8">
        <f>SUMIFS('HOJAS DE HORA PROY.'!$H$2:$H$943,'HOJAS DE HORA PROY.'!$A$2:$A$943,'PLAN MAESTRO FINAL'!$A200,'HOJAS DE HORA PROY.'!$M$2:$M$943,C$113)</f>
        <v>0</v>
      </c>
      <c r="D200" s="8">
        <f>SUMIFS('HOJAS DE HORA PROY.'!$H$2:$H$943,'HOJAS DE HORA PROY.'!$A$2:$A$943,'PLAN MAESTRO FINAL'!$A200,'HOJAS DE HORA PROY.'!$M$2:$M$943,D$113)</f>
        <v>0</v>
      </c>
      <c r="E200" s="8">
        <f>SUMIFS('HOJAS DE HORA PROY.'!$H$2:$H$943,'HOJAS DE HORA PROY.'!$A$2:$A$943,'PLAN MAESTRO FINAL'!$A200,'HOJAS DE HORA PROY.'!$M$2:$M$943,E$113)</f>
        <v>0</v>
      </c>
      <c r="F200" s="8">
        <f>SUMIFS('HOJAS DE HORA PROY.'!$H$2:$H$943,'HOJAS DE HORA PROY.'!$A$2:$A$943,'PLAN MAESTRO FINAL'!$A200,'HOJAS DE HORA PROY.'!$M$2:$M$943,F$113)</f>
        <v>0</v>
      </c>
      <c r="G200" s="8">
        <f>SUMIFS('HOJAS DE HORA PROY.'!$H$2:$H$943,'HOJAS DE HORA PROY.'!$A$2:$A$943,'PLAN MAESTRO FINAL'!$A200,'HOJAS DE HORA PROY.'!$M$2:$M$943,G$113)</f>
        <v>0</v>
      </c>
      <c r="H200" s="8">
        <f>SUMIFS('HOJAS DE HORA PROY.'!$F$2:$F$943,'HOJAS DE HORA PROY.'!$A$2:$A$943,'PLAN MAESTRO FINAL'!$A200,'HOJAS DE HORA PROY.'!$M$2:$M$943,H$113)</f>
        <v>0</v>
      </c>
      <c r="I200" s="8">
        <f>SUMIFS('HOJAS DE HORA PROY.'!$F$2:$F$943,'HOJAS DE HORA PROY.'!$A$2:$A$943,'PLAN MAESTRO FINAL'!$A200,'HOJAS DE HORA PROY.'!$M$2:$M$943,I$113)</f>
        <v>0</v>
      </c>
      <c r="J200" s="8">
        <f>SUMIFS('HOJAS DE HORA PROY.'!$F$2:$F$943,'HOJAS DE HORA PROY.'!$A$2:$A$943,'PLAN MAESTRO FINAL'!$A200,'HOJAS DE HORA PROY.'!$M$2:$M$943,J$113)</f>
        <v>0</v>
      </c>
      <c r="K200" s="8">
        <f>SUMIFS('HOJAS DE HORA PROY.'!$F$2:$F$943,'HOJAS DE HORA PROY.'!$A$2:$A$943,'PLAN MAESTRO FINAL'!$A200,'HOJAS DE HORA PROY.'!$M$2:$M$943,K$113)</f>
        <v>0</v>
      </c>
      <c r="L200" s="8">
        <f>SUMIFS('HOJAS DE HORA PROY.'!$F$2:$F$943,'HOJAS DE HORA PROY.'!$A$2:$A$943,'PLAN MAESTRO FINAL'!$A200,'HOJAS DE HORA PROY.'!$M$2:$M$943,L$113)</f>
        <v>0</v>
      </c>
      <c r="M200" s="8">
        <f>SUMIFS('HOJAS DE HORA PROY.'!$F$2:$F$943,'HOJAS DE HORA PROY.'!$A$2:$A$943,'PLAN MAESTRO FINAL'!$A200,'HOJAS DE HORA PROY.'!$M$2:$M$943,M$113)</f>
        <v>0</v>
      </c>
      <c r="N200" s="8">
        <f>SUMIFS('HOJAS DE HORA PROY.'!$F$2:$F$943,'HOJAS DE HORA PROY.'!$A$2:$A$943,'PLAN MAESTRO FINAL'!$A200,'HOJAS DE HORA PROY.'!$M$2:$M$943,N$113)</f>
        <v>0</v>
      </c>
      <c r="O200" s="8">
        <f>SUMIFS('HOJAS DE HORA PROY.'!$F$2:$F$943,'HOJAS DE HORA PROY.'!$A$2:$A$943,'PLAN MAESTRO FINAL'!$A200,'HOJAS DE HORA PROY.'!$M$2:$M$943,O$113)</f>
        <v>0</v>
      </c>
      <c r="P200" s="8">
        <f>SUMIFS('HOJAS DE HORA PROY.'!$F$2:$F$943,'HOJAS DE HORA PROY.'!$A$2:$A$943,'PLAN MAESTRO FINAL'!$A200,'HOJAS DE HORA PROY.'!$M$2:$M$943,P$113)</f>
        <v>0</v>
      </c>
      <c r="Q200" s="8">
        <f>SUMIFS('HOJAS DE HORA PROY.'!$F$2:$F$943,'HOJAS DE HORA PROY.'!$A$2:$A$943,'PLAN MAESTRO FINAL'!$A200,'HOJAS DE HORA PROY.'!$M$2:$M$943,Q$113)</f>
        <v>0</v>
      </c>
      <c r="R200" s="8">
        <f>SUMIFS('HOJAS DE HORA PROY.'!$F$2:$F$943,'HOJAS DE HORA PROY.'!$A$2:$A$943,'PLAN MAESTRO FINAL'!$A200,'HOJAS DE HORA PROY.'!$M$2:$M$943,R$113)</f>
        <v>0</v>
      </c>
      <c r="S200" s="8">
        <f>SUMIFS('HOJAS DE HORA PROY.'!$F$2:$F$943,'HOJAS DE HORA PROY.'!$A$2:$A$943,'PLAN MAESTRO FINAL'!$A200,'HOJAS DE HORA PROY.'!$M$2:$M$943,S$113)</f>
        <v>0</v>
      </c>
      <c r="T200" s="8">
        <f>SUMIFS('HOJAS DE HORA PROY.'!$F$2:$F$943,'HOJAS DE HORA PROY.'!$A$2:$A$943,'PLAN MAESTRO FINAL'!$A200,'HOJAS DE HORA PROY.'!$M$2:$M$943,T$113)</f>
        <v>0</v>
      </c>
      <c r="U200" s="8">
        <f>SUMIFS('HOJAS DE HORA PROY.'!$F$2:$F$943,'HOJAS DE HORA PROY.'!$A$2:$A$943,'PLAN MAESTRO FINAL'!$A200,'HOJAS DE HORA PROY.'!$M$2:$M$943,U$113)</f>
        <v>0</v>
      </c>
      <c r="V200" s="8">
        <f>SUMIFS('HOJAS DE HORA PROY.'!$F$2:$F$943,'HOJAS DE HORA PROY.'!$A$2:$A$943,'PLAN MAESTRO FINAL'!$A200,'HOJAS DE HORA PROY.'!$M$2:$M$943,V$113)</f>
        <v>0</v>
      </c>
      <c r="W200" s="8">
        <f>SUMIFS('HOJAS DE HORA PROY.'!$F$2:$F$943,'HOJAS DE HORA PROY.'!$A$2:$A$943,'PLAN MAESTRO FINAL'!$A200,'HOJAS DE HORA PROY.'!$M$2:$M$943,W$113)</f>
        <v>0</v>
      </c>
    </row>
    <row r="201" spans="1:23" hidden="1" outlineLevel="1" x14ac:dyDescent="0.3">
      <c r="A201" s="13" t="s">
        <v>262</v>
      </c>
      <c r="B201" s="8">
        <f>SUMIFS('HOJAS DE HORA PROY.'!$H$2:$H$943,'HOJAS DE HORA PROY.'!$A$2:$A$943,'PLAN MAESTRO FINAL'!$A201,'HOJAS DE HORA PROY.'!$M$2:$M$943,B$113)</f>
        <v>0</v>
      </c>
      <c r="C201" s="8">
        <f>SUMIFS('HOJAS DE HORA PROY.'!$H$2:$H$943,'HOJAS DE HORA PROY.'!$A$2:$A$943,'PLAN MAESTRO FINAL'!$A201,'HOJAS DE HORA PROY.'!$M$2:$M$943,C$113)</f>
        <v>0</v>
      </c>
      <c r="D201" s="8">
        <f>SUMIFS('HOJAS DE HORA PROY.'!$H$2:$H$943,'HOJAS DE HORA PROY.'!$A$2:$A$943,'PLAN MAESTRO FINAL'!$A201,'HOJAS DE HORA PROY.'!$M$2:$M$943,D$113)</f>
        <v>0</v>
      </c>
      <c r="E201" s="8">
        <f>SUMIFS('HOJAS DE HORA PROY.'!$H$2:$H$943,'HOJAS DE HORA PROY.'!$A$2:$A$943,'PLAN MAESTRO FINAL'!$A201,'HOJAS DE HORA PROY.'!$M$2:$M$943,E$113)</f>
        <v>0</v>
      </c>
      <c r="F201" s="8">
        <f>SUMIFS('HOJAS DE HORA PROY.'!$H$2:$H$943,'HOJAS DE HORA PROY.'!$A$2:$A$943,'PLAN MAESTRO FINAL'!$A201,'HOJAS DE HORA PROY.'!$M$2:$M$943,F$113)</f>
        <v>0</v>
      </c>
      <c r="G201" s="8">
        <f>SUMIFS('HOJAS DE HORA PROY.'!$H$2:$H$943,'HOJAS DE HORA PROY.'!$A$2:$A$943,'PLAN MAESTRO FINAL'!$A201,'HOJAS DE HORA PROY.'!$M$2:$M$943,G$113)</f>
        <v>0</v>
      </c>
      <c r="H201" s="8">
        <f>SUMIFS('HOJAS DE HORA PROY.'!$F$2:$F$943,'HOJAS DE HORA PROY.'!$A$2:$A$943,'PLAN MAESTRO FINAL'!$A201,'HOJAS DE HORA PROY.'!$M$2:$M$943,H$113)</f>
        <v>0</v>
      </c>
      <c r="I201" s="8">
        <f>SUMIFS('HOJAS DE HORA PROY.'!$F$2:$F$943,'HOJAS DE HORA PROY.'!$A$2:$A$943,'PLAN MAESTRO FINAL'!$A201,'HOJAS DE HORA PROY.'!$M$2:$M$943,I$113)</f>
        <v>0</v>
      </c>
      <c r="J201" s="8">
        <f>SUMIFS('HOJAS DE HORA PROY.'!$F$2:$F$943,'HOJAS DE HORA PROY.'!$A$2:$A$943,'PLAN MAESTRO FINAL'!$A201,'HOJAS DE HORA PROY.'!$M$2:$M$943,J$113)</f>
        <v>0</v>
      </c>
      <c r="K201" s="8">
        <f>SUMIFS('HOJAS DE HORA PROY.'!$F$2:$F$943,'HOJAS DE HORA PROY.'!$A$2:$A$943,'PLAN MAESTRO FINAL'!$A201,'HOJAS DE HORA PROY.'!$M$2:$M$943,K$113)</f>
        <v>0</v>
      </c>
      <c r="L201" s="8">
        <f>SUMIFS('HOJAS DE HORA PROY.'!$F$2:$F$943,'HOJAS DE HORA PROY.'!$A$2:$A$943,'PLAN MAESTRO FINAL'!$A201,'HOJAS DE HORA PROY.'!$M$2:$M$943,L$113)</f>
        <v>0</v>
      </c>
      <c r="M201" s="8">
        <f>SUMIFS('HOJAS DE HORA PROY.'!$F$2:$F$943,'HOJAS DE HORA PROY.'!$A$2:$A$943,'PLAN MAESTRO FINAL'!$A201,'HOJAS DE HORA PROY.'!$M$2:$M$943,M$113)</f>
        <v>0</v>
      </c>
      <c r="N201" s="8">
        <f>SUMIFS('HOJAS DE HORA PROY.'!$F$2:$F$943,'HOJAS DE HORA PROY.'!$A$2:$A$943,'PLAN MAESTRO FINAL'!$A201,'HOJAS DE HORA PROY.'!$M$2:$M$943,N$113)</f>
        <v>0</v>
      </c>
      <c r="O201" s="8">
        <f>SUMIFS('HOJAS DE HORA PROY.'!$F$2:$F$943,'HOJAS DE HORA PROY.'!$A$2:$A$943,'PLAN MAESTRO FINAL'!$A201,'HOJAS DE HORA PROY.'!$M$2:$M$943,O$113)</f>
        <v>0</v>
      </c>
      <c r="P201" s="8">
        <f>SUMIFS('HOJAS DE HORA PROY.'!$F$2:$F$943,'HOJAS DE HORA PROY.'!$A$2:$A$943,'PLAN MAESTRO FINAL'!$A201,'HOJAS DE HORA PROY.'!$M$2:$M$943,P$113)</f>
        <v>0</v>
      </c>
      <c r="Q201" s="8">
        <f>SUMIFS('HOJAS DE HORA PROY.'!$F$2:$F$943,'HOJAS DE HORA PROY.'!$A$2:$A$943,'PLAN MAESTRO FINAL'!$A201,'HOJAS DE HORA PROY.'!$M$2:$M$943,Q$113)</f>
        <v>0</v>
      </c>
      <c r="R201" s="8">
        <f>SUMIFS('HOJAS DE HORA PROY.'!$F$2:$F$943,'HOJAS DE HORA PROY.'!$A$2:$A$943,'PLAN MAESTRO FINAL'!$A201,'HOJAS DE HORA PROY.'!$M$2:$M$943,R$113)</f>
        <v>0</v>
      </c>
      <c r="S201" s="8">
        <f>SUMIFS('HOJAS DE HORA PROY.'!$F$2:$F$943,'HOJAS DE HORA PROY.'!$A$2:$A$943,'PLAN MAESTRO FINAL'!$A201,'HOJAS DE HORA PROY.'!$M$2:$M$943,S$113)</f>
        <v>0</v>
      </c>
      <c r="T201" s="8">
        <f>SUMIFS('HOJAS DE HORA PROY.'!$F$2:$F$943,'HOJAS DE HORA PROY.'!$A$2:$A$943,'PLAN MAESTRO FINAL'!$A201,'HOJAS DE HORA PROY.'!$M$2:$M$943,T$113)</f>
        <v>0</v>
      </c>
      <c r="U201" s="8">
        <f>SUMIFS('HOJAS DE HORA PROY.'!$F$2:$F$943,'HOJAS DE HORA PROY.'!$A$2:$A$943,'PLAN MAESTRO FINAL'!$A201,'HOJAS DE HORA PROY.'!$M$2:$M$943,U$113)</f>
        <v>0</v>
      </c>
      <c r="V201" s="8">
        <f>SUMIFS('HOJAS DE HORA PROY.'!$F$2:$F$943,'HOJAS DE HORA PROY.'!$A$2:$A$943,'PLAN MAESTRO FINAL'!$A201,'HOJAS DE HORA PROY.'!$M$2:$M$943,V$113)</f>
        <v>0</v>
      </c>
      <c r="W201" s="8">
        <f>SUMIFS('HOJAS DE HORA PROY.'!$F$2:$F$943,'HOJAS DE HORA PROY.'!$A$2:$A$943,'PLAN MAESTRO FINAL'!$A201,'HOJAS DE HORA PROY.'!$M$2:$M$943,W$113)</f>
        <v>0</v>
      </c>
    </row>
    <row r="202" spans="1:23" hidden="1" outlineLevel="1" x14ac:dyDescent="0.3">
      <c r="A202" s="13" t="s">
        <v>265</v>
      </c>
      <c r="B202" s="8">
        <f>SUMIFS('HOJAS DE HORA PROY.'!$H$2:$H$943,'HOJAS DE HORA PROY.'!$A$2:$A$943,'PLAN MAESTRO FINAL'!$A202,'HOJAS DE HORA PROY.'!$M$2:$M$943,B$113)</f>
        <v>0</v>
      </c>
      <c r="C202" s="8">
        <f>SUMIFS('HOJAS DE HORA PROY.'!$H$2:$H$943,'HOJAS DE HORA PROY.'!$A$2:$A$943,'PLAN MAESTRO FINAL'!$A202,'HOJAS DE HORA PROY.'!$M$2:$M$943,C$113)</f>
        <v>0</v>
      </c>
      <c r="D202" s="8">
        <f>SUMIFS('HOJAS DE HORA PROY.'!$H$2:$H$943,'HOJAS DE HORA PROY.'!$A$2:$A$943,'PLAN MAESTRO FINAL'!$A202,'HOJAS DE HORA PROY.'!$M$2:$M$943,D$113)</f>
        <v>0</v>
      </c>
      <c r="E202" s="8">
        <f>SUMIFS('HOJAS DE HORA PROY.'!$H$2:$H$943,'HOJAS DE HORA PROY.'!$A$2:$A$943,'PLAN MAESTRO FINAL'!$A202,'HOJAS DE HORA PROY.'!$M$2:$M$943,E$113)</f>
        <v>0</v>
      </c>
      <c r="F202" s="8">
        <f>SUMIFS('HOJAS DE HORA PROY.'!$H$2:$H$943,'HOJAS DE HORA PROY.'!$A$2:$A$943,'PLAN MAESTRO FINAL'!$A202,'HOJAS DE HORA PROY.'!$M$2:$M$943,F$113)</f>
        <v>0</v>
      </c>
      <c r="G202" s="8">
        <f>SUMIFS('HOJAS DE HORA PROY.'!$H$2:$H$943,'HOJAS DE HORA PROY.'!$A$2:$A$943,'PLAN MAESTRO FINAL'!$A202,'HOJAS DE HORA PROY.'!$M$2:$M$943,G$113)</f>
        <v>0</v>
      </c>
      <c r="H202" s="8">
        <f>SUMIFS('HOJAS DE HORA PROY.'!$F$2:$F$943,'HOJAS DE HORA PROY.'!$A$2:$A$943,'PLAN MAESTRO FINAL'!$A202,'HOJAS DE HORA PROY.'!$M$2:$M$943,H$113)</f>
        <v>0</v>
      </c>
      <c r="I202" s="8">
        <f>SUMIFS('HOJAS DE HORA PROY.'!$F$2:$F$943,'HOJAS DE HORA PROY.'!$A$2:$A$943,'PLAN MAESTRO FINAL'!$A202,'HOJAS DE HORA PROY.'!$M$2:$M$943,I$113)</f>
        <v>0</v>
      </c>
      <c r="J202" s="8">
        <f>SUMIFS('HOJAS DE HORA PROY.'!$F$2:$F$943,'HOJAS DE HORA PROY.'!$A$2:$A$943,'PLAN MAESTRO FINAL'!$A202,'HOJAS DE HORA PROY.'!$M$2:$M$943,J$113)</f>
        <v>0</v>
      </c>
      <c r="K202" s="8">
        <f>SUMIFS('HOJAS DE HORA PROY.'!$F$2:$F$943,'HOJAS DE HORA PROY.'!$A$2:$A$943,'PLAN MAESTRO FINAL'!$A202,'HOJAS DE HORA PROY.'!$M$2:$M$943,K$113)</f>
        <v>0</v>
      </c>
      <c r="L202" s="8">
        <f>SUMIFS('HOJAS DE HORA PROY.'!$F$2:$F$943,'HOJAS DE HORA PROY.'!$A$2:$A$943,'PLAN MAESTRO FINAL'!$A202,'HOJAS DE HORA PROY.'!$M$2:$M$943,L$113)</f>
        <v>0</v>
      </c>
      <c r="M202" s="8">
        <f>SUMIFS('HOJAS DE HORA PROY.'!$F$2:$F$943,'HOJAS DE HORA PROY.'!$A$2:$A$943,'PLAN MAESTRO FINAL'!$A202,'HOJAS DE HORA PROY.'!$M$2:$M$943,M$113)</f>
        <v>0</v>
      </c>
      <c r="N202" s="8">
        <f>SUMIFS('HOJAS DE HORA PROY.'!$F$2:$F$943,'HOJAS DE HORA PROY.'!$A$2:$A$943,'PLAN MAESTRO FINAL'!$A202,'HOJAS DE HORA PROY.'!$M$2:$M$943,N$113)</f>
        <v>0</v>
      </c>
      <c r="O202" s="8">
        <f>SUMIFS('HOJAS DE HORA PROY.'!$F$2:$F$943,'HOJAS DE HORA PROY.'!$A$2:$A$943,'PLAN MAESTRO FINAL'!$A202,'HOJAS DE HORA PROY.'!$M$2:$M$943,O$113)</f>
        <v>0</v>
      </c>
      <c r="P202" s="8">
        <f>SUMIFS('HOJAS DE HORA PROY.'!$F$2:$F$943,'HOJAS DE HORA PROY.'!$A$2:$A$943,'PLAN MAESTRO FINAL'!$A202,'HOJAS DE HORA PROY.'!$M$2:$M$943,P$113)</f>
        <v>0</v>
      </c>
      <c r="Q202" s="8">
        <f>SUMIFS('HOJAS DE HORA PROY.'!$F$2:$F$943,'HOJAS DE HORA PROY.'!$A$2:$A$943,'PLAN MAESTRO FINAL'!$A202,'HOJAS DE HORA PROY.'!$M$2:$M$943,Q$113)</f>
        <v>0</v>
      </c>
      <c r="R202" s="8">
        <f>SUMIFS('HOJAS DE HORA PROY.'!$F$2:$F$943,'HOJAS DE HORA PROY.'!$A$2:$A$943,'PLAN MAESTRO FINAL'!$A202,'HOJAS DE HORA PROY.'!$M$2:$M$943,R$113)</f>
        <v>0</v>
      </c>
      <c r="S202" s="8">
        <f>SUMIFS('HOJAS DE HORA PROY.'!$F$2:$F$943,'HOJAS DE HORA PROY.'!$A$2:$A$943,'PLAN MAESTRO FINAL'!$A202,'HOJAS DE HORA PROY.'!$M$2:$M$943,S$113)</f>
        <v>0</v>
      </c>
      <c r="T202" s="8">
        <f>SUMIFS('HOJAS DE HORA PROY.'!$F$2:$F$943,'HOJAS DE HORA PROY.'!$A$2:$A$943,'PLAN MAESTRO FINAL'!$A202,'HOJAS DE HORA PROY.'!$M$2:$M$943,T$113)</f>
        <v>0</v>
      </c>
      <c r="U202" s="8">
        <f>SUMIFS('HOJAS DE HORA PROY.'!$F$2:$F$943,'HOJAS DE HORA PROY.'!$A$2:$A$943,'PLAN MAESTRO FINAL'!$A202,'HOJAS DE HORA PROY.'!$M$2:$M$943,U$113)</f>
        <v>0</v>
      </c>
      <c r="V202" s="8">
        <f>SUMIFS('HOJAS DE HORA PROY.'!$F$2:$F$943,'HOJAS DE HORA PROY.'!$A$2:$A$943,'PLAN MAESTRO FINAL'!$A202,'HOJAS DE HORA PROY.'!$M$2:$M$943,V$113)</f>
        <v>0</v>
      </c>
      <c r="W202" s="8">
        <f>SUMIFS('HOJAS DE HORA PROY.'!$F$2:$F$943,'HOJAS DE HORA PROY.'!$A$2:$A$943,'PLAN MAESTRO FINAL'!$A202,'HOJAS DE HORA PROY.'!$M$2:$M$943,W$113)</f>
        <v>0</v>
      </c>
    </row>
    <row r="203" spans="1:23" hidden="1" outlineLevel="1" x14ac:dyDescent="0.3">
      <c r="A203" s="13" t="s">
        <v>267</v>
      </c>
      <c r="B203" s="8">
        <f>SUMIFS('HOJAS DE HORA PROY.'!$H$2:$H$943,'HOJAS DE HORA PROY.'!$A$2:$A$943,'PLAN MAESTRO FINAL'!$A203,'HOJAS DE HORA PROY.'!$M$2:$M$943,B$113)</f>
        <v>0</v>
      </c>
      <c r="C203" s="8">
        <f>SUMIFS('HOJAS DE HORA PROY.'!$H$2:$H$943,'HOJAS DE HORA PROY.'!$A$2:$A$943,'PLAN MAESTRO FINAL'!$A203,'HOJAS DE HORA PROY.'!$M$2:$M$943,C$113)</f>
        <v>0</v>
      </c>
      <c r="D203" s="8">
        <f>SUMIFS('HOJAS DE HORA PROY.'!$H$2:$H$943,'HOJAS DE HORA PROY.'!$A$2:$A$943,'PLAN MAESTRO FINAL'!$A203,'HOJAS DE HORA PROY.'!$M$2:$M$943,D$113)</f>
        <v>0</v>
      </c>
      <c r="E203" s="8">
        <f>SUMIFS('HOJAS DE HORA PROY.'!$H$2:$H$943,'HOJAS DE HORA PROY.'!$A$2:$A$943,'PLAN MAESTRO FINAL'!$A203,'HOJAS DE HORA PROY.'!$M$2:$M$943,E$113)</f>
        <v>0</v>
      </c>
      <c r="F203" s="8">
        <f>SUMIFS('HOJAS DE HORA PROY.'!$H$2:$H$943,'HOJAS DE HORA PROY.'!$A$2:$A$943,'PLAN MAESTRO FINAL'!$A203,'HOJAS DE HORA PROY.'!$M$2:$M$943,F$113)</f>
        <v>0</v>
      </c>
      <c r="G203" s="8">
        <f>SUMIFS('HOJAS DE HORA PROY.'!$H$2:$H$943,'HOJAS DE HORA PROY.'!$A$2:$A$943,'PLAN MAESTRO FINAL'!$A203,'HOJAS DE HORA PROY.'!$M$2:$M$943,G$113)</f>
        <v>0</v>
      </c>
      <c r="H203" s="8">
        <f>SUMIFS('HOJAS DE HORA PROY.'!$F$2:$F$943,'HOJAS DE HORA PROY.'!$A$2:$A$943,'PLAN MAESTRO FINAL'!$A203,'HOJAS DE HORA PROY.'!$M$2:$M$943,H$113)</f>
        <v>0</v>
      </c>
      <c r="I203" s="8">
        <f>SUMIFS('HOJAS DE HORA PROY.'!$F$2:$F$943,'HOJAS DE HORA PROY.'!$A$2:$A$943,'PLAN MAESTRO FINAL'!$A203,'HOJAS DE HORA PROY.'!$M$2:$M$943,I$113)</f>
        <v>0</v>
      </c>
      <c r="J203" s="8">
        <f>SUMIFS('HOJAS DE HORA PROY.'!$F$2:$F$943,'HOJAS DE HORA PROY.'!$A$2:$A$943,'PLAN MAESTRO FINAL'!$A203,'HOJAS DE HORA PROY.'!$M$2:$M$943,J$113)</f>
        <v>0</v>
      </c>
      <c r="K203" s="8">
        <f>SUMIFS('HOJAS DE HORA PROY.'!$F$2:$F$943,'HOJAS DE HORA PROY.'!$A$2:$A$943,'PLAN MAESTRO FINAL'!$A203,'HOJAS DE HORA PROY.'!$M$2:$M$943,K$113)</f>
        <v>0</v>
      </c>
      <c r="L203" s="8">
        <f>SUMIFS('HOJAS DE HORA PROY.'!$F$2:$F$943,'HOJAS DE HORA PROY.'!$A$2:$A$943,'PLAN MAESTRO FINAL'!$A203,'HOJAS DE HORA PROY.'!$M$2:$M$943,L$113)</f>
        <v>0</v>
      </c>
      <c r="M203" s="8">
        <f>SUMIFS('HOJAS DE HORA PROY.'!$F$2:$F$943,'HOJAS DE HORA PROY.'!$A$2:$A$943,'PLAN MAESTRO FINAL'!$A203,'HOJAS DE HORA PROY.'!$M$2:$M$943,M$113)</f>
        <v>0</v>
      </c>
      <c r="N203" s="8">
        <f>SUMIFS('HOJAS DE HORA PROY.'!$F$2:$F$943,'HOJAS DE HORA PROY.'!$A$2:$A$943,'PLAN MAESTRO FINAL'!$A203,'HOJAS DE HORA PROY.'!$M$2:$M$943,N$113)</f>
        <v>0</v>
      </c>
      <c r="O203" s="8">
        <f>SUMIFS('HOJAS DE HORA PROY.'!$F$2:$F$943,'HOJAS DE HORA PROY.'!$A$2:$A$943,'PLAN MAESTRO FINAL'!$A203,'HOJAS DE HORA PROY.'!$M$2:$M$943,O$113)</f>
        <v>0</v>
      </c>
      <c r="P203" s="8">
        <f>SUMIFS('HOJAS DE HORA PROY.'!$F$2:$F$943,'HOJAS DE HORA PROY.'!$A$2:$A$943,'PLAN MAESTRO FINAL'!$A203,'HOJAS DE HORA PROY.'!$M$2:$M$943,P$113)</f>
        <v>0</v>
      </c>
      <c r="Q203" s="8">
        <f>SUMIFS('HOJAS DE HORA PROY.'!$F$2:$F$943,'HOJAS DE HORA PROY.'!$A$2:$A$943,'PLAN MAESTRO FINAL'!$A203,'HOJAS DE HORA PROY.'!$M$2:$M$943,Q$113)</f>
        <v>0</v>
      </c>
      <c r="R203" s="8">
        <f>SUMIFS('HOJAS DE HORA PROY.'!$F$2:$F$943,'HOJAS DE HORA PROY.'!$A$2:$A$943,'PLAN MAESTRO FINAL'!$A203,'HOJAS DE HORA PROY.'!$M$2:$M$943,R$113)</f>
        <v>0</v>
      </c>
      <c r="S203" s="8">
        <f>SUMIFS('HOJAS DE HORA PROY.'!$F$2:$F$943,'HOJAS DE HORA PROY.'!$A$2:$A$943,'PLAN MAESTRO FINAL'!$A203,'HOJAS DE HORA PROY.'!$M$2:$M$943,S$113)</f>
        <v>0</v>
      </c>
      <c r="T203" s="8">
        <f>SUMIFS('HOJAS DE HORA PROY.'!$F$2:$F$943,'HOJAS DE HORA PROY.'!$A$2:$A$943,'PLAN MAESTRO FINAL'!$A203,'HOJAS DE HORA PROY.'!$M$2:$M$943,T$113)</f>
        <v>0</v>
      </c>
      <c r="U203" s="8">
        <f>SUMIFS('HOJAS DE HORA PROY.'!$F$2:$F$943,'HOJAS DE HORA PROY.'!$A$2:$A$943,'PLAN MAESTRO FINAL'!$A203,'HOJAS DE HORA PROY.'!$M$2:$M$943,U$113)</f>
        <v>0</v>
      </c>
      <c r="V203" s="8">
        <f>SUMIFS('HOJAS DE HORA PROY.'!$F$2:$F$943,'HOJAS DE HORA PROY.'!$A$2:$A$943,'PLAN MAESTRO FINAL'!$A203,'HOJAS DE HORA PROY.'!$M$2:$M$943,V$113)</f>
        <v>0</v>
      </c>
      <c r="W203" s="8">
        <f>SUMIFS('HOJAS DE HORA PROY.'!$F$2:$F$943,'HOJAS DE HORA PROY.'!$A$2:$A$943,'PLAN MAESTRO FINAL'!$A203,'HOJAS DE HORA PROY.'!$M$2:$M$943,W$113)</f>
        <v>0</v>
      </c>
    </row>
    <row r="204" spans="1:23" hidden="1" outlineLevel="1" x14ac:dyDescent="0.3">
      <c r="A204" s="13" t="s">
        <v>306</v>
      </c>
      <c r="B204" s="8">
        <f>SUMIFS('HOJAS DE HORA PROY.'!$H$2:$H$943,'HOJAS DE HORA PROY.'!$A$2:$A$943,'PLAN MAESTRO FINAL'!$A204,'HOJAS DE HORA PROY.'!$M$2:$M$943,B$113)</f>
        <v>0</v>
      </c>
      <c r="C204" s="8">
        <f>SUMIFS('HOJAS DE HORA PROY.'!$H$2:$H$943,'HOJAS DE HORA PROY.'!$A$2:$A$943,'PLAN MAESTRO FINAL'!$A204,'HOJAS DE HORA PROY.'!$M$2:$M$943,C$113)</f>
        <v>0</v>
      </c>
      <c r="D204" s="8">
        <f>SUMIFS('HOJAS DE HORA PROY.'!$H$2:$H$943,'HOJAS DE HORA PROY.'!$A$2:$A$943,'PLAN MAESTRO FINAL'!$A204,'HOJAS DE HORA PROY.'!$M$2:$M$943,D$113)</f>
        <v>0</v>
      </c>
      <c r="E204" s="8">
        <f>SUMIFS('HOJAS DE HORA PROY.'!$H$2:$H$943,'HOJAS DE HORA PROY.'!$A$2:$A$943,'PLAN MAESTRO FINAL'!$A204,'HOJAS DE HORA PROY.'!$M$2:$M$943,E$113)</f>
        <v>0</v>
      </c>
      <c r="F204" s="8">
        <f>SUMIFS('HOJAS DE HORA PROY.'!$H$2:$H$943,'HOJAS DE HORA PROY.'!$A$2:$A$943,'PLAN MAESTRO FINAL'!$A204,'HOJAS DE HORA PROY.'!$M$2:$M$943,F$113)</f>
        <v>1</v>
      </c>
      <c r="G204" s="8">
        <f>SUMIFS('HOJAS DE HORA PROY.'!$H$2:$H$943,'HOJAS DE HORA PROY.'!$A$2:$A$943,'PLAN MAESTRO FINAL'!$A204,'HOJAS DE HORA PROY.'!$M$2:$M$943,G$113)</f>
        <v>0</v>
      </c>
      <c r="H204" s="8">
        <f>SUMIFS('HOJAS DE HORA PROY.'!$F$2:$F$943,'HOJAS DE HORA PROY.'!$A$2:$A$943,'PLAN MAESTRO FINAL'!$A204,'HOJAS DE HORA PROY.'!$M$2:$M$943,H$113)</f>
        <v>0</v>
      </c>
      <c r="I204" s="8">
        <f>SUMIFS('HOJAS DE HORA PROY.'!$F$2:$F$943,'HOJAS DE HORA PROY.'!$A$2:$A$943,'PLAN MAESTRO FINAL'!$A204,'HOJAS DE HORA PROY.'!$M$2:$M$943,I$113)</f>
        <v>0</v>
      </c>
      <c r="J204" s="8">
        <f>SUMIFS('HOJAS DE HORA PROY.'!$F$2:$F$943,'HOJAS DE HORA PROY.'!$A$2:$A$943,'PLAN MAESTRO FINAL'!$A204,'HOJAS DE HORA PROY.'!$M$2:$M$943,J$113)</f>
        <v>0</v>
      </c>
      <c r="K204" s="8">
        <f>SUMIFS('HOJAS DE HORA PROY.'!$F$2:$F$943,'HOJAS DE HORA PROY.'!$A$2:$A$943,'PLAN MAESTRO FINAL'!$A204,'HOJAS DE HORA PROY.'!$M$2:$M$943,K$113)</f>
        <v>0</v>
      </c>
      <c r="L204" s="8">
        <f>SUMIFS('HOJAS DE HORA PROY.'!$F$2:$F$943,'HOJAS DE HORA PROY.'!$A$2:$A$943,'PLAN MAESTRO FINAL'!$A204,'HOJAS DE HORA PROY.'!$M$2:$M$943,L$113)</f>
        <v>0</v>
      </c>
      <c r="M204" s="8">
        <f>SUMIFS('HOJAS DE HORA PROY.'!$F$2:$F$943,'HOJAS DE HORA PROY.'!$A$2:$A$943,'PLAN MAESTRO FINAL'!$A204,'HOJAS DE HORA PROY.'!$M$2:$M$943,M$113)</f>
        <v>0</v>
      </c>
      <c r="N204" s="8">
        <f>SUMIFS('HOJAS DE HORA PROY.'!$F$2:$F$943,'HOJAS DE HORA PROY.'!$A$2:$A$943,'PLAN MAESTRO FINAL'!$A204,'HOJAS DE HORA PROY.'!$M$2:$M$943,N$113)</f>
        <v>0</v>
      </c>
      <c r="O204" s="8">
        <f>SUMIFS('HOJAS DE HORA PROY.'!$F$2:$F$943,'HOJAS DE HORA PROY.'!$A$2:$A$943,'PLAN MAESTRO FINAL'!$A204,'HOJAS DE HORA PROY.'!$M$2:$M$943,O$113)</f>
        <v>0</v>
      </c>
      <c r="P204" s="8">
        <f>SUMIFS('HOJAS DE HORA PROY.'!$F$2:$F$943,'HOJAS DE HORA PROY.'!$A$2:$A$943,'PLAN MAESTRO FINAL'!$A204,'HOJAS DE HORA PROY.'!$M$2:$M$943,P$113)</f>
        <v>0</v>
      </c>
      <c r="Q204" s="8">
        <f>SUMIFS('HOJAS DE HORA PROY.'!$F$2:$F$943,'HOJAS DE HORA PROY.'!$A$2:$A$943,'PLAN MAESTRO FINAL'!$A204,'HOJAS DE HORA PROY.'!$M$2:$M$943,Q$113)</f>
        <v>0</v>
      </c>
      <c r="R204" s="8">
        <f>SUMIFS('HOJAS DE HORA PROY.'!$F$2:$F$943,'HOJAS DE HORA PROY.'!$A$2:$A$943,'PLAN MAESTRO FINAL'!$A204,'HOJAS DE HORA PROY.'!$M$2:$M$943,R$113)</f>
        <v>0</v>
      </c>
      <c r="S204" s="8">
        <f>SUMIFS('HOJAS DE HORA PROY.'!$F$2:$F$943,'HOJAS DE HORA PROY.'!$A$2:$A$943,'PLAN MAESTRO FINAL'!$A204,'HOJAS DE HORA PROY.'!$M$2:$M$943,S$113)</f>
        <v>0</v>
      </c>
      <c r="T204" s="8">
        <f>SUMIFS('HOJAS DE HORA PROY.'!$F$2:$F$943,'HOJAS DE HORA PROY.'!$A$2:$A$943,'PLAN MAESTRO FINAL'!$A204,'HOJAS DE HORA PROY.'!$M$2:$M$943,T$113)</f>
        <v>0</v>
      </c>
      <c r="U204" s="8">
        <f>SUMIFS('HOJAS DE HORA PROY.'!$F$2:$F$943,'HOJAS DE HORA PROY.'!$A$2:$A$943,'PLAN MAESTRO FINAL'!$A204,'HOJAS DE HORA PROY.'!$M$2:$M$943,U$113)</f>
        <v>0</v>
      </c>
      <c r="V204" s="8">
        <f>SUMIFS('HOJAS DE HORA PROY.'!$F$2:$F$943,'HOJAS DE HORA PROY.'!$A$2:$A$943,'PLAN MAESTRO FINAL'!$A204,'HOJAS DE HORA PROY.'!$M$2:$M$943,V$113)</f>
        <v>0</v>
      </c>
      <c r="W204" s="8">
        <f>SUMIFS('HOJAS DE HORA PROY.'!$F$2:$F$943,'HOJAS DE HORA PROY.'!$A$2:$A$943,'PLAN MAESTRO FINAL'!$A204,'HOJAS DE HORA PROY.'!$M$2:$M$943,W$113)</f>
        <v>0</v>
      </c>
    </row>
    <row r="205" spans="1:23" hidden="1" outlineLevel="1" x14ac:dyDescent="0.3">
      <c r="A205" s="13" t="s">
        <v>307</v>
      </c>
      <c r="B205" s="8">
        <f>SUMIFS('HOJAS DE HORA PROY.'!$H$2:$H$943,'HOJAS DE HORA PROY.'!$A$2:$A$943,'PLAN MAESTRO FINAL'!$A205,'HOJAS DE HORA PROY.'!$M$2:$M$943,B$113)</f>
        <v>0</v>
      </c>
      <c r="C205" s="8">
        <f>SUMIFS('HOJAS DE HORA PROY.'!$H$2:$H$943,'HOJAS DE HORA PROY.'!$A$2:$A$943,'PLAN MAESTRO FINAL'!$A205,'HOJAS DE HORA PROY.'!$M$2:$M$943,C$113)</f>
        <v>0</v>
      </c>
      <c r="D205" s="8">
        <f>SUMIFS('HOJAS DE HORA PROY.'!$H$2:$H$943,'HOJAS DE HORA PROY.'!$A$2:$A$943,'PLAN MAESTRO FINAL'!$A205,'HOJAS DE HORA PROY.'!$M$2:$M$943,D$113)</f>
        <v>0</v>
      </c>
      <c r="E205" s="8">
        <f>SUMIFS('HOJAS DE HORA PROY.'!$H$2:$H$943,'HOJAS DE HORA PROY.'!$A$2:$A$943,'PLAN MAESTRO FINAL'!$A205,'HOJAS DE HORA PROY.'!$M$2:$M$943,E$113)</f>
        <v>0</v>
      </c>
      <c r="F205" s="8">
        <f>SUMIFS('HOJAS DE HORA PROY.'!$H$2:$H$943,'HOJAS DE HORA PROY.'!$A$2:$A$943,'PLAN MAESTRO FINAL'!$A205,'HOJAS DE HORA PROY.'!$M$2:$M$943,F$113)</f>
        <v>0</v>
      </c>
      <c r="G205" s="8">
        <f>SUMIFS('HOJAS DE HORA PROY.'!$H$2:$H$943,'HOJAS DE HORA PROY.'!$A$2:$A$943,'PLAN MAESTRO FINAL'!$A205,'HOJAS DE HORA PROY.'!$M$2:$M$943,G$113)</f>
        <v>0</v>
      </c>
      <c r="H205" s="8">
        <f>SUMIFS('HOJAS DE HORA PROY.'!$F$2:$F$943,'HOJAS DE HORA PROY.'!$A$2:$A$943,'PLAN MAESTRO FINAL'!$A205,'HOJAS DE HORA PROY.'!$M$2:$M$943,H$113)</f>
        <v>0</v>
      </c>
      <c r="I205" s="8">
        <f>SUMIFS('HOJAS DE HORA PROY.'!$F$2:$F$943,'HOJAS DE HORA PROY.'!$A$2:$A$943,'PLAN MAESTRO FINAL'!$A205,'HOJAS DE HORA PROY.'!$M$2:$M$943,I$113)</f>
        <v>0</v>
      </c>
      <c r="J205" s="8">
        <f>SUMIFS('HOJAS DE HORA PROY.'!$F$2:$F$943,'HOJAS DE HORA PROY.'!$A$2:$A$943,'PLAN MAESTRO FINAL'!$A205,'HOJAS DE HORA PROY.'!$M$2:$M$943,J$113)</f>
        <v>0</v>
      </c>
      <c r="K205" s="8">
        <f>SUMIFS('HOJAS DE HORA PROY.'!$F$2:$F$943,'HOJAS DE HORA PROY.'!$A$2:$A$943,'PLAN MAESTRO FINAL'!$A205,'HOJAS DE HORA PROY.'!$M$2:$M$943,K$113)</f>
        <v>0</v>
      </c>
      <c r="L205" s="8">
        <f>SUMIFS('HOJAS DE HORA PROY.'!$F$2:$F$943,'HOJAS DE HORA PROY.'!$A$2:$A$943,'PLAN MAESTRO FINAL'!$A205,'HOJAS DE HORA PROY.'!$M$2:$M$943,L$113)</f>
        <v>0</v>
      </c>
      <c r="M205" s="8">
        <f>SUMIFS('HOJAS DE HORA PROY.'!$F$2:$F$943,'HOJAS DE HORA PROY.'!$A$2:$A$943,'PLAN MAESTRO FINAL'!$A205,'HOJAS DE HORA PROY.'!$M$2:$M$943,M$113)</f>
        <v>0</v>
      </c>
      <c r="N205" s="8">
        <f>SUMIFS('HOJAS DE HORA PROY.'!$F$2:$F$943,'HOJAS DE HORA PROY.'!$A$2:$A$943,'PLAN MAESTRO FINAL'!$A205,'HOJAS DE HORA PROY.'!$M$2:$M$943,N$113)</f>
        <v>0</v>
      </c>
      <c r="O205" s="8">
        <f>SUMIFS('HOJAS DE HORA PROY.'!$F$2:$F$943,'HOJAS DE HORA PROY.'!$A$2:$A$943,'PLAN MAESTRO FINAL'!$A205,'HOJAS DE HORA PROY.'!$M$2:$M$943,O$113)</f>
        <v>0</v>
      </c>
      <c r="P205" s="8">
        <f>SUMIFS('HOJAS DE HORA PROY.'!$F$2:$F$943,'HOJAS DE HORA PROY.'!$A$2:$A$943,'PLAN MAESTRO FINAL'!$A205,'HOJAS DE HORA PROY.'!$M$2:$M$943,P$113)</f>
        <v>0</v>
      </c>
      <c r="Q205" s="8">
        <f>SUMIFS('HOJAS DE HORA PROY.'!$F$2:$F$943,'HOJAS DE HORA PROY.'!$A$2:$A$943,'PLAN MAESTRO FINAL'!$A205,'HOJAS DE HORA PROY.'!$M$2:$M$943,Q$113)</f>
        <v>0</v>
      </c>
      <c r="R205" s="8">
        <f>SUMIFS('HOJAS DE HORA PROY.'!$F$2:$F$943,'HOJAS DE HORA PROY.'!$A$2:$A$943,'PLAN MAESTRO FINAL'!$A205,'HOJAS DE HORA PROY.'!$M$2:$M$943,R$113)</f>
        <v>0</v>
      </c>
      <c r="S205" s="8">
        <f>SUMIFS('HOJAS DE HORA PROY.'!$F$2:$F$943,'HOJAS DE HORA PROY.'!$A$2:$A$943,'PLAN MAESTRO FINAL'!$A205,'HOJAS DE HORA PROY.'!$M$2:$M$943,S$113)</f>
        <v>0</v>
      </c>
      <c r="T205" s="8">
        <f>SUMIFS('HOJAS DE HORA PROY.'!$F$2:$F$943,'HOJAS DE HORA PROY.'!$A$2:$A$943,'PLAN MAESTRO FINAL'!$A205,'HOJAS DE HORA PROY.'!$M$2:$M$943,T$113)</f>
        <v>0</v>
      </c>
      <c r="U205" s="8">
        <f>SUMIFS('HOJAS DE HORA PROY.'!$F$2:$F$943,'HOJAS DE HORA PROY.'!$A$2:$A$943,'PLAN MAESTRO FINAL'!$A205,'HOJAS DE HORA PROY.'!$M$2:$M$943,U$113)</f>
        <v>0</v>
      </c>
      <c r="V205" s="8">
        <f>SUMIFS('HOJAS DE HORA PROY.'!$F$2:$F$943,'HOJAS DE HORA PROY.'!$A$2:$A$943,'PLAN MAESTRO FINAL'!$A205,'HOJAS DE HORA PROY.'!$M$2:$M$943,V$113)</f>
        <v>0</v>
      </c>
      <c r="W205" s="8">
        <f>SUMIFS('HOJAS DE HORA PROY.'!$F$2:$F$943,'HOJAS DE HORA PROY.'!$A$2:$A$943,'PLAN MAESTRO FINAL'!$A205,'HOJAS DE HORA PROY.'!$M$2:$M$943,W$113)</f>
        <v>0</v>
      </c>
    </row>
    <row r="206" spans="1:23" hidden="1" outlineLevel="1" x14ac:dyDescent="0.3">
      <c r="A206" s="13" t="s">
        <v>321</v>
      </c>
      <c r="B206" s="8">
        <f>SUMIFS('HOJAS DE HORA PROY.'!$H$2:$H$943,'HOJAS DE HORA PROY.'!$A$2:$A$943,'PLAN MAESTRO FINAL'!$A206,'HOJAS DE HORA PROY.'!$M$2:$M$943,B$113)</f>
        <v>0</v>
      </c>
      <c r="C206" s="8">
        <f>SUMIFS('HOJAS DE HORA PROY.'!$H$2:$H$943,'HOJAS DE HORA PROY.'!$A$2:$A$943,'PLAN MAESTRO FINAL'!$A206,'HOJAS DE HORA PROY.'!$M$2:$M$943,C$113)</f>
        <v>0</v>
      </c>
      <c r="D206" s="8">
        <f>SUMIFS('HOJAS DE HORA PROY.'!$H$2:$H$943,'HOJAS DE HORA PROY.'!$A$2:$A$943,'PLAN MAESTRO FINAL'!$A206,'HOJAS DE HORA PROY.'!$M$2:$M$943,D$113)</f>
        <v>0</v>
      </c>
      <c r="E206" s="8">
        <f>SUMIFS('HOJAS DE HORA PROY.'!$H$2:$H$943,'HOJAS DE HORA PROY.'!$A$2:$A$943,'PLAN MAESTRO FINAL'!$A206,'HOJAS DE HORA PROY.'!$M$2:$M$943,E$113)</f>
        <v>0</v>
      </c>
      <c r="F206" s="8">
        <f>SUMIFS('HOJAS DE HORA PROY.'!$H$2:$H$943,'HOJAS DE HORA PROY.'!$A$2:$A$943,'PLAN MAESTRO FINAL'!$A206,'HOJAS DE HORA PROY.'!$M$2:$M$943,F$113)</f>
        <v>0</v>
      </c>
      <c r="G206" s="8">
        <f>SUMIFS('HOJAS DE HORA PROY.'!$H$2:$H$943,'HOJAS DE HORA PROY.'!$A$2:$A$943,'PLAN MAESTRO FINAL'!$A206,'HOJAS DE HORA PROY.'!$M$2:$M$943,G$113)</f>
        <v>0</v>
      </c>
      <c r="H206" s="8">
        <f>SUMIFS('HOJAS DE HORA PROY.'!$F$2:$F$943,'HOJAS DE HORA PROY.'!$A$2:$A$943,'PLAN MAESTRO FINAL'!$A206,'HOJAS DE HORA PROY.'!$M$2:$M$943,H$113)</f>
        <v>0</v>
      </c>
      <c r="I206" s="8">
        <f>SUMIFS('HOJAS DE HORA PROY.'!$F$2:$F$943,'HOJAS DE HORA PROY.'!$A$2:$A$943,'PLAN MAESTRO FINAL'!$A206,'HOJAS DE HORA PROY.'!$M$2:$M$943,I$113)</f>
        <v>0</v>
      </c>
      <c r="J206" s="8">
        <f>SUMIFS('HOJAS DE HORA PROY.'!$F$2:$F$943,'HOJAS DE HORA PROY.'!$A$2:$A$943,'PLAN MAESTRO FINAL'!$A206,'HOJAS DE HORA PROY.'!$M$2:$M$943,J$113)</f>
        <v>0</v>
      </c>
      <c r="K206" s="8">
        <f>SUMIFS('HOJAS DE HORA PROY.'!$F$2:$F$943,'HOJAS DE HORA PROY.'!$A$2:$A$943,'PLAN MAESTRO FINAL'!$A206,'HOJAS DE HORA PROY.'!$M$2:$M$943,K$113)</f>
        <v>0</v>
      </c>
      <c r="L206" s="8">
        <f>SUMIFS('HOJAS DE HORA PROY.'!$F$2:$F$943,'HOJAS DE HORA PROY.'!$A$2:$A$943,'PLAN MAESTRO FINAL'!$A206,'HOJAS DE HORA PROY.'!$M$2:$M$943,L$113)</f>
        <v>0</v>
      </c>
      <c r="M206" s="8">
        <f>SUMIFS('HOJAS DE HORA PROY.'!$F$2:$F$943,'HOJAS DE HORA PROY.'!$A$2:$A$943,'PLAN MAESTRO FINAL'!$A206,'HOJAS DE HORA PROY.'!$M$2:$M$943,M$113)</f>
        <v>0</v>
      </c>
      <c r="N206" s="8">
        <f>SUMIFS('HOJAS DE HORA PROY.'!$F$2:$F$943,'HOJAS DE HORA PROY.'!$A$2:$A$943,'PLAN MAESTRO FINAL'!$A206,'HOJAS DE HORA PROY.'!$M$2:$M$943,N$113)</f>
        <v>0</v>
      </c>
      <c r="O206" s="8">
        <f>SUMIFS('HOJAS DE HORA PROY.'!$F$2:$F$943,'HOJAS DE HORA PROY.'!$A$2:$A$943,'PLAN MAESTRO FINAL'!$A206,'HOJAS DE HORA PROY.'!$M$2:$M$943,O$113)</f>
        <v>0</v>
      </c>
      <c r="P206" s="8">
        <f>SUMIFS('HOJAS DE HORA PROY.'!$F$2:$F$943,'HOJAS DE HORA PROY.'!$A$2:$A$943,'PLAN MAESTRO FINAL'!$A206,'HOJAS DE HORA PROY.'!$M$2:$M$943,P$113)</f>
        <v>0</v>
      </c>
      <c r="Q206" s="8">
        <f>SUMIFS('HOJAS DE HORA PROY.'!$F$2:$F$943,'HOJAS DE HORA PROY.'!$A$2:$A$943,'PLAN MAESTRO FINAL'!$A206,'HOJAS DE HORA PROY.'!$M$2:$M$943,Q$113)</f>
        <v>0</v>
      </c>
      <c r="R206" s="8">
        <f>SUMIFS('HOJAS DE HORA PROY.'!$F$2:$F$943,'HOJAS DE HORA PROY.'!$A$2:$A$943,'PLAN MAESTRO FINAL'!$A206,'HOJAS DE HORA PROY.'!$M$2:$M$943,R$113)</f>
        <v>0</v>
      </c>
      <c r="S206" s="8">
        <f>SUMIFS('HOJAS DE HORA PROY.'!$F$2:$F$943,'HOJAS DE HORA PROY.'!$A$2:$A$943,'PLAN MAESTRO FINAL'!$A206,'HOJAS DE HORA PROY.'!$M$2:$M$943,S$113)</f>
        <v>0</v>
      </c>
      <c r="T206" s="8">
        <f>SUMIFS('HOJAS DE HORA PROY.'!$F$2:$F$943,'HOJAS DE HORA PROY.'!$A$2:$A$943,'PLAN MAESTRO FINAL'!$A206,'HOJAS DE HORA PROY.'!$M$2:$M$943,T$113)</f>
        <v>0</v>
      </c>
      <c r="U206" s="8">
        <f>SUMIFS('HOJAS DE HORA PROY.'!$F$2:$F$943,'HOJAS DE HORA PROY.'!$A$2:$A$943,'PLAN MAESTRO FINAL'!$A206,'HOJAS DE HORA PROY.'!$M$2:$M$943,U$113)</f>
        <v>0</v>
      </c>
      <c r="V206" s="8">
        <f>SUMIFS('HOJAS DE HORA PROY.'!$F$2:$F$943,'HOJAS DE HORA PROY.'!$A$2:$A$943,'PLAN MAESTRO FINAL'!$A206,'HOJAS DE HORA PROY.'!$M$2:$M$943,V$113)</f>
        <v>0</v>
      </c>
      <c r="W206" s="8">
        <f>SUMIFS('HOJAS DE HORA PROY.'!$F$2:$F$943,'HOJAS DE HORA PROY.'!$A$2:$A$943,'PLAN MAESTRO FINAL'!$A206,'HOJAS DE HORA PROY.'!$M$2:$M$943,W$113)</f>
        <v>0</v>
      </c>
    </row>
    <row r="207" spans="1:23" hidden="1" outlineLevel="1" x14ac:dyDescent="0.3">
      <c r="A207" s="13" t="s">
        <v>453</v>
      </c>
      <c r="B207" s="8">
        <f>SUMIFS('HOJAS DE HORA PROY.'!$H$2:$H$943,'HOJAS DE HORA PROY.'!$A$2:$A$943,'PLAN MAESTRO FINAL'!$A207,'HOJAS DE HORA PROY.'!$M$2:$M$943,B$113)</f>
        <v>0</v>
      </c>
      <c r="C207" s="8">
        <f>SUMIFS('HOJAS DE HORA PROY.'!$H$2:$H$943,'HOJAS DE HORA PROY.'!$A$2:$A$943,'PLAN MAESTRO FINAL'!$A207,'HOJAS DE HORA PROY.'!$M$2:$M$943,C$113)</f>
        <v>0</v>
      </c>
      <c r="D207" s="8">
        <f>SUMIFS('HOJAS DE HORA PROY.'!$H$2:$H$943,'HOJAS DE HORA PROY.'!$A$2:$A$943,'PLAN MAESTRO FINAL'!$A207,'HOJAS DE HORA PROY.'!$M$2:$M$943,D$113)</f>
        <v>0</v>
      </c>
      <c r="E207" s="8">
        <f>SUMIFS('HOJAS DE HORA PROY.'!$H$2:$H$943,'HOJAS DE HORA PROY.'!$A$2:$A$943,'PLAN MAESTRO FINAL'!$A207,'HOJAS DE HORA PROY.'!$M$2:$M$943,E$113)</f>
        <v>0</v>
      </c>
      <c r="F207" s="8">
        <f>SUMIFS('HOJAS DE HORA PROY.'!$H$2:$H$943,'HOJAS DE HORA PROY.'!$A$2:$A$943,'PLAN MAESTRO FINAL'!$A207,'HOJAS DE HORA PROY.'!$M$2:$M$943,F$113)</f>
        <v>0</v>
      </c>
      <c r="G207" s="8">
        <f>SUMIFS('HOJAS DE HORA PROY.'!$H$2:$H$943,'HOJAS DE HORA PROY.'!$A$2:$A$943,'PLAN MAESTRO FINAL'!$A207,'HOJAS DE HORA PROY.'!$M$2:$M$943,G$113)</f>
        <v>0</v>
      </c>
      <c r="H207" s="8">
        <f>SUMIFS('HOJAS DE HORA PROY.'!$F$2:$F$943,'HOJAS DE HORA PROY.'!$A$2:$A$943,'PLAN MAESTRO FINAL'!$A207,'HOJAS DE HORA PROY.'!$M$2:$M$943,H$113)</f>
        <v>0</v>
      </c>
      <c r="I207" s="8">
        <f>SUMIFS('HOJAS DE HORA PROY.'!$F$2:$F$943,'HOJAS DE HORA PROY.'!$A$2:$A$943,'PLAN MAESTRO FINAL'!$A207,'HOJAS DE HORA PROY.'!$M$2:$M$943,I$113)</f>
        <v>0</v>
      </c>
      <c r="J207" s="8">
        <f>SUMIFS('HOJAS DE HORA PROY.'!$F$2:$F$943,'HOJAS DE HORA PROY.'!$A$2:$A$943,'PLAN MAESTRO FINAL'!$A207,'HOJAS DE HORA PROY.'!$M$2:$M$943,J$113)</f>
        <v>0</v>
      </c>
      <c r="K207" s="8">
        <f>SUMIFS('HOJAS DE HORA PROY.'!$F$2:$F$943,'HOJAS DE HORA PROY.'!$A$2:$A$943,'PLAN MAESTRO FINAL'!$A207,'HOJAS DE HORA PROY.'!$M$2:$M$943,K$113)</f>
        <v>0</v>
      </c>
      <c r="L207" s="8">
        <f>SUMIFS('HOJAS DE HORA PROY.'!$F$2:$F$943,'HOJAS DE HORA PROY.'!$A$2:$A$943,'PLAN MAESTRO FINAL'!$A207,'HOJAS DE HORA PROY.'!$M$2:$M$943,L$113)</f>
        <v>0</v>
      </c>
      <c r="M207" s="8">
        <f>SUMIFS('HOJAS DE HORA PROY.'!$F$2:$F$943,'HOJAS DE HORA PROY.'!$A$2:$A$943,'PLAN MAESTRO FINAL'!$A207,'HOJAS DE HORA PROY.'!$M$2:$M$943,M$113)</f>
        <v>0</v>
      </c>
      <c r="N207" s="8">
        <f>SUMIFS('HOJAS DE HORA PROY.'!$F$2:$F$943,'HOJAS DE HORA PROY.'!$A$2:$A$943,'PLAN MAESTRO FINAL'!$A207,'HOJAS DE HORA PROY.'!$M$2:$M$943,N$113)</f>
        <v>0</v>
      </c>
      <c r="O207" s="8">
        <f>SUMIFS('HOJAS DE HORA PROY.'!$F$2:$F$943,'HOJAS DE HORA PROY.'!$A$2:$A$943,'PLAN MAESTRO FINAL'!$A207,'HOJAS DE HORA PROY.'!$M$2:$M$943,O$113)</f>
        <v>0</v>
      </c>
      <c r="P207" s="8">
        <f>SUMIFS('HOJAS DE HORA PROY.'!$F$2:$F$943,'HOJAS DE HORA PROY.'!$A$2:$A$943,'PLAN MAESTRO FINAL'!$A207,'HOJAS DE HORA PROY.'!$M$2:$M$943,P$113)</f>
        <v>0</v>
      </c>
      <c r="Q207" s="8">
        <f>SUMIFS('HOJAS DE HORA PROY.'!$F$2:$F$943,'HOJAS DE HORA PROY.'!$A$2:$A$943,'PLAN MAESTRO FINAL'!$A207,'HOJAS DE HORA PROY.'!$M$2:$M$943,Q$113)</f>
        <v>0</v>
      </c>
      <c r="R207" s="8">
        <f>SUMIFS('HOJAS DE HORA PROY.'!$F$2:$F$943,'HOJAS DE HORA PROY.'!$A$2:$A$943,'PLAN MAESTRO FINAL'!$A207,'HOJAS DE HORA PROY.'!$M$2:$M$943,R$113)</f>
        <v>0</v>
      </c>
      <c r="S207" s="8">
        <f>SUMIFS('HOJAS DE HORA PROY.'!$F$2:$F$943,'HOJAS DE HORA PROY.'!$A$2:$A$943,'PLAN MAESTRO FINAL'!$A207,'HOJAS DE HORA PROY.'!$M$2:$M$943,S$113)</f>
        <v>0</v>
      </c>
      <c r="T207" s="8">
        <f>SUMIFS('HOJAS DE HORA PROY.'!$F$2:$F$943,'HOJAS DE HORA PROY.'!$A$2:$A$943,'PLAN MAESTRO FINAL'!$A207,'HOJAS DE HORA PROY.'!$M$2:$M$943,T$113)</f>
        <v>0</v>
      </c>
      <c r="U207" s="8">
        <f>SUMIFS('HOJAS DE HORA PROY.'!$F$2:$F$943,'HOJAS DE HORA PROY.'!$A$2:$A$943,'PLAN MAESTRO FINAL'!$A207,'HOJAS DE HORA PROY.'!$M$2:$M$943,U$113)</f>
        <v>0</v>
      </c>
      <c r="V207" s="8">
        <f>SUMIFS('HOJAS DE HORA PROY.'!$F$2:$F$943,'HOJAS DE HORA PROY.'!$A$2:$A$943,'PLAN MAESTRO FINAL'!$A207,'HOJAS DE HORA PROY.'!$M$2:$M$943,V$113)</f>
        <v>0</v>
      </c>
      <c r="W207" s="8">
        <f>SUMIFS('HOJAS DE HORA PROY.'!$F$2:$F$943,'HOJAS DE HORA PROY.'!$A$2:$A$943,'PLAN MAESTRO FINAL'!$A207,'HOJAS DE HORA PROY.'!$M$2:$M$943,W$113)</f>
        <v>0</v>
      </c>
    </row>
    <row r="208" spans="1:23" hidden="1" outlineLevel="1" x14ac:dyDescent="0.3">
      <c r="A208" s="13" t="s">
        <v>468</v>
      </c>
      <c r="B208" s="8">
        <f>SUMIFS('HOJAS DE HORA PROY.'!$H$2:$H$943,'HOJAS DE HORA PROY.'!$A$2:$A$943,'PLAN MAESTRO FINAL'!$A208,'HOJAS DE HORA PROY.'!$M$2:$M$943,B$113)</f>
        <v>0</v>
      </c>
      <c r="C208" s="8">
        <f>SUMIFS('HOJAS DE HORA PROY.'!$H$2:$H$943,'HOJAS DE HORA PROY.'!$A$2:$A$943,'PLAN MAESTRO FINAL'!$A208,'HOJAS DE HORA PROY.'!$M$2:$M$943,C$113)</f>
        <v>0</v>
      </c>
      <c r="D208" s="8">
        <f>SUMIFS('HOJAS DE HORA PROY.'!$H$2:$H$943,'HOJAS DE HORA PROY.'!$A$2:$A$943,'PLAN MAESTRO FINAL'!$A208,'HOJAS DE HORA PROY.'!$M$2:$M$943,D$113)</f>
        <v>0</v>
      </c>
      <c r="E208" s="8">
        <f>SUMIFS('HOJAS DE HORA PROY.'!$H$2:$H$943,'HOJAS DE HORA PROY.'!$A$2:$A$943,'PLAN MAESTRO FINAL'!$A208,'HOJAS DE HORA PROY.'!$M$2:$M$943,E$113)</f>
        <v>0</v>
      </c>
      <c r="F208" s="8">
        <f>SUMIFS('HOJAS DE HORA PROY.'!$H$2:$H$943,'HOJAS DE HORA PROY.'!$A$2:$A$943,'PLAN MAESTRO FINAL'!$A208,'HOJAS DE HORA PROY.'!$M$2:$M$943,F$113)</f>
        <v>0</v>
      </c>
      <c r="G208" s="8">
        <f>SUMIFS('HOJAS DE HORA PROY.'!$H$2:$H$943,'HOJAS DE HORA PROY.'!$A$2:$A$943,'PLAN MAESTRO FINAL'!$A208,'HOJAS DE HORA PROY.'!$M$2:$M$943,G$113)</f>
        <v>11</v>
      </c>
      <c r="H208" s="8">
        <f>SUMIFS('HOJAS DE HORA PROY.'!$F$2:$F$943,'HOJAS DE HORA PROY.'!$A$2:$A$943,'PLAN MAESTRO FINAL'!$A208,'HOJAS DE HORA PROY.'!$M$2:$M$943,H$113)</f>
        <v>0</v>
      </c>
      <c r="I208" s="8">
        <f>SUMIFS('HOJAS DE HORA PROY.'!$F$2:$F$943,'HOJAS DE HORA PROY.'!$A$2:$A$943,'PLAN MAESTRO FINAL'!$A208,'HOJAS DE HORA PROY.'!$M$2:$M$943,I$113)</f>
        <v>0</v>
      </c>
      <c r="J208" s="8">
        <f>SUMIFS('HOJAS DE HORA PROY.'!$F$2:$F$943,'HOJAS DE HORA PROY.'!$A$2:$A$943,'PLAN MAESTRO FINAL'!$A208,'HOJAS DE HORA PROY.'!$M$2:$M$943,J$113)</f>
        <v>18</v>
      </c>
      <c r="K208" s="8">
        <f>SUMIFS('HOJAS DE HORA PROY.'!$F$2:$F$943,'HOJAS DE HORA PROY.'!$A$2:$A$943,'PLAN MAESTRO FINAL'!$A208,'HOJAS DE HORA PROY.'!$M$2:$M$943,K$113)</f>
        <v>0</v>
      </c>
      <c r="L208" s="8">
        <f>SUMIFS('HOJAS DE HORA PROY.'!$F$2:$F$943,'HOJAS DE HORA PROY.'!$A$2:$A$943,'PLAN MAESTRO FINAL'!$A208,'HOJAS DE HORA PROY.'!$M$2:$M$943,L$113)</f>
        <v>0</v>
      </c>
      <c r="M208" s="8">
        <f>SUMIFS('HOJAS DE HORA PROY.'!$F$2:$F$943,'HOJAS DE HORA PROY.'!$A$2:$A$943,'PLAN MAESTRO FINAL'!$A208,'HOJAS DE HORA PROY.'!$M$2:$M$943,M$113)</f>
        <v>0</v>
      </c>
      <c r="N208" s="8">
        <f>SUMIFS('HOJAS DE HORA PROY.'!$F$2:$F$943,'HOJAS DE HORA PROY.'!$A$2:$A$943,'PLAN MAESTRO FINAL'!$A208,'HOJAS DE HORA PROY.'!$M$2:$M$943,N$113)</f>
        <v>0</v>
      </c>
      <c r="O208" s="8">
        <f>SUMIFS('HOJAS DE HORA PROY.'!$F$2:$F$943,'HOJAS DE HORA PROY.'!$A$2:$A$943,'PLAN MAESTRO FINAL'!$A208,'HOJAS DE HORA PROY.'!$M$2:$M$943,O$113)</f>
        <v>0</v>
      </c>
      <c r="P208" s="8">
        <f>SUMIFS('HOJAS DE HORA PROY.'!$F$2:$F$943,'HOJAS DE HORA PROY.'!$A$2:$A$943,'PLAN MAESTRO FINAL'!$A208,'HOJAS DE HORA PROY.'!$M$2:$M$943,P$113)</f>
        <v>0</v>
      </c>
      <c r="Q208" s="8">
        <f>SUMIFS('HOJAS DE HORA PROY.'!$F$2:$F$943,'HOJAS DE HORA PROY.'!$A$2:$A$943,'PLAN MAESTRO FINAL'!$A208,'HOJAS DE HORA PROY.'!$M$2:$M$943,Q$113)</f>
        <v>0</v>
      </c>
      <c r="R208" s="8">
        <f>SUMIFS('HOJAS DE HORA PROY.'!$F$2:$F$943,'HOJAS DE HORA PROY.'!$A$2:$A$943,'PLAN MAESTRO FINAL'!$A208,'HOJAS DE HORA PROY.'!$M$2:$M$943,R$113)</f>
        <v>0</v>
      </c>
      <c r="S208" s="8">
        <f>SUMIFS('HOJAS DE HORA PROY.'!$F$2:$F$943,'HOJAS DE HORA PROY.'!$A$2:$A$943,'PLAN MAESTRO FINAL'!$A208,'HOJAS DE HORA PROY.'!$M$2:$M$943,S$113)</f>
        <v>0</v>
      </c>
      <c r="T208" s="8">
        <f>SUMIFS('HOJAS DE HORA PROY.'!$F$2:$F$943,'HOJAS DE HORA PROY.'!$A$2:$A$943,'PLAN MAESTRO FINAL'!$A208,'HOJAS DE HORA PROY.'!$M$2:$M$943,T$113)</f>
        <v>0</v>
      </c>
      <c r="U208" s="8">
        <f>SUMIFS('HOJAS DE HORA PROY.'!$F$2:$F$943,'HOJAS DE HORA PROY.'!$A$2:$A$943,'PLAN MAESTRO FINAL'!$A208,'HOJAS DE HORA PROY.'!$M$2:$M$943,U$113)</f>
        <v>0</v>
      </c>
      <c r="V208" s="8">
        <f>SUMIFS('HOJAS DE HORA PROY.'!$F$2:$F$943,'HOJAS DE HORA PROY.'!$A$2:$A$943,'PLAN MAESTRO FINAL'!$A208,'HOJAS DE HORA PROY.'!$M$2:$M$943,V$113)</f>
        <v>0</v>
      </c>
      <c r="W208" s="8">
        <f>SUMIFS('HOJAS DE HORA PROY.'!$F$2:$F$943,'HOJAS DE HORA PROY.'!$A$2:$A$943,'PLAN MAESTRO FINAL'!$A208,'HOJAS DE HORA PROY.'!$M$2:$M$943,W$113)</f>
        <v>0</v>
      </c>
    </row>
    <row r="209" spans="1:23" hidden="1" outlineLevel="1" x14ac:dyDescent="0.3">
      <c r="A209" s="13" t="s">
        <v>553</v>
      </c>
      <c r="B209" s="8">
        <f>SUMIFS('HOJAS DE HORA PROY.'!$H$2:$H$943,'HOJAS DE HORA PROY.'!$A$2:$A$943,'PLAN MAESTRO FINAL'!$A209,'HOJAS DE HORA PROY.'!$M$2:$M$943,B$113)</f>
        <v>0</v>
      </c>
      <c r="C209" s="8">
        <f>SUMIFS('HOJAS DE HORA PROY.'!$H$2:$H$943,'HOJAS DE HORA PROY.'!$A$2:$A$943,'PLAN MAESTRO FINAL'!$A209,'HOJAS DE HORA PROY.'!$M$2:$M$943,C$113)</f>
        <v>0</v>
      </c>
      <c r="D209" s="8">
        <f>SUMIFS('HOJAS DE HORA PROY.'!$H$2:$H$943,'HOJAS DE HORA PROY.'!$A$2:$A$943,'PLAN MAESTRO FINAL'!$A209,'HOJAS DE HORA PROY.'!$M$2:$M$943,D$113)</f>
        <v>0</v>
      </c>
      <c r="E209" s="8">
        <f>SUMIFS('HOJAS DE HORA PROY.'!$H$2:$H$943,'HOJAS DE HORA PROY.'!$A$2:$A$943,'PLAN MAESTRO FINAL'!$A209,'HOJAS DE HORA PROY.'!$M$2:$M$943,E$113)</f>
        <v>0</v>
      </c>
      <c r="F209" s="8">
        <f>SUMIFS('HOJAS DE HORA PROY.'!$H$2:$H$943,'HOJAS DE HORA PROY.'!$A$2:$A$943,'PLAN MAESTRO FINAL'!$A209,'HOJAS DE HORA PROY.'!$M$2:$M$943,F$113)</f>
        <v>0</v>
      </c>
      <c r="G209" s="8">
        <f>SUMIFS('HOJAS DE HORA PROY.'!$H$2:$H$943,'HOJAS DE HORA PROY.'!$A$2:$A$943,'PLAN MAESTRO FINAL'!$A209,'HOJAS DE HORA PROY.'!$M$2:$M$943,G$113)</f>
        <v>4</v>
      </c>
      <c r="H209" s="8">
        <f>SUMIFS('HOJAS DE HORA PROY.'!$F$2:$F$943,'HOJAS DE HORA PROY.'!$A$2:$A$943,'PLAN MAESTRO FINAL'!$A209,'HOJAS DE HORA PROY.'!$M$2:$M$943,H$113)</f>
        <v>0</v>
      </c>
      <c r="I209" s="8">
        <f>SUMIFS('HOJAS DE HORA PROY.'!$F$2:$F$943,'HOJAS DE HORA PROY.'!$A$2:$A$943,'PLAN MAESTRO FINAL'!$A209,'HOJAS DE HORA PROY.'!$M$2:$M$943,I$113)</f>
        <v>0</v>
      </c>
      <c r="J209" s="8">
        <f>SUMIFS('HOJAS DE HORA PROY.'!$F$2:$F$943,'HOJAS DE HORA PROY.'!$A$2:$A$943,'PLAN MAESTRO FINAL'!$A209,'HOJAS DE HORA PROY.'!$M$2:$M$943,J$113)</f>
        <v>0</v>
      </c>
      <c r="K209" s="8">
        <f>SUMIFS('HOJAS DE HORA PROY.'!$F$2:$F$943,'HOJAS DE HORA PROY.'!$A$2:$A$943,'PLAN MAESTRO FINAL'!$A209,'HOJAS DE HORA PROY.'!$M$2:$M$943,K$113)</f>
        <v>0</v>
      </c>
      <c r="L209" s="8">
        <f>SUMIFS('HOJAS DE HORA PROY.'!$F$2:$F$943,'HOJAS DE HORA PROY.'!$A$2:$A$943,'PLAN MAESTRO FINAL'!$A209,'HOJAS DE HORA PROY.'!$M$2:$M$943,L$113)</f>
        <v>0</v>
      </c>
      <c r="M209" s="8">
        <f>SUMIFS('HOJAS DE HORA PROY.'!$F$2:$F$943,'HOJAS DE HORA PROY.'!$A$2:$A$943,'PLAN MAESTRO FINAL'!$A209,'HOJAS DE HORA PROY.'!$M$2:$M$943,M$113)</f>
        <v>0</v>
      </c>
      <c r="N209" s="8">
        <f>SUMIFS('HOJAS DE HORA PROY.'!$F$2:$F$943,'HOJAS DE HORA PROY.'!$A$2:$A$943,'PLAN MAESTRO FINAL'!$A209,'HOJAS DE HORA PROY.'!$M$2:$M$943,N$113)</f>
        <v>0</v>
      </c>
      <c r="O209" s="8">
        <f>SUMIFS('HOJAS DE HORA PROY.'!$F$2:$F$943,'HOJAS DE HORA PROY.'!$A$2:$A$943,'PLAN MAESTRO FINAL'!$A209,'HOJAS DE HORA PROY.'!$M$2:$M$943,O$113)</f>
        <v>0</v>
      </c>
      <c r="P209" s="8">
        <f>SUMIFS('HOJAS DE HORA PROY.'!$F$2:$F$943,'HOJAS DE HORA PROY.'!$A$2:$A$943,'PLAN MAESTRO FINAL'!$A209,'HOJAS DE HORA PROY.'!$M$2:$M$943,P$113)</f>
        <v>0</v>
      </c>
      <c r="Q209" s="8">
        <f>SUMIFS('HOJAS DE HORA PROY.'!$F$2:$F$943,'HOJAS DE HORA PROY.'!$A$2:$A$943,'PLAN MAESTRO FINAL'!$A209,'HOJAS DE HORA PROY.'!$M$2:$M$943,Q$113)</f>
        <v>0</v>
      </c>
      <c r="R209" s="8">
        <f>SUMIFS('HOJAS DE HORA PROY.'!$F$2:$F$943,'HOJAS DE HORA PROY.'!$A$2:$A$943,'PLAN MAESTRO FINAL'!$A209,'HOJAS DE HORA PROY.'!$M$2:$M$943,R$113)</f>
        <v>0</v>
      </c>
      <c r="S209" s="8">
        <f>SUMIFS('HOJAS DE HORA PROY.'!$F$2:$F$943,'HOJAS DE HORA PROY.'!$A$2:$A$943,'PLAN MAESTRO FINAL'!$A209,'HOJAS DE HORA PROY.'!$M$2:$M$943,S$113)</f>
        <v>0</v>
      </c>
      <c r="T209" s="8">
        <f>SUMIFS('HOJAS DE HORA PROY.'!$F$2:$F$943,'HOJAS DE HORA PROY.'!$A$2:$A$943,'PLAN MAESTRO FINAL'!$A209,'HOJAS DE HORA PROY.'!$M$2:$M$943,T$113)</f>
        <v>0</v>
      </c>
      <c r="U209" s="8">
        <f>SUMIFS('HOJAS DE HORA PROY.'!$F$2:$F$943,'HOJAS DE HORA PROY.'!$A$2:$A$943,'PLAN MAESTRO FINAL'!$A209,'HOJAS DE HORA PROY.'!$M$2:$M$943,U$113)</f>
        <v>0</v>
      </c>
      <c r="V209" s="8">
        <f>SUMIFS('HOJAS DE HORA PROY.'!$F$2:$F$943,'HOJAS DE HORA PROY.'!$A$2:$A$943,'PLAN MAESTRO FINAL'!$A209,'HOJAS DE HORA PROY.'!$M$2:$M$943,V$113)</f>
        <v>0</v>
      </c>
      <c r="W209" s="8">
        <f>SUMIFS('HOJAS DE HORA PROY.'!$F$2:$F$943,'HOJAS DE HORA PROY.'!$A$2:$A$943,'PLAN MAESTRO FINAL'!$A209,'HOJAS DE HORA PROY.'!$M$2:$M$943,W$113)</f>
        <v>0</v>
      </c>
    </row>
    <row r="210" spans="1:23" hidden="1" outlineLevel="1" x14ac:dyDescent="0.3">
      <c r="A210" s="13" t="s">
        <v>479</v>
      </c>
      <c r="B210" s="8">
        <f>SUMIFS('HOJAS DE HORA PROY.'!$H$2:$H$943,'HOJAS DE HORA PROY.'!$A$2:$A$943,'PLAN MAESTRO FINAL'!$A210,'HOJAS DE HORA PROY.'!$M$2:$M$943,B$113)</f>
        <v>0</v>
      </c>
      <c r="C210" s="8">
        <f>SUMIFS('HOJAS DE HORA PROY.'!$H$2:$H$943,'HOJAS DE HORA PROY.'!$A$2:$A$943,'PLAN MAESTRO FINAL'!$A210,'HOJAS DE HORA PROY.'!$M$2:$M$943,C$113)</f>
        <v>0</v>
      </c>
      <c r="D210" s="8">
        <f>SUMIFS('HOJAS DE HORA PROY.'!$H$2:$H$943,'HOJAS DE HORA PROY.'!$A$2:$A$943,'PLAN MAESTRO FINAL'!$A210,'HOJAS DE HORA PROY.'!$M$2:$M$943,D$113)</f>
        <v>0</v>
      </c>
      <c r="E210" s="8">
        <f>SUMIFS('HOJAS DE HORA PROY.'!$H$2:$H$943,'HOJAS DE HORA PROY.'!$A$2:$A$943,'PLAN MAESTRO FINAL'!$A210,'HOJAS DE HORA PROY.'!$M$2:$M$943,E$113)</f>
        <v>0</v>
      </c>
      <c r="F210" s="8">
        <f>SUMIFS('HOJAS DE HORA PROY.'!$H$2:$H$943,'HOJAS DE HORA PROY.'!$A$2:$A$943,'PLAN MAESTRO FINAL'!$A210,'HOJAS DE HORA PROY.'!$M$2:$M$943,F$113)</f>
        <v>0</v>
      </c>
      <c r="G210" s="8">
        <f>SUMIFS('HOJAS DE HORA PROY.'!$H$2:$H$943,'HOJAS DE HORA PROY.'!$A$2:$A$943,'PLAN MAESTRO FINAL'!$A210,'HOJAS DE HORA PROY.'!$M$2:$M$943,G$113)</f>
        <v>0</v>
      </c>
      <c r="H210" s="8">
        <f>SUMIFS('HOJAS DE HORA PROY.'!$F$2:$F$943,'HOJAS DE HORA PROY.'!$A$2:$A$943,'PLAN MAESTRO FINAL'!$A210,'HOJAS DE HORA PROY.'!$M$2:$M$943,H$113)</f>
        <v>0</v>
      </c>
      <c r="I210" s="8">
        <f>SUMIFS('HOJAS DE HORA PROY.'!$F$2:$F$943,'HOJAS DE HORA PROY.'!$A$2:$A$943,'PLAN MAESTRO FINAL'!$A210,'HOJAS DE HORA PROY.'!$M$2:$M$943,I$113)</f>
        <v>0</v>
      </c>
      <c r="J210" s="8">
        <f>SUMIFS('HOJAS DE HORA PROY.'!$F$2:$F$943,'HOJAS DE HORA PROY.'!$A$2:$A$943,'PLAN MAESTRO FINAL'!$A210,'HOJAS DE HORA PROY.'!$M$2:$M$943,J$113)</f>
        <v>0</v>
      </c>
      <c r="K210" s="8">
        <f>SUMIFS('HOJAS DE HORA PROY.'!$F$2:$F$943,'HOJAS DE HORA PROY.'!$A$2:$A$943,'PLAN MAESTRO FINAL'!$A210,'HOJAS DE HORA PROY.'!$M$2:$M$943,K$113)</f>
        <v>0</v>
      </c>
      <c r="L210" s="8">
        <f>SUMIFS('HOJAS DE HORA PROY.'!$F$2:$F$943,'HOJAS DE HORA PROY.'!$A$2:$A$943,'PLAN MAESTRO FINAL'!$A210,'HOJAS DE HORA PROY.'!$M$2:$M$943,L$113)</f>
        <v>0</v>
      </c>
      <c r="M210" s="8">
        <f>SUMIFS('HOJAS DE HORA PROY.'!$F$2:$F$943,'HOJAS DE HORA PROY.'!$A$2:$A$943,'PLAN MAESTRO FINAL'!$A210,'HOJAS DE HORA PROY.'!$M$2:$M$943,M$113)</f>
        <v>0</v>
      </c>
      <c r="N210" s="8">
        <f>SUMIFS('HOJAS DE HORA PROY.'!$F$2:$F$943,'HOJAS DE HORA PROY.'!$A$2:$A$943,'PLAN MAESTRO FINAL'!$A210,'HOJAS DE HORA PROY.'!$M$2:$M$943,N$113)</f>
        <v>0</v>
      </c>
      <c r="O210" s="8">
        <f>SUMIFS('HOJAS DE HORA PROY.'!$F$2:$F$943,'HOJAS DE HORA PROY.'!$A$2:$A$943,'PLAN MAESTRO FINAL'!$A210,'HOJAS DE HORA PROY.'!$M$2:$M$943,O$113)</f>
        <v>0</v>
      </c>
      <c r="P210" s="8">
        <f>SUMIFS('HOJAS DE HORA PROY.'!$F$2:$F$943,'HOJAS DE HORA PROY.'!$A$2:$A$943,'PLAN MAESTRO FINAL'!$A210,'HOJAS DE HORA PROY.'!$M$2:$M$943,P$113)</f>
        <v>0</v>
      </c>
      <c r="Q210" s="8">
        <f>SUMIFS('HOJAS DE HORA PROY.'!$F$2:$F$943,'HOJAS DE HORA PROY.'!$A$2:$A$943,'PLAN MAESTRO FINAL'!$A210,'HOJAS DE HORA PROY.'!$M$2:$M$943,Q$113)</f>
        <v>0</v>
      </c>
      <c r="R210" s="8">
        <f>SUMIFS('HOJAS DE HORA PROY.'!$F$2:$F$943,'HOJAS DE HORA PROY.'!$A$2:$A$943,'PLAN MAESTRO FINAL'!$A210,'HOJAS DE HORA PROY.'!$M$2:$M$943,R$113)</f>
        <v>0</v>
      </c>
      <c r="S210" s="8">
        <f>SUMIFS('HOJAS DE HORA PROY.'!$F$2:$F$943,'HOJAS DE HORA PROY.'!$A$2:$A$943,'PLAN MAESTRO FINAL'!$A210,'HOJAS DE HORA PROY.'!$M$2:$M$943,S$113)</f>
        <v>0</v>
      </c>
      <c r="T210" s="8">
        <f>SUMIFS('HOJAS DE HORA PROY.'!$F$2:$F$943,'HOJAS DE HORA PROY.'!$A$2:$A$943,'PLAN MAESTRO FINAL'!$A210,'HOJAS DE HORA PROY.'!$M$2:$M$943,T$113)</f>
        <v>0</v>
      </c>
      <c r="U210" s="8">
        <f>SUMIFS('HOJAS DE HORA PROY.'!$F$2:$F$943,'HOJAS DE HORA PROY.'!$A$2:$A$943,'PLAN MAESTRO FINAL'!$A210,'HOJAS DE HORA PROY.'!$M$2:$M$943,U$113)</f>
        <v>0</v>
      </c>
      <c r="V210" s="8">
        <f>SUMIFS('HOJAS DE HORA PROY.'!$F$2:$F$943,'HOJAS DE HORA PROY.'!$A$2:$A$943,'PLAN MAESTRO FINAL'!$A210,'HOJAS DE HORA PROY.'!$M$2:$M$943,V$113)</f>
        <v>0</v>
      </c>
      <c r="W210" s="8">
        <f>SUMIFS('HOJAS DE HORA PROY.'!$F$2:$F$943,'HOJAS DE HORA PROY.'!$A$2:$A$943,'PLAN MAESTRO FINAL'!$A210,'HOJAS DE HORA PROY.'!$M$2:$M$943,W$113)</f>
        <v>0</v>
      </c>
    </row>
    <row r="211" spans="1:23" hidden="1" outlineLevel="1" x14ac:dyDescent="0.3">
      <c r="A211" s="13" t="s">
        <v>488</v>
      </c>
      <c r="B211" s="8">
        <f>SUMIFS('HOJAS DE HORA PROY.'!$H$2:$H$943,'HOJAS DE HORA PROY.'!$A$2:$A$943,'PLAN MAESTRO FINAL'!$A211,'HOJAS DE HORA PROY.'!$M$2:$M$943,B$113)</f>
        <v>0</v>
      </c>
      <c r="C211" s="8">
        <f>SUMIFS('HOJAS DE HORA PROY.'!$H$2:$H$943,'HOJAS DE HORA PROY.'!$A$2:$A$943,'PLAN MAESTRO FINAL'!$A211,'HOJAS DE HORA PROY.'!$M$2:$M$943,C$113)</f>
        <v>0</v>
      </c>
      <c r="D211" s="8">
        <f>SUMIFS('HOJAS DE HORA PROY.'!$H$2:$H$943,'HOJAS DE HORA PROY.'!$A$2:$A$943,'PLAN MAESTRO FINAL'!$A211,'HOJAS DE HORA PROY.'!$M$2:$M$943,D$113)</f>
        <v>0</v>
      </c>
      <c r="E211" s="8">
        <f>SUMIFS('HOJAS DE HORA PROY.'!$H$2:$H$943,'HOJAS DE HORA PROY.'!$A$2:$A$943,'PLAN MAESTRO FINAL'!$A211,'HOJAS DE HORA PROY.'!$M$2:$M$943,E$113)</f>
        <v>0</v>
      </c>
      <c r="F211" s="8">
        <f>SUMIFS('HOJAS DE HORA PROY.'!$H$2:$H$943,'HOJAS DE HORA PROY.'!$A$2:$A$943,'PLAN MAESTRO FINAL'!$A211,'HOJAS DE HORA PROY.'!$M$2:$M$943,F$113)</f>
        <v>11</v>
      </c>
      <c r="G211" s="8">
        <f>SUMIFS('HOJAS DE HORA PROY.'!$H$2:$H$943,'HOJAS DE HORA PROY.'!$A$2:$A$943,'PLAN MAESTRO FINAL'!$A211,'HOJAS DE HORA PROY.'!$M$2:$M$943,G$113)</f>
        <v>0</v>
      </c>
      <c r="H211" s="8">
        <f>SUMIFS('HOJAS DE HORA PROY.'!$F$2:$F$943,'HOJAS DE HORA PROY.'!$A$2:$A$943,'PLAN MAESTRO FINAL'!$A211,'HOJAS DE HORA PROY.'!$M$2:$M$943,H$113)</f>
        <v>20</v>
      </c>
      <c r="I211" s="8">
        <f>SUMIFS('HOJAS DE HORA PROY.'!$F$2:$F$943,'HOJAS DE HORA PROY.'!$A$2:$A$943,'PLAN MAESTRO FINAL'!$A211,'HOJAS DE HORA PROY.'!$M$2:$M$943,I$113)</f>
        <v>0</v>
      </c>
      <c r="J211" s="8">
        <f>SUMIFS('HOJAS DE HORA PROY.'!$F$2:$F$943,'HOJAS DE HORA PROY.'!$A$2:$A$943,'PLAN MAESTRO FINAL'!$A211,'HOJAS DE HORA PROY.'!$M$2:$M$943,J$113)</f>
        <v>0</v>
      </c>
      <c r="K211" s="8">
        <f>SUMIFS('HOJAS DE HORA PROY.'!$F$2:$F$943,'HOJAS DE HORA PROY.'!$A$2:$A$943,'PLAN MAESTRO FINAL'!$A211,'HOJAS DE HORA PROY.'!$M$2:$M$943,K$113)</f>
        <v>0</v>
      </c>
      <c r="L211" s="8">
        <f>SUMIFS('HOJAS DE HORA PROY.'!$F$2:$F$943,'HOJAS DE HORA PROY.'!$A$2:$A$943,'PLAN MAESTRO FINAL'!$A211,'HOJAS DE HORA PROY.'!$M$2:$M$943,L$113)</f>
        <v>0</v>
      </c>
      <c r="M211" s="8">
        <f>SUMIFS('HOJAS DE HORA PROY.'!$F$2:$F$943,'HOJAS DE HORA PROY.'!$A$2:$A$943,'PLAN MAESTRO FINAL'!$A211,'HOJAS DE HORA PROY.'!$M$2:$M$943,M$113)</f>
        <v>0</v>
      </c>
      <c r="N211" s="8">
        <f>SUMIFS('HOJAS DE HORA PROY.'!$F$2:$F$943,'HOJAS DE HORA PROY.'!$A$2:$A$943,'PLAN MAESTRO FINAL'!$A211,'HOJAS DE HORA PROY.'!$M$2:$M$943,N$113)</f>
        <v>0</v>
      </c>
      <c r="O211" s="8">
        <f>SUMIFS('HOJAS DE HORA PROY.'!$F$2:$F$943,'HOJAS DE HORA PROY.'!$A$2:$A$943,'PLAN MAESTRO FINAL'!$A211,'HOJAS DE HORA PROY.'!$M$2:$M$943,O$113)</f>
        <v>0</v>
      </c>
      <c r="P211" s="8">
        <f>SUMIFS('HOJAS DE HORA PROY.'!$F$2:$F$943,'HOJAS DE HORA PROY.'!$A$2:$A$943,'PLAN MAESTRO FINAL'!$A211,'HOJAS DE HORA PROY.'!$M$2:$M$943,P$113)</f>
        <v>0</v>
      </c>
      <c r="Q211" s="8">
        <f>SUMIFS('HOJAS DE HORA PROY.'!$F$2:$F$943,'HOJAS DE HORA PROY.'!$A$2:$A$943,'PLAN MAESTRO FINAL'!$A211,'HOJAS DE HORA PROY.'!$M$2:$M$943,Q$113)</f>
        <v>0</v>
      </c>
      <c r="R211" s="8">
        <f>SUMIFS('HOJAS DE HORA PROY.'!$F$2:$F$943,'HOJAS DE HORA PROY.'!$A$2:$A$943,'PLAN MAESTRO FINAL'!$A211,'HOJAS DE HORA PROY.'!$M$2:$M$943,R$113)</f>
        <v>0</v>
      </c>
      <c r="S211" s="8">
        <f>SUMIFS('HOJAS DE HORA PROY.'!$F$2:$F$943,'HOJAS DE HORA PROY.'!$A$2:$A$943,'PLAN MAESTRO FINAL'!$A211,'HOJAS DE HORA PROY.'!$M$2:$M$943,S$113)</f>
        <v>0</v>
      </c>
      <c r="T211" s="8">
        <f>SUMIFS('HOJAS DE HORA PROY.'!$F$2:$F$943,'HOJAS DE HORA PROY.'!$A$2:$A$943,'PLAN MAESTRO FINAL'!$A211,'HOJAS DE HORA PROY.'!$M$2:$M$943,T$113)</f>
        <v>0</v>
      </c>
      <c r="U211" s="8">
        <f>SUMIFS('HOJAS DE HORA PROY.'!$F$2:$F$943,'HOJAS DE HORA PROY.'!$A$2:$A$943,'PLAN MAESTRO FINAL'!$A211,'HOJAS DE HORA PROY.'!$M$2:$M$943,U$113)</f>
        <v>0</v>
      </c>
      <c r="V211" s="8">
        <f>SUMIFS('HOJAS DE HORA PROY.'!$F$2:$F$943,'HOJAS DE HORA PROY.'!$A$2:$A$943,'PLAN MAESTRO FINAL'!$A211,'HOJAS DE HORA PROY.'!$M$2:$M$943,V$113)</f>
        <v>0</v>
      </c>
      <c r="W211" s="8">
        <f>SUMIFS('HOJAS DE HORA PROY.'!$F$2:$F$943,'HOJAS DE HORA PROY.'!$A$2:$A$943,'PLAN MAESTRO FINAL'!$A211,'HOJAS DE HORA PROY.'!$M$2:$M$943,W$113)</f>
        <v>0</v>
      </c>
    </row>
    <row r="212" spans="1:23" hidden="1" outlineLevel="1" x14ac:dyDescent="0.3">
      <c r="A212" s="13" t="s">
        <v>492</v>
      </c>
      <c r="B212" s="8">
        <f>SUMIFS('HOJAS DE HORA PROY.'!$H$2:$H$943,'HOJAS DE HORA PROY.'!$A$2:$A$943,'PLAN MAESTRO FINAL'!$A212,'HOJAS DE HORA PROY.'!$M$2:$M$943,B$113)</f>
        <v>0</v>
      </c>
      <c r="C212" s="8">
        <f>SUMIFS('HOJAS DE HORA PROY.'!$H$2:$H$943,'HOJAS DE HORA PROY.'!$A$2:$A$943,'PLAN MAESTRO FINAL'!$A212,'HOJAS DE HORA PROY.'!$M$2:$M$943,C$113)</f>
        <v>0</v>
      </c>
      <c r="D212" s="8">
        <f>SUMIFS('HOJAS DE HORA PROY.'!$H$2:$H$943,'HOJAS DE HORA PROY.'!$A$2:$A$943,'PLAN MAESTRO FINAL'!$A212,'HOJAS DE HORA PROY.'!$M$2:$M$943,D$113)</f>
        <v>0</v>
      </c>
      <c r="E212" s="8">
        <f>SUMIFS('HOJAS DE HORA PROY.'!$H$2:$H$943,'HOJAS DE HORA PROY.'!$A$2:$A$943,'PLAN MAESTRO FINAL'!$A212,'HOJAS DE HORA PROY.'!$M$2:$M$943,E$113)</f>
        <v>0</v>
      </c>
      <c r="F212" s="8">
        <f>SUMIFS('HOJAS DE HORA PROY.'!$H$2:$H$943,'HOJAS DE HORA PROY.'!$A$2:$A$943,'PLAN MAESTRO FINAL'!$A212,'HOJAS DE HORA PROY.'!$M$2:$M$943,F$113)</f>
        <v>0</v>
      </c>
      <c r="G212" s="8">
        <f>SUMIFS('HOJAS DE HORA PROY.'!$H$2:$H$943,'HOJAS DE HORA PROY.'!$A$2:$A$943,'PLAN MAESTRO FINAL'!$A212,'HOJAS DE HORA PROY.'!$M$2:$M$943,G$113)</f>
        <v>0</v>
      </c>
      <c r="H212" s="8">
        <f>SUMIFS('HOJAS DE HORA PROY.'!$F$2:$F$943,'HOJAS DE HORA PROY.'!$A$2:$A$943,'PLAN MAESTRO FINAL'!$A212,'HOJAS DE HORA PROY.'!$M$2:$M$943,H$113)</f>
        <v>0</v>
      </c>
      <c r="I212" s="8">
        <f>SUMIFS('HOJAS DE HORA PROY.'!$F$2:$F$943,'HOJAS DE HORA PROY.'!$A$2:$A$943,'PLAN MAESTRO FINAL'!$A212,'HOJAS DE HORA PROY.'!$M$2:$M$943,I$113)</f>
        <v>0</v>
      </c>
      <c r="J212" s="8">
        <f>SUMIFS('HOJAS DE HORA PROY.'!$F$2:$F$943,'HOJAS DE HORA PROY.'!$A$2:$A$943,'PLAN MAESTRO FINAL'!$A212,'HOJAS DE HORA PROY.'!$M$2:$M$943,J$113)</f>
        <v>0</v>
      </c>
      <c r="K212" s="8">
        <f>SUMIFS('HOJAS DE HORA PROY.'!$F$2:$F$943,'HOJAS DE HORA PROY.'!$A$2:$A$943,'PLAN MAESTRO FINAL'!$A212,'HOJAS DE HORA PROY.'!$M$2:$M$943,K$113)</f>
        <v>0</v>
      </c>
      <c r="L212" s="8">
        <f>SUMIFS('HOJAS DE HORA PROY.'!$F$2:$F$943,'HOJAS DE HORA PROY.'!$A$2:$A$943,'PLAN MAESTRO FINAL'!$A212,'HOJAS DE HORA PROY.'!$M$2:$M$943,L$113)</f>
        <v>0</v>
      </c>
      <c r="M212" s="8">
        <f>SUMIFS('HOJAS DE HORA PROY.'!$F$2:$F$943,'HOJAS DE HORA PROY.'!$A$2:$A$943,'PLAN MAESTRO FINAL'!$A212,'HOJAS DE HORA PROY.'!$M$2:$M$943,M$113)</f>
        <v>0</v>
      </c>
      <c r="N212" s="8">
        <f>SUMIFS('HOJAS DE HORA PROY.'!$F$2:$F$943,'HOJAS DE HORA PROY.'!$A$2:$A$943,'PLAN MAESTRO FINAL'!$A212,'HOJAS DE HORA PROY.'!$M$2:$M$943,N$113)</f>
        <v>0</v>
      </c>
      <c r="O212" s="8">
        <f>SUMIFS('HOJAS DE HORA PROY.'!$F$2:$F$943,'HOJAS DE HORA PROY.'!$A$2:$A$943,'PLAN MAESTRO FINAL'!$A212,'HOJAS DE HORA PROY.'!$M$2:$M$943,O$113)</f>
        <v>0</v>
      </c>
      <c r="P212" s="8">
        <f>SUMIFS('HOJAS DE HORA PROY.'!$F$2:$F$943,'HOJAS DE HORA PROY.'!$A$2:$A$943,'PLAN MAESTRO FINAL'!$A212,'HOJAS DE HORA PROY.'!$M$2:$M$943,P$113)</f>
        <v>0</v>
      </c>
      <c r="Q212" s="8">
        <f>SUMIFS('HOJAS DE HORA PROY.'!$F$2:$F$943,'HOJAS DE HORA PROY.'!$A$2:$A$943,'PLAN MAESTRO FINAL'!$A212,'HOJAS DE HORA PROY.'!$M$2:$M$943,Q$113)</f>
        <v>0</v>
      </c>
      <c r="R212" s="8">
        <f>SUMIFS('HOJAS DE HORA PROY.'!$F$2:$F$943,'HOJAS DE HORA PROY.'!$A$2:$A$943,'PLAN MAESTRO FINAL'!$A212,'HOJAS DE HORA PROY.'!$M$2:$M$943,R$113)</f>
        <v>0</v>
      </c>
      <c r="S212" s="8">
        <f>SUMIFS('HOJAS DE HORA PROY.'!$F$2:$F$943,'HOJAS DE HORA PROY.'!$A$2:$A$943,'PLAN MAESTRO FINAL'!$A212,'HOJAS DE HORA PROY.'!$M$2:$M$943,S$113)</f>
        <v>0</v>
      </c>
      <c r="T212" s="8">
        <f>SUMIFS('HOJAS DE HORA PROY.'!$F$2:$F$943,'HOJAS DE HORA PROY.'!$A$2:$A$943,'PLAN MAESTRO FINAL'!$A212,'HOJAS DE HORA PROY.'!$M$2:$M$943,T$113)</f>
        <v>0</v>
      </c>
      <c r="U212" s="8">
        <f>SUMIFS('HOJAS DE HORA PROY.'!$F$2:$F$943,'HOJAS DE HORA PROY.'!$A$2:$A$943,'PLAN MAESTRO FINAL'!$A212,'HOJAS DE HORA PROY.'!$M$2:$M$943,U$113)</f>
        <v>0</v>
      </c>
      <c r="V212" s="8">
        <f>SUMIFS('HOJAS DE HORA PROY.'!$F$2:$F$943,'HOJAS DE HORA PROY.'!$A$2:$A$943,'PLAN MAESTRO FINAL'!$A212,'HOJAS DE HORA PROY.'!$M$2:$M$943,V$113)</f>
        <v>0</v>
      </c>
      <c r="W212" s="8">
        <f>SUMIFS('HOJAS DE HORA PROY.'!$F$2:$F$943,'HOJAS DE HORA PROY.'!$A$2:$A$943,'PLAN MAESTRO FINAL'!$A212,'HOJAS DE HORA PROY.'!$M$2:$M$943,W$113)</f>
        <v>0</v>
      </c>
    </row>
    <row r="213" spans="1:23" hidden="1" outlineLevel="1" x14ac:dyDescent="0.3">
      <c r="A213" s="13" t="s">
        <v>507</v>
      </c>
      <c r="B213" s="8">
        <f>SUMIFS('HOJAS DE HORA PROY.'!$H$2:$H$943,'HOJAS DE HORA PROY.'!$A$2:$A$943,'PLAN MAESTRO FINAL'!$A213,'HOJAS DE HORA PROY.'!$M$2:$M$943,B$113)</f>
        <v>0</v>
      </c>
      <c r="C213" s="8">
        <f>SUMIFS('HOJAS DE HORA PROY.'!$H$2:$H$943,'HOJAS DE HORA PROY.'!$A$2:$A$943,'PLAN MAESTRO FINAL'!$A213,'HOJAS DE HORA PROY.'!$M$2:$M$943,C$113)</f>
        <v>0</v>
      </c>
      <c r="D213" s="8">
        <f>SUMIFS('HOJAS DE HORA PROY.'!$H$2:$H$943,'HOJAS DE HORA PROY.'!$A$2:$A$943,'PLAN MAESTRO FINAL'!$A213,'HOJAS DE HORA PROY.'!$M$2:$M$943,D$113)</f>
        <v>0</v>
      </c>
      <c r="E213" s="8">
        <f>SUMIFS('HOJAS DE HORA PROY.'!$H$2:$H$943,'HOJAS DE HORA PROY.'!$A$2:$A$943,'PLAN MAESTRO FINAL'!$A213,'HOJAS DE HORA PROY.'!$M$2:$M$943,E$113)</f>
        <v>0</v>
      </c>
      <c r="F213" s="8">
        <f>SUMIFS('HOJAS DE HORA PROY.'!$H$2:$H$943,'HOJAS DE HORA PROY.'!$A$2:$A$943,'PLAN MAESTRO FINAL'!$A213,'HOJAS DE HORA PROY.'!$M$2:$M$943,F$113)</f>
        <v>0</v>
      </c>
      <c r="G213" s="8">
        <f>SUMIFS('HOJAS DE HORA PROY.'!$H$2:$H$943,'HOJAS DE HORA PROY.'!$A$2:$A$943,'PLAN MAESTRO FINAL'!$A213,'HOJAS DE HORA PROY.'!$M$2:$M$943,G$113)</f>
        <v>0</v>
      </c>
      <c r="H213" s="8">
        <f>SUMIFS('HOJAS DE HORA PROY.'!$F$2:$F$943,'HOJAS DE HORA PROY.'!$A$2:$A$943,'PLAN MAESTRO FINAL'!$A213,'HOJAS DE HORA PROY.'!$M$2:$M$943,H$113)</f>
        <v>0</v>
      </c>
      <c r="I213" s="8">
        <f>SUMIFS('HOJAS DE HORA PROY.'!$F$2:$F$943,'HOJAS DE HORA PROY.'!$A$2:$A$943,'PLAN MAESTRO FINAL'!$A213,'HOJAS DE HORA PROY.'!$M$2:$M$943,I$113)</f>
        <v>0</v>
      </c>
      <c r="J213" s="8">
        <f>SUMIFS('HOJAS DE HORA PROY.'!$F$2:$F$943,'HOJAS DE HORA PROY.'!$A$2:$A$943,'PLAN MAESTRO FINAL'!$A213,'HOJAS DE HORA PROY.'!$M$2:$M$943,J$113)</f>
        <v>0</v>
      </c>
      <c r="K213" s="8">
        <f>SUMIFS('HOJAS DE HORA PROY.'!$F$2:$F$943,'HOJAS DE HORA PROY.'!$A$2:$A$943,'PLAN MAESTRO FINAL'!$A213,'HOJAS DE HORA PROY.'!$M$2:$M$943,K$113)</f>
        <v>0</v>
      </c>
      <c r="L213" s="8">
        <f>SUMIFS('HOJAS DE HORA PROY.'!$F$2:$F$943,'HOJAS DE HORA PROY.'!$A$2:$A$943,'PLAN MAESTRO FINAL'!$A213,'HOJAS DE HORA PROY.'!$M$2:$M$943,L$113)</f>
        <v>0</v>
      </c>
      <c r="M213" s="8">
        <f>SUMIFS('HOJAS DE HORA PROY.'!$F$2:$F$943,'HOJAS DE HORA PROY.'!$A$2:$A$943,'PLAN MAESTRO FINAL'!$A213,'HOJAS DE HORA PROY.'!$M$2:$M$943,M$113)</f>
        <v>0</v>
      </c>
      <c r="N213" s="8">
        <f>SUMIFS('HOJAS DE HORA PROY.'!$F$2:$F$943,'HOJAS DE HORA PROY.'!$A$2:$A$943,'PLAN MAESTRO FINAL'!$A213,'HOJAS DE HORA PROY.'!$M$2:$M$943,N$113)</f>
        <v>0</v>
      </c>
      <c r="O213" s="8">
        <f>SUMIFS('HOJAS DE HORA PROY.'!$F$2:$F$943,'HOJAS DE HORA PROY.'!$A$2:$A$943,'PLAN MAESTRO FINAL'!$A213,'HOJAS DE HORA PROY.'!$M$2:$M$943,O$113)</f>
        <v>0</v>
      </c>
      <c r="P213" s="8">
        <f>SUMIFS('HOJAS DE HORA PROY.'!$F$2:$F$943,'HOJAS DE HORA PROY.'!$A$2:$A$943,'PLAN MAESTRO FINAL'!$A213,'HOJAS DE HORA PROY.'!$M$2:$M$943,P$113)</f>
        <v>0</v>
      </c>
      <c r="Q213" s="8">
        <f>SUMIFS('HOJAS DE HORA PROY.'!$F$2:$F$943,'HOJAS DE HORA PROY.'!$A$2:$A$943,'PLAN MAESTRO FINAL'!$A213,'HOJAS DE HORA PROY.'!$M$2:$M$943,Q$113)</f>
        <v>0</v>
      </c>
      <c r="R213" s="8">
        <f>SUMIFS('HOJAS DE HORA PROY.'!$F$2:$F$943,'HOJAS DE HORA PROY.'!$A$2:$A$943,'PLAN MAESTRO FINAL'!$A213,'HOJAS DE HORA PROY.'!$M$2:$M$943,R$113)</f>
        <v>0</v>
      </c>
      <c r="S213" s="8">
        <f>SUMIFS('HOJAS DE HORA PROY.'!$F$2:$F$943,'HOJAS DE HORA PROY.'!$A$2:$A$943,'PLAN MAESTRO FINAL'!$A213,'HOJAS DE HORA PROY.'!$M$2:$M$943,S$113)</f>
        <v>0</v>
      </c>
      <c r="T213" s="8">
        <f>SUMIFS('HOJAS DE HORA PROY.'!$F$2:$F$943,'HOJAS DE HORA PROY.'!$A$2:$A$943,'PLAN MAESTRO FINAL'!$A213,'HOJAS DE HORA PROY.'!$M$2:$M$943,T$113)</f>
        <v>0</v>
      </c>
      <c r="U213" s="8">
        <f>SUMIFS('HOJAS DE HORA PROY.'!$F$2:$F$943,'HOJAS DE HORA PROY.'!$A$2:$A$943,'PLAN MAESTRO FINAL'!$A213,'HOJAS DE HORA PROY.'!$M$2:$M$943,U$113)</f>
        <v>0</v>
      </c>
      <c r="V213" s="8">
        <f>SUMIFS('HOJAS DE HORA PROY.'!$F$2:$F$943,'HOJAS DE HORA PROY.'!$A$2:$A$943,'PLAN MAESTRO FINAL'!$A213,'HOJAS DE HORA PROY.'!$M$2:$M$943,V$113)</f>
        <v>0</v>
      </c>
      <c r="W213" s="8">
        <f>SUMIFS('HOJAS DE HORA PROY.'!$F$2:$F$943,'HOJAS DE HORA PROY.'!$A$2:$A$943,'PLAN MAESTRO FINAL'!$A213,'HOJAS DE HORA PROY.'!$M$2:$M$943,W$113)</f>
        <v>0</v>
      </c>
    </row>
    <row r="214" spans="1:23" hidden="1" outlineLevel="1" x14ac:dyDescent="0.3">
      <c r="A214" s="13" t="s">
        <v>517</v>
      </c>
      <c r="B214" s="8">
        <f>SUMIFS('HOJAS DE HORA PROY.'!$H$2:$H$943,'HOJAS DE HORA PROY.'!$A$2:$A$943,'PLAN MAESTRO FINAL'!$A214,'HOJAS DE HORA PROY.'!$M$2:$M$943,B$113)</f>
        <v>0</v>
      </c>
      <c r="C214" s="8">
        <f>SUMIFS('HOJAS DE HORA PROY.'!$H$2:$H$943,'HOJAS DE HORA PROY.'!$A$2:$A$943,'PLAN MAESTRO FINAL'!$A214,'HOJAS DE HORA PROY.'!$M$2:$M$943,C$113)</f>
        <v>0</v>
      </c>
      <c r="D214" s="8">
        <f>SUMIFS('HOJAS DE HORA PROY.'!$H$2:$H$943,'HOJAS DE HORA PROY.'!$A$2:$A$943,'PLAN MAESTRO FINAL'!$A214,'HOJAS DE HORA PROY.'!$M$2:$M$943,D$113)</f>
        <v>0</v>
      </c>
      <c r="E214" s="8">
        <f>SUMIFS('HOJAS DE HORA PROY.'!$H$2:$H$943,'HOJAS DE HORA PROY.'!$A$2:$A$943,'PLAN MAESTRO FINAL'!$A214,'HOJAS DE HORA PROY.'!$M$2:$M$943,E$113)</f>
        <v>0</v>
      </c>
      <c r="F214" s="8">
        <f>SUMIFS('HOJAS DE HORA PROY.'!$H$2:$H$943,'HOJAS DE HORA PROY.'!$A$2:$A$943,'PLAN MAESTRO FINAL'!$A214,'HOJAS DE HORA PROY.'!$M$2:$M$943,F$113)</f>
        <v>0</v>
      </c>
      <c r="G214" s="8">
        <f>SUMIFS('HOJAS DE HORA PROY.'!$H$2:$H$943,'HOJAS DE HORA PROY.'!$A$2:$A$943,'PLAN MAESTRO FINAL'!$A214,'HOJAS DE HORA PROY.'!$M$2:$M$943,G$113)</f>
        <v>0</v>
      </c>
      <c r="H214" s="8">
        <f>SUMIFS('HOJAS DE HORA PROY.'!$F$2:$F$943,'HOJAS DE HORA PROY.'!$A$2:$A$943,'PLAN MAESTRO FINAL'!$A214,'HOJAS DE HORA PROY.'!$M$2:$M$943,H$113)</f>
        <v>0</v>
      </c>
      <c r="I214" s="8">
        <f>SUMIFS('HOJAS DE HORA PROY.'!$F$2:$F$943,'HOJAS DE HORA PROY.'!$A$2:$A$943,'PLAN MAESTRO FINAL'!$A214,'HOJAS DE HORA PROY.'!$M$2:$M$943,I$113)</f>
        <v>0</v>
      </c>
      <c r="J214" s="8">
        <f>SUMIFS('HOJAS DE HORA PROY.'!$F$2:$F$943,'HOJAS DE HORA PROY.'!$A$2:$A$943,'PLAN MAESTRO FINAL'!$A214,'HOJAS DE HORA PROY.'!$M$2:$M$943,J$113)</f>
        <v>0</v>
      </c>
      <c r="K214" s="8">
        <f>SUMIFS('HOJAS DE HORA PROY.'!$F$2:$F$943,'HOJAS DE HORA PROY.'!$A$2:$A$943,'PLAN MAESTRO FINAL'!$A214,'HOJAS DE HORA PROY.'!$M$2:$M$943,K$113)</f>
        <v>0</v>
      </c>
      <c r="L214" s="8">
        <f>SUMIFS('HOJAS DE HORA PROY.'!$F$2:$F$943,'HOJAS DE HORA PROY.'!$A$2:$A$943,'PLAN MAESTRO FINAL'!$A214,'HOJAS DE HORA PROY.'!$M$2:$M$943,L$113)</f>
        <v>0</v>
      </c>
      <c r="M214" s="8">
        <f>SUMIFS('HOJAS DE HORA PROY.'!$F$2:$F$943,'HOJAS DE HORA PROY.'!$A$2:$A$943,'PLAN MAESTRO FINAL'!$A214,'HOJAS DE HORA PROY.'!$M$2:$M$943,M$113)</f>
        <v>0</v>
      </c>
      <c r="N214" s="8">
        <f>SUMIFS('HOJAS DE HORA PROY.'!$F$2:$F$943,'HOJAS DE HORA PROY.'!$A$2:$A$943,'PLAN MAESTRO FINAL'!$A214,'HOJAS DE HORA PROY.'!$M$2:$M$943,N$113)</f>
        <v>0</v>
      </c>
      <c r="O214" s="8">
        <f>SUMIFS('HOJAS DE HORA PROY.'!$F$2:$F$943,'HOJAS DE HORA PROY.'!$A$2:$A$943,'PLAN MAESTRO FINAL'!$A214,'HOJAS DE HORA PROY.'!$M$2:$M$943,O$113)</f>
        <v>0</v>
      </c>
      <c r="P214" s="8">
        <f>SUMIFS('HOJAS DE HORA PROY.'!$F$2:$F$943,'HOJAS DE HORA PROY.'!$A$2:$A$943,'PLAN MAESTRO FINAL'!$A214,'HOJAS DE HORA PROY.'!$M$2:$M$943,P$113)</f>
        <v>0</v>
      </c>
      <c r="Q214" s="8">
        <f>SUMIFS('HOJAS DE HORA PROY.'!$F$2:$F$943,'HOJAS DE HORA PROY.'!$A$2:$A$943,'PLAN MAESTRO FINAL'!$A214,'HOJAS DE HORA PROY.'!$M$2:$M$943,Q$113)</f>
        <v>0</v>
      </c>
      <c r="R214" s="8">
        <f>SUMIFS('HOJAS DE HORA PROY.'!$F$2:$F$943,'HOJAS DE HORA PROY.'!$A$2:$A$943,'PLAN MAESTRO FINAL'!$A214,'HOJAS DE HORA PROY.'!$M$2:$M$943,R$113)</f>
        <v>0</v>
      </c>
      <c r="S214" s="8">
        <f>SUMIFS('HOJAS DE HORA PROY.'!$F$2:$F$943,'HOJAS DE HORA PROY.'!$A$2:$A$943,'PLAN MAESTRO FINAL'!$A214,'HOJAS DE HORA PROY.'!$M$2:$M$943,S$113)</f>
        <v>0</v>
      </c>
      <c r="T214" s="8">
        <f>SUMIFS('HOJAS DE HORA PROY.'!$F$2:$F$943,'HOJAS DE HORA PROY.'!$A$2:$A$943,'PLAN MAESTRO FINAL'!$A214,'HOJAS DE HORA PROY.'!$M$2:$M$943,T$113)</f>
        <v>0</v>
      </c>
      <c r="U214" s="8">
        <f>SUMIFS('HOJAS DE HORA PROY.'!$F$2:$F$943,'HOJAS DE HORA PROY.'!$A$2:$A$943,'PLAN MAESTRO FINAL'!$A214,'HOJAS DE HORA PROY.'!$M$2:$M$943,U$113)</f>
        <v>0</v>
      </c>
      <c r="V214" s="8">
        <f>SUMIFS('HOJAS DE HORA PROY.'!$F$2:$F$943,'HOJAS DE HORA PROY.'!$A$2:$A$943,'PLAN MAESTRO FINAL'!$A214,'HOJAS DE HORA PROY.'!$M$2:$M$943,V$113)</f>
        <v>0</v>
      </c>
      <c r="W214" s="8">
        <f>SUMIFS('HOJAS DE HORA PROY.'!$F$2:$F$943,'HOJAS DE HORA PROY.'!$A$2:$A$943,'PLAN MAESTRO FINAL'!$A214,'HOJAS DE HORA PROY.'!$M$2:$M$943,W$113)</f>
        <v>0</v>
      </c>
    </row>
    <row r="215" spans="1:23" hidden="1" outlineLevel="1" x14ac:dyDescent="0.3">
      <c r="A215" s="13" t="s">
        <v>520</v>
      </c>
      <c r="B215" s="8">
        <f>SUMIFS('HOJAS DE HORA PROY.'!$H$2:$H$943,'HOJAS DE HORA PROY.'!$A$2:$A$943,'PLAN MAESTRO FINAL'!$A215,'HOJAS DE HORA PROY.'!$M$2:$M$943,B$113)</f>
        <v>0</v>
      </c>
      <c r="C215" s="8">
        <f>SUMIFS('HOJAS DE HORA PROY.'!$H$2:$H$943,'HOJAS DE HORA PROY.'!$A$2:$A$943,'PLAN MAESTRO FINAL'!$A215,'HOJAS DE HORA PROY.'!$M$2:$M$943,C$113)</f>
        <v>0</v>
      </c>
      <c r="D215" s="8">
        <f>SUMIFS('HOJAS DE HORA PROY.'!$H$2:$H$943,'HOJAS DE HORA PROY.'!$A$2:$A$943,'PLAN MAESTRO FINAL'!$A215,'HOJAS DE HORA PROY.'!$M$2:$M$943,D$113)</f>
        <v>0</v>
      </c>
      <c r="E215" s="8">
        <f>SUMIFS('HOJAS DE HORA PROY.'!$H$2:$H$943,'HOJAS DE HORA PROY.'!$A$2:$A$943,'PLAN MAESTRO FINAL'!$A215,'HOJAS DE HORA PROY.'!$M$2:$M$943,E$113)</f>
        <v>0</v>
      </c>
      <c r="F215" s="8">
        <f>SUMIFS('HOJAS DE HORA PROY.'!$H$2:$H$943,'HOJAS DE HORA PROY.'!$A$2:$A$943,'PLAN MAESTRO FINAL'!$A215,'HOJAS DE HORA PROY.'!$M$2:$M$943,F$113)</f>
        <v>0</v>
      </c>
      <c r="G215" s="8">
        <f>SUMIFS('HOJAS DE HORA PROY.'!$H$2:$H$943,'HOJAS DE HORA PROY.'!$A$2:$A$943,'PLAN MAESTRO FINAL'!$A215,'HOJAS DE HORA PROY.'!$M$2:$M$943,G$113)</f>
        <v>0</v>
      </c>
      <c r="H215" s="8">
        <f>SUMIFS('HOJAS DE HORA PROY.'!$F$2:$F$943,'HOJAS DE HORA PROY.'!$A$2:$A$943,'PLAN MAESTRO FINAL'!$A215,'HOJAS DE HORA PROY.'!$M$2:$M$943,H$113)</f>
        <v>0</v>
      </c>
      <c r="I215" s="8">
        <f>SUMIFS('HOJAS DE HORA PROY.'!$F$2:$F$943,'HOJAS DE HORA PROY.'!$A$2:$A$943,'PLAN MAESTRO FINAL'!$A215,'HOJAS DE HORA PROY.'!$M$2:$M$943,I$113)</f>
        <v>0</v>
      </c>
      <c r="J215" s="8">
        <f>SUMIFS('HOJAS DE HORA PROY.'!$F$2:$F$943,'HOJAS DE HORA PROY.'!$A$2:$A$943,'PLAN MAESTRO FINAL'!$A215,'HOJAS DE HORA PROY.'!$M$2:$M$943,J$113)</f>
        <v>0</v>
      </c>
      <c r="K215" s="8">
        <f>SUMIFS('HOJAS DE HORA PROY.'!$F$2:$F$943,'HOJAS DE HORA PROY.'!$A$2:$A$943,'PLAN MAESTRO FINAL'!$A215,'HOJAS DE HORA PROY.'!$M$2:$M$943,K$113)</f>
        <v>0</v>
      </c>
      <c r="L215" s="8">
        <f>SUMIFS('HOJAS DE HORA PROY.'!$F$2:$F$943,'HOJAS DE HORA PROY.'!$A$2:$A$943,'PLAN MAESTRO FINAL'!$A215,'HOJAS DE HORA PROY.'!$M$2:$M$943,L$113)</f>
        <v>0</v>
      </c>
      <c r="M215" s="8">
        <f>SUMIFS('HOJAS DE HORA PROY.'!$F$2:$F$943,'HOJAS DE HORA PROY.'!$A$2:$A$943,'PLAN MAESTRO FINAL'!$A215,'HOJAS DE HORA PROY.'!$M$2:$M$943,M$113)</f>
        <v>0</v>
      </c>
      <c r="N215" s="8">
        <f>SUMIFS('HOJAS DE HORA PROY.'!$F$2:$F$943,'HOJAS DE HORA PROY.'!$A$2:$A$943,'PLAN MAESTRO FINAL'!$A215,'HOJAS DE HORA PROY.'!$M$2:$M$943,N$113)</f>
        <v>0</v>
      </c>
      <c r="O215" s="8">
        <f>SUMIFS('HOJAS DE HORA PROY.'!$F$2:$F$943,'HOJAS DE HORA PROY.'!$A$2:$A$943,'PLAN MAESTRO FINAL'!$A215,'HOJAS DE HORA PROY.'!$M$2:$M$943,O$113)</f>
        <v>0</v>
      </c>
      <c r="P215" s="8">
        <f>SUMIFS('HOJAS DE HORA PROY.'!$F$2:$F$943,'HOJAS DE HORA PROY.'!$A$2:$A$943,'PLAN MAESTRO FINAL'!$A215,'HOJAS DE HORA PROY.'!$M$2:$M$943,P$113)</f>
        <v>0</v>
      </c>
      <c r="Q215" s="8">
        <f>SUMIFS('HOJAS DE HORA PROY.'!$F$2:$F$943,'HOJAS DE HORA PROY.'!$A$2:$A$943,'PLAN MAESTRO FINAL'!$A215,'HOJAS DE HORA PROY.'!$M$2:$M$943,Q$113)</f>
        <v>0</v>
      </c>
      <c r="R215" s="8">
        <f>SUMIFS('HOJAS DE HORA PROY.'!$F$2:$F$943,'HOJAS DE HORA PROY.'!$A$2:$A$943,'PLAN MAESTRO FINAL'!$A215,'HOJAS DE HORA PROY.'!$M$2:$M$943,R$113)</f>
        <v>0</v>
      </c>
      <c r="S215" s="8">
        <f>SUMIFS('HOJAS DE HORA PROY.'!$F$2:$F$943,'HOJAS DE HORA PROY.'!$A$2:$A$943,'PLAN MAESTRO FINAL'!$A215,'HOJAS DE HORA PROY.'!$M$2:$M$943,S$113)</f>
        <v>0</v>
      </c>
      <c r="T215" s="8">
        <f>SUMIFS('HOJAS DE HORA PROY.'!$F$2:$F$943,'HOJAS DE HORA PROY.'!$A$2:$A$943,'PLAN MAESTRO FINAL'!$A215,'HOJAS DE HORA PROY.'!$M$2:$M$943,T$113)</f>
        <v>0</v>
      </c>
      <c r="U215" s="8">
        <f>SUMIFS('HOJAS DE HORA PROY.'!$F$2:$F$943,'HOJAS DE HORA PROY.'!$A$2:$A$943,'PLAN MAESTRO FINAL'!$A215,'HOJAS DE HORA PROY.'!$M$2:$M$943,U$113)</f>
        <v>0</v>
      </c>
      <c r="V215" s="8">
        <f>SUMIFS('HOJAS DE HORA PROY.'!$F$2:$F$943,'HOJAS DE HORA PROY.'!$A$2:$A$943,'PLAN MAESTRO FINAL'!$A215,'HOJAS DE HORA PROY.'!$M$2:$M$943,V$113)</f>
        <v>0</v>
      </c>
      <c r="W215" s="8">
        <f>SUMIFS('HOJAS DE HORA PROY.'!$F$2:$F$943,'HOJAS DE HORA PROY.'!$A$2:$A$943,'PLAN MAESTRO FINAL'!$A215,'HOJAS DE HORA PROY.'!$M$2:$M$943,W$113)</f>
        <v>0</v>
      </c>
    </row>
    <row r="216" spans="1:23" hidden="1" outlineLevel="1" x14ac:dyDescent="0.3">
      <c r="A216" s="13" t="s">
        <v>525</v>
      </c>
      <c r="B216" s="8">
        <f>SUMIFS('HOJAS DE HORA PROY.'!$H$2:$H$943,'HOJAS DE HORA PROY.'!$A$2:$A$943,'PLAN MAESTRO FINAL'!$A216,'HOJAS DE HORA PROY.'!$M$2:$M$943,B$113)</f>
        <v>0</v>
      </c>
      <c r="C216" s="8">
        <f>SUMIFS('HOJAS DE HORA PROY.'!$H$2:$H$943,'HOJAS DE HORA PROY.'!$A$2:$A$943,'PLAN MAESTRO FINAL'!$A216,'HOJAS DE HORA PROY.'!$M$2:$M$943,C$113)</f>
        <v>0</v>
      </c>
      <c r="D216" s="8">
        <f>SUMIFS('HOJAS DE HORA PROY.'!$H$2:$H$943,'HOJAS DE HORA PROY.'!$A$2:$A$943,'PLAN MAESTRO FINAL'!$A216,'HOJAS DE HORA PROY.'!$M$2:$M$943,D$113)</f>
        <v>0</v>
      </c>
      <c r="E216" s="8">
        <f>SUMIFS('HOJAS DE HORA PROY.'!$H$2:$H$943,'HOJAS DE HORA PROY.'!$A$2:$A$943,'PLAN MAESTRO FINAL'!$A216,'HOJAS DE HORA PROY.'!$M$2:$M$943,E$113)</f>
        <v>0</v>
      </c>
      <c r="F216" s="8">
        <f>SUMIFS('HOJAS DE HORA PROY.'!$H$2:$H$943,'HOJAS DE HORA PROY.'!$A$2:$A$943,'PLAN MAESTRO FINAL'!$A216,'HOJAS DE HORA PROY.'!$M$2:$M$943,F$113)</f>
        <v>0</v>
      </c>
      <c r="G216" s="8">
        <f>SUMIFS('HOJAS DE HORA PROY.'!$H$2:$H$943,'HOJAS DE HORA PROY.'!$A$2:$A$943,'PLAN MAESTRO FINAL'!$A216,'HOJAS DE HORA PROY.'!$M$2:$M$943,G$113)</f>
        <v>0</v>
      </c>
      <c r="H216" s="8">
        <f>SUMIFS('HOJAS DE HORA PROY.'!$F$2:$F$943,'HOJAS DE HORA PROY.'!$A$2:$A$943,'PLAN MAESTRO FINAL'!$A216,'HOJAS DE HORA PROY.'!$M$2:$M$943,H$113)</f>
        <v>0</v>
      </c>
      <c r="I216" s="8">
        <f>SUMIFS('HOJAS DE HORA PROY.'!$F$2:$F$943,'HOJAS DE HORA PROY.'!$A$2:$A$943,'PLAN MAESTRO FINAL'!$A216,'HOJAS DE HORA PROY.'!$M$2:$M$943,I$113)</f>
        <v>0</v>
      </c>
      <c r="J216" s="8">
        <f>SUMIFS('HOJAS DE HORA PROY.'!$F$2:$F$943,'HOJAS DE HORA PROY.'!$A$2:$A$943,'PLAN MAESTRO FINAL'!$A216,'HOJAS DE HORA PROY.'!$M$2:$M$943,J$113)</f>
        <v>0</v>
      </c>
      <c r="K216" s="8">
        <f>SUMIFS('HOJAS DE HORA PROY.'!$F$2:$F$943,'HOJAS DE HORA PROY.'!$A$2:$A$943,'PLAN MAESTRO FINAL'!$A216,'HOJAS DE HORA PROY.'!$M$2:$M$943,K$113)</f>
        <v>0</v>
      </c>
      <c r="L216" s="8">
        <f>SUMIFS('HOJAS DE HORA PROY.'!$F$2:$F$943,'HOJAS DE HORA PROY.'!$A$2:$A$943,'PLAN MAESTRO FINAL'!$A216,'HOJAS DE HORA PROY.'!$M$2:$M$943,L$113)</f>
        <v>0</v>
      </c>
      <c r="M216" s="8">
        <f>SUMIFS('HOJAS DE HORA PROY.'!$F$2:$F$943,'HOJAS DE HORA PROY.'!$A$2:$A$943,'PLAN MAESTRO FINAL'!$A216,'HOJAS DE HORA PROY.'!$M$2:$M$943,M$113)</f>
        <v>0</v>
      </c>
      <c r="N216" s="8">
        <f>SUMIFS('HOJAS DE HORA PROY.'!$F$2:$F$943,'HOJAS DE HORA PROY.'!$A$2:$A$943,'PLAN MAESTRO FINAL'!$A216,'HOJAS DE HORA PROY.'!$M$2:$M$943,N$113)</f>
        <v>0</v>
      </c>
      <c r="O216" s="8">
        <f>SUMIFS('HOJAS DE HORA PROY.'!$F$2:$F$943,'HOJAS DE HORA PROY.'!$A$2:$A$943,'PLAN MAESTRO FINAL'!$A216,'HOJAS DE HORA PROY.'!$M$2:$M$943,O$113)</f>
        <v>0</v>
      </c>
      <c r="P216" s="8">
        <f>SUMIFS('HOJAS DE HORA PROY.'!$F$2:$F$943,'HOJAS DE HORA PROY.'!$A$2:$A$943,'PLAN MAESTRO FINAL'!$A216,'HOJAS DE HORA PROY.'!$M$2:$M$943,P$113)</f>
        <v>0</v>
      </c>
      <c r="Q216" s="8">
        <f>SUMIFS('HOJAS DE HORA PROY.'!$F$2:$F$943,'HOJAS DE HORA PROY.'!$A$2:$A$943,'PLAN MAESTRO FINAL'!$A216,'HOJAS DE HORA PROY.'!$M$2:$M$943,Q$113)</f>
        <v>0</v>
      </c>
      <c r="R216" s="8">
        <f>SUMIFS('HOJAS DE HORA PROY.'!$F$2:$F$943,'HOJAS DE HORA PROY.'!$A$2:$A$943,'PLAN MAESTRO FINAL'!$A216,'HOJAS DE HORA PROY.'!$M$2:$M$943,R$113)</f>
        <v>0</v>
      </c>
      <c r="S216" s="8">
        <f>SUMIFS('HOJAS DE HORA PROY.'!$F$2:$F$943,'HOJAS DE HORA PROY.'!$A$2:$A$943,'PLAN MAESTRO FINAL'!$A216,'HOJAS DE HORA PROY.'!$M$2:$M$943,S$113)</f>
        <v>0</v>
      </c>
      <c r="T216" s="8">
        <f>SUMIFS('HOJAS DE HORA PROY.'!$F$2:$F$943,'HOJAS DE HORA PROY.'!$A$2:$A$943,'PLAN MAESTRO FINAL'!$A216,'HOJAS DE HORA PROY.'!$M$2:$M$943,T$113)</f>
        <v>0</v>
      </c>
      <c r="U216" s="8">
        <f>SUMIFS('HOJAS DE HORA PROY.'!$F$2:$F$943,'HOJAS DE HORA PROY.'!$A$2:$A$943,'PLAN MAESTRO FINAL'!$A216,'HOJAS DE HORA PROY.'!$M$2:$M$943,U$113)</f>
        <v>0</v>
      </c>
      <c r="V216" s="8">
        <f>SUMIFS('HOJAS DE HORA PROY.'!$F$2:$F$943,'HOJAS DE HORA PROY.'!$A$2:$A$943,'PLAN MAESTRO FINAL'!$A216,'HOJAS DE HORA PROY.'!$M$2:$M$943,V$113)</f>
        <v>0</v>
      </c>
      <c r="W216" s="8">
        <f>SUMIFS('HOJAS DE HORA PROY.'!$F$2:$F$943,'HOJAS DE HORA PROY.'!$A$2:$A$943,'PLAN MAESTRO FINAL'!$A216,'HOJAS DE HORA PROY.'!$M$2:$M$943,W$113)</f>
        <v>0</v>
      </c>
    </row>
    <row r="217" spans="1:23" hidden="1" outlineLevel="1" x14ac:dyDescent="0.3">
      <c r="A217" s="13" t="s">
        <v>547</v>
      </c>
      <c r="B217" s="8">
        <f>SUMIFS('HOJAS DE HORA PROY.'!$H$2:$H$943,'HOJAS DE HORA PROY.'!$A$2:$A$943,'PLAN MAESTRO FINAL'!$A217,'HOJAS DE HORA PROY.'!$M$2:$M$943,B$113)</f>
        <v>0</v>
      </c>
      <c r="C217" s="8">
        <f>SUMIFS('HOJAS DE HORA PROY.'!$H$2:$H$943,'HOJAS DE HORA PROY.'!$A$2:$A$943,'PLAN MAESTRO FINAL'!$A217,'HOJAS DE HORA PROY.'!$M$2:$M$943,C$113)</f>
        <v>0</v>
      </c>
      <c r="D217" s="8">
        <f>SUMIFS('HOJAS DE HORA PROY.'!$H$2:$H$943,'HOJAS DE HORA PROY.'!$A$2:$A$943,'PLAN MAESTRO FINAL'!$A217,'HOJAS DE HORA PROY.'!$M$2:$M$943,D$113)</f>
        <v>0</v>
      </c>
      <c r="E217" s="8">
        <f>SUMIFS('HOJAS DE HORA PROY.'!$H$2:$H$943,'HOJAS DE HORA PROY.'!$A$2:$A$943,'PLAN MAESTRO FINAL'!$A217,'HOJAS DE HORA PROY.'!$M$2:$M$943,E$113)</f>
        <v>0</v>
      </c>
      <c r="F217" s="8">
        <f>SUMIFS('HOJAS DE HORA PROY.'!$H$2:$H$943,'HOJAS DE HORA PROY.'!$A$2:$A$943,'PLAN MAESTRO FINAL'!$A217,'HOJAS DE HORA PROY.'!$M$2:$M$943,F$113)</f>
        <v>0</v>
      </c>
      <c r="G217" s="8">
        <f>SUMIFS('HOJAS DE HORA PROY.'!$H$2:$H$943,'HOJAS DE HORA PROY.'!$A$2:$A$943,'PLAN MAESTRO FINAL'!$A217,'HOJAS DE HORA PROY.'!$M$2:$M$943,G$113)</f>
        <v>7</v>
      </c>
      <c r="H217" s="8">
        <f>SUMIFS('HOJAS DE HORA PROY.'!$F$2:$F$943,'HOJAS DE HORA PROY.'!$A$2:$A$943,'PLAN MAESTRO FINAL'!$A217,'HOJAS DE HORA PROY.'!$M$2:$M$943,H$113)</f>
        <v>0</v>
      </c>
      <c r="I217" s="8">
        <f>SUMIFS('HOJAS DE HORA PROY.'!$F$2:$F$943,'HOJAS DE HORA PROY.'!$A$2:$A$943,'PLAN MAESTRO FINAL'!$A217,'HOJAS DE HORA PROY.'!$M$2:$M$943,I$113)</f>
        <v>0</v>
      </c>
      <c r="J217" s="8">
        <f>SUMIFS('HOJAS DE HORA PROY.'!$F$2:$F$943,'HOJAS DE HORA PROY.'!$A$2:$A$943,'PLAN MAESTRO FINAL'!$A217,'HOJAS DE HORA PROY.'!$M$2:$M$943,J$113)</f>
        <v>0</v>
      </c>
      <c r="K217" s="8">
        <f>SUMIFS('HOJAS DE HORA PROY.'!$F$2:$F$943,'HOJAS DE HORA PROY.'!$A$2:$A$943,'PLAN MAESTRO FINAL'!$A217,'HOJAS DE HORA PROY.'!$M$2:$M$943,K$113)</f>
        <v>0</v>
      </c>
      <c r="L217" s="8">
        <f>SUMIFS('HOJAS DE HORA PROY.'!$F$2:$F$943,'HOJAS DE HORA PROY.'!$A$2:$A$943,'PLAN MAESTRO FINAL'!$A217,'HOJAS DE HORA PROY.'!$M$2:$M$943,L$113)</f>
        <v>0</v>
      </c>
      <c r="M217" s="8">
        <f>SUMIFS('HOJAS DE HORA PROY.'!$F$2:$F$943,'HOJAS DE HORA PROY.'!$A$2:$A$943,'PLAN MAESTRO FINAL'!$A217,'HOJAS DE HORA PROY.'!$M$2:$M$943,M$113)</f>
        <v>0</v>
      </c>
      <c r="N217" s="8">
        <f>SUMIFS('HOJAS DE HORA PROY.'!$F$2:$F$943,'HOJAS DE HORA PROY.'!$A$2:$A$943,'PLAN MAESTRO FINAL'!$A217,'HOJAS DE HORA PROY.'!$M$2:$M$943,N$113)</f>
        <v>0</v>
      </c>
      <c r="O217" s="8">
        <f>SUMIFS('HOJAS DE HORA PROY.'!$F$2:$F$943,'HOJAS DE HORA PROY.'!$A$2:$A$943,'PLAN MAESTRO FINAL'!$A217,'HOJAS DE HORA PROY.'!$M$2:$M$943,O$113)</f>
        <v>0</v>
      </c>
      <c r="P217" s="8">
        <f>SUMIFS('HOJAS DE HORA PROY.'!$F$2:$F$943,'HOJAS DE HORA PROY.'!$A$2:$A$943,'PLAN MAESTRO FINAL'!$A217,'HOJAS DE HORA PROY.'!$M$2:$M$943,P$113)</f>
        <v>0</v>
      </c>
      <c r="Q217" s="8">
        <f>SUMIFS('HOJAS DE HORA PROY.'!$F$2:$F$943,'HOJAS DE HORA PROY.'!$A$2:$A$943,'PLAN MAESTRO FINAL'!$A217,'HOJAS DE HORA PROY.'!$M$2:$M$943,Q$113)</f>
        <v>0</v>
      </c>
      <c r="R217" s="8">
        <f>SUMIFS('HOJAS DE HORA PROY.'!$F$2:$F$943,'HOJAS DE HORA PROY.'!$A$2:$A$943,'PLAN MAESTRO FINAL'!$A217,'HOJAS DE HORA PROY.'!$M$2:$M$943,R$113)</f>
        <v>0</v>
      </c>
      <c r="S217" s="8">
        <f>SUMIFS('HOJAS DE HORA PROY.'!$F$2:$F$943,'HOJAS DE HORA PROY.'!$A$2:$A$943,'PLAN MAESTRO FINAL'!$A217,'HOJAS DE HORA PROY.'!$M$2:$M$943,S$113)</f>
        <v>0</v>
      </c>
      <c r="T217" s="8">
        <f>SUMIFS('HOJAS DE HORA PROY.'!$F$2:$F$943,'HOJAS DE HORA PROY.'!$A$2:$A$943,'PLAN MAESTRO FINAL'!$A217,'HOJAS DE HORA PROY.'!$M$2:$M$943,T$113)</f>
        <v>0</v>
      </c>
      <c r="U217" s="8">
        <f>SUMIFS('HOJAS DE HORA PROY.'!$F$2:$F$943,'HOJAS DE HORA PROY.'!$A$2:$A$943,'PLAN MAESTRO FINAL'!$A217,'HOJAS DE HORA PROY.'!$M$2:$M$943,U$113)</f>
        <v>0</v>
      </c>
      <c r="V217" s="8">
        <f>SUMIFS('HOJAS DE HORA PROY.'!$F$2:$F$943,'HOJAS DE HORA PROY.'!$A$2:$A$943,'PLAN MAESTRO FINAL'!$A217,'HOJAS DE HORA PROY.'!$M$2:$M$943,V$113)</f>
        <v>0</v>
      </c>
      <c r="W217" s="8">
        <f>SUMIFS('HOJAS DE HORA PROY.'!$F$2:$F$943,'HOJAS DE HORA PROY.'!$A$2:$A$943,'PLAN MAESTRO FINAL'!$A217,'HOJAS DE HORA PROY.'!$M$2:$M$943,W$113)</f>
        <v>0</v>
      </c>
    </row>
    <row r="218" spans="1:23" hidden="1" outlineLevel="1" x14ac:dyDescent="0.3">
      <c r="A218" s="13"/>
      <c r="B218" s="8">
        <f>SUMIFS('HOJAS DE HORA PROY.'!$H$2:$H$943,'HOJAS DE HORA PROY.'!$A$2:$A$943,'PLAN MAESTRO FINAL'!$A218,'HOJAS DE HORA PROY.'!$M$2:$M$943,B$113)</f>
        <v>0</v>
      </c>
      <c r="C218" s="8">
        <f>SUMIFS('HOJAS DE HORA PROY.'!$H$2:$H$943,'HOJAS DE HORA PROY.'!$A$2:$A$943,'PLAN MAESTRO FINAL'!$A218,'HOJAS DE HORA PROY.'!$M$2:$M$943,C$113)</f>
        <v>0</v>
      </c>
      <c r="D218" s="8">
        <f>SUMIFS('HOJAS DE HORA PROY.'!$H$2:$H$943,'HOJAS DE HORA PROY.'!$A$2:$A$943,'PLAN MAESTRO FINAL'!$A218,'HOJAS DE HORA PROY.'!$M$2:$M$943,D$113)</f>
        <v>0</v>
      </c>
      <c r="E218" s="8">
        <f>SUMIFS('HOJAS DE HORA PROY.'!$H$2:$H$943,'HOJAS DE HORA PROY.'!$A$2:$A$943,'PLAN MAESTRO FINAL'!$A218,'HOJAS DE HORA PROY.'!$M$2:$M$943,E$113)</f>
        <v>0</v>
      </c>
      <c r="F218" s="8">
        <f>SUMIFS('HOJAS DE HORA PROY.'!$H$2:$H$943,'HOJAS DE HORA PROY.'!$A$2:$A$943,'PLAN MAESTRO FINAL'!$A218,'HOJAS DE HORA PROY.'!$M$2:$M$943,F$113)</f>
        <v>0</v>
      </c>
      <c r="G218" s="8">
        <f>SUMIFS('HOJAS DE HORA PROY.'!$H$2:$H$943,'HOJAS DE HORA PROY.'!$A$2:$A$943,'PLAN MAESTRO FINAL'!$A218,'HOJAS DE HORA PROY.'!$M$2:$M$943,G$113)</f>
        <v>0</v>
      </c>
      <c r="H218" s="8">
        <f>SUMIFS('HOJAS DE HORA PROY.'!$F$2:$F$943,'HOJAS DE HORA PROY.'!$A$2:$A$943,'PLAN MAESTRO FINAL'!$A218,'HOJAS DE HORA PROY.'!$M$2:$M$943,H$113)</f>
        <v>0</v>
      </c>
      <c r="I218" s="8">
        <f>SUMIFS('HOJAS DE HORA PROY.'!$F$2:$F$943,'HOJAS DE HORA PROY.'!$A$2:$A$943,'PLAN MAESTRO FINAL'!$A218,'HOJAS DE HORA PROY.'!$M$2:$M$943,I$113)</f>
        <v>0</v>
      </c>
      <c r="J218" s="8">
        <f>SUMIFS('HOJAS DE HORA PROY.'!$F$2:$F$943,'HOJAS DE HORA PROY.'!$A$2:$A$943,'PLAN MAESTRO FINAL'!$A218,'HOJAS DE HORA PROY.'!$M$2:$M$943,J$113)</f>
        <v>0</v>
      </c>
      <c r="K218" s="8">
        <f>SUMIFS('HOJAS DE HORA PROY.'!$F$2:$F$943,'HOJAS DE HORA PROY.'!$A$2:$A$943,'PLAN MAESTRO FINAL'!$A218,'HOJAS DE HORA PROY.'!$M$2:$M$943,K$113)</f>
        <v>0</v>
      </c>
      <c r="L218" s="8">
        <f>SUMIFS('HOJAS DE HORA PROY.'!$F$2:$F$943,'HOJAS DE HORA PROY.'!$A$2:$A$943,'PLAN MAESTRO FINAL'!$A218,'HOJAS DE HORA PROY.'!$M$2:$M$943,L$113)</f>
        <v>0</v>
      </c>
      <c r="M218" s="8">
        <f>SUMIFS('HOJAS DE HORA PROY.'!$F$2:$F$943,'HOJAS DE HORA PROY.'!$A$2:$A$943,'PLAN MAESTRO FINAL'!$A218,'HOJAS DE HORA PROY.'!$M$2:$M$943,M$113)</f>
        <v>0</v>
      </c>
      <c r="N218" s="8">
        <f>SUMIFS('HOJAS DE HORA PROY.'!$F$2:$F$943,'HOJAS DE HORA PROY.'!$A$2:$A$943,'PLAN MAESTRO FINAL'!$A218,'HOJAS DE HORA PROY.'!$M$2:$M$943,N$113)</f>
        <v>0</v>
      </c>
      <c r="O218" s="8">
        <f>SUMIFS('HOJAS DE HORA PROY.'!$F$2:$F$943,'HOJAS DE HORA PROY.'!$A$2:$A$943,'PLAN MAESTRO FINAL'!$A218,'HOJAS DE HORA PROY.'!$M$2:$M$943,O$113)</f>
        <v>0</v>
      </c>
      <c r="P218" s="8">
        <f>SUMIFS('HOJAS DE HORA PROY.'!$F$2:$F$943,'HOJAS DE HORA PROY.'!$A$2:$A$943,'PLAN MAESTRO FINAL'!$A218,'HOJAS DE HORA PROY.'!$M$2:$M$943,P$113)</f>
        <v>0</v>
      </c>
      <c r="Q218" s="8">
        <f>SUMIFS('HOJAS DE HORA PROY.'!$F$2:$F$943,'HOJAS DE HORA PROY.'!$A$2:$A$943,'PLAN MAESTRO FINAL'!$A218,'HOJAS DE HORA PROY.'!$M$2:$M$943,Q$113)</f>
        <v>0</v>
      </c>
      <c r="R218" s="8">
        <f>SUMIFS('HOJAS DE HORA PROY.'!$F$2:$F$943,'HOJAS DE HORA PROY.'!$A$2:$A$943,'PLAN MAESTRO FINAL'!$A218,'HOJAS DE HORA PROY.'!$M$2:$M$943,R$113)</f>
        <v>0</v>
      </c>
      <c r="S218" s="8">
        <f>SUMIFS('HOJAS DE HORA PROY.'!$F$2:$F$943,'HOJAS DE HORA PROY.'!$A$2:$A$943,'PLAN MAESTRO FINAL'!$A218,'HOJAS DE HORA PROY.'!$M$2:$M$943,S$113)</f>
        <v>0</v>
      </c>
      <c r="T218" s="8">
        <f>SUMIFS('HOJAS DE HORA PROY.'!$F$2:$F$943,'HOJAS DE HORA PROY.'!$A$2:$A$943,'PLAN MAESTRO FINAL'!$A218,'HOJAS DE HORA PROY.'!$M$2:$M$943,T$113)</f>
        <v>0</v>
      </c>
      <c r="U218" s="8">
        <f>SUMIFS('HOJAS DE HORA PROY.'!$F$2:$F$943,'HOJAS DE HORA PROY.'!$A$2:$A$943,'PLAN MAESTRO FINAL'!$A218,'HOJAS DE HORA PROY.'!$M$2:$M$943,U$113)</f>
        <v>0</v>
      </c>
      <c r="V218" s="8">
        <f>SUMIFS('HOJAS DE HORA PROY.'!$F$2:$F$943,'HOJAS DE HORA PROY.'!$A$2:$A$943,'PLAN MAESTRO FINAL'!$A218,'HOJAS DE HORA PROY.'!$M$2:$M$943,V$113)</f>
        <v>0</v>
      </c>
      <c r="W218" s="8">
        <f>SUMIFS('HOJAS DE HORA PROY.'!$F$2:$F$943,'HOJAS DE HORA PROY.'!$A$2:$A$943,'PLAN MAESTRO FINAL'!$A218,'HOJAS DE HORA PROY.'!$M$2:$M$943,W$113)</f>
        <v>0</v>
      </c>
    </row>
    <row r="219" spans="1:23" collapsed="1" x14ac:dyDescent="0.3">
      <c r="A219" s="31" t="s">
        <v>471</v>
      </c>
      <c r="B219" s="58">
        <f t="shared" ref="B219:W219" si="10">SUM(B188:B218)</f>
        <v>0</v>
      </c>
      <c r="C219" s="58">
        <f t="shared" si="10"/>
        <v>0</v>
      </c>
      <c r="D219" s="58">
        <f t="shared" si="10"/>
        <v>0</v>
      </c>
      <c r="E219" s="58">
        <f t="shared" si="10"/>
        <v>0</v>
      </c>
      <c r="F219" s="58">
        <f t="shared" si="10"/>
        <v>12</v>
      </c>
      <c r="G219" s="58">
        <f t="shared" si="10"/>
        <v>27</v>
      </c>
      <c r="H219" s="58">
        <f t="shared" si="10"/>
        <v>20</v>
      </c>
      <c r="I219" s="58">
        <f t="shared" si="10"/>
        <v>0</v>
      </c>
      <c r="J219" s="58">
        <f t="shared" si="10"/>
        <v>18</v>
      </c>
      <c r="K219" s="58">
        <f t="shared" si="10"/>
        <v>5</v>
      </c>
      <c r="L219" s="58">
        <f t="shared" si="10"/>
        <v>0</v>
      </c>
      <c r="M219" s="58">
        <f t="shared" si="10"/>
        <v>0</v>
      </c>
      <c r="N219" s="58">
        <f t="shared" si="10"/>
        <v>0</v>
      </c>
      <c r="O219" s="58">
        <f t="shared" si="10"/>
        <v>0</v>
      </c>
      <c r="P219" s="58">
        <f t="shared" si="10"/>
        <v>0</v>
      </c>
      <c r="Q219" s="58">
        <f t="shared" si="10"/>
        <v>0</v>
      </c>
      <c r="R219" s="58">
        <f t="shared" si="10"/>
        <v>0</v>
      </c>
      <c r="S219" s="58">
        <f t="shared" si="10"/>
        <v>0</v>
      </c>
      <c r="T219" s="58">
        <f t="shared" si="10"/>
        <v>0</v>
      </c>
      <c r="U219" s="58">
        <f t="shared" si="10"/>
        <v>0</v>
      </c>
      <c r="V219" s="58">
        <f t="shared" si="10"/>
        <v>0</v>
      </c>
      <c r="W219" s="58">
        <f t="shared" si="10"/>
        <v>0</v>
      </c>
    </row>
    <row r="220" spans="1:23" x14ac:dyDescent="0.3">
      <c r="A220" s="31" t="s">
        <v>29</v>
      </c>
      <c r="B220" s="56">
        <f>CAPACIDAD!G28</f>
        <v>80</v>
      </c>
      <c r="C220" s="56">
        <f>CAPACIDAD!H28</f>
        <v>80</v>
      </c>
      <c r="D220" s="56">
        <f>CAPACIDAD!I28</f>
        <v>32</v>
      </c>
      <c r="E220" s="56">
        <f>CAPACIDAD!J28</f>
        <v>72</v>
      </c>
      <c r="F220" s="56">
        <f>CAPACIDAD!K28</f>
        <v>72</v>
      </c>
      <c r="G220" s="56">
        <f>CAPACIDAD!L28</f>
        <v>72</v>
      </c>
      <c r="H220" s="56">
        <f>CAPACIDAD!M28</f>
        <v>72</v>
      </c>
      <c r="I220" s="56">
        <f>CAPACIDAD!N28</f>
        <v>72</v>
      </c>
      <c r="J220" s="56">
        <f>CAPACIDAD!O28</f>
        <v>72</v>
      </c>
      <c r="K220" s="56">
        <f>CAPACIDAD!P28</f>
        <v>72</v>
      </c>
      <c r="L220" s="56">
        <f>CAPACIDAD!Q28</f>
        <v>72</v>
      </c>
      <c r="M220" s="56">
        <f>CAPACIDAD!R28</f>
        <v>72</v>
      </c>
      <c r="N220" s="56">
        <f>CAPACIDAD!S28</f>
        <v>72</v>
      </c>
      <c r="O220" s="56">
        <f>CAPACIDAD!T28</f>
        <v>72</v>
      </c>
      <c r="P220" s="56">
        <f>CAPACIDAD!U28</f>
        <v>72</v>
      </c>
      <c r="Q220" s="56">
        <f>CAPACIDAD!V28</f>
        <v>72</v>
      </c>
      <c r="R220" s="56">
        <f>CAPACIDAD!W28</f>
        <v>72</v>
      </c>
      <c r="S220" s="56">
        <f>CAPACIDAD!X28</f>
        <v>72</v>
      </c>
      <c r="T220" s="56">
        <f>CAPACIDAD!Y28</f>
        <v>72</v>
      </c>
      <c r="U220" s="56">
        <f>CAPACIDAD!Z28</f>
        <v>72</v>
      </c>
      <c r="V220" s="56">
        <f>CAPACIDAD!AA28</f>
        <v>72</v>
      </c>
      <c r="W220" s="56">
        <f>CAPACIDAD!AB28</f>
        <v>72</v>
      </c>
    </row>
    <row r="221" spans="1:23" s="10" customFormat="1" x14ac:dyDescent="0.3">
      <c r="A221" s="2" t="s">
        <v>28</v>
      </c>
      <c r="B221" s="9" t="str">
        <f t="shared" ref="B221:W221" si="11">IF(B219/B220=0,"",IF(B219/B220&lt;=85%,"🟢 Saludable",IF(B219/B220&lt;=100%,"🟡 Riesgo","🔴 Atraso seguro")))</f>
        <v/>
      </c>
      <c r="C221" s="9" t="str">
        <f t="shared" si="11"/>
        <v/>
      </c>
      <c r="D221" s="9" t="str">
        <f t="shared" si="11"/>
        <v/>
      </c>
      <c r="E221" s="9" t="str">
        <f t="shared" si="11"/>
        <v/>
      </c>
      <c r="F221" s="9" t="str">
        <f t="shared" si="11"/>
        <v>🟢 Saludable</v>
      </c>
      <c r="G221" s="9" t="str">
        <f t="shared" si="11"/>
        <v>🟢 Saludable</v>
      </c>
      <c r="H221" s="9" t="str">
        <f t="shared" si="11"/>
        <v>🟢 Saludable</v>
      </c>
      <c r="I221" s="9" t="str">
        <f t="shared" si="11"/>
        <v/>
      </c>
      <c r="J221" s="9" t="str">
        <f t="shared" si="11"/>
        <v>🟢 Saludable</v>
      </c>
      <c r="K221" s="9" t="str">
        <f t="shared" si="11"/>
        <v>🟢 Saludable</v>
      </c>
      <c r="L221" s="9" t="str">
        <f t="shared" si="11"/>
        <v/>
      </c>
      <c r="M221" s="9" t="str">
        <f t="shared" si="11"/>
        <v/>
      </c>
      <c r="N221" s="9" t="str">
        <f t="shared" si="11"/>
        <v/>
      </c>
      <c r="O221" s="9" t="str">
        <f t="shared" si="11"/>
        <v/>
      </c>
      <c r="P221" s="9" t="str">
        <f t="shared" si="11"/>
        <v/>
      </c>
      <c r="Q221" s="9" t="str">
        <f t="shared" si="11"/>
        <v/>
      </c>
      <c r="R221" s="9" t="str">
        <f t="shared" si="11"/>
        <v/>
      </c>
      <c r="S221" s="9" t="str">
        <f t="shared" si="11"/>
        <v/>
      </c>
      <c r="T221" s="9" t="str">
        <f t="shared" si="11"/>
        <v/>
      </c>
      <c r="U221" s="9" t="str">
        <f t="shared" si="11"/>
        <v/>
      </c>
      <c r="V221" s="9" t="str">
        <f t="shared" si="11"/>
        <v/>
      </c>
      <c r="W221" s="9" t="str">
        <f t="shared" si="11"/>
        <v/>
      </c>
    </row>
    <row r="224" spans="1:23" ht="21" x14ac:dyDescent="0.4">
      <c r="A224" s="50" t="s">
        <v>548</v>
      </c>
    </row>
    <row r="225" spans="1:23" x14ac:dyDescent="0.3">
      <c r="A225" s="53" t="s">
        <v>27</v>
      </c>
      <c r="B225" s="53" t="s">
        <v>34</v>
      </c>
      <c r="C225" s="53" t="s">
        <v>35</v>
      </c>
      <c r="D225" s="53" t="s">
        <v>36</v>
      </c>
      <c r="E225" s="53" t="s">
        <v>37</v>
      </c>
      <c r="F225" s="53" t="s">
        <v>38</v>
      </c>
      <c r="G225" s="53" t="s">
        <v>40</v>
      </c>
      <c r="H225" s="53" t="s">
        <v>39</v>
      </c>
      <c r="I225" s="53" t="s">
        <v>41</v>
      </c>
      <c r="J225" s="53" t="s">
        <v>42</v>
      </c>
      <c r="K225" s="53" t="s">
        <v>43</v>
      </c>
      <c r="L225" s="53" t="s">
        <v>44</v>
      </c>
      <c r="M225" s="53" t="s">
        <v>45</v>
      </c>
      <c r="N225" s="53" t="s">
        <v>46</v>
      </c>
      <c r="O225" s="53" t="s">
        <v>47</v>
      </c>
      <c r="P225" s="53" t="s">
        <v>48</v>
      </c>
      <c r="Q225" s="53" t="s">
        <v>49</v>
      </c>
      <c r="R225" s="53" t="s">
        <v>50</v>
      </c>
      <c r="S225" s="53" t="s">
        <v>51</v>
      </c>
      <c r="T225" s="53" t="s">
        <v>52</v>
      </c>
      <c r="U225" s="53" t="s">
        <v>53</v>
      </c>
      <c r="V225" s="53" t="s">
        <v>54</v>
      </c>
      <c r="W225" s="53" t="s">
        <v>55</v>
      </c>
    </row>
    <row r="226" spans="1:23" hidden="1" outlineLevel="1" x14ac:dyDescent="0.3">
      <c r="A226" s="13" t="s">
        <v>79</v>
      </c>
      <c r="B226" s="8">
        <f>SUMIFS('HOJAS DE HORA PROY.'!$E$2:$E$943,'HOJAS DE HORA PROY.'!$A$2:$A$943,'PLAN MAESTRO FINAL'!$A226,'HOJAS DE HORA PROY.'!$M$2:$M$943,B$113)</f>
        <v>0</v>
      </c>
      <c r="C226" s="8">
        <f>SUMIFS('HOJAS DE HORA PROY.'!$E$2:$E$943,'HOJAS DE HORA PROY.'!$A$2:$A$943,'PLAN MAESTRO FINAL'!$A226,'HOJAS DE HORA PROY.'!$M$2:$M$943,C$113)</f>
        <v>0</v>
      </c>
      <c r="D226" s="8">
        <f>SUMIFS('HOJAS DE HORA PROY.'!$E$2:$E$943,'HOJAS DE HORA PROY.'!$A$2:$A$943,'PLAN MAESTRO FINAL'!$A226,'HOJAS DE HORA PROY.'!$M$2:$M$943,D$113)</f>
        <v>0</v>
      </c>
      <c r="E226" s="8">
        <f>SUMIFS('HOJAS DE HORA PROY.'!$E$2:$E$943,'HOJAS DE HORA PROY.'!$A$2:$A$943,'PLAN MAESTRO FINAL'!$A226,'HOJAS DE HORA PROY.'!$M$2:$M$943,E$113)</f>
        <v>0</v>
      </c>
      <c r="F226" s="8">
        <f>SUMIFS('HOJAS DE HORA PROY.'!$E$2:$E$943,'HOJAS DE HORA PROY.'!$A$2:$A$943,'PLAN MAESTRO FINAL'!$A226,'HOJAS DE HORA PROY.'!$M$2:$M$943,F$113)</f>
        <v>0</v>
      </c>
      <c r="G226" s="8">
        <f>SUMIFS('HOJAS DE HORA PROY.'!$E$2:$E$943,'HOJAS DE HORA PROY.'!$A$2:$A$943,'PLAN MAESTRO FINAL'!$A226,'HOJAS DE HORA PROY.'!$M$2:$M$943,G$113)</f>
        <v>0</v>
      </c>
      <c r="H226" s="8">
        <f>SUMIFS('HOJAS DE HORA PROY.'!$E$2:$E$943,'HOJAS DE HORA PROY.'!$A$2:$A$943,'PLAN MAESTRO FINAL'!$A226,'HOJAS DE HORA PROY.'!$M$2:$M$943,H$113)</f>
        <v>0</v>
      </c>
      <c r="I226" s="8">
        <f>SUMIFS('HOJAS DE HORA PROY.'!$E$2:$E$943,'HOJAS DE HORA PROY.'!$A$2:$A$943,'PLAN MAESTRO FINAL'!$A226,'HOJAS DE HORA PROY.'!$M$2:$M$943,I$113)</f>
        <v>0</v>
      </c>
      <c r="J226" s="8">
        <f>SUMIFS('HOJAS DE HORA PROY.'!$E$2:$E$943,'HOJAS DE HORA PROY.'!$A$2:$A$943,'PLAN MAESTRO FINAL'!$A226,'HOJAS DE HORA PROY.'!$M$2:$M$943,J$113)</f>
        <v>0</v>
      </c>
      <c r="K226" s="8">
        <f>SUMIFS('HOJAS DE HORA PROY.'!$E$2:$E$943,'HOJAS DE HORA PROY.'!$A$2:$A$943,'PLAN MAESTRO FINAL'!$A226,'HOJAS DE HORA PROY.'!$M$2:$M$943,K$113)</f>
        <v>0</v>
      </c>
      <c r="L226" s="8">
        <f>SUMIFS('HOJAS DE HORA PROY.'!$E$2:$E$943,'HOJAS DE HORA PROY.'!$A$2:$A$943,'PLAN MAESTRO FINAL'!$A226,'HOJAS DE HORA PROY.'!$M$2:$M$943,L$113)</f>
        <v>0</v>
      </c>
      <c r="M226" s="8">
        <f>SUMIFS('HOJAS DE HORA PROY.'!$E$2:$E$943,'HOJAS DE HORA PROY.'!$A$2:$A$943,'PLAN MAESTRO FINAL'!$A226,'HOJAS DE HORA PROY.'!$M$2:$M$943,M$113)</f>
        <v>0</v>
      </c>
      <c r="N226" s="8">
        <f>SUMIFS('HOJAS DE HORA PROY.'!$E$2:$E$943,'HOJAS DE HORA PROY.'!$A$2:$A$943,'PLAN MAESTRO FINAL'!$A226,'HOJAS DE HORA PROY.'!$M$2:$M$943,N$113)</f>
        <v>0</v>
      </c>
      <c r="O226" s="8">
        <f>SUMIFS('HOJAS DE HORA PROY.'!$E$2:$E$943,'HOJAS DE HORA PROY.'!$A$2:$A$943,'PLAN MAESTRO FINAL'!$A226,'HOJAS DE HORA PROY.'!$M$2:$M$943,O$113)</f>
        <v>0</v>
      </c>
      <c r="P226" s="8">
        <f>SUMIFS('HOJAS DE HORA PROY.'!$E$2:$E$943,'HOJAS DE HORA PROY.'!$A$2:$A$943,'PLAN MAESTRO FINAL'!$A226,'HOJAS DE HORA PROY.'!$M$2:$M$943,P$113)</f>
        <v>0</v>
      </c>
      <c r="Q226" s="8">
        <f>SUMIFS('HOJAS DE HORA PROY.'!$E$2:$E$943,'HOJAS DE HORA PROY.'!$A$2:$A$943,'PLAN MAESTRO FINAL'!$A226,'HOJAS DE HORA PROY.'!$M$2:$M$943,Q$113)</f>
        <v>0</v>
      </c>
      <c r="R226" s="8">
        <f>SUMIFS('HOJAS DE HORA PROY.'!$E$2:$E$943,'HOJAS DE HORA PROY.'!$A$2:$A$943,'PLAN MAESTRO FINAL'!$A226,'HOJAS DE HORA PROY.'!$M$2:$M$943,R$113)</f>
        <v>0</v>
      </c>
      <c r="S226" s="8">
        <f>SUMIFS('HOJAS DE HORA PROY.'!$E$2:$E$943,'HOJAS DE HORA PROY.'!$A$2:$A$943,'PLAN MAESTRO FINAL'!$A226,'HOJAS DE HORA PROY.'!$M$2:$M$943,S$113)</f>
        <v>0</v>
      </c>
      <c r="T226" s="8">
        <f>SUMIFS('HOJAS DE HORA PROY.'!$E$2:$E$943,'HOJAS DE HORA PROY.'!$A$2:$A$943,'PLAN MAESTRO FINAL'!$A226,'HOJAS DE HORA PROY.'!$M$2:$M$943,T$113)</f>
        <v>0</v>
      </c>
      <c r="U226" s="8">
        <f>SUMIFS('HOJAS DE HORA PROY.'!$E$2:$E$943,'HOJAS DE HORA PROY.'!$A$2:$A$943,'PLAN MAESTRO FINAL'!$A226,'HOJAS DE HORA PROY.'!$M$2:$M$943,U$113)</f>
        <v>0</v>
      </c>
      <c r="V226" s="8">
        <f>SUMIFS('HOJAS DE HORA PROY.'!$E$2:$E$943,'HOJAS DE HORA PROY.'!$A$2:$A$943,'PLAN MAESTRO FINAL'!$A226,'HOJAS DE HORA PROY.'!$M$2:$M$943,V$113)</f>
        <v>0</v>
      </c>
      <c r="W226" s="8">
        <f>SUMIFS('HOJAS DE HORA PROY.'!$E$2:$E$943,'HOJAS DE HORA PROY.'!$A$2:$A$943,'PLAN MAESTRO FINAL'!$A226,'HOJAS DE HORA PROY.'!$M$2:$M$943,W$113)</f>
        <v>0</v>
      </c>
    </row>
    <row r="227" spans="1:23" hidden="1" outlineLevel="1" x14ac:dyDescent="0.3">
      <c r="A227" s="13" t="s">
        <v>85</v>
      </c>
      <c r="B227" s="8">
        <f>SUMIFS('HOJAS DE HORA PROY.'!$E$2:$E$943,'HOJAS DE HORA PROY.'!$A$2:$A$943,'PLAN MAESTRO FINAL'!$A227,'HOJAS DE HORA PROY.'!$M$2:$M$943,B$113)</f>
        <v>0</v>
      </c>
      <c r="C227" s="8">
        <f>SUMIFS('HOJAS DE HORA PROY.'!$E$2:$E$943,'HOJAS DE HORA PROY.'!$A$2:$A$943,'PLAN MAESTRO FINAL'!$A227,'HOJAS DE HORA PROY.'!$M$2:$M$943,C$113)</f>
        <v>0</v>
      </c>
      <c r="D227" s="8">
        <f>SUMIFS('HOJAS DE HORA PROY.'!$E$2:$E$943,'HOJAS DE HORA PROY.'!$A$2:$A$943,'PLAN MAESTRO FINAL'!$A227,'HOJAS DE HORA PROY.'!$M$2:$M$943,D$113)</f>
        <v>0</v>
      </c>
      <c r="E227" s="8">
        <f>SUMIFS('HOJAS DE HORA PROY.'!$E$2:$E$943,'HOJAS DE HORA PROY.'!$A$2:$A$943,'PLAN MAESTRO FINAL'!$A227,'HOJAS DE HORA PROY.'!$M$2:$M$943,E$113)</f>
        <v>0</v>
      </c>
      <c r="F227" s="8">
        <f>SUMIFS('HOJAS DE HORA PROY.'!$E$2:$E$943,'HOJAS DE HORA PROY.'!$A$2:$A$943,'PLAN MAESTRO FINAL'!$A227,'HOJAS DE HORA PROY.'!$M$2:$M$943,F$113)</f>
        <v>0</v>
      </c>
      <c r="G227" s="8">
        <f>SUMIFS('HOJAS DE HORA PROY.'!$E$2:$E$943,'HOJAS DE HORA PROY.'!$A$2:$A$943,'PLAN MAESTRO FINAL'!$A227,'HOJAS DE HORA PROY.'!$M$2:$M$943,G$113)</f>
        <v>0</v>
      </c>
      <c r="H227" s="8">
        <f>SUMIFS('HOJAS DE HORA PROY.'!$E$2:$E$943,'HOJAS DE HORA PROY.'!$A$2:$A$943,'PLAN MAESTRO FINAL'!$A227,'HOJAS DE HORA PROY.'!$M$2:$M$943,H$113)</f>
        <v>0</v>
      </c>
      <c r="I227" s="8">
        <f>SUMIFS('HOJAS DE HORA PROY.'!$E$2:$E$943,'HOJAS DE HORA PROY.'!$A$2:$A$943,'PLAN MAESTRO FINAL'!$A227,'HOJAS DE HORA PROY.'!$M$2:$M$943,I$113)</f>
        <v>0</v>
      </c>
      <c r="J227" s="8">
        <f>SUMIFS('HOJAS DE HORA PROY.'!$E$2:$E$943,'HOJAS DE HORA PROY.'!$A$2:$A$943,'PLAN MAESTRO FINAL'!$A227,'HOJAS DE HORA PROY.'!$M$2:$M$943,J$113)</f>
        <v>0</v>
      </c>
      <c r="K227" s="8">
        <f>SUMIFS('HOJAS DE HORA PROY.'!$E$2:$E$943,'HOJAS DE HORA PROY.'!$A$2:$A$943,'PLAN MAESTRO FINAL'!$A227,'HOJAS DE HORA PROY.'!$M$2:$M$943,K$113)</f>
        <v>0</v>
      </c>
      <c r="L227" s="8">
        <f>SUMIFS('HOJAS DE HORA PROY.'!$E$2:$E$943,'HOJAS DE HORA PROY.'!$A$2:$A$943,'PLAN MAESTRO FINAL'!$A227,'HOJAS DE HORA PROY.'!$M$2:$M$943,L$113)</f>
        <v>0</v>
      </c>
      <c r="M227" s="8">
        <f>SUMIFS('HOJAS DE HORA PROY.'!$E$2:$E$943,'HOJAS DE HORA PROY.'!$A$2:$A$943,'PLAN MAESTRO FINAL'!$A227,'HOJAS DE HORA PROY.'!$M$2:$M$943,M$113)</f>
        <v>0</v>
      </c>
      <c r="N227" s="8">
        <f>SUMIFS('HOJAS DE HORA PROY.'!$E$2:$E$943,'HOJAS DE HORA PROY.'!$A$2:$A$943,'PLAN MAESTRO FINAL'!$A227,'HOJAS DE HORA PROY.'!$M$2:$M$943,N$113)</f>
        <v>0</v>
      </c>
      <c r="O227" s="8">
        <f>SUMIFS('HOJAS DE HORA PROY.'!$E$2:$E$943,'HOJAS DE HORA PROY.'!$A$2:$A$943,'PLAN MAESTRO FINAL'!$A227,'HOJAS DE HORA PROY.'!$M$2:$M$943,O$113)</f>
        <v>0</v>
      </c>
      <c r="P227" s="8">
        <f>SUMIFS('HOJAS DE HORA PROY.'!$E$2:$E$943,'HOJAS DE HORA PROY.'!$A$2:$A$943,'PLAN MAESTRO FINAL'!$A227,'HOJAS DE HORA PROY.'!$M$2:$M$943,P$113)</f>
        <v>0</v>
      </c>
      <c r="Q227" s="8">
        <f>SUMIFS('HOJAS DE HORA PROY.'!$E$2:$E$943,'HOJAS DE HORA PROY.'!$A$2:$A$943,'PLAN MAESTRO FINAL'!$A227,'HOJAS DE HORA PROY.'!$M$2:$M$943,Q$113)</f>
        <v>0</v>
      </c>
      <c r="R227" s="8">
        <f>SUMIFS('HOJAS DE HORA PROY.'!$E$2:$E$943,'HOJAS DE HORA PROY.'!$A$2:$A$943,'PLAN MAESTRO FINAL'!$A227,'HOJAS DE HORA PROY.'!$M$2:$M$943,R$113)</f>
        <v>0</v>
      </c>
      <c r="S227" s="8">
        <f>SUMIFS('HOJAS DE HORA PROY.'!$E$2:$E$943,'HOJAS DE HORA PROY.'!$A$2:$A$943,'PLAN MAESTRO FINAL'!$A227,'HOJAS DE HORA PROY.'!$M$2:$M$943,S$113)</f>
        <v>0</v>
      </c>
      <c r="T227" s="8">
        <f>SUMIFS('HOJAS DE HORA PROY.'!$E$2:$E$943,'HOJAS DE HORA PROY.'!$A$2:$A$943,'PLAN MAESTRO FINAL'!$A227,'HOJAS DE HORA PROY.'!$M$2:$M$943,T$113)</f>
        <v>0</v>
      </c>
      <c r="U227" s="8">
        <f>SUMIFS('HOJAS DE HORA PROY.'!$E$2:$E$943,'HOJAS DE HORA PROY.'!$A$2:$A$943,'PLAN MAESTRO FINAL'!$A227,'HOJAS DE HORA PROY.'!$M$2:$M$943,U$113)</f>
        <v>0</v>
      </c>
      <c r="V227" s="8">
        <f>SUMIFS('HOJAS DE HORA PROY.'!$E$2:$E$943,'HOJAS DE HORA PROY.'!$A$2:$A$943,'PLAN MAESTRO FINAL'!$A227,'HOJAS DE HORA PROY.'!$M$2:$M$943,V$113)</f>
        <v>0</v>
      </c>
      <c r="W227" s="8">
        <f>SUMIFS('HOJAS DE HORA PROY.'!$E$2:$E$943,'HOJAS DE HORA PROY.'!$A$2:$A$943,'PLAN MAESTRO FINAL'!$A227,'HOJAS DE HORA PROY.'!$M$2:$M$943,W$113)</f>
        <v>0</v>
      </c>
    </row>
    <row r="228" spans="1:23" hidden="1" outlineLevel="1" x14ac:dyDescent="0.3">
      <c r="A228" s="13" t="s">
        <v>68</v>
      </c>
      <c r="B228" s="8">
        <f>SUMIFS('HOJAS DE HORA PROY.'!$E$2:$E$943,'HOJAS DE HORA PROY.'!$A$2:$A$943,'PLAN MAESTRO FINAL'!$A228,'HOJAS DE HORA PROY.'!$M$2:$M$943,B$113)</f>
        <v>0</v>
      </c>
      <c r="C228" s="8">
        <f>SUMIFS('HOJAS DE HORA PROY.'!$E$2:$E$943,'HOJAS DE HORA PROY.'!$A$2:$A$943,'PLAN MAESTRO FINAL'!$A228,'HOJAS DE HORA PROY.'!$M$2:$M$943,C$113)</f>
        <v>0</v>
      </c>
      <c r="D228" s="8">
        <f>SUMIFS('HOJAS DE HORA PROY.'!$E$2:$E$943,'HOJAS DE HORA PROY.'!$A$2:$A$943,'PLAN MAESTRO FINAL'!$A228,'HOJAS DE HORA PROY.'!$M$2:$M$943,D$113)</f>
        <v>0</v>
      </c>
      <c r="E228" s="8">
        <f>SUMIFS('HOJAS DE HORA PROY.'!$E$2:$E$943,'HOJAS DE HORA PROY.'!$A$2:$A$943,'PLAN MAESTRO FINAL'!$A228,'HOJAS DE HORA PROY.'!$M$2:$M$943,E$113)</f>
        <v>0</v>
      </c>
      <c r="F228" s="8">
        <f>SUMIFS('HOJAS DE HORA PROY.'!$E$2:$E$943,'HOJAS DE HORA PROY.'!$A$2:$A$943,'PLAN MAESTRO FINAL'!$A228,'HOJAS DE HORA PROY.'!$M$2:$M$943,F$113)</f>
        <v>0</v>
      </c>
      <c r="G228" s="8">
        <f>SUMIFS('HOJAS DE HORA PROY.'!$E$2:$E$943,'HOJAS DE HORA PROY.'!$A$2:$A$943,'PLAN MAESTRO FINAL'!$A228,'HOJAS DE HORA PROY.'!$M$2:$M$943,G$113)</f>
        <v>0</v>
      </c>
      <c r="H228" s="8">
        <f>SUMIFS('HOJAS DE HORA PROY.'!$E$2:$E$943,'HOJAS DE HORA PROY.'!$A$2:$A$943,'PLAN MAESTRO FINAL'!$A228,'HOJAS DE HORA PROY.'!$M$2:$M$943,H$113)</f>
        <v>0</v>
      </c>
      <c r="I228" s="8">
        <f>SUMIFS('HOJAS DE HORA PROY.'!$E$2:$E$943,'HOJAS DE HORA PROY.'!$A$2:$A$943,'PLAN MAESTRO FINAL'!$A228,'HOJAS DE HORA PROY.'!$M$2:$M$943,I$113)</f>
        <v>0</v>
      </c>
      <c r="J228" s="8">
        <f>SUMIFS('HOJAS DE HORA PROY.'!$E$2:$E$943,'HOJAS DE HORA PROY.'!$A$2:$A$943,'PLAN MAESTRO FINAL'!$A228,'HOJAS DE HORA PROY.'!$M$2:$M$943,J$113)</f>
        <v>0</v>
      </c>
      <c r="K228" s="8">
        <f>SUMIFS('HOJAS DE HORA PROY.'!$E$2:$E$943,'HOJAS DE HORA PROY.'!$A$2:$A$943,'PLAN MAESTRO FINAL'!$A228,'HOJAS DE HORA PROY.'!$M$2:$M$943,K$113)</f>
        <v>0</v>
      </c>
      <c r="L228" s="8">
        <f>SUMIFS('HOJAS DE HORA PROY.'!$E$2:$E$943,'HOJAS DE HORA PROY.'!$A$2:$A$943,'PLAN MAESTRO FINAL'!$A228,'HOJAS DE HORA PROY.'!$M$2:$M$943,L$113)</f>
        <v>0</v>
      </c>
      <c r="M228" s="8">
        <f>SUMIFS('HOJAS DE HORA PROY.'!$E$2:$E$943,'HOJAS DE HORA PROY.'!$A$2:$A$943,'PLAN MAESTRO FINAL'!$A228,'HOJAS DE HORA PROY.'!$M$2:$M$943,M$113)</f>
        <v>0</v>
      </c>
      <c r="N228" s="8">
        <f>SUMIFS('HOJAS DE HORA PROY.'!$E$2:$E$943,'HOJAS DE HORA PROY.'!$A$2:$A$943,'PLAN MAESTRO FINAL'!$A228,'HOJAS DE HORA PROY.'!$M$2:$M$943,N$113)</f>
        <v>0</v>
      </c>
      <c r="O228" s="8">
        <f>SUMIFS('HOJAS DE HORA PROY.'!$E$2:$E$943,'HOJAS DE HORA PROY.'!$A$2:$A$943,'PLAN MAESTRO FINAL'!$A228,'HOJAS DE HORA PROY.'!$M$2:$M$943,O$113)</f>
        <v>0</v>
      </c>
      <c r="P228" s="8">
        <f>SUMIFS('HOJAS DE HORA PROY.'!$E$2:$E$943,'HOJAS DE HORA PROY.'!$A$2:$A$943,'PLAN MAESTRO FINAL'!$A228,'HOJAS DE HORA PROY.'!$M$2:$M$943,P$113)</f>
        <v>0</v>
      </c>
      <c r="Q228" s="8">
        <f>SUMIFS('HOJAS DE HORA PROY.'!$E$2:$E$943,'HOJAS DE HORA PROY.'!$A$2:$A$943,'PLAN MAESTRO FINAL'!$A228,'HOJAS DE HORA PROY.'!$M$2:$M$943,Q$113)</f>
        <v>0</v>
      </c>
      <c r="R228" s="8">
        <f>SUMIFS('HOJAS DE HORA PROY.'!$E$2:$E$943,'HOJAS DE HORA PROY.'!$A$2:$A$943,'PLAN MAESTRO FINAL'!$A228,'HOJAS DE HORA PROY.'!$M$2:$M$943,R$113)</f>
        <v>0</v>
      </c>
      <c r="S228" s="8">
        <f>SUMIFS('HOJAS DE HORA PROY.'!$E$2:$E$943,'HOJAS DE HORA PROY.'!$A$2:$A$943,'PLAN MAESTRO FINAL'!$A228,'HOJAS DE HORA PROY.'!$M$2:$M$943,S$113)</f>
        <v>0</v>
      </c>
      <c r="T228" s="8">
        <f>SUMIFS('HOJAS DE HORA PROY.'!$E$2:$E$943,'HOJAS DE HORA PROY.'!$A$2:$A$943,'PLAN MAESTRO FINAL'!$A228,'HOJAS DE HORA PROY.'!$M$2:$M$943,T$113)</f>
        <v>0</v>
      </c>
      <c r="U228" s="8">
        <f>SUMIFS('HOJAS DE HORA PROY.'!$E$2:$E$943,'HOJAS DE HORA PROY.'!$A$2:$A$943,'PLAN MAESTRO FINAL'!$A228,'HOJAS DE HORA PROY.'!$M$2:$M$943,U$113)</f>
        <v>0</v>
      </c>
      <c r="V228" s="8">
        <f>SUMIFS('HOJAS DE HORA PROY.'!$E$2:$E$943,'HOJAS DE HORA PROY.'!$A$2:$A$943,'PLAN MAESTRO FINAL'!$A228,'HOJAS DE HORA PROY.'!$M$2:$M$943,V$113)</f>
        <v>0</v>
      </c>
      <c r="W228" s="8">
        <f>SUMIFS('HOJAS DE HORA PROY.'!$E$2:$E$943,'HOJAS DE HORA PROY.'!$A$2:$A$943,'PLAN MAESTRO FINAL'!$A228,'HOJAS DE HORA PROY.'!$M$2:$M$943,W$113)</f>
        <v>0</v>
      </c>
    </row>
    <row r="229" spans="1:23" hidden="1" outlineLevel="1" x14ac:dyDescent="0.3">
      <c r="A229" s="13" t="s">
        <v>126</v>
      </c>
      <c r="B229" s="8">
        <f>SUMIFS('HOJAS DE HORA PROY.'!$E$2:$E$943,'HOJAS DE HORA PROY.'!$A$2:$A$943,'PLAN MAESTRO FINAL'!$A229,'HOJAS DE HORA PROY.'!$M$2:$M$943,B$113)</f>
        <v>0</v>
      </c>
      <c r="C229" s="8">
        <f>SUMIFS('HOJAS DE HORA PROY.'!$E$2:$E$943,'HOJAS DE HORA PROY.'!$A$2:$A$943,'PLAN MAESTRO FINAL'!$A229,'HOJAS DE HORA PROY.'!$M$2:$M$943,C$113)</f>
        <v>0</v>
      </c>
      <c r="D229" s="8">
        <f>SUMIFS('HOJAS DE HORA PROY.'!$E$2:$E$943,'HOJAS DE HORA PROY.'!$A$2:$A$943,'PLAN MAESTRO FINAL'!$A229,'HOJAS DE HORA PROY.'!$M$2:$M$943,D$113)</f>
        <v>0</v>
      </c>
      <c r="E229" s="8">
        <f>SUMIFS('HOJAS DE HORA PROY.'!$E$2:$E$943,'HOJAS DE HORA PROY.'!$A$2:$A$943,'PLAN MAESTRO FINAL'!$A229,'HOJAS DE HORA PROY.'!$M$2:$M$943,E$113)</f>
        <v>0</v>
      </c>
      <c r="F229" s="8">
        <f>SUMIFS('HOJAS DE HORA PROY.'!$E$2:$E$943,'HOJAS DE HORA PROY.'!$A$2:$A$943,'PLAN MAESTRO FINAL'!$A229,'HOJAS DE HORA PROY.'!$M$2:$M$943,F$113)</f>
        <v>0</v>
      </c>
      <c r="G229" s="8">
        <f>SUMIFS('HOJAS DE HORA PROY.'!$E$2:$E$943,'HOJAS DE HORA PROY.'!$A$2:$A$943,'PLAN MAESTRO FINAL'!$A229,'HOJAS DE HORA PROY.'!$M$2:$M$943,G$113)</f>
        <v>0</v>
      </c>
      <c r="H229" s="8">
        <f>SUMIFS('HOJAS DE HORA PROY.'!$E$2:$E$943,'HOJAS DE HORA PROY.'!$A$2:$A$943,'PLAN MAESTRO FINAL'!$A229,'HOJAS DE HORA PROY.'!$M$2:$M$943,H$113)</f>
        <v>0</v>
      </c>
      <c r="I229" s="8">
        <f>SUMIFS('HOJAS DE HORA PROY.'!$E$2:$E$943,'HOJAS DE HORA PROY.'!$A$2:$A$943,'PLAN MAESTRO FINAL'!$A229,'HOJAS DE HORA PROY.'!$M$2:$M$943,I$113)</f>
        <v>0</v>
      </c>
      <c r="J229" s="8">
        <f>SUMIFS('HOJAS DE HORA PROY.'!$E$2:$E$943,'HOJAS DE HORA PROY.'!$A$2:$A$943,'PLAN MAESTRO FINAL'!$A229,'HOJAS DE HORA PROY.'!$M$2:$M$943,J$113)</f>
        <v>0</v>
      </c>
      <c r="K229" s="8">
        <f>SUMIFS('HOJAS DE HORA PROY.'!$E$2:$E$943,'HOJAS DE HORA PROY.'!$A$2:$A$943,'PLAN MAESTRO FINAL'!$A229,'HOJAS DE HORA PROY.'!$M$2:$M$943,K$113)</f>
        <v>0</v>
      </c>
      <c r="L229" s="8">
        <f>SUMIFS('HOJAS DE HORA PROY.'!$E$2:$E$943,'HOJAS DE HORA PROY.'!$A$2:$A$943,'PLAN MAESTRO FINAL'!$A229,'HOJAS DE HORA PROY.'!$M$2:$M$943,L$113)</f>
        <v>0</v>
      </c>
      <c r="M229" s="8">
        <f>SUMIFS('HOJAS DE HORA PROY.'!$E$2:$E$943,'HOJAS DE HORA PROY.'!$A$2:$A$943,'PLAN MAESTRO FINAL'!$A229,'HOJAS DE HORA PROY.'!$M$2:$M$943,M$113)</f>
        <v>0</v>
      </c>
      <c r="N229" s="8">
        <f>SUMIFS('HOJAS DE HORA PROY.'!$E$2:$E$943,'HOJAS DE HORA PROY.'!$A$2:$A$943,'PLAN MAESTRO FINAL'!$A229,'HOJAS DE HORA PROY.'!$M$2:$M$943,N$113)</f>
        <v>0</v>
      </c>
      <c r="O229" s="8">
        <f>SUMIFS('HOJAS DE HORA PROY.'!$E$2:$E$943,'HOJAS DE HORA PROY.'!$A$2:$A$943,'PLAN MAESTRO FINAL'!$A229,'HOJAS DE HORA PROY.'!$M$2:$M$943,O$113)</f>
        <v>0</v>
      </c>
      <c r="P229" s="8">
        <f>SUMIFS('HOJAS DE HORA PROY.'!$E$2:$E$943,'HOJAS DE HORA PROY.'!$A$2:$A$943,'PLAN MAESTRO FINAL'!$A229,'HOJAS DE HORA PROY.'!$M$2:$M$943,P$113)</f>
        <v>0</v>
      </c>
      <c r="Q229" s="8">
        <f>SUMIFS('HOJAS DE HORA PROY.'!$E$2:$E$943,'HOJAS DE HORA PROY.'!$A$2:$A$943,'PLAN MAESTRO FINAL'!$A229,'HOJAS DE HORA PROY.'!$M$2:$M$943,Q$113)</f>
        <v>0</v>
      </c>
      <c r="R229" s="8">
        <f>SUMIFS('HOJAS DE HORA PROY.'!$E$2:$E$943,'HOJAS DE HORA PROY.'!$A$2:$A$943,'PLAN MAESTRO FINAL'!$A229,'HOJAS DE HORA PROY.'!$M$2:$M$943,R$113)</f>
        <v>0</v>
      </c>
      <c r="S229" s="8">
        <f>SUMIFS('HOJAS DE HORA PROY.'!$E$2:$E$943,'HOJAS DE HORA PROY.'!$A$2:$A$943,'PLAN MAESTRO FINAL'!$A229,'HOJAS DE HORA PROY.'!$M$2:$M$943,S$113)</f>
        <v>0</v>
      </c>
      <c r="T229" s="8">
        <f>SUMIFS('HOJAS DE HORA PROY.'!$E$2:$E$943,'HOJAS DE HORA PROY.'!$A$2:$A$943,'PLAN MAESTRO FINAL'!$A229,'HOJAS DE HORA PROY.'!$M$2:$M$943,T$113)</f>
        <v>0</v>
      </c>
      <c r="U229" s="8">
        <f>SUMIFS('HOJAS DE HORA PROY.'!$E$2:$E$943,'HOJAS DE HORA PROY.'!$A$2:$A$943,'PLAN MAESTRO FINAL'!$A229,'HOJAS DE HORA PROY.'!$M$2:$M$943,U$113)</f>
        <v>0</v>
      </c>
      <c r="V229" s="8">
        <f>SUMIFS('HOJAS DE HORA PROY.'!$E$2:$E$943,'HOJAS DE HORA PROY.'!$A$2:$A$943,'PLAN MAESTRO FINAL'!$A229,'HOJAS DE HORA PROY.'!$M$2:$M$943,V$113)</f>
        <v>0</v>
      </c>
      <c r="W229" s="8">
        <f>SUMIFS('HOJAS DE HORA PROY.'!$E$2:$E$943,'HOJAS DE HORA PROY.'!$A$2:$A$943,'PLAN MAESTRO FINAL'!$A229,'HOJAS DE HORA PROY.'!$M$2:$M$943,W$113)</f>
        <v>0</v>
      </c>
    </row>
    <row r="230" spans="1:23" hidden="1" outlineLevel="1" x14ac:dyDescent="0.3">
      <c r="A230" s="13" t="s">
        <v>132</v>
      </c>
      <c r="B230" s="8">
        <f>SUMIFS('HOJAS DE HORA PROY.'!$E$2:$E$943,'HOJAS DE HORA PROY.'!$A$2:$A$943,'PLAN MAESTRO FINAL'!$A230,'HOJAS DE HORA PROY.'!$M$2:$M$943,B$113)</f>
        <v>0</v>
      </c>
      <c r="C230" s="8">
        <f>SUMIFS('HOJAS DE HORA PROY.'!$E$2:$E$943,'HOJAS DE HORA PROY.'!$A$2:$A$943,'PLAN MAESTRO FINAL'!$A230,'HOJAS DE HORA PROY.'!$M$2:$M$943,C$113)</f>
        <v>0</v>
      </c>
      <c r="D230" s="8">
        <f>SUMIFS('HOJAS DE HORA PROY.'!$E$2:$E$943,'HOJAS DE HORA PROY.'!$A$2:$A$943,'PLAN MAESTRO FINAL'!$A230,'HOJAS DE HORA PROY.'!$M$2:$M$943,D$113)</f>
        <v>0</v>
      </c>
      <c r="E230" s="8">
        <f>SUMIFS('HOJAS DE HORA PROY.'!$E$2:$E$943,'HOJAS DE HORA PROY.'!$A$2:$A$943,'PLAN MAESTRO FINAL'!$A230,'HOJAS DE HORA PROY.'!$M$2:$M$943,E$113)</f>
        <v>0</v>
      </c>
      <c r="F230" s="8">
        <f>SUMIFS('HOJAS DE HORA PROY.'!$E$2:$E$943,'HOJAS DE HORA PROY.'!$A$2:$A$943,'PLAN MAESTRO FINAL'!$A230,'HOJAS DE HORA PROY.'!$M$2:$M$943,F$113)</f>
        <v>0</v>
      </c>
      <c r="G230" s="8">
        <f>SUMIFS('HOJAS DE HORA PROY.'!$E$2:$E$943,'HOJAS DE HORA PROY.'!$A$2:$A$943,'PLAN MAESTRO FINAL'!$A230,'HOJAS DE HORA PROY.'!$M$2:$M$943,G$113)</f>
        <v>0</v>
      </c>
      <c r="H230" s="8">
        <f>SUMIFS('HOJAS DE HORA PROY.'!$E$2:$E$943,'HOJAS DE HORA PROY.'!$A$2:$A$943,'PLAN MAESTRO FINAL'!$A230,'HOJAS DE HORA PROY.'!$M$2:$M$943,H$113)</f>
        <v>0</v>
      </c>
      <c r="I230" s="8">
        <f>SUMIFS('HOJAS DE HORA PROY.'!$E$2:$E$943,'HOJAS DE HORA PROY.'!$A$2:$A$943,'PLAN MAESTRO FINAL'!$A230,'HOJAS DE HORA PROY.'!$M$2:$M$943,I$113)</f>
        <v>0</v>
      </c>
      <c r="J230" s="8">
        <f>SUMIFS('HOJAS DE HORA PROY.'!$E$2:$E$943,'HOJAS DE HORA PROY.'!$A$2:$A$943,'PLAN MAESTRO FINAL'!$A230,'HOJAS DE HORA PROY.'!$M$2:$M$943,J$113)</f>
        <v>0</v>
      </c>
      <c r="K230" s="8">
        <f>SUMIFS('HOJAS DE HORA PROY.'!$E$2:$E$943,'HOJAS DE HORA PROY.'!$A$2:$A$943,'PLAN MAESTRO FINAL'!$A230,'HOJAS DE HORA PROY.'!$M$2:$M$943,K$113)</f>
        <v>0</v>
      </c>
      <c r="L230" s="8">
        <f>SUMIFS('HOJAS DE HORA PROY.'!$E$2:$E$943,'HOJAS DE HORA PROY.'!$A$2:$A$943,'PLAN MAESTRO FINAL'!$A230,'HOJAS DE HORA PROY.'!$M$2:$M$943,L$113)</f>
        <v>0</v>
      </c>
      <c r="M230" s="8">
        <f>SUMIFS('HOJAS DE HORA PROY.'!$E$2:$E$943,'HOJAS DE HORA PROY.'!$A$2:$A$943,'PLAN MAESTRO FINAL'!$A230,'HOJAS DE HORA PROY.'!$M$2:$M$943,M$113)</f>
        <v>0</v>
      </c>
      <c r="N230" s="8">
        <f>SUMIFS('HOJAS DE HORA PROY.'!$E$2:$E$943,'HOJAS DE HORA PROY.'!$A$2:$A$943,'PLAN MAESTRO FINAL'!$A230,'HOJAS DE HORA PROY.'!$M$2:$M$943,N$113)</f>
        <v>0</v>
      </c>
      <c r="O230" s="8">
        <f>SUMIFS('HOJAS DE HORA PROY.'!$E$2:$E$943,'HOJAS DE HORA PROY.'!$A$2:$A$943,'PLAN MAESTRO FINAL'!$A230,'HOJAS DE HORA PROY.'!$M$2:$M$943,O$113)</f>
        <v>0</v>
      </c>
      <c r="P230" s="8">
        <f>SUMIFS('HOJAS DE HORA PROY.'!$E$2:$E$943,'HOJAS DE HORA PROY.'!$A$2:$A$943,'PLAN MAESTRO FINAL'!$A230,'HOJAS DE HORA PROY.'!$M$2:$M$943,P$113)</f>
        <v>0</v>
      </c>
      <c r="Q230" s="8">
        <f>SUMIFS('HOJAS DE HORA PROY.'!$E$2:$E$943,'HOJAS DE HORA PROY.'!$A$2:$A$943,'PLAN MAESTRO FINAL'!$A230,'HOJAS DE HORA PROY.'!$M$2:$M$943,Q$113)</f>
        <v>0</v>
      </c>
      <c r="R230" s="8">
        <f>SUMIFS('HOJAS DE HORA PROY.'!$E$2:$E$943,'HOJAS DE HORA PROY.'!$A$2:$A$943,'PLAN MAESTRO FINAL'!$A230,'HOJAS DE HORA PROY.'!$M$2:$M$943,R$113)</f>
        <v>0</v>
      </c>
      <c r="S230" s="8">
        <f>SUMIFS('HOJAS DE HORA PROY.'!$E$2:$E$943,'HOJAS DE HORA PROY.'!$A$2:$A$943,'PLAN MAESTRO FINAL'!$A230,'HOJAS DE HORA PROY.'!$M$2:$M$943,S$113)</f>
        <v>0</v>
      </c>
      <c r="T230" s="8">
        <f>SUMIFS('HOJAS DE HORA PROY.'!$E$2:$E$943,'HOJAS DE HORA PROY.'!$A$2:$A$943,'PLAN MAESTRO FINAL'!$A230,'HOJAS DE HORA PROY.'!$M$2:$M$943,T$113)</f>
        <v>0</v>
      </c>
      <c r="U230" s="8">
        <f>SUMIFS('HOJAS DE HORA PROY.'!$E$2:$E$943,'HOJAS DE HORA PROY.'!$A$2:$A$943,'PLAN MAESTRO FINAL'!$A230,'HOJAS DE HORA PROY.'!$M$2:$M$943,U$113)</f>
        <v>0</v>
      </c>
      <c r="V230" s="8">
        <f>SUMIFS('HOJAS DE HORA PROY.'!$E$2:$E$943,'HOJAS DE HORA PROY.'!$A$2:$A$943,'PLAN MAESTRO FINAL'!$A230,'HOJAS DE HORA PROY.'!$M$2:$M$943,V$113)</f>
        <v>0</v>
      </c>
      <c r="W230" s="8">
        <f>SUMIFS('HOJAS DE HORA PROY.'!$E$2:$E$943,'HOJAS DE HORA PROY.'!$A$2:$A$943,'PLAN MAESTRO FINAL'!$A230,'HOJAS DE HORA PROY.'!$M$2:$M$943,W$113)</f>
        <v>0</v>
      </c>
    </row>
    <row r="231" spans="1:23" hidden="1" outlineLevel="1" x14ac:dyDescent="0.3">
      <c r="A231" s="13" t="s">
        <v>141</v>
      </c>
      <c r="B231" s="8">
        <f>SUMIFS('HOJAS DE HORA PROY.'!$E$2:$E$943,'HOJAS DE HORA PROY.'!$A$2:$A$943,'PLAN MAESTRO FINAL'!$A231,'HOJAS DE HORA PROY.'!$M$2:$M$943,B$113)</f>
        <v>0</v>
      </c>
      <c r="C231" s="8">
        <f>SUMIFS('HOJAS DE HORA PROY.'!$E$2:$E$943,'HOJAS DE HORA PROY.'!$A$2:$A$943,'PLAN MAESTRO FINAL'!$A231,'HOJAS DE HORA PROY.'!$M$2:$M$943,C$113)</f>
        <v>0</v>
      </c>
      <c r="D231" s="8">
        <f>SUMIFS('HOJAS DE HORA PROY.'!$E$2:$E$943,'HOJAS DE HORA PROY.'!$A$2:$A$943,'PLAN MAESTRO FINAL'!$A231,'HOJAS DE HORA PROY.'!$M$2:$M$943,D$113)</f>
        <v>0</v>
      </c>
      <c r="E231" s="8">
        <f>SUMIFS('HOJAS DE HORA PROY.'!$E$2:$E$943,'HOJAS DE HORA PROY.'!$A$2:$A$943,'PLAN MAESTRO FINAL'!$A231,'HOJAS DE HORA PROY.'!$M$2:$M$943,E$113)</f>
        <v>0</v>
      </c>
      <c r="F231" s="8">
        <f>SUMIFS('HOJAS DE HORA PROY.'!$E$2:$E$943,'HOJAS DE HORA PROY.'!$A$2:$A$943,'PLAN MAESTRO FINAL'!$A231,'HOJAS DE HORA PROY.'!$M$2:$M$943,F$113)</f>
        <v>0</v>
      </c>
      <c r="G231" s="8">
        <f>SUMIFS('HOJAS DE HORA PROY.'!$E$2:$E$943,'HOJAS DE HORA PROY.'!$A$2:$A$943,'PLAN MAESTRO FINAL'!$A231,'HOJAS DE HORA PROY.'!$M$2:$M$943,G$113)</f>
        <v>0</v>
      </c>
      <c r="H231" s="8">
        <f>SUMIFS('HOJAS DE HORA PROY.'!$E$2:$E$943,'HOJAS DE HORA PROY.'!$A$2:$A$943,'PLAN MAESTRO FINAL'!$A231,'HOJAS DE HORA PROY.'!$M$2:$M$943,H$113)</f>
        <v>0</v>
      </c>
      <c r="I231" s="8">
        <f>SUMIFS('HOJAS DE HORA PROY.'!$E$2:$E$943,'HOJAS DE HORA PROY.'!$A$2:$A$943,'PLAN MAESTRO FINAL'!$A231,'HOJAS DE HORA PROY.'!$M$2:$M$943,I$113)</f>
        <v>0</v>
      </c>
      <c r="J231" s="8">
        <f>SUMIFS('HOJAS DE HORA PROY.'!$E$2:$E$943,'HOJAS DE HORA PROY.'!$A$2:$A$943,'PLAN MAESTRO FINAL'!$A231,'HOJAS DE HORA PROY.'!$M$2:$M$943,J$113)</f>
        <v>0</v>
      </c>
      <c r="K231" s="8">
        <f>SUMIFS('HOJAS DE HORA PROY.'!$E$2:$E$943,'HOJAS DE HORA PROY.'!$A$2:$A$943,'PLAN MAESTRO FINAL'!$A231,'HOJAS DE HORA PROY.'!$M$2:$M$943,K$113)</f>
        <v>0</v>
      </c>
      <c r="L231" s="8">
        <f>SUMIFS('HOJAS DE HORA PROY.'!$E$2:$E$943,'HOJAS DE HORA PROY.'!$A$2:$A$943,'PLAN MAESTRO FINAL'!$A231,'HOJAS DE HORA PROY.'!$M$2:$M$943,L$113)</f>
        <v>0</v>
      </c>
      <c r="M231" s="8">
        <f>SUMIFS('HOJAS DE HORA PROY.'!$E$2:$E$943,'HOJAS DE HORA PROY.'!$A$2:$A$943,'PLAN MAESTRO FINAL'!$A231,'HOJAS DE HORA PROY.'!$M$2:$M$943,M$113)</f>
        <v>0</v>
      </c>
      <c r="N231" s="8">
        <f>SUMIFS('HOJAS DE HORA PROY.'!$E$2:$E$943,'HOJAS DE HORA PROY.'!$A$2:$A$943,'PLAN MAESTRO FINAL'!$A231,'HOJAS DE HORA PROY.'!$M$2:$M$943,N$113)</f>
        <v>0</v>
      </c>
      <c r="O231" s="8">
        <f>SUMIFS('HOJAS DE HORA PROY.'!$E$2:$E$943,'HOJAS DE HORA PROY.'!$A$2:$A$943,'PLAN MAESTRO FINAL'!$A231,'HOJAS DE HORA PROY.'!$M$2:$M$943,O$113)</f>
        <v>0</v>
      </c>
      <c r="P231" s="8">
        <f>SUMIFS('HOJAS DE HORA PROY.'!$E$2:$E$943,'HOJAS DE HORA PROY.'!$A$2:$A$943,'PLAN MAESTRO FINAL'!$A231,'HOJAS DE HORA PROY.'!$M$2:$M$943,P$113)</f>
        <v>0</v>
      </c>
      <c r="Q231" s="8">
        <f>SUMIFS('HOJAS DE HORA PROY.'!$E$2:$E$943,'HOJAS DE HORA PROY.'!$A$2:$A$943,'PLAN MAESTRO FINAL'!$A231,'HOJAS DE HORA PROY.'!$M$2:$M$943,Q$113)</f>
        <v>0</v>
      </c>
      <c r="R231" s="8">
        <f>SUMIFS('HOJAS DE HORA PROY.'!$E$2:$E$943,'HOJAS DE HORA PROY.'!$A$2:$A$943,'PLAN MAESTRO FINAL'!$A231,'HOJAS DE HORA PROY.'!$M$2:$M$943,R$113)</f>
        <v>0</v>
      </c>
      <c r="S231" s="8">
        <f>SUMIFS('HOJAS DE HORA PROY.'!$E$2:$E$943,'HOJAS DE HORA PROY.'!$A$2:$A$943,'PLAN MAESTRO FINAL'!$A231,'HOJAS DE HORA PROY.'!$M$2:$M$943,S$113)</f>
        <v>0</v>
      </c>
      <c r="T231" s="8">
        <f>SUMIFS('HOJAS DE HORA PROY.'!$E$2:$E$943,'HOJAS DE HORA PROY.'!$A$2:$A$943,'PLAN MAESTRO FINAL'!$A231,'HOJAS DE HORA PROY.'!$M$2:$M$943,T$113)</f>
        <v>0</v>
      </c>
      <c r="U231" s="8">
        <f>SUMIFS('HOJAS DE HORA PROY.'!$E$2:$E$943,'HOJAS DE HORA PROY.'!$A$2:$A$943,'PLAN MAESTRO FINAL'!$A231,'HOJAS DE HORA PROY.'!$M$2:$M$943,U$113)</f>
        <v>0</v>
      </c>
      <c r="V231" s="8">
        <f>SUMIFS('HOJAS DE HORA PROY.'!$E$2:$E$943,'HOJAS DE HORA PROY.'!$A$2:$A$943,'PLAN MAESTRO FINAL'!$A231,'HOJAS DE HORA PROY.'!$M$2:$M$943,V$113)</f>
        <v>0</v>
      </c>
      <c r="W231" s="8">
        <f>SUMIFS('HOJAS DE HORA PROY.'!$E$2:$E$943,'HOJAS DE HORA PROY.'!$A$2:$A$943,'PLAN MAESTRO FINAL'!$A231,'HOJAS DE HORA PROY.'!$M$2:$M$943,W$113)</f>
        <v>0</v>
      </c>
    </row>
    <row r="232" spans="1:23" hidden="1" outlineLevel="1" x14ac:dyDescent="0.3">
      <c r="A232" s="13" t="s">
        <v>161</v>
      </c>
      <c r="B232" s="8">
        <f>SUMIFS('HOJAS DE HORA PROY.'!$E$2:$E$943,'HOJAS DE HORA PROY.'!$A$2:$A$943,'PLAN MAESTRO FINAL'!$A232,'HOJAS DE HORA PROY.'!$M$2:$M$943,B$113)</f>
        <v>0</v>
      </c>
      <c r="C232" s="8">
        <f>SUMIFS('HOJAS DE HORA PROY.'!$E$2:$E$943,'HOJAS DE HORA PROY.'!$A$2:$A$943,'PLAN MAESTRO FINAL'!$A232,'HOJAS DE HORA PROY.'!$M$2:$M$943,C$113)</f>
        <v>0</v>
      </c>
      <c r="D232" s="8">
        <f>SUMIFS('HOJAS DE HORA PROY.'!$E$2:$E$943,'HOJAS DE HORA PROY.'!$A$2:$A$943,'PLAN MAESTRO FINAL'!$A232,'HOJAS DE HORA PROY.'!$M$2:$M$943,D$113)</f>
        <v>0</v>
      </c>
      <c r="E232" s="8">
        <f>SUMIFS('HOJAS DE HORA PROY.'!$E$2:$E$943,'HOJAS DE HORA PROY.'!$A$2:$A$943,'PLAN MAESTRO FINAL'!$A232,'HOJAS DE HORA PROY.'!$M$2:$M$943,E$113)</f>
        <v>0</v>
      </c>
      <c r="F232" s="8">
        <f>SUMIFS('HOJAS DE HORA PROY.'!$E$2:$E$943,'HOJAS DE HORA PROY.'!$A$2:$A$943,'PLAN MAESTRO FINAL'!$A232,'HOJAS DE HORA PROY.'!$M$2:$M$943,F$113)</f>
        <v>0</v>
      </c>
      <c r="G232" s="8">
        <f>SUMIFS('HOJAS DE HORA PROY.'!$E$2:$E$943,'HOJAS DE HORA PROY.'!$A$2:$A$943,'PLAN MAESTRO FINAL'!$A232,'HOJAS DE HORA PROY.'!$M$2:$M$943,G$113)</f>
        <v>0</v>
      </c>
      <c r="H232" s="8">
        <f>SUMIFS('HOJAS DE HORA PROY.'!$E$2:$E$943,'HOJAS DE HORA PROY.'!$A$2:$A$943,'PLAN MAESTRO FINAL'!$A232,'HOJAS DE HORA PROY.'!$M$2:$M$943,H$113)</f>
        <v>0</v>
      </c>
      <c r="I232" s="8">
        <f>SUMIFS('HOJAS DE HORA PROY.'!$E$2:$E$943,'HOJAS DE HORA PROY.'!$A$2:$A$943,'PLAN MAESTRO FINAL'!$A232,'HOJAS DE HORA PROY.'!$M$2:$M$943,I$113)</f>
        <v>0</v>
      </c>
      <c r="J232" s="8">
        <f>SUMIFS('HOJAS DE HORA PROY.'!$E$2:$E$943,'HOJAS DE HORA PROY.'!$A$2:$A$943,'PLAN MAESTRO FINAL'!$A232,'HOJAS DE HORA PROY.'!$M$2:$M$943,J$113)</f>
        <v>0</v>
      </c>
      <c r="K232" s="8">
        <f>SUMIFS('HOJAS DE HORA PROY.'!$E$2:$E$943,'HOJAS DE HORA PROY.'!$A$2:$A$943,'PLAN MAESTRO FINAL'!$A232,'HOJAS DE HORA PROY.'!$M$2:$M$943,K$113)</f>
        <v>0</v>
      </c>
      <c r="L232" s="8">
        <f>SUMIFS('HOJAS DE HORA PROY.'!$E$2:$E$943,'HOJAS DE HORA PROY.'!$A$2:$A$943,'PLAN MAESTRO FINAL'!$A232,'HOJAS DE HORA PROY.'!$M$2:$M$943,L$113)</f>
        <v>0</v>
      </c>
      <c r="M232" s="8">
        <f>SUMIFS('HOJAS DE HORA PROY.'!$E$2:$E$943,'HOJAS DE HORA PROY.'!$A$2:$A$943,'PLAN MAESTRO FINAL'!$A232,'HOJAS DE HORA PROY.'!$M$2:$M$943,M$113)</f>
        <v>0</v>
      </c>
      <c r="N232" s="8">
        <f>SUMIFS('HOJAS DE HORA PROY.'!$E$2:$E$943,'HOJAS DE HORA PROY.'!$A$2:$A$943,'PLAN MAESTRO FINAL'!$A232,'HOJAS DE HORA PROY.'!$M$2:$M$943,N$113)</f>
        <v>0</v>
      </c>
      <c r="O232" s="8">
        <f>SUMIFS('HOJAS DE HORA PROY.'!$E$2:$E$943,'HOJAS DE HORA PROY.'!$A$2:$A$943,'PLAN MAESTRO FINAL'!$A232,'HOJAS DE HORA PROY.'!$M$2:$M$943,O$113)</f>
        <v>0</v>
      </c>
      <c r="P232" s="8">
        <f>SUMIFS('HOJAS DE HORA PROY.'!$E$2:$E$943,'HOJAS DE HORA PROY.'!$A$2:$A$943,'PLAN MAESTRO FINAL'!$A232,'HOJAS DE HORA PROY.'!$M$2:$M$943,P$113)</f>
        <v>0</v>
      </c>
      <c r="Q232" s="8">
        <f>SUMIFS('HOJAS DE HORA PROY.'!$E$2:$E$943,'HOJAS DE HORA PROY.'!$A$2:$A$943,'PLAN MAESTRO FINAL'!$A232,'HOJAS DE HORA PROY.'!$M$2:$M$943,Q$113)</f>
        <v>0</v>
      </c>
      <c r="R232" s="8">
        <f>SUMIFS('HOJAS DE HORA PROY.'!$E$2:$E$943,'HOJAS DE HORA PROY.'!$A$2:$A$943,'PLAN MAESTRO FINAL'!$A232,'HOJAS DE HORA PROY.'!$M$2:$M$943,R$113)</f>
        <v>0</v>
      </c>
      <c r="S232" s="8">
        <f>SUMIFS('HOJAS DE HORA PROY.'!$E$2:$E$943,'HOJAS DE HORA PROY.'!$A$2:$A$943,'PLAN MAESTRO FINAL'!$A232,'HOJAS DE HORA PROY.'!$M$2:$M$943,S$113)</f>
        <v>0</v>
      </c>
      <c r="T232" s="8">
        <f>SUMIFS('HOJAS DE HORA PROY.'!$E$2:$E$943,'HOJAS DE HORA PROY.'!$A$2:$A$943,'PLAN MAESTRO FINAL'!$A232,'HOJAS DE HORA PROY.'!$M$2:$M$943,T$113)</f>
        <v>0</v>
      </c>
      <c r="U232" s="8">
        <f>SUMIFS('HOJAS DE HORA PROY.'!$E$2:$E$943,'HOJAS DE HORA PROY.'!$A$2:$A$943,'PLAN MAESTRO FINAL'!$A232,'HOJAS DE HORA PROY.'!$M$2:$M$943,U$113)</f>
        <v>0</v>
      </c>
      <c r="V232" s="8">
        <f>SUMIFS('HOJAS DE HORA PROY.'!$E$2:$E$943,'HOJAS DE HORA PROY.'!$A$2:$A$943,'PLAN MAESTRO FINAL'!$A232,'HOJAS DE HORA PROY.'!$M$2:$M$943,V$113)</f>
        <v>0</v>
      </c>
      <c r="W232" s="8">
        <f>SUMIFS('HOJAS DE HORA PROY.'!$E$2:$E$943,'HOJAS DE HORA PROY.'!$A$2:$A$943,'PLAN MAESTRO FINAL'!$A232,'HOJAS DE HORA PROY.'!$M$2:$M$943,W$113)</f>
        <v>0</v>
      </c>
    </row>
    <row r="233" spans="1:23" hidden="1" outlineLevel="1" x14ac:dyDescent="0.3">
      <c r="A233" s="13" t="s">
        <v>165</v>
      </c>
      <c r="B233" s="8">
        <f>SUMIFS('HOJAS DE HORA PROY.'!$E$2:$E$943,'HOJAS DE HORA PROY.'!$A$2:$A$943,'PLAN MAESTRO FINAL'!$A233,'HOJAS DE HORA PROY.'!$M$2:$M$943,B$113)</f>
        <v>0</v>
      </c>
      <c r="C233" s="8">
        <f>SUMIFS('HOJAS DE HORA PROY.'!$E$2:$E$943,'HOJAS DE HORA PROY.'!$A$2:$A$943,'PLAN MAESTRO FINAL'!$A233,'HOJAS DE HORA PROY.'!$M$2:$M$943,C$113)</f>
        <v>0</v>
      </c>
      <c r="D233" s="8">
        <f>SUMIFS('HOJAS DE HORA PROY.'!$E$2:$E$943,'HOJAS DE HORA PROY.'!$A$2:$A$943,'PLAN MAESTRO FINAL'!$A233,'HOJAS DE HORA PROY.'!$M$2:$M$943,D$113)</f>
        <v>0</v>
      </c>
      <c r="E233" s="8">
        <f>SUMIFS('HOJAS DE HORA PROY.'!$E$2:$E$943,'HOJAS DE HORA PROY.'!$A$2:$A$943,'PLAN MAESTRO FINAL'!$A233,'HOJAS DE HORA PROY.'!$M$2:$M$943,E$113)</f>
        <v>0</v>
      </c>
      <c r="F233" s="8">
        <f>SUMIFS('HOJAS DE HORA PROY.'!$E$2:$E$943,'HOJAS DE HORA PROY.'!$A$2:$A$943,'PLAN MAESTRO FINAL'!$A233,'HOJAS DE HORA PROY.'!$M$2:$M$943,F$113)</f>
        <v>0</v>
      </c>
      <c r="G233" s="8">
        <f>SUMIFS('HOJAS DE HORA PROY.'!$E$2:$E$943,'HOJAS DE HORA PROY.'!$A$2:$A$943,'PLAN MAESTRO FINAL'!$A233,'HOJAS DE HORA PROY.'!$M$2:$M$943,G$113)</f>
        <v>0</v>
      </c>
      <c r="H233" s="8">
        <f>SUMIFS('HOJAS DE HORA PROY.'!$E$2:$E$943,'HOJAS DE HORA PROY.'!$A$2:$A$943,'PLAN MAESTRO FINAL'!$A233,'HOJAS DE HORA PROY.'!$M$2:$M$943,H$113)</f>
        <v>0</v>
      </c>
      <c r="I233" s="8">
        <f>SUMIFS('HOJAS DE HORA PROY.'!$E$2:$E$943,'HOJAS DE HORA PROY.'!$A$2:$A$943,'PLAN MAESTRO FINAL'!$A233,'HOJAS DE HORA PROY.'!$M$2:$M$943,I$113)</f>
        <v>0</v>
      </c>
      <c r="J233" s="8">
        <f>SUMIFS('HOJAS DE HORA PROY.'!$E$2:$E$943,'HOJAS DE HORA PROY.'!$A$2:$A$943,'PLAN MAESTRO FINAL'!$A233,'HOJAS DE HORA PROY.'!$M$2:$M$943,J$113)</f>
        <v>0</v>
      </c>
      <c r="K233" s="8">
        <f>SUMIFS('HOJAS DE HORA PROY.'!$E$2:$E$943,'HOJAS DE HORA PROY.'!$A$2:$A$943,'PLAN MAESTRO FINAL'!$A233,'HOJAS DE HORA PROY.'!$M$2:$M$943,K$113)</f>
        <v>0</v>
      </c>
      <c r="L233" s="8">
        <f>SUMIFS('HOJAS DE HORA PROY.'!$E$2:$E$943,'HOJAS DE HORA PROY.'!$A$2:$A$943,'PLAN MAESTRO FINAL'!$A233,'HOJAS DE HORA PROY.'!$M$2:$M$943,L$113)</f>
        <v>0</v>
      </c>
      <c r="M233" s="8">
        <f>SUMIFS('HOJAS DE HORA PROY.'!$E$2:$E$943,'HOJAS DE HORA PROY.'!$A$2:$A$943,'PLAN MAESTRO FINAL'!$A233,'HOJAS DE HORA PROY.'!$M$2:$M$943,M$113)</f>
        <v>0</v>
      </c>
      <c r="N233" s="8">
        <f>SUMIFS('HOJAS DE HORA PROY.'!$E$2:$E$943,'HOJAS DE HORA PROY.'!$A$2:$A$943,'PLAN MAESTRO FINAL'!$A233,'HOJAS DE HORA PROY.'!$M$2:$M$943,N$113)</f>
        <v>0</v>
      </c>
      <c r="O233" s="8">
        <f>SUMIFS('HOJAS DE HORA PROY.'!$E$2:$E$943,'HOJAS DE HORA PROY.'!$A$2:$A$943,'PLAN MAESTRO FINAL'!$A233,'HOJAS DE HORA PROY.'!$M$2:$M$943,O$113)</f>
        <v>0</v>
      </c>
      <c r="P233" s="8">
        <f>SUMIFS('HOJAS DE HORA PROY.'!$E$2:$E$943,'HOJAS DE HORA PROY.'!$A$2:$A$943,'PLAN MAESTRO FINAL'!$A233,'HOJAS DE HORA PROY.'!$M$2:$M$943,P$113)</f>
        <v>0</v>
      </c>
      <c r="Q233" s="8">
        <f>SUMIFS('HOJAS DE HORA PROY.'!$E$2:$E$943,'HOJAS DE HORA PROY.'!$A$2:$A$943,'PLAN MAESTRO FINAL'!$A233,'HOJAS DE HORA PROY.'!$M$2:$M$943,Q$113)</f>
        <v>0</v>
      </c>
      <c r="R233" s="8">
        <f>SUMIFS('HOJAS DE HORA PROY.'!$E$2:$E$943,'HOJAS DE HORA PROY.'!$A$2:$A$943,'PLAN MAESTRO FINAL'!$A233,'HOJAS DE HORA PROY.'!$M$2:$M$943,R$113)</f>
        <v>0</v>
      </c>
      <c r="S233" s="8">
        <f>SUMIFS('HOJAS DE HORA PROY.'!$E$2:$E$943,'HOJAS DE HORA PROY.'!$A$2:$A$943,'PLAN MAESTRO FINAL'!$A233,'HOJAS DE HORA PROY.'!$M$2:$M$943,S$113)</f>
        <v>0</v>
      </c>
      <c r="T233" s="8">
        <f>SUMIFS('HOJAS DE HORA PROY.'!$E$2:$E$943,'HOJAS DE HORA PROY.'!$A$2:$A$943,'PLAN MAESTRO FINAL'!$A233,'HOJAS DE HORA PROY.'!$M$2:$M$943,T$113)</f>
        <v>0</v>
      </c>
      <c r="U233" s="8">
        <f>SUMIFS('HOJAS DE HORA PROY.'!$E$2:$E$943,'HOJAS DE HORA PROY.'!$A$2:$A$943,'PLAN MAESTRO FINAL'!$A233,'HOJAS DE HORA PROY.'!$M$2:$M$943,U$113)</f>
        <v>0</v>
      </c>
      <c r="V233" s="8">
        <f>SUMIFS('HOJAS DE HORA PROY.'!$E$2:$E$943,'HOJAS DE HORA PROY.'!$A$2:$A$943,'PLAN MAESTRO FINAL'!$A233,'HOJAS DE HORA PROY.'!$M$2:$M$943,V$113)</f>
        <v>0</v>
      </c>
      <c r="W233" s="8">
        <f>SUMIFS('HOJAS DE HORA PROY.'!$E$2:$E$943,'HOJAS DE HORA PROY.'!$A$2:$A$943,'PLAN MAESTRO FINAL'!$A233,'HOJAS DE HORA PROY.'!$M$2:$M$943,W$113)</f>
        <v>0</v>
      </c>
    </row>
    <row r="234" spans="1:23" hidden="1" outlineLevel="1" x14ac:dyDescent="0.3">
      <c r="A234" s="13" t="s">
        <v>203</v>
      </c>
      <c r="B234" s="8">
        <f>SUMIFS('HOJAS DE HORA PROY.'!$E$2:$E$943,'HOJAS DE HORA PROY.'!$A$2:$A$943,'PLAN MAESTRO FINAL'!$A234,'HOJAS DE HORA PROY.'!$M$2:$M$943,B$113)</f>
        <v>0</v>
      </c>
      <c r="C234" s="8">
        <f>SUMIFS('HOJAS DE HORA PROY.'!$E$2:$E$943,'HOJAS DE HORA PROY.'!$A$2:$A$943,'PLAN MAESTRO FINAL'!$A234,'HOJAS DE HORA PROY.'!$M$2:$M$943,C$113)</f>
        <v>0</v>
      </c>
      <c r="D234" s="8">
        <f>SUMIFS('HOJAS DE HORA PROY.'!$E$2:$E$943,'HOJAS DE HORA PROY.'!$A$2:$A$943,'PLAN MAESTRO FINAL'!$A234,'HOJAS DE HORA PROY.'!$M$2:$M$943,D$113)</f>
        <v>0</v>
      </c>
      <c r="E234" s="8">
        <f>SUMIFS('HOJAS DE HORA PROY.'!$E$2:$E$943,'HOJAS DE HORA PROY.'!$A$2:$A$943,'PLAN MAESTRO FINAL'!$A234,'HOJAS DE HORA PROY.'!$M$2:$M$943,E$113)</f>
        <v>0</v>
      </c>
      <c r="F234" s="8">
        <f>SUMIFS('HOJAS DE HORA PROY.'!$E$2:$E$943,'HOJAS DE HORA PROY.'!$A$2:$A$943,'PLAN MAESTRO FINAL'!$A234,'HOJAS DE HORA PROY.'!$M$2:$M$943,F$113)</f>
        <v>0</v>
      </c>
      <c r="G234" s="8">
        <f>SUMIFS('HOJAS DE HORA PROY.'!$E$2:$E$943,'HOJAS DE HORA PROY.'!$A$2:$A$943,'PLAN MAESTRO FINAL'!$A234,'HOJAS DE HORA PROY.'!$M$2:$M$943,G$113)</f>
        <v>0</v>
      </c>
      <c r="H234" s="8">
        <f>SUMIFS('HOJAS DE HORA PROY.'!$E$2:$E$943,'HOJAS DE HORA PROY.'!$A$2:$A$943,'PLAN MAESTRO FINAL'!$A234,'HOJAS DE HORA PROY.'!$M$2:$M$943,H$113)</f>
        <v>0</v>
      </c>
      <c r="I234" s="8">
        <f>SUMIFS('HOJAS DE HORA PROY.'!$E$2:$E$943,'HOJAS DE HORA PROY.'!$A$2:$A$943,'PLAN MAESTRO FINAL'!$A234,'HOJAS DE HORA PROY.'!$M$2:$M$943,I$113)</f>
        <v>0</v>
      </c>
      <c r="J234" s="8">
        <f>SUMIFS('HOJAS DE HORA PROY.'!$E$2:$E$943,'HOJAS DE HORA PROY.'!$A$2:$A$943,'PLAN MAESTRO FINAL'!$A234,'HOJAS DE HORA PROY.'!$M$2:$M$943,J$113)</f>
        <v>0</v>
      </c>
      <c r="K234" s="8">
        <f>SUMIFS('HOJAS DE HORA PROY.'!$E$2:$E$943,'HOJAS DE HORA PROY.'!$A$2:$A$943,'PLAN MAESTRO FINAL'!$A234,'HOJAS DE HORA PROY.'!$M$2:$M$943,K$113)</f>
        <v>0</v>
      </c>
      <c r="L234" s="8">
        <f>SUMIFS('HOJAS DE HORA PROY.'!$E$2:$E$943,'HOJAS DE HORA PROY.'!$A$2:$A$943,'PLAN MAESTRO FINAL'!$A234,'HOJAS DE HORA PROY.'!$M$2:$M$943,L$113)</f>
        <v>0</v>
      </c>
      <c r="M234" s="8">
        <f>SUMIFS('HOJAS DE HORA PROY.'!$E$2:$E$943,'HOJAS DE HORA PROY.'!$A$2:$A$943,'PLAN MAESTRO FINAL'!$A234,'HOJAS DE HORA PROY.'!$M$2:$M$943,M$113)</f>
        <v>0</v>
      </c>
      <c r="N234" s="8">
        <f>SUMIFS('HOJAS DE HORA PROY.'!$E$2:$E$943,'HOJAS DE HORA PROY.'!$A$2:$A$943,'PLAN MAESTRO FINAL'!$A234,'HOJAS DE HORA PROY.'!$M$2:$M$943,N$113)</f>
        <v>0</v>
      </c>
      <c r="O234" s="8">
        <f>SUMIFS('HOJAS DE HORA PROY.'!$E$2:$E$943,'HOJAS DE HORA PROY.'!$A$2:$A$943,'PLAN MAESTRO FINAL'!$A234,'HOJAS DE HORA PROY.'!$M$2:$M$943,O$113)</f>
        <v>0</v>
      </c>
      <c r="P234" s="8">
        <f>SUMIFS('HOJAS DE HORA PROY.'!$E$2:$E$943,'HOJAS DE HORA PROY.'!$A$2:$A$943,'PLAN MAESTRO FINAL'!$A234,'HOJAS DE HORA PROY.'!$M$2:$M$943,P$113)</f>
        <v>0</v>
      </c>
      <c r="Q234" s="8">
        <f>SUMIFS('HOJAS DE HORA PROY.'!$E$2:$E$943,'HOJAS DE HORA PROY.'!$A$2:$A$943,'PLAN MAESTRO FINAL'!$A234,'HOJAS DE HORA PROY.'!$M$2:$M$943,Q$113)</f>
        <v>0</v>
      </c>
      <c r="R234" s="8">
        <f>SUMIFS('HOJAS DE HORA PROY.'!$E$2:$E$943,'HOJAS DE HORA PROY.'!$A$2:$A$943,'PLAN MAESTRO FINAL'!$A234,'HOJAS DE HORA PROY.'!$M$2:$M$943,R$113)</f>
        <v>0</v>
      </c>
      <c r="S234" s="8">
        <f>SUMIFS('HOJAS DE HORA PROY.'!$E$2:$E$943,'HOJAS DE HORA PROY.'!$A$2:$A$943,'PLAN MAESTRO FINAL'!$A234,'HOJAS DE HORA PROY.'!$M$2:$M$943,S$113)</f>
        <v>0</v>
      </c>
      <c r="T234" s="8">
        <f>SUMIFS('HOJAS DE HORA PROY.'!$E$2:$E$943,'HOJAS DE HORA PROY.'!$A$2:$A$943,'PLAN MAESTRO FINAL'!$A234,'HOJAS DE HORA PROY.'!$M$2:$M$943,T$113)</f>
        <v>0</v>
      </c>
      <c r="U234" s="8">
        <f>SUMIFS('HOJAS DE HORA PROY.'!$E$2:$E$943,'HOJAS DE HORA PROY.'!$A$2:$A$943,'PLAN MAESTRO FINAL'!$A234,'HOJAS DE HORA PROY.'!$M$2:$M$943,U$113)</f>
        <v>0</v>
      </c>
      <c r="V234" s="8">
        <f>SUMIFS('HOJAS DE HORA PROY.'!$E$2:$E$943,'HOJAS DE HORA PROY.'!$A$2:$A$943,'PLAN MAESTRO FINAL'!$A234,'HOJAS DE HORA PROY.'!$M$2:$M$943,V$113)</f>
        <v>0</v>
      </c>
      <c r="W234" s="8">
        <f>SUMIFS('HOJAS DE HORA PROY.'!$E$2:$E$943,'HOJAS DE HORA PROY.'!$A$2:$A$943,'PLAN MAESTRO FINAL'!$A234,'HOJAS DE HORA PROY.'!$M$2:$M$943,W$113)</f>
        <v>0</v>
      </c>
    </row>
    <row r="235" spans="1:23" hidden="1" outlineLevel="1" x14ac:dyDescent="0.3">
      <c r="A235" s="13" t="s">
        <v>212</v>
      </c>
      <c r="B235" s="8">
        <f>SUMIFS('HOJAS DE HORA PROY.'!$E$2:$E$943,'HOJAS DE HORA PROY.'!$A$2:$A$943,'PLAN MAESTRO FINAL'!$A235,'HOJAS DE HORA PROY.'!$M$2:$M$943,B$113)</f>
        <v>0</v>
      </c>
      <c r="C235" s="8">
        <f>SUMIFS('HOJAS DE HORA PROY.'!$E$2:$E$943,'HOJAS DE HORA PROY.'!$A$2:$A$943,'PLAN MAESTRO FINAL'!$A235,'HOJAS DE HORA PROY.'!$M$2:$M$943,C$113)</f>
        <v>0</v>
      </c>
      <c r="D235" s="8">
        <f>SUMIFS('HOJAS DE HORA PROY.'!$E$2:$E$943,'HOJAS DE HORA PROY.'!$A$2:$A$943,'PLAN MAESTRO FINAL'!$A235,'HOJAS DE HORA PROY.'!$M$2:$M$943,D$113)</f>
        <v>0</v>
      </c>
      <c r="E235" s="8">
        <f>SUMIFS('HOJAS DE HORA PROY.'!$E$2:$E$943,'HOJAS DE HORA PROY.'!$A$2:$A$943,'PLAN MAESTRO FINAL'!$A235,'HOJAS DE HORA PROY.'!$M$2:$M$943,E$113)</f>
        <v>0</v>
      </c>
      <c r="F235" s="8">
        <f>SUMIFS('HOJAS DE HORA PROY.'!$E$2:$E$943,'HOJAS DE HORA PROY.'!$A$2:$A$943,'PLAN MAESTRO FINAL'!$A235,'HOJAS DE HORA PROY.'!$M$2:$M$943,F$113)</f>
        <v>0</v>
      </c>
      <c r="G235" s="8">
        <f>SUMIFS('HOJAS DE HORA PROY.'!$E$2:$E$943,'HOJAS DE HORA PROY.'!$A$2:$A$943,'PLAN MAESTRO FINAL'!$A235,'HOJAS DE HORA PROY.'!$M$2:$M$943,G$113)</f>
        <v>0</v>
      </c>
      <c r="H235" s="8">
        <f>SUMIFS('HOJAS DE HORA PROY.'!$E$2:$E$943,'HOJAS DE HORA PROY.'!$A$2:$A$943,'PLAN MAESTRO FINAL'!$A235,'HOJAS DE HORA PROY.'!$M$2:$M$943,H$113)</f>
        <v>0</v>
      </c>
      <c r="I235" s="8">
        <f>SUMIFS('HOJAS DE HORA PROY.'!$E$2:$E$943,'HOJAS DE HORA PROY.'!$A$2:$A$943,'PLAN MAESTRO FINAL'!$A235,'HOJAS DE HORA PROY.'!$M$2:$M$943,I$113)</f>
        <v>0</v>
      </c>
      <c r="J235" s="8">
        <f>SUMIFS('HOJAS DE HORA PROY.'!$E$2:$E$943,'HOJAS DE HORA PROY.'!$A$2:$A$943,'PLAN MAESTRO FINAL'!$A235,'HOJAS DE HORA PROY.'!$M$2:$M$943,J$113)</f>
        <v>0</v>
      </c>
      <c r="K235" s="8">
        <f>SUMIFS('HOJAS DE HORA PROY.'!$E$2:$E$943,'HOJAS DE HORA PROY.'!$A$2:$A$943,'PLAN MAESTRO FINAL'!$A235,'HOJAS DE HORA PROY.'!$M$2:$M$943,K$113)</f>
        <v>0</v>
      </c>
      <c r="L235" s="8">
        <f>SUMIFS('HOJAS DE HORA PROY.'!$E$2:$E$943,'HOJAS DE HORA PROY.'!$A$2:$A$943,'PLAN MAESTRO FINAL'!$A235,'HOJAS DE HORA PROY.'!$M$2:$M$943,L$113)</f>
        <v>0</v>
      </c>
      <c r="M235" s="8">
        <f>SUMIFS('HOJAS DE HORA PROY.'!$E$2:$E$943,'HOJAS DE HORA PROY.'!$A$2:$A$943,'PLAN MAESTRO FINAL'!$A235,'HOJAS DE HORA PROY.'!$M$2:$M$943,M$113)</f>
        <v>0</v>
      </c>
      <c r="N235" s="8">
        <f>SUMIFS('HOJAS DE HORA PROY.'!$E$2:$E$943,'HOJAS DE HORA PROY.'!$A$2:$A$943,'PLAN MAESTRO FINAL'!$A235,'HOJAS DE HORA PROY.'!$M$2:$M$943,N$113)</f>
        <v>0</v>
      </c>
      <c r="O235" s="8">
        <f>SUMIFS('HOJAS DE HORA PROY.'!$E$2:$E$943,'HOJAS DE HORA PROY.'!$A$2:$A$943,'PLAN MAESTRO FINAL'!$A235,'HOJAS DE HORA PROY.'!$M$2:$M$943,O$113)</f>
        <v>0</v>
      </c>
      <c r="P235" s="8">
        <f>SUMIFS('HOJAS DE HORA PROY.'!$E$2:$E$943,'HOJAS DE HORA PROY.'!$A$2:$A$943,'PLAN MAESTRO FINAL'!$A235,'HOJAS DE HORA PROY.'!$M$2:$M$943,P$113)</f>
        <v>0</v>
      </c>
      <c r="Q235" s="8">
        <f>SUMIFS('HOJAS DE HORA PROY.'!$E$2:$E$943,'HOJAS DE HORA PROY.'!$A$2:$A$943,'PLAN MAESTRO FINAL'!$A235,'HOJAS DE HORA PROY.'!$M$2:$M$943,Q$113)</f>
        <v>0</v>
      </c>
      <c r="R235" s="8">
        <f>SUMIFS('HOJAS DE HORA PROY.'!$E$2:$E$943,'HOJAS DE HORA PROY.'!$A$2:$A$943,'PLAN MAESTRO FINAL'!$A235,'HOJAS DE HORA PROY.'!$M$2:$M$943,R$113)</f>
        <v>0</v>
      </c>
      <c r="S235" s="8">
        <f>SUMIFS('HOJAS DE HORA PROY.'!$E$2:$E$943,'HOJAS DE HORA PROY.'!$A$2:$A$943,'PLAN MAESTRO FINAL'!$A235,'HOJAS DE HORA PROY.'!$M$2:$M$943,S$113)</f>
        <v>0</v>
      </c>
      <c r="T235" s="8">
        <f>SUMIFS('HOJAS DE HORA PROY.'!$E$2:$E$943,'HOJAS DE HORA PROY.'!$A$2:$A$943,'PLAN MAESTRO FINAL'!$A235,'HOJAS DE HORA PROY.'!$M$2:$M$943,T$113)</f>
        <v>0</v>
      </c>
      <c r="U235" s="8">
        <f>SUMIFS('HOJAS DE HORA PROY.'!$E$2:$E$943,'HOJAS DE HORA PROY.'!$A$2:$A$943,'PLAN MAESTRO FINAL'!$A235,'HOJAS DE HORA PROY.'!$M$2:$M$943,U$113)</f>
        <v>0</v>
      </c>
      <c r="V235" s="8">
        <f>SUMIFS('HOJAS DE HORA PROY.'!$E$2:$E$943,'HOJAS DE HORA PROY.'!$A$2:$A$943,'PLAN MAESTRO FINAL'!$A235,'HOJAS DE HORA PROY.'!$M$2:$M$943,V$113)</f>
        <v>0</v>
      </c>
      <c r="W235" s="8">
        <f>SUMIFS('HOJAS DE HORA PROY.'!$E$2:$E$943,'HOJAS DE HORA PROY.'!$A$2:$A$943,'PLAN MAESTRO FINAL'!$A235,'HOJAS DE HORA PROY.'!$M$2:$M$943,W$113)</f>
        <v>0</v>
      </c>
    </row>
    <row r="236" spans="1:23" hidden="1" outlineLevel="1" x14ac:dyDescent="0.3">
      <c r="A236" s="13" t="s">
        <v>216</v>
      </c>
      <c r="B236" s="8">
        <f>SUMIFS('HOJAS DE HORA PROY.'!$E$2:$E$943,'HOJAS DE HORA PROY.'!$A$2:$A$943,'PLAN MAESTRO FINAL'!$A236,'HOJAS DE HORA PROY.'!$M$2:$M$943,B$113)</f>
        <v>0</v>
      </c>
      <c r="C236" s="8">
        <f>SUMIFS('HOJAS DE HORA PROY.'!$E$2:$E$943,'HOJAS DE HORA PROY.'!$A$2:$A$943,'PLAN MAESTRO FINAL'!$A236,'HOJAS DE HORA PROY.'!$M$2:$M$943,C$113)</f>
        <v>0</v>
      </c>
      <c r="D236" s="8">
        <f>SUMIFS('HOJAS DE HORA PROY.'!$E$2:$E$943,'HOJAS DE HORA PROY.'!$A$2:$A$943,'PLAN MAESTRO FINAL'!$A236,'HOJAS DE HORA PROY.'!$M$2:$M$943,D$113)</f>
        <v>0</v>
      </c>
      <c r="E236" s="8">
        <f>SUMIFS('HOJAS DE HORA PROY.'!$E$2:$E$943,'HOJAS DE HORA PROY.'!$A$2:$A$943,'PLAN MAESTRO FINAL'!$A236,'HOJAS DE HORA PROY.'!$M$2:$M$943,E$113)</f>
        <v>0</v>
      </c>
      <c r="F236" s="8">
        <f>SUMIFS('HOJAS DE HORA PROY.'!$E$2:$E$943,'HOJAS DE HORA PROY.'!$A$2:$A$943,'PLAN MAESTRO FINAL'!$A236,'HOJAS DE HORA PROY.'!$M$2:$M$943,F$113)</f>
        <v>0</v>
      </c>
      <c r="G236" s="8">
        <f>SUMIFS('HOJAS DE HORA PROY.'!$E$2:$E$943,'HOJAS DE HORA PROY.'!$A$2:$A$943,'PLAN MAESTRO FINAL'!$A236,'HOJAS DE HORA PROY.'!$M$2:$M$943,G$113)</f>
        <v>0</v>
      </c>
      <c r="H236" s="8">
        <f>SUMIFS('HOJAS DE HORA PROY.'!$E$2:$E$943,'HOJAS DE HORA PROY.'!$A$2:$A$943,'PLAN MAESTRO FINAL'!$A236,'HOJAS DE HORA PROY.'!$M$2:$M$943,H$113)</f>
        <v>0</v>
      </c>
      <c r="I236" s="8">
        <f>SUMIFS('HOJAS DE HORA PROY.'!$E$2:$E$943,'HOJAS DE HORA PROY.'!$A$2:$A$943,'PLAN MAESTRO FINAL'!$A236,'HOJAS DE HORA PROY.'!$M$2:$M$943,I$113)</f>
        <v>0</v>
      </c>
      <c r="J236" s="8">
        <f>SUMIFS('HOJAS DE HORA PROY.'!$E$2:$E$943,'HOJAS DE HORA PROY.'!$A$2:$A$943,'PLAN MAESTRO FINAL'!$A236,'HOJAS DE HORA PROY.'!$M$2:$M$943,J$113)</f>
        <v>0</v>
      </c>
      <c r="K236" s="8">
        <f>SUMIFS('HOJAS DE HORA PROY.'!$E$2:$E$943,'HOJAS DE HORA PROY.'!$A$2:$A$943,'PLAN MAESTRO FINAL'!$A236,'HOJAS DE HORA PROY.'!$M$2:$M$943,K$113)</f>
        <v>0</v>
      </c>
      <c r="L236" s="8">
        <f>SUMIFS('HOJAS DE HORA PROY.'!$E$2:$E$943,'HOJAS DE HORA PROY.'!$A$2:$A$943,'PLAN MAESTRO FINAL'!$A236,'HOJAS DE HORA PROY.'!$M$2:$M$943,L$113)</f>
        <v>0</v>
      </c>
      <c r="M236" s="8">
        <f>SUMIFS('HOJAS DE HORA PROY.'!$E$2:$E$943,'HOJAS DE HORA PROY.'!$A$2:$A$943,'PLAN MAESTRO FINAL'!$A236,'HOJAS DE HORA PROY.'!$M$2:$M$943,M$113)</f>
        <v>0</v>
      </c>
      <c r="N236" s="8">
        <f>SUMIFS('HOJAS DE HORA PROY.'!$E$2:$E$943,'HOJAS DE HORA PROY.'!$A$2:$A$943,'PLAN MAESTRO FINAL'!$A236,'HOJAS DE HORA PROY.'!$M$2:$M$943,N$113)</f>
        <v>0</v>
      </c>
      <c r="O236" s="8">
        <f>SUMIFS('HOJAS DE HORA PROY.'!$E$2:$E$943,'HOJAS DE HORA PROY.'!$A$2:$A$943,'PLAN MAESTRO FINAL'!$A236,'HOJAS DE HORA PROY.'!$M$2:$M$943,O$113)</f>
        <v>0</v>
      </c>
      <c r="P236" s="8">
        <f>SUMIFS('HOJAS DE HORA PROY.'!$E$2:$E$943,'HOJAS DE HORA PROY.'!$A$2:$A$943,'PLAN MAESTRO FINAL'!$A236,'HOJAS DE HORA PROY.'!$M$2:$M$943,P$113)</f>
        <v>0</v>
      </c>
      <c r="Q236" s="8">
        <f>SUMIFS('HOJAS DE HORA PROY.'!$E$2:$E$943,'HOJAS DE HORA PROY.'!$A$2:$A$943,'PLAN MAESTRO FINAL'!$A236,'HOJAS DE HORA PROY.'!$M$2:$M$943,Q$113)</f>
        <v>0</v>
      </c>
      <c r="R236" s="8">
        <f>SUMIFS('HOJAS DE HORA PROY.'!$E$2:$E$943,'HOJAS DE HORA PROY.'!$A$2:$A$943,'PLAN MAESTRO FINAL'!$A236,'HOJAS DE HORA PROY.'!$M$2:$M$943,R$113)</f>
        <v>0</v>
      </c>
      <c r="S236" s="8">
        <f>SUMIFS('HOJAS DE HORA PROY.'!$E$2:$E$943,'HOJAS DE HORA PROY.'!$A$2:$A$943,'PLAN MAESTRO FINAL'!$A236,'HOJAS DE HORA PROY.'!$M$2:$M$943,S$113)</f>
        <v>0</v>
      </c>
      <c r="T236" s="8">
        <f>SUMIFS('HOJAS DE HORA PROY.'!$E$2:$E$943,'HOJAS DE HORA PROY.'!$A$2:$A$943,'PLAN MAESTRO FINAL'!$A236,'HOJAS DE HORA PROY.'!$M$2:$M$943,T$113)</f>
        <v>0</v>
      </c>
      <c r="U236" s="8">
        <f>SUMIFS('HOJAS DE HORA PROY.'!$E$2:$E$943,'HOJAS DE HORA PROY.'!$A$2:$A$943,'PLAN MAESTRO FINAL'!$A236,'HOJAS DE HORA PROY.'!$M$2:$M$943,U$113)</f>
        <v>0</v>
      </c>
      <c r="V236" s="8">
        <f>SUMIFS('HOJAS DE HORA PROY.'!$E$2:$E$943,'HOJAS DE HORA PROY.'!$A$2:$A$943,'PLAN MAESTRO FINAL'!$A236,'HOJAS DE HORA PROY.'!$M$2:$M$943,V$113)</f>
        <v>0</v>
      </c>
      <c r="W236" s="8">
        <f>SUMIFS('HOJAS DE HORA PROY.'!$E$2:$E$943,'HOJAS DE HORA PROY.'!$A$2:$A$943,'PLAN MAESTRO FINAL'!$A236,'HOJAS DE HORA PROY.'!$M$2:$M$943,W$113)</f>
        <v>0</v>
      </c>
    </row>
    <row r="237" spans="1:23" hidden="1" outlineLevel="1" x14ac:dyDescent="0.3">
      <c r="A237" s="13" t="s">
        <v>217</v>
      </c>
      <c r="B237" s="8">
        <f>SUMIFS('HOJAS DE HORA PROY.'!$E$2:$E$943,'HOJAS DE HORA PROY.'!$A$2:$A$943,'PLAN MAESTRO FINAL'!$A237,'HOJAS DE HORA PROY.'!$M$2:$M$943,B$113)</f>
        <v>0</v>
      </c>
      <c r="C237" s="8">
        <f>SUMIFS('HOJAS DE HORA PROY.'!$E$2:$E$943,'HOJAS DE HORA PROY.'!$A$2:$A$943,'PLAN MAESTRO FINAL'!$A237,'HOJAS DE HORA PROY.'!$M$2:$M$943,C$113)</f>
        <v>0</v>
      </c>
      <c r="D237" s="8">
        <f>SUMIFS('HOJAS DE HORA PROY.'!$E$2:$E$943,'HOJAS DE HORA PROY.'!$A$2:$A$943,'PLAN MAESTRO FINAL'!$A237,'HOJAS DE HORA PROY.'!$M$2:$M$943,D$113)</f>
        <v>0</v>
      </c>
      <c r="E237" s="8">
        <f>SUMIFS('HOJAS DE HORA PROY.'!$E$2:$E$943,'HOJAS DE HORA PROY.'!$A$2:$A$943,'PLAN MAESTRO FINAL'!$A237,'HOJAS DE HORA PROY.'!$M$2:$M$943,E$113)</f>
        <v>0</v>
      </c>
      <c r="F237" s="8">
        <f>SUMIFS('HOJAS DE HORA PROY.'!$E$2:$E$943,'HOJAS DE HORA PROY.'!$A$2:$A$943,'PLAN MAESTRO FINAL'!$A237,'HOJAS DE HORA PROY.'!$M$2:$M$943,F$113)</f>
        <v>0</v>
      </c>
      <c r="G237" s="8">
        <f>SUMIFS('HOJAS DE HORA PROY.'!$E$2:$E$943,'HOJAS DE HORA PROY.'!$A$2:$A$943,'PLAN MAESTRO FINAL'!$A237,'HOJAS DE HORA PROY.'!$M$2:$M$943,G$113)</f>
        <v>8</v>
      </c>
      <c r="H237" s="8">
        <f>SUMIFS('HOJAS DE HORA PROY.'!$E$2:$E$943,'HOJAS DE HORA PROY.'!$A$2:$A$943,'PLAN MAESTRO FINAL'!$A237,'HOJAS DE HORA PROY.'!$M$2:$M$943,H$113)</f>
        <v>0</v>
      </c>
      <c r="I237" s="8">
        <f>SUMIFS('HOJAS DE HORA PROY.'!$E$2:$E$943,'HOJAS DE HORA PROY.'!$A$2:$A$943,'PLAN MAESTRO FINAL'!$A237,'HOJAS DE HORA PROY.'!$M$2:$M$943,I$113)</f>
        <v>0</v>
      </c>
      <c r="J237" s="8">
        <f>SUMIFS('HOJAS DE HORA PROY.'!$E$2:$E$943,'HOJAS DE HORA PROY.'!$A$2:$A$943,'PLAN MAESTRO FINAL'!$A237,'HOJAS DE HORA PROY.'!$M$2:$M$943,J$113)</f>
        <v>0</v>
      </c>
      <c r="K237" s="8">
        <f>SUMIFS('HOJAS DE HORA PROY.'!$E$2:$E$943,'HOJAS DE HORA PROY.'!$A$2:$A$943,'PLAN MAESTRO FINAL'!$A237,'HOJAS DE HORA PROY.'!$M$2:$M$943,K$113)</f>
        <v>0</v>
      </c>
      <c r="L237" s="8">
        <f>SUMIFS('HOJAS DE HORA PROY.'!$E$2:$E$943,'HOJAS DE HORA PROY.'!$A$2:$A$943,'PLAN MAESTRO FINAL'!$A237,'HOJAS DE HORA PROY.'!$M$2:$M$943,L$113)</f>
        <v>0</v>
      </c>
      <c r="M237" s="8">
        <f>SUMIFS('HOJAS DE HORA PROY.'!$E$2:$E$943,'HOJAS DE HORA PROY.'!$A$2:$A$943,'PLAN MAESTRO FINAL'!$A237,'HOJAS DE HORA PROY.'!$M$2:$M$943,M$113)</f>
        <v>0</v>
      </c>
      <c r="N237" s="8">
        <f>SUMIFS('HOJAS DE HORA PROY.'!$E$2:$E$943,'HOJAS DE HORA PROY.'!$A$2:$A$943,'PLAN MAESTRO FINAL'!$A237,'HOJAS DE HORA PROY.'!$M$2:$M$943,N$113)</f>
        <v>0</v>
      </c>
      <c r="O237" s="8">
        <f>SUMIFS('HOJAS DE HORA PROY.'!$E$2:$E$943,'HOJAS DE HORA PROY.'!$A$2:$A$943,'PLAN MAESTRO FINAL'!$A237,'HOJAS DE HORA PROY.'!$M$2:$M$943,O$113)</f>
        <v>0</v>
      </c>
      <c r="P237" s="8">
        <f>SUMIFS('HOJAS DE HORA PROY.'!$E$2:$E$943,'HOJAS DE HORA PROY.'!$A$2:$A$943,'PLAN MAESTRO FINAL'!$A237,'HOJAS DE HORA PROY.'!$M$2:$M$943,P$113)</f>
        <v>0</v>
      </c>
      <c r="Q237" s="8">
        <f>SUMIFS('HOJAS DE HORA PROY.'!$E$2:$E$943,'HOJAS DE HORA PROY.'!$A$2:$A$943,'PLAN MAESTRO FINAL'!$A237,'HOJAS DE HORA PROY.'!$M$2:$M$943,Q$113)</f>
        <v>0</v>
      </c>
      <c r="R237" s="8">
        <f>SUMIFS('HOJAS DE HORA PROY.'!$E$2:$E$943,'HOJAS DE HORA PROY.'!$A$2:$A$943,'PLAN MAESTRO FINAL'!$A237,'HOJAS DE HORA PROY.'!$M$2:$M$943,R$113)</f>
        <v>0</v>
      </c>
      <c r="S237" s="8">
        <f>SUMIFS('HOJAS DE HORA PROY.'!$E$2:$E$943,'HOJAS DE HORA PROY.'!$A$2:$A$943,'PLAN MAESTRO FINAL'!$A237,'HOJAS DE HORA PROY.'!$M$2:$M$943,S$113)</f>
        <v>0</v>
      </c>
      <c r="T237" s="8">
        <f>SUMIFS('HOJAS DE HORA PROY.'!$E$2:$E$943,'HOJAS DE HORA PROY.'!$A$2:$A$943,'PLAN MAESTRO FINAL'!$A237,'HOJAS DE HORA PROY.'!$M$2:$M$943,T$113)</f>
        <v>0</v>
      </c>
      <c r="U237" s="8">
        <f>SUMIFS('HOJAS DE HORA PROY.'!$E$2:$E$943,'HOJAS DE HORA PROY.'!$A$2:$A$943,'PLAN MAESTRO FINAL'!$A237,'HOJAS DE HORA PROY.'!$M$2:$M$943,U$113)</f>
        <v>0</v>
      </c>
      <c r="V237" s="8">
        <f>SUMIFS('HOJAS DE HORA PROY.'!$E$2:$E$943,'HOJAS DE HORA PROY.'!$A$2:$A$943,'PLAN MAESTRO FINAL'!$A237,'HOJAS DE HORA PROY.'!$M$2:$M$943,V$113)</f>
        <v>0</v>
      </c>
      <c r="W237" s="8">
        <f>SUMIFS('HOJAS DE HORA PROY.'!$E$2:$E$943,'HOJAS DE HORA PROY.'!$A$2:$A$943,'PLAN MAESTRO FINAL'!$A237,'HOJAS DE HORA PROY.'!$M$2:$M$943,W$113)</f>
        <v>0</v>
      </c>
    </row>
    <row r="238" spans="1:23" hidden="1" outlineLevel="1" x14ac:dyDescent="0.3">
      <c r="A238" s="13" t="s">
        <v>231</v>
      </c>
      <c r="B238" s="8">
        <f>SUMIFS('HOJAS DE HORA PROY.'!$E$2:$E$943,'HOJAS DE HORA PROY.'!$A$2:$A$943,'PLAN MAESTRO FINAL'!$A238,'HOJAS DE HORA PROY.'!$M$2:$M$943,B$113)</f>
        <v>0</v>
      </c>
      <c r="C238" s="8">
        <f>SUMIFS('HOJAS DE HORA PROY.'!$E$2:$E$943,'HOJAS DE HORA PROY.'!$A$2:$A$943,'PLAN MAESTRO FINAL'!$A238,'HOJAS DE HORA PROY.'!$M$2:$M$943,C$113)</f>
        <v>0</v>
      </c>
      <c r="D238" s="8">
        <f>SUMIFS('HOJAS DE HORA PROY.'!$E$2:$E$943,'HOJAS DE HORA PROY.'!$A$2:$A$943,'PLAN MAESTRO FINAL'!$A238,'HOJAS DE HORA PROY.'!$M$2:$M$943,D$113)</f>
        <v>0</v>
      </c>
      <c r="E238" s="8">
        <f>SUMIFS('HOJAS DE HORA PROY.'!$E$2:$E$943,'HOJAS DE HORA PROY.'!$A$2:$A$943,'PLAN MAESTRO FINAL'!$A238,'HOJAS DE HORA PROY.'!$M$2:$M$943,E$113)</f>
        <v>0</v>
      </c>
      <c r="F238" s="8">
        <f>SUMIFS('HOJAS DE HORA PROY.'!$E$2:$E$943,'HOJAS DE HORA PROY.'!$A$2:$A$943,'PLAN MAESTRO FINAL'!$A238,'HOJAS DE HORA PROY.'!$M$2:$M$943,F$113)</f>
        <v>0</v>
      </c>
      <c r="G238" s="8">
        <f>SUMIFS('HOJAS DE HORA PROY.'!$E$2:$E$943,'HOJAS DE HORA PROY.'!$A$2:$A$943,'PLAN MAESTRO FINAL'!$A238,'HOJAS DE HORA PROY.'!$M$2:$M$943,G$113)</f>
        <v>0.5</v>
      </c>
      <c r="H238" s="8">
        <f>SUMIFS('HOJAS DE HORA PROY.'!$E$2:$E$943,'HOJAS DE HORA PROY.'!$A$2:$A$943,'PLAN MAESTRO FINAL'!$A238,'HOJAS DE HORA PROY.'!$M$2:$M$943,H$113)</f>
        <v>0</v>
      </c>
      <c r="I238" s="8">
        <f>SUMIFS('HOJAS DE HORA PROY.'!$E$2:$E$943,'HOJAS DE HORA PROY.'!$A$2:$A$943,'PLAN MAESTRO FINAL'!$A238,'HOJAS DE HORA PROY.'!$M$2:$M$943,I$113)</f>
        <v>0</v>
      </c>
      <c r="J238" s="8">
        <f>SUMIFS('HOJAS DE HORA PROY.'!$E$2:$E$943,'HOJAS DE HORA PROY.'!$A$2:$A$943,'PLAN MAESTRO FINAL'!$A238,'HOJAS DE HORA PROY.'!$M$2:$M$943,J$113)</f>
        <v>0</v>
      </c>
      <c r="K238" s="8">
        <f>SUMIFS('HOJAS DE HORA PROY.'!$E$2:$E$943,'HOJAS DE HORA PROY.'!$A$2:$A$943,'PLAN MAESTRO FINAL'!$A238,'HOJAS DE HORA PROY.'!$M$2:$M$943,K$113)</f>
        <v>0</v>
      </c>
      <c r="L238" s="8">
        <f>SUMIFS('HOJAS DE HORA PROY.'!$E$2:$E$943,'HOJAS DE HORA PROY.'!$A$2:$A$943,'PLAN MAESTRO FINAL'!$A238,'HOJAS DE HORA PROY.'!$M$2:$M$943,L$113)</f>
        <v>0</v>
      </c>
      <c r="M238" s="8">
        <f>SUMIFS('HOJAS DE HORA PROY.'!$E$2:$E$943,'HOJAS DE HORA PROY.'!$A$2:$A$943,'PLAN MAESTRO FINAL'!$A238,'HOJAS DE HORA PROY.'!$M$2:$M$943,M$113)</f>
        <v>0</v>
      </c>
      <c r="N238" s="8">
        <f>SUMIFS('HOJAS DE HORA PROY.'!$E$2:$E$943,'HOJAS DE HORA PROY.'!$A$2:$A$943,'PLAN MAESTRO FINAL'!$A238,'HOJAS DE HORA PROY.'!$M$2:$M$943,N$113)</f>
        <v>0</v>
      </c>
      <c r="O238" s="8">
        <f>SUMIFS('HOJAS DE HORA PROY.'!$E$2:$E$943,'HOJAS DE HORA PROY.'!$A$2:$A$943,'PLAN MAESTRO FINAL'!$A238,'HOJAS DE HORA PROY.'!$M$2:$M$943,O$113)</f>
        <v>0</v>
      </c>
      <c r="P238" s="8">
        <f>SUMIFS('HOJAS DE HORA PROY.'!$E$2:$E$943,'HOJAS DE HORA PROY.'!$A$2:$A$943,'PLAN MAESTRO FINAL'!$A238,'HOJAS DE HORA PROY.'!$M$2:$M$943,P$113)</f>
        <v>0</v>
      </c>
      <c r="Q238" s="8">
        <f>SUMIFS('HOJAS DE HORA PROY.'!$E$2:$E$943,'HOJAS DE HORA PROY.'!$A$2:$A$943,'PLAN MAESTRO FINAL'!$A238,'HOJAS DE HORA PROY.'!$M$2:$M$943,Q$113)</f>
        <v>0</v>
      </c>
      <c r="R238" s="8">
        <f>SUMIFS('HOJAS DE HORA PROY.'!$E$2:$E$943,'HOJAS DE HORA PROY.'!$A$2:$A$943,'PLAN MAESTRO FINAL'!$A238,'HOJAS DE HORA PROY.'!$M$2:$M$943,R$113)</f>
        <v>0</v>
      </c>
      <c r="S238" s="8">
        <f>SUMIFS('HOJAS DE HORA PROY.'!$E$2:$E$943,'HOJAS DE HORA PROY.'!$A$2:$A$943,'PLAN MAESTRO FINAL'!$A238,'HOJAS DE HORA PROY.'!$M$2:$M$943,S$113)</f>
        <v>0</v>
      </c>
      <c r="T238" s="8">
        <f>SUMIFS('HOJAS DE HORA PROY.'!$E$2:$E$943,'HOJAS DE HORA PROY.'!$A$2:$A$943,'PLAN MAESTRO FINAL'!$A238,'HOJAS DE HORA PROY.'!$M$2:$M$943,T$113)</f>
        <v>0</v>
      </c>
      <c r="U238" s="8">
        <f>SUMIFS('HOJAS DE HORA PROY.'!$E$2:$E$943,'HOJAS DE HORA PROY.'!$A$2:$A$943,'PLAN MAESTRO FINAL'!$A238,'HOJAS DE HORA PROY.'!$M$2:$M$943,U$113)</f>
        <v>0</v>
      </c>
      <c r="V238" s="8">
        <f>SUMIFS('HOJAS DE HORA PROY.'!$E$2:$E$943,'HOJAS DE HORA PROY.'!$A$2:$A$943,'PLAN MAESTRO FINAL'!$A238,'HOJAS DE HORA PROY.'!$M$2:$M$943,V$113)</f>
        <v>0</v>
      </c>
      <c r="W238" s="8">
        <f>SUMIFS('HOJAS DE HORA PROY.'!$E$2:$E$943,'HOJAS DE HORA PROY.'!$A$2:$A$943,'PLAN MAESTRO FINAL'!$A238,'HOJAS DE HORA PROY.'!$M$2:$M$943,W$113)</f>
        <v>0</v>
      </c>
    </row>
    <row r="239" spans="1:23" hidden="1" outlineLevel="1" x14ac:dyDescent="0.3">
      <c r="A239" s="13" t="s">
        <v>245</v>
      </c>
      <c r="B239" s="8">
        <f>SUMIFS('HOJAS DE HORA PROY.'!$E$2:$E$943,'HOJAS DE HORA PROY.'!$A$2:$A$943,'PLAN MAESTRO FINAL'!$A239,'HOJAS DE HORA PROY.'!$M$2:$M$943,B$113)</f>
        <v>0</v>
      </c>
      <c r="C239" s="8">
        <f>SUMIFS('HOJAS DE HORA PROY.'!$E$2:$E$943,'HOJAS DE HORA PROY.'!$A$2:$A$943,'PLAN MAESTRO FINAL'!$A239,'HOJAS DE HORA PROY.'!$M$2:$M$943,C$113)</f>
        <v>0</v>
      </c>
      <c r="D239" s="8">
        <f>SUMIFS('HOJAS DE HORA PROY.'!$E$2:$E$943,'HOJAS DE HORA PROY.'!$A$2:$A$943,'PLAN MAESTRO FINAL'!$A239,'HOJAS DE HORA PROY.'!$M$2:$M$943,D$113)</f>
        <v>0</v>
      </c>
      <c r="E239" s="8">
        <f>SUMIFS('HOJAS DE HORA PROY.'!$E$2:$E$943,'HOJAS DE HORA PROY.'!$A$2:$A$943,'PLAN MAESTRO FINAL'!$A239,'HOJAS DE HORA PROY.'!$M$2:$M$943,E$113)</f>
        <v>0</v>
      </c>
      <c r="F239" s="8">
        <f>SUMIFS('HOJAS DE HORA PROY.'!$E$2:$E$943,'HOJAS DE HORA PROY.'!$A$2:$A$943,'PLAN MAESTRO FINAL'!$A239,'HOJAS DE HORA PROY.'!$M$2:$M$943,F$113)</f>
        <v>0</v>
      </c>
      <c r="G239" s="8">
        <f>SUMIFS('HOJAS DE HORA PROY.'!$E$2:$E$943,'HOJAS DE HORA PROY.'!$A$2:$A$943,'PLAN MAESTRO FINAL'!$A239,'HOJAS DE HORA PROY.'!$M$2:$M$943,G$113)</f>
        <v>0</v>
      </c>
      <c r="H239" s="8">
        <f>SUMIFS('HOJAS DE HORA PROY.'!$E$2:$E$943,'HOJAS DE HORA PROY.'!$A$2:$A$943,'PLAN MAESTRO FINAL'!$A239,'HOJAS DE HORA PROY.'!$M$2:$M$943,H$113)</f>
        <v>0</v>
      </c>
      <c r="I239" s="8">
        <f>SUMIFS('HOJAS DE HORA PROY.'!$E$2:$E$943,'HOJAS DE HORA PROY.'!$A$2:$A$943,'PLAN MAESTRO FINAL'!$A239,'HOJAS DE HORA PROY.'!$M$2:$M$943,I$113)</f>
        <v>0</v>
      </c>
      <c r="J239" s="8">
        <f>SUMIFS('HOJAS DE HORA PROY.'!$E$2:$E$943,'HOJAS DE HORA PROY.'!$A$2:$A$943,'PLAN MAESTRO FINAL'!$A239,'HOJAS DE HORA PROY.'!$M$2:$M$943,J$113)</f>
        <v>0</v>
      </c>
      <c r="K239" s="8">
        <f>SUMIFS('HOJAS DE HORA PROY.'!$E$2:$E$943,'HOJAS DE HORA PROY.'!$A$2:$A$943,'PLAN MAESTRO FINAL'!$A239,'HOJAS DE HORA PROY.'!$M$2:$M$943,K$113)</f>
        <v>0</v>
      </c>
      <c r="L239" s="8">
        <f>SUMIFS('HOJAS DE HORA PROY.'!$E$2:$E$943,'HOJAS DE HORA PROY.'!$A$2:$A$943,'PLAN MAESTRO FINAL'!$A239,'HOJAS DE HORA PROY.'!$M$2:$M$943,L$113)</f>
        <v>0</v>
      </c>
      <c r="M239" s="8">
        <f>SUMIFS('HOJAS DE HORA PROY.'!$E$2:$E$943,'HOJAS DE HORA PROY.'!$A$2:$A$943,'PLAN MAESTRO FINAL'!$A239,'HOJAS DE HORA PROY.'!$M$2:$M$943,M$113)</f>
        <v>0</v>
      </c>
      <c r="N239" s="8">
        <f>SUMIFS('HOJAS DE HORA PROY.'!$E$2:$E$943,'HOJAS DE HORA PROY.'!$A$2:$A$943,'PLAN MAESTRO FINAL'!$A239,'HOJAS DE HORA PROY.'!$M$2:$M$943,N$113)</f>
        <v>0</v>
      </c>
      <c r="O239" s="8">
        <f>SUMIFS('HOJAS DE HORA PROY.'!$E$2:$E$943,'HOJAS DE HORA PROY.'!$A$2:$A$943,'PLAN MAESTRO FINAL'!$A239,'HOJAS DE HORA PROY.'!$M$2:$M$943,O$113)</f>
        <v>0</v>
      </c>
      <c r="P239" s="8">
        <f>SUMIFS('HOJAS DE HORA PROY.'!$E$2:$E$943,'HOJAS DE HORA PROY.'!$A$2:$A$943,'PLAN MAESTRO FINAL'!$A239,'HOJAS DE HORA PROY.'!$M$2:$M$943,P$113)</f>
        <v>0</v>
      </c>
      <c r="Q239" s="8">
        <f>SUMIFS('HOJAS DE HORA PROY.'!$E$2:$E$943,'HOJAS DE HORA PROY.'!$A$2:$A$943,'PLAN MAESTRO FINAL'!$A239,'HOJAS DE HORA PROY.'!$M$2:$M$943,Q$113)</f>
        <v>0</v>
      </c>
      <c r="R239" s="8">
        <f>SUMIFS('HOJAS DE HORA PROY.'!$E$2:$E$943,'HOJAS DE HORA PROY.'!$A$2:$A$943,'PLAN MAESTRO FINAL'!$A239,'HOJAS DE HORA PROY.'!$M$2:$M$943,R$113)</f>
        <v>0</v>
      </c>
      <c r="S239" s="8">
        <f>SUMIFS('HOJAS DE HORA PROY.'!$E$2:$E$943,'HOJAS DE HORA PROY.'!$A$2:$A$943,'PLAN MAESTRO FINAL'!$A239,'HOJAS DE HORA PROY.'!$M$2:$M$943,S$113)</f>
        <v>0</v>
      </c>
      <c r="T239" s="8">
        <f>SUMIFS('HOJAS DE HORA PROY.'!$E$2:$E$943,'HOJAS DE HORA PROY.'!$A$2:$A$943,'PLAN MAESTRO FINAL'!$A239,'HOJAS DE HORA PROY.'!$M$2:$M$943,T$113)</f>
        <v>0</v>
      </c>
      <c r="U239" s="8">
        <f>SUMIFS('HOJAS DE HORA PROY.'!$E$2:$E$943,'HOJAS DE HORA PROY.'!$A$2:$A$943,'PLAN MAESTRO FINAL'!$A239,'HOJAS DE HORA PROY.'!$M$2:$M$943,U$113)</f>
        <v>0</v>
      </c>
      <c r="V239" s="8">
        <f>SUMIFS('HOJAS DE HORA PROY.'!$E$2:$E$943,'HOJAS DE HORA PROY.'!$A$2:$A$943,'PLAN MAESTRO FINAL'!$A239,'HOJAS DE HORA PROY.'!$M$2:$M$943,V$113)</f>
        <v>0</v>
      </c>
      <c r="W239" s="8">
        <f>SUMIFS('HOJAS DE HORA PROY.'!$E$2:$E$943,'HOJAS DE HORA PROY.'!$A$2:$A$943,'PLAN MAESTRO FINAL'!$A239,'HOJAS DE HORA PROY.'!$M$2:$M$943,W$113)</f>
        <v>0</v>
      </c>
    </row>
    <row r="240" spans="1:23" hidden="1" outlineLevel="1" x14ac:dyDescent="0.3">
      <c r="A240" s="13" t="s">
        <v>262</v>
      </c>
      <c r="B240" s="8">
        <f>SUMIFS('HOJAS DE HORA PROY.'!$E$2:$E$943,'HOJAS DE HORA PROY.'!$A$2:$A$943,'PLAN MAESTRO FINAL'!$A240,'HOJAS DE HORA PROY.'!$M$2:$M$943,B$113)</f>
        <v>0</v>
      </c>
      <c r="C240" s="8">
        <f>SUMIFS('HOJAS DE HORA PROY.'!$E$2:$E$943,'HOJAS DE HORA PROY.'!$A$2:$A$943,'PLAN MAESTRO FINAL'!$A240,'HOJAS DE HORA PROY.'!$M$2:$M$943,C$113)</f>
        <v>0</v>
      </c>
      <c r="D240" s="8">
        <f>SUMIFS('HOJAS DE HORA PROY.'!$E$2:$E$943,'HOJAS DE HORA PROY.'!$A$2:$A$943,'PLAN MAESTRO FINAL'!$A240,'HOJAS DE HORA PROY.'!$M$2:$M$943,D$113)</f>
        <v>0</v>
      </c>
      <c r="E240" s="8">
        <f>SUMIFS('HOJAS DE HORA PROY.'!$E$2:$E$943,'HOJAS DE HORA PROY.'!$A$2:$A$943,'PLAN MAESTRO FINAL'!$A240,'HOJAS DE HORA PROY.'!$M$2:$M$943,E$113)</f>
        <v>0</v>
      </c>
      <c r="F240" s="8">
        <f>SUMIFS('HOJAS DE HORA PROY.'!$E$2:$E$943,'HOJAS DE HORA PROY.'!$A$2:$A$943,'PLAN MAESTRO FINAL'!$A240,'HOJAS DE HORA PROY.'!$M$2:$M$943,F$113)</f>
        <v>0</v>
      </c>
      <c r="G240" s="8">
        <f>SUMIFS('HOJAS DE HORA PROY.'!$E$2:$E$943,'HOJAS DE HORA PROY.'!$A$2:$A$943,'PLAN MAESTRO FINAL'!$A240,'HOJAS DE HORA PROY.'!$M$2:$M$943,G$113)</f>
        <v>0</v>
      </c>
      <c r="H240" s="8">
        <f>SUMIFS('HOJAS DE HORA PROY.'!$E$2:$E$943,'HOJAS DE HORA PROY.'!$A$2:$A$943,'PLAN MAESTRO FINAL'!$A240,'HOJAS DE HORA PROY.'!$M$2:$M$943,H$113)</f>
        <v>0</v>
      </c>
      <c r="I240" s="8">
        <f>SUMIFS('HOJAS DE HORA PROY.'!$E$2:$E$943,'HOJAS DE HORA PROY.'!$A$2:$A$943,'PLAN MAESTRO FINAL'!$A240,'HOJAS DE HORA PROY.'!$M$2:$M$943,I$113)</f>
        <v>0</v>
      </c>
      <c r="J240" s="8">
        <f>SUMIFS('HOJAS DE HORA PROY.'!$E$2:$E$943,'HOJAS DE HORA PROY.'!$A$2:$A$943,'PLAN MAESTRO FINAL'!$A240,'HOJAS DE HORA PROY.'!$M$2:$M$943,J$113)</f>
        <v>0</v>
      </c>
      <c r="K240" s="8">
        <f>SUMIFS('HOJAS DE HORA PROY.'!$E$2:$E$943,'HOJAS DE HORA PROY.'!$A$2:$A$943,'PLAN MAESTRO FINAL'!$A240,'HOJAS DE HORA PROY.'!$M$2:$M$943,K$113)</f>
        <v>0</v>
      </c>
      <c r="L240" s="8">
        <f>SUMIFS('HOJAS DE HORA PROY.'!$E$2:$E$943,'HOJAS DE HORA PROY.'!$A$2:$A$943,'PLAN MAESTRO FINAL'!$A240,'HOJAS DE HORA PROY.'!$M$2:$M$943,L$113)</f>
        <v>0</v>
      </c>
      <c r="M240" s="8">
        <f>SUMIFS('HOJAS DE HORA PROY.'!$E$2:$E$943,'HOJAS DE HORA PROY.'!$A$2:$A$943,'PLAN MAESTRO FINAL'!$A240,'HOJAS DE HORA PROY.'!$M$2:$M$943,M$113)</f>
        <v>0</v>
      </c>
      <c r="N240" s="8">
        <f>SUMIFS('HOJAS DE HORA PROY.'!$E$2:$E$943,'HOJAS DE HORA PROY.'!$A$2:$A$943,'PLAN MAESTRO FINAL'!$A240,'HOJAS DE HORA PROY.'!$M$2:$M$943,N$113)</f>
        <v>0</v>
      </c>
      <c r="O240" s="8">
        <f>SUMIFS('HOJAS DE HORA PROY.'!$E$2:$E$943,'HOJAS DE HORA PROY.'!$A$2:$A$943,'PLAN MAESTRO FINAL'!$A240,'HOJAS DE HORA PROY.'!$M$2:$M$943,O$113)</f>
        <v>0</v>
      </c>
      <c r="P240" s="8">
        <f>SUMIFS('HOJAS DE HORA PROY.'!$E$2:$E$943,'HOJAS DE HORA PROY.'!$A$2:$A$943,'PLAN MAESTRO FINAL'!$A240,'HOJAS DE HORA PROY.'!$M$2:$M$943,P$113)</f>
        <v>0</v>
      </c>
      <c r="Q240" s="8">
        <f>SUMIFS('HOJAS DE HORA PROY.'!$E$2:$E$943,'HOJAS DE HORA PROY.'!$A$2:$A$943,'PLAN MAESTRO FINAL'!$A240,'HOJAS DE HORA PROY.'!$M$2:$M$943,Q$113)</f>
        <v>0</v>
      </c>
      <c r="R240" s="8">
        <f>SUMIFS('HOJAS DE HORA PROY.'!$E$2:$E$943,'HOJAS DE HORA PROY.'!$A$2:$A$943,'PLAN MAESTRO FINAL'!$A240,'HOJAS DE HORA PROY.'!$M$2:$M$943,R$113)</f>
        <v>0</v>
      </c>
      <c r="S240" s="8">
        <f>SUMIFS('HOJAS DE HORA PROY.'!$E$2:$E$943,'HOJAS DE HORA PROY.'!$A$2:$A$943,'PLAN MAESTRO FINAL'!$A240,'HOJAS DE HORA PROY.'!$M$2:$M$943,S$113)</f>
        <v>0</v>
      </c>
      <c r="T240" s="8">
        <f>SUMIFS('HOJAS DE HORA PROY.'!$E$2:$E$943,'HOJAS DE HORA PROY.'!$A$2:$A$943,'PLAN MAESTRO FINAL'!$A240,'HOJAS DE HORA PROY.'!$M$2:$M$943,T$113)</f>
        <v>0</v>
      </c>
      <c r="U240" s="8">
        <f>SUMIFS('HOJAS DE HORA PROY.'!$E$2:$E$943,'HOJAS DE HORA PROY.'!$A$2:$A$943,'PLAN MAESTRO FINAL'!$A240,'HOJAS DE HORA PROY.'!$M$2:$M$943,U$113)</f>
        <v>0</v>
      </c>
      <c r="V240" s="8">
        <f>SUMIFS('HOJAS DE HORA PROY.'!$E$2:$E$943,'HOJAS DE HORA PROY.'!$A$2:$A$943,'PLAN MAESTRO FINAL'!$A240,'HOJAS DE HORA PROY.'!$M$2:$M$943,V$113)</f>
        <v>0</v>
      </c>
      <c r="W240" s="8">
        <f>SUMIFS('HOJAS DE HORA PROY.'!$E$2:$E$943,'HOJAS DE HORA PROY.'!$A$2:$A$943,'PLAN MAESTRO FINAL'!$A240,'HOJAS DE HORA PROY.'!$M$2:$M$943,W$113)</f>
        <v>0</v>
      </c>
    </row>
    <row r="241" spans="1:23" hidden="1" outlineLevel="1" x14ac:dyDescent="0.3">
      <c r="A241" s="13" t="s">
        <v>265</v>
      </c>
      <c r="B241" s="8">
        <f>SUMIFS('HOJAS DE HORA PROY.'!$E$2:$E$943,'HOJAS DE HORA PROY.'!$A$2:$A$943,'PLAN MAESTRO FINAL'!$A241,'HOJAS DE HORA PROY.'!$M$2:$M$943,B$113)</f>
        <v>0</v>
      </c>
      <c r="C241" s="8">
        <f>SUMIFS('HOJAS DE HORA PROY.'!$E$2:$E$943,'HOJAS DE HORA PROY.'!$A$2:$A$943,'PLAN MAESTRO FINAL'!$A241,'HOJAS DE HORA PROY.'!$M$2:$M$943,C$113)</f>
        <v>0</v>
      </c>
      <c r="D241" s="8">
        <f>SUMIFS('HOJAS DE HORA PROY.'!$E$2:$E$943,'HOJAS DE HORA PROY.'!$A$2:$A$943,'PLAN MAESTRO FINAL'!$A241,'HOJAS DE HORA PROY.'!$M$2:$M$943,D$113)</f>
        <v>0</v>
      </c>
      <c r="E241" s="8">
        <f>SUMIFS('HOJAS DE HORA PROY.'!$E$2:$E$943,'HOJAS DE HORA PROY.'!$A$2:$A$943,'PLAN MAESTRO FINAL'!$A241,'HOJAS DE HORA PROY.'!$M$2:$M$943,E$113)</f>
        <v>0</v>
      </c>
      <c r="F241" s="8">
        <f>SUMIFS('HOJAS DE HORA PROY.'!$E$2:$E$943,'HOJAS DE HORA PROY.'!$A$2:$A$943,'PLAN MAESTRO FINAL'!$A241,'HOJAS DE HORA PROY.'!$M$2:$M$943,F$113)</f>
        <v>0</v>
      </c>
      <c r="G241" s="8">
        <f>SUMIFS('HOJAS DE HORA PROY.'!$E$2:$E$943,'HOJAS DE HORA PROY.'!$A$2:$A$943,'PLAN MAESTRO FINAL'!$A241,'HOJAS DE HORA PROY.'!$M$2:$M$943,G$113)</f>
        <v>0</v>
      </c>
      <c r="H241" s="8">
        <f>SUMIFS('HOJAS DE HORA PROY.'!$E$2:$E$943,'HOJAS DE HORA PROY.'!$A$2:$A$943,'PLAN MAESTRO FINAL'!$A241,'HOJAS DE HORA PROY.'!$M$2:$M$943,H$113)</f>
        <v>0</v>
      </c>
      <c r="I241" s="8">
        <f>SUMIFS('HOJAS DE HORA PROY.'!$E$2:$E$943,'HOJAS DE HORA PROY.'!$A$2:$A$943,'PLAN MAESTRO FINAL'!$A241,'HOJAS DE HORA PROY.'!$M$2:$M$943,I$113)</f>
        <v>0</v>
      </c>
      <c r="J241" s="8">
        <f>SUMIFS('HOJAS DE HORA PROY.'!$E$2:$E$943,'HOJAS DE HORA PROY.'!$A$2:$A$943,'PLAN MAESTRO FINAL'!$A241,'HOJAS DE HORA PROY.'!$M$2:$M$943,J$113)</f>
        <v>0</v>
      </c>
      <c r="K241" s="8">
        <f>SUMIFS('HOJAS DE HORA PROY.'!$E$2:$E$943,'HOJAS DE HORA PROY.'!$A$2:$A$943,'PLAN MAESTRO FINAL'!$A241,'HOJAS DE HORA PROY.'!$M$2:$M$943,K$113)</f>
        <v>0</v>
      </c>
      <c r="L241" s="8">
        <f>SUMIFS('HOJAS DE HORA PROY.'!$E$2:$E$943,'HOJAS DE HORA PROY.'!$A$2:$A$943,'PLAN MAESTRO FINAL'!$A241,'HOJAS DE HORA PROY.'!$M$2:$M$943,L$113)</f>
        <v>0</v>
      </c>
      <c r="M241" s="8">
        <f>SUMIFS('HOJAS DE HORA PROY.'!$E$2:$E$943,'HOJAS DE HORA PROY.'!$A$2:$A$943,'PLAN MAESTRO FINAL'!$A241,'HOJAS DE HORA PROY.'!$M$2:$M$943,M$113)</f>
        <v>0</v>
      </c>
      <c r="N241" s="8">
        <f>SUMIFS('HOJAS DE HORA PROY.'!$E$2:$E$943,'HOJAS DE HORA PROY.'!$A$2:$A$943,'PLAN MAESTRO FINAL'!$A241,'HOJAS DE HORA PROY.'!$M$2:$M$943,N$113)</f>
        <v>0</v>
      </c>
      <c r="O241" s="8">
        <f>SUMIFS('HOJAS DE HORA PROY.'!$E$2:$E$943,'HOJAS DE HORA PROY.'!$A$2:$A$943,'PLAN MAESTRO FINAL'!$A241,'HOJAS DE HORA PROY.'!$M$2:$M$943,O$113)</f>
        <v>0</v>
      </c>
      <c r="P241" s="8">
        <f>SUMIFS('HOJAS DE HORA PROY.'!$E$2:$E$943,'HOJAS DE HORA PROY.'!$A$2:$A$943,'PLAN MAESTRO FINAL'!$A241,'HOJAS DE HORA PROY.'!$M$2:$M$943,P$113)</f>
        <v>0</v>
      </c>
      <c r="Q241" s="8">
        <f>SUMIFS('HOJAS DE HORA PROY.'!$E$2:$E$943,'HOJAS DE HORA PROY.'!$A$2:$A$943,'PLAN MAESTRO FINAL'!$A241,'HOJAS DE HORA PROY.'!$M$2:$M$943,Q$113)</f>
        <v>0</v>
      </c>
      <c r="R241" s="8">
        <f>SUMIFS('HOJAS DE HORA PROY.'!$E$2:$E$943,'HOJAS DE HORA PROY.'!$A$2:$A$943,'PLAN MAESTRO FINAL'!$A241,'HOJAS DE HORA PROY.'!$M$2:$M$943,R$113)</f>
        <v>0</v>
      </c>
      <c r="S241" s="8">
        <f>SUMIFS('HOJAS DE HORA PROY.'!$E$2:$E$943,'HOJAS DE HORA PROY.'!$A$2:$A$943,'PLAN MAESTRO FINAL'!$A241,'HOJAS DE HORA PROY.'!$M$2:$M$943,S$113)</f>
        <v>0</v>
      </c>
      <c r="T241" s="8">
        <f>SUMIFS('HOJAS DE HORA PROY.'!$E$2:$E$943,'HOJAS DE HORA PROY.'!$A$2:$A$943,'PLAN MAESTRO FINAL'!$A241,'HOJAS DE HORA PROY.'!$M$2:$M$943,T$113)</f>
        <v>0</v>
      </c>
      <c r="U241" s="8">
        <f>SUMIFS('HOJAS DE HORA PROY.'!$E$2:$E$943,'HOJAS DE HORA PROY.'!$A$2:$A$943,'PLAN MAESTRO FINAL'!$A241,'HOJAS DE HORA PROY.'!$M$2:$M$943,U$113)</f>
        <v>0</v>
      </c>
      <c r="V241" s="8">
        <f>SUMIFS('HOJAS DE HORA PROY.'!$E$2:$E$943,'HOJAS DE HORA PROY.'!$A$2:$A$943,'PLAN MAESTRO FINAL'!$A241,'HOJAS DE HORA PROY.'!$M$2:$M$943,V$113)</f>
        <v>0</v>
      </c>
      <c r="W241" s="8">
        <f>SUMIFS('HOJAS DE HORA PROY.'!$E$2:$E$943,'HOJAS DE HORA PROY.'!$A$2:$A$943,'PLAN MAESTRO FINAL'!$A241,'HOJAS DE HORA PROY.'!$M$2:$M$943,W$113)</f>
        <v>0</v>
      </c>
    </row>
    <row r="242" spans="1:23" hidden="1" outlineLevel="1" x14ac:dyDescent="0.3">
      <c r="A242" s="13" t="s">
        <v>267</v>
      </c>
      <c r="B242" s="8">
        <f>SUMIFS('HOJAS DE HORA PROY.'!$E$2:$E$943,'HOJAS DE HORA PROY.'!$A$2:$A$943,'PLAN MAESTRO FINAL'!$A242,'HOJAS DE HORA PROY.'!$M$2:$M$943,B$113)</f>
        <v>0</v>
      </c>
      <c r="C242" s="8">
        <f>SUMIFS('HOJAS DE HORA PROY.'!$E$2:$E$943,'HOJAS DE HORA PROY.'!$A$2:$A$943,'PLAN MAESTRO FINAL'!$A242,'HOJAS DE HORA PROY.'!$M$2:$M$943,C$113)</f>
        <v>0</v>
      </c>
      <c r="D242" s="8">
        <f>SUMIFS('HOJAS DE HORA PROY.'!$E$2:$E$943,'HOJAS DE HORA PROY.'!$A$2:$A$943,'PLAN MAESTRO FINAL'!$A242,'HOJAS DE HORA PROY.'!$M$2:$M$943,D$113)</f>
        <v>0</v>
      </c>
      <c r="E242" s="8">
        <f>SUMIFS('HOJAS DE HORA PROY.'!$E$2:$E$943,'HOJAS DE HORA PROY.'!$A$2:$A$943,'PLAN MAESTRO FINAL'!$A242,'HOJAS DE HORA PROY.'!$M$2:$M$943,E$113)</f>
        <v>0</v>
      </c>
      <c r="F242" s="8">
        <f>SUMIFS('HOJAS DE HORA PROY.'!$E$2:$E$943,'HOJAS DE HORA PROY.'!$A$2:$A$943,'PLAN MAESTRO FINAL'!$A242,'HOJAS DE HORA PROY.'!$M$2:$M$943,F$113)</f>
        <v>0</v>
      </c>
      <c r="G242" s="8">
        <f>SUMIFS('HOJAS DE HORA PROY.'!$E$2:$E$943,'HOJAS DE HORA PROY.'!$A$2:$A$943,'PLAN MAESTRO FINAL'!$A242,'HOJAS DE HORA PROY.'!$M$2:$M$943,G$113)</f>
        <v>0</v>
      </c>
      <c r="H242" s="8">
        <f>SUMIFS('HOJAS DE HORA PROY.'!$E$2:$E$943,'HOJAS DE HORA PROY.'!$A$2:$A$943,'PLAN MAESTRO FINAL'!$A242,'HOJAS DE HORA PROY.'!$M$2:$M$943,H$113)</f>
        <v>0</v>
      </c>
      <c r="I242" s="8">
        <f>SUMIFS('HOJAS DE HORA PROY.'!$E$2:$E$943,'HOJAS DE HORA PROY.'!$A$2:$A$943,'PLAN MAESTRO FINAL'!$A242,'HOJAS DE HORA PROY.'!$M$2:$M$943,I$113)</f>
        <v>0</v>
      </c>
      <c r="J242" s="8">
        <f>SUMIFS('HOJAS DE HORA PROY.'!$E$2:$E$943,'HOJAS DE HORA PROY.'!$A$2:$A$943,'PLAN MAESTRO FINAL'!$A242,'HOJAS DE HORA PROY.'!$M$2:$M$943,J$113)</f>
        <v>0</v>
      </c>
      <c r="K242" s="8">
        <f>SUMIFS('HOJAS DE HORA PROY.'!$E$2:$E$943,'HOJAS DE HORA PROY.'!$A$2:$A$943,'PLAN MAESTRO FINAL'!$A242,'HOJAS DE HORA PROY.'!$M$2:$M$943,K$113)</f>
        <v>0</v>
      </c>
      <c r="L242" s="8">
        <f>SUMIFS('HOJAS DE HORA PROY.'!$E$2:$E$943,'HOJAS DE HORA PROY.'!$A$2:$A$943,'PLAN MAESTRO FINAL'!$A242,'HOJAS DE HORA PROY.'!$M$2:$M$943,L$113)</f>
        <v>0</v>
      </c>
      <c r="M242" s="8">
        <f>SUMIFS('HOJAS DE HORA PROY.'!$E$2:$E$943,'HOJAS DE HORA PROY.'!$A$2:$A$943,'PLAN MAESTRO FINAL'!$A242,'HOJAS DE HORA PROY.'!$M$2:$M$943,M$113)</f>
        <v>0</v>
      </c>
      <c r="N242" s="8">
        <f>SUMIFS('HOJAS DE HORA PROY.'!$E$2:$E$943,'HOJAS DE HORA PROY.'!$A$2:$A$943,'PLAN MAESTRO FINAL'!$A242,'HOJAS DE HORA PROY.'!$M$2:$M$943,N$113)</f>
        <v>0</v>
      </c>
      <c r="O242" s="8">
        <f>SUMIFS('HOJAS DE HORA PROY.'!$E$2:$E$943,'HOJAS DE HORA PROY.'!$A$2:$A$943,'PLAN MAESTRO FINAL'!$A242,'HOJAS DE HORA PROY.'!$M$2:$M$943,O$113)</f>
        <v>0</v>
      </c>
      <c r="P242" s="8">
        <f>SUMIFS('HOJAS DE HORA PROY.'!$E$2:$E$943,'HOJAS DE HORA PROY.'!$A$2:$A$943,'PLAN MAESTRO FINAL'!$A242,'HOJAS DE HORA PROY.'!$M$2:$M$943,P$113)</f>
        <v>0</v>
      </c>
      <c r="Q242" s="8">
        <f>SUMIFS('HOJAS DE HORA PROY.'!$E$2:$E$943,'HOJAS DE HORA PROY.'!$A$2:$A$943,'PLAN MAESTRO FINAL'!$A242,'HOJAS DE HORA PROY.'!$M$2:$M$943,Q$113)</f>
        <v>0</v>
      </c>
      <c r="R242" s="8">
        <f>SUMIFS('HOJAS DE HORA PROY.'!$E$2:$E$943,'HOJAS DE HORA PROY.'!$A$2:$A$943,'PLAN MAESTRO FINAL'!$A242,'HOJAS DE HORA PROY.'!$M$2:$M$943,R$113)</f>
        <v>0</v>
      </c>
      <c r="S242" s="8">
        <f>SUMIFS('HOJAS DE HORA PROY.'!$E$2:$E$943,'HOJAS DE HORA PROY.'!$A$2:$A$943,'PLAN MAESTRO FINAL'!$A242,'HOJAS DE HORA PROY.'!$M$2:$M$943,S$113)</f>
        <v>0</v>
      </c>
      <c r="T242" s="8">
        <f>SUMIFS('HOJAS DE HORA PROY.'!$E$2:$E$943,'HOJAS DE HORA PROY.'!$A$2:$A$943,'PLAN MAESTRO FINAL'!$A242,'HOJAS DE HORA PROY.'!$M$2:$M$943,T$113)</f>
        <v>0</v>
      </c>
      <c r="U242" s="8">
        <f>SUMIFS('HOJAS DE HORA PROY.'!$E$2:$E$943,'HOJAS DE HORA PROY.'!$A$2:$A$943,'PLAN MAESTRO FINAL'!$A242,'HOJAS DE HORA PROY.'!$M$2:$M$943,U$113)</f>
        <v>0</v>
      </c>
      <c r="V242" s="8">
        <f>SUMIFS('HOJAS DE HORA PROY.'!$E$2:$E$943,'HOJAS DE HORA PROY.'!$A$2:$A$943,'PLAN MAESTRO FINAL'!$A242,'HOJAS DE HORA PROY.'!$M$2:$M$943,V$113)</f>
        <v>0</v>
      </c>
      <c r="W242" s="8">
        <f>SUMIFS('HOJAS DE HORA PROY.'!$E$2:$E$943,'HOJAS DE HORA PROY.'!$A$2:$A$943,'PLAN MAESTRO FINAL'!$A242,'HOJAS DE HORA PROY.'!$M$2:$M$943,W$113)</f>
        <v>0</v>
      </c>
    </row>
    <row r="243" spans="1:23" hidden="1" outlineLevel="1" x14ac:dyDescent="0.3">
      <c r="A243" s="13" t="s">
        <v>306</v>
      </c>
      <c r="B243" s="8">
        <f>SUMIFS('HOJAS DE HORA PROY.'!$E$2:$E$943,'HOJAS DE HORA PROY.'!$A$2:$A$943,'PLAN MAESTRO FINAL'!$A243,'HOJAS DE HORA PROY.'!$M$2:$M$943,B$113)</f>
        <v>0</v>
      </c>
      <c r="C243" s="8">
        <f>SUMIFS('HOJAS DE HORA PROY.'!$E$2:$E$943,'HOJAS DE HORA PROY.'!$A$2:$A$943,'PLAN MAESTRO FINAL'!$A243,'HOJAS DE HORA PROY.'!$M$2:$M$943,C$113)</f>
        <v>0</v>
      </c>
      <c r="D243" s="8">
        <f>SUMIFS('HOJAS DE HORA PROY.'!$E$2:$E$943,'HOJAS DE HORA PROY.'!$A$2:$A$943,'PLAN MAESTRO FINAL'!$A243,'HOJAS DE HORA PROY.'!$M$2:$M$943,D$113)</f>
        <v>0</v>
      </c>
      <c r="E243" s="8">
        <f>SUMIFS('HOJAS DE HORA PROY.'!$E$2:$E$943,'HOJAS DE HORA PROY.'!$A$2:$A$943,'PLAN MAESTRO FINAL'!$A243,'HOJAS DE HORA PROY.'!$M$2:$M$943,E$113)</f>
        <v>0</v>
      </c>
      <c r="F243" s="8">
        <f>SUMIFS('HOJAS DE HORA PROY.'!$E$2:$E$943,'HOJAS DE HORA PROY.'!$A$2:$A$943,'PLAN MAESTRO FINAL'!$A243,'HOJAS DE HORA PROY.'!$M$2:$M$943,F$113)</f>
        <v>0</v>
      </c>
      <c r="G243" s="8">
        <f>SUMIFS('HOJAS DE HORA PROY.'!$E$2:$E$943,'HOJAS DE HORA PROY.'!$A$2:$A$943,'PLAN MAESTRO FINAL'!$A243,'HOJAS DE HORA PROY.'!$M$2:$M$943,G$113)</f>
        <v>0</v>
      </c>
      <c r="H243" s="8">
        <f>SUMIFS('HOJAS DE HORA PROY.'!$E$2:$E$943,'HOJAS DE HORA PROY.'!$A$2:$A$943,'PLAN MAESTRO FINAL'!$A243,'HOJAS DE HORA PROY.'!$M$2:$M$943,H$113)</f>
        <v>0</v>
      </c>
      <c r="I243" s="8">
        <f>SUMIFS('HOJAS DE HORA PROY.'!$E$2:$E$943,'HOJAS DE HORA PROY.'!$A$2:$A$943,'PLAN MAESTRO FINAL'!$A243,'HOJAS DE HORA PROY.'!$M$2:$M$943,I$113)</f>
        <v>0</v>
      </c>
      <c r="J243" s="8">
        <f>SUMIFS('HOJAS DE HORA PROY.'!$E$2:$E$943,'HOJAS DE HORA PROY.'!$A$2:$A$943,'PLAN MAESTRO FINAL'!$A243,'HOJAS DE HORA PROY.'!$M$2:$M$943,J$113)</f>
        <v>0</v>
      </c>
      <c r="K243" s="8">
        <f>SUMIFS('HOJAS DE HORA PROY.'!$E$2:$E$943,'HOJAS DE HORA PROY.'!$A$2:$A$943,'PLAN MAESTRO FINAL'!$A243,'HOJAS DE HORA PROY.'!$M$2:$M$943,K$113)</f>
        <v>0</v>
      </c>
      <c r="L243" s="8">
        <f>SUMIFS('HOJAS DE HORA PROY.'!$E$2:$E$943,'HOJAS DE HORA PROY.'!$A$2:$A$943,'PLAN MAESTRO FINAL'!$A243,'HOJAS DE HORA PROY.'!$M$2:$M$943,L$113)</f>
        <v>0</v>
      </c>
      <c r="M243" s="8">
        <f>SUMIFS('HOJAS DE HORA PROY.'!$E$2:$E$943,'HOJAS DE HORA PROY.'!$A$2:$A$943,'PLAN MAESTRO FINAL'!$A243,'HOJAS DE HORA PROY.'!$M$2:$M$943,M$113)</f>
        <v>0</v>
      </c>
      <c r="N243" s="8">
        <f>SUMIFS('HOJAS DE HORA PROY.'!$E$2:$E$943,'HOJAS DE HORA PROY.'!$A$2:$A$943,'PLAN MAESTRO FINAL'!$A243,'HOJAS DE HORA PROY.'!$M$2:$M$943,N$113)</f>
        <v>0</v>
      </c>
      <c r="O243" s="8">
        <f>SUMIFS('HOJAS DE HORA PROY.'!$E$2:$E$943,'HOJAS DE HORA PROY.'!$A$2:$A$943,'PLAN MAESTRO FINAL'!$A243,'HOJAS DE HORA PROY.'!$M$2:$M$943,O$113)</f>
        <v>0</v>
      </c>
      <c r="P243" s="8">
        <f>SUMIFS('HOJAS DE HORA PROY.'!$E$2:$E$943,'HOJAS DE HORA PROY.'!$A$2:$A$943,'PLAN MAESTRO FINAL'!$A243,'HOJAS DE HORA PROY.'!$M$2:$M$943,P$113)</f>
        <v>0</v>
      </c>
      <c r="Q243" s="8">
        <f>SUMIFS('HOJAS DE HORA PROY.'!$E$2:$E$943,'HOJAS DE HORA PROY.'!$A$2:$A$943,'PLAN MAESTRO FINAL'!$A243,'HOJAS DE HORA PROY.'!$M$2:$M$943,Q$113)</f>
        <v>0</v>
      </c>
      <c r="R243" s="8">
        <f>SUMIFS('HOJAS DE HORA PROY.'!$E$2:$E$943,'HOJAS DE HORA PROY.'!$A$2:$A$943,'PLAN MAESTRO FINAL'!$A243,'HOJAS DE HORA PROY.'!$M$2:$M$943,R$113)</f>
        <v>0</v>
      </c>
      <c r="S243" s="8">
        <f>SUMIFS('HOJAS DE HORA PROY.'!$E$2:$E$943,'HOJAS DE HORA PROY.'!$A$2:$A$943,'PLAN MAESTRO FINAL'!$A243,'HOJAS DE HORA PROY.'!$M$2:$M$943,S$113)</f>
        <v>0</v>
      </c>
      <c r="T243" s="8">
        <f>SUMIFS('HOJAS DE HORA PROY.'!$E$2:$E$943,'HOJAS DE HORA PROY.'!$A$2:$A$943,'PLAN MAESTRO FINAL'!$A243,'HOJAS DE HORA PROY.'!$M$2:$M$943,T$113)</f>
        <v>0</v>
      </c>
      <c r="U243" s="8">
        <f>SUMIFS('HOJAS DE HORA PROY.'!$E$2:$E$943,'HOJAS DE HORA PROY.'!$A$2:$A$943,'PLAN MAESTRO FINAL'!$A243,'HOJAS DE HORA PROY.'!$M$2:$M$943,U$113)</f>
        <v>0</v>
      </c>
      <c r="V243" s="8">
        <f>SUMIFS('HOJAS DE HORA PROY.'!$E$2:$E$943,'HOJAS DE HORA PROY.'!$A$2:$A$943,'PLAN MAESTRO FINAL'!$A243,'HOJAS DE HORA PROY.'!$M$2:$M$943,V$113)</f>
        <v>0</v>
      </c>
      <c r="W243" s="8">
        <f>SUMIFS('HOJAS DE HORA PROY.'!$E$2:$E$943,'HOJAS DE HORA PROY.'!$A$2:$A$943,'PLAN MAESTRO FINAL'!$A243,'HOJAS DE HORA PROY.'!$M$2:$M$943,W$113)</f>
        <v>0</v>
      </c>
    </row>
    <row r="244" spans="1:23" hidden="1" outlineLevel="1" x14ac:dyDescent="0.3">
      <c r="A244" s="13" t="s">
        <v>307</v>
      </c>
      <c r="B244" s="8">
        <f>SUMIFS('HOJAS DE HORA PROY.'!$E$2:$E$943,'HOJAS DE HORA PROY.'!$A$2:$A$943,'PLAN MAESTRO FINAL'!$A244,'HOJAS DE HORA PROY.'!$M$2:$M$943,B$113)</f>
        <v>0</v>
      </c>
      <c r="C244" s="8">
        <f>SUMIFS('HOJAS DE HORA PROY.'!$E$2:$E$943,'HOJAS DE HORA PROY.'!$A$2:$A$943,'PLAN MAESTRO FINAL'!$A244,'HOJAS DE HORA PROY.'!$M$2:$M$943,C$113)</f>
        <v>0</v>
      </c>
      <c r="D244" s="8">
        <f>SUMIFS('HOJAS DE HORA PROY.'!$E$2:$E$943,'HOJAS DE HORA PROY.'!$A$2:$A$943,'PLAN MAESTRO FINAL'!$A244,'HOJAS DE HORA PROY.'!$M$2:$M$943,D$113)</f>
        <v>0</v>
      </c>
      <c r="E244" s="8">
        <f>SUMIFS('HOJAS DE HORA PROY.'!$E$2:$E$943,'HOJAS DE HORA PROY.'!$A$2:$A$943,'PLAN MAESTRO FINAL'!$A244,'HOJAS DE HORA PROY.'!$M$2:$M$943,E$113)</f>
        <v>0</v>
      </c>
      <c r="F244" s="8">
        <f>SUMIFS('HOJAS DE HORA PROY.'!$E$2:$E$943,'HOJAS DE HORA PROY.'!$A$2:$A$943,'PLAN MAESTRO FINAL'!$A244,'HOJAS DE HORA PROY.'!$M$2:$M$943,F$113)</f>
        <v>0</v>
      </c>
      <c r="G244" s="8">
        <f>SUMIFS('HOJAS DE HORA PROY.'!$E$2:$E$943,'HOJAS DE HORA PROY.'!$A$2:$A$943,'PLAN MAESTRO FINAL'!$A244,'HOJAS DE HORA PROY.'!$M$2:$M$943,G$113)</f>
        <v>0</v>
      </c>
      <c r="H244" s="8">
        <f>SUMIFS('HOJAS DE HORA PROY.'!$E$2:$E$943,'HOJAS DE HORA PROY.'!$A$2:$A$943,'PLAN MAESTRO FINAL'!$A244,'HOJAS DE HORA PROY.'!$M$2:$M$943,H$113)</f>
        <v>0</v>
      </c>
      <c r="I244" s="8">
        <f>SUMIFS('HOJAS DE HORA PROY.'!$E$2:$E$943,'HOJAS DE HORA PROY.'!$A$2:$A$943,'PLAN MAESTRO FINAL'!$A244,'HOJAS DE HORA PROY.'!$M$2:$M$943,I$113)</f>
        <v>0</v>
      </c>
      <c r="J244" s="8">
        <f>SUMIFS('HOJAS DE HORA PROY.'!$E$2:$E$943,'HOJAS DE HORA PROY.'!$A$2:$A$943,'PLAN MAESTRO FINAL'!$A244,'HOJAS DE HORA PROY.'!$M$2:$M$943,J$113)</f>
        <v>0</v>
      </c>
      <c r="K244" s="8">
        <f>SUMIFS('HOJAS DE HORA PROY.'!$E$2:$E$943,'HOJAS DE HORA PROY.'!$A$2:$A$943,'PLAN MAESTRO FINAL'!$A244,'HOJAS DE HORA PROY.'!$M$2:$M$943,K$113)</f>
        <v>0</v>
      </c>
      <c r="L244" s="8">
        <f>SUMIFS('HOJAS DE HORA PROY.'!$E$2:$E$943,'HOJAS DE HORA PROY.'!$A$2:$A$943,'PLAN MAESTRO FINAL'!$A244,'HOJAS DE HORA PROY.'!$M$2:$M$943,L$113)</f>
        <v>0</v>
      </c>
      <c r="M244" s="8">
        <f>SUMIFS('HOJAS DE HORA PROY.'!$E$2:$E$943,'HOJAS DE HORA PROY.'!$A$2:$A$943,'PLAN MAESTRO FINAL'!$A244,'HOJAS DE HORA PROY.'!$M$2:$M$943,M$113)</f>
        <v>0</v>
      </c>
      <c r="N244" s="8">
        <f>SUMIFS('HOJAS DE HORA PROY.'!$E$2:$E$943,'HOJAS DE HORA PROY.'!$A$2:$A$943,'PLAN MAESTRO FINAL'!$A244,'HOJAS DE HORA PROY.'!$M$2:$M$943,N$113)</f>
        <v>0</v>
      </c>
      <c r="O244" s="8">
        <f>SUMIFS('HOJAS DE HORA PROY.'!$E$2:$E$943,'HOJAS DE HORA PROY.'!$A$2:$A$943,'PLAN MAESTRO FINAL'!$A244,'HOJAS DE HORA PROY.'!$M$2:$M$943,O$113)</f>
        <v>0</v>
      </c>
      <c r="P244" s="8">
        <f>SUMIFS('HOJAS DE HORA PROY.'!$E$2:$E$943,'HOJAS DE HORA PROY.'!$A$2:$A$943,'PLAN MAESTRO FINAL'!$A244,'HOJAS DE HORA PROY.'!$M$2:$M$943,P$113)</f>
        <v>0</v>
      </c>
      <c r="Q244" s="8">
        <f>SUMIFS('HOJAS DE HORA PROY.'!$E$2:$E$943,'HOJAS DE HORA PROY.'!$A$2:$A$943,'PLAN MAESTRO FINAL'!$A244,'HOJAS DE HORA PROY.'!$M$2:$M$943,Q$113)</f>
        <v>0</v>
      </c>
      <c r="R244" s="8">
        <f>SUMIFS('HOJAS DE HORA PROY.'!$E$2:$E$943,'HOJAS DE HORA PROY.'!$A$2:$A$943,'PLAN MAESTRO FINAL'!$A244,'HOJAS DE HORA PROY.'!$M$2:$M$943,R$113)</f>
        <v>0</v>
      </c>
      <c r="S244" s="8">
        <f>SUMIFS('HOJAS DE HORA PROY.'!$E$2:$E$943,'HOJAS DE HORA PROY.'!$A$2:$A$943,'PLAN MAESTRO FINAL'!$A244,'HOJAS DE HORA PROY.'!$M$2:$M$943,S$113)</f>
        <v>0</v>
      </c>
      <c r="T244" s="8">
        <f>SUMIFS('HOJAS DE HORA PROY.'!$E$2:$E$943,'HOJAS DE HORA PROY.'!$A$2:$A$943,'PLAN MAESTRO FINAL'!$A244,'HOJAS DE HORA PROY.'!$M$2:$M$943,T$113)</f>
        <v>0</v>
      </c>
      <c r="U244" s="8">
        <f>SUMIFS('HOJAS DE HORA PROY.'!$E$2:$E$943,'HOJAS DE HORA PROY.'!$A$2:$A$943,'PLAN MAESTRO FINAL'!$A244,'HOJAS DE HORA PROY.'!$M$2:$M$943,U$113)</f>
        <v>0</v>
      </c>
      <c r="V244" s="8">
        <f>SUMIFS('HOJAS DE HORA PROY.'!$E$2:$E$943,'HOJAS DE HORA PROY.'!$A$2:$A$943,'PLAN MAESTRO FINAL'!$A244,'HOJAS DE HORA PROY.'!$M$2:$M$943,V$113)</f>
        <v>0</v>
      </c>
      <c r="W244" s="8">
        <f>SUMIFS('HOJAS DE HORA PROY.'!$E$2:$E$943,'HOJAS DE HORA PROY.'!$A$2:$A$943,'PLAN MAESTRO FINAL'!$A244,'HOJAS DE HORA PROY.'!$M$2:$M$943,W$113)</f>
        <v>0</v>
      </c>
    </row>
    <row r="245" spans="1:23" hidden="1" outlineLevel="1" x14ac:dyDescent="0.3">
      <c r="A245" s="13" t="s">
        <v>321</v>
      </c>
      <c r="B245" s="8">
        <f>SUMIFS('HOJAS DE HORA PROY.'!$E$2:$E$943,'HOJAS DE HORA PROY.'!$A$2:$A$943,'PLAN MAESTRO FINAL'!$A245,'HOJAS DE HORA PROY.'!$M$2:$M$943,B$113)</f>
        <v>0</v>
      </c>
      <c r="C245" s="8">
        <f>SUMIFS('HOJAS DE HORA PROY.'!$E$2:$E$943,'HOJAS DE HORA PROY.'!$A$2:$A$943,'PLAN MAESTRO FINAL'!$A245,'HOJAS DE HORA PROY.'!$M$2:$M$943,C$113)</f>
        <v>0</v>
      </c>
      <c r="D245" s="8">
        <f>SUMIFS('HOJAS DE HORA PROY.'!$E$2:$E$943,'HOJAS DE HORA PROY.'!$A$2:$A$943,'PLAN MAESTRO FINAL'!$A245,'HOJAS DE HORA PROY.'!$M$2:$M$943,D$113)</f>
        <v>0</v>
      </c>
      <c r="E245" s="8">
        <f>SUMIFS('HOJAS DE HORA PROY.'!$E$2:$E$943,'HOJAS DE HORA PROY.'!$A$2:$A$943,'PLAN MAESTRO FINAL'!$A245,'HOJAS DE HORA PROY.'!$M$2:$M$943,E$113)</f>
        <v>0</v>
      </c>
      <c r="F245" s="8">
        <f>SUMIFS('HOJAS DE HORA PROY.'!$E$2:$E$943,'HOJAS DE HORA PROY.'!$A$2:$A$943,'PLAN MAESTRO FINAL'!$A245,'HOJAS DE HORA PROY.'!$M$2:$M$943,F$113)</f>
        <v>0</v>
      </c>
      <c r="G245" s="8">
        <f>SUMIFS('HOJAS DE HORA PROY.'!$E$2:$E$943,'HOJAS DE HORA PROY.'!$A$2:$A$943,'PLAN MAESTRO FINAL'!$A245,'HOJAS DE HORA PROY.'!$M$2:$M$943,G$113)</f>
        <v>0</v>
      </c>
      <c r="H245" s="8">
        <f>SUMIFS('HOJAS DE HORA PROY.'!$E$2:$E$943,'HOJAS DE HORA PROY.'!$A$2:$A$943,'PLAN MAESTRO FINAL'!$A245,'HOJAS DE HORA PROY.'!$M$2:$M$943,H$113)</f>
        <v>0</v>
      </c>
      <c r="I245" s="8">
        <f>SUMIFS('HOJAS DE HORA PROY.'!$E$2:$E$943,'HOJAS DE HORA PROY.'!$A$2:$A$943,'PLAN MAESTRO FINAL'!$A245,'HOJAS DE HORA PROY.'!$M$2:$M$943,I$113)</f>
        <v>0</v>
      </c>
      <c r="J245" s="8">
        <f>SUMIFS('HOJAS DE HORA PROY.'!$E$2:$E$943,'HOJAS DE HORA PROY.'!$A$2:$A$943,'PLAN MAESTRO FINAL'!$A245,'HOJAS DE HORA PROY.'!$M$2:$M$943,J$113)</f>
        <v>0</v>
      </c>
      <c r="K245" s="8">
        <f>SUMIFS('HOJAS DE HORA PROY.'!$E$2:$E$943,'HOJAS DE HORA PROY.'!$A$2:$A$943,'PLAN MAESTRO FINAL'!$A245,'HOJAS DE HORA PROY.'!$M$2:$M$943,K$113)</f>
        <v>0</v>
      </c>
      <c r="L245" s="8">
        <f>SUMIFS('HOJAS DE HORA PROY.'!$E$2:$E$943,'HOJAS DE HORA PROY.'!$A$2:$A$943,'PLAN MAESTRO FINAL'!$A245,'HOJAS DE HORA PROY.'!$M$2:$M$943,L$113)</f>
        <v>0</v>
      </c>
      <c r="M245" s="8">
        <f>SUMIFS('HOJAS DE HORA PROY.'!$E$2:$E$943,'HOJAS DE HORA PROY.'!$A$2:$A$943,'PLAN MAESTRO FINAL'!$A245,'HOJAS DE HORA PROY.'!$M$2:$M$943,M$113)</f>
        <v>0</v>
      </c>
      <c r="N245" s="8">
        <f>SUMIFS('HOJAS DE HORA PROY.'!$E$2:$E$943,'HOJAS DE HORA PROY.'!$A$2:$A$943,'PLAN MAESTRO FINAL'!$A245,'HOJAS DE HORA PROY.'!$M$2:$M$943,N$113)</f>
        <v>0</v>
      </c>
      <c r="O245" s="8">
        <f>SUMIFS('HOJAS DE HORA PROY.'!$E$2:$E$943,'HOJAS DE HORA PROY.'!$A$2:$A$943,'PLAN MAESTRO FINAL'!$A245,'HOJAS DE HORA PROY.'!$M$2:$M$943,O$113)</f>
        <v>0</v>
      </c>
      <c r="P245" s="8">
        <f>SUMIFS('HOJAS DE HORA PROY.'!$E$2:$E$943,'HOJAS DE HORA PROY.'!$A$2:$A$943,'PLAN MAESTRO FINAL'!$A245,'HOJAS DE HORA PROY.'!$M$2:$M$943,P$113)</f>
        <v>0</v>
      </c>
      <c r="Q245" s="8">
        <f>SUMIFS('HOJAS DE HORA PROY.'!$E$2:$E$943,'HOJAS DE HORA PROY.'!$A$2:$A$943,'PLAN MAESTRO FINAL'!$A245,'HOJAS DE HORA PROY.'!$M$2:$M$943,Q$113)</f>
        <v>0</v>
      </c>
      <c r="R245" s="8">
        <f>SUMIFS('HOJAS DE HORA PROY.'!$E$2:$E$943,'HOJAS DE HORA PROY.'!$A$2:$A$943,'PLAN MAESTRO FINAL'!$A245,'HOJAS DE HORA PROY.'!$M$2:$M$943,R$113)</f>
        <v>0</v>
      </c>
      <c r="S245" s="8">
        <f>SUMIFS('HOJAS DE HORA PROY.'!$E$2:$E$943,'HOJAS DE HORA PROY.'!$A$2:$A$943,'PLAN MAESTRO FINAL'!$A245,'HOJAS DE HORA PROY.'!$M$2:$M$943,S$113)</f>
        <v>0</v>
      </c>
      <c r="T245" s="8">
        <f>SUMIFS('HOJAS DE HORA PROY.'!$E$2:$E$943,'HOJAS DE HORA PROY.'!$A$2:$A$943,'PLAN MAESTRO FINAL'!$A245,'HOJAS DE HORA PROY.'!$M$2:$M$943,T$113)</f>
        <v>0</v>
      </c>
      <c r="U245" s="8">
        <f>SUMIFS('HOJAS DE HORA PROY.'!$E$2:$E$943,'HOJAS DE HORA PROY.'!$A$2:$A$943,'PLAN MAESTRO FINAL'!$A245,'HOJAS DE HORA PROY.'!$M$2:$M$943,U$113)</f>
        <v>0</v>
      </c>
      <c r="V245" s="8">
        <f>SUMIFS('HOJAS DE HORA PROY.'!$E$2:$E$943,'HOJAS DE HORA PROY.'!$A$2:$A$943,'PLAN MAESTRO FINAL'!$A245,'HOJAS DE HORA PROY.'!$M$2:$M$943,V$113)</f>
        <v>0</v>
      </c>
      <c r="W245" s="8">
        <f>SUMIFS('HOJAS DE HORA PROY.'!$E$2:$E$943,'HOJAS DE HORA PROY.'!$A$2:$A$943,'PLAN MAESTRO FINAL'!$A245,'HOJAS DE HORA PROY.'!$M$2:$M$943,W$113)</f>
        <v>0</v>
      </c>
    </row>
    <row r="246" spans="1:23" hidden="1" outlineLevel="1" x14ac:dyDescent="0.3">
      <c r="A246" s="13" t="s">
        <v>453</v>
      </c>
      <c r="B246" s="8">
        <f>SUMIFS('HOJAS DE HORA PROY.'!$E$2:$E$943,'HOJAS DE HORA PROY.'!$A$2:$A$943,'PLAN MAESTRO FINAL'!$A246,'HOJAS DE HORA PROY.'!$M$2:$M$943,B$113)</f>
        <v>0</v>
      </c>
      <c r="C246" s="8">
        <f>SUMIFS('HOJAS DE HORA PROY.'!$E$2:$E$943,'HOJAS DE HORA PROY.'!$A$2:$A$943,'PLAN MAESTRO FINAL'!$A246,'HOJAS DE HORA PROY.'!$M$2:$M$943,C$113)</f>
        <v>0</v>
      </c>
      <c r="D246" s="8">
        <f>SUMIFS('HOJAS DE HORA PROY.'!$E$2:$E$943,'HOJAS DE HORA PROY.'!$A$2:$A$943,'PLAN MAESTRO FINAL'!$A246,'HOJAS DE HORA PROY.'!$M$2:$M$943,D$113)</f>
        <v>0</v>
      </c>
      <c r="E246" s="8">
        <f>SUMIFS('HOJAS DE HORA PROY.'!$E$2:$E$943,'HOJAS DE HORA PROY.'!$A$2:$A$943,'PLAN MAESTRO FINAL'!$A246,'HOJAS DE HORA PROY.'!$M$2:$M$943,E$113)</f>
        <v>0</v>
      </c>
      <c r="F246" s="8">
        <f>SUMIFS('HOJAS DE HORA PROY.'!$E$2:$E$943,'HOJAS DE HORA PROY.'!$A$2:$A$943,'PLAN MAESTRO FINAL'!$A246,'HOJAS DE HORA PROY.'!$M$2:$M$943,F$113)</f>
        <v>0</v>
      </c>
      <c r="G246" s="8">
        <f>SUMIFS('HOJAS DE HORA PROY.'!$E$2:$E$943,'HOJAS DE HORA PROY.'!$A$2:$A$943,'PLAN MAESTRO FINAL'!$A246,'HOJAS DE HORA PROY.'!$M$2:$M$943,G$113)</f>
        <v>0</v>
      </c>
      <c r="H246" s="8">
        <f>SUMIFS('HOJAS DE HORA PROY.'!$E$2:$E$943,'HOJAS DE HORA PROY.'!$A$2:$A$943,'PLAN MAESTRO FINAL'!$A246,'HOJAS DE HORA PROY.'!$M$2:$M$943,H$113)</f>
        <v>0</v>
      </c>
      <c r="I246" s="8">
        <f>SUMIFS('HOJAS DE HORA PROY.'!$E$2:$E$943,'HOJAS DE HORA PROY.'!$A$2:$A$943,'PLAN MAESTRO FINAL'!$A246,'HOJAS DE HORA PROY.'!$M$2:$M$943,I$113)</f>
        <v>0</v>
      </c>
      <c r="J246" s="8">
        <f>SUMIFS('HOJAS DE HORA PROY.'!$E$2:$E$943,'HOJAS DE HORA PROY.'!$A$2:$A$943,'PLAN MAESTRO FINAL'!$A246,'HOJAS DE HORA PROY.'!$M$2:$M$943,J$113)</f>
        <v>0</v>
      </c>
      <c r="K246" s="8">
        <f>SUMIFS('HOJAS DE HORA PROY.'!$E$2:$E$943,'HOJAS DE HORA PROY.'!$A$2:$A$943,'PLAN MAESTRO FINAL'!$A246,'HOJAS DE HORA PROY.'!$M$2:$M$943,K$113)</f>
        <v>0</v>
      </c>
      <c r="L246" s="8">
        <f>SUMIFS('HOJAS DE HORA PROY.'!$E$2:$E$943,'HOJAS DE HORA PROY.'!$A$2:$A$943,'PLAN MAESTRO FINAL'!$A246,'HOJAS DE HORA PROY.'!$M$2:$M$943,L$113)</f>
        <v>0</v>
      </c>
      <c r="M246" s="8">
        <f>SUMIFS('HOJAS DE HORA PROY.'!$E$2:$E$943,'HOJAS DE HORA PROY.'!$A$2:$A$943,'PLAN MAESTRO FINAL'!$A246,'HOJAS DE HORA PROY.'!$M$2:$M$943,M$113)</f>
        <v>0</v>
      </c>
      <c r="N246" s="8">
        <f>SUMIFS('HOJAS DE HORA PROY.'!$E$2:$E$943,'HOJAS DE HORA PROY.'!$A$2:$A$943,'PLAN MAESTRO FINAL'!$A246,'HOJAS DE HORA PROY.'!$M$2:$M$943,N$113)</f>
        <v>0</v>
      </c>
      <c r="O246" s="8">
        <f>SUMIFS('HOJAS DE HORA PROY.'!$E$2:$E$943,'HOJAS DE HORA PROY.'!$A$2:$A$943,'PLAN MAESTRO FINAL'!$A246,'HOJAS DE HORA PROY.'!$M$2:$M$943,O$113)</f>
        <v>0</v>
      </c>
      <c r="P246" s="8">
        <f>SUMIFS('HOJAS DE HORA PROY.'!$E$2:$E$943,'HOJAS DE HORA PROY.'!$A$2:$A$943,'PLAN MAESTRO FINAL'!$A246,'HOJAS DE HORA PROY.'!$M$2:$M$943,P$113)</f>
        <v>0</v>
      </c>
      <c r="Q246" s="8">
        <f>SUMIFS('HOJAS DE HORA PROY.'!$E$2:$E$943,'HOJAS DE HORA PROY.'!$A$2:$A$943,'PLAN MAESTRO FINAL'!$A246,'HOJAS DE HORA PROY.'!$M$2:$M$943,Q$113)</f>
        <v>0</v>
      </c>
      <c r="R246" s="8">
        <f>SUMIFS('HOJAS DE HORA PROY.'!$E$2:$E$943,'HOJAS DE HORA PROY.'!$A$2:$A$943,'PLAN MAESTRO FINAL'!$A246,'HOJAS DE HORA PROY.'!$M$2:$M$943,R$113)</f>
        <v>0</v>
      </c>
      <c r="S246" s="8">
        <f>SUMIFS('HOJAS DE HORA PROY.'!$E$2:$E$943,'HOJAS DE HORA PROY.'!$A$2:$A$943,'PLAN MAESTRO FINAL'!$A246,'HOJAS DE HORA PROY.'!$M$2:$M$943,S$113)</f>
        <v>0</v>
      </c>
      <c r="T246" s="8">
        <f>SUMIFS('HOJAS DE HORA PROY.'!$E$2:$E$943,'HOJAS DE HORA PROY.'!$A$2:$A$943,'PLAN MAESTRO FINAL'!$A246,'HOJAS DE HORA PROY.'!$M$2:$M$943,T$113)</f>
        <v>0</v>
      </c>
      <c r="U246" s="8">
        <f>SUMIFS('HOJAS DE HORA PROY.'!$E$2:$E$943,'HOJAS DE HORA PROY.'!$A$2:$A$943,'PLAN MAESTRO FINAL'!$A246,'HOJAS DE HORA PROY.'!$M$2:$M$943,U$113)</f>
        <v>0</v>
      </c>
      <c r="V246" s="8">
        <f>SUMIFS('HOJAS DE HORA PROY.'!$E$2:$E$943,'HOJAS DE HORA PROY.'!$A$2:$A$943,'PLAN MAESTRO FINAL'!$A246,'HOJAS DE HORA PROY.'!$M$2:$M$943,V$113)</f>
        <v>0</v>
      </c>
      <c r="W246" s="8">
        <f>SUMIFS('HOJAS DE HORA PROY.'!$E$2:$E$943,'HOJAS DE HORA PROY.'!$A$2:$A$943,'PLAN MAESTRO FINAL'!$A246,'HOJAS DE HORA PROY.'!$M$2:$M$943,W$113)</f>
        <v>0</v>
      </c>
    </row>
    <row r="247" spans="1:23" hidden="1" outlineLevel="1" x14ac:dyDescent="0.3">
      <c r="A247" s="13" t="s">
        <v>468</v>
      </c>
      <c r="B247" s="8">
        <f>SUMIFS('HOJAS DE HORA PROY.'!$E$2:$E$943,'HOJAS DE HORA PROY.'!$A$2:$A$943,'PLAN MAESTRO FINAL'!$A247,'HOJAS DE HORA PROY.'!$M$2:$M$943,B$113)</f>
        <v>0</v>
      </c>
      <c r="C247" s="8">
        <f>SUMIFS('HOJAS DE HORA PROY.'!$E$2:$E$943,'HOJAS DE HORA PROY.'!$A$2:$A$943,'PLAN MAESTRO FINAL'!$A247,'HOJAS DE HORA PROY.'!$M$2:$M$943,C$113)</f>
        <v>0</v>
      </c>
      <c r="D247" s="8">
        <f>SUMIFS('HOJAS DE HORA PROY.'!$E$2:$E$943,'HOJAS DE HORA PROY.'!$A$2:$A$943,'PLAN MAESTRO FINAL'!$A247,'HOJAS DE HORA PROY.'!$M$2:$M$943,D$113)</f>
        <v>0</v>
      </c>
      <c r="E247" s="8">
        <f>SUMIFS('HOJAS DE HORA PROY.'!$E$2:$E$943,'HOJAS DE HORA PROY.'!$A$2:$A$943,'PLAN MAESTRO FINAL'!$A247,'HOJAS DE HORA PROY.'!$M$2:$M$943,E$113)</f>
        <v>0</v>
      </c>
      <c r="F247" s="8">
        <f>SUMIFS('HOJAS DE HORA PROY.'!$E$2:$E$943,'HOJAS DE HORA PROY.'!$A$2:$A$943,'PLAN MAESTRO FINAL'!$A247,'HOJAS DE HORA PROY.'!$M$2:$M$943,F$113)</f>
        <v>3</v>
      </c>
      <c r="G247" s="8">
        <f>SUMIFS('HOJAS DE HORA PROY.'!$E$2:$E$943,'HOJAS DE HORA PROY.'!$A$2:$A$943,'PLAN MAESTRO FINAL'!$A247,'HOJAS DE HORA PROY.'!$M$2:$M$943,G$113)</f>
        <v>4</v>
      </c>
      <c r="H247" s="8">
        <f>SUMIFS('HOJAS DE HORA PROY.'!$E$2:$E$943,'HOJAS DE HORA PROY.'!$A$2:$A$943,'PLAN MAESTRO FINAL'!$A247,'HOJAS DE HORA PROY.'!$M$2:$M$943,H$113)</f>
        <v>0</v>
      </c>
      <c r="I247" s="8">
        <f>SUMIFS('HOJAS DE HORA PROY.'!$E$2:$E$943,'HOJAS DE HORA PROY.'!$A$2:$A$943,'PLAN MAESTRO FINAL'!$A247,'HOJAS DE HORA PROY.'!$M$2:$M$943,I$113)</f>
        <v>0</v>
      </c>
      <c r="J247" s="8">
        <f>SUMIFS('HOJAS DE HORA PROY.'!$E$2:$E$943,'HOJAS DE HORA PROY.'!$A$2:$A$943,'PLAN MAESTRO FINAL'!$A247,'HOJAS DE HORA PROY.'!$M$2:$M$943,J$113)</f>
        <v>0</v>
      </c>
      <c r="K247" s="8">
        <f>SUMIFS('HOJAS DE HORA PROY.'!$E$2:$E$943,'HOJAS DE HORA PROY.'!$A$2:$A$943,'PLAN MAESTRO FINAL'!$A247,'HOJAS DE HORA PROY.'!$M$2:$M$943,K$113)</f>
        <v>0</v>
      </c>
      <c r="L247" s="8">
        <f>SUMIFS('HOJAS DE HORA PROY.'!$E$2:$E$943,'HOJAS DE HORA PROY.'!$A$2:$A$943,'PLAN MAESTRO FINAL'!$A247,'HOJAS DE HORA PROY.'!$M$2:$M$943,L$113)</f>
        <v>0</v>
      </c>
      <c r="M247" s="8">
        <f>SUMIFS('HOJAS DE HORA PROY.'!$E$2:$E$943,'HOJAS DE HORA PROY.'!$A$2:$A$943,'PLAN MAESTRO FINAL'!$A247,'HOJAS DE HORA PROY.'!$M$2:$M$943,M$113)</f>
        <v>0</v>
      </c>
      <c r="N247" s="8">
        <f>SUMIFS('HOJAS DE HORA PROY.'!$E$2:$E$943,'HOJAS DE HORA PROY.'!$A$2:$A$943,'PLAN MAESTRO FINAL'!$A247,'HOJAS DE HORA PROY.'!$M$2:$M$943,N$113)</f>
        <v>0</v>
      </c>
      <c r="O247" s="8">
        <f>SUMIFS('HOJAS DE HORA PROY.'!$E$2:$E$943,'HOJAS DE HORA PROY.'!$A$2:$A$943,'PLAN MAESTRO FINAL'!$A247,'HOJAS DE HORA PROY.'!$M$2:$M$943,O$113)</f>
        <v>0</v>
      </c>
      <c r="P247" s="8">
        <f>SUMIFS('HOJAS DE HORA PROY.'!$E$2:$E$943,'HOJAS DE HORA PROY.'!$A$2:$A$943,'PLAN MAESTRO FINAL'!$A247,'HOJAS DE HORA PROY.'!$M$2:$M$943,P$113)</f>
        <v>0</v>
      </c>
      <c r="Q247" s="8">
        <f>SUMIFS('HOJAS DE HORA PROY.'!$E$2:$E$943,'HOJAS DE HORA PROY.'!$A$2:$A$943,'PLAN MAESTRO FINAL'!$A247,'HOJAS DE HORA PROY.'!$M$2:$M$943,Q$113)</f>
        <v>0</v>
      </c>
      <c r="R247" s="8">
        <f>SUMIFS('HOJAS DE HORA PROY.'!$E$2:$E$943,'HOJAS DE HORA PROY.'!$A$2:$A$943,'PLAN MAESTRO FINAL'!$A247,'HOJAS DE HORA PROY.'!$M$2:$M$943,R$113)</f>
        <v>0</v>
      </c>
      <c r="S247" s="8">
        <f>SUMIFS('HOJAS DE HORA PROY.'!$E$2:$E$943,'HOJAS DE HORA PROY.'!$A$2:$A$943,'PLAN MAESTRO FINAL'!$A247,'HOJAS DE HORA PROY.'!$M$2:$M$943,S$113)</f>
        <v>0</v>
      </c>
      <c r="T247" s="8">
        <f>SUMIFS('HOJAS DE HORA PROY.'!$E$2:$E$943,'HOJAS DE HORA PROY.'!$A$2:$A$943,'PLAN MAESTRO FINAL'!$A247,'HOJAS DE HORA PROY.'!$M$2:$M$943,T$113)</f>
        <v>0</v>
      </c>
      <c r="U247" s="8">
        <f>SUMIFS('HOJAS DE HORA PROY.'!$E$2:$E$943,'HOJAS DE HORA PROY.'!$A$2:$A$943,'PLAN MAESTRO FINAL'!$A247,'HOJAS DE HORA PROY.'!$M$2:$M$943,U$113)</f>
        <v>0</v>
      </c>
      <c r="V247" s="8">
        <f>SUMIFS('HOJAS DE HORA PROY.'!$E$2:$E$943,'HOJAS DE HORA PROY.'!$A$2:$A$943,'PLAN MAESTRO FINAL'!$A247,'HOJAS DE HORA PROY.'!$M$2:$M$943,V$113)</f>
        <v>0</v>
      </c>
      <c r="W247" s="8">
        <f>SUMIFS('HOJAS DE HORA PROY.'!$E$2:$E$943,'HOJAS DE HORA PROY.'!$A$2:$A$943,'PLAN MAESTRO FINAL'!$A247,'HOJAS DE HORA PROY.'!$M$2:$M$943,W$113)</f>
        <v>0</v>
      </c>
    </row>
    <row r="248" spans="1:23" hidden="1" outlineLevel="1" x14ac:dyDescent="0.3">
      <c r="A248" s="13" t="s">
        <v>553</v>
      </c>
      <c r="B248" s="8">
        <f>SUMIFS('HOJAS DE HORA PROY.'!$E$2:$E$943,'HOJAS DE HORA PROY.'!$A$2:$A$943,'PLAN MAESTRO FINAL'!$A248,'HOJAS DE HORA PROY.'!$M$2:$M$943,B$113)</f>
        <v>0</v>
      </c>
      <c r="C248" s="8">
        <f>SUMIFS('HOJAS DE HORA PROY.'!$E$2:$E$943,'HOJAS DE HORA PROY.'!$A$2:$A$943,'PLAN MAESTRO FINAL'!$A248,'HOJAS DE HORA PROY.'!$M$2:$M$943,C$113)</f>
        <v>0</v>
      </c>
      <c r="D248" s="8">
        <f>SUMIFS('HOJAS DE HORA PROY.'!$E$2:$E$943,'HOJAS DE HORA PROY.'!$A$2:$A$943,'PLAN MAESTRO FINAL'!$A248,'HOJAS DE HORA PROY.'!$M$2:$M$943,D$113)</f>
        <v>0</v>
      </c>
      <c r="E248" s="8">
        <f>SUMIFS('HOJAS DE HORA PROY.'!$E$2:$E$943,'HOJAS DE HORA PROY.'!$A$2:$A$943,'PLAN MAESTRO FINAL'!$A248,'HOJAS DE HORA PROY.'!$M$2:$M$943,E$113)</f>
        <v>0</v>
      </c>
      <c r="F248" s="8">
        <f>SUMIFS('HOJAS DE HORA PROY.'!$E$2:$E$943,'HOJAS DE HORA PROY.'!$A$2:$A$943,'PLAN MAESTRO FINAL'!$A248,'HOJAS DE HORA PROY.'!$M$2:$M$943,F$113)</f>
        <v>0</v>
      </c>
      <c r="G248" s="8">
        <f>SUMIFS('HOJAS DE HORA PROY.'!$E$2:$E$943,'HOJAS DE HORA PROY.'!$A$2:$A$943,'PLAN MAESTRO FINAL'!$A248,'HOJAS DE HORA PROY.'!$M$2:$M$943,G$113)</f>
        <v>0</v>
      </c>
      <c r="H248" s="8">
        <f>SUMIFS('HOJAS DE HORA PROY.'!$E$2:$E$943,'HOJAS DE HORA PROY.'!$A$2:$A$943,'PLAN MAESTRO FINAL'!$A248,'HOJAS DE HORA PROY.'!$M$2:$M$943,H$113)</f>
        <v>0</v>
      </c>
      <c r="I248" s="8">
        <f>SUMIFS('HOJAS DE HORA PROY.'!$E$2:$E$943,'HOJAS DE HORA PROY.'!$A$2:$A$943,'PLAN MAESTRO FINAL'!$A248,'HOJAS DE HORA PROY.'!$M$2:$M$943,I$113)</f>
        <v>0</v>
      </c>
      <c r="J248" s="8">
        <f>SUMIFS('HOJAS DE HORA PROY.'!$E$2:$E$943,'HOJAS DE HORA PROY.'!$A$2:$A$943,'PLAN MAESTRO FINAL'!$A248,'HOJAS DE HORA PROY.'!$M$2:$M$943,J$113)</f>
        <v>0</v>
      </c>
      <c r="K248" s="8">
        <f>SUMIFS('HOJAS DE HORA PROY.'!$E$2:$E$943,'HOJAS DE HORA PROY.'!$A$2:$A$943,'PLAN MAESTRO FINAL'!$A248,'HOJAS DE HORA PROY.'!$M$2:$M$943,K$113)</f>
        <v>0</v>
      </c>
      <c r="L248" s="8">
        <f>SUMIFS('HOJAS DE HORA PROY.'!$E$2:$E$943,'HOJAS DE HORA PROY.'!$A$2:$A$943,'PLAN MAESTRO FINAL'!$A248,'HOJAS DE HORA PROY.'!$M$2:$M$943,L$113)</f>
        <v>0</v>
      </c>
      <c r="M248" s="8">
        <f>SUMIFS('HOJAS DE HORA PROY.'!$E$2:$E$943,'HOJAS DE HORA PROY.'!$A$2:$A$943,'PLAN MAESTRO FINAL'!$A248,'HOJAS DE HORA PROY.'!$M$2:$M$943,M$113)</f>
        <v>0</v>
      </c>
      <c r="N248" s="8">
        <f>SUMIFS('HOJAS DE HORA PROY.'!$E$2:$E$943,'HOJAS DE HORA PROY.'!$A$2:$A$943,'PLAN MAESTRO FINAL'!$A248,'HOJAS DE HORA PROY.'!$M$2:$M$943,N$113)</f>
        <v>0</v>
      </c>
      <c r="O248" s="8">
        <f>SUMIFS('HOJAS DE HORA PROY.'!$E$2:$E$943,'HOJAS DE HORA PROY.'!$A$2:$A$943,'PLAN MAESTRO FINAL'!$A248,'HOJAS DE HORA PROY.'!$M$2:$M$943,O$113)</f>
        <v>0</v>
      </c>
      <c r="P248" s="8">
        <f>SUMIFS('HOJAS DE HORA PROY.'!$E$2:$E$943,'HOJAS DE HORA PROY.'!$A$2:$A$943,'PLAN MAESTRO FINAL'!$A248,'HOJAS DE HORA PROY.'!$M$2:$M$943,P$113)</f>
        <v>0</v>
      </c>
      <c r="Q248" s="8">
        <f>SUMIFS('HOJAS DE HORA PROY.'!$E$2:$E$943,'HOJAS DE HORA PROY.'!$A$2:$A$943,'PLAN MAESTRO FINAL'!$A248,'HOJAS DE HORA PROY.'!$M$2:$M$943,Q$113)</f>
        <v>0</v>
      </c>
      <c r="R248" s="8">
        <f>SUMIFS('HOJAS DE HORA PROY.'!$E$2:$E$943,'HOJAS DE HORA PROY.'!$A$2:$A$943,'PLAN MAESTRO FINAL'!$A248,'HOJAS DE HORA PROY.'!$M$2:$M$943,R$113)</f>
        <v>0</v>
      </c>
      <c r="S248" s="8">
        <f>SUMIFS('HOJAS DE HORA PROY.'!$E$2:$E$943,'HOJAS DE HORA PROY.'!$A$2:$A$943,'PLAN MAESTRO FINAL'!$A248,'HOJAS DE HORA PROY.'!$M$2:$M$943,S$113)</f>
        <v>0</v>
      </c>
      <c r="T248" s="8">
        <f>SUMIFS('HOJAS DE HORA PROY.'!$E$2:$E$943,'HOJAS DE HORA PROY.'!$A$2:$A$943,'PLAN MAESTRO FINAL'!$A248,'HOJAS DE HORA PROY.'!$M$2:$M$943,T$113)</f>
        <v>0</v>
      </c>
      <c r="U248" s="8">
        <f>SUMIFS('HOJAS DE HORA PROY.'!$E$2:$E$943,'HOJAS DE HORA PROY.'!$A$2:$A$943,'PLAN MAESTRO FINAL'!$A248,'HOJAS DE HORA PROY.'!$M$2:$M$943,U$113)</f>
        <v>0</v>
      </c>
      <c r="V248" s="8">
        <f>SUMIFS('HOJAS DE HORA PROY.'!$E$2:$E$943,'HOJAS DE HORA PROY.'!$A$2:$A$943,'PLAN MAESTRO FINAL'!$A248,'HOJAS DE HORA PROY.'!$M$2:$M$943,V$113)</f>
        <v>0</v>
      </c>
      <c r="W248" s="8">
        <f>SUMIFS('HOJAS DE HORA PROY.'!$E$2:$E$943,'HOJAS DE HORA PROY.'!$A$2:$A$943,'PLAN MAESTRO FINAL'!$A248,'HOJAS DE HORA PROY.'!$M$2:$M$943,W$113)</f>
        <v>0</v>
      </c>
    </row>
    <row r="249" spans="1:23" hidden="1" outlineLevel="1" x14ac:dyDescent="0.3">
      <c r="A249" s="13" t="s">
        <v>479</v>
      </c>
      <c r="B249" s="8">
        <f>SUMIFS('HOJAS DE HORA PROY.'!$E$2:$E$943,'HOJAS DE HORA PROY.'!$A$2:$A$943,'PLAN MAESTRO FINAL'!$A249,'HOJAS DE HORA PROY.'!$M$2:$M$943,B$113)</f>
        <v>0</v>
      </c>
      <c r="C249" s="8">
        <f>SUMIFS('HOJAS DE HORA PROY.'!$E$2:$E$943,'HOJAS DE HORA PROY.'!$A$2:$A$943,'PLAN MAESTRO FINAL'!$A249,'HOJAS DE HORA PROY.'!$M$2:$M$943,C$113)</f>
        <v>0</v>
      </c>
      <c r="D249" s="8">
        <f>SUMIFS('HOJAS DE HORA PROY.'!$E$2:$E$943,'HOJAS DE HORA PROY.'!$A$2:$A$943,'PLAN MAESTRO FINAL'!$A249,'HOJAS DE HORA PROY.'!$M$2:$M$943,D$113)</f>
        <v>0</v>
      </c>
      <c r="E249" s="8">
        <f>SUMIFS('HOJAS DE HORA PROY.'!$E$2:$E$943,'HOJAS DE HORA PROY.'!$A$2:$A$943,'PLAN MAESTRO FINAL'!$A249,'HOJAS DE HORA PROY.'!$M$2:$M$943,E$113)</f>
        <v>0</v>
      </c>
      <c r="F249" s="8">
        <f>SUMIFS('HOJAS DE HORA PROY.'!$E$2:$E$943,'HOJAS DE HORA PROY.'!$A$2:$A$943,'PLAN MAESTRO FINAL'!$A249,'HOJAS DE HORA PROY.'!$M$2:$M$943,F$113)</f>
        <v>0</v>
      </c>
      <c r="G249" s="8">
        <f>SUMIFS('HOJAS DE HORA PROY.'!$E$2:$E$943,'HOJAS DE HORA PROY.'!$A$2:$A$943,'PLAN MAESTRO FINAL'!$A249,'HOJAS DE HORA PROY.'!$M$2:$M$943,G$113)</f>
        <v>0</v>
      </c>
      <c r="H249" s="8">
        <f>SUMIFS('HOJAS DE HORA PROY.'!$E$2:$E$943,'HOJAS DE HORA PROY.'!$A$2:$A$943,'PLAN MAESTRO FINAL'!$A249,'HOJAS DE HORA PROY.'!$M$2:$M$943,H$113)</f>
        <v>0</v>
      </c>
      <c r="I249" s="8">
        <f>SUMIFS('HOJAS DE HORA PROY.'!$E$2:$E$943,'HOJAS DE HORA PROY.'!$A$2:$A$943,'PLAN MAESTRO FINAL'!$A249,'HOJAS DE HORA PROY.'!$M$2:$M$943,I$113)</f>
        <v>0</v>
      </c>
      <c r="J249" s="8">
        <f>SUMIFS('HOJAS DE HORA PROY.'!$E$2:$E$943,'HOJAS DE HORA PROY.'!$A$2:$A$943,'PLAN MAESTRO FINAL'!$A249,'HOJAS DE HORA PROY.'!$M$2:$M$943,J$113)</f>
        <v>0</v>
      </c>
      <c r="K249" s="8">
        <f>SUMIFS('HOJAS DE HORA PROY.'!$E$2:$E$943,'HOJAS DE HORA PROY.'!$A$2:$A$943,'PLAN MAESTRO FINAL'!$A249,'HOJAS DE HORA PROY.'!$M$2:$M$943,K$113)</f>
        <v>0</v>
      </c>
      <c r="L249" s="8">
        <f>SUMIFS('HOJAS DE HORA PROY.'!$E$2:$E$943,'HOJAS DE HORA PROY.'!$A$2:$A$943,'PLAN MAESTRO FINAL'!$A249,'HOJAS DE HORA PROY.'!$M$2:$M$943,L$113)</f>
        <v>0</v>
      </c>
      <c r="M249" s="8">
        <f>SUMIFS('HOJAS DE HORA PROY.'!$E$2:$E$943,'HOJAS DE HORA PROY.'!$A$2:$A$943,'PLAN MAESTRO FINAL'!$A249,'HOJAS DE HORA PROY.'!$M$2:$M$943,M$113)</f>
        <v>0</v>
      </c>
      <c r="N249" s="8">
        <f>SUMIFS('HOJAS DE HORA PROY.'!$E$2:$E$943,'HOJAS DE HORA PROY.'!$A$2:$A$943,'PLAN MAESTRO FINAL'!$A249,'HOJAS DE HORA PROY.'!$M$2:$M$943,N$113)</f>
        <v>0</v>
      </c>
      <c r="O249" s="8">
        <f>SUMIFS('HOJAS DE HORA PROY.'!$E$2:$E$943,'HOJAS DE HORA PROY.'!$A$2:$A$943,'PLAN MAESTRO FINAL'!$A249,'HOJAS DE HORA PROY.'!$M$2:$M$943,O$113)</f>
        <v>0</v>
      </c>
      <c r="P249" s="8">
        <f>SUMIFS('HOJAS DE HORA PROY.'!$E$2:$E$943,'HOJAS DE HORA PROY.'!$A$2:$A$943,'PLAN MAESTRO FINAL'!$A249,'HOJAS DE HORA PROY.'!$M$2:$M$943,P$113)</f>
        <v>0</v>
      </c>
      <c r="Q249" s="8">
        <f>SUMIFS('HOJAS DE HORA PROY.'!$E$2:$E$943,'HOJAS DE HORA PROY.'!$A$2:$A$943,'PLAN MAESTRO FINAL'!$A249,'HOJAS DE HORA PROY.'!$M$2:$M$943,Q$113)</f>
        <v>0</v>
      </c>
      <c r="R249" s="8">
        <f>SUMIFS('HOJAS DE HORA PROY.'!$E$2:$E$943,'HOJAS DE HORA PROY.'!$A$2:$A$943,'PLAN MAESTRO FINAL'!$A249,'HOJAS DE HORA PROY.'!$M$2:$M$943,R$113)</f>
        <v>0</v>
      </c>
      <c r="S249" s="8">
        <f>SUMIFS('HOJAS DE HORA PROY.'!$E$2:$E$943,'HOJAS DE HORA PROY.'!$A$2:$A$943,'PLAN MAESTRO FINAL'!$A249,'HOJAS DE HORA PROY.'!$M$2:$M$943,S$113)</f>
        <v>0</v>
      </c>
      <c r="T249" s="8">
        <f>SUMIFS('HOJAS DE HORA PROY.'!$E$2:$E$943,'HOJAS DE HORA PROY.'!$A$2:$A$943,'PLAN MAESTRO FINAL'!$A249,'HOJAS DE HORA PROY.'!$M$2:$M$943,T$113)</f>
        <v>0</v>
      </c>
      <c r="U249" s="8">
        <f>SUMIFS('HOJAS DE HORA PROY.'!$E$2:$E$943,'HOJAS DE HORA PROY.'!$A$2:$A$943,'PLAN MAESTRO FINAL'!$A249,'HOJAS DE HORA PROY.'!$M$2:$M$943,U$113)</f>
        <v>0</v>
      </c>
      <c r="V249" s="8">
        <f>SUMIFS('HOJAS DE HORA PROY.'!$E$2:$E$943,'HOJAS DE HORA PROY.'!$A$2:$A$943,'PLAN MAESTRO FINAL'!$A249,'HOJAS DE HORA PROY.'!$M$2:$M$943,V$113)</f>
        <v>0</v>
      </c>
      <c r="W249" s="8">
        <f>SUMIFS('HOJAS DE HORA PROY.'!$E$2:$E$943,'HOJAS DE HORA PROY.'!$A$2:$A$943,'PLAN MAESTRO FINAL'!$A249,'HOJAS DE HORA PROY.'!$M$2:$M$943,W$113)</f>
        <v>0</v>
      </c>
    </row>
    <row r="250" spans="1:23" hidden="1" outlineLevel="1" x14ac:dyDescent="0.3">
      <c r="A250" s="13" t="s">
        <v>488</v>
      </c>
      <c r="B250" s="8">
        <f>SUMIFS('HOJAS DE HORA PROY.'!$E$2:$E$943,'HOJAS DE HORA PROY.'!$A$2:$A$943,'PLAN MAESTRO FINAL'!$A250,'HOJAS DE HORA PROY.'!$M$2:$M$943,B$113)</f>
        <v>0</v>
      </c>
      <c r="C250" s="8">
        <f>SUMIFS('HOJAS DE HORA PROY.'!$E$2:$E$943,'HOJAS DE HORA PROY.'!$A$2:$A$943,'PLAN MAESTRO FINAL'!$A250,'HOJAS DE HORA PROY.'!$M$2:$M$943,C$113)</f>
        <v>0</v>
      </c>
      <c r="D250" s="8">
        <f>SUMIFS('HOJAS DE HORA PROY.'!$E$2:$E$943,'HOJAS DE HORA PROY.'!$A$2:$A$943,'PLAN MAESTRO FINAL'!$A250,'HOJAS DE HORA PROY.'!$M$2:$M$943,D$113)</f>
        <v>0</v>
      </c>
      <c r="E250" s="8">
        <f>SUMIFS('HOJAS DE HORA PROY.'!$E$2:$E$943,'HOJAS DE HORA PROY.'!$A$2:$A$943,'PLAN MAESTRO FINAL'!$A250,'HOJAS DE HORA PROY.'!$M$2:$M$943,E$113)</f>
        <v>0</v>
      </c>
      <c r="F250" s="8">
        <f>SUMIFS('HOJAS DE HORA PROY.'!$E$2:$E$943,'HOJAS DE HORA PROY.'!$A$2:$A$943,'PLAN MAESTRO FINAL'!$A250,'HOJAS DE HORA PROY.'!$M$2:$M$943,F$113)</f>
        <v>0</v>
      </c>
      <c r="G250" s="8">
        <f>SUMIFS('HOJAS DE HORA PROY.'!$E$2:$E$943,'HOJAS DE HORA PROY.'!$A$2:$A$943,'PLAN MAESTRO FINAL'!$A250,'HOJAS DE HORA PROY.'!$M$2:$M$943,G$113)</f>
        <v>0</v>
      </c>
      <c r="H250" s="8">
        <f>SUMIFS('HOJAS DE HORA PROY.'!$E$2:$E$943,'HOJAS DE HORA PROY.'!$A$2:$A$943,'PLAN MAESTRO FINAL'!$A250,'HOJAS DE HORA PROY.'!$M$2:$M$943,H$113)</f>
        <v>0</v>
      </c>
      <c r="I250" s="8">
        <f>SUMIFS('HOJAS DE HORA PROY.'!$E$2:$E$943,'HOJAS DE HORA PROY.'!$A$2:$A$943,'PLAN MAESTRO FINAL'!$A250,'HOJAS DE HORA PROY.'!$M$2:$M$943,I$113)</f>
        <v>0</v>
      </c>
      <c r="J250" s="8">
        <f>SUMIFS('HOJAS DE HORA PROY.'!$E$2:$E$943,'HOJAS DE HORA PROY.'!$A$2:$A$943,'PLAN MAESTRO FINAL'!$A250,'HOJAS DE HORA PROY.'!$M$2:$M$943,J$113)</f>
        <v>0</v>
      </c>
      <c r="K250" s="8">
        <f>SUMIFS('HOJAS DE HORA PROY.'!$E$2:$E$943,'HOJAS DE HORA PROY.'!$A$2:$A$943,'PLAN MAESTRO FINAL'!$A250,'HOJAS DE HORA PROY.'!$M$2:$M$943,K$113)</f>
        <v>0</v>
      </c>
      <c r="L250" s="8">
        <f>SUMIFS('HOJAS DE HORA PROY.'!$E$2:$E$943,'HOJAS DE HORA PROY.'!$A$2:$A$943,'PLAN MAESTRO FINAL'!$A250,'HOJAS DE HORA PROY.'!$M$2:$M$943,L$113)</f>
        <v>0</v>
      </c>
      <c r="M250" s="8">
        <f>SUMIFS('HOJAS DE HORA PROY.'!$E$2:$E$943,'HOJAS DE HORA PROY.'!$A$2:$A$943,'PLAN MAESTRO FINAL'!$A250,'HOJAS DE HORA PROY.'!$M$2:$M$943,M$113)</f>
        <v>0</v>
      </c>
      <c r="N250" s="8">
        <f>SUMIFS('HOJAS DE HORA PROY.'!$E$2:$E$943,'HOJAS DE HORA PROY.'!$A$2:$A$943,'PLAN MAESTRO FINAL'!$A250,'HOJAS DE HORA PROY.'!$M$2:$M$943,N$113)</f>
        <v>0</v>
      </c>
      <c r="O250" s="8">
        <f>SUMIFS('HOJAS DE HORA PROY.'!$E$2:$E$943,'HOJAS DE HORA PROY.'!$A$2:$A$943,'PLAN MAESTRO FINAL'!$A250,'HOJAS DE HORA PROY.'!$M$2:$M$943,O$113)</f>
        <v>0</v>
      </c>
      <c r="P250" s="8">
        <f>SUMIFS('HOJAS DE HORA PROY.'!$E$2:$E$943,'HOJAS DE HORA PROY.'!$A$2:$A$943,'PLAN MAESTRO FINAL'!$A250,'HOJAS DE HORA PROY.'!$M$2:$M$943,P$113)</f>
        <v>0</v>
      </c>
      <c r="Q250" s="8">
        <f>SUMIFS('HOJAS DE HORA PROY.'!$E$2:$E$943,'HOJAS DE HORA PROY.'!$A$2:$A$943,'PLAN MAESTRO FINAL'!$A250,'HOJAS DE HORA PROY.'!$M$2:$M$943,Q$113)</f>
        <v>0</v>
      </c>
      <c r="R250" s="8">
        <f>SUMIFS('HOJAS DE HORA PROY.'!$E$2:$E$943,'HOJAS DE HORA PROY.'!$A$2:$A$943,'PLAN MAESTRO FINAL'!$A250,'HOJAS DE HORA PROY.'!$M$2:$M$943,R$113)</f>
        <v>0</v>
      </c>
      <c r="S250" s="8">
        <f>SUMIFS('HOJAS DE HORA PROY.'!$E$2:$E$943,'HOJAS DE HORA PROY.'!$A$2:$A$943,'PLAN MAESTRO FINAL'!$A250,'HOJAS DE HORA PROY.'!$M$2:$M$943,S$113)</f>
        <v>0</v>
      </c>
      <c r="T250" s="8">
        <f>SUMIFS('HOJAS DE HORA PROY.'!$E$2:$E$943,'HOJAS DE HORA PROY.'!$A$2:$A$943,'PLAN MAESTRO FINAL'!$A250,'HOJAS DE HORA PROY.'!$M$2:$M$943,T$113)</f>
        <v>0</v>
      </c>
      <c r="U250" s="8">
        <f>SUMIFS('HOJAS DE HORA PROY.'!$E$2:$E$943,'HOJAS DE HORA PROY.'!$A$2:$A$943,'PLAN MAESTRO FINAL'!$A250,'HOJAS DE HORA PROY.'!$M$2:$M$943,U$113)</f>
        <v>0</v>
      </c>
      <c r="V250" s="8">
        <f>SUMIFS('HOJAS DE HORA PROY.'!$E$2:$E$943,'HOJAS DE HORA PROY.'!$A$2:$A$943,'PLAN MAESTRO FINAL'!$A250,'HOJAS DE HORA PROY.'!$M$2:$M$943,V$113)</f>
        <v>0</v>
      </c>
      <c r="W250" s="8">
        <f>SUMIFS('HOJAS DE HORA PROY.'!$E$2:$E$943,'HOJAS DE HORA PROY.'!$A$2:$A$943,'PLAN MAESTRO FINAL'!$A250,'HOJAS DE HORA PROY.'!$M$2:$M$943,W$113)</f>
        <v>0</v>
      </c>
    </row>
    <row r="251" spans="1:23" hidden="1" outlineLevel="1" x14ac:dyDescent="0.3">
      <c r="A251" s="13" t="s">
        <v>492</v>
      </c>
      <c r="B251" s="8">
        <f>SUMIFS('HOJAS DE HORA PROY.'!$E$2:$E$943,'HOJAS DE HORA PROY.'!$A$2:$A$943,'PLAN MAESTRO FINAL'!$A251,'HOJAS DE HORA PROY.'!$M$2:$M$943,B$113)</f>
        <v>0</v>
      </c>
      <c r="C251" s="8">
        <f>SUMIFS('HOJAS DE HORA PROY.'!$E$2:$E$943,'HOJAS DE HORA PROY.'!$A$2:$A$943,'PLAN MAESTRO FINAL'!$A251,'HOJAS DE HORA PROY.'!$M$2:$M$943,C$113)</f>
        <v>0</v>
      </c>
      <c r="D251" s="8">
        <f>SUMIFS('HOJAS DE HORA PROY.'!$E$2:$E$943,'HOJAS DE HORA PROY.'!$A$2:$A$943,'PLAN MAESTRO FINAL'!$A251,'HOJAS DE HORA PROY.'!$M$2:$M$943,D$113)</f>
        <v>0</v>
      </c>
      <c r="E251" s="8">
        <f>SUMIFS('HOJAS DE HORA PROY.'!$E$2:$E$943,'HOJAS DE HORA PROY.'!$A$2:$A$943,'PLAN MAESTRO FINAL'!$A251,'HOJAS DE HORA PROY.'!$M$2:$M$943,E$113)</f>
        <v>0</v>
      </c>
      <c r="F251" s="8">
        <f>SUMIFS('HOJAS DE HORA PROY.'!$E$2:$E$943,'HOJAS DE HORA PROY.'!$A$2:$A$943,'PLAN MAESTRO FINAL'!$A251,'HOJAS DE HORA PROY.'!$M$2:$M$943,F$113)</f>
        <v>0</v>
      </c>
      <c r="G251" s="8">
        <f>SUMIFS('HOJAS DE HORA PROY.'!$E$2:$E$943,'HOJAS DE HORA PROY.'!$A$2:$A$943,'PLAN MAESTRO FINAL'!$A251,'HOJAS DE HORA PROY.'!$M$2:$M$943,G$113)</f>
        <v>0</v>
      </c>
      <c r="H251" s="8">
        <f>SUMIFS('HOJAS DE HORA PROY.'!$E$2:$E$943,'HOJAS DE HORA PROY.'!$A$2:$A$943,'PLAN MAESTRO FINAL'!$A251,'HOJAS DE HORA PROY.'!$M$2:$M$943,H$113)</f>
        <v>0</v>
      </c>
      <c r="I251" s="8">
        <f>SUMIFS('HOJAS DE HORA PROY.'!$E$2:$E$943,'HOJAS DE HORA PROY.'!$A$2:$A$943,'PLAN MAESTRO FINAL'!$A251,'HOJAS DE HORA PROY.'!$M$2:$M$943,I$113)</f>
        <v>0</v>
      </c>
      <c r="J251" s="8">
        <f>SUMIFS('HOJAS DE HORA PROY.'!$E$2:$E$943,'HOJAS DE HORA PROY.'!$A$2:$A$943,'PLAN MAESTRO FINAL'!$A251,'HOJAS DE HORA PROY.'!$M$2:$M$943,J$113)</f>
        <v>0</v>
      </c>
      <c r="K251" s="8">
        <f>SUMIFS('HOJAS DE HORA PROY.'!$E$2:$E$943,'HOJAS DE HORA PROY.'!$A$2:$A$943,'PLAN MAESTRO FINAL'!$A251,'HOJAS DE HORA PROY.'!$M$2:$M$943,K$113)</f>
        <v>0</v>
      </c>
      <c r="L251" s="8">
        <f>SUMIFS('HOJAS DE HORA PROY.'!$E$2:$E$943,'HOJAS DE HORA PROY.'!$A$2:$A$943,'PLAN MAESTRO FINAL'!$A251,'HOJAS DE HORA PROY.'!$M$2:$M$943,L$113)</f>
        <v>0</v>
      </c>
      <c r="M251" s="8">
        <f>SUMIFS('HOJAS DE HORA PROY.'!$E$2:$E$943,'HOJAS DE HORA PROY.'!$A$2:$A$943,'PLAN MAESTRO FINAL'!$A251,'HOJAS DE HORA PROY.'!$M$2:$M$943,M$113)</f>
        <v>0</v>
      </c>
      <c r="N251" s="8">
        <f>SUMIFS('HOJAS DE HORA PROY.'!$E$2:$E$943,'HOJAS DE HORA PROY.'!$A$2:$A$943,'PLAN MAESTRO FINAL'!$A251,'HOJAS DE HORA PROY.'!$M$2:$M$943,N$113)</f>
        <v>0</v>
      </c>
      <c r="O251" s="8">
        <f>SUMIFS('HOJAS DE HORA PROY.'!$E$2:$E$943,'HOJAS DE HORA PROY.'!$A$2:$A$943,'PLAN MAESTRO FINAL'!$A251,'HOJAS DE HORA PROY.'!$M$2:$M$943,O$113)</f>
        <v>0</v>
      </c>
      <c r="P251" s="8">
        <f>SUMIFS('HOJAS DE HORA PROY.'!$E$2:$E$943,'HOJAS DE HORA PROY.'!$A$2:$A$943,'PLAN MAESTRO FINAL'!$A251,'HOJAS DE HORA PROY.'!$M$2:$M$943,P$113)</f>
        <v>0</v>
      </c>
      <c r="Q251" s="8">
        <f>SUMIFS('HOJAS DE HORA PROY.'!$E$2:$E$943,'HOJAS DE HORA PROY.'!$A$2:$A$943,'PLAN MAESTRO FINAL'!$A251,'HOJAS DE HORA PROY.'!$M$2:$M$943,Q$113)</f>
        <v>0</v>
      </c>
      <c r="R251" s="8">
        <f>SUMIFS('HOJAS DE HORA PROY.'!$E$2:$E$943,'HOJAS DE HORA PROY.'!$A$2:$A$943,'PLAN MAESTRO FINAL'!$A251,'HOJAS DE HORA PROY.'!$M$2:$M$943,R$113)</f>
        <v>0</v>
      </c>
      <c r="S251" s="8">
        <f>SUMIFS('HOJAS DE HORA PROY.'!$E$2:$E$943,'HOJAS DE HORA PROY.'!$A$2:$A$943,'PLAN MAESTRO FINAL'!$A251,'HOJAS DE HORA PROY.'!$M$2:$M$943,S$113)</f>
        <v>0</v>
      </c>
      <c r="T251" s="8">
        <f>SUMIFS('HOJAS DE HORA PROY.'!$E$2:$E$943,'HOJAS DE HORA PROY.'!$A$2:$A$943,'PLAN MAESTRO FINAL'!$A251,'HOJAS DE HORA PROY.'!$M$2:$M$943,T$113)</f>
        <v>0</v>
      </c>
      <c r="U251" s="8">
        <f>SUMIFS('HOJAS DE HORA PROY.'!$E$2:$E$943,'HOJAS DE HORA PROY.'!$A$2:$A$943,'PLAN MAESTRO FINAL'!$A251,'HOJAS DE HORA PROY.'!$M$2:$M$943,U$113)</f>
        <v>0</v>
      </c>
      <c r="V251" s="8">
        <f>SUMIFS('HOJAS DE HORA PROY.'!$E$2:$E$943,'HOJAS DE HORA PROY.'!$A$2:$A$943,'PLAN MAESTRO FINAL'!$A251,'HOJAS DE HORA PROY.'!$M$2:$M$943,V$113)</f>
        <v>0</v>
      </c>
      <c r="W251" s="8">
        <f>SUMIFS('HOJAS DE HORA PROY.'!$E$2:$E$943,'HOJAS DE HORA PROY.'!$A$2:$A$943,'PLAN MAESTRO FINAL'!$A251,'HOJAS DE HORA PROY.'!$M$2:$M$943,W$113)</f>
        <v>0</v>
      </c>
    </row>
    <row r="252" spans="1:23" hidden="1" outlineLevel="1" x14ac:dyDescent="0.3">
      <c r="A252" s="13" t="s">
        <v>507</v>
      </c>
      <c r="B252" s="8">
        <f>SUMIFS('HOJAS DE HORA PROY.'!$E$2:$E$943,'HOJAS DE HORA PROY.'!$A$2:$A$943,'PLAN MAESTRO FINAL'!$A252,'HOJAS DE HORA PROY.'!$M$2:$M$943,B$113)</f>
        <v>0</v>
      </c>
      <c r="C252" s="8">
        <f>SUMIFS('HOJAS DE HORA PROY.'!$E$2:$E$943,'HOJAS DE HORA PROY.'!$A$2:$A$943,'PLAN MAESTRO FINAL'!$A252,'HOJAS DE HORA PROY.'!$M$2:$M$943,C$113)</f>
        <v>0</v>
      </c>
      <c r="D252" s="8">
        <f>SUMIFS('HOJAS DE HORA PROY.'!$E$2:$E$943,'HOJAS DE HORA PROY.'!$A$2:$A$943,'PLAN MAESTRO FINAL'!$A252,'HOJAS DE HORA PROY.'!$M$2:$M$943,D$113)</f>
        <v>0</v>
      </c>
      <c r="E252" s="8">
        <f>SUMIFS('HOJAS DE HORA PROY.'!$E$2:$E$943,'HOJAS DE HORA PROY.'!$A$2:$A$943,'PLAN MAESTRO FINAL'!$A252,'HOJAS DE HORA PROY.'!$M$2:$M$943,E$113)</f>
        <v>0</v>
      </c>
      <c r="F252" s="8">
        <f>SUMIFS('HOJAS DE HORA PROY.'!$E$2:$E$943,'HOJAS DE HORA PROY.'!$A$2:$A$943,'PLAN MAESTRO FINAL'!$A252,'HOJAS DE HORA PROY.'!$M$2:$M$943,F$113)</f>
        <v>0</v>
      </c>
      <c r="G252" s="8">
        <f>SUMIFS('HOJAS DE HORA PROY.'!$E$2:$E$943,'HOJAS DE HORA PROY.'!$A$2:$A$943,'PLAN MAESTRO FINAL'!$A252,'HOJAS DE HORA PROY.'!$M$2:$M$943,G$113)</f>
        <v>0</v>
      </c>
      <c r="H252" s="8">
        <f>SUMIFS('HOJAS DE HORA PROY.'!$E$2:$E$943,'HOJAS DE HORA PROY.'!$A$2:$A$943,'PLAN MAESTRO FINAL'!$A252,'HOJAS DE HORA PROY.'!$M$2:$M$943,H$113)</f>
        <v>0</v>
      </c>
      <c r="I252" s="8">
        <f>SUMIFS('HOJAS DE HORA PROY.'!$E$2:$E$943,'HOJAS DE HORA PROY.'!$A$2:$A$943,'PLAN MAESTRO FINAL'!$A252,'HOJAS DE HORA PROY.'!$M$2:$M$943,I$113)</f>
        <v>0</v>
      </c>
      <c r="J252" s="8">
        <f>SUMIFS('HOJAS DE HORA PROY.'!$E$2:$E$943,'HOJAS DE HORA PROY.'!$A$2:$A$943,'PLAN MAESTRO FINAL'!$A252,'HOJAS DE HORA PROY.'!$M$2:$M$943,J$113)</f>
        <v>0</v>
      </c>
      <c r="K252" s="8">
        <f>SUMIFS('HOJAS DE HORA PROY.'!$E$2:$E$943,'HOJAS DE HORA PROY.'!$A$2:$A$943,'PLAN MAESTRO FINAL'!$A252,'HOJAS DE HORA PROY.'!$M$2:$M$943,K$113)</f>
        <v>0</v>
      </c>
      <c r="L252" s="8">
        <f>SUMIFS('HOJAS DE HORA PROY.'!$E$2:$E$943,'HOJAS DE HORA PROY.'!$A$2:$A$943,'PLAN MAESTRO FINAL'!$A252,'HOJAS DE HORA PROY.'!$M$2:$M$943,L$113)</f>
        <v>0</v>
      </c>
      <c r="M252" s="8">
        <f>SUMIFS('HOJAS DE HORA PROY.'!$E$2:$E$943,'HOJAS DE HORA PROY.'!$A$2:$A$943,'PLAN MAESTRO FINAL'!$A252,'HOJAS DE HORA PROY.'!$M$2:$M$943,M$113)</f>
        <v>0</v>
      </c>
      <c r="N252" s="8">
        <f>SUMIFS('HOJAS DE HORA PROY.'!$E$2:$E$943,'HOJAS DE HORA PROY.'!$A$2:$A$943,'PLAN MAESTRO FINAL'!$A252,'HOJAS DE HORA PROY.'!$M$2:$M$943,N$113)</f>
        <v>0</v>
      </c>
      <c r="O252" s="8">
        <f>SUMIFS('HOJAS DE HORA PROY.'!$E$2:$E$943,'HOJAS DE HORA PROY.'!$A$2:$A$943,'PLAN MAESTRO FINAL'!$A252,'HOJAS DE HORA PROY.'!$M$2:$M$943,O$113)</f>
        <v>0</v>
      </c>
      <c r="P252" s="8">
        <f>SUMIFS('HOJAS DE HORA PROY.'!$E$2:$E$943,'HOJAS DE HORA PROY.'!$A$2:$A$943,'PLAN MAESTRO FINAL'!$A252,'HOJAS DE HORA PROY.'!$M$2:$M$943,P$113)</f>
        <v>0</v>
      </c>
      <c r="Q252" s="8">
        <f>SUMIFS('HOJAS DE HORA PROY.'!$E$2:$E$943,'HOJAS DE HORA PROY.'!$A$2:$A$943,'PLAN MAESTRO FINAL'!$A252,'HOJAS DE HORA PROY.'!$M$2:$M$943,Q$113)</f>
        <v>0</v>
      </c>
      <c r="R252" s="8">
        <f>SUMIFS('HOJAS DE HORA PROY.'!$E$2:$E$943,'HOJAS DE HORA PROY.'!$A$2:$A$943,'PLAN MAESTRO FINAL'!$A252,'HOJAS DE HORA PROY.'!$M$2:$M$943,R$113)</f>
        <v>0</v>
      </c>
      <c r="S252" s="8">
        <f>SUMIFS('HOJAS DE HORA PROY.'!$E$2:$E$943,'HOJAS DE HORA PROY.'!$A$2:$A$943,'PLAN MAESTRO FINAL'!$A252,'HOJAS DE HORA PROY.'!$M$2:$M$943,S$113)</f>
        <v>0</v>
      </c>
      <c r="T252" s="8">
        <f>SUMIFS('HOJAS DE HORA PROY.'!$E$2:$E$943,'HOJAS DE HORA PROY.'!$A$2:$A$943,'PLAN MAESTRO FINAL'!$A252,'HOJAS DE HORA PROY.'!$M$2:$M$943,T$113)</f>
        <v>0</v>
      </c>
      <c r="U252" s="8">
        <f>SUMIFS('HOJAS DE HORA PROY.'!$E$2:$E$943,'HOJAS DE HORA PROY.'!$A$2:$A$943,'PLAN MAESTRO FINAL'!$A252,'HOJAS DE HORA PROY.'!$M$2:$M$943,U$113)</f>
        <v>0</v>
      </c>
      <c r="V252" s="8">
        <f>SUMIFS('HOJAS DE HORA PROY.'!$E$2:$E$943,'HOJAS DE HORA PROY.'!$A$2:$A$943,'PLAN MAESTRO FINAL'!$A252,'HOJAS DE HORA PROY.'!$M$2:$M$943,V$113)</f>
        <v>0</v>
      </c>
      <c r="W252" s="8">
        <f>SUMIFS('HOJAS DE HORA PROY.'!$E$2:$E$943,'HOJAS DE HORA PROY.'!$A$2:$A$943,'PLAN MAESTRO FINAL'!$A252,'HOJAS DE HORA PROY.'!$M$2:$M$943,W$113)</f>
        <v>0</v>
      </c>
    </row>
    <row r="253" spans="1:23" hidden="1" outlineLevel="1" x14ac:dyDescent="0.3">
      <c r="A253" s="13" t="s">
        <v>517</v>
      </c>
      <c r="B253" s="8">
        <f>SUMIFS('HOJAS DE HORA PROY.'!$E$2:$E$943,'HOJAS DE HORA PROY.'!$A$2:$A$943,'PLAN MAESTRO FINAL'!$A253,'HOJAS DE HORA PROY.'!$M$2:$M$943,B$113)</f>
        <v>0</v>
      </c>
      <c r="C253" s="8">
        <f>SUMIFS('HOJAS DE HORA PROY.'!$E$2:$E$943,'HOJAS DE HORA PROY.'!$A$2:$A$943,'PLAN MAESTRO FINAL'!$A253,'HOJAS DE HORA PROY.'!$M$2:$M$943,C$113)</f>
        <v>0</v>
      </c>
      <c r="D253" s="8">
        <f>SUMIFS('HOJAS DE HORA PROY.'!$E$2:$E$943,'HOJAS DE HORA PROY.'!$A$2:$A$943,'PLAN MAESTRO FINAL'!$A253,'HOJAS DE HORA PROY.'!$M$2:$M$943,D$113)</f>
        <v>0</v>
      </c>
      <c r="E253" s="8">
        <f>SUMIFS('HOJAS DE HORA PROY.'!$E$2:$E$943,'HOJAS DE HORA PROY.'!$A$2:$A$943,'PLAN MAESTRO FINAL'!$A253,'HOJAS DE HORA PROY.'!$M$2:$M$943,E$113)</f>
        <v>0</v>
      </c>
      <c r="F253" s="8">
        <f>SUMIFS('HOJAS DE HORA PROY.'!$E$2:$E$943,'HOJAS DE HORA PROY.'!$A$2:$A$943,'PLAN MAESTRO FINAL'!$A253,'HOJAS DE HORA PROY.'!$M$2:$M$943,F$113)</f>
        <v>0</v>
      </c>
      <c r="G253" s="8">
        <f>SUMIFS('HOJAS DE HORA PROY.'!$E$2:$E$943,'HOJAS DE HORA PROY.'!$A$2:$A$943,'PLAN MAESTRO FINAL'!$A253,'HOJAS DE HORA PROY.'!$M$2:$M$943,G$113)</f>
        <v>0</v>
      </c>
      <c r="H253" s="8">
        <f>SUMIFS('HOJAS DE HORA PROY.'!$E$2:$E$943,'HOJAS DE HORA PROY.'!$A$2:$A$943,'PLAN MAESTRO FINAL'!$A253,'HOJAS DE HORA PROY.'!$M$2:$M$943,H$113)</f>
        <v>0</v>
      </c>
      <c r="I253" s="8">
        <f>SUMIFS('HOJAS DE HORA PROY.'!$E$2:$E$943,'HOJAS DE HORA PROY.'!$A$2:$A$943,'PLAN MAESTRO FINAL'!$A253,'HOJAS DE HORA PROY.'!$M$2:$M$943,I$113)</f>
        <v>0</v>
      </c>
      <c r="J253" s="8">
        <f>SUMIFS('HOJAS DE HORA PROY.'!$E$2:$E$943,'HOJAS DE HORA PROY.'!$A$2:$A$943,'PLAN MAESTRO FINAL'!$A253,'HOJAS DE HORA PROY.'!$M$2:$M$943,J$113)</f>
        <v>0</v>
      </c>
      <c r="K253" s="8">
        <f>SUMIFS('HOJAS DE HORA PROY.'!$E$2:$E$943,'HOJAS DE HORA PROY.'!$A$2:$A$943,'PLAN MAESTRO FINAL'!$A253,'HOJAS DE HORA PROY.'!$M$2:$M$943,K$113)</f>
        <v>0</v>
      </c>
      <c r="L253" s="8">
        <f>SUMIFS('HOJAS DE HORA PROY.'!$E$2:$E$943,'HOJAS DE HORA PROY.'!$A$2:$A$943,'PLAN MAESTRO FINAL'!$A253,'HOJAS DE HORA PROY.'!$M$2:$M$943,L$113)</f>
        <v>0</v>
      </c>
      <c r="M253" s="8">
        <f>SUMIFS('HOJAS DE HORA PROY.'!$E$2:$E$943,'HOJAS DE HORA PROY.'!$A$2:$A$943,'PLAN MAESTRO FINAL'!$A253,'HOJAS DE HORA PROY.'!$M$2:$M$943,M$113)</f>
        <v>0</v>
      </c>
      <c r="N253" s="8">
        <f>SUMIFS('HOJAS DE HORA PROY.'!$E$2:$E$943,'HOJAS DE HORA PROY.'!$A$2:$A$943,'PLAN MAESTRO FINAL'!$A253,'HOJAS DE HORA PROY.'!$M$2:$M$943,N$113)</f>
        <v>0</v>
      </c>
      <c r="O253" s="8">
        <f>SUMIFS('HOJAS DE HORA PROY.'!$E$2:$E$943,'HOJAS DE HORA PROY.'!$A$2:$A$943,'PLAN MAESTRO FINAL'!$A253,'HOJAS DE HORA PROY.'!$M$2:$M$943,O$113)</f>
        <v>0</v>
      </c>
      <c r="P253" s="8">
        <f>SUMIFS('HOJAS DE HORA PROY.'!$E$2:$E$943,'HOJAS DE HORA PROY.'!$A$2:$A$943,'PLAN MAESTRO FINAL'!$A253,'HOJAS DE HORA PROY.'!$M$2:$M$943,P$113)</f>
        <v>0</v>
      </c>
      <c r="Q253" s="8">
        <f>SUMIFS('HOJAS DE HORA PROY.'!$E$2:$E$943,'HOJAS DE HORA PROY.'!$A$2:$A$943,'PLAN MAESTRO FINAL'!$A253,'HOJAS DE HORA PROY.'!$M$2:$M$943,Q$113)</f>
        <v>0</v>
      </c>
      <c r="R253" s="8">
        <f>SUMIFS('HOJAS DE HORA PROY.'!$E$2:$E$943,'HOJAS DE HORA PROY.'!$A$2:$A$943,'PLAN MAESTRO FINAL'!$A253,'HOJAS DE HORA PROY.'!$M$2:$M$943,R$113)</f>
        <v>0</v>
      </c>
      <c r="S253" s="8">
        <f>SUMIFS('HOJAS DE HORA PROY.'!$E$2:$E$943,'HOJAS DE HORA PROY.'!$A$2:$A$943,'PLAN MAESTRO FINAL'!$A253,'HOJAS DE HORA PROY.'!$M$2:$M$943,S$113)</f>
        <v>0</v>
      </c>
      <c r="T253" s="8">
        <f>SUMIFS('HOJAS DE HORA PROY.'!$E$2:$E$943,'HOJAS DE HORA PROY.'!$A$2:$A$943,'PLAN MAESTRO FINAL'!$A253,'HOJAS DE HORA PROY.'!$M$2:$M$943,T$113)</f>
        <v>0</v>
      </c>
      <c r="U253" s="8">
        <f>SUMIFS('HOJAS DE HORA PROY.'!$E$2:$E$943,'HOJAS DE HORA PROY.'!$A$2:$A$943,'PLAN MAESTRO FINAL'!$A253,'HOJAS DE HORA PROY.'!$M$2:$M$943,U$113)</f>
        <v>0</v>
      </c>
      <c r="V253" s="8">
        <f>SUMIFS('HOJAS DE HORA PROY.'!$E$2:$E$943,'HOJAS DE HORA PROY.'!$A$2:$A$943,'PLAN MAESTRO FINAL'!$A253,'HOJAS DE HORA PROY.'!$M$2:$M$943,V$113)</f>
        <v>0</v>
      </c>
      <c r="W253" s="8">
        <f>SUMIFS('HOJAS DE HORA PROY.'!$E$2:$E$943,'HOJAS DE HORA PROY.'!$A$2:$A$943,'PLAN MAESTRO FINAL'!$A253,'HOJAS DE HORA PROY.'!$M$2:$M$943,W$113)</f>
        <v>0</v>
      </c>
    </row>
    <row r="254" spans="1:23" hidden="1" outlineLevel="1" x14ac:dyDescent="0.3">
      <c r="A254" s="13" t="s">
        <v>520</v>
      </c>
      <c r="B254" s="8">
        <f>SUMIFS('HOJAS DE HORA PROY.'!$E$2:$E$943,'HOJAS DE HORA PROY.'!$A$2:$A$943,'PLAN MAESTRO FINAL'!$A254,'HOJAS DE HORA PROY.'!$M$2:$M$943,B$113)</f>
        <v>0</v>
      </c>
      <c r="C254" s="8">
        <f>SUMIFS('HOJAS DE HORA PROY.'!$E$2:$E$943,'HOJAS DE HORA PROY.'!$A$2:$A$943,'PLAN MAESTRO FINAL'!$A254,'HOJAS DE HORA PROY.'!$M$2:$M$943,C$113)</f>
        <v>0</v>
      </c>
      <c r="D254" s="8">
        <f>SUMIFS('HOJAS DE HORA PROY.'!$E$2:$E$943,'HOJAS DE HORA PROY.'!$A$2:$A$943,'PLAN MAESTRO FINAL'!$A254,'HOJAS DE HORA PROY.'!$M$2:$M$943,D$113)</f>
        <v>0</v>
      </c>
      <c r="E254" s="8">
        <f>SUMIFS('HOJAS DE HORA PROY.'!$E$2:$E$943,'HOJAS DE HORA PROY.'!$A$2:$A$943,'PLAN MAESTRO FINAL'!$A254,'HOJAS DE HORA PROY.'!$M$2:$M$943,E$113)</f>
        <v>0</v>
      </c>
      <c r="F254" s="8">
        <f>SUMIFS('HOJAS DE HORA PROY.'!$E$2:$E$943,'HOJAS DE HORA PROY.'!$A$2:$A$943,'PLAN MAESTRO FINAL'!$A254,'HOJAS DE HORA PROY.'!$M$2:$M$943,F$113)</f>
        <v>0</v>
      </c>
      <c r="G254" s="8">
        <f>SUMIFS('HOJAS DE HORA PROY.'!$E$2:$E$943,'HOJAS DE HORA PROY.'!$A$2:$A$943,'PLAN MAESTRO FINAL'!$A254,'HOJAS DE HORA PROY.'!$M$2:$M$943,G$113)</f>
        <v>0</v>
      </c>
      <c r="H254" s="8">
        <f>SUMIFS('HOJAS DE HORA PROY.'!$E$2:$E$943,'HOJAS DE HORA PROY.'!$A$2:$A$943,'PLAN MAESTRO FINAL'!$A254,'HOJAS DE HORA PROY.'!$M$2:$M$943,H$113)</f>
        <v>0</v>
      </c>
      <c r="I254" s="8">
        <f>SUMIFS('HOJAS DE HORA PROY.'!$E$2:$E$943,'HOJAS DE HORA PROY.'!$A$2:$A$943,'PLAN MAESTRO FINAL'!$A254,'HOJAS DE HORA PROY.'!$M$2:$M$943,I$113)</f>
        <v>0</v>
      </c>
      <c r="J254" s="8">
        <f>SUMIFS('HOJAS DE HORA PROY.'!$E$2:$E$943,'HOJAS DE HORA PROY.'!$A$2:$A$943,'PLAN MAESTRO FINAL'!$A254,'HOJAS DE HORA PROY.'!$M$2:$M$943,J$113)</f>
        <v>0</v>
      </c>
      <c r="K254" s="8">
        <f>SUMIFS('HOJAS DE HORA PROY.'!$E$2:$E$943,'HOJAS DE HORA PROY.'!$A$2:$A$943,'PLAN MAESTRO FINAL'!$A254,'HOJAS DE HORA PROY.'!$M$2:$M$943,K$113)</f>
        <v>0</v>
      </c>
      <c r="L254" s="8">
        <f>SUMIFS('HOJAS DE HORA PROY.'!$E$2:$E$943,'HOJAS DE HORA PROY.'!$A$2:$A$943,'PLAN MAESTRO FINAL'!$A254,'HOJAS DE HORA PROY.'!$M$2:$M$943,L$113)</f>
        <v>0</v>
      </c>
      <c r="M254" s="8">
        <f>SUMIFS('HOJAS DE HORA PROY.'!$E$2:$E$943,'HOJAS DE HORA PROY.'!$A$2:$A$943,'PLAN MAESTRO FINAL'!$A254,'HOJAS DE HORA PROY.'!$M$2:$M$943,M$113)</f>
        <v>0</v>
      </c>
      <c r="N254" s="8">
        <f>SUMIFS('HOJAS DE HORA PROY.'!$E$2:$E$943,'HOJAS DE HORA PROY.'!$A$2:$A$943,'PLAN MAESTRO FINAL'!$A254,'HOJAS DE HORA PROY.'!$M$2:$M$943,N$113)</f>
        <v>0</v>
      </c>
      <c r="O254" s="8">
        <f>SUMIFS('HOJAS DE HORA PROY.'!$E$2:$E$943,'HOJAS DE HORA PROY.'!$A$2:$A$943,'PLAN MAESTRO FINAL'!$A254,'HOJAS DE HORA PROY.'!$M$2:$M$943,O$113)</f>
        <v>0</v>
      </c>
      <c r="P254" s="8">
        <f>SUMIFS('HOJAS DE HORA PROY.'!$E$2:$E$943,'HOJAS DE HORA PROY.'!$A$2:$A$943,'PLAN MAESTRO FINAL'!$A254,'HOJAS DE HORA PROY.'!$M$2:$M$943,P$113)</f>
        <v>0</v>
      </c>
      <c r="Q254" s="8">
        <f>SUMIFS('HOJAS DE HORA PROY.'!$E$2:$E$943,'HOJAS DE HORA PROY.'!$A$2:$A$943,'PLAN MAESTRO FINAL'!$A254,'HOJAS DE HORA PROY.'!$M$2:$M$943,Q$113)</f>
        <v>0</v>
      </c>
      <c r="R254" s="8">
        <f>SUMIFS('HOJAS DE HORA PROY.'!$E$2:$E$943,'HOJAS DE HORA PROY.'!$A$2:$A$943,'PLAN MAESTRO FINAL'!$A254,'HOJAS DE HORA PROY.'!$M$2:$M$943,R$113)</f>
        <v>0</v>
      </c>
      <c r="S254" s="8">
        <f>SUMIFS('HOJAS DE HORA PROY.'!$E$2:$E$943,'HOJAS DE HORA PROY.'!$A$2:$A$943,'PLAN MAESTRO FINAL'!$A254,'HOJAS DE HORA PROY.'!$M$2:$M$943,S$113)</f>
        <v>0</v>
      </c>
      <c r="T254" s="8">
        <f>SUMIFS('HOJAS DE HORA PROY.'!$E$2:$E$943,'HOJAS DE HORA PROY.'!$A$2:$A$943,'PLAN MAESTRO FINAL'!$A254,'HOJAS DE HORA PROY.'!$M$2:$M$943,T$113)</f>
        <v>0</v>
      </c>
      <c r="U254" s="8">
        <f>SUMIFS('HOJAS DE HORA PROY.'!$E$2:$E$943,'HOJAS DE HORA PROY.'!$A$2:$A$943,'PLAN MAESTRO FINAL'!$A254,'HOJAS DE HORA PROY.'!$M$2:$M$943,U$113)</f>
        <v>0</v>
      </c>
      <c r="V254" s="8">
        <f>SUMIFS('HOJAS DE HORA PROY.'!$E$2:$E$943,'HOJAS DE HORA PROY.'!$A$2:$A$943,'PLAN MAESTRO FINAL'!$A254,'HOJAS DE HORA PROY.'!$M$2:$M$943,V$113)</f>
        <v>0</v>
      </c>
      <c r="W254" s="8">
        <f>SUMIFS('HOJAS DE HORA PROY.'!$E$2:$E$943,'HOJAS DE HORA PROY.'!$A$2:$A$943,'PLAN MAESTRO FINAL'!$A254,'HOJAS DE HORA PROY.'!$M$2:$M$943,W$113)</f>
        <v>0</v>
      </c>
    </row>
    <row r="255" spans="1:23" hidden="1" outlineLevel="1" x14ac:dyDescent="0.3">
      <c r="A255" s="13" t="s">
        <v>525</v>
      </c>
      <c r="B255" s="8">
        <f>SUMIFS('HOJAS DE HORA PROY.'!$E$2:$E$943,'HOJAS DE HORA PROY.'!$A$2:$A$943,'PLAN MAESTRO FINAL'!$A255,'HOJAS DE HORA PROY.'!$M$2:$M$943,B$113)</f>
        <v>0</v>
      </c>
      <c r="C255" s="8">
        <f>SUMIFS('HOJAS DE HORA PROY.'!$E$2:$E$943,'HOJAS DE HORA PROY.'!$A$2:$A$943,'PLAN MAESTRO FINAL'!$A255,'HOJAS DE HORA PROY.'!$M$2:$M$943,C$113)</f>
        <v>0</v>
      </c>
      <c r="D255" s="8">
        <f>SUMIFS('HOJAS DE HORA PROY.'!$E$2:$E$943,'HOJAS DE HORA PROY.'!$A$2:$A$943,'PLAN MAESTRO FINAL'!$A255,'HOJAS DE HORA PROY.'!$M$2:$M$943,D$113)</f>
        <v>0</v>
      </c>
      <c r="E255" s="8">
        <f>SUMIFS('HOJAS DE HORA PROY.'!$E$2:$E$943,'HOJAS DE HORA PROY.'!$A$2:$A$943,'PLAN MAESTRO FINAL'!$A255,'HOJAS DE HORA PROY.'!$M$2:$M$943,E$113)</f>
        <v>0</v>
      </c>
      <c r="F255" s="8">
        <f>SUMIFS('HOJAS DE HORA PROY.'!$E$2:$E$943,'HOJAS DE HORA PROY.'!$A$2:$A$943,'PLAN MAESTRO FINAL'!$A255,'HOJAS DE HORA PROY.'!$M$2:$M$943,F$113)</f>
        <v>0</v>
      </c>
      <c r="G255" s="8">
        <f>SUMIFS('HOJAS DE HORA PROY.'!$E$2:$E$943,'HOJAS DE HORA PROY.'!$A$2:$A$943,'PLAN MAESTRO FINAL'!$A255,'HOJAS DE HORA PROY.'!$M$2:$M$943,G$113)</f>
        <v>0</v>
      </c>
      <c r="H255" s="8">
        <f>SUMIFS('HOJAS DE HORA PROY.'!$E$2:$E$943,'HOJAS DE HORA PROY.'!$A$2:$A$943,'PLAN MAESTRO FINAL'!$A255,'HOJAS DE HORA PROY.'!$M$2:$M$943,H$113)</f>
        <v>0</v>
      </c>
      <c r="I255" s="8">
        <f>SUMIFS('HOJAS DE HORA PROY.'!$E$2:$E$943,'HOJAS DE HORA PROY.'!$A$2:$A$943,'PLAN MAESTRO FINAL'!$A255,'HOJAS DE HORA PROY.'!$M$2:$M$943,I$113)</f>
        <v>0</v>
      </c>
      <c r="J255" s="8">
        <f>SUMIFS('HOJAS DE HORA PROY.'!$E$2:$E$943,'HOJAS DE HORA PROY.'!$A$2:$A$943,'PLAN MAESTRO FINAL'!$A255,'HOJAS DE HORA PROY.'!$M$2:$M$943,J$113)</f>
        <v>0</v>
      </c>
      <c r="K255" s="8">
        <f>SUMIFS('HOJAS DE HORA PROY.'!$E$2:$E$943,'HOJAS DE HORA PROY.'!$A$2:$A$943,'PLAN MAESTRO FINAL'!$A255,'HOJAS DE HORA PROY.'!$M$2:$M$943,K$113)</f>
        <v>0</v>
      </c>
      <c r="L255" s="8">
        <f>SUMIFS('HOJAS DE HORA PROY.'!$E$2:$E$943,'HOJAS DE HORA PROY.'!$A$2:$A$943,'PLAN MAESTRO FINAL'!$A255,'HOJAS DE HORA PROY.'!$M$2:$M$943,L$113)</f>
        <v>0</v>
      </c>
      <c r="M255" s="8">
        <f>SUMIFS('HOJAS DE HORA PROY.'!$E$2:$E$943,'HOJAS DE HORA PROY.'!$A$2:$A$943,'PLAN MAESTRO FINAL'!$A255,'HOJAS DE HORA PROY.'!$M$2:$M$943,M$113)</f>
        <v>0</v>
      </c>
      <c r="N255" s="8">
        <f>SUMIFS('HOJAS DE HORA PROY.'!$E$2:$E$943,'HOJAS DE HORA PROY.'!$A$2:$A$943,'PLAN MAESTRO FINAL'!$A255,'HOJAS DE HORA PROY.'!$M$2:$M$943,N$113)</f>
        <v>0</v>
      </c>
      <c r="O255" s="8">
        <f>SUMIFS('HOJAS DE HORA PROY.'!$E$2:$E$943,'HOJAS DE HORA PROY.'!$A$2:$A$943,'PLAN MAESTRO FINAL'!$A255,'HOJAS DE HORA PROY.'!$M$2:$M$943,O$113)</f>
        <v>0</v>
      </c>
      <c r="P255" s="8">
        <f>SUMIFS('HOJAS DE HORA PROY.'!$E$2:$E$943,'HOJAS DE HORA PROY.'!$A$2:$A$943,'PLAN MAESTRO FINAL'!$A255,'HOJAS DE HORA PROY.'!$M$2:$M$943,P$113)</f>
        <v>0</v>
      </c>
      <c r="Q255" s="8">
        <f>SUMIFS('HOJAS DE HORA PROY.'!$E$2:$E$943,'HOJAS DE HORA PROY.'!$A$2:$A$943,'PLAN MAESTRO FINAL'!$A255,'HOJAS DE HORA PROY.'!$M$2:$M$943,Q$113)</f>
        <v>0</v>
      </c>
      <c r="R255" s="8">
        <f>SUMIFS('HOJAS DE HORA PROY.'!$E$2:$E$943,'HOJAS DE HORA PROY.'!$A$2:$A$943,'PLAN MAESTRO FINAL'!$A255,'HOJAS DE HORA PROY.'!$M$2:$M$943,R$113)</f>
        <v>0</v>
      </c>
      <c r="S255" s="8">
        <f>SUMIFS('HOJAS DE HORA PROY.'!$E$2:$E$943,'HOJAS DE HORA PROY.'!$A$2:$A$943,'PLAN MAESTRO FINAL'!$A255,'HOJAS DE HORA PROY.'!$M$2:$M$943,S$113)</f>
        <v>0</v>
      </c>
      <c r="T255" s="8">
        <f>SUMIFS('HOJAS DE HORA PROY.'!$E$2:$E$943,'HOJAS DE HORA PROY.'!$A$2:$A$943,'PLAN MAESTRO FINAL'!$A255,'HOJAS DE HORA PROY.'!$M$2:$M$943,T$113)</f>
        <v>0</v>
      </c>
      <c r="U255" s="8">
        <f>SUMIFS('HOJAS DE HORA PROY.'!$E$2:$E$943,'HOJAS DE HORA PROY.'!$A$2:$A$943,'PLAN MAESTRO FINAL'!$A255,'HOJAS DE HORA PROY.'!$M$2:$M$943,U$113)</f>
        <v>0</v>
      </c>
      <c r="V255" s="8">
        <f>SUMIFS('HOJAS DE HORA PROY.'!$E$2:$E$943,'HOJAS DE HORA PROY.'!$A$2:$A$943,'PLAN MAESTRO FINAL'!$A255,'HOJAS DE HORA PROY.'!$M$2:$M$943,V$113)</f>
        <v>0</v>
      </c>
      <c r="W255" s="8">
        <f>SUMIFS('HOJAS DE HORA PROY.'!$E$2:$E$943,'HOJAS DE HORA PROY.'!$A$2:$A$943,'PLAN MAESTRO FINAL'!$A255,'HOJAS DE HORA PROY.'!$M$2:$M$943,W$113)</f>
        <v>0</v>
      </c>
    </row>
    <row r="256" spans="1:23" hidden="1" outlineLevel="1" x14ac:dyDescent="0.3">
      <c r="A256" s="13" t="s">
        <v>547</v>
      </c>
      <c r="B256" s="8">
        <f>SUMIFS('HOJAS DE HORA PROY.'!$E$2:$E$943,'HOJAS DE HORA PROY.'!$A$2:$A$943,'PLAN MAESTRO FINAL'!$A256,'HOJAS DE HORA PROY.'!$M$2:$M$943,B$113)</f>
        <v>0</v>
      </c>
      <c r="C256" s="8">
        <f>SUMIFS('HOJAS DE HORA PROY.'!$E$2:$E$943,'HOJAS DE HORA PROY.'!$A$2:$A$943,'PLAN MAESTRO FINAL'!$A256,'HOJAS DE HORA PROY.'!$M$2:$M$943,C$113)</f>
        <v>0</v>
      </c>
      <c r="D256" s="8">
        <f>SUMIFS('HOJAS DE HORA PROY.'!$E$2:$E$943,'HOJAS DE HORA PROY.'!$A$2:$A$943,'PLAN MAESTRO FINAL'!$A256,'HOJAS DE HORA PROY.'!$M$2:$M$943,D$113)</f>
        <v>0</v>
      </c>
      <c r="E256" s="8">
        <f>SUMIFS('HOJAS DE HORA PROY.'!$E$2:$E$943,'HOJAS DE HORA PROY.'!$A$2:$A$943,'PLAN MAESTRO FINAL'!$A256,'HOJAS DE HORA PROY.'!$M$2:$M$943,E$113)</f>
        <v>0</v>
      </c>
      <c r="F256" s="8">
        <f>SUMIFS('HOJAS DE HORA PROY.'!$E$2:$E$943,'HOJAS DE HORA PROY.'!$A$2:$A$943,'PLAN MAESTRO FINAL'!$A256,'HOJAS DE HORA PROY.'!$M$2:$M$943,F$113)</f>
        <v>0</v>
      </c>
      <c r="G256" s="8">
        <f>SUMIFS('HOJAS DE HORA PROY.'!$E$2:$E$943,'HOJAS DE HORA PROY.'!$A$2:$A$943,'PLAN MAESTRO FINAL'!$A256,'HOJAS DE HORA PROY.'!$M$2:$M$943,G$113)</f>
        <v>7</v>
      </c>
      <c r="H256" s="8">
        <f>SUMIFS('HOJAS DE HORA PROY.'!$E$2:$E$943,'HOJAS DE HORA PROY.'!$A$2:$A$943,'PLAN MAESTRO FINAL'!$A256,'HOJAS DE HORA PROY.'!$M$2:$M$943,H$113)</f>
        <v>0</v>
      </c>
      <c r="I256" s="8">
        <f>SUMIFS('HOJAS DE HORA PROY.'!$E$2:$E$943,'HOJAS DE HORA PROY.'!$A$2:$A$943,'PLAN MAESTRO FINAL'!$A256,'HOJAS DE HORA PROY.'!$M$2:$M$943,I$113)</f>
        <v>0</v>
      </c>
      <c r="J256" s="8">
        <f>SUMIFS('HOJAS DE HORA PROY.'!$E$2:$E$943,'HOJAS DE HORA PROY.'!$A$2:$A$943,'PLAN MAESTRO FINAL'!$A256,'HOJAS DE HORA PROY.'!$M$2:$M$943,J$113)</f>
        <v>0</v>
      </c>
      <c r="K256" s="8">
        <f>SUMIFS('HOJAS DE HORA PROY.'!$E$2:$E$943,'HOJAS DE HORA PROY.'!$A$2:$A$943,'PLAN MAESTRO FINAL'!$A256,'HOJAS DE HORA PROY.'!$M$2:$M$943,K$113)</f>
        <v>0</v>
      </c>
      <c r="L256" s="8">
        <f>SUMIFS('HOJAS DE HORA PROY.'!$E$2:$E$943,'HOJAS DE HORA PROY.'!$A$2:$A$943,'PLAN MAESTRO FINAL'!$A256,'HOJAS DE HORA PROY.'!$M$2:$M$943,L$113)</f>
        <v>0</v>
      </c>
      <c r="M256" s="8">
        <f>SUMIFS('HOJAS DE HORA PROY.'!$E$2:$E$943,'HOJAS DE HORA PROY.'!$A$2:$A$943,'PLAN MAESTRO FINAL'!$A256,'HOJAS DE HORA PROY.'!$M$2:$M$943,M$113)</f>
        <v>0</v>
      </c>
      <c r="N256" s="8">
        <f>SUMIFS('HOJAS DE HORA PROY.'!$E$2:$E$943,'HOJAS DE HORA PROY.'!$A$2:$A$943,'PLAN MAESTRO FINAL'!$A256,'HOJAS DE HORA PROY.'!$M$2:$M$943,N$113)</f>
        <v>0</v>
      </c>
      <c r="O256" s="8">
        <f>SUMIFS('HOJAS DE HORA PROY.'!$E$2:$E$943,'HOJAS DE HORA PROY.'!$A$2:$A$943,'PLAN MAESTRO FINAL'!$A256,'HOJAS DE HORA PROY.'!$M$2:$M$943,O$113)</f>
        <v>0</v>
      </c>
      <c r="P256" s="8">
        <f>SUMIFS('HOJAS DE HORA PROY.'!$E$2:$E$943,'HOJAS DE HORA PROY.'!$A$2:$A$943,'PLAN MAESTRO FINAL'!$A256,'HOJAS DE HORA PROY.'!$M$2:$M$943,P$113)</f>
        <v>0</v>
      </c>
      <c r="Q256" s="8">
        <f>SUMIFS('HOJAS DE HORA PROY.'!$E$2:$E$943,'HOJAS DE HORA PROY.'!$A$2:$A$943,'PLAN MAESTRO FINAL'!$A256,'HOJAS DE HORA PROY.'!$M$2:$M$943,Q$113)</f>
        <v>0</v>
      </c>
      <c r="R256" s="8">
        <f>SUMIFS('HOJAS DE HORA PROY.'!$E$2:$E$943,'HOJAS DE HORA PROY.'!$A$2:$A$943,'PLAN MAESTRO FINAL'!$A256,'HOJAS DE HORA PROY.'!$M$2:$M$943,R$113)</f>
        <v>0</v>
      </c>
      <c r="S256" s="8">
        <f>SUMIFS('HOJAS DE HORA PROY.'!$E$2:$E$943,'HOJAS DE HORA PROY.'!$A$2:$A$943,'PLAN MAESTRO FINAL'!$A256,'HOJAS DE HORA PROY.'!$M$2:$M$943,S$113)</f>
        <v>0</v>
      </c>
      <c r="T256" s="8">
        <f>SUMIFS('HOJAS DE HORA PROY.'!$E$2:$E$943,'HOJAS DE HORA PROY.'!$A$2:$A$943,'PLAN MAESTRO FINAL'!$A256,'HOJAS DE HORA PROY.'!$M$2:$M$943,T$113)</f>
        <v>0</v>
      </c>
      <c r="U256" s="8">
        <f>SUMIFS('HOJAS DE HORA PROY.'!$E$2:$E$943,'HOJAS DE HORA PROY.'!$A$2:$A$943,'PLAN MAESTRO FINAL'!$A256,'HOJAS DE HORA PROY.'!$M$2:$M$943,U$113)</f>
        <v>0</v>
      </c>
      <c r="V256" s="8">
        <f>SUMIFS('HOJAS DE HORA PROY.'!$E$2:$E$943,'HOJAS DE HORA PROY.'!$A$2:$A$943,'PLAN MAESTRO FINAL'!$A256,'HOJAS DE HORA PROY.'!$M$2:$M$943,V$113)</f>
        <v>0</v>
      </c>
      <c r="W256" s="8">
        <f>SUMIFS('HOJAS DE HORA PROY.'!$E$2:$E$943,'HOJAS DE HORA PROY.'!$A$2:$A$943,'PLAN MAESTRO FINAL'!$A256,'HOJAS DE HORA PROY.'!$M$2:$M$943,W$113)</f>
        <v>0</v>
      </c>
    </row>
    <row r="257" spans="1:23" hidden="1" outlineLevel="1" x14ac:dyDescent="0.3">
      <c r="A257" s="13"/>
      <c r="B257" s="8">
        <f>SUMIFS('HOJAS DE HORA PROY.'!$E$2:$E$943,'HOJAS DE HORA PROY.'!$A$2:$A$943,'PLAN MAESTRO FINAL'!$A257,'HOJAS DE HORA PROY.'!$M$2:$M$943,B$113)</f>
        <v>0</v>
      </c>
      <c r="C257" s="8">
        <f>SUMIFS('HOJAS DE HORA PROY.'!$E$2:$E$943,'HOJAS DE HORA PROY.'!$A$2:$A$943,'PLAN MAESTRO FINAL'!$A257,'HOJAS DE HORA PROY.'!$M$2:$M$943,C$113)</f>
        <v>0</v>
      </c>
      <c r="D257" s="8">
        <f>SUMIFS('HOJAS DE HORA PROY.'!$E$2:$E$943,'HOJAS DE HORA PROY.'!$A$2:$A$943,'PLAN MAESTRO FINAL'!$A257,'HOJAS DE HORA PROY.'!$M$2:$M$943,D$113)</f>
        <v>0</v>
      </c>
      <c r="E257" s="8">
        <f>SUMIFS('HOJAS DE HORA PROY.'!$E$2:$E$943,'HOJAS DE HORA PROY.'!$A$2:$A$943,'PLAN MAESTRO FINAL'!$A257,'HOJAS DE HORA PROY.'!$M$2:$M$943,E$113)</f>
        <v>0</v>
      </c>
      <c r="F257" s="8">
        <f>SUMIFS('HOJAS DE HORA PROY.'!$E$2:$E$943,'HOJAS DE HORA PROY.'!$A$2:$A$943,'PLAN MAESTRO FINAL'!$A257,'HOJAS DE HORA PROY.'!$M$2:$M$943,F$113)</f>
        <v>0</v>
      </c>
      <c r="G257" s="8">
        <f>SUMIFS('HOJAS DE HORA PROY.'!$E$2:$E$943,'HOJAS DE HORA PROY.'!$A$2:$A$943,'PLAN MAESTRO FINAL'!$A257,'HOJAS DE HORA PROY.'!$M$2:$M$943,G$113)</f>
        <v>0</v>
      </c>
      <c r="H257" s="8">
        <f>SUMIFS('HOJAS DE HORA PROY.'!$E$2:$E$943,'HOJAS DE HORA PROY.'!$A$2:$A$943,'PLAN MAESTRO FINAL'!$A257,'HOJAS DE HORA PROY.'!$M$2:$M$943,H$113)</f>
        <v>0</v>
      </c>
      <c r="I257" s="8">
        <f>SUMIFS('HOJAS DE HORA PROY.'!$E$2:$E$943,'HOJAS DE HORA PROY.'!$A$2:$A$943,'PLAN MAESTRO FINAL'!$A257,'HOJAS DE HORA PROY.'!$M$2:$M$943,I$113)</f>
        <v>0</v>
      </c>
      <c r="J257" s="8">
        <f>SUMIFS('HOJAS DE HORA PROY.'!$E$2:$E$943,'HOJAS DE HORA PROY.'!$A$2:$A$943,'PLAN MAESTRO FINAL'!$A257,'HOJAS DE HORA PROY.'!$M$2:$M$943,J$113)</f>
        <v>0</v>
      </c>
      <c r="K257" s="8">
        <f>SUMIFS('HOJAS DE HORA PROY.'!$E$2:$E$943,'HOJAS DE HORA PROY.'!$A$2:$A$943,'PLAN MAESTRO FINAL'!$A257,'HOJAS DE HORA PROY.'!$M$2:$M$943,K$113)</f>
        <v>0</v>
      </c>
      <c r="L257" s="8">
        <f>SUMIFS('HOJAS DE HORA PROY.'!$E$2:$E$943,'HOJAS DE HORA PROY.'!$A$2:$A$943,'PLAN MAESTRO FINAL'!$A257,'HOJAS DE HORA PROY.'!$M$2:$M$943,L$113)</f>
        <v>0</v>
      </c>
      <c r="M257" s="8">
        <f>SUMIFS('HOJAS DE HORA PROY.'!$E$2:$E$943,'HOJAS DE HORA PROY.'!$A$2:$A$943,'PLAN MAESTRO FINAL'!$A257,'HOJAS DE HORA PROY.'!$M$2:$M$943,M$113)</f>
        <v>0</v>
      </c>
      <c r="N257" s="8">
        <f>SUMIFS('HOJAS DE HORA PROY.'!$E$2:$E$943,'HOJAS DE HORA PROY.'!$A$2:$A$943,'PLAN MAESTRO FINAL'!$A257,'HOJAS DE HORA PROY.'!$M$2:$M$943,N$113)</f>
        <v>0</v>
      </c>
      <c r="O257" s="8">
        <f>SUMIFS('HOJAS DE HORA PROY.'!$E$2:$E$943,'HOJAS DE HORA PROY.'!$A$2:$A$943,'PLAN MAESTRO FINAL'!$A257,'HOJAS DE HORA PROY.'!$M$2:$M$943,O$113)</f>
        <v>0</v>
      </c>
      <c r="P257" s="8">
        <f>SUMIFS('HOJAS DE HORA PROY.'!$E$2:$E$943,'HOJAS DE HORA PROY.'!$A$2:$A$943,'PLAN MAESTRO FINAL'!$A257,'HOJAS DE HORA PROY.'!$M$2:$M$943,P$113)</f>
        <v>0</v>
      </c>
      <c r="Q257" s="8">
        <f>SUMIFS('HOJAS DE HORA PROY.'!$E$2:$E$943,'HOJAS DE HORA PROY.'!$A$2:$A$943,'PLAN MAESTRO FINAL'!$A257,'HOJAS DE HORA PROY.'!$M$2:$M$943,Q$113)</f>
        <v>0</v>
      </c>
      <c r="R257" s="8">
        <f>SUMIFS('HOJAS DE HORA PROY.'!$E$2:$E$943,'HOJAS DE HORA PROY.'!$A$2:$A$943,'PLAN MAESTRO FINAL'!$A257,'HOJAS DE HORA PROY.'!$M$2:$M$943,R$113)</f>
        <v>0</v>
      </c>
      <c r="S257" s="8">
        <f>SUMIFS('HOJAS DE HORA PROY.'!$E$2:$E$943,'HOJAS DE HORA PROY.'!$A$2:$A$943,'PLAN MAESTRO FINAL'!$A257,'HOJAS DE HORA PROY.'!$M$2:$M$943,S$113)</f>
        <v>0</v>
      </c>
      <c r="T257" s="8">
        <f>SUMIFS('HOJAS DE HORA PROY.'!$E$2:$E$943,'HOJAS DE HORA PROY.'!$A$2:$A$943,'PLAN MAESTRO FINAL'!$A257,'HOJAS DE HORA PROY.'!$M$2:$M$943,T$113)</f>
        <v>0</v>
      </c>
      <c r="U257" s="8">
        <f>SUMIFS('HOJAS DE HORA PROY.'!$E$2:$E$943,'HOJAS DE HORA PROY.'!$A$2:$A$943,'PLAN MAESTRO FINAL'!$A257,'HOJAS DE HORA PROY.'!$M$2:$M$943,U$113)</f>
        <v>0</v>
      </c>
      <c r="V257" s="8">
        <f>SUMIFS('HOJAS DE HORA PROY.'!$E$2:$E$943,'HOJAS DE HORA PROY.'!$A$2:$A$943,'PLAN MAESTRO FINAL'!$A257,'HOJAS DE HORA PROY.'!$M$2:$M$943,V$113)</f>
        <v>0</v>
      </c>
      <c r="W257" s="8">
        <f>SUMIFS('HOJAS DE HORA PROY.'!$E$2:$E$943,'HOJAS DE HORA PROY.'!$A$2:$A$943,'PLAN MAESTRO FINAL'!$A257,'HOJAS DE HORA PROY.'!$M$2:$M$943,W$113)</f>
        <v>0</v>
      </c>
    </row>
    <row r="258" spans="1:23" collapsed="1" x14ac:dyDescent="0.3">
      <c r="A258" s="43" t="s">
        <v>471</v>
      </c>
      <c r="B258" s="54">
        <f t="shared" ref="B258:W258" si="12">SUM(B226:B257)</f>
        <v>0</v>
      </c>
      <c r="C258" s="54">
        <f t="shared" si="12"/>
        <v>0</v>
      </c>
      <c r="D258" s="54">
        <f t="shared" si="12"/>
        <v>0</v>
      </c>
      <c r="E258" s="54">
        <f t="shared" si="12"/>
        <v>0</v>
      </c>
      <c r="F258" s="54">
        <f t="shared" si="12"/>
        <v>3</v>
      </c>
      <c r="G258" s="54">
        <f t="shared" si="12"/>
        <v>19.5</v>
      </c>
      <c r="H258" s="54">
        <f t="shared" si="12"/>
        <v>0</v>
      </c>
      <c r="I258" s="54">
        <f t="shared" si="12"/>
        <v>0</v>
      </c>
      <c r="J258" s="54">
        <f t="shared" si="12"/>
        <v>0</v>
      </c>
      <c r="K258" s="54">
        <f t="shared" si="12"/>
        <v>0</v>
      </c>
      <c r="L258" s="54">
        <f t="shared" si="12"/>
        <v>0</v>
      </c>
      <c r="M258" s="54">
        <f t="shared" si="12"/>
        <v>0</v>
      </c>
      <c r="N258" s="54">
        <f t="shared" si="12"/>
        <v>0</v>
      </c>
      <c r="O258" s="54">
        <f t="shared" si="12"/>
        <v>0</v>
      </c>
      <c r="P258" s="54">
        <f t="shared" si="12"/>
        <v>0</v>
      </c>
      <c r="Q258" s="54">
        <f t="shared" si="12"/>
        <v>0</v>
      </c>
      <c r="R258" s="54">
        <f t="shared" si="12"/>
        <v>0</v>
      </c>
      <c r="S258" s="54">
        <f t="shared" si="12"/>
        <v>0</v>
      </c>
      <c r="T258" s="54">
        <f t="shared" si="12"/>
        <v>0</v>
      </c>
      <c r="U258" s="54">
        <f t="shared" si="12"/>
        <v>0</v>
      </c>
      <c r="V258" s="54">
        <f t="shared" si="12"/>
        <v>0</v>
      </c>
      <c r="W258" s="54">
        <f t="shared" si="12"/>
        <v>0</v>
      </c>
    </row>
    <row r="259" spans="1:23" x14ac:dyDescent="0.3">
      <c r="A259" s="43" t="s">
        <v>29</v>
      </c>
      <c r="B259" s="55">
        <f>CAPACIDAD!G25</f>
        <v>26</v>
      </c>
      <c r="C259" s="55">
        <f>CAPACIDAD!H25</f>
        <v>26</v>
      </c>
      <c r="D259" s="55">
        <f>CAPACIDAD!I25</f>
        <v>16</v>
      </c>
      <c r="E259" s="55">
        <f>CAPACIDAD!J25</f>
        <v>20</v>
      </c>
      <c r="F259" s="55">
        <f>CAPACIDAD!K25</f>
        <v>20</v>
      </c>
      <c r="G259" s="55">
        <f>CAPACIDAD!L25</f>
        <v>20</v>
      </c>
      <c r="H259" s="55">
        <f>CAPACIDAD!M25</f>
        <v>20</v>
      </c>
      <c r="I259" s="55">
        <f>CAPACIDAD!N25</f>
        <v>20</v>
      </c>
      <c r="J259" s="55">
        <f>CAPACIDAD!O25</f>
        <v>20</v>
      </c>
      <c r="K259" s="55">
        <f>CAPACIDAD!P25</f>
        <v>20</v>
      </c>
      <c r="L259" s="55">
        <f>CAPACIDAD!Q25</f>
        <v>20</v>
      </c>
      <c r="M259" s="55">
        <f>CAPACIDAD!R25</f>
        <v>20</v>
      </c>
      <c r="N259" s="55">
        <f>CAPACIDAD!S25</f>
        <v>20</v>
      </c>
      <c r="O259" s="55">
        <f>CAPACIDAD!T25</f>
        <v>20</v>
      </c>
      <c r="P259" s="55">
        <f>CAPACIDAD!U25</f>
        <v>20</v>
      </c>
      <c r="Q259" s="55">
        <f>CAPACIDAD!V25</f>
        <v>20</v>
      </c>
      <c r="R259" s="55">
        <f>CAPACIDAD!W25</f>
        <v>20</v>
      </c>
      <c r="S259" s="55">
        <f>CAPACIDAD!X25</f>
        <v>20</v>
      </c>
      <c r="T259" s="55">
        <f>CAPACIDAD!Y25</f>
        <v>20</v>
      </c>
      <c r="U259" s="55">
        <f>CAPACIDAD!Z25</f>
        <v>20</v>
      </c>
      <c r="V259" s="55">
        <f>CAPACIDAD!AA25</f>
        <v>20</v>
      </c>
      <c r="W259" s="55">
        <f>CAPACIDAD!AB25</f>
        <v>20</v>
      </c>
    </row>
    <row r="260" spans="1:23" s="10" customFormat="1" x14ac:dyDescent="0.3">
      <c r="A260" s="2" t="s">
        <v>28</v>
      </c>
      <c r="B260" s="9" t="str">
        <f t="shared" ref="B260:W260" si="13">IF(B258/B259=0,"",IF(B258/B259&lt;=85%,"🟢 Saludable",IF(B258/B259&lt;=100%,"🟡 Riesgo","🔴 Atraso seguro")))</f>
        <v/>
      </c>
      <c r="C260" s="9" t="str">
        <f t="shared" si="13"/>
        <v/>
      </c>
      <c r="D260" s="9" t="str">
        <f t="shared" si="13"/>
        <v/>
      </c>
      <c r="E260" s="9" t="str">
        <f t="shared" si="13"/>
        <v/>
      </c>
      <c r="F260" s="9" t="str">
        <f t="shared" si="13"/>
        <v>🟢 Saludable</v>
      </c>
      <c r="G260" s="9" t="str">
        <f t="shared" si="13"/>
        <v>🟡 Riesgo</v>
      </c>
      <c r="H260" s="9" t="str">
        <f t="shared" si="13"/>
        <v/>
      </c>
      <c r="I260" s="9" t="str">
        <f t="shared" si="13"/>
        <v/>
      </c>
      <c r="J260" s="9" t="str">
        <f t="shared" si="13"/>
        <v/>
      </c>
      <c r="K260" s="9" t="str">
        <f t="shared" si="13"/>
        <v/>
      </c>
      <c r="L260" s="9" t="str">
        <f t="shared" si="13"/>
        <v/>
      </c>
      <c r="M260" s="9" t="str">
        <f t="shared" si="13"/>
        <v/>
      </c>
      <c r="N260" s="9" t="str">
        <f t="shared" si="13"/>
        <v/>
      </c>
      <c r="O260" s="9" t="str">
        <f t="shared" si="13"/>
        <v/>
      </c>
      <c r="P260" s="9" t="str">
        <f t="shared" si="13"/>
        <v/>
      </c>
      <c r="Q260" s="9" t="str">
        <f t="shared" si="13"/>
        <v/>
      </c>
      <c r="R260" s="9" t="str">
        <f t="shared" si="13"/>
        <v/>
      </c>
      <c r="S260" s="9" t="str">
        <f t="shared" si="13"/>
        <v/>
      </c>
      <c r="T260" s="9" t="str">
        <f t="shared" si="13"/>
        <v/>
      </c>
      <c r="U260" s="9" t="str">
        <f t="shared" si="13"/>
        <v/>
      </c>
      <c r="V260" s="9" t="str">
        <f t="shared" si="13"/>
        <v/>
      </c>
      <c r="W260" s="9" t="str">
        <f t="shared" si="13"/>
        <v/>
      </c>
    </row>
    <row r="802" spans="1:23" ht="21" x14ac:dyDescent="0.4">
      <c r="A802" s="50" t="s">
        <v>477</v>
      </c>
    </row>
    <row r="803" spans="1:23" x14ac:dyDescent="0.3">
      <c r="A803" s="35" t="s">
        <v>27</v>
      </c>
      <c r="B803" s="35" t="s">
        <v>34</v>
      </c>
      <c r="C803" s="35" t="s">
        <v>35</v>
      </c>
      <c r="D803" s="35" t="s">
        <v>36</v>
      </c>
      <c r="E803" s="35" t="s">
        <v>37</v>
      </c>
      <c r="F803" s="35" t="s">
        <v>38</v>
      </c>
      <c r="G803" s="35" t="s">
        <v>40</v>
      </c>
      <c r="H803" s="35" t="s">
        <v>39</v>
      </c>
      <c r="I803" s="35" t="s">
        <v>41</v>
      </c>
      <c r="J803" s="35" t="s">
        <v>42</v>
      </c>
      <c r="K803" s="35" t="s">
        <v>43</v>
      </c>
      <c r="L803" s="35" t="s">
        <v>44</v>
      </c>
      <c r="M803" s="35" t="s">
        <v>45</v>
      </c>
      <c r="N803" s="35" t="s">
        <v>46</v>
      </c>
      <c r="O803" s="35" t="s">
        <v>47</v>
      </c>
      <c r="P803" s="35" t="s">
        <v>48</v>
      </c>
      <c r="Q803" s="35" t="s">
        <v>49</v>
      </c>
      <c r="R803" s="35" t="s">
        <v>50</v>
      </c>
      <c r="S803" s="35" t="s">
        <v>51</v>
      </c>
      <c r="T803" s="35" t="s">
        <v>52</v>
      </c>
      <c r="U803" s="35" t="s">
        <v>53</v>
      </c>
      <c r="V803" s="35" t="s">
        <v>54</v>
      </c>
      <c r="W803" s="35" t="s">
        <v>55</v>
      </c>
    </row>
    <row r="804" spans="1:23" hidden="1" outlineLevel="1" x14ac:dyDescent="0.3">
      <c r="A804" s="13" t="s">
        <v>79</v>
      </c>
      <c r="B804" s="8">
        <f>SUMIFS('HOJAS DE HORA PROY.'!$F$2:$F$943,'HOJAS DE HORA PROY.'!$A$2:$A$943,'PLAN MAESTRO FINAL'!$A804,'HOJAS DE HORA PROY.'!$M$2:$M$943,B$113)</f>
        <v>0</v>
      </c>
      <c r="C804" s="8">
        <f>SUMIFS('HOJAS DE HORA PROY.'!$F$2:$F$943,'HOJAS DE HORA PROY.'!$A$2:$A$943,'PLAN MAESTRO FINAL'!$A804,'HOJAS DE HORA PROY.'!$M$2:$M$943,C$113)</f>
        <v>0</v>
      </c>
      <c r="D804" s="8">
        <f>SUMIFS('HOJAS DE HORA PROY.'!$F$2:$F$943,'HOJAS DE HORA PROY.'!$A$2:$A$943,'PLAN MAESTRO FINAL'!$A804,'HOJAS DE HORA PROY.'!$M$2:$M$943,D$113)</f>
        <v>0</v>
      </c>
      <c r="E804" s="8">
        <f>SUMIFS('HOJAS DE HORA PROY.'!$F$2:$F$943,'HOJAS DE HORA PROY.'!$A$2:$A$943,'PLAN MAESTRO FINAL'!$A804,'HOJAS DE HORA PROY.'!$M$2:$M$943,E$113)</f>
        <v>0</v>
      </c>
      <c r="F804" s="8">
        <f>SUMIFS('HOJAS DE HORA PROY.'!$F$2:$F$943,'HOJAS DE HORA PROY.'!$A$2:$A$943,'PLAN MAESTRO FINAL'!$A804,'HOJAS DE HORA PROY.'!$M$2:$M$943,F$113)</f>
        <v>0</v>
      </c>
      <c r="G804" s="8">
        <f>SUMIFS('HOJAS DE HORA PROY.'!$F$2:$F$943,'HOJAS DE HORA PROY.'!$A$2:$A$943,'PLAN MAESTRO FINAL'!$A804,'HOJAS DE HORA PROY.'!$M$2:$M$943,G$113)</f>
        <v>0</v>
      </c>
      <c r="H804" s="8">
        <f>SUMIFS('HOJAS DE HORA PROY.'!$F$2:$F$943,'HOJAS DE HORA PROY.'!$A$2:$A$943,'PLAN MAESTRO FINAL'!$A804,'HOJAS DE HORA PROY.'!$M$2:$M$943,H$113)</f>
        <v>0</v>
      </c>
      <c r="I804" s="8">
        <f>SUMIFS('HOJAS DE HORA PROY.'!$F$2:$F$943,'HOJAS DE HORA PROY.'!$A$2:$A$943,'PLAN MAESTRO FINAL'!$A804,'HOJAS DE HORA PROY.'!$M$2:$M$943,I$113)</f>
        <v>0</v>
      </c>
      <c r="J804" s="8">
        <f>SUMIFS('HOJAS DE HORA PROY.'!$F$2:$F$943,'HOJAS DE HORA PROY.'!$A$2:$A$943,'PLAN MAESTRO FINAL'!$A804,'HOJAS DE HORA PROY.'!$M$2:$M$943,J$113)</f>
        <v>0</v>
      </c>
      <c r="K804" s="8">
        <f>SUMIFS('HOJAS DE HORA PROY.'!$F$2:$F$943,'HOJAS DE HORA PROY.'!$A$2:$A$943,'PLAN MAESTRO FINAL'!$A804,'HOJAS DE HORA PROY.'!$M$2:$M$943,K$113)</f>
        <v>0</v>
      </c>
      <c r="L804" s="8">
        <f>SUMIFS('HOJAS DE HORA PROY.'!$F$2:$F$943,'HOJAS DE HORA PROY.'!$A$2:$A$943,'PLAN MAESTRO FINAL'!$A804,'HOJAS DE HORA PROY.'!$M$2:$M$943,L$113)</f>
        <v>0</v>
      </c>
      <c r="M804" s="8">
        <f>SUMIFS('HOJAS DE HORA PROY.'!$F$2:$F$943,'HOJAS DE HORA PROY.'!$A$2:$A$943,'PLAN MAESTRO FINAL'!$A804,'HOJAS DE HORA PROY.'!$M$2:$M$943,M$113)</f>
        <v>0</v>
      </c>
      <c r="N804" s="8">
        <f>SUMIFS('HOJAS DE HORA PROY.'!$F$2:$F$943,'HOJAS DE HORA PROY.'!$A$2:$A$943,'PLAN MAESTRO FINAL'!$A804,'HOJAS DE HORA PROY.'!$M$2:$M$943,N$113)</f>
        <v>0</v>
      </c>
      <c r="O804" s="8">
        <f>SUMIFS('HOJAS DE HORA PROY.'!$F$2:$F$943,'HOJAS DE HORA PROY.'!$A$2:$A$943,'PLAN MAESTRO FINAL'!$A804,'HOJAS DE HORA PROY.'!$M$2:$M$943,O$113)</f>
        <v>0</v>
      </c>
      <c r="P804" s="8">
        <f>SUMIFS('HOJAS DE HORA PROY.'!$F$2:$F$943,'HOJAS DE HORA PROY.'!$A$2:$A$943,'PLAN MAESTRO FINAL'!$A804,'HOJAS DE HORA PROY.'!$M$2:$M$943,P$113)</f>
        <v>0</v>
      </c>
      <c r="Q804" s="8">
        <f>SUMIFS('HOJAS DE HORA PROY.'!$F$2:$F$943,'HOJAS DE HORA PROY.'!$A$2:$A$943,'PLAN MAESTRO FINAL'!$A804,'HOJAS DE HORA PROY.'!$M$2:$M$943,Q$113)</f>
        <v>0</v>
      </c>
      <c r="R804" s="8">
        <f>SUMIFS('HOJAS DE HORA PROY.'!$F$2:$F$943,'HOJAS DE HORA PROY.'!$A$2:$A$943,'PLAN MAESTRO FINAL'!$A804,'HOJAS DE HORA PROY.'!$M$2:$M$943,R$113)</f>
        <v>0</v>
      </c>
      <c r="S804" s="8">
        <f>SUMIFS('HOJAS DE HORA PROY.'!$F$2:$F$943,'HOJAS DE HORA PROY.'!$A$2:$A$943,'PLAN MAESTRO FINAL'!$A804,'HOJAS DE HORA PROY.'!$M$2:$M$943,S$113)</f>
        <v>0</v>
      </c>
      <c r="T804" s="8">
        <f>SUMIFS('HOJAS DE HORA PROY.'!$F$2:$F$943,'HOJAS DE HORA PROY.'!$A$2:$A$943,'PLAN MAESTRO FINAL'!$A804,'HOJAS DE HORA PROY.'!$M$2:$M$943,T$113)</f>
        <v>0</v>
      </c>
      <c r="U804" s="8">
        <f>SUMIFS('HOJAS DE HORA PROY.'!$F$2:$F$943,'HOJAS DE HORA PROY.'!$A$2:$A$943,'PLAN MAESTRO FINAL'!$A804,'HOJAS DE HORA PROY.'!$M$2:$M$943,U$113)</f>
        <v>0</v>
      </c>
      <c r="V804" s="8">
        <f>SUMIFS('HOJAS DE HORA PROY.'!$F$2:$F$943,'HOJAS DE HORA PROY.'!$A$2:$A$943,'PLAN MAESTRO FINAL'!$A804,'HOJAS DE HORA PROY.'!$M$2:$M$943,V$113)</f>
        <v>0</v>
      </c>
      <c r="W804" s="8">
        <f>SUMIFS('HOJAS DE HORA PROY.'!$F$2:$F$943,'HOJAS DE HORA PROY.'!$A$2:$A$943,'PLAN MAESTRO FINAL'!$A804,'HOJAS DE HORA PROY.'!$M$2:$M$943,W$113)</f>
        <v>0</v>
      </c>
    </row>
    <row r="805" spans="1:23" hidden="1" outlineLevel="1" x14ac:dyDescent="0.3">
      <c r="A805" s="13" t="s">
        <v>85</v>
      </c>
      <c r="B805" s="8">
        <f>SUMIFS('HOJAS DE HORA PROY.'!$F$2:$F$943,'HOJAS DE HORA PROY.'!$A$2:$A$943,'PLAN MAESTRO FINAL'!$A805,'HOJAS DE HORA PROY.'!$M$2:$M$943,B$113)</f>
        <v>0</v>
      </c>
      <c r="C805" s="8">
        <f>SUMIFS('HOJAS DE HORA PROY.'!$F$2:$F$943,'HOJAS DE HORA PROY.'!$A$2:$A$943,'PLAN MAESTRO FINAL'!$A805,'HOJAS DE HORA PROY.'!$M$2:$M$943,C$113)</f>
        <v>0</v>
      </c>
      <c r="D805" s="8">
        <f>SUMIFS('HOJAS DE HORA PROY.'!$F$2:$F$943,'HOJAS DE HORA PROY.'!$A$2:$A$943,'PLAN MAESTRO FINAL'!$A805,'HOJAS DE HORA PROY.'!$M$2:$M$943,D$113)</f>
        <v>0</v>
      </c>
      <c r="E805" s="8">
        <f>SUMIFS('HOJAS DE HORA PROY.'!$F$2:$F$943,'HOJAS DE HORA PROY.'!$A$2:$A$943,'PLAN MAESTRO FINAL'!$A805,'HOJAS DE HORA PROY.'!$M$2:$M$943,E$113)</f>
        <v>0</v>
      </c>
      <c r="F805" s="8">
        <f>SUMIFS('HOJAS DE HORA PROY.'!$F$2:$F$943,'HOJAS DE HORA PROY.'!$A$2:$A$943,'PLAN MAESTRO FINAL'!$A805,'HOJAS DE HORA PROY.'!$M$2:$M$943,F$113)</f>
        <v>0</v>
      </c>
      <c r="G805" s="8">
        <f>SUMIFS('HOJAS DE HORA PROY.'!$F$2:$F$943,'HOJAS DE HORA PROY.'!$A$2:$A$943,'PLAN MAESTRO FINAL'!$A805,'HOJAS DE HORA PROY.'!$M$2:$M$943,G$113)</f>
        <v>5</v>
      </c>
      <c r="H805" s="8">
        <f>SUMIFS('HOJAS DE HORA PROY.'!$F$2:$F$943,'HOJAS DE HORA PROY.'!$A$2:$A$943,'PLAN MAESTRO FINAL'!$A805,'HOJAS DE HORA PROY.'!$M$2:$M$943,H$113)</f>
        <v>0</v>
      </c>
      <c r="I805" s="8">
        <f>SUMIFS('HOJAS DE HORA PROY.'!$F$2:$F$943,'HOJAS DE HORA PROY.'!$A$2:$A$943,'PLAN MAESTRO FINAL'!$A805,'HOJAS DE HORA PROY.'!$M$2:$M$943,I$113)</f>
        <v>0</v>
      </c>
      <c r="J805" s="8">
        <f>SUMIFS('HOJAS DE HORA PROY.'!$F$2:$F$943,'HOJAS DE HORA PROY.'!$A$2:$A$943,'PLAN MAESTRO FINAL'!$A805,'HOJAS DE HORA PROY.'!$M$2:$M$943,J$113)</f>
        <v>0</v>
      </c>
      <c r="K805" s="8">
        <f>SUMIFS('HOJAS DE HORA PROY.'!$F$2:$F$943,'HOJAS DE HORA PROY.'!$A$2:$A$943,'PLAN MAESTRO FINAL'!$A805,'HOJAS DE HORA PROY.'!$M$2:$M$943,K$113)</f>
        <v>5</v>
      </c>
      <c r="L805" s="8">
        <f>SUMIFS('HOJAS DE HORA PROY.'!$F$2:$F$943,'HOJAS DE HORA PROY.'!$A$2:$A$943,'PLAN MAESTRO FINAL'!$A805,'HOJAS DE HORA PROY.'!$M$2:$M$943,L$113)</f>
        <v>0</v>
      </c>
      <c r="M805" s="8">
        <f>SUMIFS('HOJAS DE HORA PROY.'!$F$2:$F$943,'HOJAS DE HORA PROY.'!$A$2:$A$943,'PLAN MAESTRO FINAL'!$A805,'HOJAS DE HORA PROY.'!$M$2:$M$943,M$113)</f>
        <v>0</v>
      </c>
      <c r="N805" s="8">
        <f>SUMIFS('HOJAS DE HORA PROY.'!$F$2:$F$943,'HOJAS DE HORA PROY.'!$A$2:$A$943,'PLAN MAESTRO FINAL'!$A805,'HOJAS DE HORA PROY.'!$M$2:$M$943,N$113)</f>
        <v>0</v>
      </c>
      <c r="O805" s="8">
        <f>SUMIFS('HOJAS DE HORA PROY.'!$F$2:$F$943,'HOJAS DE HORA PROY.'!$A$2:$A$943,'PLAN MAESTRO FINAL'!$A805,'HOJAS DE HORA PROY.'!$M$2:$M$943,O$113)</f>
        <v>0</v>
      </c>
      <c r="P805" s="8">
        <f>SUMIFS('HOJAS DE HORA PROY.'!$F$2:$F$943,'HOJAS DE HORA PROY.'!$A$2:$A$943,'PLAN MAESTRO FINAL'!$A805,'HOJAS DE HORA PROY.'!$M$2:$M$943,P$113)</f>
        <v>0</v>
      </c>
      <c r="Q805" s="8">
        <f>SUMIFS('HOJAS DE HORA PROY.'!$F$2:$F$943,'HOJAS DE HORA PROY.'!$A$2:$A$943,'PLAN MAESTRO FINAL'!$A805,'HOJAS DE HORA PROY.'!$M$2:$M$943,Q$113)</f>
        <v>0</v>
      </c>
      <c r="R805" s="8">
        <f>SUMIFS('HOJAS DE HORA PROY.'!$F$2:$F$943,'HOJAS DE HORA PROY.'!$A$2:$A$943,'PLAN MAESTRO FINAL'!$A805,'HOJAS DE HORA PROY.'!$M$2:$M$943,R$113)</f>
        <v>0</v>
      </c>
      <c r="S805" s="8">
        <f>SUMIFS('HOJAS DE HORA PROY.'!$F$2:$F$943,'HOJAS DE HORA PROY.'!$A$2:$A$943,'PLAN MAESTRO FINAL'!$A805,'HOJAS DE HORA PROY.'!$M$2:$M$943,S$113)</f>
        <v>0</v>
      </c>
      <c r="T805" s="8">
        <f>SUMIFS('HOJAS DE HORA PROY.'!$F$2:$F$943,'HOJAS DE HORA PROY.'!$A$2:$A$943,'PLAN MAESTRO FINAL'!$A805,'HOJAS DE HORA PROY.'!$M$2:$M$943,T$113)</f>
        <v>0</v>
      </c>
      <c r="U805" s="8">
        <f>SUMIFS('HOJAS DE HORA PROY.'!$F$2:$F$943,'HOJAS DE HORA PROY.'!$A$2:$A$943,'PLAN MAESTRO FINAL'!$A805,'HOJAS DE HORA PROY.'!$M$2:$M$943,U$113)</f>
        <v>0</v>
      </c>
      <c r="V805" s="8">
        <f>SUMIFS('HOJAS DE HORA PROY.'!$F$2:$F$943,'HOJAS DE HORA PROY.'!$A$2:$A$943,'PLAN MAESTRO FINAL'!$A805,'HOJAS DE HORA PROY.'!$M$2:$M$943,V$113)</f>
        <v>0</v>
      </c>
      <c r="W805" s="8">
        <f>SUMIFS('HOJAS DE HORA PROY.'!$F$2:$F$943,'HOJAS DE HORA PROY.'!$A$2:$A$943,'PLAN MAESTRO FINAL'!$A805,'HOJAS DE HORA PROY.'!$M$2:$M$943,W$113)</f>
        <v>0</v>
      </c>
    </row>
    <row r="806" spans="1:23" hidden="1" outlineLevel="1" x14ac:dyDescent="0.3">
      <c r="A806" s="13" t="s">
        <v>68</v>
      </c>
      <c r="B806" s="8">
        <f>SUMIFS('HOJAS DE HORA PROY.'!$F$2:$F$943,'HOJAS DE HORA PROY.'!$A$2:$A$943,'PLAN MAESTRO FINAL'!$A806,'HOJAS DE HORA PROY.'!$M$2:$M$943,B$113)</f>
        <v>0</v>
      </c>
      <c r="C806" s="8">
        <f>SUMIFS('HOJAS DE HORA PROY.'!$F$2:$F$943,'HOJAS DE HORA PROY.'!$A$2:$A$943,'PLAN MAESTRO FINAL'!$A806,'HOJAS DE HORA PROY.'!$M$2:$M$943,C$113)</f>
        <v>0</v>
      </c>
      <c r="D806" s="8">
        <f>SUMIFS('HOJAS DE HORA PROY.'!$F$2:$F$943,'HOJAS DE HORA PROY.'!$A$2:$A$943,'PLAN MAESTRO FINAL'!$A806,'HOJAS DE HORA PROY.'!$M$2:$M$943,D$113)</f>
        <v>0</v>
      </c>
      <c r="E806" s="8">
        <f>SUMIFS('HOJAS DE HORA PROY.'!$F$2:$F$943,'HOJAS DE HORA PROY.'!$A$2:$A$943,'PLAN MAESTRO FINAL'!$A806,'HOJAS DE HORA PROY.'!$M$2:$M$943,E$113)</f>
        <v>0</v>
      </c>
      <c r="F806" s="8">
        <f>SUMIFS('HOJAS DE HORA PROY.'!$F$2:$F$943,'HOJAS DE HORA PROY.'!$A$2:$A$943,'PLAN MAESTRO FINAL'!$A806,'HOJAS DE HORA PROY.'!$M$2:$M$943,F$113)</f>
        <v>0</v>
      </c>
      <c r="G806" s="8">
        <f>SUMIFS('HOJAS DE HORA PROY.'!$F$2:$F$943,'HOJAS DE HORA PROY.'!$A$2:$A$943,'PLAN MAESTRO FINAL'!$A806,'HOJAS DE HORA PROY.'!$M$2:$M$943,G$113)</f>
        <v>0</v>
      </c>
      <c r="H806" s="8">
        <f>SUMIFS('HOJAS DE HORA PROY.'!$F$2:$F$943,'HOJAS DE HORA PROY.'!$A$2:$A$943,'PLAN MAESTRO FINAL'!$A806,'HOJAS DE HORA PROY.'!$M$2:$M$943,H$113)</f>
        <v>0</v>
      </c>
      <c r="I806" s="8">
        <f>SUMIFS('HOJAS DE HORA PROY.'!$F$2:$F$943,'HOJAS DE HORA PROY.'!$A$2:$A$943,'PLAN MAESTRO FINAL'!$A806,'HOJAS DE HORA PROY.'!$M$2:$M$943,I$113)</f>
        <v>0</v>
      </c>
      <c r="J806" s="8">
        <f>SUMIFS('HOJAS DE HORA PROY.'!$F$2:$F$943,'HOJAS DE HORA PROY.'!$A$2:$A$943,'PLAN MAESTRO FINAL'!$A806,'HOJAS DE HORA PROY.'!$M$2:$M$943,J$113)</f>
        <v>0</v>
      </c>
      <c r="K806" s="8">
        <f>SUMIFS('HOJAS DE HORA PROY.'!$F$2:$F$943,'HOJAS DE HORA PROY.'!$A$2:$A$943,'PLAN MAESTRO FINAL'!$A806,'HOJAS DE HORA PROY.'!$M$2:$M$943,K$113)</f>
        <v>0</v>
      </c>
      <c r="L806" s="8">
        <f>SUMIFS('HOJAS DE HORA PROY.'!$F$2:$F$943,'HOJAS DE HORA PROY.'!$A$2:$A$943,'PLAN MAESTRO FINAL'!$A806,'HOJAS DE HORA PROY.'!$M$2:$M$943,L$113)</f>
        <v>0</v>
      </c>
      <c r="M806" s="8">
        <f>SUMIFS('HOJAS DE HORA PROY.'!$F$2:$F$943,'HOJAS DE HORA PROY.'!$A$2:$A$943,'PLAN MAESTRO FINAL'!$A806,'HOJAS DE HORA PROY.'!$M$2:$M$943,M$113)</f>
        <v>0</v>
      </c>
      <c r="N806" s="8">
        <f>SUMIFS('HOJAS DE HORA PROY.'!$F$2:$F$943,'HOJAS DE HORA PROY.'!$A$2:$A$943,'PLAN MAESTRO FINAL'!$A806,'HOJAS DE HORA PROY.'!$M$2:$M$943,N$113)</f>
        <v>0</v>
      </c>
      <c r="O806" s="8">
        <f>SUMIFS('HOJAS DE HORA PROY.'!$F$2:$F$943,'HOJAS DE HORA PROY.'!$A$2:$A$943,'PLAN MAESTRO FINAL'!$A806,'HOJAS DE HORA PROY.'!$M$2:$M$943,O$113)</f>
        <v>0</v>
      </c>
      <c r="P806" s="8">
        <f>SUMIFS('HOJAS DE HORA PROY.'!$F$2:$F$943,'HOJAS DE HORA PROY.'!$A$2:$A$943,'PLAN MAESTRO FINAL'!$A806,'HOJAS DE HORA PROY.'!$M$2:$M$943,P$113)</f>
        <v>0</v>
      </c>
      <c r="Q806" s="8">
        <f>SUMIFS('HOJAS DE HORA PROY.'!$F$2:$F$943,'HOJAS DE HORA PROY.'!$A$2:$A$943,'PLAN MAESTRO FINAL'!$A806,'HOJAS DE HORA PROY.'!$M$2:$M$943,Q$113)</f>
        <v>0</v>
      </c>
      <c r="R806" s="8">
        <f>SUMIFS('HOJAS DE HORA PROY.'!$F$2:$F$943,'HOJAS DE HORA PROY.'!$A$2:$A$943,'PLAN MAESTRO FINAL'!$A806,'HOJAS DE HORA PROY.'!$M$2:$M$943,R$113)</f>
        <v>0</v>
      </c>
      <c r="S806" s="8">
        <f>SUMIFS('HOJAS DE HORA PROY.'!$F$2:$F$943,'HOJAS DE HORA PROY.'!$A$2:$A$943,'PLAN MAESTRO FINAL'!$A806,'HOJAS DE HORA PROY.'!$M$2:$M$943,S$113)</f>
        <v>0</v>
      </c>
      <c r="T806" s="8">
        <f>SUMIFS('HOJAS DE HORA PROY.'!$F$2:$F$943,'HOJAS DE HORA PROY.'!$A$2:$A$943,'PLAN MAESTRO FINAL'!$A806,'HOJAS DE HORA PROY.'!$M$2:$M$943,T$113)</f>
        <v>0</v>
      </c>
      <c r="U806" s="8">
        <f>SUMIFS('HOJAS DE HORA PROY.'!$F$2:$F$943,'HOJAS DE HORA PROY.'!$A$2:$A$943,'PLAN MAESTRO FINAL'!$A806,'HOJAS DE HORA PROY.'!$M$2:$M$943,U$113)</f>
        <v>0</v>
      </c>
      <c r="V806" s="8">
        <f>SUMIFS('HOJAS DE HORA PROY.'!$F$2:$F$943,'HOJAS DE HORA PROY.'!$A$2:$A$943,'PLAN MAESTRO FINAL'!$A806,'HOJAS DE HORA PROY.'!$M$2:$M$943,V$113)</f>
        <v>0</v>
      </c>
      <c r="W806" s="8">
        <f>SUMIFS('HOJAS DE HORA PROY.'!$F$2:$F$943,'HOJAS DE HORA PROY.'!$A$2:$A$943,'PLAN MAESTRO FINAL'!$A806,'HOJAS DE HORA PROY.'!$M$2:$M$943,W$113)</f>
        <v>0</v>
      </c>
    </row>
    <row r="807" spans="1:23" hidden="1" outlineLevel="1" x14ac:dyDescent="0.3">
      <c r="A807" s="13" t="s">
        <v>126</v>
      </c>
      <c r="B807" s="8">
        <f>SUMIFS('HOJAS DE HORA PROY.'!$F$2:$F$943,'HOJAS DE HORA PROY.'!$A$2:$A$943,'PLAN MAESTRO FINAL'!$A807,'HOJAS DE HORA PROY.'!$M$2:$M$943,B$113)</f>
        <v>0</v>
      </c>
      <c r="C807" s="8">
        <f>SUMIFS('HOJAS DE HORA PROY.'!$F$2:$F$943,'HOJAS DE HORA PROY.'!$A$2:$A$943,'PLAN MAESTRO FINAL'!$A807,'HOJAS DE HORA PROY.'!$M$2:$M$943,C$113)</f>
        <v>0</v>
      </c>
      <c r="D807" s="8">
        <f>SUMIFS('HOJAS DE HORA PROY.'!$F$2:$F$943,'HOJAS DE HORA PROY.'!$A$2:$A$943,'PLAN MAESTRO FINAL'!$A807,'HOJAS DE HORA PROY.'!$M$2:$M$943,D$113)</f>
        <v>0</v>
      </c>
      <c r="E807" s="8">
        <f>SUMIFS('HOJAS DE HORA PROY.'!$F$2:$F$943,'HOJAS DE HORA PROY.'!$A$2:$A$943,'PLAN MAESTRO FINAL'!$A807,'HOJAS DE HORA PROY.'!$M$2:$M$943,E$113)</f>
        <v>0</v>
      </c>
      <c r="F807" s="8">
        <f>SUMIFS('HOJAS DE HORA PROY.'!$F$2:$F$943,'HOJAS DE HORA PROY.'!$A$2:$A$943,'PLAN MAESTRO FINAL'!$A807,'HOJAS DE HORA PROY.'!$M$2:$M$943,F$113)</f>
        <v>0</v>
      </c>
      <c r="G807" s="8">
        <f>SUMIFS('HOJAS DE HORA PROY.'!$F$2:$F$943,'HOJAS DE HORA PROY.'!$A$2:$A$943,'PLAN MAESTRO FINAL'!$A807,'HOJAS DE HORA PROY.'!$M$2:$M$943,G$113)</f>
        <v>0</v>
      </c>
      <c r="H807" s="8">
        <f>SUMIFS('HOJAS DE HORA PROY.'!$F$2:$F$943,'HOJAS DE HORA PROY.'!$A$2:$A$943,'PLAN MAESTRO FINAL'!$A807,'HOJAS DE HORA PROY.'!$M$2:$M$943,H$113)</f>
        <v>0</v>
      </c>
      <c r="I807" s="8">
        <f>SUMIFS('HOJAS DE HORA PROY.'!$F$2:$F$943,'HOJAS DE HORA PROY.'!$A$2:$A$943,'PLAN MAESTRO FINAL'!$A807,'HOJAS DE HORA PROY.'!$M$2:$M$943,I$113)</f>
        <v>0</v>
      </c>
      <c r="J807" s="8">
        <f>SUMIFS('HOJAS DE HORA PROY.'!$F$2:$F$943,'HOJAS DE HORA PROY.'!$A$2:$A$943,'PLAN MAESTRO FINAL'!$A807,'HOJAS DE HORA PROY.'!$M$2:$M$943,J$113)</f>
        <v>0</v>
      </c>
      <c r="K807" s="8">
        <f>SUMIFS('HOJAS DE HORA PROY.'!$F$2:$F$943,'HOJAS DE HORA PROY.'!$A$2:$A$943,'PLAN MAESTRO FINAL'!$A807,'HOJAS DE HORA PROY.'!$M$2:$M$943,K$113)</f>
        <v>0</v>
      </c>
      <c r="L807" s="8">
        <f>SUMIFS('HOJAS DE HORA PROY.'!$F$2:$F$943,'HOJAS DE HORA PROY.'!$A$2:$A$943,'PLAN MAESTRO FINAL'!$A807,'HOJAS DE HORA PROY.'!$M$2:$M$943,L$113)</f>
        <v>0</v>
      </c>
      <c r="M807" s="8">
        <f>SUMIFS('HOJAS DE HORA PROY.'!$F$2:$F$943,'HOJAS DE HORA PROY.'!$A$2:$A$943,'PLAN MAESTRO FINAL'!$A807,'HOJAS DE HORA PROY.'!$M$2:$M$943,M$113)</f>
        <v>0</v>
      </c>
      <c r="N807" s="8">
        <f>SUMIFS('HOJAS DE HORA PROY.'!$F$2:$F$943,'HOJAS DE HORA PROY.'!$A$2:$A$943,'PLAN MAESTRO FINAL'!$A807,'HOJAS DE HORA PROY.'!$M$2:$M$943,N$113)</f>
        <v>0</v>
      </c>
      <c r="O807" s="8">
        <f>SUMIFS('HOJAS DE HORA PROY.'!$F$2:$F$943,'HOJAS DE HORA PROY.'!$A$2:$A$943,'PLAN MAESTRO FINAL'!$A807,'HOJAS DE HORA PROY.'!$M$2:$M$943,O$113)</f>
        <v>0</v>
      </c>
      <c r="P807" s="8">
        <f>SUMIFS('HOJAS DE HORA PROY.'!$F$2:$F$943,'HOJAS DE HORA PROY.'!$A$2:$A$943,'PLAN MAESTRO FINAL'!$A807,'HOJAS DE HORA PROY.'!$M$2:$M$943,P$113)</f>
        <v>0</v>
      </c>
      <c r="Q807" s="8">
        <f>SUMIFS('HOJAS DE HORA PROY.'!$F$2:$F$943,'HOJAS DE HORA PROY.'!$A$2:$A$943,'PLAN MAESTRO FINAL'!$A807,'HOJAS DE HORA PROY.'!$M$2:$M$943,Q$113)</f>
        <v>0</v>
      </c>
      <c r="R807" s="8">
        <f>SUMIFS('HOJAS DE HORA PROY.'!$F$2:$F$943,'HOJAS DE HORA PROY.'!$A$2:$A$943,'PLAN MAESTRO FINAL'!$A807,'HOJAS DE HORA PROY.'!$M$2:$M$943,R$113)</f>
        <v>0</v>
      </c>
      <c r="S807" s="8">
        <f>SUMIFS('HOJAS DE HORA PROY.'!$F$2:$F$943,'HOJAS DE HORA PROY.'!$A$2:$A$943,'PLAN MAESTRO FINAL'!$A807,'HOJAS DE HORA PROY.'!$M$2:$M$943,S$113)</f>
        <v>0</v>
      </c>
      <c r="T807" s="8">
        <f>SUMIFS('HOJAS DE HORA PROY.'!$F$2:$F$943,'HOJAS DE HORA PROY.'!$A$2:$A$943,'PLAN MAESTRO FINAL'!$A807,'HOJAS DE HORA PROY.'!$M$2:$M$943,T$113)</f>
        <v>0</v>
      </c>
      <c r="U807" s="8">
        <f>SUMIFS('HOJAS DE HORA PROY.'!$F$2:$F$943,'HOJAS DE HORA PROY.'!$A$2:$A$943,'PLAN MAESTRO FINAL'!$A807,'HOJAS DE HORA PROY.'!$M$2:$M$943,U$113)</f>
        <v>0</v>
      </c>
      <c r="V807" s="8">
        <f>SUMIFS('HOJAS DE HORA PROY.'!$F$2:$F$943,'HOJAS DE HORA PROY.'!$A$2:$A$943,'PLAN MAESTRO FINAL'!$A807,'HOJAS DE HORA PROY.'!$M$2:$M$943,V$113)</f>
        <v>0</v>
      </c>
      <c r="W807" s="8">
        <f>SUMIFS('HOJAS DE HORA PROY.'!$F$2:$F$943,'HOJAS DE HORA PROY.'!$A$2:$A$943,'PLAN MAESTRO FINAL'!$A807,'HOJAS DE HORA PROY.'!$M$2:$M$943,W$113)</f>
        <v>0</v>
      </c>
    </row>
    <row r="808" spans="1:23" hidden="1" outlineLevel="1" x14ac:dyDescent="0.3">
      <c r="A808" s="13" t="s">
        <v>132</v>
      </c>
      <c r="B808" s="8">
        <f>SUMIFS('HOJAS DE HORA PROY.'!$F$2:$F$943,'HOJAS DE HORA PROY.'!$A$2:$A$943,'PLAN MAESTRO FINAL'!$A808,'HOJAS DE HORA PROY.'!$M$2:$M$943,B$113)</f>
        <v>0</v>
      </c>
      <c r="C808" s="8">
        <f>SUMIFS('HOJAS DE HORA PROY.'!$F$2:$F$943,'HOJAS DE HORA PROY.'!$A$2:$A$943,'PLAN MAESTRO FINAL'!$A808,'HOJAS DE HORA PROY.'!$M$2:$M$943,C$113)</f>
        <v>0</v>
      </c>
      <c r="D808" s="8">
        <f>SUMIFS('HOJAS DE HORA PROY.'!$F$2:$F$943,'HOJAS DE HORA PROY.'!$A$2:$A$943,'PLAN MAESTRO FINAL'!$A808,'HOJAS DE HORA PROY.'!$M$2:$M$943,D$113)</f>
        <v>0</v>
      </c>
      <c r="E808" s="8">
        <f>SUMIFS('HOJAS DE HORA PROY.'!$F$2:$F$943,'HOJAS DE HORA PROY.'!$A$2:$A$943,'PLAN MAESTRO FINAL'!$A808,'HOJAS DE HORA PROY.'!$M$2:$M$943,E$113)</f>
        <v>0</v>
      </c>
      <c r="F808" s="8">
        <f>SUMIFS('HOJAS DE HORA PROY.'!$F$2:$F$943,'HOJAS DE HORA PROY.'!$A$2:$A$943,'PLAN MAESTRO FINAL'!$A808,'HOJAS DE HORA PROY.'!$M$2:$M$943,F$113)</f>
        <v>0</v>
      </c>
      <c r="G808" s="8">
        <f>SUMIFS('HOJAS DE HORA PROY.'!$F$2:$F$943,'HOJAS DE HORA PROY.'!$A$2:$A$943,'PLAN MAESTRO FINAL'!$A808,'HOJAS DE HORA PROY.'!$M$2:$M$943,G$113)</f>
        <v>0</v>
      </c>
      <c r="H808" s="8">
        <f>SUMIFS('HOJAS DE HORA PROY.'!$F$2:$F$943,'HOJAS DE HORA PROY.'!$A$2:$A$943,'PLAN MAESTRO FINAL'!$A808,'HOJAS DE HORA PROY.'!$M$2:$M$943,H$113)</f>
        <v>0</v>
      </c>
      <c r="I808" s="8">
        <f>SUMIFS('HOJAS DE HORA PROY.'!$F$2:$F$943,'HOJAS DE HORA PROY.'!$A$2:$A$943,'PLAN MAESTRO FINAL'!$A808,'HOJAS DE HORA PROY.'!$M$2:$M$943,I$113)</f>
        <v>0</v>
      </c>
      <c r="J808" s="8">
        <f>SUMIFS('HOJAS DE HORA PROY.'!$F$2:$F$943,'HOJAS DE HORA PROY.'!$A$2:$A$943,'PLAN MAESTRO FINAL'!$A808,'HOJAS DE HORA PROY.'!$M$2:$M$943,J$113)</f>
        <v>0</v>
      </c>
      <c r="K808" s="8">
        <f>SUMIFS('HOJAS DE HORA PROY.'!$F$2:$F$943,'HOJAS DE HORA PROY.'!$A$2:$A$943,'PLAN MAESTRO FINAL'!$A808,'HOJAS DE HORA PROY.'!$M$2:$M$943,K$113)</f>
        <v>0</v>
      </c>
      <c r="L808" s="8">
        <f>SUMIFS('HOJAS DE HORA PROY.'!$F$2:$F$943,'HOJAS DE HORA PROY.'!$A$2:$A$943,'PLAN MAESTRO FINAL'!$A808,'HOJAS DE HORA PROY.'!$M$2:$M$943,L$113)</f>
        <v>0</v>
      </c>
      <c r="M808" s="8">
        <f>SUMIFS('HOJAS DE HORA PROY.'!$F$2:$F$943,'HOJAS DE HORA PROY.'!$A$2:$A$943,'PLAN MAESTRO FINAL'!$A808,'HOJAS DE HORA PROY.'!$M$2:$M$943,M$113)</f>
        <v>0</v>
      </c>
      <c r="N808" s="8">
        <f>SUMIFS('HOJAS DE HORA PROY.'!$F$2:$F$943,'HOJAS DE HORA PROY.'!$A$2:$A$943,'PLAN MAESTRO FINAL'!$A808,'HOJAS DE HORA PROY.'!$M$2:$M$943,N$113)</f>
        <v>0</v>
      </c>
      <c r="O808" s="8">
        <f>SUMIFS('HOJAS DE HORA PROY.'!$F$2:$F$943,'HOJAS DE HORA PROY.'!$A$2:$A$943,'PLAN MAESTRO FINAL'!$A808,'HOJAS DE HORA PROY.'!$M$2:$M$943,O$113)</f>
        <v>0</v>
      </c>
      <c r="P808" s="8">
        <f>SUMIFS('HOJAS DE HORA PROY.'!$F$2:$F$943,'HOJAS DE HORA PROY.'!$A$2:$A$943,'PLAN MAESTRO FINAL'!$A808,'HOJAS DE HORA PROY.'!$M$2:$M$943,P$113)</f>
        <v>0</v>
      </c>
      <c r="Q808" s="8">
        <f>SUMIFS('HOJAS DE HORA PROY.'!$F$2:$F$943,'HOJAS DE HORA PROY.'!$A$2:$A$943,'PLAN MAESTRO FINAL'!$A808,'HOJAS DE HORA PROY.'!$M$2:$M$943,Q$113)</f>
        <v>0</v>
      </c>
      <c r="R808" s="8">
        <f>SUMIFS('HOJAS DE HORA PROY.'!$F$2:$F$943,'HOJAS DE HORA PROY.'!$A$2:$A$943,'PLAN MAESTRO FINAL'!$A808,'HOJAS DE HORA PROY.'!$M$2:$M$943,R$113)</f>
        <v>0</v>
      </c>
      <c r="S808" s="8">
        <f>SUMIFS('HOJAS DE HORA PROY.'!$F$2:$F$943,'HOJAS DE HORA PROY.'!$A$2:$A$943,'PLAN MAESTRO FINAL'!$A808,'HOJAS DE HORA PROY.'!$M$2:$M$943,S$113)</f>
        <v>0</v>
      </c>
      <c r="T808" s="8">
        <f>SUMIFS('HOJAS DE HORA PROY.'!$F$2:$F$943,'HOJAS DE HORA PROY.'!$A$2:$A$943,'PLAN MAESTRO FINAL'!$A808,'HOJAS DE HORA PROY.'!$M$2:$M$943,T$113)</f>
        <v>0</v>
      </c>
      <c r="U808" s="8">
        <f>SUMIFS('HOJAS DE HORA PROY.'!$F$2:$F$943,'HOJAS DE HORA PROY.'!$A$2:$A$943,'PLAN MAESTRO FINAL'!$A808,'HOJAS DE HORA PROY.'!$M$2:$M$943,U$113)</f>
        <v>0</v>
      </c>
      <c r="V808" s="8">
        <f>SUMIFS('HOJAS DE HORA PROY.'!$F$2:$F$943,'HOJAS DE HORA PROY.'!$A$2:$A$943,'PLAN MAESTRO FINAL'!$A808,'HOJAS DE HORA PROY.'!$M$2:$M$943,V$113)</f>
        <v>0</v>
      </c>
      <c r="W808" s="8">
        <f>SUMIFS('HOJAS DE HORA PROY.'!$F$2:$F$943,'HOJAS DE HORA PROY.'!$A$2:$A$943,'PLAN MAESTRO FINAL'!$A808,'HOJAS DE HORA PROY.'!$M$2:$M$943,W$113)</f>
        <v>0</v>
      </c>
    </row>
    <row r="809" spans="1:23" hidden="1" outlineLevel="1" x14ac:dyDescent="0.3">
      <c r="A809" s="13" t="s">
        <v>141</v>
      </c>
      <c r="B809" s="8">
        <f>SUMIFS('HOJAS DE HORA PROY.'!$F$2:$F$943,'HOJAS DE HORA PROY.'!$A$2:$A$943,'PLAN MAESTRO FINAL'!$A809,'HOJAS DE HORA PROY.'!$M$2:$M$943,B$113)</f>
        <v>0</v>
      </c>
      <c r="C809" s="8">
        <f>SUMIFS('HOJAS DE HORA PROY.'!$F$2:$F$943,'HOJAS DE HORA PROY.'!$A$2:$A$943,'PLAN MAESTRO FINAL'!$A809,'HOJAS DE HORA PROY.'!$M$2:$M$943,C$113)</f>
        <v>0</v>
      </c>
      <c r="D809" s="8">
        <f>SUMIFS('HOJAS DE HORA PROY.'!$F$2:$F$943,'HOJAS DE HORA PROY.'!$A$2:$A$943,'PLAN MAESTRO FINAL'!$A809,'HOJAS DE HORA PROY.'!$M$2:$M$943,D$113)</f>
        <v>0</v>
      </c>
      <c r="E809" s="8">
        <f>SUMIFS('HOJAS DE HORA PROY.'!$F$2:$F$943,'HOJAS DE HORA PROY.'!$A$2:$A$943,'PLAN MAESTRO FINAL'!$A809,'HOJAS DE HORA PROY.'!$M$2:$M$943,E$113)</f>
        <v>0</v>
      </c>
      <c r="F809" s="8">
        <f>SUMIFS('HOJAS DE HORA PROY.'!$F$2:$F$943,'HOJAS DE HORA PROY.'!$A$2:$A$943,'PLAN MAESTRO FINAL'!$A809,'HOJAS DE HORA PROY.'!$M$2:$M$943,F$113)</f>
        <v>0</v>
      </c>
      <c r="G809" s="8">
        <f>SUMIFS('HOJAS DE HORA PROY.'!$F$2:$F$943,'HOJAS DE HORA PROY.'!$A$2:$A$943,'PLAN MAESTRO FINAL'!$A809,'HOJAS DE HORA PROY.'!$M$2:$M$943,G$113)</f>
        <v>0</v>
      </c>
      <c r="H809" s="8">
        <f>SUMIFS('HOJAS DE HORA PROY.'!$F$2:$F$943,'HOJAS DE HORA PROY.'!$A$2:$A$943,'PLAN MAESTRO FINAL'!$A809,'HOJAS DE HORA PROY.'!$M$2:$M$943,H$113)</f>
        <v>0</v>
      </c>
      <c r="I809" s="8">
        <f>SUMIFS('HOJAS DE HORA PROY.'!$F$2:$F$943,'HOJAS DE HORA PROY.'!$A$2:$A$943,'PLAN MAESTRO FINAL'!$A809,'HOJAS DE HORA PROY.'!$M$2:$M$943,I$113)</f>
        <v>0</v>
      </c>
      <c r="J809" s="8">
        <f>SUMIFS('HOJAS DE HORA PROY.'!$F$2:$F$943,'HOJAS DE HORA PROY.'!$A$2:$A$943,'PLAN MAESTRO FINAL'!$A809,'HOJAS DE HORA PROY.'!$M$2:$M$943,J$113)</f>
        <v>0</v>
      </c>
      <c r="K809" s="8">
        <f>SUMIFS('HOJAS DE HORA PROY.'!$F$2:$F$943,'HOJAS DE HORA PROY.'!$A$2:$A$943,'PLAN MAESTRO FINAL'!$A809,'HOJAS DE HORA PROY.'!$M$2:$M$943,K$113)</f>
        <v>0</v>
      </c>
      <c r="L809" s="8">
        <f>SUMIFS('HOJAS DE HORA PROY.'!$F$2:$F$943,'HOJAS DE HORA PROY.'!$A$2:$A$943,'PLAN MAESTRO FINAL'!$A809,'HOJAS DE HORA PROY.'!$M$2:$M$943,L$113)</f>
        <v>0</v>
      </c>
      <c r="M809" s="8">
        <f>SUMIFS('HOJAS DE HORA PROY.'!$F$2:$F$943,'HOJAS DE HORA PROY.'!$A$2:$A$943,'PLAN MAESTRO FINAL'!$A809,'HOJAS DE HORA PROY.'!$M$2:$M$943,M$113)</f>
        <v>0</v>
      </c>
      <c r="N809" s="8">
        <f>SUMIFS('HOJAS DE HORA PROY.'!$F$2:$F$943,'HOJAS DE HORA PROY.'!$A$2:$A$943,'PLAN MAESTRO FINAL'!$A809,'HOJAS DE HORA PROY.'!$M$2:$M$943,N$113)</f>
        <v>0</v>
      </c>
      <c r="O809" s="8">
        <f>SUMIFS('HOJAS DE HORA PROY.'!$F$2:$F$943,'HOJAS DE HORA PROY.'!$A$2:$A$943,'PLAN MAESTRO FINAL'!$A809,'HOJAS DE HORA PROY.'!$M$2:$M$943,O$113)</f>
        <v>0</v>
      </c>
      <c r="P809" s="8">
        <f>SUMIFS('HOJAS DE HORA PROY.'!$F$2:$F$943,'HOJAS DE HORA PROY.'!$A$2:$A$943,'PLAN MAESTRO FINAL'!$A809,'HOJAS DE HORA PROY.'!$M$2:$M$943,P$113)</f>
        <v>0</v>
      </c>
      <c r="Q809" s="8">
        <f>SUMIFS('HOJAS DE HORA PROY.'!$F$2:$F$943,'HOJAS DE HORA PROY.'!$A$2:$A$943,'PLAN MAESTRO FINAL'!$A809,'HOJAS DE HORA PROY.'!$M$2:$M$943,Q$113)</f>
        <v>0</v>
      </c>
      <c r="R809" s="8">
        <f>SUMIFS('HOJAS DE HORA PROY.'!$F$2:$F$943,'HOJAS DE HORA PROY.'!$A$2:$A$943,'PLAN MAESTRO FINAL'!$A809,'HOJAS DE HORA PROY.'!$M$2:$M$943,R$113)</f>
        <v>0</v>
      </c>
      <c r="S809" s="8">
        <f>SUMIFS('HOJAS DE HORA PROY.'!$F$2:$F$943,'HOJAS DE HORA PROY.'!$A$2:$A$943,'PLAN MAESTRO FINAL'!$A809,'HOJAS DE HORA PROY.'!$M$2:$M$943,S$113)</f>
        <v>0</v>
      </c>
      <c r="T809" s="8">
        <f>SUMIFS('HOJAS DE HORA PROY.'!$F$2:$F$943,'HOJAS DE HORA PROY.'!$A$2:$A$943,'PLAN MAESTRO FINAL'!$A809,'HOJAS DE HORA PROY.'!$M$2:$M$943,T$113)</f>
        <v>0</v>
      </c>
      <c r="U809" s="8">
        <f>SUMIFS('HOJAS DE HORA PROY.'!$F$2:$F$943,'HOJAS DE HORA PROY.'!$A$2:$A$943,'PLAN MAESTRO FINAL'!$A809,'HOJAS DE HORA PROY.'!$M$2:$M$943,U$113)</f>
        <v>0</v>
      </c>
      <c r="V809" s="8">
        <f>SUMIFS('HOJAS DE HORA PROY.'!$F$2:$F$943,'HOJAS DE HORA PROY.'!$A$2:$A$943,'PLAN MAESTRO FINAL'!$A809,'HOJAS DE HORA PROY.'!$M$2:$M$943,V$113)</f>
        <v>0</v>
      </c>
      <c r="W809" s="8">
        <f>SUMIFS('HOJAS DE HORA PROY.'!$F$2:$F$943,'HOJAS DE HORA PROY.'!$A$2:$A$943,'PLAN MAESTRO FINAL'!$A809,'HOJAS DE HORA PROY.'!$M$2:$M$943,W$113)</f>
        <v>0</v>
      </c>
    </row>
    <row r="810" spans="1:23" hidden="1" outlineLevel="1" x14ac:dyDescent="0.3">
      <c r="A810" s="13" t="s">
        <v>161</v>
      </c>
      <c r="B810" s="8">
        <f>SUMIFS('HOJAS DE HORA PROY.'!$F$2:$F$943,'HOJAS DE HORA PROY.'!$A$2:$A$943,'PLAN MAESTRO FINAL'!$A810,'HOJAS DE HORA PROY.'!$M$2:$M$943,B$113)</f>
        <v>0</v>
      </c>
      <c r="C810" s="8">
        <f>SUMIFS('HOJAS DE HORA PROY.'!$F$2:$F$943,'HOJAS DE HORA PROY.'!$A$2:$A$943,'PLAN MAESTRO FINAL'!$A810,'HOJAS DE HORA PROY.'!$M$2:$M$943,C$113)</f>
        <v>0</v>
      </c>
      <c r="D810" s="8">
        <f>SUMIFS('HOJAS DE HORA PROY.'!$F$2:$F$943,'HOJAS DE HORA PROY.'!$A$2:$A$943,'PLAN MAESTRO FINAL'!$A810,'HOJAS DE HORA PROY.'!$M$2:$M$943,D$113)</f>
        <v>0</v>
      </c>
      <c r="E810" s="8">
        <f>SUMIFS('HOJAS DE HORA PROY.'!$F$2:$F$943,'HOJAS DE HORA PROY.'!$A$2:$A$943,'PLAN MAESTRO FINAL'!$A810,'HOJAS DE HORA PROY.'!$M$2:$M$943,E$113)</f>
        <v>0</v>
      </c>
      <c r="F810" s="8">
        <f>SUMIFS('HOJAS DE HORA PROY.'!$F$2:$F$943,'HOJAS DE HORA PROY.'!$A$2:$A$943,'PLAN MAESTRO FINAL'!$A810,'HOJAS DE HORA PROY.'!$M$2:$M$943,F$113)</f>
        <v>0</v>
      </c>
      <c r="G810" s="8">
        <f>SUMIFS('HOJAS DE HORA PROY.'!$F$2:$F$943,'HOJAS DE HORA PROY.'!$A$2:$A$943,'PLAN MAESTRO FINAL'!$A810,'HOJAS DE HORA PROY.'!$M$2:$M$943,G$113)</f>
        <v>0</v>
      </c>
      <c r="H810" s="8">
        <f>SUMIFS('HOJAS DE HORA PROY.'!$F$2:$F$943,'HOJAS DE HORA PROY.'!$A$2:$A$943,'PLAN MAESTRO FINAL'!$A810,'HOJAS DE HORA PROY.'!$M$2:$M$943,H$113)</f>
        <v>0</v>
      </c>
      <c r="I810" s="8">
        <f>SUMIFS('HOJAS DE HORA PROY.'!$F$2:$F$943,'HOJAS DE HORA PROY.'!$A$2:$A$943,'PLAN MAESTRO FINAL'!$A810,'HOJAS DE HORA PROY.'!$M$2:$M$943,I$113)</f>
        <v>0</v>
      </c>
      <c r="J810" s="8">
        <f>SUMIFS('HOJAS DE HORA PROY.'!$F$2:$F$943,'HOJAS DE HORA PROY.'!$A$2:$A$943,'PLAN MAESTRO FINAL'!$A810,'HOJAS DE HORA PROY.'!$M$2:$M$943,J$113)</f>
        <v>0</v>
      </c>
      <c r="K810" s="8">
        <f>SUMIFS('HOJAS DE HORA PROY.'!$F$2:$F$943,'HOJAS DE HORA PROY.'!$A$2:$A$943,'PLAN MAESTRO FINAL'!$A810,'HOJAS DE HORA PROY.'!$M$2:$M$943,K$113)</f>
        <v>0</v>
      </c>
      <c r="L810" s="8">
        <f>SUMIFS('HOJAS DE HORA PROY.'!$F$2:$F$943,'HOJAS DE HORA PROY.'!$A$2:$A$943,'PLAN MAESTRO FINAL'!$A810,'HOJAS DE HORA PROY.'!$M$2:$M$943,L$113)</f>
        <v>0</v>
      </c>
      <c r="M810" s="8">
        <f>SUMIFS('HOJAS DE HORA PROY.'!$F$2:$F$943,'HOJAS DE HORA PROY.'!$A$2:$A$943,'PLAN MAESTRO FINAL'!$A810,'HOJAS DE HORA PROY.'!$M$2:$M$943,M$113)</f>
        <v>0</v>
      </c>
      <c r="N810" s="8">
        <f>SUMIFS('HOJAS DE HORA PROY.'!$F$2:$F$943,'HOJAS DE HORA PROY.'!$A$2:$A$943,'PLAN MAESTRO FINAL'!$A810,'HOJAS DE HORA PROY.'!$M$2:$M$943,N$113)</f>
        <v>0</v>
      </c>
      <c r="O810" s="8">
        <f>SUMIFS('HOJAS DE HORA PROY.'!$F$2:$F$943,'HOJAS DE HORA PROY.'!$A$2:$A$943,'PLAN MAESTRO FINAL'!$A810,'HOJAS DE HORA PROY.'!$M$2:$M$943,O$113)</f>
        <v>0</v>
      </c>
      <c r="P810" s="8">
        <f>SUMIFS('HOJAS DE HORA PROY.'!$F$2:$F$943,'HOJAS DE HORA PROY.'!$A$2:$A$943,'PLAN MAESTRO FINAL'!$A810,'HOJAS DE HORA PROY.'!$M$2:$M$943,P$113)</f>
        <v>0</v>
      </c>
      <c r="Q810" s="8">
        <f>SUMIFS('HOJAS DE HORA PROY.'!$F$2:$F$943,'HOJAS DE HORA PROY.'!$A$2:$A$943,'PLAN MAESTRO FINAL'!$A810,'HOJAS DE HORA PROY.'!$M$2:$M$943,Q$113)</f>
        <v>0</v>
      </c>
      <c r="R810" s="8">
        <f>SUMIFS('HOJAS DE HORA PROY.'!$F$2:$F$943,'HOJAS DE HORA PROY.'!$A$2:$A$943,'PLAN MAESTRO FINAL'!$A810,'HOJAS DE HORA PROY.'!$M$2:$M$943,R$113)</f>
        <v>0</v>
      </c>
      <c r="S810" s="8">
        <f>SUMIFS('HOJAS DE HORA PROY.'!$F$2:$F$943,'HOJAS DE HORA PROY.'!$A$2:$A$943,'PLAN MAESTRO FINAL'!$A810,'HOJAS DE HORA PROY.'!$M$2:$M$943,S$113)</f>
        <v>0</v>
      </c>
      <c r="T810" s="8">
        <f>SUMIFS('HOJAS DE HORA PROY.'!$F$2:$F$943,'HOJAS DE HORA PROY.'!$A$2:$A$943,'PLAN MAESTRO FINAL'!$A810,'HOJAS DE HORA PROY.'!$M$2:$M$943,T$113)</f>
        <v>0</v>
      </c>
      <c r="U810" s="8">
        <f>SUMIFS('HOJAS DE HORA PROY.'!$F$2:$F$943,'HOJAS DE HORA PROY.'!$A$2:$A$943,'PLAN MAESTRO FINAL'!$A810,'HOJAS DE HORA PROY.'!$M$2:$M$943,U$113)</f>
        <v>0</v>
      </c>
      <c r="V810" s="8">
        <f>SUMIFS('HOJAS DE HORA PROY.'!$F$2:$F$943,'HOJAS DE HORA PROY.'!$A$2:$A$943,'PLAN MAESTRO FINAL'!$A810,'HOJAS DE HORA PROY.'!$M$2:$M$943,V$113)</f>
        <v>0</v>
      </c>
      <c r="W810" s="8">
        <f>SUMIFS('HOJAS DE HORA PROY.'!$F$2:$F$943,'HOJAS DE HORA PROY.'!$A$2:$A$943,'PLAN MAESTRO FINAL'!$A810,'HOJAS DE HORA PROY.'!$M$2:$M$943,W$113)</f>
        <v>0</v>
      </c>
    </row>
    <row r="811" spans="1:23" hidden="1" outlineLevel="1" x14ac:dyDescent="0.3">
      <c r="A811" s="13" t="s">
        <v>165</v>
      </c>
      <c r="B811" s="8">
        <f>SUMIFS('HOJAS DE HORA PROY.'!$F$2:$F$943,'HOJAS DE HORA PROY.'!$A$2:$A$943,'PLAN MAESTRO FINAL'!$A811,'HOJAS DE HORA PROY.'!$M$2:$M$943,B$113)</f>
        <v>0</v>
      </c>
      <c r="C811" s="8">
        <f>SUMIFS('HOJAS DE HORA PROY.'!$F$2:$F$943,'HOJAS DE HORA PROY.'!$A$2:$A$943,'PLAN MAESTRO FINAL'!$A811,'HOJAS DE HORA PROY.'!$M$2:$M$943,C$113)</f>
        <v>0</v>
      </c>
      <c r="D811" s="8">
        <f>SUMIFS('HOJAS DE HORA PROY.'!$F$2:$F$943,'HOJAS DE HORA PROY.'!$A$2:$A$943,'PLAN MAESTRO FINAL'!$A811,'HOJAS DE HORA PROY.'!$M$2:$M$943,D$113)</f>
        <v>0</v>
      </c>
      <c r="E811" s="8">
        <f>SUMIFS('HOJAS DE HORA PROY.'!$F$2:$F$943,'HOJAS DE HORA PROY.'!$A$2:$A$943,'PLAN MAESTRO FINAL'!$A811,'HOJAS DE HORA PROY.'!$M$2:$M$943,E$113)</f>
        <v>0</v>
      </c>
      <c r="F811" s="8">
        <f>SUMIFS('HOJAS DE HORA PROY.'!$F$2:$F$943,'HOJAS DE HORA PROY.'!$A$2:$A$943,'PLAN MAESTRO FINAL'!$A811,'HOJAS DE HORA PROY.'!$M$2:$M$943,F$113)</f>
        <v>0</v>
      </c>
      <c r="G811" s="8">
        <f>SUMIFS('HOJAS DE HORA PROY.'!$F$2:$F$943,'HOJAS DE HORA PROY.'!$A$2:$A$943,'PLAN MAESTRO FINAL'!$A811,'HOJAS DE HORA PROY.'!$M$2:$M$943,G$113)</f>
        <v>4</v>
      </c>
      <c r="H811" s="8">
        <f>SUMIFS('HOJAS DE HORA PROY.'!$F$2:$F$943,'HOJAS DE HORA PROY.'!$A$2:$A$943,'PLAN MAESTRO FINAL'!$A811,'HOJAS DE HORA PROY.'!$M$2:$M$943,H$113)</f>
        <v>0</v>
      </c>
      <c r="I811" s="8">
        <f>SUMIFS('HOJAS DE HORA PROY.'!$F$2:$F$943,'HOJAS DE HORA PROY.'!$A$2:$A$943,'PLAN MAESTRO FINAL'!$A811,'HOJAS DE HORA PROY.'!$M$2:$M$943,I$113)</f>
        <v>0</v>
      </c>
      <c r="J811" s="8">
        <f>SUMIFS('HOJAS DE HORA PROY.'!$F$2:$F$943,'HOJAS DE HORA PROY.'!$A$2:$A$943,'PLAN MAESTRO FINAL'!$A811,'HOJAS DE HORA PROY.'!$M$2:$M$943,J$113)</f>
        <v>0</v>
      </c>
      <c r="K811" s="8">
        <f>SUMIFS('HOJAS DE HORA PROY.'!$F$2:$F$943,'HOJAS DE HORA PROY.'!$A$2:$A$943,'PLAN MAESTRO FINAL'!$A811,'HOJAS DE HORA PROY.'!$M$2:$M$943,K$113)</f>
        <v>0</v>
      </c>
      <c r="L811" s="8">
        <f>SUMIFS('HOJAS DE HORA PROY.'!$F$2:$F$943,'HOJAS DE HORA PROY.'!$A$2:$A$943,'PLAN MAESTRO FINAL'!$A811,'HOJAS DE HORA PROY.'!$M$2:$M$943,L$113)</f>
        <v>0</v>
      </c>
      <c r="M811" s="8">
        <f>SUMIFS('HOJAS DE HORA PROY.'!$F$2:$F$943,'HOJAS DE HORA PROY.'!$A$2:$A$943,'PLAN MAESTRO FINAL'!$A811,'HOJAS DE HORA PROY.'!$M$2:$M$943,M$113)</f>
        <v>0</v>
      </c>
      <c r="N811" s="8">
        <f>SUMIFS('HOJAS DE HORA PROY.'!$F$2:$F$943,'HOJAS DE HORA PROY.'!$A$2:$A$943,'PLAN MAESTRO FINAL'!$A811,'HOJAS DE HORA PROY.'!$M$2:$M$943,N$113)</f>
        <v>0</v>
      </c>
      <c r="O811" s="8">
        <f>SUMIFS('HOJAS DE HORA PROY.'!$F$2:$F$943,'HOJAS DE HORA PROY.'!$A$2:$A$943,'PLAN MAESTRO FINAL'!$A811,'HOJAS DE HORA PROY.'!$M$2:$M$943,O$113)</f>
        <v>0</v>
      </c>
      <c r="P811" s="8">
        <f>SUMIFS('HOJAS DE HORA PROY.'!$F$2:$F$943,'HOJAS DE HORA PROY.'!$A$2:$A$943,'PLAN MAESTRO FINAL'!$A811,'HOJAS DE HORA PROY.'!$M$2:$M$943,P$113)</f>
        <v>0</v>
      </c>
      <c r="Q811" s="8">
        <f>SUMIFS('HOJAS DE HORA PROY.'!$F$2:$F$943,'HOJAS DE HORA PROY.'!$A$2:$A$943,'PLAN MAESTRO FINAL'!$A811,'HOJAS DE HORA PROY.'!$M$2:$M$943,Q$113)</f>
        <v>0</v>
      </c>
      <c r="R811" s="8">
        <f>SUMIFS('HOJAS DE HORA PROY.'!$F$2:$F$943,'HOJAS DE HORA PROY.'!$A$2:$A$943,'PLAN MAESTRO FINAL'!$A811,'HOJAS DE HORA PROY.'!$M$2:$M$943,R$113)</f>
        <v>0</v>
      </c>
      <c r="S811" s="8">
        <f>SUMIFS('HOJAS DE HORA PROY.'!$F$2:$F$943,'HOJAS DE HORA PROY.'!$A$2:$A$943,'PLAN MAESTRO FINAL'!$A811,'HOJAS DE HORA PROY.'!$M$2:$M$943,S$113)</f>
        <v>0</v>
      </c>
      <c r="T811" s="8">
        <f>SUMIFS('HOJAS DE HORA PROY.'!$F$2:$F$943,'HOJAS DE HORA PROY.'!$A$2:$A$943,'PLAN MAESTRO FINAL'!$A811,'HOJAS DE HORA PROY.'!$M$2:$M$943,T$113)</f>
        <v>0</v>
      </c>
      <c r="U811" s="8">
        <f>SUMIFS('HOJAS DE HORA PROY.'!$F$2:$F$943,'HOJAS DE HORA PROY.'!$A$2:$A$943,'PLAN MAESTRO FINAL'!$A811,'HOJAS DE HORA PROY.'!$M$2:$M$943,U$113)</f>
        <v>0</v>
      </c>
      <c r="V811" s="8">
        <f>SUMIFS('HOJAS DE HORA PROY.'!$F$2:$F$943,'HOJAS DE HORA PROY.'!$A$2:$A$943,'PLAN MAESTRO FINAL'!$A811,'HOJAS DE HORA PROY.'!$M$2:$M$943,V$113)</f>
        <v>0</v>
      </c>
      <c r="W811" s="8">
        <f>SUMIFS('HOJAS DE HORA PROY.'!$F$2:$F$943,'HOJAS DE HORA PROY.'!$A$2:$A$943,'PLAN MAESTRO FINAL'!$A811,'HOJAS DE HORA PROY.'!$M$2:$M$943,W$113)</f>
        <v>0</v>
      </c>
    </row>
    <row r="812" spans="1:23" hidden="1" outlineLevel="1" x14ac:dyDescent="0.3">
      <c r="A812" s="13" t="s">
        <v>203</v>
      </c>
      <c r="B812" s="8">
        <f>SUMIFS('HOJAS DE HORA PROY.'!$F$2:$F$943,'HOJAS DE HORA PROY.'!$A$2:$A$943,'PLAN MAESTRO FINAL'!$A812,'HOJAS DE HORA PROY.'!$M$2:$M$943,B$113)</f>
        <v>0</v>
      </c>
      <c r="C812" s="8">
        <f>SUMIFS('HOJAS DE HORA PROY.'!$F$2:$F$943,'HOJAS DE HORA PROY.'!$A$2:$A$943,'PLAN MAESTRO FINAL'!$A812,'HOJAS DE HORA PROY.'!$M$2:$M$943,C$113)</f>
        <v>0</v>
      </c>
      <c r="D812" s="8">
        <f>SUMIFS('HOJAS DE HORA PROY.'!$F$2:$F$943,'HOJAS DE HORA PROY.'!$A$2:$A$943,'PLAN MAESTRO FINAL'!$A812,'HOJAS DE HORA PROY.'!$M$2:$M$943,D$113)</f>
        <v>0</v>
      </c>
      <c r="E812" s="8">
        <f>SUMIFS('HOJAS DE HORA PROY.'!$F$2:$F$943,'HOJAS DE HORA PROY.'!$A$2:$A$943,'PLAN MAESTRO FINAL'!$A812,'HOJAS DE HORA PROY.'!$M$2:$M$943,E$113)</f>
        <v>0</v>
      </c>
      <c r="F812" s="8">
        <f>SUMIFS('HOJAS DE HORA PROY.'!$F$2:$F$943,'HOJAS DE HORA PROY.'!$A$2:$A$943,'PLAN MAESTRO FINAL'!$A812,'HOJAS DE HORA PROY.'!$M$2:$M$943,F$113)</f>
        <v>0</v>
      </c>
      <c r="G812" s="8">
        <f>SUMIFS('HOJAS DE HORA PROY.'!$F$2:$F$943,'HOJAS DE HORA PROY.'!$A$2:$A$943,'PLAN MAESTRO FINAL'!$A812,'HOJAS DE HORA PROY.'!$M$2:$M$943,G$113)</f>
        <v>0</v>
      </c>
      <c r="H812" s="8">
        <f>SUMIFS('HOJAS DE HORA PROY.'!$F$2:$F$943,'HOJAS DE HORA PROY.'!$A$2:$A$943,'PLAN MAESTRO FINAL'!$A812,'HOJAS DE HORA PROY.'!$M$2:$M$943,H$113)</f>
        <v>0</v>
      </c>
      <c r="I812" s="8">
        <f>SUMIFS('HOJAS DE HORA PROY.'!$F$2:$F$943,'HOJAS DE HORA PROY.'!$A$2:$A$943,'PLAN MAESTRO FINAL'!$A812,'HOJAS DE HORA PROY.'!$M$2:$M$943,I$113)</f>
        <v>0</v>
      </c>
      <c r="J812" s="8">
        <f>SUMIFS('HOJAS DE HORA PROY.'!$F$2:$F$943,'HOJAS DE HORA PROY.'!$A$2:$A$943,'PLAN MAESTRO FINAL'!$A812,'HOJAS DE HORA PROY.'!$M$2:$M$943,J$113)</f>
        <v>0</v>
      </c>
      <c r="K812" s="8">
        <f>SUMIFS('HOJAS DE HORA PROY.'!$F$2:$F$943,'HOJAS DE HORA PROY.'!$A$2:$A$943,'PLAN MAESTRO FINAL'!$A812,'HOJAS DE HORA PROY.'!$M$2:$M$943,K$113)</f>
        <v>0</v>
      </c>
      <c r="L812" s="8">
        <f>SUMIFS('HOJAS DE HORA PROY.'!$F$2:$F$943,'HOJAS DE HORA PROY.'!$A$2:$A$943,'PLAN MAESTRO FINAL'!$A812,'HOJAS DE HORA PROY.'!$M$2:$M$943,L$113)</f>
        <v>0</v>
      </c>
      <c r="M812" s="8">
        <f>SUMIFS('HOJAS DE HORA PROY.'!$F$2:$F$943,'HOJAS DE HORA PROY.'!$A$2:$A$943,'PLAN MAESTRO FINAL'!$A812,'HOJAS DE HORA PROY.'!$M$2:$M$943,M$113)</f>
        <v>0</v>
      </c>
      <c r="N812" s="8">
        <f>SUMIFS('HOJAS DE HORA PROY.'!$F$2:$F$943,'HOJAS DE HORA PROY.'!$A$2:$A$943,'PLAN MAESTRO FINAL'!$A812,'HOJAS DE HORA PROY.'!$M$2:$M$943,N$113)</f>
        <v>0</v>
      </c>
      <c r="O812" s="8">
        <f>SUMIFS('HOJAS DE HORA PROY.'!$F$2:$F$943,'HOJAS DE HORA PROY.'!$A$2:$A$943,'PLAN MAESTRO FINAL'!$A812,'HOJAS DE HORA PROY.'!$M$2:$M$943,O$113)</f>
        <v>0</v>
      </c>
      <c r="P812" s="8">
        <f>SUMIFS('HOJAS DE HORA PROY.'!$F$2:$F$943,'HOJAS DE HORA PROY.'!$A$2:$A$943,'PLAN MAESTRO FINAL'!$A812,'HOJAS DE HORA PROY.'!$M$2:$M$943,P$113)</f>
        <v>0</v>
      </c>
      <c r="Q812" s="8">
        <f>SUMIFS('HOJAS DE HORA PROY.'!$F$2:$F$943,'HOJAS DE HORA PROY.'!$A$2:$A$943,'PLAN MAESTRO FINAL'!$A812,'HOJAS DE HORA PROY.'!$M$2:$M$943,Q$113)</f>
        <v>0</v>
      </c>
      <c r="R812" s="8">
        <f>SUMIFS('HOJAS DE HORA PROY.'!$F$2:$F$943,'HOJAS DE HORA PROY.'!$A$2:$A$943,'PLAN MAESTRO FINAL'!$A812,'HOJAS DE HORA PROY.'!$M$2:$M$943,R$113)</f>
        <v>0</v>
      </c>
      <c r="S812" s="8">
        <f>SUMIFS('HOJAS DE HORA PROY.'!$F$2:$F$943,'HOJAS DE HORA PROY.'!$A$2:$A$943,'PLAN MAESTRO FINAL'!$A812,'HOJAS DE HORA PROY.'!$M$2:$M$943,S$113)</f>
        <v>0</v>
      </c>
      <c r="T812" s="8">
        <f>SUMIFS('HOJAS DE HORA PROY.'!$F$2:$F$943,'HOJAS DE HORA PROY.'!$A$2:$A$943,'PLAN MAESTRO FINAL'!$A812,'HOJAS DE HORA PROY.'!$M$2:$M$943,T$113)</f>
        <v>0</v>
      </c>
      <c r="U812" s="8">
        <f>SUMIFS('HOJAS DE HORA PROY.'!$F$2:$F$943,'HOJAS DE HORA PROY.'!$A$2:$A$943,'PLAN MAESTRO FINAL'!$A812,'HOJAS DE HORA PROY.'!$M$2:$M$943,U$113)</f>
        <v>0</v>
      </c>
      <c r="V812" s="8">
        <f>SUMIFS('HOJAS DE HORA PROY.'!$F$2:$F$943,'HOJAS DE HORA PROY.'!$A$2:$A$943,'PLAN MAESTRO FINAL'!$A812,'HOJAS DE HORA PROY.'!$M$2:$M$943,V$113)</f>
        <v>0</v>
      </c>
      <c r="W812" s="8">
        <f>SUMIFS('HOJAS DE HORA PROY.'!$F$2:$F$943,'HOJAS DE HORA PROY.'!$A$2:$A$943,'PLAN MAESTRO FINAL'!$A812,'HOJAS DE HORA PROY.'!$M$2:$M$943,W$113)</f>
        <v>0</v>
      </c>
    </row>
    <row r="813" spans="1:23" hidden="1" outlineLevel="1" x14ac:dyDescent="0.3">
      <c r="A813" s="13" t="s">
        <v>212</v>
      </c>
      <c r="B813" s="8">
        <f>SUMIFS('HOJAS DE HORA PROY.'!$F$2:$F$943,'HOJAS DE HORA PROY.'!$A$2:$A$943,'PLAN MAESTRO FINAL'!$A813,'HOJAS DE HORA PROY.'!$M$2:$M$943,B$113)</f>
        <v>0</v>
      </c>
      <c r="C813" s="8">
        <f>SUMIFS('HOJAS DE HORA PROY.'!$F$2:$F$943,'HOJAS DE HORA PROY.'!$A$2:$A$943,'PLAN MAESTRO FINAL'!$A813,'HOJAS DE HORA PROY.'!$M$2:$M$943,C$113)</f>
        <v>0</v>
      </c>
      <c r="D813" s="8">
        <f>SUMIFS('HOJAS DE HORA PROY.'!$F$2:$F$943,'HOJAS DE HORA PROY.'!$A$2:$A$943,'PLAN MAESTRO FINAL'!$A813,'HOJAS DE HORA PROY.'!$M$2:$M$943,D$113)</f>
        <v>0</v>
      </c>
      <c r="E813" s="8">
        <f>SUMIFS('HOJAS DE HORA PROY.'!$F$2:$F$943,'HOJAS DE HORA PROY.'!$A$2:$A$943,'PLAN MAESTRO FINAL'!$A813,'HOJAS DE HORA PROY.'!$M$2:$M$943,E$113)</f>
        <v>0</v>
      </c>
      <c r="F813" s="8">
        <f>SUMIFS('HOJAS DE HORA PROY.'!$F$2:$F$943,'HOJAS DE HORA PROY.'!$A$2:$A$943,'PLAN MAESTRO FINAL'!$A813,'HOJAS DE HORA PROY.'!$M$2:$M$943,F$113)</f>
        <v>0</v>
      </c>
      <c r="G813" s="8">
        <f>SUMIFS('HOJAS DE HORA PROY.'!$F$2:$F$943,'HOJAS DE HORA PROY.'!$A$2:$A$943,'PLAN MAESTRO FINAL'!$A813,'HOJAS DE HORA PROY.'!$M$2:$M$943,G$113)</f>
        <v>0</v>
      </c>
      <c r="H813" s="8">
        <f>SUMIFS('HOJAS DE HORA PROY.'!$F$2:$F$943,'HOJAS DE HORA PROY.'!$A$2:$A$943,'PLAN MAESTRO FINAL'!$A813,'HOJAS DE HORA PROY.'!$M$2:$M$943,H$113)</f>
        <v>0</v>
      </c>
      <c r="I813" s="8">
        <f>SUMIFS('HOJAS DE HORA PROY.'!$F$2:$F$943,'HOJAS DE HORA PROY.'!$A$2:$A$943,'PLAN MAESTRO FINAL'!$A813,'HOJAS DE HORA PROY.'!$M$2:$M$943,I$113)</f>
        <v>0</v>
      </c>
      <c r="J813" s="8">
        <f>SUMIFS('HOJAS DE HORA PROY.'!$F$2:$F$943,'HOJAS DE HORA PROY.'!$A$2:$A$943,'PLAN MAESTRO FINAL'!$A813,'HOJAS DE HORA PROY.'!$M$2:$M$943,J$113)</f>
        <v>0</v>
      </c>
      <c r="K813" s="8">
        <f>SUMIFS('HOJAS DE HORA PROY.'!$F$2:$F$943,'HOJAS DE HORA PROY.'!$A$2:$A$943,'PLAN MAESTRO FINAL'!$A813,'HOJAS DE HORA PROY.'!$M$2:$M$943,K$113)</f>
        <v>0</v>
      </c>
      <c r="L813" s="8">
        <f>SUMIFS('HOJAS DE HORA PROY.'!$F$2:$F$943,'HOJAS DE HORA PROY.'!$A$2:$A$943,'PLAN MAESTRO FINAL'!$A813,'HOJAS DE HORA PROY.'!$M$2:$M$943,L$113)</f>
        <v>0</v>
      </c>
      <c r="M813" s="8">
        <f>SUMIFS('HOJAS DE HORA PROY.'!$F$2:$F$943,'HOJAS DE HORA PROY.'!$A$2:$A$943,'PLAN MAESTRO FINAL'!$A813,'HOJAS DE HORA PROY.'!$M$2:$M$943,M$113)</f>
        <v>0</v>
      </c>
      <c r="N813" s="8">
        <f>SUMIFS('HOJAS DE HORA PROY.'!$F$2:$F$943,'HOJAS DE HORA PROY.'!$A$2:$A$943,'PLAN MAESTRO FINAL'!$A813,'HOJAS DE HORA PROY.'!$M$2:$M$943,N$113)</f>
        <v>0</v>
      </c>
      <c r="O813" s="8">
        <f>SUMIFS('HOJAS DE HORA PROY.'!$F$2:$F$943,'HOJAS DE HORA PROY.'!$A$2:$A$943,'PLAN MAESTRO FINAL'!$A813,'HOJAS DE HORA PROY.'!$M$2:$M$943,O$113)</f>
        <v>0</v>
      </c>
      <c r="P813" s="8">
        <f>SUMIFS('HOJAS DE HORA PROY.'!$F$2:$F$943,'HOJAS DE HORA PROY.'!$A$2:$A$943,'PLAN MAESTRO FINAL'!$A813,'HOJAS DE HORA PROY.'!$M$2:$M$943,P$113)</f>
        <v>0</v>
      </c>
      <c r="Q813" s="8">
        <f>SUMIFS('HOJAS DE HORA PROY.'!$F$2:$F$943,'HOJAS DE HORA PROY.'!$A$2:$A$943,'PLAN MAESTRO FINAL'!$A813,'HOJAS DE HORA PROY.'!$M$2:$M$943,Q$113)</f>
        <v>0</v>
      </c>
      <c r="R813" s="8">
        <f>SUMIFS('HOJAS DE HORA PROY.'!$F$2:$F$943,'HOJAS DE HORA PROY.'!$A$2:$A$943,'PLAN MAESTRO FINAL'!$A813,'HOJAS DE HORA PROY.'!$M$2:$M$943,R$113)</f>
        <v>0</v>
      </c>
      <c r="S813" s="8">
        <f>SUMIFS('HOJAS DE HORA PROY.'!$F$2:$F$943,'HOJAS DE HORA PROY.'!$A$2:$A$943,'PLAN MAESTRO FINAL'!$A813,'HOJAS DE HORA PROY.'!$M$2:$M$943,S$113)</f>
        <v>0</v>
      </c>
      <c r="T813" s="8">
        <f>SUMIFS('HOJAS DE HORA PROY.'!$F$2:$F$943,'HOJAS DE HORA PROY.'!$A$2:$A$943,'PLAN MAESTRO FINAL'!$A813,'HOJAS DE HORA PROY.'!$M$2:$M$943,T$113)</f>
        <v>0</v>
      </c>
      <c r="U813" s="8">
        <f>SUMIFS('HOJAS DE HORA PROY.'!$F$2:$F$943,'HOJAS DE HORA PROY.'!$A$2:$A$943,'PLAN MAESTRO FINAL'!$A813,'HOJAS DE HORA PROY.'!$M$2:$M$943,U$113)</f>
        <v>0</v>
      </c>
      <c r="V813" s="8">
        <f>SUMIFS('HOJAS DE HORA PROY.'!$F$2:$F$943,'HOJAS DE HORA PROY.'!$A$2:$A$943,'PLAN MAESTRO FINAL'!$A813,'HOJAS DE HORA PROY.'!$M$2:$M$943,V$113)</f>
        <v>0</v>
      </c>
      <c r="W813" s="8">
        <f>SUMIFS('HOJAS DE HORA PROY.'!$F$2:$F$943,'HOJAS DE HORA PROY.'!$A$2:$A$943,'PLAN MAESTRO FINAL'!$A813,'HOJAS DE HORA PROY.'!$M$2:$M$943,W$113)</f>
        <v>0</v>
      </c>
    </row>
    <row r="814" spans="1:23" hidden="1" outlineLevel="1" x14ac:dyDescent="0.3">
      <c r="A814" s="13" t="s">
        <v>216</v>
      </c>
      <c r="B814" s="8">
        <f>SUMIFS('HOJAS DE HORA PROY.'!$F$2:$F$943,'HOJAS DE HORA PROY.'!$A$2:$A$943,'PLAN MAESTRO FINAL'!$A814,'HOJAS DE HORA PROY.'!$M$2:$M$943,B$113)</f>
        <v>0</v>
      </c>
      <c r="C814" s="8">
        <f>SUMIFS('HOJAS DE HORA PROY.'!$F$2:$F$943,'HOJAS DE HORA PROY.'!$A$2:$A$943,'PLAN MAESTRO FINAL'!$A814,'HOJAS DE HORA PROY.'!$M$2:$M$943,C$113)</f>
        <v>0</v>
      </c>
      <c r="D814" s="8">
        <f>SUMIFS('HOJAS DE HORA PROY.'!$F$2:$F$943,'HOJAS DE HORA PROY.'!$A$2:$A$943,'PLAN MAESTRO FINAL'!$A814,'HOJAS DE HORA PROY.'!$M$2:$M$943,D$113)</f>
        <v>0</v>
      </c>
      <c r="E814" s="8">
        <f>SUMIFS('HOJAS DE HORA PROY.'!$F$2:$F$943,'HOJAS DE HORA PROY.'!$A$2:$A$943,'PLAN MAESTRO FINAL'!$A814,'HOJAS DE HORA PROY.'!$M$2:$M$943,E$113)</f>
        <v>0</v>
      </c>
      <c r="F814" s="8">
        <f>SUMIFS('HOJAS DE HORA PROY.'!$F$2:$F$943,'HOJAS DE HORA PROY.'!$A$2:$A$943,'PLAN MAESTRO FINAL'!$A814,'HOJAS DE HORA PROY.'!$M$2:$M$943,F$113)</f>
        <v>0</v>
      </c>
      <c r="G814" s="8">
        <f>SUMIFS('HOJAS DE HORA PROY.'!$F$2:$F$943,'HOJAS DE HORA PROY.'!$A$2:$A$943,'PLAN MAESTRO FINAL'!$A814,'HOJAS DE HORA PROY.'!$M$2:$M$943,G$113)</f>
        <v>0</v>
      </c>
      <c r="H814" s="8">
        <f>SUMIFS('HOJAS DE HORA PROY.'!$F$2:$F$943,'HOJAS DE HORA PROY.'!$A$2:$A$943,'PLAN MAESTRO FINAL'!$A814,'HOJAS DE HORA PROY.'!$M$2:$M$943,H$113)</f>
        <v>0</v>
      </c>
      <c r="I814" s="8">
        <f>SUMIFS('HOJAS DE HORA PROY.'!$F$2:$F$943,'HOJAS DE HORA PROY.'!$A$2:$A$943,'PLAN MAESTRO FINAL'!$A814,'HOJAS DE HORA PROY.'!$M$2:$M$943,I$113)</f>
        <v>0</v>
      </c>
      <c r="J814" s="8">
        <f>SUMIFS('HOJAS DE HORA PROY.'!$F$2:$F$943,'HOJAS DE HORA PROY.'!$A$2:$A$943,'PLAN MAESTRO FINAL'!$A814,'HOJAS DE HORA PROY.'!$M$2:$M$943,J$113)</f>
        <v>0</v>
      </c>
      <c r="K814" s="8">
        <f>SUMIFS('HOJAS DE HORA PROY.'!$F$2:$F$943,'HOJAS DE HORA PROY.'!$A$2:$A$943,'PLAN MAESTRO FINAL'!$A814,'HOJAS DE HORA PROY.'!$M$2:$M$943,K$113)</f>
        <v>0</v>
      </c>
      <c r="L814" s="8">
        <f>SUMIFS('HOJAS DE HORA PROY.'!$F$2:$F$943,'HOJAS DE HORA PROY.'!$A$2:$A$943,'PLAN MAESTRO FINAL'!$A814,'HOJAS DE HORA PROY.'!$M$2:$M$943,L$113)</f>
        <v>0</v>
      </c>
      <c r="M814" s="8">
        <f>SUMIFS('HOJAS DE HORA PROY.'!$F$2:$F$943,'HOJAS DE HORA PROY.'!$A$2:$A$943,'PLAN MAESTRO FINAL'!$A814,'HOJAS DE HORA PROY.'!$M$2:$M$943,M$113)</f>
        <v>0</v>
      </c>
      <c r="N814" s="8">
        <f>SUMIFS('HOJAS DE HORA PROY.'!$F$2:$F$943,'HOJAS DE HORA PROY.'!$A$2:$A$943,'PLAN MAESTRO FINAL'!$A814,'HOJAS DE HORA PROY.'!$M$2:$M$943,N$113)</f>
        <v>0</v>
      </c>
      <c r="O814" s="8">
        <f>SUMIFS('HOJAS DE HORA PROY.'!$F$2:$F$943,'HOJAS DE HORA PROY.'!$A$2:$A$943,'PLAN MAESTRO FINAL'!$A814,'HOJAS DE HORA PROY.'!$M$2:$M$943,O$113)</f>
        <v>0</v>
      </c>
      <c r="P814" s="8">
        <f>SUMIFS('HOJAS DE HORA PROY.'!$F$2:$F$943,'HOJAS DE HORA PROY.'!$A$2:$A$943,'PLAN MAESTRO FINAL'!$A814,'HOJAS DE HORA PROY.'!$M$2:$M$943,P$113)</f>
        <v>0</v>
      </c>
      <c r="Q814" s="8">
        <f>SUMIFS('HOJAS DE HORA PROY.'!$F$2:$F$943,'HOJAS DE HORA PROY.'!$A$2:$A$943,'PLAN MAESTRO FINAL'!$A814,'HOJAS DE HORA PROY.'!$M$2:$M$943,Q$113)</f>
        <v>0</v>
      </c>
      <c r="R814" s="8">
        <f>SUMIFS('HOJAS DE HORA PROY.'!$F$2:$F$943,'HOJAS DE HORA PROY.'!$A$2:$A$943,'PLAN MAESTRO FINAL'!$A814,'HOJAS DE HORA PROY.'!$M$2:$M$943,R$113)</f>
        <v>0</v>
      </c>
      <c r="S814" s="8">
        <f>SUMIFS('HOJAS DE HORA PROY.'!$F$2:$F$943,'HOJAS DE HORA PROY.'!$A$2:$A$943,'PLAN MAESTRO FINAL'!$A814,'HOJAS DE HORA PROY.'!$M$2:$M$943,S$113)</f>
        <v>0</v>
      </c>
      <c r="T814" s="8">
        <f>SUMIFS('HOJAS DE HORA PROY.'!$F$2:$F$943,'HOJAS DE HORA PROY.'!$A$2:$A$943,'PLAN MAESTRO FINAL'!$A814,'HOJAS DE HORA PROY.'!$M$2:$M$943,T$113)</f>
        <v>0</v>
      </c>
      <c r="U814" s="8">
        <f>SUMIFS('HOJAS DE HORA PROY.'!$F$2:$F$943,'HOJAS DE HORA PROY.'!$A$2:$A$943,'PLAN MAESTRO FINAL'!$A814,'HOJAS DE HORA PROY.'!$M$2:$M$943,U$113)</f>
        <v>0</v>
      </c>
      <c r="V814" s="8">
        <f>SUMIFS('HOJAS DE HORA PROY.'!$F$2:$F$943,'HOJAS DE HORA PROY.'!$A$2:$A$943,'PLAN MAESTRO FINAL'!$A814,'HOJAS DE HORA PROY.'!$M$2:$M$943,V$113)</f>
        <v>0</v>
      </c>
      <c r="W814" s="8">
        <f>SUMIFS('HOJAS DE HORA PROY.'!$F$2:$F$943,'HOJAS DE HORA PROY.'!$A$2:$A$943,'PLAN MAESTRO FINAL'!$A814,'HOJAS DE HORA PROY.'!$M$2:$M$943,W$113)</f>
        <v>0</v>
      </c>
    </row>
    <row r="815" spans="1:23" hidden="1" outlineLevel="1" x14ac:dyDescent="0.3">
      <c r="A815" s="13" t="s">
        <v>217</v>
      </c>
      <c r="B815" s="8">
        <f>SUMIFS('HOJAS DE HORA PROY.'!$F$2:$F$943,'HOJAS DE HORA PROY.'!$A$2:$A$943,'PLAN MAESTRO FINAL'!$A815,'HOJAS DE HORA PROY.'!$M$2:$M$943,B$113)</f>
        <v>0</v>
      </c>
      <c r="C815" s="8">
        <f>SUMIFS('HOJAS DE HORA PROY.'!$F$2:$F$943,'HOJAS DE HORA PROY.'!$A$2:$A$943,'PLAN MAESTRO FINAL'!$A815,'HOJAS DE HORA PROY.'!$M$2:$M$943,C$113)</f>
        <v>0</v>
      </c>
      <c r="D815" s="8">
        <f>SUMIFS('HOJAS DE HORA PROY.'!$F$2:$F$943,'HOJAS DE HORA PROY.'!$A$2:$A$943,'PLAN MAESTRO FINAL'!$A815,'HOJAS DE HORA PROY.'!$M$2:$M$943,D$113)</f>
        <v>0</v>
      </c>
      <c r="E815" s="8">
        <f>SUMIFS('HOJAS DE HORA PROY.'!$F$2:$F$943,'HOJAS DE HORA PROY.'!$A$2:$A$943,'PLAN MAESTRO FINAL'!$A815,'HOJAS DE HORA PROY.'!$M$2:$M$943,E$113)</f>
        <v>0</v>
      </c>
      <c r="F815" s="8">
        <f>SUMIFS('HOJAS DE HORA PROY.'!$F$2:$F$943,'HOJAS DE HORA PROY.'!$A$2:$A$943,'PLAN MAESTRO FINAL'!$A815,'HOJAS DE HORA PROY.'!$M$2:$M$943,F$113)</f>
        <v>0</v>
      </c>
      <c r="G815" s="8">
        <f>SUMIFS('HOJAS DE HORA PROY.'!$F$2:$F$943,'HOJAS DE HORA PROY.'!$A$2:$A$943,'PLAN MAESTRO FINAL'!$A815,'HOJAS DE HORA PROY.'!$M$2:$M$943,G$113)</f>
        <v>13</v>
      </c>
      <c r="H815" s="8">
        <f>SUMIFS('HOJAS DE HORA PROY.'!$F$2:$F$943,'HOJAS DE HORA PROY.'!$A$2:$A$943,'PLAN MAESTRO FINAL'!$A815,'HOJAS DE HORA PROY.'!$M$2:$M$943,H$113)</f>
        <v>0</v>
      </c>
      <c r="I815" s="8">
        <f>SUMIFS('HOJAS DE HORA PROY.'!$F$2:$F$943,'HOJAS DE HORA PROY.'!$A$2:$A$943,'PLAN MAESTRO FINAL'!$A815,'HOJAS DE HORA PROY.'!$M$2:$M$943,I$113)</f>
        <v>0</v>
      </c>
      <c r="J815" s="8">
        <f>SUMIFS('HOJAS DE HORA PROY.'!$F$2:$F$943,'HOJAS DE HORA PROY.'!$A$2:$A$943,'PLAN MAESTRO FINAL'!$A815,'HOJAS DE HORA PROY.'!$M$2:$M$943,J$113)</f>
        <v>0</v>
      </c>
      <c r="K815" s="8">
        <f>SUMIFS('HOJAS DE HORA PROY.'!$F$2:$F$943,'HOJAS DE HORA PROY.'!$A$2:$A$943,'PLAN MAESTRO FINAL'!$A815,'HOJAS DE HORA PROY.'!$M$2:$M$943,K$113)</f>
        <v>0</v>
      </c>
      <c r="L815" s="8">
        <f>SUMIFS('HOJAS DE HORA PROY.'!$F$2:$F$943,'HOJAS DE HORA PROY.'!$A$2:$A$943,'PLAN MAESTRO FINAL'!$A815,'HOJAS DE HORA PROY.'!$M$2:$M$943,L$113)</f>
        <v>0</v>
      </c>
      <c r="M815" s="8">
        <f>SUMIFS('HOJAS DE HORA PROY.'!$F$2:$F$943,'HOJAS DE HORA PROY.'!$A$2:$A$943,'PLAN MAESTRO FINAL'!$A815,'HOJAS DE HORA PROY.'!$M$2:$M$943,M$113)</f>
        <v>0</v>
      </c>
      <c r="N815" s="8">
        <f>SUMIFS('HOJAS DE HORA PROY.'!$F$2:$F$943,'HOJAS DE HORA PROY.'!$A$2:$A$943,'PLAN MAESTRO FINAL'!$A815,'HOJAS DE HORA PROY.'!$M$2:$M$943,N$113)</f>
        <v>0</v>
      </c>
      <c r="O815" s="8">
        <f>SUMIFS('HOJAS DE HORA PROY.'!$F$2:$F$943,'HOJAS DE HORA PROY.'!$A$2:$A$943,'PLAN MAESTRO FINAL'!$A815,'HOJAS DE HORA PROY.'!$M$2:$M$943,O$113)</f>
        <v>0</v>
      </c>
      <c r="P815" s="8">
        <f>SUMIFS('HOJAS DE HORA PROY.'!$F$2:$F$943,'HOJAS DE HORA PROY.'!$A$2:$A$943,'PLAN MAESTRO FINAL'!$A815,'HOJAS DE HORA PROY.'!$M$2:$M$943,P$113)</f>
        <v>0</v>
      </c>
      <c r="Q815" s="8">
        <f>SUMIFS('HOJAS DE HORA PROY.'!$F$2:$F$943,'HOJAS DE HORA PROY.'!$A$2:$A$943,'PLAN MAESTRO FINAL'!$A815,'HOJAS DE HORA PROY.'!$M$2:$M$943,Q$113)</f>
        <v>0</v>
      </c>
      <c r="R815" s="8">
        <f>SUMIFS('HOJAS DE HORA PROY.'!$F$2:$F$943,'HOJAS DE HORA PROY.'!$A$2:$A$943,'PLAN MAESTRO FINAL'!$A815,'HOJAS DE HORA PROY.'!$M$2:$M$943,R$113)</f>
        <v>0</v>
      </c>
      <c r="S815" s="8">
        <f>SUMIFS('HOJAS DE HORA PROY.'!$F$2:$F$943,'HOJAS DE HORA PROY.'!$A$2:$A$943,'PLAN MAESTRO FINAL'!$A815,'HOJAS DE HORA PROY.'!$M$2:$M$943,S$113)</f>
        <v>0</v>
      </c>
      <c r="T815" s="8">
        <f>SUMIFS('HOJAS DE HORA PROY.'!$F$2:$F$943,'HOJAS DE HORA PROY.'!$A$2:$A$943,'PLAN MAESTRO FINAL'!$A815,'HOJAS DE HORA PROY.'!$M$2:$M$943,T$113)</f>
        <v>0</v>
      </c>
      <c r="U815" s="8">
        <f>SUMIFS('HOJAS DE HORA PROY.'!$F$2:$F$943,'HOJAS DE HORA PROY.'!$A$2:$A$943,'PLAN MAESTRO FINAL'!$A815,'HOJAS DE HORA PROY.'!$M$2:$M$943,U$113)</f>
        <v>0</v>
      </c>
      <c r="V815" s="8">
        <f>SUMIFS('HOJAS DE HORA PROY.'!$F$2:$F$943,'HOJAS DE HORA PROY.'!$A$2:$A$943,'PLAN MAESTRO FINAL'!$A815,'HOJAS DE HORA PROY.'!$M$2:$M$943,V$113)</f>
        <v>0</v>
      </c>
      <c r="W815" s="8">
        <f>SUMIFS('HOJAS DE HORA PROY.'!$F$2:$F$943,'HOJAS DE HORA PROY.'!$A$2:$A$943,'PLAN MAESTRO FINAL'!$A815,'HOJAS DE HORA PROY.'!$M$2:$M$943,W$113)</f>
        <v>0</v>
      </c>
    </row>
    <row r="816" spans="1:23" hidden="1" outlineLevel="1" x14ac:dyDescent="0.3">
      <c r="A816" s="13" t="s">
        <v>231</v>
      </c>
      <c r="B816" s="8">
        <f>SUMIFS('HOJAS DE HORA PROY.'!$F$2:$F$943,'HOJAS DE HORA PROY.'!$A$2:$A$943,'PLAN MAESTRO FINAL'!$A816,'HOJAS DE HORA PROY.'!$M$2:$M$943,B$113)</f>
        <v>0</v>
      </c>
      <c r="C816" s="8">
        <f>SUMIFS('HOJAS DE HORA PROY.'!$F$2:$F$943,'HOJAS DE HORA PROY.'!$A$2:$A$943,'PLAN MAESTRO FINAL'!$A816,'HOJAS DE HORA PROY.'!$M$2:$M$943,C$113)</f>
        <v>0</v>
      </c>
      <c r="D816" s="8">
        <f>SUMIFS('HOJAS DE HORA PROY.'!$F$2:$F$943,'HOJAS DE HORA PROY.'!$A$2:$A$943,'PLAN MAESTRO FINAL'!$A816,'HOJAS DE HORA PROY.'!$M$2:$M$943,D$113)</f>
        <v>0</v>
      </c>
      <c r="E816" s="8">
        <f>SUMIFS('HOJAS DE HORA PROY.'!$F$2:$F$943,'HOJAS DE HORA PROY.'!$A$2:$A$943,'PLAN MAESTRO FINAL'!$A816,'HOJAS DE HORA PROY.'!$M$2:$M$943,E$113)</f>
        <v>0</v>
      </c>
      <c r="F816" s="8">
        <f>SUMIFS('HOJAS DE HORA PROY.'!$F$2:$F$943,'HOJAS DE HORA PROY.'!$A$2:$A$943,'PLAN MAESTRO FINAL'!$A816,'HOJAS DE HORA PROY.'!$M$2:$M$943,F$113)</f>
        <v>0</v>
      </c>
      <c r="G816" s="8">
        <f>SUMIFS('HOJAS DE HORA PROY.'!$F$2:$F$943,'HOJAS DE HORA PROY.'!$A$2:$A$943,'PLAN MAESTRO FINAL'!$A816,'HOJAS DE HORA PROY.'!$M$2:$M$943,G$113)</f>
        <v>2</v>
      </c>
      <c r="H816" s="8">
        <f>SUMIFS('HOJAS DE HORA PROY.'!$F$2:$F$943,'HOJAS DE HORA PROY.'!$A$2:$A$943,'PLAN MAESTRO FINAL'!$A816,'HOJAS DE HORA PROY.'!$M$2:$M$943,H$113)</f>
        <v>0</v>
      </c>
      <c r="I816" s="8">
        <f>SUMIFS('HOJAS DE HORA PROY.'!$F$2:$F$943,'HOJAS DE HORA PROY.'!$A$2:$A$943,'PLAN MAESTRO FINAL'!$A816,'HOJAS DE HORA PROY.'!$M$2:$M$943,I$113)</f>
        <v>0</v>
      </c>
      <c r="J816" s="8">
        <f>SUMIFS('HOJAS DE HORA PROY.'!$F$2:$F$943,'HOJAS DE HORA PROY.'!$A$2:$A$943,'PLAN MAESTRO FINAL'!$A816,'HOJAS DE HORA PROY.'!$M$2:$M$943,J$113)</f>
        <v>0</v>
      </c>
      <c r="K816" s="8">
        <f>SUMIFS('HOJAS DE HORA PROY.'!$F$2:$F$943,'HOJAS DE HORA PROY.'!$A$2:$A$943,'PLAN MAESTRO FINAL'!$A816,'HOJAS DE HORA PROY.'!$M$2:$M$943,K$113)</f>
        <v>0</v>
      </c>
      <c r="L816" s="8">
        <f>SUMIFS('HOJAS DE HORA PROY.'!$F$2:$F$943,'HOJAS DE HORA PROY.'!$A$2:$A$943,'PLAN MAESTRO FINAL'!$A816,'HOJAS DE HORA PROY.'!$M$2:$M$943,L$113)</f>
        <v>0</v>
      </c>
      <c r="M816" s="8">
        <f>SUMIFS('HOJAS DE HORA PROY.'!$F$2:$F$943,'HOJAS DE HORA PROY.'!$A$2:$A$943,'PLAN MAESTRO FINAL'!$A816,'HOJAS DE HORA PROY.'!$M$2:$M$943,M$113)</f>
        <v>0</v>
      </c>
      <c r="N816" s="8">
        <f>SUMIFS('HOJAS DE HORA PROY.'!$F$2:$F$943,'HOJAS DE HORA PROY.'!$A$2:$A$943,'PLAN MAESTRO FINAL'!$A816,'HOJAS DE HORA PROY.'!$M$2:$M$943,N$113)</f>
        <v>0</v>
      </c>
      <c r="O816" s="8">
        <f>SUMIFS('HOJAS DE HORA PROY.'!$F$2:$F$943,'HOJAS DE HORA PROY.'!$A$2:$A$943,'PLAN MAESTRO FINAL'!$A816,'HOJAS DE HORA PROY.'!$M$2:$M$943,O$113)</f>
        <v>0</v>
      </c>
      <c r="P816" s="8">
        <f>SUMIFS('HOJAS DE HORA PROY.'!$F$2:$F$943,'HOJAS DE HORA PROY.'!$A$2:$A$943,'PLAN MAESTRO FINAL'!$A816,'HOJAS DE HORA PROY.'!$M$2:$M$943,P$113)</f>
        <v>0</v>
      </c>
      <c r="Q816" s="8">
        <f>SUMIFS('HOJAS DE HORA PROY.'!$F$2:$F$943,'HOJAS DE HORA PROY.'!$A$2:$A$943,'PLAN MAESTRO FINAL'!$A816,'HOJAS DE HORA PROY.'!$M$2:$M$943,Q$113)</f>
        <v>0</v>
      </c>
      <c r="R816" s="8">
        <f>SUMIFS('HOJAS DE HORA PROY.'!$F$2:$F$943,'HOJAS DE HORA PROY.'!$A$2:$A$943,'PLAN MAESTRO FINAL'!$A816,'HOJAS DE HORA PROY.'!$M$2:$M$943,R$113)</f>
        <v>0</v>
      </c>
      <c r="S816" s="8">
        <f>SUMIFS('HOJAS DE HORA PROY.'!$F$2:$F$943,'HOJAS DE HORA PROY.'!$A$2:$A$943,'PLAN MAESTRO FINAL'!$A816,'HOJAS DE HORA PROY.'!$M$2:$M$943,S$113)</f>
        <v>0</v>
      </c>
      <c r="T816" s="8">
        <f>SUMIFS('HOJAS DE HORA PROY.'!$F$2:$F$943,'HOJAS DE HORA PROY.'!$A$2:$A$943,'PLAN MAESTRO FINAL'!$A816,'HOJAS DE HORA PROY.'!$M$2:$M$943,T$113)</f>
        <v>0</v>
      </c>
      <c r="U816" s="8">
        <f>SUMIFS('HOJAS DE HORA PROY.'!$F$2:$F$943,'HOJAS DE HORA PROY.'!$A$2:$A$943,'PLAN MAESTRO FINAL'!$A816,'HOJAS DE HORA PROY.'!$M$2:$M$943,U$113)</f>
        <v>0</v>
      </c>
      <c r="V816" s="8">
        <f>SUMIFS('HOJAS DE HORA PROY.'!$F$2:$F$943,'HOJAS DE HORA PROY.'!$A$2:$A$943,'PLAN MAESTRO FINAL'!$A816,'HOJAS DE HORA PROY.'!$M$2:$M$943,V$113)</f>
        <v>0</v>
      </c>
      <c r="W816" s="8">
        <f>SUMIFS('HOJAS DE HORA PROY.'!$F$2:$F$943,'HOJAS DE HORA PROY.'!$A$2:$A$943,'PLAN MAESTRO FINAL'!$A816,'HOJAS DE HORA PROY.'!$M$2:$M$943,W$113)</f>
        <v>0</v>
      </c>
    </row>
    <row r="817" spans="1:23" hidden="1" outlineLevel="1" x14ac:dyDescent="0.3">
      <c r="A817" s="13" t="s">
        <v>245</v>
      </c>
      <c r="B817" s="8">
        <f>SUMIFS('HOJAS DE HORA PROY.'!$F$2:$F$943,'HOJAS DE HORA PROY.'!$A$2:$A$943,'PLAN MAESTRO FINAL'!$A817,'HOJAS DE HORA PROY.'!$M$2:$M$943,B$113)</f>
        <v>0</v>
      </c>
      <c r="C817" s="8">
        <f>SUMIFS('HOJAS DE HORA PROY.'!$F$2:$F$943,'HOJAS DE HORA PROY.'!$A$2:$A$943,'PLAN MAESTRO FINAL'!$A817,'HOJAS DE HORA PROY.'!$M$2:$M$943,C$113)</f>
        <v>0</v>
      </c>
      <c r="D817" s="8">
        <f>SUMIFS('HOJAS DE HORA PROY.'!$F$2:$F$943,'HOJAS DE HORA PROY.'!$A$2:$A$943,'PLAN MAESTRO FINAL'!$A817,'HOJAS DE HORA PROY.'!$M$2:$M$943,D$113)</f>
        <v>0</v>
      </c>
      <c r="E817" s="8">
        <f>SUMIFS('HOJAS DE HORA PROY.'!$F$2:$F$943,'HOJAS DE HORA PROY.'!$A$2:$A$943,'PLAN MAESTRO FINAL'!$A817,'HOJAS DE HORA PROY.'!$M$2:$M$943,E$113)</f>
        <v>0</v>
      </c>
      <c r="F817" s="8">
        <f>SUMIFS('HOJAS DE HORA PROY.'!$F$2:$F$943,'HOJAS DE HORA PROY.'!$A$2:$A$943,'PLAN MAESTRO FINAL'!$A817,'HOJAS DE HORA PROY.'!$M$2:$M$943,F$113)</f>
        <v>0</v>
      </c>
      <c r="G817" s="8">
        <f>SUMIFS('HOJAS DE HORA PROY.'!$F$2:$F$943,'HOJAS DE HORA PROY.'!$A$2:$A$943,'PLAN MAESTRO FINAL'!$A817,'HOJAS DE HORA PROY.'!$M$2:$M$943,G$113)</f>
        <v>0</v>
      </c>
      <c r="H817" s="8">
        <f>SUMIFS('HOJAS DE HORA PROY.'!$F$2:$F$943,'HOJAS DE HORA PROY.'!$A$2:$A$943,'PLAN MAESTRO FINAL'!$A817,'HOJAS DE HORA PROY.'!$M$2:$M$943,H$113)</f>
        <v>0</v>
      </c>
      <c r="I817" s="8">
        <f>SUMIFS('HOJAS DE HORA PROY.'!$F$2:$F$943,'HOJAS DE HORA PROY.'!$A$2:$A$943,'PLAN MAESTRO FINAL'!$A817,'HOJAS DE HORA PROY.'!$M$2:$M$943,I$113)</f>
        <v>0</v>
      </c>
      <c r="J817" s="8">
        <f>SUMIFS('HOJAS DE HORA PROY.'!$F$2:$F$943,'HOJAS DE HORA PROY.'!$A$2:$A$943,'PLAN MAESTRO FINAL'!$A817,'HOJAS DE HORA PROY.'!$M$2:$M$943,J$113)</f>
        <v>0</v>
      </c>
      <c r="K817" s="8">
        <f>SUMIFS('HOJAS DE HORA PROY.'!$F$2:$F$943,'HOJAS DE HORA PROY.'!$A$2:$A$943,'PLAN MAESTRO FINAL'!$A817,'HOJAS DE HORA PROY.'!$M$2:$M$943,K$113)</f>
        <v>0</v>
      </c>
      <c r="L817" s="8">
        <f>SUMIFS('HOJAS DE HORA PROY.'!$F$2:$F$943,'HOJAS DE HORA PROY.'!$A$2:$A$943,'PLAN MAESTRO FINAL'!$A817,'HOJAS DE HORA PROY.'!$M$2:$M$943,L$113)</f>
        <v>0</v>
      </c>
      <c r="M817" s="8">
        <f>SUMIFS('HOJAS DE HORA PROY.'!$F$2:$F$943,'HOJAS DE HORA PROY.'!$A$2:$A$943,'PLAN MAESTRO FINAL'!$A817,'HOJAS DE HORA PROY.'!$M$2:$M$943,M$113)</f>
        <v>0</v>
      </c>
      <c r="N817" s="8">
        <f>SUMIFS('HOJAS DE HORA PROY.'!$F$2:$F$943,'HOJAS DE HORA PROY.'!$A$2:$A$943,'PLAN MAESTRO FINAL'!$A817,'HOJAS DE HORA PROY.'!$M$2:$M$943,N$113)</f>
        <v>0</v>
      </c>
      <c r="O817" s="8">
        <f>SUMIFS('HOJAS DE HORA PROY.'!$F$2:$F$943,'HOJAS DE HORA PROY.'!$A$2:$A$943,'PLAN MAESTRO FINAL'!$A817,'HOJAS DE HORA PROY.'!$M$2:$M$943,O$113)</f>
        <v>0</v>
      </c>
      <c r="P817" s="8">
        <f>SUMIFS('HOJAS DE HORA PROY.'!$F$2:$F$943,'HOJAS DE HORA PROY.'!$A$2:$A$943,'PLAN MAESTRO FINAL'!$A817,'HOJAS DE HORA PROY.'!$M$2:$M$943,P$113)</f>
        <v>0</v>
      </c>
      <c r="Q817" s="8">
        <f>SUMIFS('HOJAS DE HORA PROY.'!$F$2:$F$943,'HOJAS DE HORA PROY.'!$A$2:$A$943,'PLAN MAESTRO FINAL'!$A817,'HOJAS DE HORA PROY.'!$M$2:$M$943,Q$113)</f>
        <v>0</v>
      </c>
      <c r="R817" s="8">
        <f>SUMIFS('HOJAS DE HORA PROY.'!$F$2:$F$943,'HOJAS DE HORA PROY.'!$A$2:$A$943,'PLAN MAESTRO FINAL'!$A817,'HOJAS DE HORA PROY.'!$M$2:$M$943,R$113)</f>
        <v>0</v>
      </c>
      <c r="S817" s="8">
        <f>SUMIFS('HOJAS DE HORA PROY.'!$F$2:$F$943,'HOJAS DE HORA PROY.'!$A$2:$A$943,'PLAN MAESTRO FINAL'!$A817,'HOJAS DE HORA PROY.'!$M$2:$M$943,S$113)</f>
        <v>0</v>
      </c>
      <c r="T817" s="8">
        <f>SUMIFS('HOJAS DE HORA PROY.'!$F$2:$F$943,'HOJAS DE HORA PROY.'!$A$2:$A$943,'PLAN MAESTRO FINAL'!$A817,'HOJAS DE HORA PROY.'!$M$2:$M$943,T$113)</f>
        <v>0</v>
      </c>
      <c r="U817" s="8">
        <f>SUMIFS('HOJAS DE HORA PROY.'!$F$2:$F$943,'HOJAS DE HORA PROY.'!$A$2:$A$943,'PLAN MAESTRO FINAL'!$A817,'HOJAS DE HORA PROY.'!$M$2:$M$943,U$113)</f>
        <v>0</v>
      </c>
      <c r="V817" s="8">
        <f>SUMIFS('HOJAS DE HORA PROY.'!$F$2:$F$943,'HOJAS DE HORA PROY.'!$A$2:$A$943,'PLAN MAESTRO FINAL'!$A817,'HOJAS DE HORA PROY.'!$M$2:$M$943,V$113)</f>
        <v>0</v>
      </c>
      <c r="W817" s="8">
        <f>SUMIFS('HOJAS DE HORA PROY.'!$F$2:$F$943,'HOJAS DE HORA PROY.'!$A$2:$A$943,'PLAN MAESTRO FINAL'!$A817,'HOJAS DE HORA PROY.'!$M$2:$M$943,W$113)</f>
        <v>0</v>
      </c>
    </row>
    <row r="818" spans="1:23" hidden="1" outlineLevel="1" x14ac:dyDescent="0.3">
      <c r="A818" s="13" t="s">
        <v>262</v>
      </c>
      <c r="B818" s="8">
        <f>SUMIFS('HOJAS DE HORA PROY.'!$F$2:$F$943,'HOJAS DE HORA PROY.'!$A$2:$A$943,'PLAN MAESTRO FINAL'!$A818,'HOJAS DE HORA PROY.'!$M$2:$M$943,B$113)</f>
        <v>0</v>
      </c>
      <c r="C818" s="8">
        <f>SUMIFS('HOJAS DE HORA PROY.'!$F$2:$F$943,'HOJAS DE HORA PROY.'!$A$2:$A$943,'PLAN MAESTRO FINAL'!$A818,'HOJAS DE HORA PROY.'!$M$2:$M$943,C$113)</f>
        <v>0</v>
      </c>
      <c r="D818" s="8">
        <f>SUMIFS('HOJAS DE HORA PROY.'!$F$2:$F$943,'HOJAS DE HORA PROY.'!$A$2:$A$943,'PLAN MAESTRO FINAL'!$A818,'HOJAS DE HORA PROY.'!$M$2:$M$943,D$113)</f>
        <v>0</v>
      </c>
      <c r="E818" s="8">
        <f>SUMIFS('HOJAS DE HORA PROY.'!$F$2:$F$943,'HOJAS DE HORA PROY.'!$A$2:$A$943,'PLAN MAESTRO FINAL'!$A818,'HOJAS DE HORA PROY.'!$M$2:$M$943,E$113)</f>
        <v>0</v>
      </c>
      <c r="F818" s="8">
        <f>SUMIFS('HOJAS DE HORA PROY.'!$F$2:$F$943,'HOJAS DE HORA PROY.'!$A$2:$A$943,'PLAN MAESTRO FINAL'!$A818,'HOJAS DE HORA PROY.'!$M$2:$M$943,F$113)</f>
        <v>0</v>
      </c>
      <c r="G818" s="8">
        <f>SUMIFS('HOJAS DE HORA PROY.'!$F$2:$F$943,'HOJAS DE HORA PROY.'!$A$2:$A$943,'PLAN MAESTRO FINAL'!$A818,'HOJAS DE HORA PROY.'!$M$2:$M$943,G$113)</f>
        <v>0</v>
      </c>
      <c r="H818" s="8">
        <f>SUMIFS('HOJAS DE HORA PROY.'!$F$2:$F$943,'HOJAS DE HORA PROY.'!$A$2:$A$943,'PLAN MAESTRO FINAL'!$A818,'HOJAS DE HORA PROY.'!$M$2:$M$943,H$113)</f>
        <v>0</v>
      </c>
      <c r="I818" s="8">
        <f>SUMIFS('HOJAS DE HORA PROY.'!$F$2:$F$943,'HOJAS DE HORA PROY.'!$A$2:$A$943,'PLAN MAESTRO FINAL'!$A818,'HOJAS DE HORA PROY.'!$M$2:$M$943,I$113)</f>
        <v>0</v>
      </c>
      <c r="J818" s="8">
        <f>SUMIFS('HOJAS DE HORA PROY.'!$F$2:$F$943,'HOJAS DE HORA PROY.'!$A$2:$A$943,'PLAN MAESTRO FINAL'!$A818,'HOJAS DE HORA PROY.'!$M$2:$M$943,J$113)</f>
        <v>0</v>
      </c>
      <c r="K818" s="8">
        <f>SUMIFS('HOJAS DE HORA PROY.'!$F$2:$F$943,'HOJAS DE HORA PROY.'!$A$2:$A$943,'PLAN MAESTRO FINAL'!$A818,'HOJAS DE HORA PROY.'!$M$2:$M$943,K$113)</f>
        <v>0</v>
      </c>
      <c r="L818" s="8">
        <f>SUMIFS('HOJAS DE HORA PROY.'!$F$2:$F$943,'HOJAS DE HORA PROY.'!$A$2:$A$943,'PLAN MAESTRO FINAL'!$A818,'HOJAS DE HORA PROY.'!$M$2:$M$943,L$113)</f>
        <v>0</v>
      </c>
      <c r="M818" s="8">
        <f>SUMIFS('HOJAS DE HORA PROY.'!$F$2:$F$943,'HOJAS DE HORA PROY.'!$A$2:$A$943,'PLAN MAESTRO FINAL'!$A818,'HOJAS DE HORA PROY.'!$M$2:$M$943,M$113)</f>
        <v>0</v>
      </c>
      <c r="N818" s="8">
        <f>SUMIFS('HOJAS DE HORA PROY.'!$F$2:$F$943,'HOJAS DE HORA PROY.'!$A$2:$A$943,'PLAN MAESTRO FINAL'!$A818,'HOJAS DE HORA PROY.'!$M$2:$M$943,N$113)</f>
        <v>0</v>
      </c>
      <c r="O818" s="8">
        <f>SUMIFS('HOJAS DE HORA PROY.'!$F$2:$F$943,'HOJAS DE HORA PROY.'!$A$2:$A$943,'PLAN MAESTRO FINAL'!$A818,'HOJAS DE HORA PROY.'!$M$2:$M$943,O$113)</f>
        <v>0</v>
      </c>
      <c r="P818" s="8">
        <f>SUMIFS('HOJAS DE HORA PROY.'!$F$2:$F$943,'HOJAS DE HORA PROY.'!$A$2:$A$943,'PLAN MAESTRO FINAL'!$A818,'HOJAS DE HORA PROY.'!$M$2:$M$943,P$113)</f>
        <v>0</v>
      </c>
      <c r="Q818" s="8">
        <f>SUMIFS('HOJAS DE HORA PROY.'!$F$2:$F$943,'HOJAS DE HORA PROY.'!$A$2:$A$943,'PLAN MAESTRO FINAL'!$A818,'HOJAS DE HORA PROY.'!$M$2:$M$943,Q$113)</f>
        <v>0</v>
      </c>
      <c r="R818" s="8">
        <f>SUMIFS('HOJAS DE HORA PROY.'!$F$2:$F$943,'HOJAS DE HORA PROY.'!$A$2:$A$943,'PLAN MAESTRO FINAL'!$A818,'HOJAS DE HORA PROY.'!$M$2:$M$943,R$113)</f>
        <v>0</v>
      </c>
      <c r="S818" s="8">
        <f>SUMIFS('HOJAS DE HORA PROY.'!$F$2:$F$943,'HOJAS DE HORA PROY.'!$A$2:$A$943,'PLAN MAESTRO FINAL'!$A818,'HOJAS DE HORA PROY.'!$M$2:$M$943,S$113)</f>
        <v>0</v>
      </c>
      <c r="T818" s="8">
        <f>SUMIFS('HOJAS DE HORA PROY.'!$F$2:$F$943,'HOJAS DE HORA PROY.'!$A$2:$A$943,'PLAN MAESTRO FINAL'!$A818,'HOJAS DE HORA PROY.'!$M$2:$M$943,T$113)</f>
        <v>0</v>
      </c>
      <c r="U818" s="8">
        <f>SUMIFS('HOJAS DE HORA PROY.'!$F$2:$F$943,'HOJAS DE HORA PROY.'!$A$2:$A$943,'PLAN MAESTRO FINAL'!$A818,'HOJAS DE HORA PROY.'!$M$2:$M$943,U$113)</f>
        <v>0</v>
      </c>
      <c r="V818" s="8">
        <f>SUMIFS('HOJAS DE HORA PROY.'!$F$2:$F$943,'HOJAS DE HORA PROY.'!$A$2:$A$943,'PLAN MAESTRO FINAL'!$A818,'HOJAS DE HORA PROY.'!$M$2:$M$943,V$113)</f>
        <v>0</v>
      </c>
      <c r="W818" s="8">
        <f>SUMIFS('HOJAS DE HORA PROY.'!$F$2:$F$943,'HOJAS DE HORA PROY.'!$A$2:$A$943,'PLAN MAESTRO FINAL'!$A818,'HOJAS DE HORA PROY.'!$M$2:$M$943,W$113)</f>
        <v>0</v>
      </c>
    </row>
    <row r="819" spans="1:23" hidden="1" outlineLevel="1" x14ac:dyDescent="0.3">
      <c r="A819" s="13" t="s">
        <v>265</v>
      </c>
      <c r="B819" s="8">
        <f>SUMIFS('HOJAS DE HORA PROY.'!$F$2:$F$943,'HOJAS DE HORA PROY.'!$A$2:$A$943,'PLAN MAESTRO FINAL'!$A819,'HOJAS DE HORA PROY.'!$M$2:$M$943,B$113)</f>
        <v>0</v>
      </c>
      <c r="C819" s="8">
        <f>SUMIFS('HOJAS DE HORA PROY.'!$F$2:$F$943,'HOJAS DE HORA PROY.'!$A$2:$A$943,'PLAN MAESTRO FINAL'!$A819,'HOJAS DE HORA PROY.'!$M$2:$M$943,C$113)</f>
        <v>0</v>
      </c>
      <c r="D819" s="8">
        <f>SUMIFS('HOJAS DE HORA PROY.'!$F$2:$F$943,'HOJAS DE HORA PROY.'!$A$2:$A$943,'PLAN MAESTRO FINAL'!$A819,'HOJAS DE HORA PROY.'!$M$2:$M$943,D$113)</f>
        <v>0</v>
      </c>
      <c r="E819" s="8">
        <f>SUMIFS('HOJAS DE HORA PROY.'!$F$2:$F$943,'HOJAS DE HORA PROY.'!$A$2:$A$943,'PLAN MAESTRO FINAL'!$A819,'HOJAS DE HORA PROY.'!$M$2:$M$943,E$113)</f>
        <v>0</v>
      </c>
      <c r="F819" s="8">
        <f>SUMIFS('HOJAS DE HORA PROY.'!$F$2:$F$943,'HOJAS DE HORA PROY.'!$A$2:$A$943,'PLAN MAESTRO FINAL'!$A819,'HOJAS DE HORA PROY.'!$M$2:$M$943,F$113)</f>
        <v>0</v>
      </c>
      <c r="G819" s="8">
        <f>SUMIFS('HOJAS DE HORA PROY.'!$F$2:$F$943,'HOJAS DE HORA PROY.'!$A$2:$A$943,'PLAN MAESTRO FINAL'!$A819,'HOJAS DE HORA PROY.'!$M$2:$M$943,G$113)</f>
        <v>0</v>
      </c>
      <c r="H819" s="8">
        <f>SUMIFS('HOJAS DE HORA PROY.'!$F$2:$F$943,'HOJAS DE HORA PROY.'!$A$2:$A$943,'PLAN MAESTRO FINAL'!$A819,'HOJAS DE HORA PROY.'!$M$2:$M$943,H$113)</f>
        <v>0</v>
      </c>
      <c r="I819" s="8">
        <f>SUMIFS('HOJAS DE HORA PROY.'!$F$2:$F$943,'HOJAS DE HORA PROY.'!$A$2:$A$943,'PLAN MAESTRO FINAL'!$A819,'HOJAS DE HORA PROY.'!$M$2:$M$943,I$113)</f>
        <v>0</v>
      </c>
      <c r="J819" s="8">
        <f>SUMIFS('HOJAS DE HORA PROY.'!$F$2:$F$943,'HOJAS DE HORA PROY.'!$A$2:$A$943,'PLAN MAESTRO FINAL'!$A819,'HOJAS DE HORA PROY.'!$M$2:$M$943,J$113)</f>
        <v>0</v>
      </c>
      <c r="K819" s="8">
        <f>SUMIFS('HOJAS DE HORA PROY.'!$F$2:$F$943,'HOJAS DE HORA PROY.'!$A$2:$A$943,'PLAN MAESTRO FINAL'!$A819,'HOJAS DE HORA PROY.'!$M$2:$M$943,K$113)</f>
        <v>0</v>
      </c>
      <c r="L819" s="8">
        <f>SUMIFS('HOJAS DE HORA PROY.'!$F$2:$F$943,'HOJAS DE HORA PROY.'!$A$2:$A$943,'PLAN MAESTRO FINAL'!$A819,'HOJAS DE HORA PROY.'!$M$2:$M$943,L$113)</f>
        <v>0</v>
      </c>
      <c r="M819" s="8">
        <f>SUMIFS('HOJAS DE HORA PROY.'!$F$2:$F$943,'HOJAS DE HORA PROY.'!$A$2:$A$943,'PLAN MAESTRO FINAL'!$A819,'HOJAS DE HORA PROY.'!$M$2:$M$943,M$113)</f>
        <v>0</v>
      </c>
      <c r="N819" s="8">
        <f>SUMIFS('HOJAS DE HORA PROY.'!$F$2:$F$943,'HOJAS DE HORA PROY.'!$A$2:$A$943,'PLAN MAESTRO FINAL'!$A819,'HOJAS DE HORA PROY.'!$M$2:$M$943,N$113)</f>
        <v>0</v>
      </c>
      <c r="O819" s="8">
        <f>SUMIFS('HOJAS DE HORA PROY.'!$F$2:$F$943,'HOJAS DE HORA PROY.'!$A$2:$A$943,'PLAN MAESTRO FINAL'!$A819,'HOJAS DE HORA PROY.'!$M$2:$M$943,O$113)</f>
        <v>0</v>
      </c>
      <c r="P819" s="8">
        <f>SUMIFS('HOJAS DE HORA PROY.'!$F$2:$F$943,'HOJAS DE HORA PROY.'!$A$2:$A$943,'PLAN MAESTRO FINAL'!$A819,'HOJAS DE HORA PROY.'!$M$2:$M$943,P$113)</f>
        <v>0</v>
      </c>
      <c r="Q819" s="8">
        <f>SUMIFS('HOJAS DE HORA PROY.'!$F$2:$F$943,'HOJAS DE HORA PROY.'!$A$2:$A$943,'PLAN MAESTRO FINAL'!$A819,'HOJAS DE HORA PROY.'!$M$2:$M$943,Q$113)</f>
        <v>0</v>
      </c>
      <c r="R819" s="8">
        <f>SUMIFS('HOJAS DE HORA PROY.'!$F$2:$F$943,'HOJAS DE HORA PROY.'!$A$2:$A$943,'PLAN MAESTRO FINAL'!$A819,'HOJAS DE HORA PROY.'!$M$2:$M$943,R$113)</f>
        <v>0</v>
      </c>
      <c r="S819" s="8">
        <f>SUMIFS('HOJAS DE HORA PROY.'!$F$2:$F$943,'HOJAS DE HORA PROY.'!$A$2:$A$943,'PLAN MAESTRO FINAL'!$A819,'HOJAS DE HORA PROY.'!$M$2:$M$943,S$113)</f>
        <v>0</v>
      </c>
      <c r="T819" s="8">
        <f>SUMIFS('HOJAS DE HORA PROY.'!$F$2:$F$943,'HOJAS DE HORA PROY.'!$A$2:$A$943,'PLAN MAESTRO FINAL'!$A819,'HOJAS DE HORA PROY.'!$M$2:$M$943,T$113)</f>
        <v>0</v>
      </c>
      <c r="U819" s="8">
        <f>SUMIFS('HOJAS DE HORA PROY.'!$F$2:$F$943,'HOJAS DE HORA PROY.'!$A$2:$A$943,'PLAN MAESTRO FINAL'!$A819,'HOJAS DE HORA PROY.'!$M$2:$M$943,U$113)</f>
        <v>0</v>
      </c>
      <c r="V819" s="8">
        <f>SUMIFS('HOJAS DE HORA PROY.'!$F$2:$F$943,'HOJAS DE HORA PROY.'!$A$2:$A$943,'PLAN MAESTRO FINAL'!$A819,'HOJAS DE HORA PROY.'!$M$2:$M$943,V$113)</f>
        <v>0</v>
      </c>
      <c r="W819" s="8">
        <f>SUMIFS('HOJAS DE HORA PROY.'!$F$2:$F$943,'HOJAS DE HORA PROY.'!$A$2:$A$943,'PLAN MAESTRO FINAL'!$A819,'HOJAS DE HORA PROY.'!$M$2:$M$943,W$113)</f>
        <v>0</v>
      </c>
    </row>
    <row r="820" spans="1:23" hidden="1" outlineLevel="1" x14ac:dyDescent="0.3">
      <c r="A820" s="13" t="s">
        <v>267</v>
      </c>
      <c r="B820" s="8">
        <f>SUMIFS('HOJAS DE HORA PROY.'!$F$2:$F$943,'HOJAS DE HORA PROY.'!$A$2:$A$943,'PLAN MAESTRO FINAL'!$A820,'HOJAS DE HORA PROY.'!$M$2:$M$943,B$113)</f>
        <v>0</v>
      </c>
      <c r="C820" s="8">
        <f>SUMIFS('HOJAS DE HORA PROY.'!$F$2:$F$943,'HOJAS DE HORA PROY.'!$A$2:$A$943,'PLAN MAESTRO FINAL'!$A820,'HOJAS DE HORA PROY.'!$M$2:$M$943,C$113)</f>
        <v>0</v>
      </c>
      <c r="D820" s="8">
        <f>SUMIFS('HOJAS DE HORA PROY.'!$F$2:$F$943,'HOJAS DE HORA PROY.'!$A$2:$A$943,'PLAN MAESTRO FINAL'!$A820,'HOJAS DE HORA PROY.'!$M$2:$M$943,D$113)</f>
        <v>0</v>
      </c>
      <c r="E820" s="8">
        <f>SUMIFS('HOJAS DE HORA PROY.'!$F$2:$F$943,'HOJAS DE HORA PROY.'!$A$2:$A$943,'PLAN MAESTRO FINAL'!$A820,'HOJAS DE HORA PROY.'!$M$2:$M$943,E$113)</f>
        <v>0</v>
      </c>
      <c r="F820" s="8">
        <f>SUMIFS('HOJAS DE HORA PROY.'!$F$2:$F$943,'HOJAS DE HORA PROY.'!$A$2:$A$943,'PLAN MAESTRO FINAL'!$A820,'HOJAS DE HORA PROY.'!$M$2:$M$943,F$113)</f>
        <v>0</v>
      </c>
      <c r="G820" s="8">
        <f>SUMIFS('HOJAS DE HORA PROY.'!$F$2:$F$943,'HOJAS DE HORA PROY.'!$A$2:$A$943,'PLAN MAESTRO FINAL'!$A820,'HOJAS DE HORA PROY.'!$M$2:$M$943,G$113)</f>
        <v>0</v>
      </c>
      <c r="H820" s="8">
        <f>SUMIFS('HOJAS DE HORA PROY.'!$F$2:$F$943,'HOJAS DE HORA PROY.'!$A$2:$A$943,'PLAN MAESTRO FINAL'!$A820,'HOJAS DE HORA PROY.'!$M$2:$M$943,H$113)</f>
        <v>0</v>
      </c>
      <c r="I820" s="8">
        <f>SUMIFS('HOJAS DE HORA PROY.'!$F$2:$F$943,'HOJAS DE HORA PROY.'!$A$2:$A$943,'PLAN MAESTRO FINAL'!$A820,'HOJAS DE HORA PROY.'!$M$2:$M$943,I$113)</f>
        <v>0</v>
      </c>
      <c r="J820" s="8">
        <f>SUMIFS('HOJAS DE HORA PROY.'!$F$2:$F$943,'HOJAS DE HORA PROY.'!$A$2:$A$943,'PLAN MAESTRO FINAL'!$A820,'HOJAS DE HORA PROY.'!$M$2:$M$943,J$113)</f>
        <v>0</v>
      </c>
      <c r="K820" s="8">
        <f>SUMIFS('HOJAS DE HORA PROY.'!$F$2:$F$943,'HOJAS DE HORA PROY.'!$A$2:$A$943,'PLAN MAESTRO FINAL'!$A820,'HOJAS DE HORA PROY.'!$M$2:$M$943,K$113)</f>
        <v>0</v>
      </c>
      <c r="L820" s="8">
        <f>SUMIFS('HOJAS DE HORA PROY.'!$F$2:$F$943,'HOJAS DE HORA PROY.'!$A$2:$A$943,'PLAN MAESTRO FINAL'!$A820,'HOJAS DE HORA PROY.'!$M$2:$M$943,L$113)</f>
        <v>0</v>
      </c>
      <c r="M820" s="8">
        <f>SUMIFS('HOJAS DE HORA PROY.'!$F$2:$F$943,'HOJAS DE HORA PROY.'!$A$2:$A$943,'PLAN MAESTRO FINAL'!$A820,'HOJAS DE HORA PROY.'!$M$2:$M$943,M$113)</f>
        <v>0</v>
      </c>
      <c r="N820" s="8">
        <f>SUMIFS('HOJAS DE HORA PROY.'!$F$2:$F$943,'HOJAS DE HORA PROY.'!$A$2:$A$943,'PLAN MAESTRO FINAL'!$A820,'HOJAS DE HORA PROY.'!$M$2:$M$943,N$113)</f>
        <v>0</v>
      </c>
      <c r="O820" s="8">
        <f>SUMIFS('HOJAS DE HORA PROY.'!$F$2:$F$943,'HOJAS DE HORA PROY.'!$A$2:$A$943,'PLAN MAESTRO FINAL'!$A820,'HOJAS DE HORA PROY.'!$M$2:$M$943,O$113)</f>
        <v>0</v>
      </c>
      <c r="P820" s="8">
        <f>SUMIFS('HOJAS DE HORA PROY.'!$F$2:$F$943,'HOJAS DE HORA PROY.'!$A$2:$A$943,'PLAN MAESTRO FINAL'!$A820,'HOJAS DE HORA PROY.'!$M$2:$M$943,P$113)</f>
        <v>0</v>
      </c>
      <c r="Q820" s="8">
        <f>SUMIFS('HOJAS DE HORA PROY.'!$F$2:$F$943,'HOJAS DE HORA PROY.'!$A$2:$A$943,'PLAN MAESTRO FINAL'!$A820,'HOJAS DE HORA PROY.'!$M$2:$M$943,Q$113)</f>
        <v>0</v>
      </c>
      <c r="R820" s="8">
        <f>SUMIFS('HOJAS DE HORA PROY.'!$F$2:$F$943,'HOJAS DE HORA PROY.'!$A$2:$A$943,'PLAN MAESTRO FINAL'!$A820,'HOJAS DE HORA PROY.'!$M$2:$M$943,R$113)</f>
        <v>0</v>
      </c>
      <c r="S820" s="8">
        <f>SUMIFS('HOJAS DE HORA PROY.'!$F$2:$F$943,'HOJAS DE HORA PROY.'!$A$2:$A$943,'PLAN MAESTRO FINAL'!$A820,'HOJAS DE HORA PROY.'!$M$2:$M$943,S$113)</f>
        <v>0</v>
      </c>
      <c r="T820" s="8">
        <f>SUMIFS('HOJAS DE HORA PROY.'!$F$2:$F$943,'HOJAS DE HORA PROY.'!$A$2:$A$943,'PLAN MAESTRO FINAL'!$A820,'HOJAS DE HORA PROY.'!$M$2:$M$943,T$113)</f>
        <v>0</v>
      </c>
      <c r="U820" s="8">
        <f>SUMIFS('HOJAS DE HORA PROY.'!$F$2:$F$943,'HOJAS DE HORA PROY.'!$A$2:$A$943,'PLAN MAESTRO FINAL'!$A820,'HOJAS DE HORA PROY.'!$M$2:$M$943,U$113)</f>
        <v>0</v>
      </c>
      <c r="V820" s="8">
        <f>SUMIFS('HOJAS DE HORA PROY.'!$F$2:$F$943,'HOJAS DE HORA PROY.'!$A$2:$A$943,'PLAN MAESTRO FINAL'!$A820,'HOJAS DE HORA PROY.'!$M$2:$M$943,V$113)</f>
        <v>0</v>
      </c>
      <c r="W820" s="8">
        <f>SUMIFS('HOJAS DE HORA PROY.'!$F$2:$F$943,'HOJAS DE HORA PROY.'!$A$2:$A$943,'PLAN MAESTRO FINAL'!$A820,'HOJAS DE HORA PROY.'!$M$2:$M$943,W$113)</f>
        <v>0</v>
      </c>
    </row>
    <row r="821" spans="1:23" hidden="1" outlineLevel="1" x14ac:dyDescent="0.3">
      <c r="A821" s="13" t="s">
        <v>306</v>
      </c>
      <c r="B821" s="8">
        <f>SUMIFS('HOJAS DE HORA PROY.'!$F$2:$F$943,'HOJAS DE HORA PROY.'!$A$2:$A$943,'PLAN MAESTRO FINAL'!$A821,'HOJAS DE HORA PROY.'!$M$2:$M$943,B$113)</f>
        <v>0</v>
      </c>
      <c r="C821" s="8">
        <f>SUMIFS('HOJAS DE HORA PROY.'!$F$2:$F$943,'HOJAS DE HORA PROY.'!$A$2:$A$943,'PLAN MAESTRO FINAL'!$A821,'HOJAS DE HORA PROY.'!$M$2:$M$943,C$113)</f>
        <v>0</v>
      </c>
      <c r="D821" s="8">
        <f>SUMIFS('HOJAS DE HORA PROY.'!$F$2:$F$943,'HOJAS DE HORA PROY.'!$A$2:$A$943,'PLAN MAESTRO FINAL'!$A821,'HOJAS DE HORA PROY.'!$M$2:$M$943,D$113)</f>
        <v>0</v>
      </c>
      <c r="E821" s="8">
        <f>SUMIFS('HOJAS DE HORA PROY.'!$F$2:$F$943,'HOJAS DE HORA PROY.'!$A$2:$A$943,'PLAN MAESTRO FINAL'!$A821,'HOJAS DE HORA PROY.'!$M$2:$M$943,E$113)</f>
        <v>0</v>
      </c>
      <c r="F821" s="8">
        <f>SUMIFS('HOJAS DE HORA PROY.'!$F$2:$F$943,'HOJAS DE HORA PROY.'!$A$2:$A$943,'PLAN MAESTRO FINAL'!$A821,'HOJAS DE HORA PROY.'!$M$2:$M$943,F$113)</f>
        <v>5</v>
      </c>
      <c r="G821" s="8">
        <f>SUMIFS('HOJAS DE HORA PROY.'!$F$2:$F$943,'HOJAS DE HORA PROY.'!$A$2:$A$943,'PLAN MAESTRO FINAL'!$A821,'HOJAS DE HORA PROY.'!$M$2:$M$943,G$113)</f>
        <v>0</v>
      </c>
      <c r="H821" s="8">
        <f>SUMIFS('HOJAS DE HORA PROY.'!$F$2:$F$943,'HOJAS DE HORA PROY.'!$A$2:$A$943,'PLAN MAESTRO FINAL'!$A821,'HOJAS DE HORA PROY.'!$M$2:$M$943,H$113)</f>
        <v>0</v>
      </c>
      <c r="I821" s="8">
        <f>SUMIFS('HOJAS DE HORA PROY.'!$F$2:$F$943,'HOJAS DE HORA PROY.'!$A$2:$A$943,'PLAN MAESTRO FINAL'!$A821,'HOJAS DE HORA PROY.'!$M$2:$M$943,I$113)</f>
        <v>0</v>
      </c>
      <c r="J821" s="8">
        <f>SUMIFS('HOJAS DE HORA PROY.'!$F$2:$F$943,'HOJAS DE HORA PROY.'!$A$2:$A$943,'PLAN MAESTRO FINAL'!$A821,'HOJAS DE HORA PROY.'!$M$2:$M$943,J$113)</f>
        <v>0</v>
      </c>
      <c r="K821" s="8">
        <f>SUMIFS('HOJAS DE HORA PROY.'!$F$2:$F$943,'HOJAS DE HORA PROY.'!$A$2:$A$943,'PLAN MAESTRO FINAL'!$A821,'HOJAS DE HORA PROY.'!$M$2:$M$943,K$113)</f>
        <v>0</v>
      </c>
      <c r="L821" s="8">
        <f>SUMIFS('HOJAS DE HORA PROY.'!$F$2:$F$943,'HOJAS DE HORA PROY.'!$A$2:$A$943,'PLAN MAESTRO FINAL'!$A821,'HOJAS DE HORA PROY.'!$M$2:$M$943,L$113)</f>
        <v>0</v>
      </c>
      <c r="M821" s="8">
        <f>SUMIFS('HOJAS DE HORA PROY.'!$F$2:$F$943,'HOJAS DE HORA PROY.'!$A$2:$A$943,'PLAN MAESTRO FINAL'!$A821,'HOJAS DE HORA PROY.'!$M$2:$M$943,M$113)</f>
        <v>0</v>
      </c>
      <c r="N821" s="8">
        <f>SUMIFS('HOJAS DE HORA PROY.'!$F$2:$F$943,'HOJAS DE HORA PROY.'!$A$2:$A$943,'PLAN MAESTRO FINAL'!$A821,'HOJAS DE HORA PROY.'!$M$2:$M$943,N$113)</f>
        <v>0</v>
      </c>
      <c r="O821" s="8">
        <f>SUMIFS('HOJAS DE HORA PROY.'!$F$2:$F$943,'HOJAS DE HORA PROY.'!$A$2:$A$943,'PLAN MAESTRO FINAL'!$A821,'HOJAS DE HORA PROY.'!$M$2:$M$943,O$113)</f>
        <v>0</v>
      </c>
      <c r="P821" s="8">
        <f>SUMIFS('HOJAS DE HORA PROY.'!$F$2:$F$943,'HOJAS DE HORA PROY.'!$A$2:$A$943,'PLAN MAESTRO FINAL'!$A821,'HOJAS DE HORA PROY.'!$M$2:$M$943,P$113)</f>
        <v>0</v>
      </c>
      <c r="Q821" s="8">
        <f>SUMIFS('HOJAS DE HORA PROY.'!$F$2:$F$943,'HOJAS DE HORA PROY.'!$A$2:$A$943,'PLAN MAESTRO FINAL'!$A821,'HOJAS DE HORA PROY.'!$M$2:$M$943,Q$113)</f>
        <v>0</v>
      </c>
      <c r="R821" s="8">
        <f>SUMIFS('HOJAS DE HORA PROY.'!$F$2:$F$943,'HOJAS DE HORA PROY.'!$A$2:$A$943,'PLAN MAESTRO FINAL'!$A821,'HOJAS DE HORA PROY.'!$M$2:$M$943,R$113)</f>
        <v>0</v>
      </c>
      <c r="S821" s="8">
        <f>SUMIFS('HOJAS DE HORA PROY.'!$F$2:$F$943,'HOJAS DE HORA PROY.'!$A$2:$A$943,'PLAN MAESTRO FINAL'!$A821,'HOJAS DE HORA PROY.'!$M$2:$M$943,S$113)</f>
        <v>0</v>
      </c>
      <c r="T821" s="8">
        <f>SUMIFS('HOJAS DE HORA PROY.'!$F$2:$F$943,'HOJAS DE HORA PROY.'!$A$2:$A$943,'PLAN MAESTRO FINAL'!$A821,'HOJAS DE HORA PROY.'!$M$2:$M$943,T$113)</f>
        <v>0</v>
      </c>
      <c r="U821" s="8">
        <f>SUMIFS('HOJAS DE HORA PROY.'!$F$2:$F$943,'HOJAS DE HORA PROY.'!$A$2:$A$943,'PLAN MAESTRO FINAL'!$A821,'HOJAS DE HORA PROY.'!$M$2:$M$943,U$113)</f>
        <v>0</v>
      </c>
      <c r="V821" s="8">
        <f>SUMIFS('HOJAS DE HORA PROY.'!$F$2:$F$943,'HOJAS DE HORA PROY.'!$A$2:$A$943,'PLAN MAESTRO FINAL'!$A821,'HOJAS DE HORA PROY.'!$M$2:$M$943,V$113)</f>
        <v>0</v>
      </c>
      <c r="W821" s="8">
        <f>SUMIFS('HOJAS DE HORA PROY.'!$F$2:$F$943,'HOJAS DE HORA PROY.'!$A$2:$A$943,'PLAN MAESTRO FINAL'!$A821,'HOJAS DE HORA PROY.'!$M$2:$M$943,W$113)</f>
        <v>0</v>
      </c>
    </row>
    <row r="822" spans="1:23" hidden="1" outlineLevel="1" x14ac:dyDescent="0.3">
      <c r="A822" s="13" t="s">
        <v>307</v>
      </c>
      <c r="B822" s="8">
        <f>SUMIFS('HOJAS DE HORA PROY.'!$F$2:$F$943,'HOJAS DE HORA PROY.'!$A$2:$A$943,'PLAN MAESTRO FINAL'!$A822,'HOJAS DE HORA PROY.'!$M$2:$M$943,B$113)</f>
        <v>0</v>
      </c>
      <c r="C822" s="8">
        <f>SUMIFS('HOJAS DE HORA PROY.'!$F$2:$F$943,'HOJAS DE HORA PROY.'!$A$2:$A$943,'PLAN MAESTRO FINAL'!$A822,'HOJAS DE HORA PROY.'!$M$2:$M$943,C$113)</f>
        <v>0</v>
      </c>
      <c r="D822" s="8">
        <f>SUMIFS('HOJAS DE HORA PROY.'!$F$2:$F$943,'HOJAS DE HORA PROY.'!$A$2:$A$943,'PLAN MAESTRO FINAL'!$A822,'HOJAS DE HORA PROY.'!$M$2:$M$943,D$113)</f>
        <v>0</v>
      </c>
      <c r="E822" s="8">
        <f>SUMIFS('HOJAS DE HORA PROY.'!$F$2:$F$943,'HOJAS DE HORA PROY.'!$A$2:$A$943,'PLAN MAESTRO FINAL'!$A822,'HOJAS DE HORA PROY.'!$M$2:$M$943,E$113)</f>
        <v>0</v>
      </c>
      <c r="F822" s="8">
        <f>SUMIFS('HOJAS DE HORA PROY.'!$F$2:$F$943,'HOJAS DE HORA PROY.'!$A$2:$A$943,'PLAN MAESTRO FINAL'!$A822,'HOJAS DE HORA PROY.'!$M$2:$M$943,F$113)</f>
        <v>0</v>
      </c>
      <c r="G822" s="8">
        <f>SUMIFS('HOJAS DE HORA PROY.'!$F$2:$F$943,'HOJAS DE HORA PROY.'!$A$2:$A$943,'PLAN MAESTRO FINAL'!$A822,'HOJAS DE HORA PROY.'!$M$2:$M$943,G$113)</f>
        <v>0</v>
      </c>
      <c r="H822" s="8">
        <f>SUMIFS('HOJAS DE HORA PROY.'!$F$2:$F$943,'HOJAS DE HORA PROY.'!$A$2:$A$943,'PLAN MAESTRO FINAL'!$A822,'HOJAS DE HORA PROY.'!$M$2:$M$943,H$113)</f>
        <v>0</v>
      </c>
      <c r="I822" s="8">
        <f>SUMIFS('HOJAS DE HORA PROY.'!$F$2:$F$943,'HOJAS DE HORA PROY.'!$A$2:$A$943,'PLAN MAESTRO FINAL'!$A822,'HOJAS DE HORA PROY.'!$M$2:$M$943,I$113)</f>
        <v>0</v>
      </c>
      <c r="J822" s="8">
        <f>SUMIFS('HOJAS DE HORA PROY.'!$F$2:$F$943,'HOJAS DE HORA PROY.'!$A$2:$A$943,'PLAN MAESTRO FINAL'!$A822,'HOJAS DE HORA PROY.'!$M$2:$M$943,J$113)</f>
        <v>0</v>
      </c>
      <c r="K822" s="8">
        <f>SUMIFS('HOJAS DE HORA PROY.'!$F$2:$F$943,'HOJAS DE HORA PROY.'!$A$2:$A$943,'PLAN MAESTRO FINAL'!$A822,'HOJAS DE HORA PROY.'!$M$2:$M$943,K$113)</f>
        <v>0</v>
      </c>
      <c r="L822" s="8">
        <f>SUMIFS('HOJAS DE HORA PROY.'!$F$2:$F$943,'HOJAS DE HORA PROY.'!$A$2:$A$943,'PLAN MAESTRO FINAL'!$A822,'HOJAS DE HORA PROY.'!$M$2:$M$943,L$113)</f>
        <v>0</v>
      </c>
      <c r="M822" s="8">
        <f>SUMIFS('HOJAS DE HORA PROY.'!$F$2:$F$943,'HOJAS DE HORA PROY.'!$A$2:$A$943,'PLAN MAESTRO FINAL'!$A822,'HOJAS DE HORA PROY.'!$M$2:$M$943,M$113)</f>
        <v>0</v>
      </c>
      <c r="N822" s="8">
        <f>SUMIFS('HOJAS DE HORA PROY.'!$F$2:$F$943,'HOJAS DE HORA PROY.'!$A$2:$A$943,'PLAN MAESTRO FINAL'!$A822,'HOJAS DE HORA PROY.'!$M$2:$M$943,N$113)</f>
        <v>0</v>
      </c>
      <c r="O822" s="8">
        <f>SUMIFS('HOJAS DE HORA PROY.'!$F$2:$F$943,'HOJAS DE HORA PROY.'!$A$2:$A$943,'PLAN MAESTRO FINAL'!$A822,'HOJAS DE HORA PROY.'!$M$2:$M$943,O$113)</f>
        <v>0</v>
      </c>
      <c r="P822" s="8">
        <f>SUMIFS('HOJAS DE HORA PROY.'!$F$2:$F$943,'HOJAS DE HORA PROY.'!$A$2:$A$943,'PLAN MAESTRO FINAL'!$A822,'HOJAS DE HORA PROY.'!$M$2:$M$943,P$113)</f>
        <v>0</v>
      </c>
      <c r="Q822" s="8">
        <f>SUMIFS('HOJAS DE HORA PROY.'!$F$2:$F$943,'HOJAS DE HORA PROY.'!$A$2:$A$943,'PLAN MAESTRO FINAL'!$A822,'HOJAS DE HORA PROY.'!$M$2:$M$943,Q$113)</f>
        <v>0</v>
      </c>
      <c r="R822" s="8">
        <f>SUMIFS('HOJAS DE HORA PROY.'!$F$2:$F$943,'HOJAS DE HORA PROY.'!$A$2:$A$943,'PLAN MAESTRO FINAL'!$A822,'HOJAS DE HORA PROY.'!$M$2:$M$943,R$113)</f>
        <v>0</v>
      </c>
      <c r="S822" s="8">
        <f>SUMIFS('HOJAS DE HORA PROY.'!$F$2:$F$943,'HOJAS DE HORA PROY.'!$A$2:$A$943,'PLAN MAESTRO FINAL'!$A822,'HOJAS DE HORA PROY.'!$M$2:$M$943,S$113)</f>
        <v>0</v>
      </c>
      <c r="T822" s="8">
        <f>SUMIFS('HOJAS DE HORA PROY.'!$F$2:$F$943,'HOJAS DE HORA PROY.'!$A$2:$A$943,'PLAN MAESTRO FINAL'!$A822,'HOJAS DE HORA PROY.'!$M$2:$M$943,T$113)</f>
        <v>0</v>
      </c>
      <c r="U822" s="8">
        <f>SUMIFS('HOJAS DE HORA PROY.'!$F$2:$F$943,'HOJAS DE HORA PROY.'!$A$2:$A$943,'PLAN MAESTRO FINAL'!$A822,'HOJAS DE HORA PROY.'!$M$2:$M$943,U$113)</f>
        <v>0</v>
      </c>
      <c r="V822" s="8">
        <f>SUMIFS('HOJAS DE HORA PROY.'!$F$2:$F$943,'HOJAS DE HORA PROY.'!$A$2:$A$943,'PLAN MAESTRO FINAL'!$A822,'HOJAS DE HORA PROY.'!$M$2:$M$943,V$113)</f>
        <v>0</v>
      </c>
      <c r="W822" s="8">
        <f>SUMIFS('HOJAS DE HORA PROY.'!$F$2:$F$943,'HOJAS DE HORA PROY.'!$A$2:$A$943,'PLAN MAESTRO FINAL'!$A822,'HOJAS DE HORA PROY.'!$M$2:$M$943,W$113)</f>
        <v>0</v>
      </c>
    </row>
    <row r="823" spans="1:23" hidden="1" outlineLevel="1" x14ac:dyDescent="0.3">
      <c r="A823" s="13" t="s">
        <v>321</v>
      </c>
      <c r="B823" s="8">
        <f>SUMIFS('HOJAS DE HORA PROY.'!$F$2:$F$943,'HOJAS DE HORA PROY.'!$A$2:$A$943,'PLAN MAESTRO FINAL'!$A823,'HOJAS DE HORA PROY.'!$M$2:$M$943,B$113)</f>
        <v>0</v>
      </c>
      <c r="C823" s="8">
        <f>SUMIFS('HOJAS DE HORA PROY.'!$F$2:$F$943,'HOJAS DE HORA PROY.'!$A$2:$A$943,'PLAN MAESTRO FINAL'!$A823,'HOJAS DE HORA PROY.'!$M$2:$M$943,C$113)</f>
        <v>0</v>
      </c>
      <c r="D823" s="8">
        <f>SUMIFS('HOJAS DE HORA PROY.'!$F$2:$F$943,'HOJAS DE HORA PROY.'!$A$2:$A$943,'PLAN MAESTRO FINAL'!$A823,'HOJAS DE HORA PROY.'!$M$2:$M$943,D$113)</f>
        <v>0</v>
      </c>
      <c r="E823" s="8">
        <f>SUMIFS('HOJAS DE HORA PROY.'!$F$2:$F$943,'HOJAS DE HORA PROY.'!$A$2:$A$943,'PLAN MAESTRO FINAL'!$A823,'HOJAS DE HORA PROY.'!$M$2:$M$943,E$113)</f>
        <v>0</v>
      </c>
      <c r="F823" s="8">
        <f>SUMIFS('HOJAS DE HORA PROY.'!$F$2:$F$943,'HOJAS DE HORA PROY.'!$A$2:$A$943,'PLAN MAESTRO FINAL'!$A823,'HOJAS DE HORA PROY.'!$M$2:$M$943,F$113)</f>
        <v>0</v>
      </c>
      <c r="G823" s="8">
        <f>SUMIFS('HOJAS DE HORA PROY.'!$F$2:$F$943,'HOJAS DE HORA PROY.'!$A$2:$A$943,'PLAN MAESTRO FINAL'!$A823,'HOJAS DE HORA PROY.'!$M$2:$M$943,G$113)</f>
        <v>0</v>
      </c>
      <c r="H823" s="8">
        <f>SUMIFS('HOJAS DE HORA PROY.'!$F$2:$F$943,'HOJAS DE HORA PROY.'!$A$2:$A$943,'PLAN MAESTRO FINAL'!$A823,'HOJAS DE HORA PROY.'!$M$2:$M$943,H$113)</f>
        <v>0</v>
      </c>
      <c r="I823" s="8">
        <f>SUMIFS('HOJAS DE HORA PROY.'!$F$2:$F$943,'HOJAS DE HORA PROY.'!$A$2:$A$943,'PLAN MAESTRO FINAL'!$A823,'HOJAS DE HORA PROY.'!$M$2:$M$943,I$113)</f>
        <v>0</v>
      </c>
      <c r="J823" s="8">
        <f>SUMIFS('HOJAS DE HORA PROY.'!$F$2:$F$943,'HOJAS DE HORA PROY.'!$A$2:$A$943,'PLAN MAESTRO FINAL'!$A823,'HOJAS DE HORA PROY.'!$M$2:$M$943,J$113)</f>
        <v>0</v>
      </c>
      <c r="K823" s="8">
        <f>SUMIFS('HOJAS DE HORA PROY.'!$F$2:$F$943,'HOJAS DE HORA PROY.'!$A$2:$A$943,'PLAN MAESTRO FINAL'!$A823,'HOJAS DE HORA PROY.'!$M$2:$M$943,K$113)</f>
        <v>0</v>
      </c>
      <c r="L823" s="8">
        <f>SUMIFS('HOJAS DE HORA PROY.'!$F$2:$F$943,'HOJAS DE HORA PROY.'!$A$2:$A$943,'PLAN MAESTRO FINAL'!$A823,'HOJAS DE HORA PROY.'!$M$2:$M$943,L$113)</f>
        <v>0</v>
      </c>
      <c r="M823" s="8">
        <f>SUMIFS('HOJAS DE HORA PROY.'!$F$2:$F$943,'HOJAS DE HORA PROY.'!$A$2:$A$943,'PLAN MAESTRO FINAL'!$A823,'HOJAS DE HORA PROY.'!$M$2:$M$943,M$113)</f>
        <v>0</v>
      </c>
      <c r="N823" s="8">
        <f>SUMIFS('HOJAS DE HORA PROY.'!$F$2:$F$943,'HOJAS DE HORA PROY.'!$A$2:$A$943,'PLAN MAESTRO FINAL'!$A823,'HOJAS DE HORA PROY.'!$M$2:$M$943,N$113)</f>
        <v>0</v>
      </c>
      <c r="O823" s="8">
        <f>SUMIFS('HOJAS DE HORA PROY.'!$F$2:$F$943,'HOJAS DE HORA PROY.'!$A$2:$A$943,'PLAN MAESTRO FINAL'!$A823,'HOJAS DE HORA PROY.'!$M$2:$M$943,O$113)</f>
        <v>0</v>
      </c>
      <c r="P823" s="8">
        <f>SUMIFS('HOJAS DE HORA PROY.'!$F$2:$F$943,'HOJAS DE HORA PROY.'!$A$2:$A$943,'PLAN MAESTRO FINAL'!$A823,'HOJAS DE HORA PROY.'!$M$2:$M$943,P$113)</f>
        <v>0</v>
      </c>
      <c r="Q823" s="8">
        <f>SUMIFS('HOJAS DE HORA PROY.'!$F$2:$F$943,'HOJAS DE HORA PROY.'!$A$2:$A$943,'PLAN MAESTRO FINAL'!$A823,'HOJAS DE HORA PROY.'!$M$2:$M$943,Q$113)</f>
        <v>0</v>
      </c>
      <c r="R823" s="8">
        <f>SUMIFS('HOJAS DE HORA PROY.'!$F$2:$F$943,'HOJAS DE HORA PROY.'!$A$2:$A$943,'PLAN MAESTRO FINAL'!$A823,'HOJAS DE HORA PROY.'!$M$2:$M$943,R$113)</f>
        <v>0</v>
      </c>
      <c r="S823" s="8">
        <f>SUMIFS('HOJAS DE HORA PROY.'!$F$2:$F$943,'HOJAS DE HORA PROY.'!$A$2:$A$943,'PLAN MAESTRO FINAL'!$A823,'HOJAS DE HORA PROY.'!$M$2:$M$943,S$113)</f>
        <v>0</v>
      </c>
      <c r="T823" s="8">
        <f>SUMIFS('HOJAS DE HORA PROY.'!$F$2:$F$943,'HOJAS DE HORA PROY.'!$A$2:$A$943,'PLAN MAESTRO FINAL'!$A823,'HOJAS DE HORA PROY.'!$M$2:$M$943,T$113)</f>
        <v>0</v>
      </c>
      <c r="U823" s="8">
        <f>SUMIFS('HOJAS DE HORA PROY.'!$F$2:$F$943,'HOJAS DE HORA PROY.'!$A$2:$A$943,'PLAN MAESTRO FINAL'!$A823,'HOJAS DE HORA PROY.'!$M$2:$M$943,U$113)</f>
        <v>0</v>
      </c>
      <c r="V823" s="8">
        <f>SUMIFS('HOJAS DE HORA PROY.'!$F$2:$F$943,'HOJAS DE HORA PROY.'!$A$2:$A$943,'PLAN MAESTRO FINAL'!$A823,'HOJAS DE HORA PROY.'!$M$2:$M$943,V$113)</f>
        <v>0</v>
      </c>
      <c r="W823" s="8">
        <f>SUMIFS('HOJAS DE HORA PROY.'!$F$2:$F$943,'HOJAS DE HORA PROY.'!$A$2:$A$943,'PLAN MAESTRO FINAL'!$A823,'HOJAS DE HORA PROY.'!$M$2:$M$943,W$113)</f>
        <v>0</v>
      </c>
    </row>
    <row r="824" spans="1:23" hidden="1" outlineLevel="1" x14ac:dyDescent="0.3">
      <c r="A824" s="13" t="s">
        <v>453</v>
      </c>
      <c r="B824" s="8">
        <f>SUMIFS('HOJAS DE HORA PROY.'!$F$2:$F$943,'HOJAS DE HORA PROY.'!$A$2:$A$943,'PLAN MAESTRO FINAL'!$A824,'HOJAS DE HORA PROY.'!$M$2:$M$943,B$113)</f>
        <v>0</v>
      </c>
      <c r="C824" s="8">
        <f>SUMIFS('HOJAS DE HORA PROY.'!$F$2:$F$943,'HOJAS DE HORA PROY.'!$A$2:$A$943,'PLAN MAESTRO FINAL'!$A824,'HOJAS DE HORA PROY.'!$M$2:$M$943,C$113)</f>
        <v>0</v>
      </c>
      <c r="D824" s="8">
        <f>SUMIFS('HOJAS DE HORA PROY.'!$F$2:$F$943,'HOJAS DE HORA PROY.'!$A$2:$A$943,'PLAN MAESTRO FINAL'!$A824,'HOJAS DE HORA PROY.'!$M$2:$M$943,D$113)</f>
        <v>0</v>
      </c>
      <c r="E824" s="8">
        <f>SUMIFS('HOJAS DE HORA PROY.'!$F$2:$F$943,'HOJAS DE HORA PROY.'!$A$2:$A$943,'PLAN MAESTRO FINAL'!$A824,'HOJAS DE HORA PROY.'!$M$2:$M$943,E$113)</f>
        <v>0.5</v>
      </c>
      <c r="F824" s="8">
        <f>SUMIFS('HOJAS DE HORA PROY.'!$F$2:$F$943,'HOJAS DE HORA PROY.'!$A$2:$A$943,'PLAN MAESTRO FINAL'!$A824,'HOJAS DE HORA PROY.'!$M$2:$M$943,F$113)</f>
        <v>0</v>
      </c>
      <c r="G824" s="8">
        <f>SUMIFS('HOJAS DE HORA PROY.'!$F$2:$F$943,'HOJAS DE HORA PROY.'!$A$2:$A$943,'PLAN MAESTRO FINAL'!$A824,'HOJAS DE HORA PROY.'!$M$2:$M$943,G$113)</f>
        <v>0</v>
      </c>
      <c r="H824" s="8">
        <f>SUMIFS('HOJAS DE HORA PROY.'!$F$2:$F$943,'HOJAS DE HORA PROY.'!$A$2:$A$943,'PLAN MAESTRO FINAL'!$A824,'HOJAS DE HORA PROY.'!$M$2:$M$943,H$113)</f>
        <v>0</v>
      </c>
      <c r="I824" s="8">
        <f>SUMIFS('HOJAS DE HORA PROY.'!$F$2:$F$943,'HOJAS DE HORA PROY.'!$A$2:$A$943,'PLAN MAESTRO FINAL'!$A824,'HOJAS DE HORA PROY.'!$M$2:$M$943,I$113)</f>
        <v>0</v>
      </c>
      <c r="J824" s="8">
        <f>SUMIFS('HOJAS DE HORA PROY.'!$F$2:$F$943,'HOJAS DE HORA PROY.'!$A$2:$A$943,'PLAN MAESTRO FINAL'!$A824,'HOJAS DE HORA PROY.'!$M$2:$M$943,J$113)</f>
        <v>0</v>
      </c>
      <c r="K824" s="8">
        <f>SUMIFS('HOJAS DE HORA PROY.'!$F$2:$F$943,'HOJAS DE HORA PROY.'!$A$2:$A$943,'PLAN MAESTRO FINAL'!$A824,'HOJAS DE HORA PROY.'!$M$2:$M$943,K$113)</f>
        <v>0</v>
      </c>
      <c r="L824" s="8">
        <f>SUMIFS('HOJAS DE HORA PROY.'!$F$2:$F$943,'HOJAS DE HORA PROY.'!$A$2:$A$943,'PLAN MAESTRO FINAL'!$A824,'HOJAS DE HORA PROY.'!$M$2:$M$943,L$113)</f>
        <v>0</v>
      </c>
      <c r="M824" s="8">
        <f>SUMIFS('HOJAS DE HORA PROY.'!$F$2:$F$943,'HOJAS DE HORA PROY.'!$A$2:$A$943,'PLAN MAESTRO FINAL'!$A824,'HOJAS DE HORA PROY.'!$M$2:$M$943,M$113)</f>
        <v>0</v>
      </c>
      <c r="N824" s="8">
        <f>SUMIFS('HOJAS DE HORA PROY.'!$F$2:$F$943,'HOJAS DE HORA PROY.'!$A$2:$A$943,'PLAN MAESTRO FINAL'!$A824,'HOJAS DE HORA PROY.'!$M$2:$M$943,N$113)</f>
        <v>0</v>
      </c>
      <c r="O824" s="8">
        <f>SUMIFS('HOJAS DE HORA PROY.'!$F$2:$F$943,'HOJAS DE HORA PROY.'!$A$2:$A$943,'PLAN MAESTRO FINAL'!$A824,'HOJAS DE HORA PROY.'!$M$2:$M$943,O$113)</f>
        <v>0</v>
      </c>
      <c r="P824" s="8">
        <f>SUMIFS('HOJAS DE HORA PROY.'!$F$2:$F$943,'HOJAS DE HORA PROY.'!$A$2:$A$943,'PLAN MAESTRO FINAL'!$A824,'HOJAS DE HORA PROY.'!$M$2:$M$943,P$113)</f>
        <v>0</v>
      </c>
      <c r="Q824" s="8">
        <f>SUMIFS('HOJAS DE HORA PROY.'!$F$2:$F$943,'HOJAS DE HORA PROY.'!$A$2:$A$943,'PLAN MAESTRO FINAL'!$A824,'HOJAS DE HORA PROY.'!$M$2:$M$943,Q$113)</f>
        <v>0</v>
      </c>
      <c r="R824" s="8">
        <f>SUMIFS('HOJAS DE HORA PROY.'!$F$2:$F$943,'HOJAS DE HORA PROY.'!$A$2:$A$943,'PLAN MAESTRO FINAL'!$A824,'HOJAS DE HORA PROY.'!$M$2:$M$943,R$113)</f>
        <v>0</v>
      </c>
      <c r="S824" s="8">
        <f>SUMIFS('HOJAS DE HORA PROY.'!$F$2:$F$943,'HOJAS DE HORA PROY.'!$A$2:$A$943,'PLAN MAESTRO FINAL'!$A824,'HOJAS DE HORA PROY.'!$M$2:$M$943,S$113)</f>
        <v>0</v>
      </c>
      <c r="T824" s="8">
        <f>SUMIFS('HOJAS DE HORA PROY.'!$F$2:$F$943,'HOJAS DE HORA PROY.'!$A$2:$A$943,'PLAN MAESTRO FINAL'!$A824,'HOJAS DE HORA PROY.'!$M$2:$M$943,T$113)</f>
        <v>0</v>
      </c>
      <c r="U824" s="8">
        <f>SUMIFS('HOJAS DE HORA PROY.'!$F$2:$F$943,'HOJAS DE HORA PROY.'!$A$2:$A$943,'PLAN MAESTRO FINAL'!$A824,'HOJAS DE HORA PROY.'!$M$2:$M$943,U$113)</f>
        <v>0</v>
      </c>
      <c r="V824" s="8">
        <f>SUMIFS('HOJAS DE HORA PROY.'!$F$2:$F$943,'HOJAS DE HORA PROY.'!$A$2:$A$943,'PLAN MAESTRO FINAL'!$A824,'HOJAS DE HORA PROY.'!$M$2:$M$943,V$113)</f>
        <v>0</v>
      </c>
      <c r="W824" s="8">
        <f>SUMIFS('HOJAS DE HORA PROY.'!$F$2:$F$943,'HOJAS DE HORA PROY.'!$A$2:$A$943,'PLAN MAESTRO FINAL'!$A824,'HOJAS DE HORA PROY.'!$M$2:$M$943,W$113)</f>
        <v>0</v>
      </c>
    </row>
    <row r="825" spans="1:23" hidden="1" outlineLevel="1" x14ac:dyDescent="0.3">
      <c r="A825" s="13" t="s">
        <v>468</v>
      </c>
      <c r="B825" s="8">
        <f>SUMIFS('HOJAS DE HORA PROY.'!$F$2:$F$943,'HOJAS DE HORA PROY.'!$A$2:$A$943,'PLAN MAESTRO FINAL'!$A825,'HOJAS DE HORA PROY.'!$M$2:$M$943,B$113)</f>
        <v>0</v>
      </c>
      <c r="C825" s="8">
        <f>SUMIFS('HOJAS DE HORA PROY.'!$F$2:$F$943,'HOJAS DE HORA PROY.'!$A$2:$A$943,'PLAN MAESTRO FINAL'!$A825,'HOJAS DE HORA PROY.'!$M$2:$M$943,C$113)</f>
        <v>0</v>
      </c>
      <c r="D825" s="8">
        <f>SUMIFS('HOJAS DE HORA PROY.'!$F$2:$F$943,'HOJAS DE HORA PROY.'!$A$2:$A$943,'PLAN MAESTRO FINAL'!$A825,'HOJAS DE HORA PROY.'!$M$2:$M$943,D$113)</f>
        <v>0</v>
      </c>
      <c r="E825" s="8">
        <f>SUMIFS('HOJAS DE HORA PROY.'!$F$2:$F$943,'HOJAS DE HORA PROY.'!$A$2:$A$943,'PLAN MAESTRO FINAL'!$A825,'HOJAS DE HORA PROY.'!$M$2:$M$943,E$113)</f>
        <v>0</v>
      </c>
      <c r="F825" s="8">
        <f>SUMIFS('HOJAS DE HORA PROY.'!$F$2:$F$943,'HOJAS DE HORA PROY.'!$A$2:$A$943,'PLAN MAESTRO FINAL'!$A825,'HOJAS DE HORA PROY.'!$M$2:$M$943,F$113)</f>
        <v>0.5</v>
      </c>
      <c r="G825" s="8">
        <f>SUMIFS('HOJAS DE HORA PROY.'!$F$2:$F$943,'HOJAS DE HORA PROY.'!$A$2:$A$943,'PLAN MAESTRO FINAL'!$A825,'HOJAS DE HORA PROY.'!$M$2:$M$943,G$113)</f>
        <v>30</v>
      </c>
      <c r="H825" s="8">
        <f>SUMIFS('HOJAS DE HORA PROY.'!$F$2:$F$943,'HOJAS DE HORA PROY.'!$A$2:$A$943,'PLAN MAESTRO FINAL'!$A825,'HOJAS DE HORA PROY.'!$M$2:$M$943,H$113)</f>
        <v>0</v>
      </c>
      <c r="I825" s="8">
        <f>SUMIFS('HOJAS DE HORA PROY.'!$F$2:$F$943,'HOJAS DE HORA PROY.'!$A$2:$A$943,'PLAN MAESTRO FINAL'!$A825,'HOJAS DE HORA PROY.'!$M$2:$M$943,I$113)</f>
        <v>0</v>
      </c>
      <c r="J825" s="8">
        <f>SUMIFS('HOJAS DE HORA PROY.'!$F$2:$F$943,'HOJAS DE HORA PROY.'!$A$2:$A$943,'PLAN MAESTRO FINAL'!$A825,'HOJAS DE HORA PROY.'!$M$2:$M$943,J$113)</f>
        <v>18</v>
      </c>
      <c r="K825" s="8">
        <f>SUMIFS('HOJAS DE HORA PROY.'!$F$2:$F$943,'HOJAS DE HORA PROY.'!$A$2:$A$943,'PLAN MAESTRO FINAL'!$A825,'HOJAS DE HORA PROY.'!$M$2:$M$943,K$113)</f>
        <v>0</v>
      </c>
      <c r="L825" s="8">
        <f>SUMIFS('HOJAS DE HORA PROY.'!$F$2:$F$943,'HOJAS DE HORA PROY.'!$A$2:$A$943,'PLAN MAESTRO FINAL'!$A825,'HOJAS DE HORA PROY.'!$M$2:$M$943,L$113)</f>
        <v>0</v>
      </c>
      <c r="M825" s="8">
        <f>SUMIFS('HOJAS DE HORA PROY.'!$F$2:$F$943,'HOJAS DE HORA PROY.'!$A$2:$A$943,'PLAN MAESTRO FINAL'!$A825,'HOJAS DE HORA PROY.'!$M$2:$M$943,M$113)</f>
        <v>0</v>
      </c>
      <c r="N825" s="8">
        <f>SUMIFS('HOJAS DE HORA PROY.'!$F$2:$F$943,'HOJAS DE HORA PROY.'!$A$2:$A$943,'PLAN MAESTRO FINAL'!$A825,'HOJAS DE HORA PROY.'!$M$2:$M$943,N$113)</f>
        <v>0</v>
      </c>
      <c r="O825" s="8">
        <f>SUMIFS('HOJAS DE HORA PROY.'!$F$2:$F$943,'HOJAS DE HORA PROY.'!$A$2:$A$943,'PLAN MAESTRO FINAL'!$A825,'HOJAS DE HORA PROY.'!$M$2:$M$943,O$113)</f>
        <v>0</v>
      </c>
      <c r="P825" s="8">
        <f>SUMIFS('HOJAS DE HORA PROY.'!$F$2:$F$943,'HOJAS DE HORA PROY.'!$A$2:$A$943,'PLAN MAESTRO FINAL'!$A825,'HOJAS DE HORA PROY.'!$M$2:$M$943,P$113)</f>
        <v>0</v>
      </c>
      <c r="Q825" s="8">
        <f>SUMIFS('HOJAS DE HORA PROY.'!$F$2:$F$943,'HOJAS DE HORA PROY.'!$A$2:$A$943,'PLAN MAESTRO FINAL'!$A825,'HOJAS DE HORA PROY.'!$M$2:$M$943,Q$113)</f>
        <v>0</v>
      </c>
      <c r="R825" s="8">
        <f>SUMIFS('HOJAS DE HORA PROY.'!$F$2:$F$943,'HOJAS DE HORA PROY.'!$A$2:$A$943,'PLAN MAESTRO FINAL'!$A825,'HOJAS DE HORA PROY.'!$M$2:$M$943,R$113)</f>
        <v>0</v>
      </c>
      <c r="S825" s="8">
        <f>SUMIFS('HOJAS DE HORA PROY.'!$F$2:$F$943,'HOJAS DE HORA PROY.'!$A$2:$A$943,'PLAN MAESTRO FINAL'!$A825,'HOJAS DE HORA PROY.'!$M$2:$M$943,S$113)</f>
        <v>0</v>
      </c>
      <c r="T825" s="8">
        <f>SUMIFS('HOJAS DE HORA PROY.'!$F$2:$F$943,'HOJAS DE HORA PROY.'!$A$2:$A$943,'PLAN MAESTRO FINAL'!$A825,'HOJAS DE HORA PROY.'!$M$2:$M$943,T$113)</f>
        <v>0</v>
      </c>
      <c r="U825" s="8">
        <f>SUMIFS('HOJAS DE HORA PROY.'!$F$2:$F$943,'HOJAS DE HORA PROY.'!$A$2:$A$943,'PLAN MAESTRO FINAL'!$A825,'HOJAS DE HORA PROY.'!$M$2:$M$943,U$113)</f>
        <v>0</v>
      </c>
      <c r="V825" s="8">
        <f>SUMIFS('HOJAS DE HORA PROY.'!$F$2:$F$943,'HOJAS DE HORA PROY.'!$A$2:$A$943,'PLAN MAESTRO FINAL'!$A825,'HOJAS DE HORA PROY.'!$M$2:$M$943,V$113)</f>
        <v>0</v>
      </c>
      <c r="W825" s="8">
        <f>SUMIFS('HOJAS DE HORA PROY.'!$F$2:$F$943,'HOJAS DE HORA PROY.'!$A$2:$A$943,'PLAN MAESTRO FINAL'!$A825,'HOJAS DE HORA PROY.'!$M$2:$M$943,W$113)</f>
        <v>0</v>
      </c>
    </row>
    <row r="826" spans="1:23" hidden="1" outlineLevel="1" x14ac:dyDescent="0.3">
      <c r="A826" s="13" t="s">
        <v>479</v>
      </c>
      <c r="B826" s="8">
        <f>SUMIFS('HOJAS DE HORA PROY.'!$F$2:$F$943,'HOJAS DE HORA PROY.'!$A$2:$A$943,'PLAN MAESTRO FINAL'!$A826,'HOJAS DE HORA PROY.'!$M$2:$M$943,B$113)</f>
        <v>0</v>
      </c>
      <c r="C826" s="8">
        <f>SUMIFS('HOJAS DE HORA PROY.'!$F$2:$F$943,'HOJAS DE HORA PROY.'!$A$2:$A$943,'PLAN MAESTRO FINAL'!$A826,'HOJAS DE HORA PROY.'!$M$2:$M$943,C$113)</f>
        <v>0</v>
      </c>
      <c r="D826" s="8">
        <f>SUMIFS('HOJAS DE HORA PROY.'!$F$2:$F$943,'HOJAS DE HORA PROY.'!$A$2:$A$943,'PLAN MAESTRO FINAL'!$A826,'HOJAS DE HORA PROY.'!$M$2:$M$943,D$113)</f>
        <v>0</v>
      </c>
      <c r="E826" s="8">
        <f>SUMIFS('HOJAS DE HORA PROY.'!$F$2:$F$943,'HOJAS DE HORA PROY.'!$A$2:$A$943,'PLAN MAESTRO FINAL'!$A826,'HOJAS DE HORA PROY.'!$M$2:$M$943,E$113)</f>
        <v>0</v>
      </c>
      <c r="F826" s="8">
        <f>SUMIFS('HOJAS DE HORA PROY.'!$F$2:$F$943,'HOJAS DE HORA PROY.'!$A$2:$A$943,'PLAN MAESTRO FINAL'!$A826,'HOJAS DE HORA PROY.'!$M$2:$M$943,F$113)</f>
        <v>0</v>
      </c>
      <c r="G826" s="8">
        <f>SUMIFS('HOJAS DE HORA PROY.'!$F$2:$F$943,'HOJAS DE HORA PROY.'!$A$2:$A$943,'PLAN MAESTRO FINAL'!$A826,'HOJAS DE HORA PROY.'!$M$2:$M$943,G$113)</f>
        <v>0</v>
      </c>
      <c r="H826" s="8">
        <f>SUMIFS('HOJAS DE HORA PROY.'!$F$2:$F$943,'HOJAS DE HORA PROY.'!$A$2:$A$943,'PLAN MAESTRO FINAL'!$A826,'HOJAS DE HORA PROY.'!$M$2:$M$943,H$113)</f>
        <v>0</v>
      </c>
      <c r="I826" s="8">
        <f>SUMIFS('HOJAS DE HORA PROY.'!$F$2:$F$943,'HOJAS DE HORA PROY.'!$A$2:$A$943,'PLAN MAESTRO FINAL'!$A826,'HOJAS DE HORA PROY.'!$M$2:$M$943,I$113)</f>
        <v>0</v>
      </c>
      <c r="J826" s="8">
        <f>SUMIFS('HOJAS DE HORA PROY.'!$F$2:$F$943,'HOJAS DE HORA PROY.'!$A$2:$A$943,'PLAN MAESTRO FINAL'!$A826,'HOJAS DE HORA PROY.'!$M$2:$M$943,J$113)</f>
        <v>0</v>
      </c>
      <c r="K826" s="8">
        <f>SUMIFS('HOJAS DE HORA PROY.'!$F$2:$F$943,'HOJAS DE HORA PROY.'!$A$2:$A$943,'PLAN MAESTRO FINAL'!$A826,'HOJAS DE HORA PROY.'!$M$2:$M$943,K$113)</f>
        <v>0</v>
      </c>
      <c r="L826" s="8">
        <f>SUMIFS('HOJAS DE HORA PROY.'!$F$2:$F$943,'HOJAS DE HORA PROY.'!$A$2:$A$943,'PLAN MAESTRO FINAL'!$A826,'HOJAS DE HORA PROY.'!$M$2:$M$943,L$113)</f>
        <v>0</v>
      </c>
      <c r="M826" s="8">
        <f>SUMIFS('HOJAS DE HORA PROY.'!$F$2:$F$943,'HOJAS DE HORA PROY.'!$A$2:$A$943,'PLAN MAESTRO FINAL'!$A826,'HOJAS DE HORA PROY.'!$M$2:$M$943,M$113)</f>
        <v>0</v>
      </c>
      <c r="N826" s="8">
        <f>SUMIFS('HOJAS DE HORA PROY.'!$F$2:$F$943,'HOJAS DE HORA PROY.'!$A$2:$A$943,'PLAN MAESTRO FINAL'!$A826,'HOJAS DE HORA PROY.'!$M$2:$M$943,N$113)</f>
        <v>0</v>
      </c>
      <c r="O826" s="8">
        <f>SUMIFS('HOJAS DE HORA PROY.'!$F$2:$F$943,'HOJAS DE HORA PROY.'!$A$2:$A$943,'PLAN MAESTRO FINAL'!$A826,'HOJAS DE HORA PROY.'!$M$2:$M$943,O$113)</f>
        <v>0</v>
      </c>
      <c r="P826" s="8">
        <f>SUMIFS('HOJAS DE HORA PROY.'!$F$2:$F$943,'HOJAS DE HORA PROY.'!$A$2:$A$943,'PLAN MAESTRO FINAL'!$A826,'HOJAS DE HORA PROY.'!$M$2:$M$943,P$113)</f>
        <v>0</v>
      </c>
      <c r="Q826" s="8">
        <f>SUMIFS('HOJAS DE HORA PROY.'!$F$2:$F$943,'HOJAS DE HORA PROY.'!$A$2:$A$943,'PLAN MAESTRO FINAL'!$A826,'HOJAS DE HORA PROY.'!$M$2:$M$943,Q$113)</f>
        <v>0</v>
      </c>
      <c r="R826" s="8">
        <f>SUMIFS('HOJAS DE HORA PROY.'!$F$2:$F$943,'HOJAS DE HORA PROY.'!$A$2:$A$943,'PLAN MAESTRO FINAL'!$A826,'HOJAS DE HORA PROY.'!$M$2:$M$943,R$113)</f>
        <v>0</v>
      </c>
      <c r="S826" s="8">
        <f>SUMIFS('HOJAS DE HORA PROY.'!$F$2:$F$943,'HOJAS DE HORA PROY.'!$A$2:$A$943,'PLAN MAESTRO FINAL'!$A826,'HOJAS DE HORA PROY.'!$M$2:$M$943,S$113)</f>
        <v>0</v>
      </c>
      <c r="T826" s="8">
        <f>SUMIFS('HOJAS DE HORA PROY.'!$F$2:$F$943,'HOJAS DE HORA PROY.'!$A$2:$A$943,'PLAN MAESTRO FINAL'!$A826,'HOJAS DE HORA PROY.'!$M$2:$M$943,T$113)</f>
        <v>0</v>
      </c>
      <c r="U826" s="8">
        <f>SUMIFS('HOJAS DE HORA PROY.'!$F$2:$F$943,'HOJAS DE HORA PROY.'!$A$2:$A$943,'PLAN MAESTRO FINAL'!$A826,'HOJAS DE HORA PROY.'!$M$2:$M$943,U$113)</f>
        <v>0</v>
      </c>
      <c r="V826" s="8">
        <f>SUMIFS('HOJAS DE HORA PROY.'!$F$2:$F$943,'HOJAS DE HORA PROY.'!$A$2:$A$943,'PLAN MAESTRO FINAL'!$A826,'HOJAS DE HORA PROY.'!$M$2:$M$943,V$113)</f>
        <v>0</v>
      </c>
      <c r="W826" s="8">
        <f>SUMIFS('HOJAS DE HORA PROY.'!$F$2:$F$943,'HOJAS DE HORA PROY.'!$A$2:$A$943,'PLAN MAESTRO FINAL'!$A826,'HOJAS DE HORA PROY.'!$M$2:$M$943,W$113)</f>
        <v>0</v>
      </c>
    </row>
    <row r="827" spans="1:23" hidden="1" outlineLevel="1" x14ac:dyDescent="0.3">
      <c r="A827" s="13" t="s">
        <v>488</v>
      </c>
      <c r="B827" s="8">
        <f>SUMIFS('HOJAS DE HORA PROY.'!$F$2:$F$943,'HOJAS DE HORA PROY.'!$A$2:$A$943,'PLAN MAESTRO FINAL'!$A827,'HOJAS DE HORA PROY.'!$M$2:$M$943,B$113)</f>
        <v>0</v>
      </c>
      <c r="C827" s="8">
        <f>SUMIFS('HOJAS DE HORA PROY.'!$F$2:$F$943,'HOJAS DE HORA PROY.'!$A$2:$A$943,'PLAN MAESTRO FINAL'!$A827,'HOJAS DE HORA PROY.'!$M$2:$M$943,C$113)</f>
        <v>0</v>
      </c>
      <c r="D827" s="8">
        <f>SUMIFS('HOJAS DE HORA PROY.'!$F$2:$F$943,'HOJAS DE HORA PROY.'!$A$2:$A$943,'PLAN MAESTRO FINAL'!$A827,'HOJAS DE HORA PROY.'!$M$2:$M$943,D$113)</f>
        <v>0</v>
      </c>
      <c r="E827" s="8">
        <f>SUMIFS('HOJAS DE HORA PROY.'!$F$2:$F$943,'HOJAS DE HORA PROY.'!$A$2:$A$943,'PLAN MAESTRO FINAL'!$A827,'HOJAS DE HORA PROY.'!$M$2:$M$943,E$113)</f>
        <v>0</v>
      </c>
      <c r="F827" s="8">
        <f>SUMIFS('HOJAS DE HORA PROY.'!$F$2:$F$943,'HOJAS DE HORA PROY.'!$A$2:$A$943,'PLAN MAESTRO FINAL'!$A827,'HOJAS DE HORA PROY.'!$M$2:$M$943,F$113)</f>
        <v>40</v>
      </c>
      <c r="G827" s="8">
        <f>SUMIFS('HOJAS DE HORA PROY.'!$F$2:$F$943,'HOJAS DE HORA PROY.'!$A$2:$A$943,'PLAN MAESTRO FINAL'!$A827,'HOJAS DE HORA PROY.'!$M$2:$M$943,G$113)</f>
        <v>0</v>
      </c>
      <c r="H827" s="8">
        <f>SUMIFS('HOJAS DE HORA PROY.'!$F$2:$F$943,'HOJAS DE HORA PROY.'!$A$2:$A$943,'PLAN MAESTRO FINAL'!$A827,'HOJAS DE HORA PROY.'!$M$2:$M$943,H$113)</f>
        <v>20</v>
      </c>
      <c r="I827" s="8">
        <f>SUMIFS('HOJAS DE HORA PROY.'!$F$2:$F$943,'HOJAS DE HORA PROY.'!$A$2:$A$943,'PLAN MAESTRO FINAL'!$A827,'HOJAS DE HORA PROY.'!$M$2:$M$943,I$113)</f>
        <v>0</v>
      </c>
      <c r="J827" s="8">
        <f>SUMIFS('HOJAS DE HORA PROY.'!$F$2:$F$943,'HOJAS DE HORA PROY.'!$A$2:$A$943,'PLAN MAESTRO FINAL'!$A827,'HOJAS DE HORA PROY.'!$M$2:$M$943,J$113)</f>
        <v>0</v>
      </c>
      <c r="K827" s="8">
        <f>SUMIFS('HOJAS DE HORA PROY.'!$F$2:$F$943,'HOJAS DE HORA PROY.'!$A$2:$A$943,'PLAN MAESTRO FINAL'!$A827,'HOJAS DE HORA PROY.'!$M$2:$M$943,K$113)</f>
        <v>0</v>
      </c>
      <c r="L827" s="8">
        <f>SUMIFS('HOJAS DE HORA PROY.'!$F$2:$F$943,'HOJAS DE HORA PROY.'!$A$2:$A$943,'PLAN MAESTRO FINAL'!$A827,'HOJAS DE HORA PROY.'!$M$2:$M$943,L$113)</f>
        <v>0</v>
      </c>
      <c r="M827" s="8">
        <f>SUMIFS('HOJAS DE HORA PROY.'!$F$2:$F$943,'HOJAS DE HORA PROY.'!$A$2:$A$943,'PLAN MAESTRO FINAL'!$A827,'HOJAS DE HORA PROY.'!$M$2:$M$943,M$113)</f>
        <v>0</v>
      </c>
      <c r="N827" s="8">
        <f>SUMIFS('HOJAS DE HORA PROY.'!$F$2:$F$943,'HOJAS DE HORA PROY.'!$A$2:$A$943,'PLAN MAESTRO FINAL'!$A827,'HOJAS DE HORA PROY.'!$M$2:$M$943,N$113)</f>
        <v>0</v>
      </c>
      <c r="O827" s="8">
        <f>SUMIFS('HOJAS DE HORA PROY.'!$F$2:$F$943,'HOJAS DE HORA PROY.'!$A$2:$A$943,'PLAN MAESTRO FINAL'!$A827,'HOJAS DE HORA PROY.'!$M$2:$M$943,O$113)</f>
        <v>0</v>
      </c>
      <c r="P827" s="8">
        <f>SUMIFS('HOJAS DE HORA PROY.'!$F$2:$F$943,'HOJAS DE HORA PROY.'!$A$2:$A$943,'PLAN MAESTRO FINAL'!$A827,'HOJAS DE HORA PROY.'!$M$2:$M$943,P$113)</f>
        <v>0</v>
      </c>
      <c r="Q827" s="8">
        <f>SUMIFS('HOJAS DE HORA PROY.'!$F$2:$F$943,'HOJAS DE HORA PROY.'!$A$2:$A$943,'PLAN MAESTRO FINAL'!$A827,'HOJAS DE HORA PROY.'!$M$2:$M$943,Q$113)</f>
        <v>0</v>
      </c>
      <c r="R827" s="8">
        <f>SUMIFS('HOJAS DE HORA PROY.'!$F$2:$F$943,'HOJAS DE HORA PROY.'!$A$2:$A$943,'PLAN MAESTRO FINAL'!$A827,'HOJAS DE HORA PROY.'!$M$2:$M$943,R$113)</f>
        <v>0</v>
      </c>
      <c r="S827" s="8">
        <f>SUMIFS('HOJAS DE HORA PROY.'!$F$2:$F$943,'HOJAS DE HORA PROY.'!$A$2:$A$943,'PLAN MAESTRO FINAL'!$A827,'HOJAS DE HORA PROY.'!$M$2:$M$943,S$113)</f>
        <v>0</v>
      </c>
      <c r="T827" s="8">
        <f>SUMIFS('HOJAS DE HORA PROY.'!$F$2:$F$943,'HOJAS DE HORA PROY.'!$A$2:$A$943,'PLAN MAESTRO FINAL'!$A827,'HOJAS DE HORA PROY.'!$M$2:$M$943,T$113)</f>
        <v>0</v>
      </c>
      <c r="U827" s="8">
        <f>SUMIFS('HOJAS DE HORA PROY.'!$F$2:$F$943,'HOJAS DE HORA PROY.'!$A$2:$A$943,'PLAN MAESTRO FINAL'!$A827,'HOJAS DE HORA PROY.'!$M$2:$M$943,U$113)</f>
        <v>0</v>
      </c>
      <c r="V827" s="8">
        <f>SUMIFS('HOJAS DE HORA PROY.'!$F$2:$F$943,'HOJAS DE HORA PROY.'!$A$2:$A$943,'PLAN MAESTRO FINAL'!$A827,'HOJAS DE HORA PROY.'!$M$2:$M$943,V$113)</f>
        <v>0</v>
      </c>
      <c r="W827" s="8">
        <f>SUMIFS('HOJAS DE HORA PROY.'!$F$2:$F$943,'HOJAS DE HORA PROY.'!$A$2:$A$943,'PLAN MAESTRO FINAL'!$A827,'HOJAS DE HORA PROY.'!$M$2:$M$943,W$113)</f>
        <v>0</v>
      </c>
    </row>
    <row r="828" spans="1:23" hidden="1" outlineLevel="1" x14ac:dyDescent="0.3">
      <c r="A828" s="13" t="s">
        <v>492</v>
      </c>
      <c r="B828" s="8">
        <f>SUMIFS('HOJAS DE HORA PROY.'!$F$2:$F$943,'HOJAS DE HORA PROY.'!$A$2:$A$943,'PLAN MAESTRO FINAL'!$A828,'HOJAS DE HORA PROY.'!$M$2:$M$943,B$113)</f>
        <v>0</v>
      </c>
      <c r="C828" s="8">
        <f>SUMIFS('HOJAS DE HORA PROY.'!$F$2:$F$943,'HOJAS DE HORA PROY.'!$A$2:$A$943,'PLAN MAESTRO FINAL'!$A828,'HOJAS DE HORA PROY.'!$M$2:$M$943,C$113)</f>
        <v>0</v>
      </c>
      <c r="D828" s="8">
        <f>SUMIFS('HOJAS DE HORA PROY.'!$F$2:$F$943,'HOJAS DE HORA PROY.'!$A$2:$A$943,'PLAN MAESTRO FINAL'!$A828,'HOJAS DE HORA PROY.'!$M$2:$M$943,D$113)</f>
        <v>0</v>
      </c>
      <c r="E828" s="8">
        <f>SUMIFS('HOJAS DE HORA PROY.'!$F$2:$F$943,'HOJAS DE HORA PROY.'!$A$2:$A$943,'PLAN MAESTRO FINAL'!$A828,'HOJAS DE HORA PROY.'!$M$2:$M$943,E$113)</f>
        <v>0</v>
      </c>
      <c r="F828" s="8">
        <f>SUMIFS('HOJAS DE HORA PROY.'!$F$2:$F$943,'HOJAS DE HORA PROY.'!$A$2:$A$943,'PLAN MAESTRO FINAL'!$A828,'HOJAS DE HORA PROY.'!$M$2:$M$943,F$113)</f>
        <v>0</v>
      </c>
      <c r="G828" s="8">
        <f>SUMIFS('HOJAS DE HORA PROY.'!$F$2:$F$943,'HOJAS DE HORA PROY.'!$A$2:$A$943,'PLAN MAESTRO FINAL'!$A828,'HOJAS DE HORA PROY.'!$M$2:$M$943,G$113)</f>
        <v>0</v>
      </c>
      <c r="H828" s="8">
        <f>SUMIFS('HOJAS DE HORA PROY.'!$F$2:$F$943,'HOJAS DE HORA PROY.'!$A$2:$A$943,'PLAN MAESTRO FINAL'!$A828,'HOJAS DE HORA PROY.'!$M$2:$M$943,H$113)</f>
        <v>0</v>
      </c>
      <c r="I828" s="8">
        <f>SUMIFS('HOJAS DE HORA PROY.'!$F$2:$F$943,'HOJAS DE HORA PROY.'!$A$2:$A$943,'PLAN MAESTRO FINAL'!$A828,'HOJAS DE HORA PROY.'!$M$2:$M$943,I$113)</f>
        <v>0</v>
      </c>
      <c r="J828" s="8">
        <f>SUMIFS('HOJAS DE HORA PROY.'!$F$2:$F$943,'HOJAS DE HORA PROY.'!$A$2:$A$943,'PLAN MAESTRO FINAL'!$A828,'HOJAS DE HORA PROY.'!$M$2:$M$943,J$113)</f>
        <v>0</v>
      </c>
      <c r="K828" s="8">
        <f>SUMIFS('HOJAS DE HORA PROY.'!$F$2:$F$943,'HOJAS DE HORA PROY.'!$A$2:$A$943,'PLAN MAESTRO FINAL'!$A828,'HOJAS DE HORA PROY.'!$M$2:$M$943,K$113)</f>
        <v>0</v>
      </c>
      <c r="L828" s="8">
        <f>SUMIFS('HOJAS DE HORA PROY.'!$F$2:$F$943,'HOJAS DE HORA PROY.'!$A$2:$A$943,'PLAN MAESTRO FINAL'!$A828,'HOJAS DE HORA PROY.'!$M$2:$M$943,L$113)</f>
        <v>0</v>
      </c>
      <c r="M828" s="8">
        <f>SUMIFS('HOJAS DE HORA PROY.'!$F$2:$F$943,'HOJAS DE HORA PROY.'!$A$2:$A$943,'PLAN MAESTRO FINAL'!$A828,'HOJAS DE HORA PROY.'!$M$2:$M$943,M$113)</f>
        <v>0</v>
      </c>
      <c r="N828" s="8">
        <f>SUMIFS('HOJAS DE HORA PROY.'!$F$2:$F$943,'HOJAS DE HORA PROY.'!$A$2:$A$943,'PLAN MAESTRO FINAL'!$A828,'HOJAS DE HORA PROY.'!$M$2:$M$943,N$113)</f>
        <v>0</v>
      </c>
      <c r="O828" s="8">
        <f>SUMIFS('HOJAS DE HORA PROY.'!$F$2:$F$943,'HOJAS DE HORA PROY.'!$A$2:$A$943,'PLAN MAESTRO FINAL'!$A828,'HOJAS DE HORA PROY.'!$M$2:$M$943,O$113)</f>
        <v>0</v>
      </c>
      <c r="P828" s="8">
        <f>SUMIFS('HOJAS DE HORA PROY.'!$F$2:$F$943,'HOJAS DE HORA PROY.'!$A$2:$A$943,'PLAN MAESTRO FINAL'!$A828,'HOJAS DE HORA PROY.'!$M$2:$M$943,P$113)</f>
        <v>0</v>
      </c>
      <c r="Q828" s="8">
        <f>SUMIFS('HOJAS DE HORA PROY.'!$F$2:$F$943,'HOJAS DE HORA PROY.'!$A$2:$A$943,'PLAN MAESTRO FINAL'!$A828,'HOJAS DE HORA PROY.'!$M$2:$M$943,Q$113)</f>
        <v>0</v>
      </c>
      <c r="R828" s="8">
        <f>SUMIFS('HOJAS DE HORA PROY.'!$F$2:$F$943,'HOJAS DE HORA PROY.'!$A$2:$A$943,'PLAN MAESTRO FINAL'!$A828,'HOJAS DE HORA PROY.'!$M$2:$M$943,R$113)</f>
        <v>0</v>
      </c>
      <c r="S828" s="8">
        <f>SUMIFS('HOJAS DE HORA PROY.'!$F$2:$F$943,'HOJAS DE HORA PROY.'!$A$2:$A$943,'PLAN MAESTRO FINAL'!$A828,'HOJAS DE HORA PROY.'!$M$2:$M$943,S$113)</f>
        <v>0</v>
      </c>
      <c r="T828" s="8">
        <f>SUMIFS('HOJAS DE HORA PROY.'!$F$2:$F$943,'HOJAS DE HORA PROY.'!$A$2:$A$943,'PLAN MAESTRO FINAL'!$A828,'HOJAS DE HORA PROY.'!$M$2:$M$943,T$113)</f>
        <v>0</v>
      </c>
      <c r="U828" s="8">
        <f>SUMIFS('HOJAS DE HORA PROY.'!$F$2:$F$943,'HOJAS DE HORA PROY.'!$A$2:$A$943,'PLAN MAESTRO FINAL'!$A828,'HOJAS DE HORA PROY.'!$M$2:$M$943,U$113)</f>
        <v>0</v>
      </c>
      <c r="V828" s="8">
        <f>SUMIFS('HOJAS DE HORA PROY.'!$F$2:$F$943,'HOJAS DE HORA PROY.'!$A$2:$A$943,'PLAN MAESTRO FINAL'!$A828,'HOJAS DE HORA PROY.'!$M$2:$M$943,V$113)</f>
        <v>0</v>
      </c>
      <c r="W828" s="8">
        <f>SUMIFS('HOJAS DE HORA PROY.'!$F$2:$F$943,'HOJAS DE HORA PROY.'!$A$2:$A$943,'PLAN MAESTRO FINAL'!$A828,'HOJAS DE HORA PROY.'!$M$2:$M$943,W$113)</f>
        <v>0</v>
      </c>
    </row>
    <row r="829" spans="1:23" hidden="1" outlineLevel="1" x14ac:dyDescent="0.3">
      <c r="A829" s="13" t="s">
        <v>507</v>
      </c>
      <c r="B829" s="8">
        <f>SUMIFS('HOJAS DE HORA PROY.'!$F$2:$F$943,'HOJAS DE HORA PROY.'!$A$2:$A$943,'PLAN MAESTRO FINAL'!$A829,'HOJAS DE HORA PROY.'!$M$2:$M$943,B$113)</f>
        <v>0</v>
      </c>
      <c r="C829" s="8">
        <f>SUMIFS('HOJAS DE HORA PROY.'!$F$2:$F$943,'HOJAS DE HORA PROY.'!$A$2:$A$943,'PLAN MAESTRO FINAL'!$A829,'HOJAS DE HORA PROY.'!$M$2:$M$943,C$113)</f>
        <v>0</v>
      </c>
      <c r="D829" s="8">
        <f>SUMIFS('HOJAS DE HORA PROY.'!$F$2:$F$943,'HOJAS DE HORA PROY.'!$A$2:$A$943,'PLAN MAESTRO FINAL'!$A829,'HOJAS DE HORA PROY.'!$M$2:$M$943,D$113)</f>
        <v>0</v>
      </c>
      <c r="E829" s="8">
        <f>SUMIFS('HOJAS DE HORA PROY.'!$F$2:$F$943,'HOJAS DE HORA PROY.'!$A$2:$A$943,'PLAN MAESTRO FINAL'!$A829,'HOJAS DE HORA PROY.'!$M$2:$M$943,E$113)</f>
        <v>0</v>
      </c>
      <c r="F829" s="8">
        <f>SUMIFS('HOJAS DE HORA PROY.'!$F$2:$F$943,'HOJAS DE HORA PROY.'!$A$2:$A$943,'PLAN MAESTRO FINAL'!$A829,'HOJAS DE HORA PROY.'!$M$2:$M$943,F$113)</f>
        <v>0</v>
      </c>
      <c r="G829" s="8">
        <f>SUMIFS('HOJAS DE HORA PROY.'!$F$2:$F$943,'HOJAS DE HORA PROY.'!$A$2:$A$943,'PLAN MAESTRO FINAL'!$A829,'HOJAS DE HORA PROY.'!$M$2:$M$943,G$113)</f>
        <v>0</v>
      </c>
      <c r="H829" s="8">
        <f>SUMIFS('HOJAS DE HORA PROY.'!$F$2:$F$943,'HOJAS DE HORA PROY.'!$A$2:$A$943,'PLAN MAESTRO FINAL'!$A829,'HOJAS DE HORA PROY.'!$M$2:$M$943,H$113)</f>
        <v>0</v>
      </c>
      <c r="I829" s="8">
        <f>SUMIFS('HOJAS DE HORA PROY.'!$F$2:$F$943,'HOJAS DE HORA PROY.'!$A$2:$A$943,'PLAN MAESTRO FINAL'!$A829,'HOJAS DE HORA PROY.'!$M$2:$M$943,I$113)</f>
        <v>0</v>
      </c>
      <c r="J829" s="8">
        <f>SUMIFS('HOJAS DE HORA PROY.'!$F$2:$F$943,'HOJAS DE HORA PROY.'!$A$2:$A$943,'PLAN MAESTRO FINAL'!$A829,'HOJAS DE HORA PROY.'!$M$2:$M$943,J$113)</f>
        <v>0</v>
      </c>
      <c r="K829" s="8">
        <f>SUMIFS('HOJAS DE HORA PROY.'!$F$2:$F$943,'HOJAS DE HORA PROY.'!$A$2:$A$943,'PLAN MAESTRO FINAL'!$A829,'HOJAS DE HORA PROY.'!$M$2:$M$943,K$113)</f>
        <v>0</v>
      </c>
      <c r="L829" s="8">
        <f>SUMIFS('HOJAS DE HORA PROY.'!$F$2:$F$943,'HOJAS DE HORA PROY.'!$A$2:$A$943,'PLAN MAESTRO FINAL'!$A829,'HOJAS DE HORA PROY.'!$M$2:$M$943,L$113)</f>
        <v>0</v>
      </c>
      <c r="M829" s="8">
        <f>SUMIFS('HOJAS DE HORA PROY.'!$F$2:$F$943,'HOJAS DE HORA PROY.'!$A$2:$A$943,'PLAN MAESTRO FINAL'!$A829,'HOJAS DE HORA PROY.'!$M$2:$M$943,M$113)</f>
        <v>0</v>
      </c>
      <c r="N829" s="8">
        <f>SUMIFS('HOJAS DE HORA PROY.'!$F$2:$F$943,'HOJAS DE HORA PROY.'!$A$2:$A$943,'PLAN MAESTRO FINAL'!$A829,'HOJAS DE HORA PROY.'!$M$2:$M$943,N$113)</f>
        <v>0</v>
      </c>
      <c r="O829" s="8">
        <f>SUMIFS('HOJAS DE HORA PROY.'!$F$2:$F$943,'HOJAS DE HORA PROY.'!$A$2:$A$943,'PLAN MAESTRO FINAL'!$A829,'HOJAS DE HORA PROY.'!$M$2:$M$943,O$113)</f>
        <v>0</v>
      </c>
      <c r="P829" s="8">
        <f>SUMIFS('HOJAS DE HORA PROY.'!$F$2:$F$943,'HOJAS DE HORA PROY.'!$A$2:$A$943,'PLAN MAESTRO FINAL'!$A829,'HOJAS DE HORA PROY.'!$M$2:$M$943,P$113)</f>
        <v>0</v>
      </c>
      <c r="Q829" s="8">
        <f>SUMIFS('HOJAS DE HORA PROY.'!$F$2:$F$943,'HOJAS DE HORA PROY.'!$A$2:$A$943,'PLAN MAESTRO FINAL'!$A829,'HOJAS DE HORA PROY.'!$M$2:$M$943,Q$113)</f>
        <v>0</v>
      </c>
      <c r="R829" s="8">
        <f>SUMIFS('HOJAS DE HORA PROY.'!$F$2:$F$943,'HOJAS DE HORA PROY.'!$A$2:$A$943,'PLAN MAESTRO FINAL'!$A829,'HOJAS DE HORA PROY.'!$M$2:$M$943,R$113)</f>
        <v>0</v>
      </c>
      <c r="S829" s="8">
        <f>SUMIFS('HOJAS DE HORA PROY.'!$F$2:$F$943,'HOJAS DE HORA PROY.'!$A$2:$A$943,'PLAN MAESTRO FINAL'!$A829,'HOJAS DE HORA PROY.'!$M$2:$M$943,S$113)</f>
        <v>0</v>
      </c>
      <c r="T829" s="8">
        <f>SUMIFS('HOJAS DE HORA PROY.'!$F$2:$F$943,'HOJAS DE HORA PROY.'!$A$2:$A$943,'PLAN MAESTRO FINAL'!$A829,'HOJAS DE HORA PROY.'!$M$2:$M$943,T$113)</f>
        <v>0</v>
      </c>
      <c r="U829" s="8">
        <f>SUMIFS('HOJAS DE HORA PROY.'!$F$2:$F$943,'HOJAS DE HORA PROY.'!$A$2:$A$943,'PLAN MAESTRO FINAL'!$A829,'HOJAS DE HORA PROY.'!$M$2:$M$943,U$113)</f>
        <v>0</v>
      </c>
      <c r="V829" s="8">
        <f>SUMIFS('HOJAS DE HORA PROY.'!$F$2:$F$943,'HOJAS DE HORA PROY.'!$A$2:$A$943,'PLAN MAESTRO FINAL'!$A829,'HOJAS DE HORA PROY.'!$M$2:$M$943,V$113)</f>
        <v>0</v>
      </c>
      <c r="W829" s="8">
        <f>SUMIFS('HOJAS DE HORA PROY.'!$F$2:$F$943,'HOJAS DE HORA PROY.'!$A$2:$A$943,'PLAN MAESTRO FINAL'!$A829,'HOJAS DE HORA PROY.'!$M$2:$M$943,W$113)</f>
        <v>0</v>
      </c>
    </row>
    <row r="830" spans="1:23" hidden="1" outlineLevel="1" x14ac:dyDescent="0.3">
      <c r="A830" s="13" t="s">
        <v>517</v>
      </c>
      <c r="B830" s="8">
        <f>SUMIFS('HOJAS DE HORA PROY.'!$F$2:$F$943,'HOJAS DE HORA PROY.'!$A$2:$A$943,'PLAN MAESTRO FINAL'!$A830,'HOJAS DE HORA PROY.'!$M$2:$M$943,B$113)</f>
        <v>0</v>
      </c>
      <c r="C830" s="8">
        <f>SUMIFS('HOJAS DE HORA PROY.'!$F$2:$F$943,'HOJAS DE HORA PROY.'!$A$2:$A$943,'PLAN MAESTRO FINAL'!$A830,'HOJAS DE HORA PROY.'!$M$2:$M$943,C$113)</f>
        <v>0</v>
      </c>
      <c r="D830" s="8">
        <f>SUMIFS('HOJAS DE HORA PROY.'!$F$2:$F$943,'HOJAS DE HORA PROY.'!$A$2:$A$943,'PLAN MAESTRO FINAL'!$A830,'HOJAS DE HORA PROY.'!$M$2:$M$943,D$113)</f>
        <v>0</v>
      </c>
      <c r="E830" s="8">
        <f>SUMIFS('HOJAS DE HORA PROY.'!$F$2:$F$943,'HOJAS DE HORA PROY.'!$A$2:$A$943,'PLAN MAESTRO FINAL'!$A830,'HOJAS DE HORA PROY.'!$M$2:$M$943,E$113)</f>
        <v>0</v>
      </c>
      <c r="F830" s="8">
        <f>SUMIFS('HOJAS DE HORA PROY.'!$F$2:$F$943,'HOJAS DE HORA PROY.'!$A$2:$A$943,'PLAN MAESTRO FINAL'!$A830,'HOJAS DE HORA PROY.'!$M$2:$M$943,F$113)</f>
        <v>0</v>
      </c>
      <c r="G830" s="8">
        <f>SUMIFS('HOJAS DE HORA PROY.'!$F$2:$F$943,'HOJAS DE HORA PROY.'!$A$2:$A$943,'PLAN MAESTRO FINAL'!$A830,'HOJAS DE HORA PROY.'!$M$2:$M$943,G$113)</f>
        <v>0</v>
      </c>
      <c r="H830" s="8">
        <f>SUMIFS('HOJAS DE HORA PROY.'!$F$2:$F$943,'HOJAS DE HORA PROY.'!$A$2:$A$943,'PLAN MAESTRO FINAL'!$A830,'HOJAS DE HORA PROY.'!$M$2:$M$943,H$113)</f>
        <v>0</v>
      </c>
      <c r="I830" s="8">
        <f>SUMIFS('HOJAS DE HORA PROY.'!$F$2:$F$943,'HOJAS DE HORA PROY.'!$A$2:$A$943,'PLAN MAESTRO FINAL'!$A830,'HOJAS DE HORA PROY.'!$M$2:$M$943,I$113)</f>
        <v>0</v>
      </c>
      <c r="J830" s="8">
        <f>SUMIFS('HOJAS DE HORA PROY.'!$F$2:$F$943,'HOJAS DE HORA PROY.'!$A$2:$A$943,'PLAN MAESTRO FINAL'!$A830,'HOJAS DE HORA PROY.'!$M$2:$M$943,J$113)</f>
        <v>0</v>
      </c>
      <c r="K830" s="8">
        <f>SUMIFS('HOJAS DE HORA PROY.'!$F$2:$F$943,'HOJAS DE HORA PROY.'!$A$2:$A$943,'PLAN MAESTRO FINAL'!$A830,'HOJAS DE HORA PROY.'!$M$2:$M$943,K$113)</f>
        <v>0</v>
      </c>
      <c r="L830" s="8">
        <f>SUMIFS('HOJAS DE HORA PROY.'!$F$2:$F$943,'HOJAS DE HORA PROY.'!$A$2:$A$943,'PLAN MAESTRO FINAL'!$A830,'HOJAS DE HORA PROY.'!$M$2:$M$943,L$113)</f>
        <v>0</v>
      </c>
      <c r="M830" s="8">
        <f>SUMIFS('HOJAS DE HORA PROY.'!$F$2:$F$943,'HOJAS DE HORA PROY.'!$A$2:$A$943,'PLAN MAESTRO FINAL'!$A830,'HOJAS DE HORA PROY.'!$M$2:$M$943,M$113)</f>
        <v>0</v>
      </c>
      <c r="N830" s="8">
        <f>SUMIFS('HOJAS DE HORA PROY.'!$F$2:$F$943,'HOJAS DE HORA PROY.'!$A$2:$A$943,'PLAN MAESTRO FINAL'!$A830,'HOJAS DE HORA PROY.'!$M$2:$M$943,N$113)</f>
        <v>0</v>
      </c>
      <c r="O830" s="8">
        <f>SUMIFS('HOJAS DE HORA PROY.'!$F$2:$F$943,'HOJAS DE HORA PROY.'!$A$2:$A$943,'PLAN MAESTRO FINAL'!$A830,'HOJAS DE HORA PROY.'!$M$2:$M$943,O$113)</f>
        <v>0</v>
      </c>
      <c r="P830" s="8">
        <f>SUMIFS('HOJAS DE HORA PROY.'!$F$2:$F$943,'HOJAS DE HORA PROY.'!$A$2:$A$943,'PLAN MAESTRO FINAL'!$A830,'HOJAS DE HORA PROY.'!$M$2:$M$943,P$113)</f>
        <v>0</v>
      </c>
      <c r="Q830" s="8">
        <f>SUMIFS('HOJAS DE HORA PROY.'!$F$2:$F$943,'HOJAS DE HORA PROY.'!$A$2:$A$943,'PLAN MAESTRO FINAL'!$A830,'HOJAS DE HORA PROY.'!$M$2:$M$943,Q$113)</f>
        <v>0</v>
      </c>
      <c r="R830" s="8">
        <f>SUMIFS('HOJAS DE HORA PROY.'!$F$2:$F$943,'HOJAS DE HORA PROY.'!$A$2:$A$943,'PLAN MAESTRO FINAL'!$A830,'HOJAS DE HORA PROY.'!$M$2:$M$943,R$113)</f>
        <v>0</v>
      </c>
      <c r="S830" s="8">
        <f>SUMIFS('HOJAS DE HORA PROY.'!$F$2:$F$943,'HOJAS DE HORA PROY.'!$A$2:$A$943,'PLAN MAESTRO FINAL'!$A830,'HOJAS DE HORA PROY.'!$M$2:$M$943,S$113)</f>
        <v>0</v>
      </c>
      <c r="T830" s="8">
        <f>SUMIFS('HOJAS DE HORA PROY.'!$F$2:$F$943,'HOJAS DE HORA PROY.'!$A$2:$A$943,'PLAN MAESTRO FINAL'!$A830,'HOJAS DE HORA PROY.'!$M$2:$M$943,T$113)</f>
        <v>0</v>
      </c>
      <c r="U830" s="8">
        <f>SUMIFS('HOJAS DE HORA PROY.'!$F$2:$F$943,'HOJAS DE HORA PROY.'!$A$2:$A$943,'PLAN MAESTRO FINAL'!$A830,'HOJAS DE HORA PROY.'!$M$2:$M$943,U$113)</f>
        <v>0</v>
      </c>
      <c r="V830" s="8">
        <f>SUMIFS('HOJAS DE HORA PROY.'!$F$2:$F$943,'HOJAS DE HORA PROY.'!$A$2:$A$943,'PLAN MAESTRO FINAL'!$A830,'HOJAS DE HORA PROY.'!$M$2:$M$943,V$113)</f>
        <v>0</v>
      </c>
      <c r="W830" s="8">
        <f>SUMIFS('HOJAS DE HORA PROY.'!$F$2:$F$943,'HOJAS DE HORA PROY.'!$A$2:$A$943,'PLAN MAESTRO FINAL'!$A830,'HOJAS DE HORA PROY.'!$M$2:$M$943,W$113)</f>
        <v>0</v>
      </c>
    </row>
    <row r="831" spans="1:23" hidden="1" outlineLevel="1" x14ac:dyDescent="0.3">
      <c r="A831" s="13" t="s">
        <v>520</v>
      </c>
      <c r="B831" s="8">
        <f>SUMIFS('HOJAS DE HORA PROY.'!$F$2:$F$943,'HOJAS DE HORA PROY.'!$A$2:$A$943,'PLAN MAESTRO FINAL'!$A831,'HOJAS DE HORA PROY.'!$M$2:$M$943,B$113)</f>
        <v>0</v>
      </c>
      <c r="C831" s="8">
        <f>SUMIFS('HOJAS DE HORA PROY.'!$F$2:$F$943,'HOJAS DE HORA PROY.'!$A$2:$A$943,'PLAN MAESTRO FINAL'!$A831,'HOJAS DE HORA PROY.'!$M$2:$M$943,C$113)</f>
        <v>0</v>
      </c>
      <c r="D831" s="8">
        <f>SUMIFS('HOJAS DE HORA PROY.'!$F$2:$F$943,'HOJAS DE HORA PROY.'!$A$2:$A$943,'PLAN MAESTRO FINAL'!$A831,'HOJAS DE HORA PROY.'!$M$2:$M$943,D$113)</f>
        <v>0</v>
      </c>
      <c r="E831" s="8">
        <f>SUMIFS('HOJAS DE HORA PROY.'!$F$2:$F$943,'HOJAS DE HORA PROY.'!$A$2:$A$943,'PLAN MAESTRO FINAL'!$A831,'HOJAS DE HORA PROY.'!$M$2:$M$943,E$113)</f>
        <v>0</v>
      </c>
      <c r="F831" s="8">
        <f>SUMIFS('HOJAS DE HORA PROY.'!$F$2:$F$943,'HOJAS DE HORA PROY.'!$A$2:$A$943,'PLAN MAESTRO FINAL'!$A831,'HOJAS DE HORA PROY.'!$M$2:$M$943,F$113)</f>
        <v>0</v>
      </c>
      <c r="G831" s="8">
        <f>SUMIFS('HOJAS DE HORA PROY.'!$F$2:$F$943,'HOJAS DE HORA PROY.'!$A$2:$A$943,'PLAN MAESTRO FINAL'!$A831,'HOJAS DE HORA PROY.'!$M$2:$M$943,G$113)</f>
        <v>0</v>
      </c>
      <c r="H831" s="8">
        <f>SUMIFS('HOJAS DE HORA PROY.'!$F$2:$F$943,'HOJAS DE HORA PROY.'!$A$2:$A$943,'PLAN MAESTRO FINAL'!$A831,'HOJAS DE HORA PROY.'!$M$2:$M$943,H$113)</f>
        <v>0</v>
      </c>
      <c r="I831" s="8">
        <f>SUMIFS('HOJAS DE HORA PROY.'!$F$2:$F$943,'HOJAS DE HORA PROY.'!$A$2:$A$943,'PLAN MAESTRO FINAL'!$A831,'HOJAS DE HORA PROY.'!$M$2:$M$943,I$113)</f>
        <v>0</v>
      </c>
      <c r="J831" s="8">
        <f>SUMIFS('HOJAS DE HORA PROY.'!$F$2:$F$943,'HOJAS DE HORA PROY.'!$A$2:$A$943,'PLAN MAESTRO FINAL'!$A831,'HOJAS DE HORA PROY.'!$M$2:$M$943,J$113)</f>
        <v>0</v>
      </c>
      <c r="K831" s="8">
        <f>SUMIFS('HOJAS DE HORA PROY.'!$F$2:$F$943,'HOJAS DE HORA PROY.'!$A$2:$A$943,'PLAN MAESTRO FINAL'!$A831,'HOJAS DE HORA PROY.'!$M$2:$M$943,K$113)</f>
        <v>0</v>
      </c>
      <c r="L831" s="8">
        <f>SUMIFS('HOJAS DE HORA PROY.'!$F$2:$F$943,'HOJAS DE HORA PROY.'!$A$2:$A$943,'PLAN MAESTRO FINAL'!$A831,'HOJAS DE HORA PROY.'!$M$2:$M$943,L$113)</f>
        <v>0</v>
      </c>
      <c r="M831" s="8">
        <f>SUMIFS('HOJAS DE HORA PROY.'!$F$2:$F$943,'HOJAS DE HORA PROY.'!$A$2:$A$943,'PLAN MAESTRO FINAL'!$A831,'HOJAS DE HORA PROY.'!$M$2:$M$943,M$113)</f>
        <v>0</v>
      </c>
      <c r="N831" s="8">
        <f>SUMIFS('HOJAS DE HORA PROY.'!$F$2:$F$943,'HOJAS DE HORA PROY.'!$A$2:$A$943,'PLAN MAESTRO FINAL'!$A831,'HOJAS DE HORA PROY.'!$M$2:$M$943,N$113)</f>
        <v>0</v>
      </c>
      <c r="O831" s="8">
        <f>SUMIFS('HOJAS DE HORA PROY.'!$F$2:$F$943,'HOJAS DE HORA PROY.'!$A$2:$A$943,'PLAN MAESTRO FINAL'!$A831,'HOJAS DE HORA PROY.'!$M$2:$M$943,O$113)</f>
        <v>0</v>
      </c>
      <c r="P831" s="8">
        <f>SUMIFS('HOJAS DE HORA PROY.'!$F$2:$F$943,'HOJAS DE HORA PROY.'!$A$2:$A$943,'PLAN MAESTRO FINAL'!$A831,'HOJAS DE HORA PROY.'!$M$2:$M$943,P$113)</f>
        <v>0</v>
      </c>
      <c r="Q831" s="8">
        <f>SUMIFS('HOJAS DE HORA PROY.'!$F$2:$F$943,'HOJAS DE HORA PROY.'!$A$2:$A$943,'PLAN MAESTRO FINAL'!$A831,'HOJAS DE HORA PROY.'!$M$2:$M$943,Q$113)</f>
        <v>0</v>
      </c>
      <c r="R831" s="8">
        <f>SUMIFS('HOJAS DE HORA PROY.'!$F$2:$F$943,'HOJAS DE HORA PROY.'!$A$2:$A$943,'PLAN MAESTRO FINAL'!$A831,'HOJAS DE HORA PROY.'!$M$2:$M$943,R$113)</f>
        <v>0</v>
      </c>
      <c r="S831" s="8">
        <f>SUMIFS('HOJAS DE HORA PROY.'!$F$2:$F$943,'HOJAS DE HORA PROY.'!$A$2:$A$943,'PLAN MAESTRO FINAL'!$A831,'HOJAS DE HORA PROY.'!$M$2:$M$943,S$113)</f>
        <v>0</v>
      </c>
      <c r="T831" s="8">
        <f>SUMIFS('HOJAS DE HORA PROY.'!$F$2:$F$943,'HOJAS DE HORA PROY.'!$A$2:$A$943,'PLAN MAESTRO FINAL'!$A831,'HOJAS DE HORA PROY.'!$M$2:$M$943,T$113)</f>
        <v>0</v>
      </c>
      <c r="U831" s="8">
        <f>SUMIFS('HOJAS DE HORA PROY.'!$F$2:$F$943,'HOJAS DE HORA PROY.'!$A$2:$A$943,'PLAN MAESTRO FINAL'!$A831,'HOJAS DE HORA PROY.'!$M$2:$M$943,U$113)</f>
        <v>0</v>
      </c>
      <c r="V831" s="8">
        <f>SUMIFS('HOJAS DE HORA PROY.'!$F$2:$F$943,'HOJAS DE HORA PROY.'!$A$2:$A$943,'PLAN MAESTRO FINAL'!$A831,'HOJAS DE HORA PROY.'!$M$2:$M$943,V$113)</f>
        <v>0</v>
      </c>
      <c r="W831" s="8">
        <f>SUMIFS('HOJAS DE HORA PROY.'!$F$2:$F$943,'HOJAS DE HORA PROY.'!$A$2:$A$943,'PLAN MAESTRO FINAL'!$A831,'HOJAS DE HORA PROY.'!$M$2:$M$943,W$113)</f>
        <v>0</v>
      </c>
    </row>
    <row r="832" spans="1:23" hidden="1" outlineLevel="1" x14ac:dyDescent="0.3">
      <c r="A832" s="13" t="s">
        <v>525</v>
      </c>
      <c r="B832" s="8">
        <f>SUMIFS('HOJAS DE HORA PROY.'!$F$2:$F$943,'HOJAS DE HORA PROY.'!$A$2:$A$943,'PLAN MAESTRO FINAL'!$A832,'HOJAS DE HORA PROY.'!$M$2:$M$943,B$113)</f>
        <v>0</v>
      </c>
      <c r="C832" s="8">
        <f>SUMIFS('HOJAS DE HORA PROY.'!$F$2:$F$943,'HOJAS DE HORA PROY.'!$A$2:$A$943,'PLAN MAESTRO FINAL'!$A832,'HOJAS DE HORA PROY.'!$M$2:$M$943,C$113)</f>
        <v>0</v>
      </c>
      <c r="D832" s="8">
        <f>SUMIFS('HOJAS DE HORA PROY.'!$F$2:$F$943,'HOJAS DE HORA PROY.'!$A$2:$A$943,'PLAN MAESTRO FINAL'!$A832,'HOJAS DE HORA PROY.'!$M$2:$M$943,D$113)</f>
        <v>0</v>
      </c>
      <c r="E832" s="8">
        <f>SUMIFS('HOJAS DE HORA PROY.'!$F$2:$F$943,'HOJAS DE HORA PROY.'!$A$2:$A$943,'PLAN MAESTRO FINAL'!$A832,'HOJAS DE HORA PROY.'!$M$2:$M$943,E$113)</f>
        <v>0</v>
      </c>
      <c r="F832" s="8">
        <f>SUMIFS('HOJAS DE HORA PROY.'!$F$2:$F$943,'HOJAS DE HORA PROY.'!$A$2:$A$943,'PLAN MAESTRO FINAL'!$A832,'HOJAS DE HORA PROY.'!$M$2:$M$943,F$113)</f>
        <v>0</v>
      </c>
      <c r="G832" s="8">
        <f>SUMIFS('HOJAS DE HORA PROY.'!$F$2:$F$943,'HOJAS DE HORA PROY.'!$A$2:$A$943,'PLAN MAESTRO FINAL'!$A832,'HOJAS DE HORA PROY.'!$M$2:$M$943,G$113)</f>
        <v>0</v>
      </c>
      <c r="H832" s="8">
        <f>SUMIFS('HOJAS DE HORA PROY.'!$F$2:$F$943,'HOJAS DE HORA PROY.'!$A$2:$A$943,'PLAN MAESTRO FINAL'!$A832,'HOJAS DE HORA PROY.'!$M$2:$M$943,H$113)</f>
        <v>0</v>
      </c>
      <c r="I832" s="8">
        <f>SUMIFS('HOJAS DE HORA PROY.'!$F$2:$F$943,'HOJAS DE HORA PROY.'!$A$2:$A$943,'PLAN MAESTRO FINAL'!$A832,'HOJAS DE HORA PROY.'!$M$2:$M$943,I$113)</f>
        <v>0</v>
      </c>
      <c r="J832" s="8">
        <f>SUMIFS('HOJAS DE HORA PROY.'!$F$2:$F$943,'HOJAS DE HORA PROY.'!$A$2:$A$943,'PLAN MAESTRO FINAL'!$A832,'HOJAS DE HORA PROY.'!$M$2:$M$943,J$113)</f>
        <v>0</v>
      </c>
      <c r="K832" s="8">
        <f>SUMIFS('HOJAS DE HORA PROY.'!$F$2:$F$943,'HOJAS DE HORA PROY.'!$A$2:$A$943,'PLAN MAESTRO FINAL'!$A832,'HOJAS DE HORA PROY.'!$M$2:$M$943,K$113)</f>
        <v>0</v>
      </c>
      <c r="L832" s="8">
        <f>SUMIFS('HOJAS DE HORA PROY.'!$F$2:$F$943,'HOJAS DE HORA PROY.'!$A$2:$A$943,'PLAN MAESTRO FINAL'!$A832,'HOJAS DE HORA PROY.'!$M$2:$M$943,L$113)</f>
        <v>0</v>
      </c>
      <c r="M832" s="8">
        <f>SUMIFS('HOJAS DE HORA PROY.'!$F$2:$F$943,'HOJAS DE HORA PROY.'!$A$2:$A$943,'PLAN MAESTRO FINAL'!$A832,'HOJAS DE HORA PROY.'!$M$2:$M$943,M$113)</f>
        <v>0</v>
      </c>
      <c r="N832" s="8">
        <f>SUMIFS('HOJAS DE HORA PROY.'!$F$2:$F$943,'HOJAS DE HORA PROY.'!$A$2:$A$943,'PLAN MAESTRO FINAL'!$A832,'HOJAS DE HORA PROY.'!$M$2:$M$943,N$113)</f>
        <v>0</v>
      </c>
      <c r="O832" s="8">
        <f>SUMIFS('HOJAS DE HORA PROY.'!$F$2:$F$943,'HOJAS DE HORA PROY.'!$A$2:$A$943,'PLAN MAESTRO FINAL'!$A832,'HOJAS DE HORA PROY.'!$M$2:$M$943,O$113)</f>
        <v>0</v>
      </c>
      <c r="P832" s="8">
        <f>SUMIFS('HOJAS DE HORA PROY.'!$F$2:$F$943,'HOJAS DE HORA PROY.'!$A$2:$A$943,'PLAN MAESTRO FINAL'!$A832,'HOJAS DE HORA PROY.'!$M$2:$M$943,P$113)</f>
        <v>0</v>
      </c>
      <c r="Q832" s="8">
        <f>SUMIFS('HOJAS DE HORA PROY.'!$F$2:$F$943,'HOJAS DE HORA PROY.'!$A$2:$A$943,'PLAN MAESTRO FINAL'!$A832,'HOJAS DE HORA PROY.'!$M$2:$M$943,Q$113)</f>
        <v>0</v>
      </c>
      <c r="R832" s="8">
        <f>SUMIFS('HOJAS DE HORA PROY.'!$F$2:$F$943,'HOJAS DE HORA PROY.'!$A$2:$A$943,'PLAN MAESTRO FINAL'!$A832,'HOJAS DE HORA PROY.'!$M$2:$M$943,R$113)</f>
        <v>0</v>
      </c>
      <c r="S832" s="8">
        <f>SUMIFS('HOJAS DE HORA PROY.'!$F$2:$F$943,'HOJAS DE HORA PROY.'!$A$2:$A$943,'PLAN MAESTRO FINAL'!$A832,'HOJAS DE HORA PROY.'!$M$2:$M$943,S$113)</f>
        <v>0</v>
      </c>
      <c r="T832" s="8">
        <f>SUMIFS('HOJAS DE HORA PROY.'!$F$2:$F$943,'HOJAS DE HORA PROY.'!$A$2:$A$943,'PLAN MAESTRO FINAL'!$A832,'HOJAS DE HORA PROY.'!$M$2:$M$943,T$113)</f>
        <v>0</v>
      </c>
      <c r="U832" s="8">
        <f>SUMIFS('HOJAS DE HORA PROY.'!$F$2:$F$943,'HOJAS DE HORA PROY.'!$A$2:$A$943,'PLAN MAESTRO FINAL'!$A832,'HOJAS DE HORA PROY.'!$M$2:$M$943,U$113)</f>
        <v>0</v>
      </c>
      <c r="V832" s="8">
        <f>SUMIFS('HOJAS DE HORA PROY.'!$F$2:$F$943,'HOJAS DE HORA PROY.'!$A$2:$A$943,'PLAN MAESTRO FINAL'!$A832,'HOJAS DE HORA PROY.'!$M$2:$M$943,V$113)</f>
        <v>0</v>
      </c>
      <c r="W832" s="8">
        <f>SUMIFS('HOJAS DE HORA PROY.'!$F$2:$F$943,'HOJAS DE HORA PROY.'!$A$2:$A$943,'PLAN MAESTRO FINAL'!$A832,'HOJAS DE HORA PROY.'!$M$2:$M$943,W$113)</f>
        <v>0</v>
      </c>
    </row>
    <row r="833" spans="1:23" hidden="1" outlineLevel="1" x14ac:dyDescent="0.3">
      <c r="A833" s="13" t="s">
        <v>547</v>
      </c>
      <c r="B833" s="8">
        <f>SUMIFS('HOJAS DE HORA PROY.'!$F$2:$F$943,'HOJAS DE HORA PROY.'!$A$2:$A$943,'PLAN MAESTRO FINAL'!$A833,'HOJAS DE HORA PROY.'!$M$2:$M$943,B$113)</f>
        <v>0</v>
      </c>
      <c r="C833" s="8">
        <f>SUMIFS('HOJAS DE HORA PROY.'!$F$2:$F$943,'HOJAS DE HORA PROY.'!$A$2:$A$943,'PLAN MAESTRO FINAL'!$A833,'HOJAS DE HORA PROY.'!$M$2:$M$943,C$113)</f>
        <v>0</v>
      </c>
      <c r="D833" s="8">
        <f>SUMIFS('HOJAS DE HORA PROY.'!$F$2:$F$943,'HOJAS DE HORA PROY.'!$A$2:$A$943,'PLAN MAESTRO FINAL'!$A833,'HOJAS DE HORA PROY.'!$M$2:$M$943,D$113)</f>
        <v>0</v>
      </c>
      <c r="E833" s="8">
        <f>SUMIFS('HOJAS DE HORA PROY.'!$F$2:$F$943,'HOJAS DE HORA PROY.'!$A$2:$A$943,'PLAN MAESTRO FINAL'!$A833,'HOJAS DE HORA PROY.'!$M$2:$M$943,E$113)</f>
        <v>0</v>
      </c>
      <c r="F833" s="8">
        <f>SUMIFS('HOJAS DE HORA PROY.'!$F$2:$F$943,'HOJAS DE HORA PROY.'!$A$2:$A$943,'PLAN MAESTRO FINAL'!$A833,'HOJAS DE HORA PROY.'!$M$2:$M$943,F$113)</f>
        <v>0</v>
      </c>
      <c r="G833" s="8">
        <f>SUMIFS('HOJAS DE HORA PROY.'!$F$2:$F$943,'HOJAS DE HORA PROY.'!$A$2:$A$943,'PLAN MAESTRO FINAL'!$A833,'HOJAS DE HORA PROY.'!$M$2:$M$943,G$113)</f>
        <v>21</v>
      </c>
      <c r="H833" s="8">
        <f>SUMIFS('HOJAS DE HORA PROY.'!$F$2:$F$943,'HOJAS DE HORA PROY.'!$A$2:$A$943,'PLAN MAESTRO FINAL'!$A833,'HOJAS DE HORA PROY.'!$M$2:$M$943,H$113)</f>
        <v>0</v>
      </c>
      <c r="I833" s="8">
        <f>SUMIFS('HOJAS DE HORA PROY.'!$F$2:$F$943,'HOJAS DE HORA PROY.'!$A$2:$A$943,'PLAN MAESTRO FINAL'!$A833,'HOJAS DE HORA PROY.'!$M$2:$M$943,I$113)</f>
        <v>0</v>
      </c>
      <c r="J833" s="8">
        <f>SUMIFS('HOJAS DE HORA PROY.'!$F$2:$F$943,'HOJAS DE HORA PROY.'!$A$2:$A$943,'PLAN MAESTRO FINAL'!$A833,'HOJAS DE HORA PROY.'!$M$2:$M$943,J$113)</f>
        <v>0</v>
      </c>
      <c r="K833" s="8">
        <f>SUMIFS('HOJAS DE HORA PROY.'!$F$2:$F$943,'HOJAS DE HORA PROY.'!$A$2:$A$943,'PLAN MAESTRO FINAL'!$A833,'HOJAS DE HORA PROY.'!$M$2:$M$943,K$113)</f>
        <v>0</v>
      </c>
      <c r="L833" s="8">
        <f>SUMIFS('HOJAS DE HORA PROY.'!$F$2:$F$943,'HOJAS DE HORA PROY.'!$A$2:$A$943,'PLAN MAESTRO FINAL'!$A833,'HOJAS DE HORA PROY.'!$M$2:$M$943,L$113)</f>
        <v>0</v>
      </c>
      <c r="M833" s="8">
        <f>SUMIFS('HOJAS DE HORA PROY.'!$F$2:$F$943,'HOJAS DE HORA PROY.'!$A$2:$A$943,'PLAN MAESTRO FINAL'!$A833,'HOJAS DE HORA PROY.'!$M$2:$M$943,M$113)</f>
        <v>0</v>
      </c>
      <c r="N833" s="8">
        <f>SUMIFS('HOJAS DE HORA PROY.'!$F$2:$F$943,'HOJAS DE HORA PROY.'!$A$2:$A$943,'PLAN MAESTRO FINAL'!$A833,'HOJAS DE HORA PROY.'!$M$2:$M$943,N$113)</f>
        <v>0</v>
      </c>
      <c r="O833" s="8">
        <f>SUMIFS('HOJAS DE HORA PROY.'!$F$2:$F$943,'HOJAS DE HORA PROY.'!$A$2:$A$943,'PLAN MAESTRO FINAL'!$A833,'HOJAS DE HORA PROY.'!$M$2:$M$943,O$113)</f>
        <v>0</v>
      </c>
      <c r="P833" s="8">
        <f>SUMIFS('HOJAS DE HORA PROY.'!$F$2:$F$943,'HOJAS DE HORA PROY.'!$A$2:$A$943,'PLAN MAESTRO FINAL'!$A833,'HOJAS DE HORA PROY.'!$M$2:$M$943,P$113)</f>
        <v>0</v>
      </c>
      <c r="Q833" s="8">
        <f>SUMIFS('HOJAS DE HORA PROY.'!$F$2:$F$943,'HOJAS DE HORA PROY.'!$A$2:$A$943,'PLAN MAESTRO FINAL'!$A833,'HOJAS DE HORA PROY.'!$M$2:$M$943,Q$113)</f>
        <v>0</v>
      </c>
      <c r="R833" s="8">
        <f>SUMIFS('HOJAS DE HORA PROY.'!$F$2:$F$943,'HOJAS DE HORA PROY.'!$A$2:$A$943,'PLAN MAESTRO FINAL'!$A833,'HOJAS DE HORA PROY.'!$M$2:$M$943,R$113)</f>
        <v>0</v>
      </c>
      <c r="S833" s="8">
        <f>SUMIFS('HOJAS DE HORA PROY.'!$F$2:$F$943,'HOJAS DE HORA PROY.'!$A$2:$A$943,'PLAN MAESTRO FINAL'!$A833,'HOJAS DE HORA PROY.'!$M$2:$M$943,S$113)</f>
        <v>0</v>
      </c>
      <c r="T833" s="8">
        <f>SUMIFS('HOJAS DE HORA PROY.'!$F$2:$F$943,'HOJAS DE HORA PROY.'!$A$2:$A$943,'PLAN MAESTRO FINAL'!$A833,'HOJAS DE HORA PROY.'!$M$2:$M$943,T$113)</f>
        <v>0</v>
      </c>
      <c r="U833" s="8">
        <f>SUMIFS('HOJAS DE HORA PROY.'!$F$2:$F$943,'HOJAS DE HORA PROY.'!$A$2:$A$943,'PLAN MAESTRO FINAL'!$A833,'HOJAS DE HORA PROY.'!$M$2:$M$943,U$113)</f>
        <v>0</v>
      </c>
      <c r="V833" s="8">
        <f>SUMIFS('HOJAS DE HORA PROY.'!$F$2:$F$943,'HOJAS DE HORA PROY.'!$A$2:$A$943,'PLAN MAESTRO FINAL'!$A833,'HOJAS DE HORA PROY.'!$M$2:$M$943,V$113)</f>
        <v>0</v>
      </c>
      <c r="W833" s="8">
        <f>SUMIFS('HOJAS DE HORA PROY.'!$F$2:$F$943,'HOJAS DE HORA PROY.'!$A$2:$A$943,'PLAN MAESTRO FINAL'!$A833,'HOJAS DE HORA PROY.'!$M$2:$M$943,W$113)</f>
        <v>0</v>
      </c>
    </row>
    <row r="834" spans="1:23" hidden="1" outlineLevel="1" x14ac:dyDescent="0.3">
      <c r="A834" s="13"/>
      <c r="B834" s="8">
        <f>SUMIFS('HOJAS DE HORA PROY.'!$F$2:$F$943,'HOJAS DE HORA PROY.'!$A$2:$A$943,'PLAN MAESTRO FINAL'!$A834,'HOJAS DE HORA PROY.'!$M$2:$M$943,B$113)</f>
        <v>0</v>
      </c>
      <c r="C834" s="8">
        <f>SUMIFS('HOJAS DE HORA PROY.'!$F$2:$F$943,'HOJAS DE HORA PROY.'!$A$2:$A$943,'PLAN MAESTRO FINAL'!$A834,'HOJAS DE HORA PROY.'!$M$2:$M$943,C$113)</f>
        <v>0</v>
      </c>
      <c r="D834" s="8">
        <f>SUMIFS('HOJAS DE HORA PROY.'!$F$2:$F$943,'HOJAS DE HORA PROY.'!$A$2:$A$943,'PLAN MAESTRO FINAL'!$A834,'HOJAS DE HORA PROY.'!$M$2:$M$943,D$113)</f>
        <v>0</v>
      </c>
      <c r="E834" s="8">
        <f>SUMIFS('HOJAS DE HORA PROY.'!$F$2:$F$943,'HOJAS DE HORA PROY.'!$A$2:$A$943,'PLAN MAESTRO FINAL'!$A834,'HOJAS DE HORA PROY.'!$M$2:$M$943,E$113)</f>
        <v>0</v>
      </c>
      <c r="F834" s="8">
        <f>SUMIFS('HOJAS DE HORA PROY.'!$F$2:$F$943,'HOJAS DE HORA PROY.'!$A$2:$A$943,'PLAN MAESTRO FINAL'!$A834,'HOJAS DE HORA PROY.'!$M$2:$M$943,F$113)</f>
        <v>0</v>
      </c>
      <c r="G834" s="8">
        <f>SUMIFS('HOJAS DE HORA PROY.'!$F$2:$F$943,'HOJAS DE HORA PROY.'!$A$2:$A$943,'PLAN MAESTRO FINAL'!$A834,'HOJAS DE HORA PROY.'!$M$2:$M$943,G$113)</f>
        <v>0</v>
      </c>
      <c r="H834" s="8">
        <f>SUMIFS('HOJAS DE HORA PROY.'!$F$2:$F$943,'HOJAS DE HORA PROY.'!$A$2:$A$943,'PLAN MAESTRO FINAL'!$A834,'HOJAS DE HORA PROY.'!$M$2:$M$943,H$113)</f>
        <v>0</v>
      </c>
      <c r="I834" s="8">
        <f>SUMIFS('HOJAS DE HORA PROY.'!$F$2:$F$943,'HOJAS DE HORA PROY.'!$A$2:$A$943,'PLAN MAESTRO FINAL'!$A834,'HOJAS DE HORA PROY.'!$M$2:$M$943,I$113)</f>
        <v>0</v>
      </c>
      <c r="J834" s="8">
        <f>SUMIFS('HOJAS DE HORA PROY.'!$F$2:$F$943,'HOJAS DE HORA PROY.'!$A$2:$A$943,'PLAN MAESTRO FINAL'!$A834,'HOJAS DE HORA PROY.'!$M$2:$M$943,J$113)</f>
        <v>0</v>
      </c>
      <c r="K834" s="8">
        <f>SUMIFS('HOJAS DE HORA PROY.'!$F$2:$F$943,'HOJAS DE HORA PROY.'!$A$2:$A$943,'PLAN MAESTRO FINAL'!$A834,'HOJAS DE HORA PROY.'!$M$2:$M$943,K$113)</f>
        <v>0</v>
      </c>
      <c r="L834" s="8">
        <f>SUMIFS('HOJAS DE HORA PROY.'!$F$2:$F$943,'HOJAS DE HORA PROY.'!$A$2:$A$943,'PLAN MAESTRO FINAL'!$A834,'HOJAS DE HORA PROY.'!$M$2:$M$943,L$113)</f>
        <v>0</v>
      </c>
      <c r="M834" s="8">
        <f>SUMIFS('HOJAS DE HORA PROY.'!$F$2:$F$943,'HOJAS DE HORA PROY.'!$A$2:$A$943,'PLAN MAESTRO FINAL'!$A834,'HOJAS DE HORA PROY.'!$M$2:$M$943,M$113)</f>
        <v>0</v>
      </c>
      <c r="N834" s="8">
        <f>SUMIFS('HOJAS DE HORA PROY.'!$F$2:$F$943,'HOJAS DE HORA PROY.'!$A$2:$A$943,'PLAN MAESTRO FINAL'!$A834,'HOJAS DE HORA PROY.'!$M$2:$M$943,N$113)</f>
        <v>0</v>
      </c>
      <c r="O834" s="8">
        <f>SUMIFS('HOJAS DE HORA PROY.'!$F$2:$F$943,'HOJAS DE HORA PROY.'!$A$2:$A$943,'PLAN MAESTRO FINAL'!$A834,'HOJAS DE HORA PROY.'!$M$2:$M$943,O$113)</f>
        <v>0</v>
      </c>
      <c r="P834" s="8">
        <f>SUMIFS('HOJAS DE HORA PROY.'!$F$2:$F$943,'HOJAS DE HORA PROY.'!$A$2:$A$943,'PLAN MAESTRO FINAL'!$A834,'HOJAS DE HORA PROY.'!$M$2:$M$943,P$113)</f>
        <v>0</v>
      </c>
      <c r="Q834" s="8">
        <f>SUMIFS('HOJAS DE HORA PROY.'!$F$2:$F$943,'HOJAS DE HORA PROY.'!$A$2:$A$943,'PLAN MAESTRO FINAL'!$A834,'HOJAS DE HORA PROY.'!$M$2:$M$943,Q$113)</f>
        <v>0</v>
      </c>
      <c r="R834" s="8">
        <f>SUMIFS('HOJAS DE HORA PROY.'!$F$2:$F$943,'HOJAS DE HORA PROY.'!$A$2:$A$943,'PLAN MAESTRO FINAL'!$A834,'HOJAS DE HORA PROY.'!$M$2:$M$943,R$113)</f>
        <v>0</v>
      </c>
      <c r="S834" s="8">
        <f>SUMIFS('HOJAS DE HORA PROY.'!$F$2:$F$943,'HOJAS DE HORA PROY.'!$A$2:$A$943,'PLAN MAESTRO FINAL'!$A834,'HOJAS DE HORA PROY.'!$M$2:$M$943,S$113)</f>
        <v>0</v>
      </c>
      <c r="T834" s="8">
        <f>SUMIFS('HOJAS DE HORA PROY.'!$F$2:$F$943,'HOJAS DE HORA PROY.'!$A$2:$A$943,'PLAN MAESTRO FINAL'!$A834,'HOJAS DE HORA PROY.'!$M$2:$M$943,T$113)</f>
        <v>0</v>
      </c>
      <c r="U834" s="8">
        <f>SUMIFS('HOJAS DE HORA PROY.'!$F$2:$F$943,'HOJAS DE HORA PROY.'!$A$2:$A$943,'PLAN MAESTRO FINAL'!$A834,'HOJAS DE HORA PROY.'!$M$2:$M$943,U$113)</f>
        <v>0</v>
      </c>
      <c r="V834" s="8">
        <f>SUMIFS('HOJAS DE HORA PROY.'!$F$2:$F$943,'HOJAS DE HORA PROY.'!$A$2:$A$943,'PLAN MAESTRO FINAL'!$A834,'HOJAS DE HORA PROY.'!$M$2:$M$943,V$113)</f>
        <v>0</v>
      </c>
      <c r="W834" s="8">
        <f>SUMIFS('HOJAS DE HORA PROY.'!$F$2:$F$943,'HOJAS DE HORA PROY.'!$A$2:$A$943,'PLAN MAESTRO FINAL'!$A834,'HOJAS DE HORA PROY.'!$M$2:$M$943,W$113)</f>
        <v>0</v>
      </c>
    </row>
    <row r="835" spans="1:23" collapsed="1" x14ac:dyDescent="0.3">
      <c r="A835" s="32" t="s">
        <v>471</v>
      </c>
      <c r="B835" s="33">
        <f t="shared" ref="B835:W835" si="14">SUM(B804:B834)</f>
        <v>0</v>
      </c>
      <c r="C835" s="33">
        <f t="shared" si="14"/>
        <v>0</v>
      </c>
      <c r="D835" s="33">
        <f t="shared" si="14"/>
        <v>0</v>
      </c>
      <c r="E835" s="33">
        <f t="shared" si="14"/>
        <v>0.5</v>
      </c>
      <c r="F835" s="33">
        <f t="shared" si="14"/>
        <v>45.5</v>
      </c>
      <c r="G835" s="33">
        <f t="shared" si="14"/>
        <v>75</v>
      </c>
      <c r="H835" s="33">
        <f t="shared" si="14"/>
        <v>20</v>
      </c>
      <c r="I835" s="33">
        <f t="shared" si="14"/>
        <v>0</v>
      </c>
      <c r="J835" s="33">
        <f t="shared" si="14"/>
        <v>18</v>
      </c>
      <c r="K835" s="33">
        <f t="shared" si="14"/>
        <v>5</v>
      </c>
      <c r="L835" s="33">
        <f t="shared" si="14"/>
        <v>0</v>
      </c>
      <c r="M835" s="33">
        <f t="shared" si="14"/>
        <v>0</v>
      </c>
      <c r="N835" s="33">
        <f t="shared" si="14"/>
        <v>0</v>
      </c>
      <c r="O835" s="33">
        <f t="shared" si="14"/>
        <v>0</v>
      </c>
      <c r="P835" s="33">
        <f t="shared" si="14"/>
        <v>0</v>
      </c>
      <c r="Q835" s="33">
        <f t="shared" si="14"/>
        <v>0</v>
      </c>
      <c r="R835" s="33">
        <f t="shared" si="14"/>
        <v>0</v>
      </c>
      <c r="S835" s="33">
        <f t="shared" si="14"/>
        <v>0</v>
      </c>
      <c r="T835" s="33">
        <f t="shared" si="14"/>
        <v>0</v>
      </c>
      <c r="U835" s="33">
        <f t="shared" si="14"/>
        <v>0</v>
      </c>
      <c r="V835" s="33">
        <f t="shared" si="14"/>
        <v>0</v>
      </c>
      <c r="W835" s="33">
        <f t="shared" si="14"/>
        <v>0</v>
      </c>
    </row>
    <row r="836" spans="1:23" x14ac:dyDescent="0.3">
      <c r="A836" s="32" t="s">
        <v>29</v>
      </c>
      <c r="B836" s="34">
        <f>CAPACIDAD!G94</f>
        <v>0</v>
      </c>
      <c r="C836" s="34">
        <f>CAPACIDAD!H94</f>
        <v>0</v>
      </c>
      <c r="D836" s="34">
        <f>CAPACIDAD!I67</f>
        <v>0</v>
      </c>
      <c r="E836" s="34">
        <f>CAPACIDAD!J67</f>
        <v>0</v>
      </c>
      <c r="F836" s="34">
        <f>CAPACIDAD!K67</f>
        <v>0</v>
      </c>
      <c r="G836" s="34">
        <f>CAPACIDAD!L67</f>
        <v>0</v>
      </c>
      <c r="H836" s="34">
        <f>CAPACIDAD!M67</f>
        <v>0</v>
      </c>
      <c r="I836" s="34">
        <f>CAPACIDAD!N67</f>
        <v>0</v>
      </c>
      <c r="J836" s="34">
        <f>CAPACIDAD!O67</f>
        <v>0</v>
      </c>
      <c r="K836" s="34">
        <f>CAPACIDAD!P67</f>
        <v>0</v>
      </c>
      <c r="L836" s="34">
        <f>CAPACIDAD!Q67</f>
        <v>0</v>
      </c>
      <c r="M836" s="34">
        <f>CAPACIDAD!R67</f>
        <v>0</v>
      </c>
      <c r="N836" s="34">
        <f>CAPACIDAD!S67</f>
        <v>0</v>
      </c>
      <c r="O836" s="34">
        <f>CAPACIDAD!T67</f>
        <v>0</v>
      </c>
      <c r="P836" s="34">
        <f>CAPACIDAD!U67</f>
        <v>0</v>
      </c>
      <c r="Q836" s="34">
        <f>CAPACIDAD!V67</f>
        <v>0</v>
      </c>
      <c r="R836" s="34">
        <f>CAPACIDAD!W67</f>
        <v>0</v>
      </c>
      <c r="S836" s="34">
        <f>CAPACIDAD!X67</f>
        <v>0</v>
      </c>
      <c r="T836" s="34">
        <f>CAPACIDAD!Y67</f>
        <v>0</v>
      </c>
      <c r="U836" s="34">
        <f>CAPACIDAD!Z67</f>
        <v>0</v>
      </c>
      <c r="V836" s="34">
        <f>CAPACIDAD!AA67</f>
        <v>0</v>
      </c>
      <c r="W836" s="34">
        <f>CAPACIDAD!AB67</f>
        <v>0</v>
      </c>
    </row>
    <row r="837" spans="1:23" s="10" customFormat="1" x14ac:dyDescent="0.3">
      <c r="A837" s="2" t="s">
        <v>28</v>
      </c>
      <c r="B837" s="9" t="e">
        <f t="shared" ref="B837:C837" si="15">IF(B835/B836=0,"",IF(B835/B836&lt;=85%,"🟢 Saludable",IF(B835/B836&lt;=100%,"🟡 Riesgo","🔴 Atraso seguro")))</f>
        <v>#DIV/0!</v>
      </c>
      <c r="C837" s="9" t="e">
        <f t="shared" si="15"/>
        <v>#DIV/0!</v>
      </c>
      <c r="D837" s="9" t="e">
        <f>IF(D915/D916=0,"",IF(D915/D916&lt;=85%,"🟢 Saludable",IF(D915/D916&lt;=100%,"🟡 Riesgo","🔴 Atraso seguro")))</f>
        <v>#DIV/0!</v>
      </c>
      <c r="E837" s="9" t="e">
        <f t="shared" ref="E837:W837" si="16">IF(E915/E916=0,"",IF(E915/E916&lt;=85%,"🟢 Saludable",IF(E915/E916&lt;=100%,"🟡 Riesgo","🔴 Atraso seguro")))</f>
        <v>#DIV/0!</v>
      </c>
      <c r="F837" s="9" t="e">
        <f t="shared" si="16"/>
        <v>#DIV/0!</v>
      </c>
      <c r="G837" s="9" t="e">
        <f t="shared" si="16"/>
        <v>#DIV/0!</v>
      </c>
      <c r="H837" s="9" t="e">
        <f t="shared" si="16"/>
        <v>#DIV/0!</v>
      </c>
      <c r="I837" s="9" t="e">
        <f t="shared" si="16"/>
        <v>#DIV/0!</v>
      </c>
      <c r="J837" s="9" t="e">
        <f t="shared" si="16"/>
        <v>#DIV/0!</v>
      </c>
      <c r="K837" s="9" t="e">
        <f t="shared" si="16"/>
        <v>#DIV/0!</v>
      </c>
      <c r="L837" s="9" t="e">
        <f t="shared" si="16"/>
        <v>#DIV/0!</v>
      </c>
      <c r="M837" s="9" t="e">
        <f t="shared" si="16"/>
        <v>#DIV/0!</v>
      </c>
      <c r="N837" s="9" t="e">
        <f t="shared" si="16"/>
        <v>#DIV/0!</v>
      </c>
      <c r="O837" s="9" t="e">
        <f t="shared" si="16"/>
        <v>#DIV/0!</v>
      </c>
      <c r="P837" s="9" t="e">
        <f t="shared" si="16"/>
        <v>#DIV/0!</v>
      </c>
      <c r="Q837" s="9" t="e">
        <f t="shared" si="16"/>
        <v>#DIV/0!</v>
      </c>
      <c r="R837" s="9" t="e">
        <f t="shared" si="16"/>
        <v>#DIV/0!</v>
      </c>
      <c r="S837" s="9" t="e">
        <f t="shared" si="16"/>
        <v>#DIV/0!</v>
      </c>
      <c r="T837" s="9" t="e">
        <f t="shared" si="16"/>
        <v>#DIV/0!</v>
      </c>
      <c r="U837" s="9" t="e">
        <f t="shared" si="16"/>
        <v>#DIV/0!</v>
      </c>
      <c r="V837" s="9" t="e">
        <f t="shared" si="16"/>
        <v>#DIV/0!</v>
      </c>
      <c r="W837" s="9" t="e">
        <f t="shared" si="16"/>
        <v>#DIV/0!</v>
      </c>
    </row>
    <row r="843" spans="1:23" ht="21" x14ac:dyDescent="0.4">
      <c r="A843" s="50" t="s">
        <v>478</v>
      </c>
    </row>
    <row r="844" spans="1:23" x14ac:dyDescent="0.3">
      <c r="A844" s="24" t="s">
        <v>27</v>
      </c>
      <c r="B844" s="24" t="s">
        <v>34</v>
      </c>
      <c r="C844" s="24" t="s">
        <v>35</v>
      </c>
      <c r="D844" s="24" t="s">
        <v>36</v>
      </c>
      <c r="E844" s="24" t="s">
        <v>37</v>
      </c>
      <c r="F844" s="24" t="s">
        <v>38</v>
      </c>
      <c r="G844" s="24" t="s">
        <v>40</v>
      </c>
      <c r="H844" s="24" t="s">
        <v>39</v>
      </c>
      <c r="I844" s="24" t="s">
        <v>41</v>
      </c>
      <c r="J844" s="24" t="s">
        <v>42</v>
      </c>
      <c r="K844" s="24" t="s">
        <v>43</v>
      </c>
      <c r="L844" s="24" t="s">
        <v>44</v>
      </c>
      <c r="M844" s="24" t="s">
        <v>45</v>
      </c>
      <c r="N844" s="24" t="s">
        <v>46</v>
      </c>
      <c r="O844" s="24" t="s">
        <v>47</v>
      </c>
      <c r="P844" s="24" t="s">
        <v>48</v>
      </c>
      <c r="Q844" s="24" t="s">
        <v>49</v>
      </c>
      <c r="R844" s="24" t="s">
        <v>50</v>
      </c>
      <c r="S844" s="24" t="s">
        <v>51</v>
      </c>
      <c r="T844" s="24" t="s">
        <v>52</v>
      </c>
      <c r="U844" s="24" t="s">
        <v>53</v>
      </c>
      <c r="V844" s="24" t="s">
        <v>54</v>
      </c>
      <c r="W844" s="24" t="s">
        <v>55</v>
      </c>
    </row>
    <row r="845" spans="1:23" hidden="1" outlineLevel="1" x14ac:dyDescent="0.3">
      <c r="A845" s="13" t="s">
        <v>79</v>
      </c>
      <c r="B845" s="8">
        <f>SUMIFS('HOJAS DE HORA PROY.'!$I$2:$I$943,'HOJAS DE HORA PROY.'!$A$2:$A$943,'PLAN MAESTRO FINAL'!$A845,'HOJAS DE HORA PROY.'!$M$2:$M$943,B$844)</f>
        <v>0</v>
      </c>
      <c r="C845" s="8">
        <f>SUMIFS('HOJAS DE HORA PROY.'!$I$2:$I$943,'HOJAS DE HORA PROY.'!$A$2:$A$943,'PLAN MAESTRO FINAL'!$A845,'HOJAS DE HORA PROY.'!$M$2:$M$943,C$844)</f>
        <v>0</v>
      </c>
      <c r="D845" s="8">
        <f>SUMIFS('HOJAS DE HORA PROY.'!$I$2:$I$943,'HOJAS DE HORA PROY.'!$A$2:$A$943,'PLAN MAESTRO FINAL'!$A845,'HOJAS DE HORA PROY.'!$M$2:$M$943,D$844)</f>
        <v>0</v>
      </c>
      <c r="E845" s="8">
        <f>SUMIFS('HOJAS DE HORA PROY.'!$I$2:$I$943,'HOJAS DE HORA PROY.'!$A$2:$A$943,'PLAN MAESTRO FINAL'!$A845,'HOJAS DE HORA PROY.'!$M$2:$M$943,E$844)</f>
        <v>0</v>
      </c>
      <c r="F845" s="8">
        <f>SUMIFS('HOJAS DE HORA PROY.'!$I$2:$I$943,'HOJAS DE HORA PROY.'!$A$2:$A$943,'PLAN MAESTRO FINAL'!$A845,'HOJAS DE HORA PROY.'!$M$2:$M$943,F$844)</f>
        <v>0</v>
      </c>
      <c r="G845" s="8">
        <f>SUMIFS('HOJAS DE HORA PROY.'!$I$2:$I$943,'HOJAS DE HORA PROY.'!$A$2:$A$943,'PLAN MAESTRO FINAL'!$A845,'HOJAS DE HORA PROY.'!$M$2:$M$943,G$844)</f>
        <v>0</v>
      </c>
      <c r="H845" s="8">
        <f>SUMIFS('HOJAS DE HORA PROY.'!$I$2:$I$943,'HOJAS DE HORA PROY.'!$A$2:$A$943,'PLAN MAESTRO FINAL'!$A845,'HOJAS DE HORA PROY.'!$M$2:$M$943,H$844)</f>
        <v>0</v>
      </c>
      <c r="I845" s="8">
        <f>SUMIFS('HOJAS DE HORA PROY.'!$I$2:$I$943,'HOJAS DE HORA PROY.'!$A$2:$A$943,'PLAN MAESTRO FINAL'!$A845,'HOJAS DE HORA PROY.'!$M$2:$M$943,I$844)</f>
        <v>0</v>
      </c>
      <c r="J845" s="8">
        <f>SUMIFS('HOJAS DE HORA PROY.'!$I$2:$I$943,'HOJAS DE HORA PROY.'!$A$2:$A$943,'PLAN MAESTRO FINAL'!$A845,'HOJAS DE HORA PROY.'!$M$2:$M$943,J$844)</f>
        <v>0</v>
      </c>
      <c r="K845" s="8">
        <f>SUMIFS('HOJAS DE HORA PROY.'!$I$2:$I$943,'HOJAS DE HORA PROY.'!$A$2:$A$943,'PLAN MAESTRO FINAL'!$A845,'HOJAS DE HORA PROY.'!$M$2:$M$943,K$844)</f>
        <v>0</v>
      </c>
      <c r="L845" s="8">
        <f>SUMIFS('HOJAS DE HORA PROY.'!$I$2:$I$943,'HOJAS DE HORA PROY.'!$A$2:$A$943,'PLAN MAESTRO FINAL'!$A845,'HOJAS DE HORA PROY.'!$M$2:$M$943,L$844)</f>
        <v>0</v>
      </c>
      <c r="M845" s="8">
        <f>SUMIFS('HOJAS DE HORA PROY.'!$I$2:$I$943,'HOJAS DE HORA PROY.'!$A$2:$A$943,'PLAN MAESTRO FINAL'!$A845,'HOJAS DE HORA PROY.'!$M$2:$M$943,M$844)</f>
        <v>0</v>
      </c>
      <c r="N845" s="8">
        <f>SUMIFS('HOJAS DE HORA PROY.'!$I$2:$I$943,'HOJAS DE HORA PROY.'!$A$2:$A$943,'PLAN MAESTRO FINAL'!$A845,'HOJAS DE HORA PROY.'!$M$2:$M$943,N$844)</f>
        <v>0</v>
      </c>
      <c r="O845" s="8">
        <f>SUMIFS('HOJAS DE HORA PROY.'!$I$2:$I$943,'HOJAS DE HORA PROY.'!$A$2:$A$943,'PLAN MAESTRO FINAL'!$A845,'HOJAS DE HORA PROY.'!$M$2:$M$943,O$844)</f>
        <v>0</v>
      </c>
      <c r="P845" s="8">
        <f>SUMIFS('HOJAS DE HORA PROY.'!$I$2:$I$943,'HOJAS DE HORA PROY.'!$A$2:$A$943,'PLAN MAESTRO FINAL'!$A845,'HOJAS DE HORA PROY.'!$M$2:$M$943,P$844)</f>
        <v>0</v>
      </c>
      <c r="Q845" s="8">
        <f>SUMIFS('HOJAS DE HORA PROY.'!$I$2:$I$943,'HOJAS DE HORA PROY.'!$A$2:$A$943,'PLAN MAESTRO FINAL'!$A845,'HOJAS DE HORA PROY.'!$M$2:$M$943,Q$844)</f>
        <v>0</v>
      </c>
      <c r="R845" s="8">
        <f>SUMIFS('HOJAS DE HORA PROY.'!$I$2:$I$943,'HOJAS DE HORA PROY.'!$A$2:$A$943,'PLAN MAESTRO FINAL'!$A845,'HOJAS DE HORA PROY.'!$M$2:$M$943,R$844)</f>
        <v>0</v>
      </c>
      <c r="S845" s="8">
        <f>SUMIFS('HOJAS DE HORA PROY.'!$I$2:$I$943,'HOJAS DE HORA PROY.'!$A$2:$A$943,'PLAN MAESTRO FINAL'!$A845,'HOJAS DE HORA PROY.'!$M$2:$M$943,S$844)</f>
        <v>0</v>
      </c>
      <c r="T845" s="8">
        <f>SUMIFS('HOJAS DE HORA PROY.'!$I$2:$I$943,'HOJAS DE HORA PROY.'!$A$2:$A$943,'PLAN MAESTRO FINAL'!$A845,'HOJAS DE HORA PROY.'!$M$2:$M$943,T$844)</f>
        <v>0</v>
      </c>
      <c r="U845" s="8">
        <f>SUMIFS('HOJAS DE HORA PROY.'!$I$2:$I$943,'HOJAS DE HORA PROY.'!$A$2:$A$943,'PLAN MAESTRO FINAL'!$A845,'HOJAS DE HORA PROY.'!$M$2:$M$943,U$844)</f>
        <v>0</v>
      </c>
      <c r="V845" s="8">
        <f>SUMIFS('HOJAS DE HORA PROY.'!$I$2:$I$943,'HOJAS DE HORA PROY.'!$A$2:$A$943,'PLAN MAESTRO FINAL'!$A845,'HOJAS DE HORA PROY.'!$M$2:$M$943,V$844)</f>
        <v>0</v>
      </c>
      <c r="W845" s="8">
        <f>SUMIFS('HOJAS DE HORA PROY.'!$I$2:$I$943,'HOJAS DE HORA PROY.'!$A$2:$A$943,'PLAN MAESTRO FINAL'!$A845,'HOJAS DE HORA PROY.'!$M$2:$M$943,W$844)</f>
        <v>0</v>
      </c>
    </row>
    <row r="846" spans="1:23" hidden="1" outlineLevel="1" x14ac:dyDescent="0.3">
      <c r="A846" s="13" t="s">
        <v>85</v>
      </c>
      <c r="B846" s="8">
        <f>SUMIFS('HOJAS DE HORA PROY.'!$I$2:$I$943,'HOJAS DE HORA PROY.'!$A$2:$A$943,'PLAN MAESTRO FINAL'!$A846,'HOJAS DE HORA PROY.'!$M$2:$M$943,B$844)</f>
        <v>0</v>
      </c>
      <c r="C846" s="8">
        <f>SUMIFS('HOJAS DE HORA PROY.'!$I$2:$I$943,'HOJAS DE HORA PROY.'!$A$2:$A$943,'PLAN MAESTRO FINAL'!$A846,'HOJAS DE HORA PROY.'!$M$2:$M$943,C$844)</f>
        <v>0</v>
      </c>
      <c r="D846" s="8">
        <f>SUMIFS('HOJAS DE HORA PROY.'!$I$2:$I$943,'HOJAS DE HORA PROY.'!$A$2:$A$943,'PLAN MAESTRO FINAL'!$A846,'HOJAS DE HORA PROY.'!$M$2:$M$943,D$844)</f>
        <v>0</v>
      </c>
      <c r="E846" s="8">
        <f>SUMIFS('HOJAS DE HORA PROY.'!$I$2:$I$943,'HOJAS DE HORA PROY.'!$A$2:$A$943,'PLAN MAESTRO FINAL'!$A846,'HOJAS DE HORA PROY.'!$M$2:$M$943,E$844)</f>
        <v>0</v>
      </c>
      <c r="F846" s="8">
        <f>SUMIFS('HOJAS DE HORA PROY.'!$I$2:$I$943,'HOJAS DE HORA PROY.'!$A$2:$A$943,'PLAN MAESTRO FINAL'!$A846,'HOJAS DE HORA PROY.'!$M$2:$M$943,F$844)</f>
        <v>0</v>
      </c>
      <c r="G846" s="8">
        <f>SUMIFS('HOJAS DE HORA PROY.'!$I$2:$I$943,'HOJAS DE HORA PROY.'!$A$2:$A$943,'PLAN MAESTRO FINAL'!$A846,'HOJAS DE HORA PROY.'!$M$2:$M$943,G$844)</f>
        <v>0</v>
      </c>
      <c r="H846" s="8">
        <f>SUMIFS('HOJAS DE HORA PROY.'!$I$2:$I$943,'HOJAS DE HORA PROY.'!$A$2:$A$943,'PLAN MAESTRO FINAL'!$A846,'HOJAS DE HORA PROY.'!$M$2:$M$943,H$844)</f>
        <v>0</v>
      </c>
      <c r="I846" s="8">
        <f>SUMIFS('HOJAS DE HORA PROY.'!$I$2:$I$943,'HOJAS DE HORA PROY.'!$A$2:$A$943,'PLAN MAESTRO FINAL'!$A846,'HOJAS DE HORA PROY.'!$M$2:$M$943,I$844)</f>
        <v>0</v>
      </c>
      <c r="J846" s="8">
        <f>SUMIFS('HOJAS DE HORA PROY.'!$I$2:$I$943,'HOJAS DE HORA PROY.'!$A$2:$A$943,'PLAN MAESTRO FINAL'!$A846,'HOJAS DE HORA PROY.'!$M$2:$M$943,J$844)</f>
        <v>0</v>
      </c>
      <c r="K846" s="8">
        <f>SUMIFS('HOJAS DE HORA PROY.'!$I$2:$I$943,'HOJAS DE HORA PROY.'!$A$2:$A$943,'PLAN MAESTRO FINAL'!$A846,'HOJAS DE HORA PROY.'!$M$2:$M$943,K$844)</f>
        <v>0</v>
      </c>
      <c r="L846" s="8">
        <f>SUMIFS('HOJAS DE HORA PROY.'!$I$2:$I$943,'HOJAS DE HORA PROY.'!$A$2:$A$943,'PLAN MAESTRO FINAL'!$A846,'HOJAS DE HORA PROY.'!$M$2:$M$943,L$844)</f>
        <v>0</v>
      </c>
      <c r="M846" s="8">
        <f>SUMIFS('HOJAS DE HORA PROY.'!$I$2:$I$943,'HOJAS DE HORA PROY.'!$A$2:$A$943,'PLAN MAESTRO FINAL'!$A846,'HOJAS DE HORA PROY.'!$M$2:$M$943,M$844)</f>
        <v>0</v>
      </c>
      <c r="N846" s="8">
        <f>SUMIFS('HOJAS DE HORA PROY.'!$I$2:$I$943,'HOJAS DE HORA PROY.'!$A$2:$A$943,'PLAN MAESTRO FINAL'!$A846,'HOJAS DE HORA PROY.'!$M$2:$M$943,N$844)</f>
        <v>0</v>
      </c>
      <c r="O846" s="8">
        <f>SUMIFS('HOJAS DE HORA PROY.'!$I$2:$I$943,'HOJAS DE HORA PROY.'!$A$2:$A$943,'PLAN MAESTRO FINAL'!$A846,'HOJAS DE HORA PROY.'!$M$2:$M$943,O$844)</f>
        <v>0</v>
      </c>
      <c r="P846" s="8">
        <f>SUMIFS('HOJAS DE HORA PROY.'!$I$2:$I$943,'HOJAS DE HORA PROY.'!$A$2:$A$943,'PLAN MAESTRO FINAL'!$A846,'HOJAS DE HORA PROY.'!$M$2:$M$943,P$844)</f>
        <v>0</v>
      </c>
      <c r="Q846" s="8">
        <f>SUMIFS('HOJAS DE HORA PROY.'!$I$2:$I$943,'HOJAS DE HORA PROY.'!$A$2:$A$943,'PLAN MAESTRO FINAL'!$A846,'HOJAS DE HORA PROY.'!$M$2:$M$943,Q$844)</f>
        <v>0</v>
      </c>
      <c r="R846" s="8">
        <f>SUMIFS('HOJAS DE HORA PROY.'!$I$2:$I$943,'HOJAS DE HORA PROY.'!$A$2:$A$943,'PLAN MAESTRO FINAL'!$A846,'HOJAS DE HORA PROY.'!$M$2:$M$943,R$844)</f>
        <v>0</v>
      </c>
      <c r="S846" s="8">
        <f>SUMIFS('HOJAS DE HORA PROY.'!$I$2:$I$943,'HOJAS DE HORA PROY.'!$A$2:$A$943,'PLAN MAESTRO FINAL'!$A846,'HOJAS DE HORA PROY.'!$M$2:$M$943,S$844)</f>
        <v>0</v>
      </c>
      <c r="T846" s="8">
        <f>SUMIFS('HOJAS DE HORA PROY.'!$I$2:$I$943,'HOJAS DE HORA PROY.'!$A$2:$A$943,'PLAN MAESTRO FINAL'!$A846,'HOJAS DE HORA PROY.'!$M$2:$M$943,T$844)</f>
        <v>0</v>
      </c>
      <c r="U846" s="8">
        <f>SUMIFS('HOJAS DE HORA PROY.'!$I$2:$I$943,'HOJAS DE HORA PROY.'!$A$2:$A$943,'PLAN MAESTRO FINAL'!$A846,'HOJAS DE HORA PROY.'!$M$2:$M$943,U$844)</f>
        <v>0</v>
      </c>
      <c r="V846" s="8">
        <f>SUMIFS('HOJAS DE HORA PROY.'!$I$2:$I$943,'HOJAS DE HORA PROY.'!$A$2:$A$943,'PLAN MAESTRO FINAL'!$A846,'HOJAS DE HORA PROY.'!$M$2:$M$943,V$844)</f>
        <v>0</v>
      </c>
      <c r="W846" s="8">
        <f>SUMIFS('HOJAS DE HORA PROY.'!$I$2:$I$943,'HOJAS DE HORA PROY.'!$A$2:$A$943,'PLAN MAESTRO FINAL'!$A846,'HOJAS DE HORA PROY.'!$M$2:$M$943,W$844)</f>
        <v>0</v>
      </c>
    </row>
    <row r="847" spans="1:23" hidden="1" outlineLevel="1" x14ac:dyDescent="0.3">
      <c r="A847" s="13" t="s">
        <v>68</v>
      </c>
      <c r="B847" s="8">
        <f>SUMIFS('HOJAS DE HORA PROY.'!$I$2:$I$943,'HOJAS DE HORA PROY.'!$A$2:$A$943,'PLAN MAESTRO FINAL'!$A847,'HOJAS DE HORA PROY.'!$M$2:$M$943,B$844)</f>
        <v>0</v>
      </c>
      <c r="C847" s="8">
        <f>SUMIFS('HOJAS DE HORA PROY.'!$I$2:$I$943,'HOJAS DE HORA PROY.'!$A$2:$A$943,'PLAN MAESTRO FINAL'!$A847,'HOJAS DE HORA PROY.'!$M$2:$M$943,C$844)</f>
        <v>0</v>
      </c>
      <c r="D847" s="8">
        <f>SUMIFS('HOJAS DE HORA PROY.'!$I$2:$I$943,'HOJAS DE HORA PROY.'!$A$2:$A$943,'PLAN MAESTRO FINAL'!$A847,'HOJAS DE HORA PROY.'!$M$2:$M$943,D$844)</f>
        <v>0</v>
      </c>
      <c r="E847" s="8">
        <f>SUMIFS('HOJAS DE HORA PROY.'!$I$2:$I$943,'HOJAS DE HORA PROY.'!$A$2:$A$943,'PLAN MAESTRO FINAL'!$A847,'HOJAS DE HORA PROY.'!$M$2:$M$943,E$844)</f>
        <v>0</v>
      </c>
      <c r="F847" s="8">
        <f>SUMIFS('HOJAS DE HORA PROY.'!$I$2:$I$943,'HOJAS DE HORA PROY.'!$A$2:$A$943,'PLAN MAESTRO FINAL'!$A847,'HOJAS DE HORA PROY.'!$M$2:$M$943,F$844)</f>
        <v>0</v>
      </c>
      <c r="G847" s="8">
        <f>SUMIFS('HOJAS DE HORA PROY.'!$I$2:$I$943,'HOJAS DE HORA PROY.'!$A$2:$A$943,'PLAN MAESTRO FINAL'!$A847,'HOJAS DE HORA PROY.'!$M$2:$M$943,G$844)</f>
        <v>0</v>
      </c>
      <c r="H847" s="8">
        <f>SUMIFS('HOJAS DE HORA PROY.'!$I$2:$I$943,'HOJAS DE HORA PROY.'!$A$2:$A$943,'PLAN MAESTRO FINAL'!$A847,'HOJAS DE HORA PROY.'!$M$2:$M$943,H$844)</f>
        <v>0</v>
      </c>
      <c r="I847" s="8">
        <f>SUMIFS('HOJAS DE HORA PROY.'!$I$2:$I$943,'HOJAS DE HORA PROY.'!$A$2:$A$943,'PLAN MAESTRO FINAL'!$A847,'HOJAS DE HORA PROY.'!$M$2:$M$943,I$844)</f>
        <v>0</v>
      </c>
      <c r="J847" s="8">
        <f>SUMIFS('HOJAS DE HORA PROY.'!$I$2:$I$943,'HOJAS DE HORA PROY.'!$A$2:$A$943,'PLAN MAESTRO FINAL'!$A847,'HOJAS DE HORA PROY.'!$M$2:$M$943,J$844)</f>
        <v>0</v>
      </c>
      <c r="K847" s="8">
        <f>SUMIFS('HOJAS DE HORA PROY.'!$I$2:$I$943,'HOJAS DE HORA PROY.'!$A$2:$A$943,'PLAN MAESTRO FINAL'!$A847,'HOJAS DE HORA PROY.'!$M$2:$M$943,K$844)</f>
        <v>0</v>
      </c>
      <c r="L847" s="8">
        <f>SUMIFS('HOJAS DE HORA PROY.'!$I$2:$I$943,'HOJAS DE HORA PROY.'!$A$2:$A$943,'PLAN MAESTRO FINAL'!$A847,'HOJAS DE HORA PROY.'!$M$2:$M$943,L$844)</f>
        <v>0</v>
      </c>
      <c r="M847" s="8">
        <f>SUMIFS('HOJAS DE HORA PROY.'!$I$2:$I$943,'HOJAS DE HORA PROY.'!$A$2:$A$943,'PLAN MAESTRO FINAL'!$A847,'HOJAS DE HORA PROY.'!$M$2:$M$943,M$844)</f>
        <v>0</v>
      </c>
      <c r="N847" s="8">
        <f>SUMIFS('HOJAS DE HORA PROY.'!$I$2:$I$943,'HOJAS DE HORA PROY.'!$A$2:$A$943,'PLAN MAESTRO FINAL'!$A847,'HOJAS DE HORA PROY.'!$M$2:$M$943,N$844)</f>
        <v>0</v>
      </c>
      <c r="O847" s="8">
        <f>SUMIFS('HOJAS DE HORA PROY.'!$I$2:$I$943,'HOJAS DE HORA PROY.'!$A$2:$A$943,'PLAN MAESTRO FINAL'!$A847,'HOJAS DE HORA PROY.'!$M$2:$M$943,O$844)</f>
        <v>0</v>
      </c>
      <c r="P847" s="8">
        <f>SUMIFS('HOJAS DE HORA PROY.'!$I$2:$I$943,'HOJAS DE HORA PROY.'!$A$2:$A$943,'PLAN MAESTRO FINAL'!$A847,'HOJAS DE HORA PROY.'!$M$2:$M$943,P$844)</f>
        <v>0</v>
      </c>
      <c r="Q847" s="8">
        <f>SUMIFS('HOJAS DE HORA PROY.'!$I$2:$I$943,'HOJAS DE HORA PROY.'!$A$2:$A$943,'PLAN MAESTRO FINAL'!$A847,'HOJAS DE HORA PROY.'!$M$2:$M$943,Q$844)</f>
        <v>0</v>
      </c>
      <c r="R847" s="8">
        <f>SUMIFS('HOJAS DE HORA PROY.'!$I$2:$I$943,'HOJAS DE HORA PROY.'!$A$2:$A$943,'PLAN MAESTRO FINAL'!$A847,'HOJAS DE HORA PROY.'!$M$2:$M$943,R$844)</f>
        <v>0</v>
      </c>
      <c r="S847" s="8">
        <f>SUMIFS('HOJAS DE HORA PROY.'!$I$2:$I$943,'HOJAS DE HORA PROY.'!$A$2:$A$943,'PLAN MAESTRO FINAL'!$A847,'HOJAS DE HORA PROY.'!$M$2:$M$943,S$844)</f>
        <v>0</v>
      </c>
      <c r="T847" s="8">
        <f>SUMIFS('HOJAS DE HORA PROY.'!$I$2:$I$943,'HOJAS DE HORA PROY.'!$A$2:$A$943,'PLAN MAESTRO FINAL'!$A847,'HOJAS DE HORA PROY.'!$M$2:$M$943,T$844)</f>
        <v>0</v>
      </c>
      <c r="U847" s="8">
        <f>SUMIFS('HOJAS DE HORA PROY.'!$I$2:$I$943,'HOJAS DE HORA PROY.'!$A$2:$A$943,'PLAN MAESTRO FINAL'!$A847,'HOJAS DE HORA PROY.'!$M$2:$M$943,U$844)</f>
        <v>0</v>
      </c>
      <c r="V847" s="8">
        <f>SUMIFS('HOJAS DE HORA PROY.'!$I$2:$I$943,'HOJAS DE HORA PROY.'!$A$2:$A$943,'PLAN MAESTRO FINAL'!$A847,'HOJAS DE HORA PROY.'!$M$2:$M$943,V$844)</f>
        <v>0</v>
      </c>
      <c r="W847" s="8">
        <f>SUMIFS('HOJAS DE HORA PROY.'!$I$2:$I$943,'HOJAS DE HORA PROY.'!$A$2:$A$943,'PLAN MAESTRO FINAL'!$A847,'HOJAS DE HORA PROY.'!$M$2:$M$943,W$844)</f>
        <v>0</v>
      </c>
    </row>
    <row r="848" spans="1:23" hidden="1" outlineLevel="1" x14ac:dyDescent="0.3">
      <c r="A848" s="13" t="s">
        <v>126</v>
      </c>
      <c r="B848" s="8">
        <f>SUMIFS('HOJAS DE HORA PROY.'!$I$2:$I$943,'HOJAS DE HORA PROY.'!$A$2:$A$943,'PLAN MAESTRO FINAL'!$A848,'HOJAS DE HORA PROY.'!$M$2:$M$943,B$844)</f>
        <v>0</v>
      </c>
      <c r="C848" s="8">
        <f>SUMIFS('HOJAS DE HORA PROY.'!$I$2:$I$943,'HOJAS DE HORA PROY.'!$A$2:$A$943,'PLAN MAESTRO FINAL'!$A848,'HOJAS DE HORA PROY.'!$M$2:$M$943,C$844)</f>
        <v>0</v>
      </c>
      <c r="D848" s="8">
        <f>SUMIFS('HOJAS DE HORA PROY.'!$I$2:$I$943,'HOJAS DE HORA PROY.'!$A$2:$A$943,'PLAN MAESTRO FINAL'!$A848,'HOJAS DE HORA PROY.'!$M$2:$M$943,D$844)</f>
        <v>0</v>
      </c>
      <c r="E848" s="8">
        <f>SUMIFS('HOJAS DE HORA PROY.'!$I$2:$I$943,'HOJAS DE HORA PROY.'!$A$2:$A$943,'PLAN MAESTRO FINAL'!$A848,'HOJAS DE HORA PROY.'!$M$2:$M$943,E$844)</f>
        <v>0</v>
      </c>
      <c r="F848" s="8">
        <f>SUMIFS('HOJAS DE HORA PROY.'!$I$2:$I$943,'HOJAS DE HORA PROY.'!$A$2:$A$943,'PLAN MAESTRO FINAL'!$A848,'HOJAS DE HORA PROY.'!$M$2:$M$943,F$844)</f>
        <v>0</v>
      </c>
      <c r="G848" s="8">
        <f>SUMIFS('HOJAS DE HORA PROY.'!$I$2:$I$943,'HOJAS DE HORA PROY.'!$A$2:$A$943,'PLAN MAESTRO FINAL'!$A848,'HOJAS DE HORA PROY.'!$M$2:$M$943,G$844)</f>
        <v>0</v>
      </c>
      <c r="H848" s="8">
        <f>SUMIFS('HOJAS DE HORA PROY.'!$I$2:$I$943,'HOJAS DE HORA PROY.'!$A$2:$A$943,'PLAN MAESTRO FINAL'!$A848,'HOJAS DE HORA PROY.'!$M$2:$M$943,H$844)</f>
        <v>0</v>
      </c>
      <c r="I848" s="8">
        <f>SUMIFS('HOJAS DE HORA PROY.'!$I$2:$I$943,'HOJAS DE HORA PROY.'!$A$2:$A$943,'PLAN MAESTRO FINAL'!$A848,'HOJAS DE HORA PROY.'!$M$2:$M$943,I$844)</f>
        <v>0</v>
      </c>
      <c r="J848" s="8">
        <f>SUMIFS('HOJAS DE HORA PROY.'!$I$2:$I$943,'HOJAS DE HORA PROY.'!$A$2:$A$943,'PLAN MAESTRO FINAL'!$A848,'HOJAS DE HORA PROY.'!$M$2:$M$943,J$844)</f>
        <v>0</v>
      </c>
      <c r="K848" s="8">
        <f>SUMIFS('HOJAS DE HORA PROY.'!$I$2:$I$943,'HOJAS DE HORA PROY.'!$A$2:$A$943,'PLAN MAESTRO FINAL'!$A848,'HOJAS DE HORA PROY.'!$M$2:$M$943,K$844)</f>
        <v>0</v>
      </c>
      <c r="L848" s="8">
        <f>SUMIFS('HOJAS DE HORA PROY.'!$I$2:$I$943,'HOJAS DE HORA PROY.'!$A$2:$A$943,'PLAN MAESTRO FINAL'!$A848,'HOJAS DE HORA PROY.'!$M$2:$M$943,L$844)</f>
        <v>0</v>
      </c>
      <c r="M848" s="8">
        <f>SUMIFS('HOJAS DE HORA PROY.'!$I$2:$I$943,'HOJAS DE HORA PROY.'!$A$2:$A$943,'PLAN MAESTRO FINAL'!$A848,'HOJAS DE HORA PROY.'!$M$2:$M$943,M$844)</f>
        <v>0</v>
      </c>
      <c r="N848" s="8">
        <f>SUMIFS('HOJAS DE HORA PROY.'!$I$2:$I$943,'HOJAS DE HORA PROY.'!$A$2:$A$943,'PLAN MAESTRO FINAL'!$A848,'HOJAS DE HORA PROY.'!$M$2:$M$943,N$844)</f>
        <v>0</v>
      </c>
      <c r="O848" s="8">
        <f>SUMIFS('HOJAS DE HORA PROY.'!$I$2:$I$943,'HOJAS DE HORA PROY.'!$A$2:$A$943,'PLAN MAESTRO FINAL'!$A848,'HOJAS DE HORA PROY.'!$M$2:$M$943,O$844)</f>
        <v>0</v>
      </c>
      <c r="P848" s="8">
        <f>SUMIFS('HOJAS DE HORA PROY.'!$I$2:$I$943,'HOJAS DE HORA PROY.'!$A$2:$A$943,'PLAN MAESTRO FINAL'!$A848,'HOJAS DE HORA PROY.'!$M$2:$M$943,P$844)</f>
        <v>0</v>
      </c>
      <c r="Q848" s="8">
        <f>SUMIFS('HOJAS DE HORA PROY.'!$I$2:$I$943,'HOJAS DE HORA PROY.'!$A$2:$A$943,'PLAN MAESTRO FINAL'!$A848,'HOJAS DE HORA PROY.'!$M$2:$M$943,Q$844)</f>
        <v>0</v>
      </c>
      <c r="R848" s="8">
        <f>SUMIFS('HOJAS DE HORA PROY.'!$I$2:$I$943,'HOJAS DE HORA PROY.'!$A$2:$A$943,'PLAN MAESTRO FINAL'!$A848,'HOJAS DE HORA PROY.'!$M$2:$M$943,R$844)</f>
        <v>0</v>
      </c>
      <c r="S848" s="8">
        <f>SUMIFS('HOJAS DE HORA PROY.'!$I$2:$I$943,'HOJAS DE HORA PROY.'!$A$2:$A$943,'PLAN MAESTRO FINAL'!$A848,'HOJAS DE HORA PROY.'!$M$2:$M$943,S$844)</f>
        <v>0</v>
      </c>
      <c r="T848" s="8">
        <f>SUMIFS('HOJAS DE HORA PROY.'!$I$2:$I$943,'HOJAS DE HORA PROY.'!$A$2:$A$943,'PLAN MAESTRO FINAL'!$A848,'HOJAS DE HORA PROY.'!$M$2:$M$943,T$844)</f>
        <v>0</v>
      </c>
      <c r="U848" s="8">
        <f>SUMIFS('HOJAS DE HORA PROY.'!$I$2:$I$943,'HOJAS DE HORA PROY.'!$A$2:$A$943,'PLAN MAESTRO FINAL'!$A848,'HOJAS DE HORA PROY.'!$M$2:$M$943,U$844)</f>
        <v>0</v>
      </c>
      <c r="V848" s="8">
        <f>SUMIFS('HOJAS DE HORA PROY.'!$I$2:$I$943,'HOJAS DE HORA PROY.'!$A$2:$A$943,'PLAN MAESTRO FINAL'!$A848,'HOJAS DE HORA PROY.'!$M$2:$M$943,V$844)</f>
        <v>0</v>
      </c>
      <c r="W848" s="8">
        <f>SUMIFS('HOJAS DE HORA PROY.'!$I$2:$I$943,'HOJAS DE HORA PROY.'!$A$2:$A$943,'PLAN MAESTRO FINAL'!$A848,'HOJAS DE HORA PROY.'!$M$2:$M$943,W$844)</f>
        <v>0</v>
      </c>
    </row>
    <row r="849" spans="1:23" hidden="1" outlineLevel="1" x14ac:dyDescent="0.3">
      <c r="A849" s="13" t="s">
        <v>132</v>
      </c>
      <c r="B849" s="8">
        <f>SUMIFS('HOJAS DE HORA PROY.'!$I$2:$I$943,'HOJAS DE HORA PROY.'!$A$2:$A$943,'PLAN MAESTRO FINAL'!$A849,'HOJAS DE HORA PROY.'!$M$2:$M$943,B$844)</f>
        <v>0</v>
      </c>
      <c r="C849" s="8">
        <f>SUMIFS('HOJAS DE HORA PROY.'!$I$2:$I$943,'HOJAS DE HORA PROY.'!$A$2:$A$943,'PLAN MAESTRO FINAL'!$A849,'HOJAS DE HORA PROY.'!$M$2:$M$943,C$844)</f>
        <v>0</v>
      </c>
      <c r="D849" s="8">
        <f>SUMIFS('HOJAS DE HORA PROY.'!$I$2:$I$943,'HOJAS DE HORA PROY.'!$A$2:$A$943,'PLAN MAESTRO FINAL'!$A849,'HOJAS DE HORA PROY.'!$M$2:$M$943,D$844)</f>
        <v>0</v>
      </c>
      <c r="E849" s="8">
        <f>SUMIFS('HOJAS DE HORA PROY.'!$I$2:$I$943,'HOJAS DE HORA PROY.'!$A$2:$A$943,'PLAN MAESTRO FINAL'!$A849,'HOJAS DE HORA PROY.'!$M$2:$M$943,E$844)</f>
        <v>0</v>
      </c>
      <c r="F849" s="8">
        <f>SUMIFS('HOJAS DE HORA PROY.'!$I$2:$I$943,'HOJAS DE HORA PROY.'!$A$2:$A$943,'PLAN MAESTRO FINAL'!$A849,'HOJAS DE HORA PROY.'!$M$2:$M$943,F$844)</f>
        <v>0</v>
      </c>
      <c r="G849" s="8">
        <f>SUMIFS('HOJAS DE HORA PROY.'!$I$2:$I$943,'HOJAS DE HORA PROY.'!$A$2:$A$943,'PLAN MAESTRO FINAL'!$A849,'HOJAS DE HORA PROY.'!$M$2:$M$943,G$844)</f>
        <v>0</v>
      </c>
      <c r="H849" s="8">
        <f>SUMIFS('HOJAS DE HORA PROY.'!$I$2:$I$943,'HOJAS DE HORA PROY.'!$A$2:$A$943,'PLAN MAESTRO FINAL'!$A849,'HOJAS DE HORA PROY.'!$M$2:$M$943,H$844)</f>
        <v>0</v>
      </c>
      <c r="I849" s="8">
        <f>SUMIFS('HOJAS DE HORA PROY.'!$I$2:$I$943,'HOJAS DE HORA PROY.'!$A$2:$A$943,'PLAN MAESTRO FINAL'!$A849,'HOJAS DE HORA PROY.'!$M$2:$M$943,I$844)</f>
        <v>0</v>
      </c>
      <c r="J849" s="8">
        <f>SUMIFS('HOJAS DE HORA PROY.'!$I$2:$I$943,'HOJAS DE HORA PROY.'!$A$2:$A$943,'PLAN MAESTRO FINAL'!$A849,'HOJAS DE HORA PROY.'!$M$2:$M$943,J$844)</f>
        <v>0</v>
      </c>
      <c r="K849" s="8">
        <f>SUMIFS('HOJAS DE HORA PROY.'!$I$2:$I$943,'HOJAS DE HORA PROY.'!$A$2:$A$943,'PLAN MAESTRO FINAL'!$A849,'HOJAS DE HORA PROY.'!$M$2:$M$943,K$844)</f>
        <v>0</v>
      </c>
      <c r="L849" s="8">
        <f>SUMIFS('HOJAS DE HORA PROY.'!$I$2:$I$943,'HOJAS DE HORA PROY.'!$A$2:$A$943,'PLAN MAESTRO FINAL'!$A849,'HOJAS DE HORA PROY.'!$M$2:$M$943,L$844)</f>
        <v>0</v>
      </c>
      <c r="M849" s="8">
        <f>SUMIFS('HOJAS DE HORA PROY.'!$I$2:$I$943,'HOJAS DE HORA PROY.'!$A$2:$A$943,'PLAN MAESTRO FINAL'!$A849,'HOJAS DE HORA PROY.'!$M$2:$M$943,M$844)</f>
        <v>0</v>
      </c>
      <c r="N849" s="8">
        <f>SUMIFS('HOJAS DE HORA PROY.'!$I$2:$I$943,'HOJAS DE HORA PROY.'!$A$2:$A$943,'PLAN MAESTRO FINAL'!$A849,'HOJAS DE HORA PROY.'!$M$2:$M$943,N$844)</f>
        <v>0</v>
      </c>
      <c r="O849" s="8">
        <f>SUMIFS('HOJAS DE HORA PROY.'!$I$2:$I$943,'HOJAS DE HORA PROY.'!$A$2:$A$943,'PLAN MAESTRO FINAL'!$A849,'HOJAS DE HORA PROY.'!$M$2:$M$943,O$844)</f>
        <v>0</v>
      </c>
      <c r="P849" s="8">
        <f>SUMIFS('HOJAS DE HORA PROY.'!$I$2:$I$943,'HOJAS DE HORA PROY.'!$A$2:$A$943,'PLAN MAESTRO FINAL'!$A849,'HOJAS DE HORA PROY.'!$M$2:$M$943,P$844)</f>
        <v>0</v>
      </c>
      <c r="Q849" s="8">
        <f>SUMIFS('HOJAS DE HORA PROY.'!$I$2:$I$943,'HOJAS DE HORA PROY.'!$A$2:$A$943,'PLAN MAESTRO FINAL'!$A849,'HOJAS DE HORA PROY.'!$M$2:$M$943,Q$844)</f>
        <v>0</v>
      </c>
      <c r="R849" s="8">
        <f>SUMIFS('HOJAS DE HORA PROY.'!$I$2:$I$943,'HOJAS DE HORA PROY.'!$A$2:$A$943,'PLAN MAESTRO FINAL'!$A849,'HOJAS DE HORA PROY.'!$M$2:$M$943,R$844)</f>
        <v>0</v>
      </c>
      <c r="S849" s="8">
        <f>SUMIFS('HOJAS DE HORA PROY.'!$I$2:$I$943,'HOJAS DE HORA PROY.'!$A$2:$A$943,'PLAN MAESTRO FINAL'!$A849,'HOJAS DE HORA PROY.'!$M$2:$M$943,S$844)</f>
        <v>0</v>
      </c>
      <c r="T849" s="8">
        <f>SUMIFS('HOJAS DE HORA PROY.'!$I$2:$I$943,'HOJAS DE HORA PROY.'!$A$2:$A$943,'PLAN MAESTRO FINAL'!$A849,'HOJAS DE HORA PROY.'!$M$2:$M$943,T$844)</f>
        <v>0</v>
      </c>
      <c r="U849" s="8">
        <f>SUMIFS('HOJAS DE HORA PROY.'!$I$2:$I$943,'HOJAS DE HORA PROY.'!$A$2:$A$943,'PLAN MAESTRO FINAL'!$A849,'HOJAS DE HORA PROY.'!$M$2:$M$943,U$844)</f>
        <v>0</v>
      </c>
      <c r="V849" s="8">
        <f>SUMIFS('HOJAS DE HORA PROY.'!$I$2:$I$943,'HOJAS DE HORA PROY.'!$A$2:$A$943,'PLAN MAESTRO FINAL'!$A849,'HOJAS DE HORA PROY.'!$M$2:$M$943,V$844)</f>
        <v>0</v>
      </c>
      <c r="W849" s="8">
        <f>SUMIFS('HOJAS DE HORA PROY.'!$I$2:$I$943,'HOJAS DE HORA PROY.'!$A$2:$A$943,'PLAN MAESTRO FINAL'!$A849,'HOJAS DE HORA PROY.'!$M$2:$M$943,W$844)</f>
        <v>0</v>
      </c>
    </row>
    <row r="850" spans="1:23" hidden="1" outlineLevel="1" x14ac:dyDescent="0.3">
      <c r="A850" s="13" t="s">
        <v>141</v>
      </c>
      <c r="B850" s="8">
        <f>SUMIFS('HOJAS DE HORA PROY.'!$I$2:$I$943,'HOJAS DE HORA PROY.'!$A$2:$A$943,'PLAN MAESTRO FINAL'!$A850,'HOJAS DE HORA PROY.'!$M$2:$M$943,B$844)</f>
        <v>0</v>
      </c>
      <c r="C850" s="8">
        <f>SUMIFS('HOJAS DE HORA PROY.'!$I$2:$I$943,'HOJAS DE HORA PROY.'!$A$2:$A$943,'PLAN MAESTRO FINAL'!$A850,'HOJAS DE HORA PROY.'!$M$2:$M$943,C$844)</f>
        <v>0</v>
      </c>
      <c r="D850" s="8">
        <f>SUMIFS('HOJAS DE HORA PROY.'!$I$2:$I$943,'HOJAS DE HORA PROY.'!$A$2:$A$943,'PLAN MAESTRO FINAL'!$A850,'HOJAS DE HORA PROY.'!$M$2:$M$943,D$844)</f>
        <v>0</v>
      </c>
      <c r="E850" s="8">
        <f>SUMIFS('HOJAS DE HORA PROY.'!$I$2:$I$943,'HOJAS DE HORA PROY.'!$A$2:$A$943,'PLAN MAESTRO FINAL'!$A850,'HOJAS DE HORA PROY.'!$M$2:$M$943,E$844)</f>
        <v>0</v>
      </c>
      <c r="F850" s="8">
        <f>SUMIFS('HOJAS DE HORA PROY.'!$I$2:$I$943,'HOJAS DE HORA PROY.'!$A$2:$A$943,'PLAN MAESTRO FINAL'!$A850,'HOJAS DE HORA PROY.'!$M$2:$M$943,F$844)</f>
        <v>0</v>
      </c>
      <c r="G850" s="8">
        <f>SUMIFS('HOJAS DE HORA PROY.'!$I$2:$I$943,'HOJAS DE HORA PROY.'!$A$2:$A$943,'PLAN MAESTRO FINAL'!$A850,'HOJAS DE HORA PROY.'!$M$2:$M$943,G$844)</f>
        <v>0</v>
      </c>
      <c r="H850" s="8">
        <f>SUMIFS('HOJAS DE HORA PROY.'!$I$2:$I$943,'HOJAS DE HORA PROY.'!$A$2:$A$943,'PLAN MAESTRO FINAL'!$A850,'HOJAS DE HORA PROY.'!$M$2:$M$943,H$844)</f>
        <v>0</v>
      </c>
      <c r="I850" s="8">
        <f>SUMIFS('HOJAS DE HORA PROY.'!$I$2:$I$943,'HOJAS DE HORA PROY.'!$A$2:$A$943,'PLAN MAESTRO FINAL'!$A850,'HOJAS DE HORA PROY.'!$M$2:$M$943,I$844)</f>
        <v>0</v>
      </c>
      <c r="J850" s="8">
        <f>SUMIFS('HOJAS DE HORA PROY.'!$I$2:$I$943,'HOJAS DE HORA PROY.'!$A$2:$A$943,'PLAN MAESTRO FINAL'!$A850,'HOJAS DE HORA PROY.'!$M$2:$M$943,J$844)</f>
        <v>0</v>
      </c>
      <c r="K850" s="8">
        <f>SUMIFS('HOJAS DE HORA PROY.'!$I$2:$I$943,'HOJAS DE HORA PROY.'!$A$2:$A$943,'PLAN MAESTRO FINAL'!$A850,'HOJAS DE HORA PROY.'!$M$2:$M$943,K$844)</f>
        <v>0</v>
      </c>
      <c r="L850" s="8">
        <f>SUMIFS('HOJAS DE HORA PROY.'!$I$2:$I$943,'HOJAS DE HORA PROY.'!$A$2:$A$943,'PLAN MAESTRO FINAL'!$A850,'HOJAS DE HORA PROY.'!$M$2:$M$943,L$844)</f>
        <v>0</v>
      </c>
      <c r="M850" s="8">
        <f>SUMIFS('HOJAS DE HORA PROY.'!$I$2:$I$943,'HOJAS DE HORA PROY.'!$A$2:$A$943,'PLAN MAESTRO FINAL'!$A850,'HOJAS DE HORA PROY.'!$M$2:$M$943,M$844)</f>
        <v>0</v>
      </c>
      <c r="N850" s="8">
        <f>SUMIFS('HOJAS DE HORA PROY.'!$I$2:$I$943,'HOJAS DE HORA PROY.'!$A$2:$A$943,'PLAN MAESTRO FINAL'!$A850,'HOJAS DE HORA PROY.'!$M$2:$M$943,N$844)</f>
        <v>0</v>
      </c>
      <c r="O850" s="8">
        <f>SUMIFS('HOJAS DE HORA PROY.'!$I$2:$I$943,'HOJAS DE HORA PROY.'!$A$2:$A$943,'PLAN MAESTRO FINAL'!$A850,'HOJAS DE HORA PROY.'!$M$2:$M$943,O$844)</f>
        <v>0</v>
      </c>
      <c r="P850" s="8">
        <f>SUMIFS('HOJAS DE HORA PROY.'!$I$2:$I$943,'HOJAS DE HORA PROY.'!$A$2:$A$943,'PLAN MAESTRO FINAL'!$A850,'HOJAS DE HORA PROY.'!$M$2:$M$943,P$844)</f>
        <v>0</v>
      </c>
      <c r="Q850" s="8">
        <f>SUMIFS('HOJAS DE HORA PROY.'!$I$2:$I$943,'HOJAS DE HORA PROY.'!$A$2:$A$943,'PLAN MAESTRO FINAL'!$A850,'HOJAS DE HORA PROY.'!$M$2:$M$943,Q$844)</f>
        <v>0</v>
      </c>
      <c r="R850" s="8">
        <f>SUMIFS('HOJAS DE HORA PROY.'!$I$2:$I$943,'HOJAS DE HORA PROY.'!$A$2:$A$943,'PLAN MAESTRO FINAL'!$A850,'HOJAS DE HORA PROY.'!$M$2:$M$943,R$844)</f>
        <v>0</v>
      </c>
      <c r="S850" s="8">
        <f>SUMIFS('HOJAS DE HORA PROY.'!$I$2:$I$943,'HOJAS DE HORA PROY.'!$A$2:$A$943,'PLAN MAESTRO FINAL'!$A850,'HOJAS DE HORA PROY.'!$M$2:$M$943,S$844)</f>
        <v>0</v>
      </c>
      <c r="T850" s="8">
        <f>SUMIFS('HOJAS DE HORA PROY.'!$I$2:$I$943,'HOJAS DE HORA PROY.'!$A$2:$A$943,'PLAN MAESTRO FINAL'!$A850,'HOJAS DE HORA PROY.'!$M$2:$M$943,T$844)</f>
        <v>0</v>
      </c>
      <c r="U850" s="8">
        <f>SUMIFS('HOJAS DE HORA PROY.'!$I$2:$I$943,'HOJAS DE HORA PROY.'!$A$2:$A$943,'PLAN MAESTRO FINAL'!$A850,'HOJAS DE HORA PROY.'!$M$2:$M$943,U$844)</f>
        <v>0</v>
      </c>
      <c r="V850" s="8">
        <f>SUMIFS('HOJAS DE HORA PROY.'!$I$2:$I$943,'HOJAS DE HORA PROY.'!$A$2:$A$943,'PLAN MAESTRO FINAL'!$A850,'HOJAS DE HORA PROY.'!$M$2:$M$943,V$844)</f>
        <v>0</v>
      </c>
      <c r="W850" s="8">
        <f>SUMIFS('HOJAS DE HORA PROY.'!$I$2:$I$943,'HOJAS DE HORA PROY.'!$A$2:$A$943,'PLAN MAESTRO FINAL'!$A850,'HOJAS DE HORA PROY.'!$M$2:$M$943,W$844)</f>
        <v>0</v>
      </c>
    </row>
    <row r="851" spans="1:23" hidden="1" outlineLevel="1" x14ac:dyDescent="0.3">
      <c r="A851" s="13" t="s">
        <v>161</v>
      </c>
      <c r="B851" s="8">
        <f>SUMIFS('HOJAS DE HORA PROY.'!$I$2:$I$943,'HOJAS DE HORA PROY.'!$A$2:$A$943,'PLAN MAESTRO FINAL'!$A851,'HOJAS DE HORA PROY.'!$M$2:$M$943,B$844)</f>
        <v>0</v>
      </c>
      <c r="C851" s="8">
        <f>SUMIFS('HOJAS DE HORA PROY.'!$I$2:$I$943,'HOJAS DE HORA PROY.'!$A$2:$A$943,'PLAN MAESTRO FINAL'!$A851,'HOJAS DE HORA PROY.'!$M$2:$M$943,C$844)</f>
        <v>0</v>
      </c>
      <c r="D851" s="8">
        <f>SUMIFS('HOJAS DE HORA PROY.'!$I$2:$I$943,'HOJAS DE HORA PROY.'!$A$2:$A$943,'PLAN MAESTRO FINAL'!$A851,'HOJAS DE HORA PROY.'!$M$2:$M$943,D$844)</f>
        <v>0</v>
      </c>
      <c r="E851" s="8">
        <f>SUMIFS('HOJAS DE HORA PROY.'!$I$2:$I$943,'HOJAS DE HORA PROY.'!$A$2:$A$943,'PLAN MAESTRO FINAL'!$A851,'HOJAS DE HORA PROY.'!$M$2:$M$943,E$844)</f>
        <v>0</v>
      </c>
      <c r="F851" s="8">
        <f>SUMIFS('HOJAS DE HORA PROY.'!$I$2:$I$943,'HOJAS DE HORA PROY.'!$A$2:$A$943,'PLAN MAESTRO FINAL'!$A851,'HOJAS DE HORA PROY.'!$M$2:$M$943,F$844)</f>
        <v>0</v>
      </c>
      <c r="G851" s="8">
        <f>SUMIFS('HOJAS DE HORA PROY.'!$I$2:$I$943,'HOJAS DE HORA PROY.'!$A$2:$A$943,'PLAN MAESTRO FINAL'!$A851,'HOJAS DE HORA PROY.'!$M$2:$M$943,G$844)</f>
        <v>0</v>
      </c>
      <c r="H851" s="8">
        <f>SUMIFS('HOJAS DE HORA PROY.'!$I$2:$I$943,'HOJAS DE HORA PROY.'!$A$2:$A$943,'PLAN MAESTRO FINAL'!$A851,'HOJAS DE HORA PROY.'!$M$2:$M$943,H$844)</f>
        <v>0</v>
      </c>
      <c r="I851" s="8">
        <f>SUMIFS('HOJAS DE HORA PROY.'!$I$2:$I$943,'HOJAS DE HORA PROY.'!$A$2:$A$943,'PLAN MAESTRO FINAL'!$A851,'HOJAS DE HORA PROY.'!$M$2:$M$943,I$844)</f>
        <v>0</v>
      </c>
      <c r="J851" s="8">
        <f>SUMIFS('HOJAS DE HORA PROY.'!$I$2:$I$943,'HOJAS DE HORA PROY.'!$A$2:$A$943,'PLAN MAESTRO FINAL'!$A851,'HOJAS DE HORA PROY.'!$M$2:$M$943,J$844)</f>
        <v>0</v>
      </c>
      <c r="K851" s="8">
        <f>SUMIFS('HOJAS DE HORA PROY.'!$I$2:$I$943,'HOJAS DE HORA PROY.'!$A$2:$A$943,'PLAN MAESTRO FINAL'!$A851,'HOJAS DE HORA PROY.'!$M$2:$M$943,K$844)</f>
        <v>0</v>
      </c>
      <c r="L851" s="8">
        <f>SUMIFS('HOJAS DE HORA PROY.'!$I$2:$I$943,'HOJAS DE HORA PROY.'!$A$2:$A$943,'PLAN MAESTRO FINAL'!$A851,'HOJAS DE HORA PROY.'!$M$2:$M$943,L$844)</f>
        <v>0</v>
      </c>
      <c r="M851" s="8">
        <f>SUMIFS('HOJAS DE HORA PROY.'!$I$2:$I$943,'HOJAS DE HORA PROY.'!$A$2:$A$943,'PLAN MAESTRO FINAL'!$A851,'HOJAS DE HORA PROY.'!$M$2:$M$943,M$844)</f>
        <v>0</v>
      </c>
      <c r="N851" s="8">
        <f>SUMIFS('HOJAS DE HORA PROY.'!$I$2:$I$943,'HOJAS DE HORA PROY.'!$A$2:$A$943,'PLAN MAESTRO FINAL'!$A851,'HOJAS DE HORA PROY.'!$M$2:$M$943,N$844)</f>
        <v>0</v>
      </c>
      <c r="O851" s="8">
        <f>SUMIFS('HOJAS DE HORA PROY.'!$I$2:$I$943,'HOJAS DE HORA PROY.'!$A$2:$A$943,'PLAN MAESTRO FINAL'!$A851,'HOJAS DE HORA PROY.'!$M$2:$M$943,O$844)</f>
        <v>0</v>
      </c>
      <c r="P851" s="8">
        <f>SUMIFS('HOJAS DE HORA PROY.'!$I$2:$I$943,'HOJAS DE HORA PROY.'!$A$2:$A$943,'PLAN MAESTRO FINAL'!$A851,'HOJAS DE HORA PROY.'!$M$2:$M$943,P$844)</f>
        <v>0</v>
      </c>
      <c r="Q851" s="8">
        <f>SUMIFS('HOJAS DE HORA PROY.'!$I$2:$I$943,'HOJAS DE HORA PROY.'!$A$2:$A$943,'PLAN MAESTRO FINAL'!$A851,'HOJAS DE HORA PROY.'!$M$2:$M$943,Q$844)</f>
        <v>0</v>
      </c>
      <c r="R851" s="8">
        <f>SUMIFS('HOJAS DE HORA PROY.'!$I$2:$I$943,'HOJAS DE HORA PROY.'!$A$2:$A$943,'PLAN MAESTRO FINAL'!$A851,'HOJAS DE HORA PROY.'!$M$2:$M$943,R$844)</f>
        <v>0</v>
      </c>
      <c r="S851" s="8">
        <f>SUMIFS('HOJAS DE HORA PROY.'!$I$2:$I$943,'HOJAS DE HORA PROY.'!$A$2:$A$943,'PLAN MAESTRO FINAL'!$A851,'HOJAS DE HORA PROY.'!$M$2:$M$943,S$844)</f>
        <v>0</v>
      </c>
      <c r="T851" s="8">
        <f>SUMIFS('HOJAS DE HORA PROY.'!$I$2:$I$943,'HOJAS DE HORA PROY.'!$A$2:$A$943,'PLAN MAESTRO FINAL'!$A851,'HOJAS DE HORA PROY.'!$M$2:$M$943,T$844)</f>
        <v>0</v>
      </c>
      <c r="U851" s="8">
        <f>SUMIFS('HOJAS DE HORA PROY.'!$I$2:$I$943,'HOJAS DE HORA PROY.'!$A$2:$A$943,'PLAN MAESTRO FINAL'!$A851,'HOJAS DE HORA PROY.'!$M$2:$M$943,U$844)</f>
        <v>0</v>
      </c>
      <c r="V851" s="8">
        <f>SUMIFS('HOJAS DE HORA PROY.'!$I$2:$I$943,'HOJAS DE HORA PROY.'!$A$2:$A$943,'PLAN MAESTRO FINAL'!$A851,'HOJAS DE HORA PROY.'!$M$2:$M$943,V$844)</f>
        <v>0</v>
      </c>
      <c r="W851" s="8">
        <f>SUMIFS('HOJAS DE HORA PROY.'!$I$2:$I$943,'HOJAS DE HORA PROY.'!$A$2:$A$943,'PLAN MAESTRO FINAL'!$A851,'HOJAS DE HORA PROY.'!$M$2:$M$943,W$844)</f>
        <v>0</v>
      </c>
    </row>
    <row r="852" spans="1:23" hidden="1" outlineLevel="1" x14ac:dyDescent="0.3">
      <c r="A852" s="13" t="s">
        <v>165</v>
      </c>
      <c r="B852" s="8">
        <f>SUMIFS('HOJAS DE HORA PROY.'!$I$2:$I$943,'HOJAS DE HORA PROY.'!$A$2:$A$943,'PLAN MAESTRO FINAL'!$A852,'HOJAS DE HORA PROY.'!$M$2:$M$943,B$844)</f>
        <v>0</v>
      </c>
      <c r="C852" s="8">
        <f>SUMIFS('HOJAS DE HORA PROY.'!$I$2:$I$943,'HOJAS DE HORA PROY.'!$A$2:$A$943,'PLAN MAESTRO FINAL'!$A852,'HOJAS DE HORA PROY.'!$M$2:$M$943,C$844)</f>
        <v>0</v>
      </c>
      <c r="D852" s="8">
        <f>SUMIFS('HOJAS DE HORA PROY.'!$I$2:$I$943,'HOJAS DE HORA PROY.'!$A$2:$A$943,'PLAN MAESTRO FINAL'!$A852,'HOJAS DE HORA PROY.'!$M$2:$M$943,D$844)</f>
        <v>0</v>
      </c>
      <c r="E852" s="8">
        <f>SUMIFS('HOJAS DE HORA PROY.'!$I$2:$I$943,'HOJAS DE HORA PROY.'!$A$2:$A$943,'PLAN MAESTRO FINAL'!$A852,'HOJAS DE HORA PROY.'!$M$2:$M$943,E$844)</f>
        <v>0</v>
      </c>
      <c r="F852" s="8">
        <f>SUMIFS('HOJAS DE HORA PROY.'!$I$2:$I$943,'HOJAS DE HORA PROY.'!$A$2:$A$943,'PLAN MAESTRO FINAL'!$A852,'HOJAS DE HORA PROY.'!$M$2:$M$943,F$844)</f>
        <v>0</v>
      </c>
      <c r="G852" s="8">
        <f>SUMIFS('HOJAS DE HORA PROY.'!$I$2:$I$943,'HOJAS DE HORA PROY.'!$A$2:$A$943,'PLAN MAESTRO FINAL'!$A852,'HOJAS DE HORA PROY.'!$M$2:$M$943,G$844)</f>
        <v>0</v>
      </c>
      <c r="H852" s="8">
        <f>SUMIFS('HOJAS DE HORA PROY.'!$I$2:$I$943,'HOJAS DE HORA PROY.'!$A$2:$A$943,'PLAN MAESTRO FINAL'!$A852,'HOJAS DE HORA PROY.'!$M$2:$M$943,H$844)</f>
        <v>0</v>
      </c>
      <c r="I852" s="8">
        <f>SUMIFS('HOJAS DE HORA PROY.'!$I$2:$I$943,'HOJAS DE HORA PROY.'!$A$2:$A$943,'PLAN MAESTRO FINAL'!$A852,'HOJAS DE HORA PROY.'!$M$2:$M$943,I$844)</f>
        <v>0</v>
      </c>
      <c r="J852" s="8">
        <f>SUMIFS('HOJAS DE HORA PROY.'!$I$2:$I$943,'HOJAS DE HORA PROY.'!$A$2:$A$943,'PLAN MAESTRO FINAL'!$A852,'HOJAS DE HORA PROY.'!$M$2:$M$943,J$844)</f>
        <v>0</v>
      </c>
      <c r="K852" s="8">
        <f>SUMIFS('HOJAS DE HORA PROY.'!$I$2:$I$943,'HOJAS DE HORA PROY.'!$A$2:$A$943,'PLAN MAESTRO FINAL'!$A852,'HOJAS DE HORA PROY.'!$M$2:$M$943,K$844)</f>
        <v>0</v>
      </c>
      <c r="L852" s="8">
        <f>SUMIFS('HOJAS DE HORA PROY.'!$I$2:$I$943,'HOJAS DE HORA PROY.'!$A$2:$A$943,'PLAN MAESTRO FINAL'!$A852,'HOJAS DE HORA PROY.'!$M$2:$M$943,L$844)</f>
        <v>0</v>
      </c>
      <c r="M852" s="8">
        <f>SUMIFS('HOJAS DE HORA PROY.'!$I$2:$I$943,'HOJAS DE HORA PROY.'!$A$2:$A$943,'PLAN MAESTRO FINAL'!$A852,'HOJAS DE HORA PROY.'!$M$2:$M$943,M$844)</f>
        <v>0</v>
      </c>
      <c r="N852" s="8">
        <f>SUMIFS('HOJAS DE HORA PROY.'!$I$2:$I$943,'HOJAS DE HORA PROY.'!$A$2:$A$943,'PLAN MAESTRO FINAL'!$A852,'HOJAS DE HORA PROY.'!$M$2:$M$943,N$844)</f>
        <v>0</v>
      </c>
      <c r="O852" s="8">
        <f>SUMIFS('HOJAS DE HORA PROY.'!$I$2:$I$943,'HOJAS DE HORA PROY.'!$A$2:$A$943,'PLAN MAESTRO FINAL'!$A852,'HOJAS DE HORA PROY.'!$M$2:$M$943,O$844)</f>
        <v>0</v>
      </c>
      <c r="P852" s="8">
        <f>SUMIFS('HOJAS DE HORA PROY.'!$I$2:$I$943,'HOJAS DE HORA PROY.'!$A$2:$A$943,'PLAN MAESTRO FINAL'!$A852,'HOJAS DE HORA PROY.'!$M$2:$M$943,P$844)</f>
        <v>0</v>
      </c>
      <c r="Q852" s="8">
        <f>SUMIFS('HOJAS DE HORA PROY.'!$I$2:$I$943,'HOJAS DE HORA PROY.'!$A$2:$A$943,'PLAN MAESTRO FINAL'!$A852,'HOJAS DE HORA PROY.'!$M$2:$M$943,Q$844)</f>
        <v>0</v>
      </c>
      <c r="R852" s="8">
        <f>SUMIFS('HOJAS DE HORA PROY.'!$I$2:$I$943,'HOJAS DE HORA PROY.'!$A$2:$A$943,'PLAN MAESTRO FINAL'!$A852,'HOJAS DE HORA PROY.'!$M$2:$M$943,R$844)</f>
        <v>0</v>
      </c>
      <c r="S852" s="8">
        <f>SUMIFS('HOJAS DE HORA PROY.'!$I$2:$I$943,'HOJAS DE HORA PROY.'!$A$2:$A$943,'PLAN MAESTRO FINAL'!$A852,'HOJAS DE HORA PROY.'!$M$2:$M$943,S$844)</f>
        <v>0</v>
      </c>
      <c r="T852" s="8">
        <f>SUMIFS('HOJAS DE HORA PROY.'!$I$2:$I$943,'HOJAS DE HORA PROY.'!$A$2:$A$943,'PLAN MAESTRO FINAL'!$A852,'HOJAS DE HORA PROY.'!$M$2:$M$943,T$844)</f>
        <v>0</v>
      </c>
      <c r="U852" s="8">
        <f>SUMIFS('HOJAS DE HORA PROY.'!$I$2:$I$943,'HOJAS DE HORA PROY.'!$A$2:$A$943,'PLAN MAESTRO FINAL'!$A852,'HOJAS DE HORA PROY.'!$M$2:$M$943,U$844)</f>
        <v>0</v>
      </c>
      <c r="V852" s="8">
        <f>SUMIFS('HOJAS DE HORA PROY.'!$I$2:$I$943,'HOJAS DE HORA PROY.'!$A$2:$A$943,'PLAN MAESTRO FINAL'!$A852,'HOJAS DE HORA PROY.'!$M$2:$M$943,V$844)</f>
        <v>0</v>
      </c>
      <c r="W852" s="8">
        <f>SUMIFS('HOJAS DE HORA PROY.'!$I$2:$I$943,'HOJAS DE HORA PROY.'!$A$2:$A$943,'PLAN MAESTRO FINAL'!$A852,'HOJAS DE HORA PROY.'!$M$2:$M$943,W$844)</f>
        <v>0</v>
      </c>
    </row>
    <row r="853" spans="1:23" hidden="1" outlineLevel="1" x14ac:dyDescent="0.3">
      <c r="A853" s="13" t="s">
        <v>203</v>
      </c>
      <c r="B853" s="8">
        <f>SUMIFS('HOJAS DE HORA PROY.'!$I$2:$I$943,'HOJAS DE HORA PROY.'!$A$2:$A$943,'PLAN MAESTRO FINAL'!$A853,'HOJAS DE HORA PROY.'!$M$2:$M$943,B$844)</f>
        <v>0</v>
      </c>
      <c r="C853" s="8">
        <f>SUMIFS('HOJAS DE HORA PROY.'!$I$2:$I$943,'HOJAS DE HORA PROY.'!$A$2:$A$943,'PLAN MAESTRO FINAL'!$A853,'HOJAS DE HORA PROY.'!$M$2:$M$943,C$844)</f>
        <v>0</v>
      </c>
      <c r="D853" s="8">
        <f>SUMIFS('HOJAS DE HORA PROY.'!$I$2:$I$943,'HOJAS DE HORA PROY.'!$A$2:$A$943,'PLAN MAESTRO FINAL'!$A853,'HOJAS DE HORA PROY.'!$M$2:$M$943,D$844)</f>
        <v>0</v>
      </c>
      <c r="E853" s="8">
        <f>SUMIFS('HOJAS DE HORA PROY.'!$I$2:$I$943,'HOJAS DE HORA PROY.'!$A$2:$A$943,'PLAN MAESTRO FINAL'!$A853,'HOJAS DE HORA PROY.'!$M$2:$M$943,E$844)</f>
        <v>0</v>
      </c>
      <c r="F853" s="8">
        <f>SUMIFS('HOJAS DE HORA PROY.'!$I$2:$I$943,'HOJAS DE HORA PROY.'!$A$2:$A$943,'PLAN MAESTRO FINAL'!$A853,'HOJAS DE HORA PROY.'!$M$2:$M$943,F$844)</f>
        <v>0</v>
      </c>
      <c r="G853" s="8">
        <f>SUMIFS('HOJAS DE HORA PROY.'!$I$2:$I$943,'HOJAS DE HORA PROY.'!$A$2:$A$943,'PLAN MAESTRO FINAL'!$A853,'HOJAS DE HORA PROY.'!$M$2:$M$943,G$844)</f>
        <v>0</v>
      </c>
      <c r="H853" s="8">
        <f>SUMIFS('HOJAS DE HORA PROY.'!$I$2:$I$943,'HOJAS DE HORA PROY.'!$A$2:$A$943,'PLAN MAESTRO FINAL'!$A853,'HOJAS DE HORA PROY.'!$M$2:$M$943,H$844)</f>
        <v>0</v>
      </c>
      <c r="I853" s="8">
        <f>SUMIFS('HOJAS DE HORA PROY.'!$I$2:$I$943,'HOJAS DE HORA PROY.'!$A$2:$A$943,'PLAN MAESTRO FINAL'!$A853,'HOJAS DE HORA PROY.'!$M$2:$M$943,I$844)</f>
        <v>0</v>
      </c>
      <c r="J853" s="8">
        <f>SUMIFS('HOJAS DE HORA PROY.'!$I$2:$I$943,'HOJAS DE HORA PROY.'!$A$2:$A$943,'PLAN MAESTRO FINAL'!$A853,'HOJAS DE HORA PROY.'!$M$2:$M$943,J$844)</f>
        <v>0</v>
      </c>
      <c r="K853" s="8">
        <f>SUMIFS('HOJAS DE HORA PROY.'!$I$2:$I$943,'HOJAS DE HORA PROY.'!$A$2:$A$943,'PLAN MAESTRO FINAL'!$A853,'HOJAS DE HORA PROY.'!$M$2:$M$943,K$844)</f>
        <v>0</v>
      </c>
      <c r="L853" s="8">
        <f>SUMIFS('HOJAS DE HORA PROY.'!$I$2:$I$943,'HOJAS DE HORA PROY.'!$A$2:$A$943,'PLAN MAESTRO FINAL'!$A853,'HOJAS DE HORA PROY.'!$M$2:$M$943,L$844)</f>
        <v>0</v>
      </c>
      <c r="M853" s="8">
        <f>SUMIFS('HOJAS DE HORA PROY.'!$I$2:$I$943,'HOJAS DE HORA PROY.'!$A$2:$A$943,'PLAN MAESTRO FINAL'!$A853,'HOJAS DE HORA PROY.'!$M$2:$M$943,M$844)</f>
        <v>0</v>
      </c>
      <c r="N853" s="8">
        <f>SUMIFS('HOJAS DE HORA PROY.'!$I$2:$I$943,'HOJAS DE HORA PROY.'!$A$2:$A$943,'PLAN MAESTRO FINAL'!$A853,'HOJAS DE HORA PROY.'!$M$2:$M$943,N$844)</f>
        <v>0</v>
      </c>
      <c r="O853" s="8">
        <f>SUMIFS('HOJAS DE HORA PROY.'!$I$2:$I$943,'HOJAS DE HORA PROY.'!$A$2:$A$943,'PLAN MAESTRO FINAL'!$A853,'HOJAS DE HORA PROY.'!$M$2:$M$943,O$844)</f>
        <v>0</v>
      </c>
      <c r="P853" s="8">
        <f>SUMIFS('HOJAS DE HORA PROY.'!$I$2:$I$943,'HOJAS DE HORA PROY.'!$A$2:$A$943,'PLAN MAESTRO FINAL'!$A853,'HOJAS DE HORA PROY.'!$M$2:$M$943,P$844)</f>
        <v>0</v>
      </c>
      <c r="Q853" s="8">
        <f>SUMIFS('HOJAS DE HORA PROY.'!$I$2:$I$943,'HOJAS DE HORA PROY.'!$A$2:$A$943,'PLAN MAESTRO FINAL'!$A853,'HOJAS DE HORA PROY.'!$M$2:$M$943,Q$844)</f>
        <v>0</v>
      </c>
      <c r="R853" s="8">
        <f>SUMIFS('HOJAS DE HORA PROY.'!$I$2:$I$943,'HOJAS DE HORA PROY.'!$A$2:$A$943,'PLAN MAESTRO FINAL'!$A853,'HOJAS DE HORA PROY.'!$M$2:$M$943,R$844)</f>
        <v>0</v>
      </c>
      <c r="S853" s="8">
        <f>SUMIFS('HOJAS DE HORA PROY.'!$I$2:$I$943,'HOJAS DE HORA PROY.'!$A$2:$A$943,'PLAN MAESTRO FINAL'!$A853,'HOJAS DE HORA PROY.'!$M$2:$M$943,S$844)</f>
        <v>0</v>
      </c>
      <c r="T853" s="8">
        <f>SUMIFS('HOJAS DE HORA PROY.'!$I$2:$I$943,'HOJAS DE HORA PROY.'!$A$2:$A$943,'PLAN MAESTRO FINAL'!$A853,'HOJAS DE HORA PROY.'!$M$2:$M$943,T$844)</f>
        <v>0</v>
      </c>
      <c r="U853" s="8">
        <f>SUMIFS('HOJAS DE HORA PROY.'!$I$2:$I$943,'HOJAS DE HORA PROY.'!$A$2:$A$943,'PLAN MAESTRO FINAL'!$A853,'HOJAS DE HORA PROY.'!$M$2:$M$943,U$844)</f>
        <v>0</v>
      </c>
      <c r="V853" s="8">
        <f>SUMIFS('HOJAS DE HORA PROY.'!$I$2:$I$943,'HOJAS DE HORA PROY.'!$A$2:$A$943,'PLAN MAESTRO FINAL'!$A853,'HOJAS DE HORA PROY.'!$M$2:$M$943,V$844)</f>
        <v>0</v>
      </c>
      <c r="W853" s="8">
        <f>SUMIFS('HOJAS DE HORA PROY.'!$I$2:$I$943,'HOJAS DE HORA PROY.'!$A$2:$A$943,'PLAN MAESTRO FINAL'!$A853,'HOJAS DE HORA PROY.'!$M$2:$M$943,W$844)</f>
        <v>0</v>
      </c>
    </row>
    <row r="854" spans="1:23" hidden="1" outlineLevel="1" x14ac:dyDescent="0.3">
      <c r="A854" s="13" t="s">
        <v>212</v>
      </c>
      <c r="B854" s="8">
        <f>SUMIFS('HOJAS DE HORA PROY.'!$I$2:$I$943,'HOJAS DE HORA PROY.'!$A$2:$A$943,'PLAN MAESTRO FINAL'!$A854,'HOJAS DE HORA PROY.'!$M$2:$M$943,B$844)</f>
        <v>0</v>
      </c>
      <c r="C854" s="8">
        <f>SUMIFS('HOJAS DE HORA PROY.'!$I$2:$I$943,'HOJAS DE HORA PROY.'!$A$2:$A$943,'PLAN MAESTRO FINAL'!$A854,'HOJAS DE HORA PROY.'!$M$2:$M$943,C$844)</f>
        <v>0</v>
      </c>
      <c r="D854" s="8">
        <f>SUMIFS('HOJAS DE HORA PROY.'!$I$2:$I$943,'HOJAS DE HORA PROY.'!$A$2:$A$943,'PLAN MAESTRO FINAL'!$A854,'HOJAS DE HORA PROY.'!$M$2:$M$943,D$844)</f>
        <v>0</v>
      </c>
      <c r="E854" s="8">
        <f>SUMIFS('HOJAS DE HORA PROY.'!$I$2:$I$943,'HOJAS DE HORA PROY.'!$A$2:$A$943,'PLAN MAESTRO FINAL'!$A854,'HOJAS DE HORA PROY.'!$M$2:$M$943,E$844)</f>
        <v>0</v>
      </c>
      <c r="F854" s="8">
        <f>SUMIFS('HOJAS DE HORA PROY.'!$I$2:$I$943,'HOJAS DE HORA PROY.'!$A$2:$A$943,'PLAN MAESTRO FINAL'!$A854,'HOJAS DE HORA PROY.'!$M$2:$M$943,F$844)</f>
        <v>0</v>
      </c>
      <c r="G854" s="8">
        <f>SUMIFS('HOJAS DE HORA PROY.'!$I$2:$I$943,'HOJAS DE HORA PROY.'!$A$2:$A$943,'PLAN MAESTRO FINAL'!$A854,'HOJAS DE HORA PROY.'!$M$2:$M$943,G$844)</f>
        <v>0</v>
      </c>
      <c r="H854" s="8">
        <f>SUMIFS('HOJAS DE HORA PROY.'!$I$2:$I$943,'HOJAS DE HORA PROY.'!$A$2:$A$943,'PLAN MAESTRO FINAL'!$A854,'HOJAS DE HORA PROY.'!$M$2:$M$943,H$844)</f>
        <v>0</v>
      </c>
      <c r="I854" s="8">
        <f>SUMIFS('HOJAS DE HORA PROY.'!$I$2:$I$943,'HOJAS DE HORA PROY.'!$A$2:$A$943,'PLAN MAESTRO FINAL'!$A854,'HOJAS DE HORA PROY.'!$M$2:$M$943,I$844)</f>
        <v>0</v>
      </c>
      <c r="J854" s="8">
        <f>SUMIFS('HOJAS DE HORA PROY.'!$I$2:$I$943,'HOJAS DE HORA PROY.'!$A$2:$A$943,'PLAN MAESTRO FINAL'!$A854,'HOJAS DE HORA PROY.'!$M$2:$M$943,J$844)</f>
        <v>0</v>
      </c>
      <c r="K854" s="8">
        <f>SUMIFS('HOJAS DE HORA PROY.'!$I$2:$I$943,'HOJAS DE HORA PROY.'!$A$2:$A$943,'PLAN MAESTRO FINAL'!$A854,'HOJAS DE HORA PROY.'!$M$2:$M$943,K$844)</f>
        <v>0</v>
      </c>
      <c r="L854" s="8">
        <f>SUMIFS('HOJAS DE HORA PROY.'!$I$2:$I$943,'HOJAS DE HORA PROY.'!$A$2:$A$943,'PLAN MAESTRO FINAL'!$A854,'HOJAS DE HORA PROY.'!$M$2:$M$943,L$844)</f>
        <v>0</v>
      </c>
      <c r="M854" s="8">
        <f>SUMIFS('HOJAS DE HORA PROY.'!$I$2:$I$943,'HOJAS DE HORA PROY.'!$A$2:$A$943,'PLAN MAESTRO FINAL'!$A854,'HOJAS DE HORA PROY.'!$M$2:$M$943,M$844)</f>
        <v>0</v>
      </c>
      <c r="N854" s="8">
        <f>SUMIFS('HOJAS DE HORA PROY.'!$I$2:$I$943,'HOJAS DE HORA PROY.'!$A$2:$A$943,'PLAN MAESTRO FINAL'!$A854,'HOJAS DE HORA PROY.'!$M$2:$M$943,N$844)</f>
        <v>0</v>
      </c>
      <c r="O854" s="8">
        <f>SUMIFS('HOJAS DE HORA PROY.'!$I$2:$I$943,'HOJAS DE HORA PROY.'!$A$2:$A$943,'PLAN MAESTRO FINAL'!$A854,'HOJAS DE HORA PROY.'!$M$2:$M$943,O$844)</f>
        <v>0</v>
      </c>
      <c r="P854" s="8">
        <f>SUMIFS('HOJAS DE HORA PROY.'!$I$2:$I$943,'HOJAS DE HORA PROY.'!$A$2:$A$943,'PLAN MAESTRO FINAL'!$A854,'HOJAS DE HORA PROY.'!$M$2:$M$943,P$844)</f>
        <v>0</v>
      </c>
      <c r="Q854" s="8">
        <f>SUMIFS('HOJAS DE HORA PROY.'!$I$2:$I$943,'HOJAS DE HORA PROY.'!$A$2:$A$943,'PLAN MAESTRO FINAL'!$A854,'HOJAS DE HORA PROY.'!$M$2:$M$943,Q$844)</f>
        <v>0</v>
      </c>
      <c r="R854" s="8">
        <f>SUMIFS('HOJAS DE HORA PROY.'!$I$2:$I$943,'HOJAS DE HORA PROY.'!$A$2:$A$943,'PLAN MAESTRO FINAL'!$A854,'HOJAS DE HORA PROY.'!$M$2:$M$943,R$844)</f>
        <v>0</v>
      </c>
      <c r="S854" s="8">
        <f>SUMIFS('HOJAS DE HORA PROY.'!$I$2:$I$943,'HOJAS DE HORA PROY.'!$A$2:$A$943,'PLAN MAESTRO FINAL'!$A854,'HOJAS DE HORA PROY.'!$M$2:$M$943,S$844)</f>
        <v>0</v>
      </c>
      <c r="T854" s="8">
        <f>SUMIFS('HOJAS DE HORA PROY.'!$I$2:$I$943,'HOJAS DE HORA PROY.'!$A$2:$A$943,'PLAN MAESTRO FINAL'!$A854,'HOJAS DE HORA PROY.'!$M$2:$M$943,T$844)</f>
        <v>0</v>
      </c>
      <c r="U854" s="8">
        <f>SUMIFS('HOJAS DE HORA PROY.'!$I$2:$I$943,'HOJAS DE HORA PROY.'!$A$2:$A$943,'PLAN MAESTRO FINAL'!$A854,'HOJAS DE HORA PROY.'!$M$2:$M$943,U$844)</f>
        <v>0</v>
      </c>
      <c r="V854" s="8">
        <f>SUMIFS('HOJAS DE HORA PROY.'!$I$2:$I$943,'HOJAS DE HORA PROY.'!$A$2:$A$943,'PLAN MAESTRO FINAL'!$A854,'HOJAS DE HORA PROY.'!$M$2:$M$943,V$844)</f>
        <v>0</v>
      </c>
      <c r="W854" s="8">
        <f>SUMIFS('HOJAS DE HORA PROY.'!$I$2:$I$943,'HOJAS DE HORA PROY.'!$A$2:$A$943,'PLAN MAESTRO FINAL'!$A854,'HOJAS DE HORA PROY.'!$M$2:$M$943,W$844)</f>
        <v>0</v>
      </c>
    </row>
    <row r="855" spans="1:23" hidden="1" outlineLevel="1" x14ac:dyDescent="0.3">
      <c r="A855" s="13" t="s">
        <v>216</v>
      </c>
      <c r="B855" s="8">
        <f>SUMIFS('HOJAS DE HORA PROY.'!$I$2:$I$943,'HOJAS DE HORA PROY.'!$A$2:$A$943,'PLAN MAESTRO FINAL'!$A855,'HOJAS DE HORA PROY.'!$M$2:$M$943,B$844)</f>
        <v>0</v>
      </c>
      <c r="C855" s="8">
        <f>SUMIFS('HOJAS DE HORA PROY.'!$I$2:$I$943,'HOJAS DE HORA PROY.'!$A$2:$A$943,'PLAN MAESTRO FINAL'!$A855,'HOJAS DE HORA PROY.'!$M$2:$M$943,C$844)</f>
        <v>0</v>
      </c>
      <c r="D855" s="8">
        <f>SUMIFS('HOJAS DE HORA PROY.'!$I$2:$I$943,'HOJAS DE HORA PROY.'!$A$2:$A$943,'PLAN MAESTRO FINAL'!$A855,'HOJAS DE HORA PROY.'!$M$2:$M$943,D$844)</f>
        <v>0</v>
      </c>
      <c r="E855" s="8">
        <f>SUMIFS('HOJAS DE HORA PROY.'!$I$2:$I$943,'HOJAS DE HORA PROY.'!$A$2:$A$943,'PLAN MAESTRO FINAL'!$A855,'HOJAS DE HORA PROY.'!$M$2:$M$943,E$844)</f>
        <v>0</v>
      </c>
      <c r="F855" s="8">
        <f>SUMIFS('HOJAS DE HORA PROY.'!$I$2:$I$943,'HOJAS DE HORA PROY.'!$A$2:$A$943,'PLAN MAESTRO FINAL'!$A855,'HOJAS DE HORA PROY.'!$M$2:$M$943,F$844)</f>
        <v>0</v>
      </c>
      <c r="G855" s="8">
        <f>SUMIFS('HOJAS DE HORA PROY.'!$I$2:$I$943,'HOJAS DE HORA PROY.'!$A$2:$A$943,'PLAN MAESTRO FINAL'!$A855,'HOJAS DE HORA PROY.'!$M$2:$M$943,G$844)</f>
        <v>0</v>
      </c>
      <c r="H855" s="8">
        <f>SUMIFS('HOJAS DE HORA PROY.'!$I$2:$I$943,'HOJAS DE HORA PROY.'!$A$2:$A$943,'PLAN MAESTRO FINAL'!$A855,'HOJAS DE HORA PROY.'!$M$2:$M$943,H$844)</f>
        <v>0</v>
      </c>
      <c r="I855" s="8">
        <f>SUMIFS('HOJAS DE HORA PROY.'!$I$2:$I$943,'HOJAS DE HORA PROY.'!$A$2:$A$943,'PLAN MAESTRO FINAL'!$A855,'HOJAS DE HORA PROY.'!$M$2:$M$943,I$844)</f>
        <v>0</v>
      </c>
      <c r="J855" s="8">
        <f>SUMIFS('HOJAS DE HORA PROY.'!$I$2:$I$943,'HOJAS DE HORA PROY.'!$A$2:$A$943,'PLAN MAESTRO FINAL'!$A855,'HOJAS DE HORA PROY.'!$M$2:$M$943,J$844)</f>
        <v>0</v>
      </c>
      <c r="K855" s="8">
        <f>SUMIFS('HOJAS DE HORA PROY.'!$I$2:$I$943,'HOJAS DE HORA PROY.'!$A$2:$A$943,'PLAN MAESTRO FINAL'!$A855,'HOJAS DE HORA PROY.'!$M$2:$M$943,K$844)</f>
        <v>0</v>
      </c>
      <c r="L855" s="8">
        <f>SUMIFS('HOJAS DE HORA PROY.'!$I$2:$I$943,'HOJAS DE HORA PROY.'!$A$2:$A$943,'PLAN MAESTRO FINAL'!$A855,'HOJAS DE HORA PROY.'!$M$2:$M$943,L$844)</f>
        <v>0</v>
      </c>
      <c r="M855" s="8">
        <f>SUMIFS('HOJAS DE HORA PROY.'!$I$2:$I$943,'HOJAS DE HORA PROY.'!$A$2:$A$943,'PLAN MAESTRO FINAL'!$A855,'HOJAS DE HORA PROY.'!$M$2:$M$943,M$844)</f>
        <v>0</v>
      </c>
      <c r="N855" s="8">
        <f>SUMIFS('HOJAS DE HORA PROY.'!$I$2:$I$943,'HOJAS DE HORA PROY.'!$A$2:$A$943,'PLAN MAESTRO FINAL'!$A855,'HOJAS DE HORA PROY.'!$M$2:$M$943,N$844)</f>
        <v>0</v>
      </c>
      <c r="O855" s="8">
        <f>SUMIFS('HOJAS DE HORA PROY.'!$I$2:$I$943,'HOJAS DE HORA PROY.'!$A$2:$A$943,'PLAN MAESTRO FINAL'!$A855,'HOJAS DE HORA PROY.'!$M$2:$M$943,O$844)</f>
        <v>0</v>
      </c>
      <c r="P855" s="8">
        <f>SUMIFS('HOJAS DE HORA PROY.'!$I$2:$I$943,'HOJAS DE HORA PROY.'!$A$2:$A$943,'PLAN MAESTRO FINAL'!$A855,'HOJAS DE HORA PROY.'!$M$2:$M$943,P$844)</f>
        <v>0</v>
      </c>
      <c r="Q855" s="8">
        <f>SUMIFS('HOJAS DE HORA PROY.'!$I$2:$I$943,'HOJAS DE HORA PROY.'!$A$2:$A$943,'PLAN MAESTRO FINAL'!$A855,'HOJAS DE HORA PROY.'!$M$2:$M$943,Q$844)</f>
        <v>0</v>
      </c>
      <c r="R855" s="8">
        <f>SUMIFS('HOJAS DE HORA PROY.'!$I$2:$I$943,'HOJAS DE HORA PROY.'!$A$2:$A$943,'PLAN MAESTRO FINAL'!$A855,'HOJAS DE HORA PROY.'!$M$2:$M$943,R$844)</f>
        <v>0</v>
      </c>
      <c r="S855" s="8">
        <f>SUMIFS('HOJAS DE HORA PROY.'!$I$2:$I$943,'HOJAS DE HORA PROY.'!$A$2:$A$943,'PLAN MAESTRO FINAL'!$A855,'HOJAS DE HORA PROY.'!$M$2:$M$943,S$844)</f>
        <v>0</v>
      </c>
      <c r="T855" s="8">
        <f>SUMIFS('HOJAS DE HORA PROY.'!$I$2:$I$943,'HOJAS DE HORA PROY.'!$A$2:$A$943,'PLAN MAESTRO FINAL'!$A855,'HOJAS DE HORA PROY.'!$M$2:$M$943,T$844)</f>
        <v>0</v>
      </c>
      <c r="U855" s="8">
        <f>SUMIFS('HOJAS DE HORA PROY.'!$I$2:$I$943,'HOJAS DE HORA PROY.'!$A$2:$A$943,'PLAN MAESTRO FINAL'!$A855,'HOJAS DE HORA PROY.'!$M$2:$M$943,U$844)</f>
        <v>0</v>
      </c>
      <c r="V855" s="8">
        <f>SUMIFS('HOJAS DE HORA PROY.'!$I$2:$I$943,'HOJAS DE HORA PROY.'!$A$2:$A$943,'PLAN MAESTRO FINAL'!$A855,'HOJAS DE HORA PROY.'!$M$2:$M$943,V$844)</f>
        <v>0</v>
      </c>
      <c r="W855" s="8">
        <f>SUMIFS('HOJAS DE HORA PROY.'!$I$2:$I$943,'HOJAS DE HORA PROY.'!$A$2:$A$943,'PLAN MAESTRO FINAL'!$A855,'HOJAS DE HORA PROY.'!$M$2:$M$943,W$844)</f>
        <v>0</v>
      </c>
    </row>
    <row r="856" spans="1:23" hidden="1" outlineLevel="1" x14ac:dyDescent="0.3">
      <c r="A856" s="13" t="s">
        <v>217</v>
      </c>
      <c r="B856" s="8">
        <f>SUMIFS('HOJAS DE HORA PROY.'!$I$2:$I$943,'HOJAS DE HORA PROY.'!$A$2:$A$943,'PLAN MAESTRO FINAL'!$A856,'HOJAS DE HORA PROY.'!$M$2:$M$943,B$844)</f>
        <v>0</v>
      </c>
      <c r="C856" s="8">
        <f>SUMIFS('HOJAS DE HORA PROY.'!$I$2:$I$943,'HOJAS DE HORA PROY.'!$A$2:$A$943,'PLAN MAESTRO FINAL'!$A856,'HOJAS DE HORA PROY.'!$M$2:$M$943,C$844)</f>
        <v>0</v>
      </c>
      <c r="D856" s="8">
        <f>SUMIFS('HOJAS DE HORA PROY.'!$I$2:$I$943,'HOJAS DE HORA PROY.'!$A$2:$A$943,'PLAN MAESTRO FINAL'!$A856,'HOJAS DE HORA PROY.'!$M$2:$M$943,D$844)</f>
        <v>0</v>
      </c>
      <c r="E856" s="8">
        <f>SUMIFS('HOJAS DE HORA PROY.'!$I$2:$I$943,'HOJAS DE HORA PROY.'!$A$2:$A$943,'PLAN MAESTRO FINAL'!$A856,'HOJAS DE HORA PROY.'!$M$2:$M$943,E$844)</f>
        <v>0</v>
      </c>
      <c r="F856" s="8">
        <f>SUMIFS('HOJAS DE HORA PROY.'!$I$2:$I$943,'HOJAS DE HORA PROY.'!$A$2:$A$943,'PLAN MAESTRO FINAL'!$A856,'HOJAS DE HORA PROY.'!$M$2:$M$943,F$844)</f>
        <v>0</v>
      </c>
      <c r="G856" s="8">
        <f>SUMIFS('HOJAS DE HORA PROY.'!$I$2:$I$943,'HOJAS DE HORA PROY.'!$A$2:$A$943,'PLAN MAESTRO FINAL'!$A856,'HOJAS DE HORA PROY.'!$M$2:$M$943,G$844)</f>
        <v>0.5</v>
      </c>
      <c r="H856" s="8">
        <f>SUMIFS('HOJAS DE HORA PROY.'!$I$2:$I$943,'HOJAS DE HORA PROY.'!$A$2:$A$943,'PLAN MAESTRO FINAL'!$A856,'HOJAS DE HORA PROY.'!$M$2:$M$943,H$844)</f>
        <v>0</v>
      </c>
      <c r="I856" s="8">
        <f>SUMIFS('HOJAS DE HORA PROY.'!$I$2:$I$943,'HOJAS DE HORA PROY.'!$A$2:$A$943,'PLAN MAESTRO FINAL'!$A856,'HOJAS DE HORA PROY.'!$M$2:$M$943,I$844)</f>
        <v>0</v>
      </c>
      <c r="J856" s="8">
        <f>SUMIFS('HOJAS DE HORA PROY.'!$I$2:$I$943,'HOJAS DE HORA PROY.'!$A$2:$A$943,'PLAN MAESTRO FINAL'!$A856,'HOJAS DE HORA PROY.'!$M$2:$M$943,J$844)</f>
        <v>0</v>
      </c>
      <c r="K856" s="8">
        <f>SUMIFS('HOJAS DE HORA PROY.'!$I$2:$I$943,'HOJAS DE HORA PROY.'!$A$2:$A$943,'PLAN MAESTRO FINAL'!$A856,'HOJAS DE HORA PROY.'!$M$2:$M$943,K$844)</f>
        <v>0</v>
      </c>
      <c r="L856" s="8">
        <f>SUMIFS('HOJAS DE HORA PROY.'!$I$2:$I$943,'HOJAS DE HORA PROY.'!$A$2:$A$943,'PLAN MAESTRO FINAL'!$A856,'HOJAS DE HORA PROY.'!$M$2:$M$943,L$844)</f>
        <v>0</v>
      </c>
      <c r="M856" s="8">
        <f>SUMIFS('HOJAS DE HORA PROY.'!$I$2:$I$943,'HOJAS DE HORA PROY.'!$A$2:$A$943,'PLAN MAESTRO FINAL'!$A856,'HOJAS DE HORA PROY.'!$M$2:$M$943,M$844)</f>
        <v>0</v>
      </c>
      <c r="N856" s="8">
        <f>SUMIFS('HOJAS DE HORA PROY.'!$I$2:$I$943,'HOJAS DE HORA PROY.'!$A$2:$A$943,'PLAN MAESTRO FINAL'!$A856,'HOJAS DE HORA PROY.'!$M$2:$M$943,N$844)</f>
        <v>0</v>
      </c>
      <c r="O856" s="8">
        <f>SUMIFS('HOJAS DE HORA PROY.'!$I$2:$I$943,'HOJAS DE HORA PROY.'!$A$2:$A$943,'PLAN MAESTRO FINAL'!$A856,'HOJAS DE HORA PROY.'!$M$2:$M$943,O$844)</f>
        <v>0</v>
      </c>
      <c r="P856" s="8">
        <f>SUMIFS('HOJAS DE HORA PROY.'!$I$2:$I$943,'HOJAS DE HORA PROY.'!$A$2:$A$943,'PLAN MAESTRO FINAL'!$A856,'HOJAS DE HORA PROY.'!$M$2:$M$943,P$844)</f>
        <v>0</v>
      </c>
      <c r="Q856" s="8">
        <f>SUMIFS('HOJAS DE HORA PROY.'!$I$2:$I$943,'HOJAS DE HORA PROY.'!$A$2:$A$943,'PLAN MAESTRO FINAL'!$A856,'HOJAS DE HORA PROY.'!$M$2:$M$943,Q$844)</f>
        <v>0</v>
      </c>
      <c r="R856" s="8">
        <f>SUMIFS('HOJAS DE HORA PROY.'!$I$2:$I$943,'HOJAS DE HORA PROY.'!$A$2:$A$943,'PLAN MAESTRO FINAL'!$A856,'HOJAS DE HORA PROY.'!$M$2:$M$943,R$844)</f>
        <v>0</v>
      </c>
      <c r="S856" s="8">
        <f>SUMIFS('HOJAS DE HORA PROY.'!$I$2:$I$943,'HOJAS DE HORA PROY.'!$A$2:$A$943,'PLAN MAESTRO FINAL'!$A856,'HOJAS DE HORA PROY.'!$M$2:$M$943,S$844)</f>
        <v>0</v>
      </c>
      <c r="T856" s="8">
        <f>SUMIFS('HOJAS DE HORA PROY.'!$I$2:$I$943,'HOJAS DE HORA PROY.'!$A$2:$A$943,'PLAN MAESTRO FINAL'!$A856,'HOJAS DE HORA PROY.'!$M$2:$M$943,T$844)</f>
        <v>0</v>
      </c>
      <c r="U856" s="8">
        <f>SUMIFS('HOJAS DE HORA PROY.'!$I$2:$I$943,'HOJAS DE HORA PROY.'!$A$2:$A$943,'PLAN MAESTRO FINAL'!$A856,'HOJAS DE HORA PROY.'!$M$2:$M$943,U$844)</f>
        <v>0</v>
      </c>
      <c r="V856" s="8">
        <f>SUMIFS('HOJAS DE HORA PROY.'!$I$2:$I$943,'HOJAS DE HORA PROY.'!$A$2:$A$943,'PLAN MAESTRO FINAL'!$A856,'HOJAS DE HORA PROY.'!$M$2:$M$943,V$844)</f>
        <v>0</v>
      </c>
      <c r="W856" s="8">
        <f>SUMIFS('HOJAS DE HORA PROY.'!$I$2:$I$943,'HOJAS DE HORA PROY.'!$A$2:$A$943,'PLAN MAESTRO FINAL'!$A856,'HOJAS DE HORA PROY.'!$M$2:$M$943,W$844)</f>
        <v>0</v>
      </c>
    </row>
    <row r="857" spans="1:23" hidden="1" outlineLevel="1" x14ac:dyDescent="0.3">
      <c r="A857" s="13" t="s">
        <v>231</v>
      </c>
      <c r="B857" s="8">
        <f>SUMIFS('HOJAS DE HORA PROY.'!$I$2:$I$943,'HOJAS DE HORA PROY.'!$A$2:$A$943,'PLAN MAESTRO FINAL'!$A857,'HOJAS DE HORA PROY.'!$M$2:$M$943,B$844)</f>
        <v>0</v>
      </c>
      <c r="C857" s="8">
        <f>SUMIFS('HOJAS DE HORA PROY.'!$I$2:$I$943,'HOJAS DE HORA PROY.'!$A$2:$A$943,'PLAN MAESTRO FINAL'!$A857,'HOJAS DE HORA PROY.'!$M$2:$M$943,C$844)</f>
        <v>0</v>
      </c>
      <c r="D857" s="8">
        <f>SUMIFS('HOJAS DE HORA PROY.'!$I$2:$I$943,'HOJAS DE HORA PROY.'!$A$2:$A$943,'PLAN MAESTRO FINAL'!$A857,'HOJAS DE HORA PROY.'!$M$2:$M$943,D$844)</f>
        <v>0</v>
      </c>
      <c r="E857" s="8">
        <f>SUMIFS('HOJAS DE HORA PROY.'!$I$2:$I$943,'HOJAS DE HORA PROY.'!$A$2:$A$943,'PLAN MAESTRO FINAL'!$A857,'HOJAS DE HORA PROY.'!$M$2:$M$943,E$844)</f>
        <v>0</v>
      </c>
      <c r="F857" s="8">
        <f>SUMIFS('HOJAS DE HORA PROY.'!$I$2:$I$943,'HOJAS DE HORA PROY.'!$A$2:$A$943,'PLAN MAESTRO FINAL'!$A857,'HOJAS DE HORA PROY.'!$M$2:$M$943,F$844)</f>
        <v>0</v>
      </c>
      <c r="G857" s="8">
        <f>SUMIFS('HOJAS DE HORA PROY.'!$I$2:$I$943,'HOJAS DE HORA PROY.'!$A$2:$A$943,'PLAN MAESTRO FINAL'!$A857,'HOJAS DE HORA PROY.'!$M$2:$M$943,G$844)</f>
        <v>0.5</v>
      </c>
      <c r="H857" s="8">
        <f>SUMIFS('HOJAS DE HORA PROY.'!$I$2:$I$943,'HOJAS DE HORA PROY.'!$A$2:$A$943,'PLAN MAESTRO FINAL'!$A857,'HOJAS DE HORA PROY.'!$M$2:$M$943,H$844)</f>
        <v>0</v>
      </c>
      <c r="I857" s="8">
        <f>SUMIFS('HOJAS DE HORA PROY.'!$I$2:$I$943,'HOJAS DE HORA PROY.'!$A$2:$A$943,'PLAN MAESTRO FINAL'!$A857,'HOJAS DE HORA PROY.'!$M$2:$M$943,I$844)</f>
        <v>0</v>
      </c>
      <c r="J857" s="8">
        <f>SUMIFS('HOJAS DE HORA PROY.'!$I$2:$I$943,'HOJAS DE HORA PROY.'!$A$2:$A$943,'PLAN MAESTRO FINAL'!$A857,'HOJAS DE HORA PROY.'!$M$2:$M$943,J$844)</f>
        <v>0</v>
      </c>
      <c r="K857" s="8">
        <f>SUMIFS('HOJAS DE HORA PROY.'!$I$2:$I$943,'HOJAS DE HORA PROY.'!$A$2:$A$943,'PLAN MAESTRO FINAL'!$A857,'HOJAS DE HORA PROY.'!$M$2:$M$943,K$844)</f>
        <v>0</v>
      </c>
      <c r="L857" s="8">
        <f>SUMIFS('HOJAS DE HORA PROY.'!$I$2:$I$943,'HOJAS DE HORA PROY.'!$A$2:$A$943,'PLAN MAESTRO FINAL'!$A857,'HOJAS DE HORA PROY.'!$M$2:$M$943,L$844)</f>
        <v>0</v>
      </c>
      <c r="M857" s="8">
        <f>SUMIFS('HOJAS DE HORA PROY.'!$I$2:$I$943,'HOJAS DE HORA PROY.'!$A$2:$A$943,'PLAN MAESTRO FINAL'!$A857,'HOJAS DE HORA PROY.'!$M$2:$M$943,M$844)</f>
        <v>0</v>
      </c>
      <c r="N857" s="8">
        <f>SUMIFS('HOJAS DE HORA PROY.'!$I$2:$I$943,'HOJAS DE HORA PROY.'!$A$2:$A$943,'PLAN MAESTRO FINAL'!$A857,'HOJAS DE HORA PROY.'!$M$2:$M$943,N$844)</f>
        <v>0</v>
      </c>
      <c r="O857" s="8">
        <f>SUMIFS('HOJAS DE HORA PROY.'!$I$2:$I$943,'HOJAS DE HORA PROY.'!$A$2:$A$943,'PLAN MAESTRO FINAL'!$A857,'HOJAS DE HORA PROY.'!$M$2:$M$943,O$844)</f>
        <v>0</v>
      </c>
      <c r="P857" s="8">
        <f>SUMIFS('HOJAS DE HORA PROY.'!$I$2:$I$943,'HOJAS DE HORA PROY.'!$A$2:$A$943,'PLAN MAESTRO FINAL'!$A857,'HOJAS DE HORA PROY.'!$M$2:$M$943,P$844)</f>
        <v>0</v>
      </c>
      <c r="Q857" s="8">
        <f>SUMIFS('HOJAS DE HORA PROY.'!$I$2:$I$943,'HOJAS DE HORA PROY.'!$A$2:$A$943,'PLAN MAESTRO FINAL'!$A857,'HOJAS DE HORA PROY.'!$M$2:$M$943,Q$844)</f>
        <v>0</v>
      </c>
      <c r="R857" s="8">
        <f>SUMIFS('HOJAS DE HORA PROY.'!$I$2:$I$943,'HOJAS DE HORA PROY.'!$A$2:$A$943,'PLAN MAESTRO FINAL'!$A857,'HOJAS DE HORA PROY.'!$M$2:$M$943,R$844)</f>
        <v>0</v>
      </c>
      <c r="S857" s="8">
        <f>SUMIFS('HOJAS DE HORA PROY.'!$I$2:$I$943,'HOJAS DE HORA PROY.'!$A$2:$A$943,'PLAN MAESTRO FINAL'!$A857,'HOJAS DE HORA PROY.'!$M$2:$M$943,S$844)</f>
        <v>0</v>
      </c>
      <c r="T857" s="8">
        <f>SUMIFS('HOJAS DE HORA PROY.'!$I$2:$I$943,'HOJAS DE HORA PROY.'!$A$2:$A$943,'PLAN MAESTRO FINAL'!$A857,'HOJAS DE HORA PROY.'!$M$2:$M$943,T$844)</f>
        <v>0</v>
      </c>
      <c r="U857" s="8">
        <f>SUMIFS('HOJAS DE HORA PROY.'!$I$2:$I$943,'HOJAS DE HORA PROY.'!$A$2:$A$943,'PLAN MAESTRO FINAL'!$A857,'HOJAS DE HORA PROY.'!$M$2:$M$943,U$844)</f>
        <v>0</v>
      </c>
      <c r="V857" s="8">
        <f>SUMIFS('HOJAS DE HORA PROY.'!$I$2:$I$943,'HOJAS DE HORA PROY.'!$A$2:$A$943,'PLAN MAESTRO FINAL'!$A857,'HOJAS DE HORA PROY.'!$M$2:$M$943,V$844)</f>
        <v>0</v>
      </c>
      <c r="W857" s="8">
        <f>SUMIFS('HOJAS DE HORA PROY.'!$I$2:$I$943,'HOJAS DE HORA PROY.'!$A$2:$A$943,'PLAN MAESTRO FINAL'!$A857,'HOJAS DE HORA PROY.'!$M$2:$M$943,W$844)</f>
        <v>0</v>
      </c>
    </row>
    <row r="858" spans="1:23" hidden="1" outlineLevel="1" x14ac:dyDescent="0.3">
      <c r="A858" s="13" t="s">
        <v>245</v>
      </c>
      <c r="B858" s="8">
        <f>SUMIFS('HOJAS DE HORA PROY.'!$I$2:$I$943,'HOJAS DE HORA PROY.'!$A$2:$A$943,'PLAN MAESTRO FINAL'!$A858,'HOJAS DE HORA PROY.'!$M$2:$M$943,B$844)</f>
        <v>0</v>
      </c>
      <c r="C858" s="8">
        <f>SUMIFS('HOJAS DE HORA PROY.'!$I$2:$I$943,'HOJAS DE HORA PROY.'!$A$2:$A$943,'PLAN MAESTRO FINAL'!$A858,'HOJAS DE HORA PROY.'!$M$2:$M$943,C$844)</f>
        <v>0</v>
      </c>
      <c r="D858" s="8">
        <f>SUMIFS('HOJAS DE HORA PROY.'!$I$2:$I$943,'HOJAS DE HORA PROY.'!$A$2:$A$943,'PLAN MAESTRO FINAL'!$A858,'HOJAS DE HORA PROY.'!$M$2:$M$943,D$844)</f>
        <v>0</v>
      </c>
      <c r="E858" s="8">
        <f>SUMIFS('HOJAS DE HORA PROY.'!$I$2:$I$943,'HOJAS DE HORA PROY.'!$A$2:$A$943,'PLAN MAESTRO FINAL'!$A858,'HOJAS DE HORA PROY.'!$M$2:$M$943,E$844)</f>
        <v>0</v>
      </c>
      <c r="F858" s="8">
        <f>SUMIFS('HOJAS DE HORA PROY.'!$I$2:$I$943,'HOJAS DE HORA PROY.'!$A$2:$A$943,'PLAN MAESTRO FINAL'!$A858,'HOJAS DE HORA PROY.'!$M$2:$M$943,F$844)</f>
        <v>0</v>
      </c>
      <c r="G858" s="8">
        <f>SUMIFS('HOJAS DE HORA PROY.'!$I$2:$I$943,'HOJAS DE HORA PROY.'!$A$2:$A$943,'PLAN MAESTRO FINAL'!$A858,'HOJAS DE HORA PROY.'!$M$2:$M$943,G$844)</f>
        <v>0</v>
      </c>
      <c r="H858" s="8">
        <f>SUMIFS('HOJAS DE HORA PROY.'!$I$2:$I$943,'HOJAS DE HORA PROY.'!$A$2:$A$943,'PLAN MAESTRO FINAL'!$A858,'HOJAS DE HORA PROY.'!$M$2:$M$943,H$844)</f>
        <v>0</v>
      </c>
      <c r="I858" s="8">
        <f>SUMIFS('HOJAS DE HORA PROY.'!$I$2:$I$943,'HOJAS DE HORA PROY.'!$A$2:$A$943,'PLAN MAESTRO FINAL'!$A858,'HOJAS DE HORA PROY.'!$M$2:$M$943,I$844)</f>
        <v>0</v>
      </c>
      <c r="J858" s="8">
        <f>SUMIFS('HOJAS DE HORA PROY.'!$I$2:$I$943,'HOJAS DE HORA PROY.'!$A$2:$A$943,'PLAN MAESTRO FINAL'!$A858,'HOJAS DE HORA PROY.'!$M$2:$M$943,J$844)</f>
        <v>0</v>
      </c>
      <c r="K858" s="8">
        <f>SUMIFS('HOJAS DE HORA PROY.'!$I$2:$I$943,'HOJAS DE HORA PROY.'!$A$2:$A$943,'PLAN MAESTRO FINAL'!$A858,'HOJAS DE HORA PROY.'!$M$2:$M$943,K$844)</f>
        <v>0</v>
      </c>
      <c r="L858" s="8">
        <f>SUMIFS('HOJAS DE HORA PROY.'!$I$2:$I$943,'HOJAS DE HORA PROY.'!$A$2:$A$943,'PLAN MAESTRO FINAL'!$A858,'HOJAS DE HORA PROY.'!$M$2:$M$943,L$844)</f>
        <v>0</v>
      </c>
      <c r="M858" s="8">
        <f>SUMIFS('HOJAS DE HORA PROY.'!$I$2:$I$943,'HOJAS DE HORA PROY.'!$A$2:$A$943,'PLAN MAESTRO FINAL'!$A858,'HOJAS DE HORA PROY.'!$M$2:$M$943,M$844)</f>
        <v>0</v>
      </c>
      <c r="N858" s="8">
        <f>SUMIFS('HOJAS DE HORA PROY.'!$I$2:$I$943,'HOJAS DE HORA PROY.'!$A$2:$A$943,'PLAN MAESTRO FINAL'!$A858,'HOJAS DE HORA PROY.'!$M$2:$M$943,N$844)</f>
        <v>0</v>
      </c>
      <c r="O858" s="8">
        <f>SUMIFS('HOJAS DE HORA PROY.'!$I$2:$I$943,'HOJAS DE HORA PROY.'!$A$2:$A$943,'PLAN MAESTRO FINAL'!$A858,'HOJAS DE HORA PROY.'!$M$2:$M$943,O$844)</f>
        <v>0</v>
      </c>
      <c r="P858" s="8">
        <f>SUMIFS('HOJAS DE HORA PROY.'!$I$2:$I$943,'HOJAS DE HORA PROY.'!$A$2:$A$943,'PLAN MAESTRO FINAL'!$A858,'HOJAS DE HORA PROY.'!$M$2:$M$943,P$844)</f>
        <v>0</v>
      </c>
      <c r="Q858" s="8">
        <f>SUMIFS('HOJAS DE HORA PROY.'!$I$2:$I$943,'HOJAS DE HORA PROY.'!$A$2:$A$943,'PLAN MAESTRO FINAL'!$A858,'HOJAS DE HORA PROY.'!$M$2:$M$943,Q$844)</f>
        <v>0</v>
      </c>
      <c r="R858" s="8">
        <f>SUMIFS('HOJAS DE HORA PROY.'!$I$2:$I$943,'HOJAS DE HORA PROY.'!$A$2:$A$943,'PLAN MAESTRO FINAL'!$A858,'HOJAS DE HORA PROY.'!$M$2:$M$943,R$844)</f>
        <v>0</v>
      </c>
      <c r="S858" s="8">
        <f>SUMIFS('HOJAS DE HORA PROY.'!$I$2:$I$943,'HOJAS DE HORA PROY.'!$A$2:$A$943,'PLAN MAESTRO FINAL'!$A858,'HOJAS DE HORA PROY.'!$M$2:$M$943,S$844)</f>
        <v>0</v>
      </c>
      <c r="T858" s="8">
        <f>SUMIFS('HOJAS DE HORA PROY.'!$I$2:$I$943,'HOJAS DE HORA PROY.'!$A$2:$A$943,'PLAN MAESTRO FINAL'!$A858,'HOJAS DE HORA PROY.'!$M$2:$M$943,T$844)</f>
        <v>0</v>
      </c>
      <c r="U858" s="8">
        <f>SUMIFS('HOJAS DE HORA PROY.'!$I$2:$I$943,'HOJAS DE HORA PROY.'!$A$2:$A$943,'PLAN MAESTRO FINAL'!$A858,'HOJAS DE HORA PROY.'!$M$2:$M$943,U$844)</f>
        <v>0</v>
      </c>
      <c r="V858" s="8">
        <f>SUMIFS('HOJAS DE HORA PROY.'!$I$2:$I$943,'HOJAS DE HORA PROY.'!$A$2:$A$943,'PLAN MAESTRO FINAL'!$A858,'HOJAS DE HORA PROY.'!$M$2:$M$943,V$844)</f>
        <v>0</v>
      </c>
      <c r="W858" s="8">
        <f>SUMIFS('HOJAS DE HORA PROY.'!$I$2:$I$943,'HOJAS DE HORA PROY.'!$A$2:$A$943,'PLAN MAESTRO FINAL'!$A858,'HOJAS DE HORA PROY.'!$M$2:$M$943,W$844)</f>
        <v>0</v>
      </c>
    </row>
    <row r="859" spans="1:23" hidden="1" outlineLevel="1" x14ac:dyDescent="0.3">
      <c r="A859" s="13" t="s">
        <v>262</v>
      </c>
      <c r="B859" s="8">
        <f>SUMIFS('HOJAS DE HORA PROY.'!$I$2:$I$943,'HOJAS DE HORA PROY.'!$A$2:$A$943,'PLAN MAESTRO FINAL'!$A859,'HOJAS DE HORA PROY.'!$M$2:$M$943,B$844)</f>
        <v>0</v>
      </c>
      <c r="C859" s="8">
        <f>SUMIFS('HOJAS DE HORA PROY.'!$I$2:$I$943,'HOJAS DE HORA PROY.'!$A$2:$A$943,'PLAN MAESTRO FINAL'!$A859,'HOJAS DE HORA PROY.'!$M$2:$M$943,C$844)</f>
        <v>0</v>
      </c>
      <c r="D859" s="8">
        <f>SUMIFS('HOJAS DE HORA PROY.'!$I$2:$I$943,'HOJAS DE HORA PROY.'!$A$2:$A$943,'PLAN MAESTRO FINAL'!$A859,'HOJAS DE HORA PROY.'!$M$2:$M$943,D$844)</f>
        <v>0</v>
      </c>
      <c r="E859" s="8">
        <f>SUMIFS('HOJAS DE HORA PROY.'!$I$2:$I$943,'HOJAS DE HORA PROY.'!$A$2:$A$943,'PLAN MAESTRO FINAL'!$A859,'HOJAS DE HORA PROY.'!$M$2:$M$943,E$844)</f>
        <v>0</v>
      </c>
      <c r="F859" s="8">
        <f>SUMIFS('HOJAS DE HORA PROY.'!$I$2:$I$943,'HOJAS DE HORA PROY.'!$A$2:$A$943,'PLAN MAESTRO FINAL'!$A859,'HOJAS DE HORA PROY.'!$M$2:$M$943,F$844)</f>
        <v>0</v>
      </c>
      <c r="G859" s="8">
        <f>SUMIFS('HOJAS DE HORA PROY.'!$I$2:$I$943,'HOJAS DE HORA PROY.'!$A$2:$A$943,'PLAN MAESTRO FINAL'!$A859,'HOJAS DE HORA PROY.'!$M$2:$M$943,G$844)</f>
        <v>0</v>
      </c>
      <c r="H859" s="8">
        <f>SUMIFS('HOJAS DE HORA PROY.'!$I$2:$I$943,'HOJAS DE HORA PROY.'!$A$2:$A$943,'PLAN MAESTRO FINAL'!$A859,'HOJAS DE HORA PROY.'!$M$2:$M$943,H$844)</f>
        <v>0</v>
      </c>
      <c r="I859" s="8">
        <f>SUMIFS('HOJAS DE HORA PROY.'!$I$2:$I$943,'HOJAS DE HORA PROY.'!$A$2:$A$943,'PLAN MAESTRO FINAL'!$A859,'HOJAS DE HORA PROY.'!$M$2:$M$943,I$844)</f>
        <v>0</v>
      </c>
      <c r="J859" s="8">
        <f>SUMIFS('HOJAS DE HORA PROY.'!$I$2:$I$943,'HOJAS DE HORA PROY.'!$A$2:$A$943,'PLAN MAESTRO FINAL'!$A859,'HOJAS DE HORA PROY.'!$M$2:$M$943,J$844)</f>
        <v>0</v>
      </c>
      <c r="K859" s="8">
        <f>SUMIFS('HOJAS DE HORA PROY.'!$I$2:$I$943,'HOJAS DE HORA PROY.'!$A$2:$A$943,'PLAN MAESTRO FINAL'!$A859,'HOJAS DE HORA PROY.'!$M$2:$M$943,K$844)</f>
        <v>0</v>
      </c>
      <c r="L859" s="8">
        <f>SUMIFS('HOJAS DE HORA PROY.'!$I$2:$I$943,'HOJAS DE HORA PROY.'!$A$2:$A$943,'PLAN MAESTRO FINAL'!$A859,'HOJAS DE HORA PROY.'!$M$2:$M$943,L$844)</f>
        <v>0</v>
      </c>
      <c r="M859" s="8">
        <f>SUMIFS('HOJAS DE HORA PROY.'!$I$2:$I$943,'HOJAS DE HORA PROY.'!$A$2:$A$943,'PLAN MAESTRO FINAL'!$A859,'HOJAS DE HORA PROY.'!$M$2:$M$943,M$844)</f>
        <v>0</v>
      </c>
      <c r="N859" s="8">
        <f>SUMIFS('HOJAS DE HORA PROY.'!$I$2:$I$943,'HOJAS DE HORA PROY.'!$A$2:$A$943,'PLAN MAESTRO FINAL'!$A859,'HOJAS DE HORA PROY.'!$M$2:$M$943,N$844)</f>
        <v>0</v>
      </c>
      <c r="O859" s="8">
        <f>SUMIFS('HOJAS DE HORA PROY.'!$I$2:$I$943,'HOJAS DE HORA PROY.'!$A$2:$A$943,'PLAN MAESTRO FINAL'!$A859,'HOJAS DE HORA PROY.'!$M$2:$M$943,O$844)</f>
        <v>0</v>
      </c>
      <c r="P859" s="8">
        <f>SUMIFS('HOJAS DE HORA PROY.'!$I$2:$I$943,'HOJAS DE HORA PROY.'!$A$2:$A$943,'PLAN MAESTRO FINAL'!$A859,'HOJAS DE HORA PROY.'!$M$2:$M$943,P$844)</f>
        <v>0</v>
      </c>
      <c r="Q859" s="8">
        <f>SUMIFS('HOJAS DE HORA PROY.'!$I$2:$I$943,'HOJAS DE HORA PROY.'!$A$2:$A$943,'PLAN MAESTRO FINAL'!$A859,'HOJAS DE HORA PROY.'!$M$2:$M$943,Q$844)</f>
        <v>0</v>
      </c>
      <c r="R859" s="8">
        <f>SUMIFS('HOJAS DE HORA PROY.'!$I$2:$I$943,'HOJAS DE HORA PROY.'!$A$2:$A$943,'PLAN MAESTRO FINAL'!$A859,'HOJAS DE HORA PROY.'!$M$2:$M$943,R$844)</f>
        <v>0</v>
      </c>
      <c r="S859" s="8">
        <f>SUMIFS('HOJAS DE HORA PROY.'!$I$2:$I$943,'HOJAS DE HORA PROY.'!$A$2:$A$943,'PLAN MAESTRO FINAL'!$A859,'HOJAS DE HORA PROY.'!$M$2:$M$943,S$844)</f>
        <v>0</v>
      </c>
      <c r="T859" s="8">
        <f>SUMIFS('HOJAS DE HORA PROY.'!$I$2:$I$943,'HOJAS DE HORA PROY.'!$A$2:$A$943,'PLAN MAESTRO FINAL'!$A859,'HOJAS DE HORA PROY.'!$M$2:$M$943,T$844)</f>
        <v>0</v>
      </c>
      <c r="U859" s="8">
        <f>SUMIFS('HOJAS DE HORA PROY.'!$I$2:$I$943,'HOJAS DE HORA PROY.'!$A$2:$A$943,'PLAN MAESTRO FINAL'!$A859,'HOJAS DE HORA PROY.'!$M$2:$M$943,U$844)</f>
        <v>0</v>
      </c>
      <c r="V859" s="8">
        <f>SUMIFS('HOJAS DE HORA PROY.'!$I$2:$I$943,'HOJAS DE HORA PROY.'!$A$2:$A$943,'PLAN MAESTRO FINAL'!$A859,'HOJAS DE HORA PROY.'!$M$2:$M$943,V$844)</f>
        <v>0</v>
      </c>
      <c r="W859" s="8">
        <f>SUMIFS('HOJAS DE HORA PROY.'!$I$2:$I$943,'HOJAS DE HORA PROY.'!$A$2:$A$943,'PLAN MAESTRO FINAL'!$A859,'HOJAS DE HORA PROY.'!$M$2:$M$943,W$844)</f>
        <v>0</v>
      </c>
    </row>
    <row r="860" spans="1:23" hidden="1" outlineLevel="1" x14ac:dyDescent="0.3">
      <c r="A860" s="13" t="s">
        <v>265</v>
      </c>
      <c r="B860" s="8">
        <f>SUMIFS('HOJAS DE HORA PROY.'!$I$2:$I$943,'HOJAS DE HORA PROY.'!$A$2:$A$943,'PLAN MAESTRO FINAL'!$A860,'HOJAS DE HORA PROY.'!$M$2:$M$943,B$844)</f>
        <v>0</v>
      </c>
      <c r="C860" s="8">
        <f>SUMIFS('HOJAS DE HORA PROY.'!$I$2:$I$943,'HOJAS DE HORA PROY.'!$A$2:$A$943,'PLAN MAESTRO FINAL'!$A860,'HOJAS DE HORA PROY.'!$M$2:$M$943,C$844)</f>
        <v>0</v>
      </c>
      <c r="D860" s="8">
        <f>SUMIFS('HOJAS DE HORA PROY.'!$I$2:$I$943,'HOJAS DE HORA PROY.'!$A$2:$A$943,'PLAN MAESTRO FINAL'!$A860,'HOJAS DE HORA PROY.'!$M$2:$M$943,D$844)</f>
        <v>0</v>
      </c>
      <c r="E860" s="8">
        <f>SUMIFS('HOJAS DE HORA PROY.'!$I$2:$I$943,'HOJAS DE HORA PROY.'!$A$2:$A$943,'PLAN MAESTRO FINAL'!$A860,'HOJAS DE HORA PROY.'!$M$2:$M$943,E$844)</f>
        <v>0</v>
      </c>
      <c r="F860" s="8">
        <f>SUMIFS('HOJAS DE HORA PROY.'!$I$2:$I$943,'HOJAS DE HORA PROY.'!$A$2:$A$943,'PLAN MAESTRO FINAL'!$A860,'HOJAS DE HORA PROY.'!$M$2:$M$943,F$844)</f>
        <v>0</v>
      </c>
      <c r="G860" s="8">
        <f>SUMIFS('HOJAS DE HORA PROY.'!$I$2:$I$943,'HOJAS DE HORA PROY.'!$A$2:$A$943,'PLAN MAESTRO FINAL'!$A860,'HOJAS DE HORA PROY.'!$M$2:$M$943,G$844)</f>
        <v>0</v>
      </c>
      <c r="H860" s="8">
        <f>SUMIFS('HOJAS DE HORA PROY.'!$I$2:$I$943,'HOJAS DE HORA PROY.'!$A$2:$A$943,'PLAN MAESTRO FINAL'!$A860,'HOJAS DE HORA PROY.'!$M$2:$M$943,H$844)</f>
        <v>0</v>
      </c>
      <c r="I860" s="8">
        <f>SUMIFS('HOJAS DE HORA PROY.'!$I$2:$I$943,'HOJAS DE HORA PROY.'!$A$2:$A$943,'PLAN MAESTRO FINAL'!$A860,'HOJAS DE HORA PROY.'!$M$2:$M$943,I$844)</f>
        <v>0</v>
      </c>
      <c r="J860" s="8">
        <f>SUMIFS('HOJAS DE HORA PROY.'!$I$2:$I$943,'HOJAS DE HORA PROY.'!$A$2:$A$943,'PLAN MAESTRO FINAL'!$A860,'HOJAS DE HORA PROY.'!$M$2:$M$943,J$844)</f>
        <v>0</v>
      </c>
      <c r="K860" s="8">
        <f>SUMIFS('HOJAS DE HORA PROY.'!$I$2:$I$943,'HOJAS DE HORA PROY.'!$A$2:$A$943,'PLAN MAESTRO FINAL'!$A860,'HOJAS DE HORA PROY.'!$M$2:$M$943,K$844)</f>
        <v>0</v>
      </c>
      <c r="L860" s="8">
        <f>SUMIFS('HOJAS DE HORA PROY.'!$I$2:$I$943,'HOJAS DE HORA PROY.'!$A$2:$A$943,'PLAN MAESTRO FINAL'!$A860,'HOJAS DE HORA PROY.'!$M$2:$M$943,L$844)</f>
        <v>0</v>
      </c>
      <c r="M860" s="8">
        <f>SUMIFS('HOJAS DE HORA PROY.'!$I$2:$I$943,'HOJAS DE HORA PROY.'!$A$2:$A$943,'PLAN MAESTRO FINAL'!$A860,'HOJAS DE HORA PROY.'!$M$2:$M$943,M$844)</f>
        <v>0</v>
      </c>
      <c r="N860" s="8">
        <f>SUMIFS('HOJAS DE HORA PROY.'!$I$2:$I$943,'HOJAS DE HORA PROY.'!$A$2:$A$943,'PLAN MAESTRO FINAL'!$A860,'HOJAS DE HORA PROY.'!$M$2:$M$943,N$844)</f>
        <v>0</v>
      </c>
      <c r="O860" s="8">
        <f>SUMIFS('HOJAS DE HORA PROY.'!$I$2:$I$943,'HOJAS DE HORA PROY.'!$A$2:$A$943,'PLAN MAESTRO FINAL'!$A860,'HOJAS DE HORA PROY.'!$M$2:$M$943,O$844)</f>
        <v>0</v>
      </c>
      <c r="P860" s="8">
        <f>SUMIFS('HOJAS DE HORA PROY.'!$I$2:$I$943,'HOJAS DE HORA PROY.'!$A$2:$A$943,'PLAN MAESTRO FINAL'!$A860,'HOJAS DE HORA PROY.'!$M$2:$M$943,P$844)</f>
        <v>0</v>
      </c>
      <c r="Q860" s="8">
        <f>SUMIFS('HOJAS DE HORA PROY.'!$I$2:$I$943,'HOJAS DE HORA PROY.'!$A$2:$A$943,'PLAN MAESTRO FINAL'!$A860,'HOJAS DE HORA PROY.'!$M$2:$M$943,Q$844)</f>
        <v>0</v>
      </c>
      <c r="R860" s="8">
        <f>SUMIFS('HOJAS DE HORA PROY.'!$I$2:$I$943,'HOJAS DE HORA PROY.'!$A$2:$A$943,'PLAN MAESTRO FINAL'!$A860,'HOJAS DE HORA PROY.'!$M$2:$M$943,R$844)</f>
        <v>0</v>
      </c>
      <c r="S860" s="8">
        <f>SUMIFS('HOJAS DE HORA PROY.'!$I$2:$I$943,'HOJAS DE HORA PROY.'!$A$2:$A$943,'PLAN MAESTRO FINAL'!$A860,'HOJAS DE HORA PROY.'!$M$2:$M$943,S$844)</f>
        <v>0</v>
      </c>
      <c r="T860" s="8">
        <f>SUMIFS('HOJAS DE HORA PROY.'!$I$2:$I$943,'HOJAS DE HORA PROY.'!$A$2:$A$943,'PLAN MAESTRO FINAL'!$A860,'HOJAS DE HORA PROY.'!$M$2:$M$943,T$844)</f>
        <v>0</v>
      </c>
      <c r="U860" s="8">
        <f>SUMIFS('HOJAS DE HORA PROY.'!$I$2:$I$943,'HOJAS DE HORA PROY.'!$A$2:$A$943,'PLAN MAESTRO FINAL'!$A860,'HOJAS DE HORA PROY.'!$M$2:$M$943,U$844)</f>
        <v>0</v>
      </c>
      <c r="V860" s="8">
        <f>SUMIFS('HOJAS DE HORA PROY.'!$I$2:$I$943,'HOJAS DE HORA PROY.'!$A$2:$A$943,'PLAN MAESTRO FINAL'!$A860,'HOJAS DE HORA PROY.'!$M$2:$M$943,V$844)</f>
        <v>0</v>
      </c>
      <c r="W860" s="8">
        <f>SUMIFS('HOJAS DE HORA PROY.'!$I$2:$I$943,'HOJAS DE HORA PROY.'!$A$2:$A$943,'PLAN MAESTRO FINAL'!$A860,'HOJAS DE HORA PROY.'!$M$2:$M$943,W$844)</f>
        <v>0</v>
      </c>
    </row>
    <row r="861" spans="1:23" hidden="1" outlineLevel="1" x14ac:dyDescent="0.3">
      <c r="A861" s="13" t="s">
        <v>267</v>
      </c>
      <c r="B861" s="8">
        <f>SUMIFS('HOJAS DE HORA PROY.'!$I$2:$I$943,'HOJAS DE HORA PROY.'!$A$2:$A$943,'PLAN MAESTRO FINAL'!$A861,'HOJAS DE HORA PROY.'!$M$2:$M$943,B$844)</f>
        <v>0</v>
      </c>
      <c r="C861" s="8">
        <f>SUMIFS('HOJAS DE HORA PROY.'!$I$2:$I$943,'HOJAS DE HORA PROY.'!$A$2:$A$943,'PLAN MAESTRO FINAL'!$A861,'HOJAS DE HORA PROY.'!$M$2:$M$943,C$844)</f>
        <v>0</v>
      </c>
      <c r="D861" s="8">
        <f>SUMIFS('HOJAS DE HORA PROY.'!$I$2:$I$943,'HOJAS DE HORA PROY.'!$A$2:$A$943,'PLAN MAESTRO FINAL'!$A861,'HOJAS DE HORA PROY.'!$M$2:$M$943,D$844)</f>
        <v>0</v>
      </c>
      <c r="E861" s="8">
        <f>SUMIFS('HOJAS DE HORA PROY.'!$I$2:$I$943,'HOJAS DE HORA PROY.'!$A$2:$A$943,'PLAN MAESTRO FINAL'!$A861,'HOJAS DE HORA PROY.'!$M$2:$M$943,E$844)</f>
        <v>0</v>
      </c>
      <c r="F861" s="8">
        <f>SUMIFS('HOJAS DE HORA PROY.'!$I$2:$I$943,'HOJAS DE HORA PROY.'!$A$2:$A$943,'PLAN MAESTRO FINAL'!$A861,'HOJAS DE HORA PROY.'!$M$2:$M$943,F$844)</f>
        <v>0</v>
      </c>
      <c r="G861" s="8">
        <f>SUMIFS('HOJAS DE HORA PROY.'!$I$2:$I$943,'HOJAS DE HORA PROY.'!$A$2:$A$943,'PLAN MAESTRO FINAL'!$A861,'HOJAS DE HORA PROY.'!$M$2:$M$943,G$844)</f>
        <v>0</v>
      </c>
      <c r="H861" s="8">
        <f>SUMIFS('HOJAS DE HORA PROY.'!$I$2:$I$943,'HOJAS DE HORA PROY.'!$A$2:$A$943,'PLAN MAESTRO FINAL'!$A861,'HOJAS DE HORA PROY.'!$M$2:$M$943,H$844)</f>
        <v>0</v>
      </c>
      <c r="I861" s="8">
        <f>SUMIFS('HOJAS DE HORA PROY.'!$I$2:$I$943,'HOJAS DE HORA PROY.'!$A$2:$A$943,'PLAN MAESTRO FINAL'!$A861,'HOJAS DE HORA PROY.'!$M$2:$M$943,I$844)</f>
        <v>0</v>
      </c>
      <c r="J861" s="8">
        <f>SUMIFS('HOJAS DE HORA PROY.'!$I$2:$I$943,'HOJAS DE HORA PROY.'!$A$2:$A$943,'PLAN MAESTRO FINAL'!$A861,'HOJAS DE HORA PROY.'!$M$2:$M$943,J$844)</f>
        <v>0</v>
      </c>
      <c r="K861" s="8">
        <f>SUMIFS('HOJAS DE HORA PROY.'!$I$2:$I$943,'HOJAS DE HORA PROY.'!$A$2:$A$943,'PLAN MAESTRO FINAL'!$A861,'HOJAS DE HORA PROY.'!$M$2:$M$943,K$844)</f>
        <v>0</v>
      </c>
      <c r="L861" s="8">
        <f>SUMIFS('HOJAS DE HORA PROY.'!$I$2:$I$943,'HOJAS DE HORA PROY.'!$A$2:$A$943,'PLAN MAESTRO FINAL'!$A861,'HOJAS DE HORA PROY.'!$M$2:$M$943,L$844)</f>
        <v>0</v>
      </c>
      <c r="M861" s="8">
        <f>SUMIFS('HOJAS DE HORA PROY.'!$I$2:$I$943,'HOJAS DE HORA PROY.'!$A$2:$A$943,'PLAN MAESTRO FINAL'!$A861,'HOJAS DE HORA PROY.'!$M$2:$M$943,M$844)</f>
        <v>0</v>
      </c>
      <c r="N861" s="8">
        <f>SUMIFS('HOJAS DE HORA PROY.'!$I$2:$I$943,'HOJAS DE HORA PROY.'!$A$2:$A$943,'PLAN MAESTRO FINAL'!$A861,'HOJAS DE HORA PROY.'!$M$2:$M$943,N$844)</f>
        <v>0</v>
      </c>
      <c r="O861" s="8">
        <f>SUMIFS('HOJAS DE HORA PROY.'!$I$2:$I$943,'HOJAS DE HORA PROY.'!$A$2:$A$943,'PLAN MAESTRO FINAL'!$A861,'HOJAS DE HORA PROY.'!$M$2:$M$943,O$844)</f>
        <v>0</v>
      </c>
      <c r="P861" s="8">
        <f>SUMIFS('HOJAS DE HORA PROY.'!$I$2:$I$943,'HOJAS DE HORA PROY.'!$A$2:$A$943,'PLAN MAESTRO FINAL'!$A861,'HOJAS DE HORA PROY.'!$M$2:$M$943,P$844)</f>
        <v>0</v>
      </c>
      <c r="Q861" s="8">
        <f>SUMIFS('HOJAS DE HORA PROY.'!$I$2:$I$943,'HOJAS DE HORA PROY.'!$A$2:$A$943,'PLAN MAESTRO FINAL'!$A861,'HOJAS DE HORA PROY.'!$M$2:$M$943,Q$844)</f>
        <v>0</v>
      </c>
      <c r="R861" s="8">
        <f>SUMIFS('HOJAS DE HORA PROY.'!$I$2:$I$943,'HOJAS DE HORA PROY.'!$A$2:$A$943,'PLAN MAESTRO FINAL'!$A861,'HOJAS DE HORA PROY.'!$M$2:$M$943,R$844)</f>
        <v>0</v>
      </c>
      <c r="S861" s="8">
        <f>SUMIFS('HOJAS DE HORA PROY.'!$I$2:$I$943,'HOJAS DE HORA PROY.'!$A$2:$A$943,'PLAN MAESTRO FINAL'!$A861,'HOJAS DE HORA PROY.'!$M$2:$M$943,S$844)</f>
        <v>0</v>
      </c>
      <c r="T861" s="8">
        <f>SUMIFS('HOJAS DE HORA PROY.'!$I$2:$I$943,'HOJAS DE HORA PROY.'!$A$2:$A$943,'PLAN MAESTRO FINAL'!$A861,'HOJAS DE HORA PROY.'!$M$2:$M$943,T$844)</f>
        <v>0</v>
      </c>
      <c r="U861" s="8">
        <f>SUMIFS('HOJAS DE HORA PROY.'!$I$2:$I$943,'HOJAS DE HORA PROY.'!$A$2:$A$943,'PLAN MAESTRO FINAL'!$A861,'HOJAS DE HORA PROY.'!$M$2:$M$943,U$844)</f>
        <v>0</v>
      </c>
      <c r="V861" s="8">
        <f>SUMIFS('HOJAS DE HORA PROY.'!$I$2:$I$943,'HOJAS DE HORA PROY.'!$A$2:$A$943,'PLAN MAESTRO FINAL'!$A861,'HOJAS DE HORA PROY.'!$M$2:$M$943,V$844)</f>
        <v>0</v>
      </c>
      <c r="W861" s="8">
        <f>SUMIFS('HOJAS DE HORA PROY.'!$I$2:$I$943,'HOJAS DE HORA PROY.'!$A$2:$A$943,'PLAN MAESTRO FINAL'!$A861,'HOJAS DE HORA PROY.'!$M$2:$M$943,W$844)</f>
        <v>0</v>
      </c>
    </row>
    <row r="862" spans="1:23" hidden="1" outlineLevel="1" x14ac:dyDescent="0.3">
      <c r="A862" s="13" t="s">
        <v>306</v>
      </c>
      <c r="B862" s="8">
        <f>SUMIFS('HOJAS DE HORA PROY.'!$I$2:$I$943,'HOJAS DE HORA PROY.'!$A$2:$A$943,'PLAN MAESTRO FINAL'!$A862,'HOJAS DE HORA PROY.'!$M$2:$M$943,B$844)</f>
        <v>0</v>
      </c>
      <c r="C862" s="8">
        <f>SUMIFS('HOJAS DE HORA PROY.'!$I$2:$I$943,'HOJAS DE HORA PROY.'!$A$2:$A$943,'PLAN MAESTRO FINAL'!$A862,'HOJAS DE HORA PROY.'!$M$2:$M$943,C$844)</f>
        <v>0</v>
      </c>
      <c r="D862" s="8">
        <f>SUMIFS('HOJAS DE HORA PROY.'!$I$2:$I$943,'HOJAS DE HORA PROY.'!$A$2:$A$943,'PLAN MAESTRO FINAL'!$A862,'HOJAS DE HORA PROY.'!$M$2:$M$943,D$844)</f>
        <v>0</v>
      </c>
      <c r="E862" s="8">
        <f>SUMIFS('HOJAS DE HORA PROY.'!$I$2:$I$943,'HOJAS DE HORA PROY.'!$A$2:$A$943,'PLAN MAESTRO FINAL'!$A862,'HOJAS DE HORA PROY.'!$M$2:$M$943,E$844)</f>
        <v>0</v>
      </c>
      <c r="F862" s="8">
        <f>SUMIFS('HOJAS DE HORA PROY.'!$I$2:$I$943,'HOJAS DE HORA PROY.'!$A$2:$A$943,'PLAN MAESTRO FINAL'!$A862,'HOJAS DE HORA PROY.'!$M$2:$M$943,F$844)</f>
        <v>0</v>
      </c>
      <c r="G862" s="8">
        <f>SUMIFS('HOJAS DE HORA PROY.'!$I$2:$I$943,'HOJAS DE HORA PROY.'!$A$2:$A$943,'PLAN MAESTRO FINAL'!$A862,'HOJAS DE HORA PROY.'!$M$2:$M$943,G$844)</f>
        <v>0</v>
      </c>
      <c r="H862" s="8">
        <f>SUMIFS('HOJAS DE HORA PROY.'!$I$2:$I$943,'HOJAS DE HORA PROY.'!$A$2:$A$943,'PLAN MAESTRO FINAL'!$A862,'HOJAS DE HORA PROY.'!$M$2:$M$943,H$844)</f>
        <v>0</v>
      </c>
      <c r="I862" s="8">
        <f>SUMIFS('HOJAS DE HORA PROY.'!$I$2:$I$943,'HOJAS DE HORA PROY.'!$A$2:$A$943,'PLAN MAESTRO FINAL'!$A862,'HOJAS DE HORA PROY.'!$M$2:$M$943,I$844)</f>
        <v>0</v>
      </c>
      <c r="J862" s="8">
        <f>SUMIFS('HOJAS DE HORA PROY.'!$I$2:$I$943,'HOJAS DE HORA PROY.'!$A$2:$A$943,'PLAN MAESTRO FINAL'!$A862,'HOJAS DE HORA PROY.'!$M$2:$M$943,J$844)</f>
        <v>0</v>
      </c>
      <c r="K862" s="8">
        <f>SUMIFS('HOJAS DE HORA PROY.'!$I$2:$I$943,'HOJAS DE HORA PROY.'!$A$2:$A$943,'PLAN MAESTRO FINAL'!$A862,'HOJAS DE HORA PROY.'!$M$2:$M$943,K$844)</f>
        <v>0</v>
      </c>
      <c r="L862" s="8">
        <f>SUMIFS('HOJAS DE HORA PROY.'!$I$2:$I$943,'HOJAS DE HORA PROY.'!$A$2:$A$943,'PLAN MAESTRO FINAL'!$A862,'HOJAS DE HORA PROY.'!$M$2:$M$943,L$844)</f>
        <v>0</v>
      </c>
      <c r="M862" s="8">
        <f>SUMIFS('HOJAS DE HORA PROY.'!$I$2:$I$943,'HOJAS DE HORA PROY.'!$A$2:$A$943,'PLAN MAESTRO FINAL'!$A862,'HOJAS DE HORA PROY.'!$M$2:$M$943,M$844)</f>
        <v>0</v>
      </c>
      <c r="N862" s="8">
        <f>SUMIFS('HOJAS DE HORA PROY.'!$I$2:$I$943,'HOJAS DE HORA PROY.'!$A$2:$A$943,'PLAN MAESTRO FINAL'!$A862,'HOJAS DE HORA PROY.'!$M$2:$M$943,N$844)</f>
        <v>0</v>
      </c>
      <c r="O862" s="8">
        <f>SUMIFS('HOJAS DE HORA PROY.'!$I$2:$I$943,'HOJAS DE HORA PROY.'!$A$2:$A$943,'PLAN MAESTRO FINAL'!$A862,'HOJAS DE HORA PROY.'!$M$2:$M$943,O$844)</f>
        <v>0</v>
      </c>
      <c r="P862" s="8">
        <f>SUMIFS('HOJAS DE HORA PROY.'!$I$2:$I$943,'HOJAS DE HORA PROY.'!$A$2:$A$943,'PLAN MAESTRO FINAL'!$A862,'HOJAS DE HORA PROY.'!$M$2:$M$943,P$844)</f>
        <v>0</v>
      </c>
      <c r="Q862" s="8">
        <f>SUMIFS('HOJAS DE HORA PROY.'!$I$2:$I$943,'HOJAS DE HORA PROY.'!$A$2:$A$943,'PLAN MAESTRO FINAL'!$A862,'HOJAS DE HORA PROY.'!$M$2:$M$943,Q$844)</f>
        <v>0</v>
      </c>
      <c r="R862" s="8">
        <f>SUMIFS('HOJAS DE HORA PROY.'!$I$2:$I$943,'HOJAS DE HORA PROY.'!$A$2:$A$943,'PLAN MAESTRO FINAL'!$A862,'HOJAS DE HORA PROY.'!$M$2:$M$943,R$844)</f>
        <v>0</v>
      </c>
      <c r="S862" s="8">
        <f>SUMIFS('HOJAS DE HORA PROY.'!$I$2:$I$943,'HOJAS DE HORA PROY.'!$A$2:$A$943,'PLAN MAESTRO FINAL'!$A862,'HOJAS DE HORA PROY.'!$M$2:$M$943,S$844)</f>
        <v>0</v>
      </c>
      <c r="T862" s="8">
        <f>SUMIFS('HOJAS DE HORA PROY.'!$I$2:$I$943,'HOJAS DE HORA PROY.'!$A$2:$A$943,'PLAN MAESTRO FINAL'!$A862,'HOJAS DE HORA PROY.'!$M$2:$M$943,T$844)</f>
        <v>0</v>
      </c>
      <c r="U862" s="8">
        <f>SUMIFS('HOJAS DE HORA PROY.'!$I$2:$I$943,'HOJAS DE HORA PROY.'!$A$2:$A$943,'PLAN MAESTRO FINAL'!$A862,'HOJAS DE HORA PROY.'!$M$2:$M$943,U$844)</f>
        <v>0</v>
      </c>
      <c r="V862" s="8">
        <f>SUMIFS('HOJAS DE HORA PROY.'!$I$2:$I$943,'HOJAS DE HORA PROY.'!$A$2:$A$943,'PLAN MAESTRO FINAL'!$A862,'HOJAS DE HORA PROY.'!$M$2:$M$943,V$844)</f>
        <v>0</v>
      </c>
      <c r="W862" s="8">
        <f>SUMIFS('HOJAS DE HORA PROY.'!$I$2:$I$943,'HOJAS DE HORA PROY.'!$A$2:$A$943,'PLAN MAESTRO FINAL'!$A862,'HOJAS DE HORA PROY.'!$M$2:$M$943,W$844)</f>
        <v>0</v>
      </c>
    </row>
    <row r="863" spans="1:23" hidden="1" outlineLevel="1" x14ac:dyDescent="0.3">
      <c r="A863" s="13" t="s">
        <v>307</v>
      </c>
      <c r="B863" s="8">
        <f>SUMIFS('HOJAS DE HORA PROY.'!$I$2:$I$943,'HOJAS DE HORA PROY.'!$A$2:$A$943,'PLAN MAESTRO FINAL'!$A863,'HOJAS DE HORA PROY.'!$M$2:$M$943,B$844)</f>
        <v>0</v>
      </c>
      <c r="C863" s="8">
        <f>SUMIFS('HOJAS DE HORA PROY.'!$I$2:$I$943,'HOJAS DE HORA PROY.'!$A$2:$A$943,'PLAN MAESTRO FINAL'!$A863,'HOJAS DE HORA PROY.'!$M$2:$M$943,C$844)</f>
        <v>0</v>
      </c>
      <c r="D863" s="8">
        <f>SUMIFS('HOJAS DE HORA PROY.'!$I$2:$I$943,'HOJAS DE HORA PROY.'!$A$2:$A$943,'PLAN MAESTRO FINAL'!$A863,'HOJAS DE HORA PROY.'!$M$2:$M$943,D$844)</f>
        <v>0</v>
      </c>
      <c r="E863" s="8">
        <f>SUMIFS('HOJAS DE HORA PROY.'!$I$2:$I$943,'HOJAS DE HORA PROY.'!$A$2:$A$943,'PLAN MAESTRO FINAL'!$A863,'HOJAS DE HORA PROY.'!$M$2:$M$943,E$844)</f>
        <v>0</v>
      </c>
      <c r="F863" s="8">
        <f>SUMIFS('HOJAS DE HORA PROY.'!$I$2:$I$943,'HOJAS DE HORA PROY.'!$A$2:$A$943,'PLAN MAESTRO FINAL'!$A863,'HOJAS DE HORA PROY.'!$M$2:$M$943,F$844)</f>
        <v>0</v>
      </c>
      <c r="G863" s="8">
        <f>SUMIFS('HOJAS DE HORA PROY.'!$I$2:$I$943,'HOJAS DE HORA PROY.'!$A$2:$A$943,'PLAN MAESTRO FINAL'!$A863,'HOJAS DE HORA PROY.'!$M$2:$M$943,G$844)</f>
        <v>0</v>
      </c>
      <c r="H863" s="8">
        <f>SUMIFS('HOJAS DE HORA PROY.'!$I$2:$I$943,'HOJAS DE HORA PROY.'!$A$2:$A$943,'PLAN MAESTRO FINAL'!$A863,'HOJAS DE HORA PROY.'!$M$2:$M$943,H$844)</f>
        <v>0</v>
      </c>
      <c r="I863" s="8">
        <f>SUMIFS('HOJAS DE HORA PROY.'!$I$2:$I$943,'HOJAS DE HORA PROY.'!$A$2:$A$943,'PLAN MAESTRO FINAL'!$A863,'HOJAS DE HORA PROY.'!$M$2:$M$943,I$844)</f>
        <v>0</v>
      </c>
      <c r="J863" s="8">
        <f>SUMIFS('HOJAS DE HORA PROY.'!$I$2:$I$943,'HOJAS DE HORA PROY.'!$A$2:$A$943,'PLAN MAESTRO FINAL'!$A863,'HOJAS DE HORA PROY.'!$M$2:$M$943,J$844)</f>
        <v>0</v>
      </c>
      <c r="K863" s="8">
        <f>SUMIFS('HOJAS DE HORA PROY.'!$I$2:$I$943,'HOJAS DE HORA PROY.'!$A$2:$A$943,'PLAN MAESTRO FINAL'!$A863,'HOJAS DE HORA PROY.'!$M$2:$M$943,K$844)</f>
        <v>0</v>
      </c>
      <c r="L863" s="8">
        <f>SUMIFS('HOJAS DE HORA PROY.'!$I$2:$I$943,'HOJAS DE HORA PROY.'!$A$2:$A$943,'PLAN MAESTRO FINAL'!$A863,'HOJAS DE HORA PROY.'!$M$2:$M$943,L$844)</f>
        <v>0</v>
      </c>
      <c r="M863" s="8">
        <f>SUMIFS('HOJAS DE HORA PROY.'!$I$2:$I$943,'HOJAS DE HORA PROY.'!$A$2:$A$943,'PLAN MAESTRO FINAL'!$A863,'HOJAS DE HORA PROY.'!$M$2:$M$943,M$844)</f>
        <v>0</v>
      </c>
      <c r="N863" s="8">
        <f>SUMIFS('HOJAS DE HORA PROY.'!$I$2:$I$943,'HOJAS DE HORA PROY.'!$A$2:$A$943,'PLAN MAESTRO FINAL'!$A863,'HOJAS DE HORA PROY.'!$M$2:$M$943,N$844)</f>
        <v>0</v>
      </c>
      <c r="O863" s="8">
        <f>SUMIFS('HOJAS DE HORA PROY.'!$I$2:$I$943,'HOJAS DE HORA PROY.'!$A$2:$A$943,'PLAN MAESTRO FINAL'!$A863,'HOJAS DE HORA PROY.'!$M$2:$M$943,O$844)</f>
        <v>0</v>
      </c>
      <c r="P863" s="8">
        <f>SUMIFS('HOJAS DE HORA PROY.'!$I$2:$I$943,'HOJAS DE HORA PROY.'!$A$2:$A$943,'PLAN MAESTRO FINAL'!$A863,'HOJAS DE HORA PROY.'!$M$2:$M$943,P$844)</f>
        <v>0</v>
      </c>
      <c r="Q863" s="8">
        <f>SUMIFS('HOJAS DE HORA PROY.'!$I$2:$I$943,'HOJAS DE HORA PROY.'!$A$2:$A$943,'PLAN MAESTRO FINAL'!$A863,'HOJAS DE HORA PROY.'!$M$2:$M$943,Q$844)</f>
        <v>0</v>
      </c>
      <c r="R863" s="8">
        <f>SUMIFS('HOJAS DE HORA PROY.'!$I$2:$I$943,'HOJAS DE HORA PROY.'!$A$2:$A$943,'PLAN MAESTRO FINAL'!$A863,'HOJAS DE HORA PROY.'!$M$2:$M$943,R$844)</f>
        <v>0</v>
      </c>
      <c r="S863" s="8">
        <f>SUMIFS('HOJAS DE HORA PROY.'!$I$2:$I$943,'HOJAS DE HORA PROY.'!$A$2:$A$943,'PLAN MAESTRO FINAL'!$A863,'HOJAS DE HORA PROY.'!$M$2:$M$943,S$844)</f>
        <v>0</v>
      </c>
      <c r="T863" s="8">
        <f>SUMIFS('HOJAS DE HORA PROY.'!$I$2:$I$943,'HOJAS DE HORA PROY.'!$A$2:$A$943,'PLAN MAESTRO FINAL'!$A863,'HOJAS DE HORA PROY.'!$M$2:$M$943,T$844)</f>
        <v>0</v>
      </c>
      <c r="U863" s="8">
        <f>SUMIFS('HOJAS DE HORA PROY.'!$I$2:$I$943,'HOJAS DE HORA PROY.'!$A$2:$A$943,'PLAN MAESTRO FINAL'!$A863,'HOJAS DE HORA PROY.'!$M$2:$M$943,U$844)</f>
        <v>0</v>
      </c>
      <c r="V863" s="8">
        <f>SUMIFS('HOJAS DE HORA PROY.'!$I$2:$I$943,'HOJAS DE HORA PROY.'!$A$2:$A$943,'PLAN MAESTRO FINAL'!$A863,'HOJAS DE HORA PROY.'!$M$2:$M$943,V$844)</f>
        <v>0</v>
      </c>
      <c r="W863" s="8">
        <f>SUMIFS('HOJAS DE HORA PROY.'!$I$2:$I$943,'HOJAS DE HORA PROY.'!$A$2:$A$943,'PLAN MAESTRO FINAL'!$A863,'HOJAS DE HORA PROY.'!$M$2:$M$943,W$844)</f>
        <v>0</v>
      </c>
    </row>
    <row r="864" spans="1:23" hidden="1" outlineLevel="1" x14ac:dyDescent="0.3">
      <c r="A864" s="13" t="s">
        <v>321</v>
      </c>
      <c r="B864" s="8">
        <f>SUMIFS('HOJAS DE HORA PROY.'!$I$2:$I$943,'HOJAS DE HORA PROY.'!$A$2:$A$943,'PLAN MAESTRO FINAL'!$A864,'HOJAS DE HORA PROY.'!$M$2:$M$943,B$844)</f>
        <v>0</v>
      </c>
      <c r="C864" s="8">
        <f>SUMIFS('HOJAS DE HORA PROY.'!$I$2:$I$943,'HOJAS DE HORA PROY.'!$A$2:$A$943,'PLAN MAESTRO FINAL'!$A864,'HOJAS DE HORA PROY.'!$M$2:$M$943,C$844)</f>
        <v>0</v>
      </c>
      <c r="D864" s="8">
        <f>SUMIFS('HOJAS DE HORA PROY.'!$I$2:$I$943,'HOJAS DE HORA PROY.'!$A$2:$A$943,'PLAN MAESTRO FINAL'!$A864,'HOJAS DE HORA PROY.'!$M$2:$M$943,D$844)</f>
        <v>0</v>
      </c>
      <c r="E864" s="8">
        <f>SUMIFS('HOJAS DE HORA PROY.'!$I$2:$I$943,'HOJAS DE HORA PROY.'!$A$2:$A$943,'PLAN MAESTRO FINAL'!$A864,'HOJAS DE HORA PROY.'!$M$2:$M$943,E$844)</f>
        <v>0</v>
      </c>
      <c r="F864" s="8">
        <f>SUMIFS('HOJAS DE HORA PROY.'!$I$2:$I$943,'HOJAS DE HORA PROY.'!$A$2:$A$943,'PLAN MAESTRO FINAL'!$A864,'HOJAS DE HORA PROY.'!$M$2:$M$943,F$844)</f>
        <v>0</v>
      </c>
      <c r="G864" s="8">
        <f>SUMIFS('HOJAS DE HORA PROY.'!$I$2:$I$943,'HOJAS DE HORA PROY.'!$A$2:$A$943,'PLAN MAESTRO FINAL'!$A864,'HOJAS DE HORA PROY.'!$M$2:$M$943,G$844)</f>
        <v>0</v>
      </c>
      <c r="H864" s="8">
        <f>SUMIFS('HOJAS DE HORA PROY.'!$I$2:$I$943,'HOJAS DE HORA PROY.'!$A$2:$A$943,'PLAN MAESTRO FINAL'!$A864,'HOJAS DE HORA PROY.'!$M$2:$M$943,H$844)</f>
        <v>0</v>
      </c>
      <c r="I864" s="8">
        <f>SUMIFS('HOJAS DE HORA PROY.'!$I$2:$I$943,'HOJAS DE HORA PROY.'!$A$2:$A$943,'PLAN MAESTRO FINAL'!$A864,'HOJAS DE HORA PROY.'!$M$2:$M$943,I$844)</f>
        <v>0</v>
      </c>
      <c r="J864" s="8">
        <f>SUMIFS('HOJAS DE HORA PROY.'!$I$2:$I$943,'HOJAS DE HORA PROY.'!$A$2:$A$943,'PLAN MAESTRO FINAL'!$A864,'HOJAS DE HORA PROY.'!$M$2:$M$943,J$844)</f>
        <v>0</v>
      </c>
      <c r="K864" s="8">
        <f>SUMIFS('HOJAS DE HORA PROY.'!$I$2:$I$943,'HOJAS DE HORA PROY.'!$A$2:$A$943,'PLAN MAESTRO FINAL'!$A864,'HOJAS DE HORA PROY.'!$M$2:$M$943,K$844)</f>
        <v>0</v>
      </c>
      <c r="L864" s="8">
        <f>SUMIFS('HOJAS DE HORA PROY.'!$I$2:$I$943,'HOJAS DE HORA PROY.'!$A$2:$A$943,'PLAN MAESTRO FINAL'!$A864,'HOJAS DE HORA PROY.'!$M$2:$M$943,L$844)</f>
        <v>0</v>
      </c>
      <c r="M864" s="8">
        <f>SUMIFS('HOJAS DE HORA PROY.'!$I$2:$I$943,'HOJAS DE HORA PROY.'!$A$2:$A$943,'PLAN MAESTRO FINAL'!$A864,'HOJAS DE HORA PROY.'!$M$2:$M$943,M$844)</f>
        <v>0</v>
      </c>
      <c r="N864" s="8">
        <f>SUMIFS('HOJAS DE HORA PROY.'!$I$2:$I$943,'HOJAS DE HORA PROY.'!$A$2:$A$943,'PLAN MAESTRO FINAL'!$A864,'HOJAS DE HORA PROY.'!$M$2:$M$943,N$844)</f>
        <v>0</v>
      </c>
      <c r="O864" s="8">
        <f>SUMIFS('HOJAS DE HORA PROY.'!$I$2:$I$943,'HOJAS DE HORA PROY.'!$A$2:$A$943,'PLAN MAESTRO FINAL'!$A864,'HOJAS DE HORA PROY.'!$M$2:$M$943,O$844)</f>
        <v>0</v>
      </c>
      <c r="P864" s="8">
        <f>SUMIFS('HOJAS DE HORA PROY.'!$I$2:$I$943,'HOJAS DE HORA PROY.'!$A$2:$A$943,'PLAN MAESTRO FINAL'!$A864,'HOJAS DE HORA PROY.'!$M$2:$M$943,P$844)</f>
        <v>0</v>
      </c>
      <c r="Q864" s="8">
        <f>SUMIFS('HOJAS DE HORA PROY.'!$I$2:$I$943,'HOJAS DE HORA PROY.'!$A$2:$A$943,'PLAN MAESTRO FINAL'!$A864,'HOJAS DE HORA PROY.'!$M$2:$M$943,Q$844)</f>
        <v>0</v>
      </c>
      <c r="R864" s="8">
        <f>SUMIFS('HOJAS DE HORA PROY.'!$I$2:$I$943,'HOJAS DE HORA PROY.'!$A$2:$A$943,'PLAN MAESTRO FINAL'!$A864,'HOJAS DE HORA PROY.'!$M$2:$M$943,R$844)</f>
        <v>0</v>
      </c>
      <c r="S864" s="8">
        <f>SUMIFS('HOJAS DE HORA PROY.'!$I$2:$I$943,'HOJAS DE HORA PROY.'!$A$2:$A$943,'PLAN MAESTRO FINAL'!$A864,'HOJAS DE HORA PROY.'!$M$2:$M$943,S$844)</f>
        <v>0</v>
      </c>
      <c r="T864" s="8">
        <f>SUMIFS('HOJAS DE HORA PROY.'!$I$2:$I$943,'HOJAS DE HORA PROY.'!$A$2:$A$943,'PLAN MAESTRO FINAL'!$A864,'HOJAS DE HORA PROY.'!$M$2:$M$943,T$844)</f>
        <v>0</v>
      </c>
      <c r="U864" s="8">
        <f>SUMIFS('HOJAS DE HORA PROY.'!$I$2:$I$943,'HOJAS DE HORA PROY.'!$A$2:$A$943,'PLAN MAESTRO FINAL'!$A864,'HOJAS DE HORA PROY.'!$M$2:$M$943,U$844)</f>
        <v>0</v>
      </c>
      <c r="V864" s="8">
        <f>SUMIFS('HOJAS DE HORA PROY.'!$I$2:$I$943,'HOJAS DE HORA PROY.'!$A$2:$A$943,'PLAN MAESTRO FINAL'!$A864,'HOJAS DE HORA PROY.'!$M$2:$M$943,V$844)</f>
        <v>0</v>
      </c>
      <c r="W864" s="8">
        <f>SUMIFS('HOJAS DE HORA PROY.'!$I$2:$I$943,'HOJAS DE HORA PROY.'!$A$2:$A$943,'PLAN MAESTRO FINAL'!$A864,'HOJAS DE HORA PROY.'!$M$2:$M$943,W$844)</f>
        <v>0</v>
      </c>
    </row>
    <row r="865" spans="1:23" hidden="1" outlineLevel="1" x14ac:dyDescent="0.3">
      <c r="A865" s="13" t="s">
        <v>453</v>
      </c>
      <c r="B865" s="8">
        <f>SUMIFS('HOJAS DE HORA PROY.'!$I$2:$I$943,'HOJAS DE HORA PROY.'!$A$2:$A$943,'PLAN MAESTRO FINAL'!$A865,'HOJAS DE HORA PROY.'!$M$2:$M$943,B$844)</f>
        <v>0</v>
      </c>
      <c r="C865" s="8">
        <f>SUMIFS('HOJAS DE HORA PROY.'!$I$2:$I$943,'HOJAS DE HORA PROY.'!$A$2:$A$943,'PLAN MAESTRO FINAL'!$A865,'HOJAS DE HORA PROY.'!$M$2:$M$943,C$844)</f>
        <v>0</v>
      </c>
      <c r="D865" s="8">
        <f>SUMIFS('HOJAS DE HORA PROY.'!$I$2:$I$943,'HOJAS DE HORA PROY.'!$A$2:$A$943,'PLAN MAESTRO FINAL'!$A865,'HOJAS DE HORA PROY.'!$M$2:$M$943,D$844)</f>
        <v>0</v>
      </c>
      <c r="E865" s="8">
        <f>SUMIFS('HOJAS DE HORA PROY.'!$I$2:$I$943,'HOJAS DE HORA PROY.'!$A$2:$A$943,'PLAN MAESTRO FINAL'!$A865,'HOJAS DE HORA PROY.'!$M$2:$M$943,E$844)</f>
        <v>0</v>
      </c>
      <c r="F865" s="8">
        <f>SUMIFS('HOJAS DE HORA PROY.'!$I$2:$I$943,'HOJAS DE HORA PROY.'!$A$2:$A$943,'PLAN MAESTRO FINAL'!$A865,'HOJAS DE HORA PROY.'!$M$2:$M$943,F$844)</f>
        <v>0</v>
      </c>
      <c r="G865" s="8">
        <f>SUMIFS('HOJAS DE HORA PROY.'!$I$2:$I$943,'HOJAS DE HORA PROY.'!$A$2:$A$943,'PLAN MAESTRO FINAL'!$A865,'HOJAS DE HORA PROY.'!$M$2:$M$943,G$844)</f>
        <v>0</v>
      </c>
      <c r="H865" s="8">
        <f>SUMIFS('HOJAS DE HORA PROY.'!$I$2:$I$943,'HOJAS DE HORA PROY.'!$A$2:$A$943,'PLAN MAESTRO FINAL'!$A865,'HOJAS DE HORA PROY.'!$M$2:$M$943,H$844)</f>
        <v>0</v>
      </c>
      <c r="I865" s="8">
        <f>SUMIFS('HOJAS DE HORA PROY.'!$I$2:$I$943,'HOJAS DE HORA PROY.'!$A$2:$A$943,'PLAN MAESTRO FINAL'!$A865,'HOJAS DE HORA PROY.'!$M$2:$M$943,I$844)</f>
        <v>0</v>
      </c>
      <c r="J865" s="8">
        <f>SUMIFS('HOJAS DE HORA PROY.'!$I$2:$I$943,'HOJAS DE HORA PROY.'!$A$2:$A$943,'PLAN MAESTRO FINAL'!$A865,'HOJAS DE HORA PROY.'!$M$2:$M$943,J$844)</f>
        <v>0</v>
      </c>
      <c r="K865" s="8">
        <f>SUMIFS('HOJAS DE HORA PROY.'!$I$2:$I$943,'HOJAS DE HORA PROY.'!$A$2:$A$943,'PLAN MAESTRO FINAL'!$A865,'HOJAS DE HORA PROY.'!$M$2:$M$943,K$844)</f>
        <v>0</v>
      </c>
      <c r="L865" s="8">
        <f>SUMIFS('HOJAS DE HORA PROY.'!$I$2:$I$943,'HOJAS DE HORA PROY.'!$A$2:$A$943,'PLAN MAESTRO FINAL'!$A865,'HOJAS DE HORA PROY.'!$M$2:$M$943,L$844)</f>
        <v>0</v>
      </c>
      <c r="M865" s="8">
        <f>SUMIFS('HOJAS DE HORA PROY.'!$I$2:$I$943,'HOJAS DE HORA PROY.'!$A$2:$A$943,'PLAN MAESTRO FINAL'!$A865,'HOJAS DE HORA PROY.'!$M$2:$M$943,M$844)</f>
        <v>0</v>
      </c>
      <c r="N865" s="8">
        <f>SUMIFS('HOJAS DE HORA PROY.'!$I$2:$I$943,'HOJAS DE HORA PROY.'!$A$2:$A$943,'PLAN MAESTRO FINAL'!$A865,'HOJAS DE HORA PROY.'!$M$2:$M$943,N$844)</f>
        <v>0</v>
      </c>
      <c r="O865" s="8">
        <f>SUMIFS('HOJAS DE HORA PROY.'!$I$2:$I$943,'HOJAS DE HORA PROY.'!$A$2:$A$943,'PLAN MAESTRO FINAL'!$A865,'HOJAS DE HORA PROY.'!$M$2:$M$943,O$844)</f>
        <v>0</v>
      </c>
      <c r="P865" s="8">
        <f>SUMIFS('HOJAS DE HORA PROY.'!$I$2:$I$943,'HOJAS DE HORA PROY.'!$A$2:$A$943,'PLAN MAESTRO FINAL'!$A865,'HOJAS DE HORA PROY.'!$M$2:$M$943,P$844)</f>
        <v>0</v>
      </c>
      <c r="Q865" s="8">
        <f>SUMIFS('HOJAS DE HORA PROY.'!$I$2:$I$943,'HOJAS DE HORA PROY.'!$A$2:$A$943,'PLAN MAESTRO FINAL'!$A865,'HOJAS DE HORA PROY.'!$M$2:$M$943,Q$844)</f>
        <v>0</v>
      </c>
      <c r="R865" s="8">
        <f>SUMIFS('HOJAS DE HORA PROY.'!$I$2:$I$943,'HOJAS DE HORA PROY.'!$A$2:$A$943,'PLAN MAESTRO FINAL'!$A865,'HOJAS DE HORA PROY.'!$M$2:$M$943,R$844)</f>
        <v>0</v>
      </c>
      <c r="S865" s="8">
        <f>SUMIFS('HOJAS DE HORA PROY.'!$I$2:$I$943,'HOJAS DE HORA PROY.'!$A$2:$A$943,'PLAN MAESTRO FINAL'!$A865,'HOJAS DE HORA PROY.'!$M$2:$M$943,S$844)</f>
        <v>0</v>
      </c>
      <c r="T865" s="8">
        <f>SUMIFS('HOJAS DE HORA PROY.'!$I$2:$I$943,'HOJAS DE HORA PROY.'!$A$2:$A$943,'PLAN MAESTRO FINAL'!$A865,'HOJAS DE HORA PROY.'!$M$2:$M$943,T$844)</f>
        <v>0</v>
      </c>
      <c r="U865" s="8">
        <f>SUMIFS('HOJAS DE HORA PROY.'!$I$2:$I$943,'HOJAS DE HORA PROY.'!$A$2:$A$943,'PLAN MAESTRO FINAL'!$A865,'HOJAS DE HORA PROY.'!$M$2:$M$943,U$844)</f>
        <v>0</v>
      </c>
      <c r="V865" s="8">
        <f>SUMIFS('HOJAS DE HORA PROY.'!$I$2:$I$943,'HOJAS DE HORA PROY.'!$A$2:$A$943,'PLAN MAESTRO FINAL'!$A865,'HOJAS DE HORA PROY.'!$M$2:$M$943,V$844)</f>
        <v>0</v>
      </c>
      <c r="W865" s="8">
        <f>SUMIFS('HOJAS DE HORA PROY.'!$I$2:$I$943,'HOJAS DE HORA PROY.'!$A$2:$A$943,'PLAN MAESTRO FINAL'!$A865,'HOJAS DE HORA PROY.'!$M$2:$M$943,W$844)</f>
        <v>0</v>
      </c>
    </row>
    <row r="866" spans="1:23" hidden="1" outlineLevel="1" x14ac:dyDescent="0.3">
      <c r="A866" s="13" t="s">
        <v>468</v>
      </c>
      <c r="B866" s="8">
        <f>SUMIFS('HOJAS DE HORA PROY.'!$I$2:$I$943,'HOJAS DE HORA PROY.'!$A$2:$A$943,'PLAN MAESTRO FINAL'!$A866,'HOJAS DE HORA PROY.'!$M$2:$M$943,B$844)</f>
        <v>0</v>
      </c>
      <c r="C866" s="8">
        <f>SUMIFS('HOJAS DE HORA PROY.'!$I$2:$I$943,'HOJAS DE HORA PROY.'!$A$2:$A$943,'PLAN MAESTRO FINAL'!$A866,'HOJAS DE HORA PROY.'!$M$2:$M$943,C$844)</f>
        <v>0</v>
      </c>
      <c r="D866" s="8">
        <f>SUMIFS('HOJAS DE HORA PROY.'!$I$2:$I$943,'HOJAS DE HORA PROY.'!$A$2:$A$943,'PLAN MAESTRO FINAL'!$A866,'HOJAS DE HORA PROY.'!$M$2:$M$943,D$844)</f>
        <v>0</v>
      </c>
      <c r="E866" s="8">
        <f>SUMIFS('HOJAS DE HORA PROY.'!$I$2:$I$943,'HOJAS DE HORA PROY.'!$A$2:$A$943,'PLAN MAESTRO FINAL'!$A866,'HOJAS DE HORA PROY.'!$M$2:$M$943,E$844)</f>
        <v>0</v>
      </c>
      <c r="F866" s="8">
        <f>SUMIFS('HOJAS DE HORA PROY.'!$I$2:$I$943,'HOJAS DE HORA PROY.'!$A$2:$A$943,'PLAN MAESTRO FINAL'!$A866,'HOJAS DE HORA PROY.'!$M$2:$M$943,F$844)</f>
        <v>0</v>
      </c>
      <c r="G866" s="8">
        <f>SUMIFS('HOJAS DE HORA PROY.'!$I$2:$I$943,'HOJAS DE HORA PROY.'!$A$2:$A$943,'PLAN MAESTRO FINAL'!$A866,'HOJAS DE HORA PROY.'!$M$2:$M$943,G$844)</f>
        <v>0</v>
      </c>
      <c r="H866" s="8">
        <f>SUMIFS('HOJAS DE HORA PROY.'!$I$2:$I$943,'HOJAS DE HORA PROY.'!$A$2:$A$943,'PLAN MAESTRO FINAL'!$A866,'HOJAS DE HORA PROY.'!$M$2:$M$943,H$844)</f>
        <v>0</v>
      </c>
      <c r="I866" s="8">
        <f>SUMIFS('HOJAS DE HORA PROY.'!$I$2:$I$943,'HOJAS DE HORA PROY.'!$A$2:$A$943,'PLAN MAESTRO FINAL'!$A866,'HOJAS DE HORA PROY.'!$M$2:$M$943,I$844)</f>
        <v>0</v>
      </c>
      <c r="J866" s="8">
        <f>SUMIFS('HOJAS DE HORA PROY.'!$I$2:$I$943,'HOJAS DE HORA PROY.'!$A$2:$A$943,'PLAN MAESTRO FINAL'!$A866,'HOJAS DE HORA PROY.'!$M$2:$M$943,J$844)</f>
        <v>0</v>
      </c>
      <c r="K866" s="8">
        <f>SUMIFS('HOJAS DE HORA PROY.'!$I$2:$I$943,'HOJAS DE HORA PROY.'!$A$2:$A$943,'PLAN MAESTRO FINAL'!$A866,'HOJAS DE HORA PROY.'!$M$2:$M$943,K$844)</f>
        <v>0</v>
      </c>
      <c r="L866" s="8">
        <f>SUMIFS('HOJAS DE HORA PROY.'!$I$2:$I$943,'HOJAS DE HORA PROY.'!$A$2:$A$943,'PLAN MAESTRO FINAL'!$A866,'HOJAS DE HORA PROY.'!$M$2:$M$943,L$844)</f>
        <v>0</v>
      </c>
      <c r="M866" s="8">
        <f>SUMIFS('HOJAS DE HORA PROY.'!$I$2:$I$943,'HOJAS DE HORA PROY.'!$A$2:$A$943,'PLAN MAESTRO FINAL'!$A866,'HOJAS DE HORA PROY.'!$M$2:$M$943,M$844)</f>
        <v>0</v>
      </c>
      <c r="N866" s="8">
        <f>SUMIFS('HOJAS DE HORA PROY.'!$I$2:$I$943,'HOJAS DE HORA PROY.'!$A$2:$A$943,'PLAN MAESTRO FINAL'!$A866,'HOJAS DE HORA PROY.'!$M$2:$M$943,N$844)</f>
        <v>0</v>
      </c>
      <c r="O866" s="8">
        <f>SUMIFS('HOJAS DE HORA PROY.'!$I$2:$I$943,'HOJAS DE HORA PROY.'!$A$2:$A$943,'PLAN MAESTRO FINAL'!$A866,'HOJAS DE HORA PROY.'!$M$2:$M$943,O$844)</f>
        <v>0</v>
      </c>
      <c r="P866" s="8">
        <f>SUMIFS('HOJAS DE HORA PROY.'!$I$2:$I$943,'HOJAS DE HORA PROY.'!$A$2:$A$943,'PLAN MAESTRO FINAL'!$A866,'HOJAS DE HORA PROY.'!$M$2:$M$943,P$844)</f>
        <v>0</v>
      </c>
      <c r="Q866" s="8">
        <f>SUMIFS('HOJAS DE HORA PROY.'!$I$2:$I$943,'HOJAS DE HORA PROY.'!$A$2:$A$943,'PLAN MAESTRO FINAL'!$A866,'HOJAS DE HORA PROY.'!$M$2:$M$943,Q$844)</f>
        <v>0</v>
      </c>
      <c r="R866" s="8">
        <f>SUMIFS('HOJAS DE HORA PROY.'!$I$2:$I$943,'HOJAS DE HORA PROY.'!$A$2:$A$943,'PLAN MAESTRO FINAL'!$A866,'HOJAS DE HORA PROY.'!$M$2:$M$943,R$844)</f>
        <v>0</v>
      </c>
      <c r="S866" s="8">
        <f>SUMIFS('HOJAS DE HORA PROY.'!$I$2:$I$943,'HOJAS DE HORA PROY.'!$A$2:$A$943,'PLAN MAESTRO FINAL'!$A866,'HOJAS DE HORA PROY.'!$M$2:$M$943,S$844)</f>
        <v>0</v>
      </c>
      <c r="T866" s="8">
        <f>SUMIFS('HOJAS DE HORA PROY.'!$I$2:$I$943,'HOJAS DE HORA PROY.'!$A$2:$A$943,'PLAN MAESTRO FINAL'!$A866,'HOJAS DE HORA PROY.'!$M$2:$M$943,T$844)</f>
        <v>0</v>
      </c>
      <c r="U866" s="8">
        <f>SUMIFS('HOJAS DE HORA PROY.'!$I$2:$I$943,'HOJAS DE HORA PROY.'!$A$2:$A$943,'PLAN MAESTRO FINAL'!$A866,'HOJAS DE HORA PROY.'!$M$2:$M$943,U$844)</f>
        <v>0</v>
      </c>
      <c r="V866" s="8">
        <f>SUMIFS('HOJAS DE HORA PROY.'!$I$2:$I$943,'HOJAS DE HORA PROY.'!$A$2:$A$943,'PLAN MAESTRO FINAL'!$A866,'HOJAS DE HORA PROY.'!$M$2:$M$943,V$844)</f>
        <v>0</v>
      </c>
      <c r="W866" s="8">
        <f>SUMIFS('HOJAS DE HORA PROY.'!$I$2:$I$943,'HOJAS DE HORA PROY.'!$A$2:$A$943,'PLAN MAESTRO FINAL'!$A866,'HOJAS DE HORA PROY.'!$M$2:$M$943,W$844)</f>
        <v>0</v>
      </c>
    </row>
    <row r="867" spans="1:23" hidden="1" outlineLevel="1" x14ac:dyDescent="0.3">
      <c r="A867" s="13" t="s">
        <v>479</v>
      </c>
      <c r="B867" s="8">
        <f>SUMIFS('HOJAS DE HORA PROY.'!$I$2:$I$943,'HOJAS DE HORA PROY.'!$A$2:$A$943,'PLAN MAESTRO FINAL'!$A867,'HOJAS DE HORA PROY.'!$M$2:$M$943,B$844)</f>
        <v>0</v>
      </c>
      <c r="C867" s="8">
        <f>SUMIFS('HOJAS DE HORA PROY.'!$I$2:$I$943,'HOJAS DE HORA PROY.'!$A$2:$A$943,'PLAN MAESTRO FINAL'!$A867,'HOJAS DE HORA PROY.'!$M$2:$M$943,C$844)</f>
        <v>0</v>
      </c>
      <c r="D867" s="8">
        <f>SUMIFS('HOJAS DE HORA PROY.'!$I$2:$I$943,'HOJAS DE HORA PROY.'!$A$2:$A$943,'PLAN MAESTRO FINAL'!$A867,'HOJAS DE HORA PROY.'!$M$2:$M$943,D$844)</f>
        <v>0</v>
      </c>
      <c r="E867" s="8">
        <f>SUMIFS('HOJAS DE HORA PROY.'!$I$2:$I$943,'HOJAS DE HORA PROY.'!$A$2:$A$943,'PLAN MAESTRO FINAL'!$A867,'HOJAS DE HORA PROY.'!$M$2:$M$943,E$844)</f>
        <v>0</v>
      </c>
      <c r="F867" s="8">
        <f>SUMIFS('HOJAS DE HORA PROY.'!$I$2:$I$943,'HOJAS DE HORA PROY.'!$A$2:$A$943,'PLAN MAESTRO FINAL'!$A867,'HOJAS DE HORA PROY.'!$M$2:$M$943,F$844)</f>
        <v>0</v>
      </c>
      <c r="G867" s="8">
        <f>SUMIFS('HOJAS DE HORA PROY.'!$I$2:$I$943,'HOJAS DE HORA PROY.'!$A$2:$A$943,'PLAN MAESTRO FINAL'!$A867,'HOJAS DE HORA PROY.'!$M$2:$M$943,G$844)</f>
        <v>0</v>
      </c>
      <c r="H867" s="8">
        <f>SUMIFS('HOJAS DE HORA PROY.'!$I$2:$I$943,'HOJAS DE HORA PROY.'!$A$2:$A$943,'PLAN MAESTRO FINAL'!$A867,'HOJAS DE HORA PROY.'!$M$2:$M$943,H$844)</f>
        <v>0</v>
      </c>
      <c r="I867" s="8">
        <f>SUMIFS('HOJAS DE HORA PROY.'!$I$2:$I$943,'HOJAS DE HORA PROY.'!$A$2:$A$943,'PLAN MAESTRO FINAL'!$A867,'HOJAS DE HORA PROY.'!$M$2:$M$943,I$844)</f>
        <v>0</v>
      </c>
      <c r="J867" s="8">
        <f>SUMIFS('HOJAS DE HORA PROY.'!$I$2:$I$943,'HOJAS DE HORA PROY.'!$A$2:$A$943,'PLAN MAESTRO FINAL'!$A867,'HOJAS DE HORA PROY.'!$M$2:$M$943,J$844)</f>
        <v>0</v>
      </c>
      <c r="K867" s="8">
        <f>SUMIFS('HOJAS DE HORA PROY.'!$I$2:$I$943,'HOJAS DE HORA PROY.'!$A$2:$A$943,'PLAN MAESTRO FINAL'!$A867,'HOJAS DE HORA PROY.'!$M$2:$M$943,K$844)</f>
        <v>0</v>
      </c>
      <c r="L867" s="8">
        <f>SUMIFS('HOJAS DE HORA PROY.'!$I$2:$I$943,'HOJAS DE HORA PROY.'!$A$2:$A$943,'PLAN MAESTRO FINAL'!$A867,'HOJAS DE HORA PROY.'!$M$2:$M$943,L$844)</f>
        <v>0</v>
      </c>
      <c r="M867" s="8">
        <f>SUMIFS('HOJAS DE HORA PROY.'!$I$2:$I$943,'HOJAS DE HORA PROY.'!$A$2:$A$943,'PLAN MAESTRO FINAL'!$A867,'HOJAS DE HORA PROY.'!$M$2:$M$943,M$844)</f>
        <v>0</v>
      </c>
      <c r="N867" s="8">
        <f>SUMIFS('HOJAS DE HORA PROY.'!$I$2:$I$943,'HOJAS DE HORA PROY.'!$A$2:$A$943,'PLAN MAESTRO FINAL'!$A867,'HOJAS DE HORA PROY.'!$M$2:$M$943,N$844)</f>
        <v>0</v>
      </c>
      <c r="O867" s="8">
        <f>SUMIFS('HOJAS DE HORA PROY.'!$I$2:$I$943,'HOJAS DE HORA PROY.'!$A$2:$A$943,'PLAN MAESTRO FINAL'!$A867,'HOJAS DE HORA PROY.'!$M$2:$M$943,O$844)</f>
        <v>0</v>
      </c>
      <c r="P867" s="8">
        <f>SUMIFS('HOJAS DE HORA PROY.'!$I$2:$I$943,'HOJAS DE HORA PROY.'!$A$2:$A$943,'PLAN MAESTRO FINAL'!$A867,'HOJAS DE HORA PROY.'!$M$2:$M$943,P$844)</f>
        <v>0</v>
      </c>
      <c r="Q867" s="8">
        <f>SUMIFS('HOJAS DE HORA PROY.'!$I$2:$I$943,'HOJAS DE HORA PROY.'!$A$2:$A$943,'PLAN MAESTRO FINAL'!$A867,'HOJAS DE HORA PROY.'!$M$2:$M$943,Q$844)</f>
        <v>0</v>
      </c>
      <c r="R867" s="8">
        <f>SUMIFS('HOJAS DE HORA PROY.'!$I$2:$I$943,'HOJAS DE HORA PROY.'!$A$2:$A$943,'PLAN MAESTRO FINAL'!$A867,'HOJAS DE HORA PROY.'!$M$2:$M$943,R$844)</f>
        <v>0</v>
      </c>
      <c r="S867" s="8">
        <f>SUMIFS('HOJAS DE HORA PROY.'!$I$2:$I$943,'HOJAS DE HORA PROY.'!$A$2:$A$943,'PLAN MAESTRO FINAL'!$A867,'HOJAS DE HORA PROY.'!$M$2:$M$943,S$844)</f>
        <v>0</v>
      </c>
      <c r="T867" s="8">
        <f>SUMIFS('HOJAS DE HORA PROY.'!$I$2:$I$943,'HOJAS DE HORA PROY.'!$A$2:$A$943,'PLAN MAESTRO FINAL'!$A867,'HOJAS DE HORA PROY.'!$M$2:$M$943,T$844)</f>
        <v>0</v>
      </c>
      <c r="U867" s="8">
        <f>SUMIFS('HOJAS DE HORA PROY.'!$I$2:$I$943,'HOJAS DE HORA PROY.'!$A$2:$A$943,'PLAN MAESTRO FINAL'!$A867,'HOJAS DE HORA PROY.'!$M$2:$M$943,U$844)</f>
        <v>0</v>
      </c>
      <c r="V867" s="8">
        <f>SUMIFS('HOJAS DE HORA PROY.'!$I$2:$I$943,'HOJAS DE HORA PROY.'!$A$2:$A$943,'PLAN MAESTRO FINAL'!$A867,'HOJAS DE HORA PROY.'!$M$2:$M$943,V$844)</f>
        <v>0</v>
      </c>
      <c r="W867" s="8">
        <f>SUMIFS('HOJAS DE HORA PROY.'!$I$2:$I$943,'HOJAS DE HORA PROY.'!$A$2:$A$943,'PLAN MAESTRO FINAL'!$A867,'HOJAS DE HORA PROY.'!$M$2:$M$943,W$844)</f>
        <v>0</v>
      </c>
    </row>
    <row r="868" spans="1:23" hidden="1" outlineLevel="1" x14ac:dyDescent="0.3">
      <c r="A868" s="13" t="s">
        <v>488</v>
      </c>
      <c r="B868" s="8">
        <f>SUMIFS('HOJAS DE HORA PROY.'!$I$2:$I$943,'HOJAS DE HORA PROY.'!$A$2:$A$943,'PLAN MAESTRO FINAL'!$A868,'HOJAS DE HORA PROY.'!$M$2:$M$943,B$844)</f>
        <v>0</v>
      </c>
      <c r="C868" s="8">
        <f>SUMIFS('HOJAS DE HORA PROY.'!$I$2:$I$943,'HOJAS DE HORA PROY.'!$A$2:$A$943,'PLAN MAESTRO FINAL'!$A868,'HOJAS DE HORA PROY.'!$M$2:$M$943,C$844)</f>
        <v>0</v>
      </c>
      <c r="D868" s="8">
        <f>SUMIFS('HOJAS DE HORA PROY.'!$I$2:$I$943,'HOJAS DE HORA PROY.'!$A$2:$A$943,'PLAN MAESTRO FINAL'!$A868,'HOJAS DE HORA PROY.'!$M$2:$M$943,D$844)</f>
        <v>0</v>
      </c>
      <c r="E868" s="8">
        <f>SUMIFS('HOJAS DE HORA PROY.'!$I$2:$I$943,'HOJAS DE HORA PROY.'!$A$2:$A$943,'PLAN MAESTRO FINAL'!$A868,'HOJAS DE HORA PROY.'!$M$2:$M$943,E$844)</f>
        <v>0</v>
      </c>
      <c r="F868" s="8">
        <f>SUMIFS('HOJAS DE HORA PROY.'!$I$2:$I$943,'HOJAS DE HORA PROY.'!$A$2:$A$943,'PLAN MAESTRO FINAL'!$A868,'HOJAS DE HORA PROY.'!$M$2:$M$943,F$844)</f>
        <v>0</v>
      </c>
      <c r="G868" s="8">
        <f>SUMIFS('HOJAS DE HORA PROY.'!$I$2:$I$943,'HOJAS DE HORA PROY.'!$A$2:$A$943,'PLAN MAESTRO FINAL'!$A868,'HOJAS DE HORA PROY.'!$M$2:$M$943,G$844)</f>
        <v>0</v>
      </c>
      <c r="H868" s="8">
        <f>SUMIFS('HOJAS DE HORA PROY.'!$I$2:$I$943,'HOJAS DE HORA PROY.'!$A$2:$A$943,'PLAN MAESTRO FINAL'!$A868,'HOJAS DE HORA PROY.'!$M$2:$M$943,H$844)</f>
        <v>0</v>
      </c>
      <c r="I868" s="8">
        <f>SUMIFS('HOJAS DE HORA PROY.'!$I$2:$I$943,'HOJAS DE HORA PROY.'!$A$2:$A$943,'PLAN MAESTRO FINAL'!$A868,'HOJAS DE HORA PROY.'!$M$2:$M$943,I$844)</f>
        <v>0</v>
      </c>
      <c r="J868" s="8">
        <f>SUMIFS('HOJAS DE HORA PROY.'!$I$2:$I$943,'HOJAS DE HORA PROY.'!$A$2:$A$943,'PLAN MAESTRO FINAL'!$A868,'HOJAS DE HORA PROY.'!$M$2:$M$943,J$844)</f>
        <v>0</v>
      </c>
      <c r="K868" s="8">
        <f>SUMIFS('HOJAS DE HORA PROY.'!$I$2:$I$943,'HOJAS DE HORA PROY.'!$A$2:$A$943,'PLAN MAESTRO FINAL'!$A868,'HOJAS DE HORA PROY.'!$M$2:$M$943,K$844)</f>
        <v>0</v>
      </c>
      <c r="L868" s="8">
        <f>SUMIFS('HOJAS DE HORA PROY.'!$I$2:$I$943,'HOJAS DE HORA PROY.'!$A$2:$A$943,'PLAN MAESTRO FINAL'!$A868,'HOJAS DE HORA PROY.'!$M$2:$M$943,L$844)</f>
        <v>0</v>
      </c>
      <c r="M868" s="8">
        <f>SUMIFS('HOJAS DE HORA PROY.'!$I$2:$I$943,'HOJAS DE HORA PROY.'!$A$2:$A$943,'PLAN MAESTRO FINAL'!$A868,'HOJAS DE HORA PROY.'!$M$2:$M$943,M$844)</f>
        <v>0</v>
      </c>
      <c r="N868" s="8">
        <f>SUMIFS('HOJAS DE HORA PROY.'!$I$2:$I$943,'HOJAS DE HORA PROY.'!$A$2:$A$943,'PLAN MAESTRO FINAL'!$A868,'HOJAS DE HORA PROY.'!$M$2:$M$943,N$844)</f>
        <v>0</v>
      </c>
      <c r="O868" s="8">
        <f>SUMIFS('HOJAS DE HORA PROY.'!$I$2:$I$943,'HOJAS DE HORA PROY.'!$A$2:$A$943,'PLAN MAESTRO FINAL'!$A868,'HOJAS DE HORA PROY.'!$M$2:$M$943,O$844)</f>
        <v>0</v>
      </c>
      <c r="P868" s="8">
        <f>SUMIFS('HOJAS DE HORA PROY.'!$I$2:$I$943,'HOJAS DE HORA PROY.'!$A$2:$A$943,'PLAN MAESTRO FINAL'!$A868,'HOJAS DE HORA PROY.'!$M$2:$M$943,P$844)</f>
        <v>0</v>
      </c>
      <c r="Q868" s="8">
        <f>SUMIFS('HOJAS DE HORA PROY.'!$I$2:$I$943,'HOJAS DE HORA PROY.'!$A$2:$A$943,'PLAN MAESTRO FINAL'!$A868,'HOJAS DE HORA PROY.'!$M$2:$M$943,Q$844)</f>
        <v>0</v>
      </c>
      <c r="R868" s="8">
        <f>SUMIFS('HOJAS DE HORA PROY.'!$I$2:$I$943,'HOJAS DE HORA PROY.'!$A$2:$A$943,'PLAN MAESTRO FINAL'!$A868,'HOJAS DE HORA PROY.'!$M$2:$M$943,R$844)</f>
        <v>0</v>
      </c>
      <c r="S868" s="8">
        <f>SUMIFS('HOJAS DE HORA PROY.'!$I$2:$I$943,'HOJAS DE HORA PROY.'!$A$2:$A$943,'PLAN MAESTRO FINAL'!$A868,'HOJAS DE HORA PROY.'!$M$2:$M$943,S$844)</f>
        <v>0</v>
      </c>
      <c r="T868" s="8">
        <f>SUMIFS('HOJAS DE HORA PROY.'!$I$2:$I$943,'HOJAS DE HORA PROY.'!$A$2:$A$943,'PLAN MAESTRO FINAL'!$A868,'HOJAS DE HORA PROY.'!$M$2:$M$943,T$844)</f>
        <v>0</v>
      </c>
      <c r="U868" s="8">
        <f>SUMIFS('HOJAS DE HORA PROY.'!$I$2:$I$943,'HOJAS DE HORA PROY.'!$A$2:$A$943,'PLAN MAESTRO FINAL'!$A868,'HOJAS DE HORA PROY.'!$M$2:$M$943,U$844)</f>
        <v>0</v>
      </c>
      <c r="V868" s="8">
        <f>SUMIFS('HOJAS DE HORA PROY.'!$I$2:$I$943,'HOJAS DE HORA PROY.'!$A$2:$A$943,'PLAN MAESTRO FINAL'!$A868,'HOJAS DE HORA PROY.'!$M$2:$M$943,V$844)</f>
        <v>0</v>
      </c>
      <c r="W868" s="8">
        <f>SUMIFS('HOJAS DE HORA PROY.'!$I$2:$I$943,'HOJAS DE HORA PROY.'!$A$2:$A$943,'PLAN MAESTRO FINAL'!$A868,'HOJAS DE HORA PROY.'!$M$2:$M$943,W$844)</f>
        <v>0</v>
      </c>
    </row>
    <row r="869" spans="1:23" hidden="1" outlineLevel="1" x14ac:dyDescent="0.3">
      <c r="A869" s="13" t="s">
        <v>492</v>
      </c>
      <c r="B869" s="8">
        <f>SUMIFS('HOJAS DE HORA PROY.'!$I$2:$I$943,'HOJAS DE HORA PROY.'!$A$2:$A$943,'PLAN MAESTRO FINAL'!$A869,'HOJAS DE HORA PROY.'!$M$2:$M$943,B$844)</f>
        <v>0</v>
      </c>
      <c r="C869" s="8">
        <f>SUMIFS('HOJAS DE HORA PROY.'!$I$2:$I$943,'HOJAS DE HORA PROY.'!$A$2:$A$943,'PLAN MAESTRO FINAL'!$A869,'HOJAS DE HORA PROY.'!$M$2:$M$943,C$844)</f>
        <v>0</v>
      </c>
      <c r="D869" s="8">
        <f>SUMIFS('HOJAS DE HORA PROY.'!$I$2:$I$943,'HOJAS DE HORA PROY.'!$A$2:$A$943,'PLAN MAESTRO FINAL'!$A869,'HOJAS DE HORA PROY.'!$M$2:$M$943,D$844)</f>
        <v>0</v>
      </c>
      <c r="E869" s="8">
        <f>SUMIFS('HOJAS DE HORA PROY.'!$I$2:$I$943,'HOJAS DE HORA PROY.'!$A$2:$A$943,'PLAN MAESTRO FINAL'!$A869,'HOJAS DE HORA PROY.'!$M$2:$M$943,E$844)</f>
        <v>0</v>
      </c>
      <c r="F869" s="8">
        <f>SUMIFS('HOJAS DE HORA PROY.'!$I$2:$I$943,'HOJAS DE HORA PROY.'!$A$2:$A$943,'PLAN MAESTRO FINAL'!$A869,'HOJAS DE HORA PROY.'!$M$2:$M$943,F$844)</f>
        <v>0</v>
      </c>
      <c r="G869" s="8">
        <f>SUMIFS('HOJAS DE HORA PROY.'!$I$2:$I$943,'HOJAS DE HORA PROY.'!$A$2:$A$943,'PLAN MAESTRO FINAL'!$A869,'HOJAS DE HORA PROY.'!$M$2:$M$943,G$844)</f>
        <v>0</v>
      </c>
      <c r="H869" s="8">
        <f>SUMIFS('HOJAS DE HORA PROY.'!$I$2:$I$943,'HOJAS DE HORA PROY.'!$A$2:$A$943,'PLAN MAESTRO FINAL'!$A869,'HOJAS DE HORA PROY.'!$M$2:$M$943,H$844)</f>
        <v>0</v>
      </c>
      <c r="I869" s="8">
        <f>SUMIFS('HOJAS DE HORA PROY.'!$I$2:$I$943,'HOJAS DE HORA PROY.'!$A$2:$A$943,'PLAN MAESTRO FINAL'!$A869,'HOJAS DE HORA PROY.'!$M$2:$M$943,I$844)</f>
        <v>0</v>
      </c>
      <c r="J869" s="8">
        <f>SUMIFS('HOJAS DE HORA PROY.'!$I$2:$I$943,'HOJAS DE HORA PROY.'!$A$2:$A$943,'PLAN MAESTRO FINAL'!$A869,'HOJAS DE HORA PROY.'!$M$2:$M$943,J$844)</f>
        <v>0</v>
      </c>
      <c r="K869" s="8">
        <f>SUMIFS('HOJAS DE HORA PROY.'!$I$2:$I$943,'HOJAS DE HORA PROY.'!$A$2:$A$943,'PLAN MAESTRO FINAL'!$A869,'HOJAS DE HORA PROY.'!$M$2:$M$943,K$844)</f>
        <v>0</v>
      </c>
      <c r="L869" s="8">
        <f>SUMIFS('HOJAS DE HORA PROY.'!$I$2:$I$943,'HOJAS DE HORA PROY.'!$A$2:$A$943,'PLAN MAESTRO FINAL'!$A869,'HOJAS DE HORA PROY.'!$M$2:$M$943,L$844)</f>
        <v>0</v>
      </c>
      <c r="M869" s="8">
        <f>SUMIFS('HOJAS DE HORA PROY.'!$I$2:$I$943,'HOJAS DE HORA PROY.'!$A$2:$A$943,'PLAN MAESTRO FINAL'!$A869,'HOJAS DE HORA PROY.'!$M$2:$M$943,M$844)</f>
        <v>0</v>
      </c>
      <c r="N869" s="8">
        <f>SUMIFS('HOJAS DE HORA PROY.'!$I$2:$I$943,'HOJAS DE HORA PROY.'!$A$2:$A$943,'PLAN MAESTRO FINAL'!$A869,'HOJAS DE HORA PROY.'!$M$2:$M$943,N$844)</f>
        <v>0</v>
      </c>
      <c r="O869" s="8">
        <f>SUMIFS('HOJAS DE HORA PROY.'!$I$2:$I$943,'HOJAS DE HORA PROY.'!$A$2:$A$943,'PLAN MAESTRO FINAL'!$A869,'HOJAS DE HORA PROY.'!$M$2:$M$943,O$844)</f>
        <v>0</v>
      </c>
      <c r="P869" s="8">
        <f>SUMIFS('HOJAS DE HORA PROY.'!$I$2:$I$943,'HOJAS DE HORA PROY.'!$A$2:$A$943,'PLAN MAESTRO FINAL'!$A869,'HOJAS DE HORA PROY.'!$M$2:$M$943,P$844)</f>
        <v>0</v>
      </c>
      <c r="Q869" s="8">
        <f>SUMIFS('HOJAS DE HORA PROY.'!$I$2:$I$943,'HOJAS DE HORA PROY.'!$A$2:$A$943,'PLAN MAESTRO FINAL'!$A869,'HOJAS DE HORA PROY.'!$M$2:$M$943,Q$844)</f>
        <v>0</v>
      </c>
      <c r="R869" s="8">
        <f>SUMIFS('HOJAS DE HORA PROY.'!$I$2:$I$943,'HOJAS DE HORA PROY.'!$A$2:$A$943,'PLAN MAESTRO FINAL'!$A869,'HOJAS DE HORA PROY.'!$M$2:$M$943,R$844)</f>
        <v>0</v>
      </c>
      <c r="S869" s="8">
        <f>SUMIFS('HOJAS DE HORA PROY.'!$I$2:$I$943,'HOJAS DE HORA PROY.'!$A$2:$A$943,'PLAN MAESTRO FINAL'!$A869,'HOJAS DE HORA PROY.'!$M$2:$M$943,S$844)</f>
        <v>0</v>
      </c>
      <c r="T869" s="8">
        <f>SUMIFS('HOJAS DE HORA PROY.'!$I$2:$I$943,'HOJAS DE HORA PROY.'!$A$2:$A$943,'PLAN MAESTRO FINAL'!$A869,'HOJAS DE HORA PROY.'!$M$2:$M$943,T$844)</f>
        <v>0</v>
      </c>
      <c r="U869" s="8">
        <f>SUMIFS('HOJAS DE HORA PROY.'!$I$2:$I$943,'HOJAS DE HORA PROY.'!$A$2:$A$943,'PLAN MAESTRO FINAL'!$A869,'HOJAS DE HORA PROY.'!$M$2:$M$943,U$844)</f>
        <v>0</v>
      </c>
      <c r="V869" s="8">
        <f>SUMIFS('HOJAS DE HORA PROY.'!$I$2:$I$943,'HOJAS DE HORA PROY.'!$A$2:$A$943,'PLAN MAESTRO FINAL'!$A869,'HOJAS DE HORA PROY.'!$M$2:$M$943,V$844)</f>
        <v>0</v>
      </c>
      <c r="W869" s="8">
        <f>SUMIFS('HOJAS DE HORA PROY.'!$I$2:$I$943,'HOJAS DE HORA PROY.'!$A$2:$A$943,'PLAN MAESTRO FINAL'!$A869,'HOJAS DE HORA PROY.'!$M$2:$M$943,W$844)</f>
        <v>0</v>
      </c>
    </row>
    <row r="870" spans="1:23" hidden="1" outlineLevel="1" x14ac:dyDescent="0.3">
      <c r="A870" s="13" t="s">
        <v>507</v>
      </c>
      <c r="B870" s="8">
        <f>SUMIFS('HOJAS DE HORA PROY.'!$I$2:$I$943,'HOJAS DE HORA PROY.'!$A$2:$A$943,'PLAN MAESTRO FINAL'!$A870,'HOJAS DE HORA PROY.'!$M$2:$M$943,B$844)</f>
        <v>0</v>
      </c>
      <c r="C870" s="8">
        <f>SUMIFS('HOJAS DE HORA PROY.'!$I$2:$I$943,'HOJAS DE HORA PROY.'!$A$2:$A$943,'PLAN MAESTRO FINAL'!$A870,'HOJAS DE HORA PROY.'!$M$2:$M$943,C$844)</f>
        <v>0</v>
      </c>
      <c r="D870" s="8">
        <f>SUMIFS('HOJAS DE HORA PROY.'!$I$2:$I$943,'HOJAS DE HORA PROY.'!$A$2:$A$943,'PLAN MAESTRO FINAL'!$A870,'HOJAS DE HORA PROY.'!$M$2:$M$943,D$844)</f>
        <v>0</v>
      </c>
      <c r="E870" s="8">
        <f>SUMIFS('HOJAS DE HORA PROY.'!$I$2:$I$943,'HOJAS DE HORA PROY.'!$A$2:$A$943,'PLAN MAESTRO FINAL'!$A870,'HOJAS DE HORA PROY.'!$M$2:$M$943,E$844)</f>
        <v>0</v>
      </c>
      <c r="F870" s="8">
        <f>SUMIFS('HOJAS DE HORA PROY.'!$I$2:$I$943,'HOJAS DE HORA PROY.'!$A$2:$A$943,'PLAN MAESTRO FINAL'!$A870,'HOJAS DE HORA PROY.'!$M$2:$M$943,F$844)</f>
        <v>0</v>
      </c>
      <c r="G870" s="8">
        <f>SUMIFS('HOJAS DE HORA PROY.'!$I$2:$I$943,'HOJAS DE HORA PROY.'!$A$2:$A$943,'PLAN MAESTRO FINAL'!$A870,'HOJAS DE HORA PROY.'!$M$2:$M$943,G$844)</f>
        <v>0</v>
      </c>
      <c r="H870" s="8">
        <f>SUMIFS('HOJAS DE HORA PROY.'!$I$2:$I$943,'HOJAS DE HORA PROY.'!$A$2:$A$943,'PLAN MAESTRO FINAL'!$A870,'HOJAS DE HORA PROY.'!$M$2:$M$943,H$844)</f>
        <v>0</v>
      </c>
      <c r="I870" s="8">
        <f>SUMIFS('HOJAS DE HORA PROY.'!$I$2:$I$943,'HOJAS DE HORA PROY.'!$A$2:$A$943,'PLAN MAESTRO FINAL'!$A870,'HOJAS DE HORA PROY.'!$M$2:$M$943,I$844)</f>
        <v>0</v>
      </c>
      <c r="J870" s="8">
        <f>SUMIFS('HOJAS DE HORA PROY.'!$I$2:$I$943,'HOJAS DE HORA PROY.'!$A$2:$A$943,'PLAN MAESTRO FINAL'!$A870,'HOJAS DE HORA PROY.'!$M$2:$M$943,J$844)</f>
        <v>0</v>
      </c>
      <c r="K870" s="8">
        <f>SUMIFS('HOJAS DE HORA PROY.'!$I$2:$I$943,'HOJAS DE HORA PROY.'!$A$2:$A$943,'PLAN MAESTRO FINAL'!$A870,'HOJAS DE HORA PROY.'!$M$2:$M$943,K$844)</f>
        <v>0</v>
      </c>
      <c r="L870" s="8">
        <f>SUMIFS('HOJAS DE HORA PROY.'!$I$2:$I$943,'HOJAS DE HORA PROY.'!$A$2:$A$943,'PLAN MAESTRO FINAL'!$A870,'HOJAS DE HORA PROY.'!$M$2:$M$943,L$844)</f>
        <v>0</v>
      </c>
      <c r="M870" s="8">
        <f>SUMIFS('HOJAS DE HORA PROY.'!$I$2:$I$943,'HOJAS DE HORA PROY.'!$A$2:$A$943,'PLAN MAESTRO FINAL'!$A870,'HOJAS DE HORA PROY.'!$M$2:$M$943,M$844)</f>
        <v>0</v>
      </c>
      <c r="N870" s="8">
        <f>SUMIFS('HOJAS DE HORA PROY.'!$I$2:$I$943,'HOJAS DE HORA PROY.'!$A$2:$A$943,'PLAN MAESTRO FINAL'!$A870,'HOJAS DE HORA PROY.'!$M$2:$M$943,N$844)</f>
        <v>0</v>
      </c>
      <c r="O870" s="8">
        <f>SUMIFS('HOJAS DE HORA PROY.'!$I$2:$I$943,'HOJAS DE HORA PROY.'!$A$2:$A$943,'PLAN MAESTRO FINAL'!$A870,'HOJAS DE HORA PROY.'!$M$2:$M$943,O$844)</f>
        <v>0</v>
      </c>
      <c r="P870" s="8">
        <f>SUMIFS('HOJAS DE HORA PROY.'!$I$2:$I$943,'HOJAS DE HORA PROY.'!$A$2:$A$943,'PLAN MAESTRO FINAL'!$A870,'HOJAS DE HORA PROY.'!$M$2:$M$943,P$844)</f>
        <v>0</v>
      </c>
      <c r="Q870" s="8">
        <f>SUMIFS('HOJAS DE HORA PROY.'!$I$2:$I$943,'HOJAS DE HORA PROY.'!$A$2:$A$943,'PLAN MAESTRO FINAL'!$A870,'HOJAS DE HORA PROY.'!$M$2:$M$943,Q$844)</f>
        <v>0</v>
      </c>
      <c r="R870" s="8">
        <f>SUMIFS('HOJAS DE HORA PROY.'!$I$2:$I$943,'HOJAS DE HORA PROY.'!$A$2:$A$943,'PLAN MAESTRO FINAL'!$A870,'HOJAS DE HORA PROY.'!$M$2:$M$943,R$844)</f>
        <v>0</v>
      </c>
      <c r="S870" s="8">
        <f>SUMIFS('HOJAS DE HORA PROY.'!$I$2:$I$943,'HOJAS DE HORA PROY.'!$A$2:$A$943,'PLAN MAESTRO FINAL'!$A870,'HOJAS DE HORA PROY.'!$M$2:$M$943,S$844)</f>
        <v>0</v>
      </c>
      <c r="T870" s="8">
        <f>SUMIFS('HOJAS DE HORA PROY.'!$I$2:$I$943,'HOJAS DE HORA PROY.'!$A$2:$A$943,'PLAN MAESTRO FINAL'!$A870,'HOJAS DE HORA PROY.'!$M$2:$M$943,T$844)</f>
        <v>0</v>
      </c>
      <c r="U870" s="8">
        <f>SUMIFS('HOJAS DE HORA PROY.'!$I$2:$I$943,'HOJAS DE HORA PROY.'!$A$2:$A$943,'PLAN MAESTRO FINAL'!$A870,'HOJAS DE HORA PROY.'!$M$2:$M$943,U$844)</f>
        <v>0</v>
      </c>
      <c r="V870" s="8">
        <f>SUMIFS('HOJAS DE HORA PROY.'!$I$2:$I$943,'HOJAS DE HORA PROY.'!$A$2:$A$943,'PLAN MAESTRO FINAL'!$A870,'HOJAS DE HORA PROY.'!$M$2:$M$943,V$844)</f>
        <v>0</v>
      </c>
      <c r="W870" s="8">
        <f>SUMIFS('HOJAS DE HORA PROY.'!$I$2:$I$943,'HOJAS DE HORA PROY.'!$A$2:$A$943,'PLAN MAESTRO FINAL'!$A870,'HOJAS DE HORA PROY.'!$M$2:$M$943,W$844)</f>
        <v>0</v>
      </c>
    </row>
    <row r="871" spans="1:23" hidden="1" outlineLevel="1" x14ac:dyDescent="0.3">
      <c r="A871" s="13" t="s">
        <v>517</v>
      </c>
      <c r="B871" s="8">
        <f>SUMIFS('HOJAS DE HORA PROY.'!$I$2:$I$943,'HOJAS DE HORA PROY.'!$A$2:$A$943,'PLAN MAESTRO FINAL'!$A871,'HOJAS DE HORA PROY.'!$M$2:$M$943,B$844)</f>
        <v>0</v>
      </c>
      <c r="C871" s="8">
        <f>SUMIFS('HOJAS DE HORA PROY.'!$I$2:$I$943,'HOJAS DE HORA PROY.'!$A$2:$A$943,'PLAN MAESTRO FINAL'!$A871,'HOJAS DE HORA PROY.'!$M$2:$M$943,C$844)</f>
        <v>0</v>
      </c>
      <c r="D871" s="8">
        <f>SUMIFS('HOJAS DE HORA PROY.'!$I$2:$I$943,'HOJAS DE HORA PROY.'!$A$2:$A$943,'PLAN MAESTRO FINAL'!$A871,'HOJAS DE HORA PROY.'!$M$2:$M$943,D$844)</f>
        <v>0</v>
      </c>
      <c r="E871" s="8">
        <f>SUMIFS('HOJAS DE HORA PROY.'!$I$2:$I$943,'HOJAS DE HORA PROY.'!$A$2:$A$943,'PLAN MAESTRO FINAL'!$A871,'HOJAS DE HORA PROY.'!$M$2:$M$943,E$844)</f>
        <v>0</v>
      </c>
      <c r="F871" s="8">
        <f>SUMIFS('HOJAS DE HORA PROY.'!$I$2:$I$943,'HOJAS DE HORA PROY.'!$A$2:$A$943,'PLAN MAESTRO FINAL'!$A871,'HOJAS DE HORA PROY.'!$M$2:$M$943,F$844)</f>
        <v>0</v>
      </c>
      <c r="G871" s="8">
        <f>SUMIFS('HOJAS DE HORA PROY.'!$I$2:$I$943,'HOJAS DE HORA PROY.'!$A$2:$A$943,'PLAN MAESTRO FINAL'!$A871,'HOJAS DE HORA PROY.'!$M$2:$M$943,G$844)</f>
        <v>0</v>
      </c>
      <c r="H871" s="8">
        <f>SUMIFS('HOJAS DE HORA PROY.'!$I$2:$I$943,'HOJAS DE HORA PROY.'!$A$2:$A$943,'PLAN MAESTRO FINAL'!$A871,'HOJAS DE HORA PROY.'!$M$2:$M$943,H$844)</f>
        <v>0</v>
      </c>
      <c r="I871" s="8">
        <f>SUMIFS('HOJAS DE HORA PROY.'!$I$2:$I$943,'HOJAS DE HORA PROY.'!$A$2:$A$943,'PLAN MAESTRO FINAL'!$A871,'HOJAS DE HORA PROY.'!$M$2:$M$943,I$844)</f>
        <v>0</v>
      </c>
      <c r="J871" s="8">
        <f>SUMIFS('HOJAS DE HORA PROY.'!$I$2:$I$943,'HOJAS DE HORA PROY.'!$A$2:$A$943,'PLAN MAESTRO FINAL'!$A871,'HOJAS DE HORA PROY.'!$M$2:$M$943,J$844)</f>
        <v>0</v>
      </c>
      <c r="K871" s="8">
        <f>SUMIFS('HOJAS DE HORA PROY.'!$I$2:$I$943,'HOJAS DE HORA PROY.'!$A$2:$A$943,'PLAN MAESTRO FINAL'!$A871,'HOJAS DE HORA PROY.'!$M$2:$M$943,K$844)</f>
        <v>0</v>
      </c>
      <c r="L871" s="8">
        <f>SUMIFS('HOJAS DE HORA PROY.'!$I$2:$I$943,'HOJAS DE HORA PROY.'!$A$2:$A$943,'PLAN MAESTRO FINAL'!$A871,'HOJAS DE HORA PROY.'!$M$2:$M$943,L$844)</f>
        <v>0</v>
      </c>
      <c r="M871" s="8">
        <f>SUMIFS('HOJAS DE HORA PROY.'!$I$2:$I$943,'HOJAS DE HORA PROY.'!$A$2:$A$943,'PLAN MAESTRO FINAL'!$A871,'HOJAS DE HORA PROY.'!$M$2:$M$943,M$844)</f>
        <v>0</v>
      </c>
      <c r="N871" s="8">
        <f>SUMIFS('HOJAS DE HORA PROY.'!$I$2:$I$943,'HOJAS DE HORA PROY.'!$A$2:$A$943,'PLAN MAESTRO FINAL'!$A871,'HOJAS DE HORA PROY.'!$M$2:$M$943,N$844)</f>
        <v>0</v>
      </c>
      <c r="O871" s="8">
        <f>SUMIFS('HOJAS DE HORA PROY.'!$I$2:$I$943,'HOJAS DE HORA PROY.'!$A$2:$A$943,'PLAN MAESTRO FINAL'!$A871,'HOJAS DE HORA PROY.'!$M$2:$M$943,O$844)</f>
        <v>0</v>
      </c>
      <c r="P871" s="8">
        <f>SUMIFS('HOJAS DE HORA PROY.'!$I$2:$I$943,'HOJAS DE HORA PROY.'!$A$2:$A$943,'PLAN MAESTRO FINAL'!$A871,'HOJAS DE HORA PROY.'!$M$2:$M$943,P$844)</f>
        <v>0</v>
      </c>
      <c r="Q871" s="8">
        <f>SUMIFS('HOJAS DE HORA PROY.'!$I$2:$I$943,'HOJAS DE HORA PROY.'!$A$2:$A$943,'PLAN MAESTRO FINAL'!$A871,'HOJAS DE HORA PROY.'!$M$2:$M$943,Q$844)</f>
        <v>0</v>
      </c>
      <c r="R871" s="8">
        <f>SUMIFS('HOJAS DE HORA PROY.'!$I$2:$I$943,'HOJAS DE HORA PROY.'!$A$2:$A$943,'PLAN MAESTRO FINAL'!$A871,'HOJAS DE HORA PROY.'!$M$2:$M$943,R$844)</f>
        <v>0</v>
      </c>
      <c r="S871" s="8">
        <f>SUMIFS('HOJAS DE HORA PROY.'!$I$2:$I$943,'HOJAS DE HORA PROY.'!$A$2:$A$943,'PLAN MAESTRO FINAL'!$A871,'HOJAS DE HORA PROY.'!$M$2:$M$943,S$844)</f>
        <v>0</v>
      </c>
      <c r="T871" s="8">
        <f>SUMIFS('HOJAS DE HORA PROY.'!$I$2:$I$943,'HOJAS DE HORA PROY.'!$A$2:$A$943,'PLAN MAESTRO FINAL'!$A871,'HOJAS DE HORA PROY.'!$M$2:$M$943,T$844)</f>
        <v>0</v>
      </c>
      <c r="U871" s="8">
        <f>SUMIFS('HOJAS DE HORA PROY.'!$I$2:$I$943,'HOJAS DE HORA PROY.'!$A$2:$A$943,'PLAN MAESTRO FINAL'!$A871,'HOJAS DE HORA PROY.'!$M$2:$M$943,U$844)</f>
        <v>0</v>
      </c>
      <c r="V871" s="8">
        <f>SUMIFS('HOJAS DE HORA PROY.'!$I$2:$I$943,'HOJAS DE HORA PROY.'!$A$2:$A$943,'PLAN MAESTRO FINAL'!$A871,'HOJAS DE HORA PROY.'!$M$2:$M$943,V$844)</f>
        <v>0</v>
      </c>
      <c r="W871" s="8">
        <f>SUMIFS('HOJAS DE HORA PROY.'!$I$2:$I$943,'HOJAS DE HORA PROY.'!$A$2:$A$943,'PLAN MAESTRO FINAL'!$A871,'HOJAS DE HORA PROY.'!$M$2:$M$943,W$844)</f>
        <v>0</v>
      </c>
    </row>
    <row r="872" spans="1:23" hidden="1" outlineLevel="1" x14ac:dyDescent="0.3">
      <c r="A872" s="13" t="s">
        <v>520</v>
      </c>
      <c r="B872" s="8">
        <f>SUMIFS('HOJAS DE HORA PROY.'!$I$2:$I$943,'HOJAS DE HORA PROY.'!$A$2:$A$943,'PLAN MAESTRO FINAL'!$A872,'HOJAS DE HORA PROY.'!$M$2:$M$943,B$844)</f>
        <v>0</v>
      </c>
      <c r="C872" s="8">
        <f>SUMIFS('HOJAS DE HORA PROY.'!$I$2:$I$943,'HOJAS DE HORA PROY.'!$A$2:$A$943,'PLAN MAESTRO FINAL'!$A872,'HOJAS DE HORA PROY.'!$M$2:$M$943,C$844)</f>
        <v>0</v>
      </c>
      <c r="D872" s="8">
        <f>SUMIFS('HOJAS DE HORA PROY.'!$I$2:$I$943,'HOJAS DE HORA PROY.'!$A$2:$A$943,'PLAN MAESTRO FINAL'!$A872,'HOJAS DE HORA PROY.'!$M$2:$M$943,D$844)</f>
        <v>0</v>
      </c>
      <c r="E872" s="8">
        <f>SUMIFS('HOJAS DE HORA PROY.'!$I$2:$I$943,'HOJAS DE HORA PROY.'!$A$2:$A$943,'PLAN MAESTRO FINAL'!$A872,'HOJAS DE HORA PROY.'!$M$2:$M$943,E$844)</f>
        <v>0</v>
      </c>
      <c r="F872" s="8">
        <f>SUMIFS('HOJAS DE HORA PROY.'!$I$2:$I$943,'HOJAS DE HORA PROY.'!$A$2:$A$943,'PLAN MAESTRO FINAL'!$A872,'HOJAS DE HORA PROY.'!$M$2:$M$943,F$844)</f>
        <v>0</v>
      </c>
      <c r="G872" s="8">
        <f>SUMIFS('HOJAS DE HORA PROY.'!$I$2:$I$943,'HOJAS DE HORA PROY.'!$A$2:$A$943,'PLAN MAESTRO FINAL'!$A872,'HOJAS DE HORA PROY.'!$M$2:$M$943,G$844)</f>
        <v>0</v>
      </c>
      <c r="H872" s="8">
        <f>SUMIFS('HOJAS DE HORA PROY.'!$I$2:$I$943,'HOJAS DE HORA PROY.'!$A$2:$A$943,'PLAN MAESTRO FINAL'!$A872,'HOJAS DE HORA PROY.'!$M$2:$M$943,H$844)</f>
        <v>0</v>
      </c>
      <c r="I872" s="8">
        <f>SUMIFS('HOJAS DE HORA PROY.'!$I$2:$I$943,'HOJAS DE HORA PROY.'!$A$2:$A$943,'PLAN MAESTRO FINAL'!$A872,'HOJAS DE HORA PROY.'!$M$2:$M$943,I$844)</f>
        <v>0</v>
      </c>
      <c r="J872" s="8">
        <f>SUMIFS('HOJAS DE HORA PROY.'!$I$2:$I$943,'HOJAS DE HORA PROY.'!$A$2:$A$943,'PLAN MAESTRO FINAL'!$A872,'HOJAS DE HORA PROY.'!$M$2:$M$943,J$844)</f>
        <v>0</v>
      </c>
      <c r="K872" s="8">
        <f>SUMIFS('HOJAS DE HORA PROY.'!$I$2:$I$943,'HOJAS DE HORA PROY.'!$A$2:$A$943,'PLAN MAESTRO FINAL'!$A872,'HOJAS DE HORA PROY.'!$M$2:$M$943,K$844)</f>
        <v>0</v>
      </c>
      <c r="L872" s="8">
        <f>SUMIFS('HOJAS DE HORA PROY.'!$I$2:$I$943,'HOJAS DE HORA PROY.'!$A$2:$A$943,'PLAN MAESTRO FINAL'!$A872,'HOJAS DE HORA PROY.'!$M$2:$M$943,L$844)</f>
        <v>0</v>
      </c>
      <c r="M872" s="8">
        <f>SUMIFS('HOJAS DE HORA PROY.'!$I$2:$I$943,'HOJAS DE HORA PROY.'!$A$2:$A$943,'PLAN MAESTRO FINAL'!$A872,'HOJAS DE HORA PROY.'!$M$2:$M$943,M$844)</f>
        <v>0</v>
      </c>
      <c r="N872" s="8">
        <f>SUMIFS('HOJAS DE HORA PROY.'!$I$2:$I$943,'HOJAS DE HORA PROY.'!$A$2:$A$943,'PLAN MAESTRO FINAL'!$A872,'HOJAS DE HORA PROY.'!$M$2:$M$943,N$844)</f>
        <v>0</v>
      </c>
      <c r="O872" s="8">
        <f>SUMIFS('HOJAS DE HORA PROY.'!$I$2:$I$943,'HOJAS DE HORA PROY.'!$A$2:$A$943,'PLAN MAESTRO FINAL'!$A872,'HOJAS DE HORA PROY.'!$M$2:$M$943,O$844)</f>
        <v>0</v>
      </c>
      <c r="P872" s="8">
        <f>SUMIFS('HOJAS DE HORA PROY.'!$I$2:$I$943,'HOJAS DE HORA PROY.'!$A$2:$A$943,'PLAN MAESTRO FINAL'!$A872,'HOJAS DE HORA PROY.'!$M$2:$M$943,P$844)</f>
        <v>0</v>
      </c>
      <c r="Q872" s="8">
        <f>SUMIFS('HOJAS DE HORA PROY.'!$I$2:$I$943,'HOJAS DE HORA PROY.'!$A$2:$A$943,'PLAN MAESTRO FINAL'!$A872,'HOJAS DE HORA PROY.'!$M$2:$M$943,Q$844)</f>
        <v>0</v>
      </c>
      <c r="R872" s="8">
        <f>SUMIFS('HOJAS DE HORA PROY.'!$I$2:$I$943,'HOJAS DE HORA PROY.'!$A$2:$A$943,'PLAN MAESTRO FINAL'!$A872,'HOJAS DE HORA PROY.'!$M$2:$M$943,R$844)</f>
        <v>0</v>
      </c>
      <c r="S872" s="8">
        <f>SUMIFS('HOJAS DE HORA PROY.'!$I$2:$I$943,'HOJAS DE HORA PROY.'!$A$2:$A$943,'PLAN MAESTRO FINAL'!$A872,'HOJAS DE HORA PROY.'!$M$2:$M$943,S$844)</f>
        <v>0</v>
      </c>
      <c r="T872" s="8">
        <f>SUMIFS('HOJAS DE HORA PROY.'!$I$2:$I$943,'HOJAS DE HORA PROY.'!$A$2:$A$943,'PLAN MAESTRO FINAL'!$A872,'HOJAS DE HORA PROY.'!$M$2:$M$943,T$844)</f>
        <v>0</v>
      </c>
      <c r="U872" s="8">
        <f>SUMIFS('HOJAS DE HORA PROY.'!$I$2:$I$943,'HOJAS DE HORA PROY.'!$A$2:$A$943,'PLAN MAESTRO FINAL'!$A872,'HOJAS DE HORA PROY.'!$M$2:$M$943,U$844)</f>
        <v>0</v>
      </c>
      <c r="V872" s="8">
        <f>SUMIFS('HOJAS DE HORA PROY.'!$I$2:$I$943,'HOJAS DE HORA PROY.'!$A$2:$A$943,'PLAN MAESTRO FINAL'!$A872,'HOJAS DE HORA PROY.'!$M$2:$M$943,V$844)</f>
        <v>0</v>
      </c>
      <c r="W872" s="8">
        <f>SUMIFS('HOJAS DE HORA PROY.'!$I$2:$I$943,'HOJAS DE HORA PROY.'!$A$2:$A$943,'PLAN MAESTRO FINAL'!$A872,'HOJAS DE HORA PROY.'!$M$2:$M$943,W$844)</f>
        <v>0</v>
      </c>
    </row>
    <row r="873" spans="1:23" hidden="1" outlineLevel="1" x14ac:dyDescent="0.3">
      <c r="A873" s="13" t="s">
        <v>525</v>
      </c>
      <c r="B873" s="8">
        <f>SUMIFS('HOJAS DE HORA PROY.'!$I$2:$I$943,'HOJAS DE HORA PROY.'!$A$2:$A$943,'PLAN MAESTRO FINAL'!$A873,'HOJAS DE HORA PROY.'!$M$2:$M$943,B$844)</f>
        <v>0</v>
      </c>
      <c r="C873" s="8">
        <f>SUMIFS('HOJAS DE HORA PROY.'!$I$2:$I$943,'HOJAS DE HORA PROY.'!$A$2:$A$943,'PLAN MAESTRO FINAL'!$A873,'HOJAS DE HORA PROY.'!$M$2:$M$943,C$844)</f>
        <v>0</v>
      </c>
      <c r="D873" s="8">
        <f>SUMIFS('HOJAS DE HORA PROY.'!$I$2:$I$943,'HOJAS DE HORA PROY.'!$A$2:$A$943,'PLAN MAESTRO FINAL'!$A873,'HOJAS DE HORA PROY.'!$M$2:$M$943,D$844)</f>
        <v>0</v>
      </c>
      <c r="E873" s="8">
        <f>SUMIFS('HOJAS DE HORA PROY.'!$I$2:$I$943,'HOJAS DE HORA PROY.'!$A$2:$A$943,'PLAN MAESTRO FINAL'!$A873,'HOJAS DE HORA PROY.'!$M$2:$M$943,E$844)</f>
        <v>0</v>
      </c>
      <c r="F873" s="8">
        <f>SUMIFS('HOJAS DE HORA PROY.'!$I$2:$I$943,'HOJAS DE HORA PROY.'!$A$2:$A$943,'PLAN MAESTRO FINAL'!$A873,'HOJAS DE HORA PROY.'!$M$2:$M$943,F$844)</f>
        <v>0</v>
      </c>
      <c r="G873" s="8">
        <f>SUMIFS('HOJAS DE HORA PROY.'!$I$2:$I$943,'HOJAS DE HORA PROY.'!$A$2:$A$943,'PLAN MAESTRO FINAL'!$A873,'HOJAS DE HORA PROY.'!$M$2:$M$943,G$844)</f>
        <v>0</v>
      </c>
      <c r="H873" s="8">
        <f>SUMIFS('HOJAS DE HORA PROY.'!$I$2:$I$943,'HOJAS DE HORA PROY.'!$A$2:$A$943,'PLAN MAESTRO FINAL'!$A873,'HOJAS DE HORA PROY.'!$M$2:$M$943,H$844)</f>
        <v>0</v>
      </c>
      <c r="I873" s="8">
        <f>SUMIFS('HOJAS DE HORA PROY.'!$I$2:$I$943,'HOJAS DE HORA PROY.'!$A$2:$A$943,'PLAN MAESTRO FINAL'!$A873,'HOJAS DE HORA PROY.'!$M$2:$M$943,I$844)</f>
        <v>0</v>
      </c>
      <c r="J873" s="8">
        <f>SUMIFS('HOJAS DE HORA PROY.'!$I$2:$I$943,'HOJAS DE HORA PROY.'!$A$2:$A$943,'PLAN MAESTRO FINAL'!$A873,'HOJAS DE HORA PROY.'!$M$2:$M$943,J$844)</f>
        <v>0</v>
      </c>
      <c r="K873" s="8">
        <f>SUMIFS('HOJAS DE HORA PROY.'!$I$2:$I$943,'HOJAS DE HORA PROY.'!$A$2:$A$943,'PLAN MAESTRO FINAL'!$A873,'HOJAS DE HORA PROY.'!$M$2:$M$943,K$844)</f>
        <v>0</v>
      </c>
      <c r="L873" s="8">
        <f>SUMIFS('HOJAS DE HORA PROY.'!$I$2:$I$943,'HOJAS DE HORA PROY.'!$A$2:$A$943,'PLAN MAESTRO FINAL'!$A873,'HOJAS DE HORA PROY.'!$M$2:$M$943,L$844)</f>
        <v>0</v>
      </c>
      <c r="M873" s="8">
        <f>SUMIFS('HOJAS DE HORA PROY.'!$I$2:$I$943,'HOJAS DE HORA PROY.'!$A$2:$A$943,'PLAN MAESTRO FINAL'!$A873,'HOJAS DE HORA PROY.'!$M$2:$M$943,M$844)</f>
        <v>0</v>
      </c>
      <c r="N873" s="8">
        <f>SUMIFS('HOJAS DE HORA PROY.'!$I$2:$I$943,'HOJAS DE HORA PROY.'!$A$2:$A$943,'PLAN MAESTRO FINAL'!$A873,'HOJAS DE HORA PROY.'!$M$2:$M$943,N$844)</f>
        <v>0</v>
      </c>
      <c r="O873" s="8">
        <f>SUMIFS('HOJAS DE HORA PROY.'!$I$2:$I$943,'HOJAS DE HORA PROY.'!$A$2:$A$943,'PLAN MAESTRO FINAL'!$A873,'HOJAS DE HORA PROY.'!$M$2:$M$943,O$844)</f>
        <v>0</v>
      </c>
      <c r="P873" s="8">
        <f>SUMIFS('HOJAS DE HORA PROY.'!$I$2:$I$943,'HOJAS DE HORA PROY.'!$A$2:$A$943,'PLAN MAESTRO FINAL'!$A873,'HOJAS DE HORA PROY.'!$M$2:$M$943,P$844)</f>
        <v>0</v>
      </c>
      <c r="Q873" s="8">
        <f>SUMIFS('HOJAS DE HORA PROY.'!$I$2:$I$943,'HOJAS DE HORA PROY.'!$A$2:$A$943,'PLAN MAESTRO FINAL'!$A873,'HOJAS DE HORA PROY.'!$M$2:$M$943,Q$844)</f>
        <v>0</v>
      </c>
      <c r="R873" s="8">
        <f>SUMIFS('HOJAS DE HORA PROY.'!$I$2:$I$943,'HOJAS DE HORA PROY.'!$A$2:$A$943,'PLAN MAESTRO FINAL'!$A873,'HOJAS DE HORA PROY.'!$M$2:$M$943,R$844)</f>
        <v>0</v>
      </c>
      <c r="S873" s="8">
        <f>SUMIFS('HOJAS DE HORA PROY.'!$I$2:$I$943,'HOJAS DE HORA PROY.'!$A$2:$A$943,'PLAN MAESTRO FINAL'!$A873,'HOJAS DE HORA PROY.'!$M$2:$M$943,S$844)</f>
        <v>0</v>
      </c>
      <c r="T873" s="8">
        <f>SUMIFS('HOJAS DE HORA PROY.'!$I$2:$I$943,'HOJAS DE HORA PROY.'!$A$2:$A$943,'PLAN MAESTRO FINAL'!$A873,'HOJAS DE HORA PROY.'!$M$2:$M$943,T$844)</f>
        <v>0</v>
      </c>
      <c r="U873" s="8">
        <f>SUMIFS('HOJAS DE HORA PROY.'!$I$2:$I$943,'HOJAS DE HORA PROY.'!$A$2:$A$943,'PLAN MAESTRO FINAL'!$A873,'HOJAS DE HORA PROY.'!$M$2:$M$943,U$844)</f>
        <v>0</v>
      </c>
      <c r="V873" s="8">
        <f>SUMIFS('HOJAS DE HORA PROY.'!$I$2:$I$943,'HOJAS DE HORA PROY.'!$A$2:$A$943,'PLAN MAESTRO FINAL'!$A873,'HOJAS DE HORA PROY.'!$M$2:$M$943,V$844)</f>
        <v>0</v>
      </c>
      <c r="W873" s="8">
        <f>SUMIFS('HOJAS DE HORA PROY.'!$I$2:$I$943,'HOJAS DE HORA PROY.'!$A$2:$A$943,'PLAN MAESTRO FINAL'!$A873,'HOJAS DE HORA PROY.'!$M$2:$M$943,W$844)</f>
        <v>0</v>
      </c>
    </row>
    <row r="874" spans="1:23" hidden="1" outlineLevel="1" x14ac:dyDescent="0.3">
      <c r="A874" s="13" t="s">
        <v>547</v>
      </c>
      <c r="B874" s="8">
        <f>SUMIFS('HOJAS DE HORA PROY.'!$I$2:$I$943,'HOJAS DE HORA PROY.'!$A$2:$A$943,'PLAN MAESTRO FINAL'!$A874,'HOJAS DE HORA PROY.'!$M$2:$M$943,B$844)</f>
        <v>0</v>
      </c>
      <c r="C874" s="8">
        <f>SUMIFS('HOJAS DE HORA PROY.'!$I$2:$I$943,'HOJAS DE HORA PROY.'!$A$2:$A$943,'PLAN MAESTRO FINAL'!$A874,'HOJAS DE HORA PROY.'!$M$2:$M$943,C$844)</f>
        <v>0</v>
      </c>
      <c r="D874" s="8">
        <f>SUMIFS('HOJAS DE HORA PROY.'!$I$2:$I$943,'HOJAS DE HORA PROY.'!$A$2:$A$943,'PLAN MAESTRO FINAL'!$A874,'HOJAS DE HORA PROY.'!$M$2:$M$943,D$844)</f>
        <v>0</v>
      </c>
      <c r="E874" s="8">
        <f>SUMIFS('HOJAS DE HORA PROY.'!$I$2:$I$943,'HOJAS DE HORA PROY.'!$A$2:$A$943,'PLAN MAESTRO FINAL'!$A874,'HOJAS DE HORA PROY.'!$M$2:$M$943,E$844)</f>
        <v>0</v>
      </c>
      <c r="F874" s="8">
        <f>SUMIFS('HOJAS DE HORA PROY.'!$I$2:$I$943,'HOJAS DE HORA PROY.'!$A$2:$A$943,'PLAN MAESTRO FINAL'!$A874,'HOJAS DE HORA PROY.'!$M$2:$M$943,F$844)</f>
        <v>0</v>
      </c>
      <c r="G874" s="8">
        <f>SUMIFS('HOJAS DE HORA PROY.'!$I$2:$I$943,'HOJAS DE HORA PROY.'!$A$2:$A$943,'PLAN MAESTRO FINAL'!$A874,'HOJAS DE HORA PROY.'!$M$2:$M$943,G$844)</f>
        <v>0.5</v>
      </c>
      <c r="H874" s="8">
        <f>SUMIFS('HOJAS DE HORA PROY.'!$I$2:$I$943,'HOJAS DE HORA PROY.'!$A$2:$A$943,'PLAN MAESTRO FINAL'!$A874,'HOJAS DE HORA PROY.'!$M$2:$M$943,H$844)</f>
        <v>0</v>
      </c>
      <c r="I874" s="8">
        <f>SUMIFS('HOJAS DE HORA PROY.'!$I$2:$I$943,'HOJAS DE HORA PROY.'!$A$2:$A$943,'PLAN MAESTRO FINAL'!$A874,'HOJAS DE HORA PROY.'!$M$2:$M$943,I$844)</f>
        <v>0</v>
      </c>
      <c r="J874" s="8">
        <f>SUMIFS('HOJAS DE HORA PROY.'!$I$2:$I$943,'HOJAS DE HORA PROY.'!$A$2:$A$943,'PLAN MAESTRO FINAL'!$A874,'HOJAS DE HORA PROY.'!$M$2:$M$943,J$844)</f>
        <v>0</v>
      </c>
      <c r="K874" s="8">
        <f>SUMIFS('HOJAS DE HORA PROY.'!$I$2:$I$943,'HOJAS DE HORA PROY.'!$A$2:$A$943,'PLAN MAESTRO FINAL'!$A874,'HOJAS DE HORA PROY.'!$M$2:$M$943,K$844)</f>
        <v>0</v>
      </c>
      <c r="L874" s="8">
        <f>SUMIFS('HOJAS DE HORA PROY.'!$I$2:$I$943,'HOJAS DE HORA PROY.'!$A$2:$A$943,'PLAN MAESTRO FINAL'!$A874,'HOJAS DE HORA PROY.'!$M$2:$M$943,L$844)</f>
        <v>0</v>
      </c>
      <c r="M874" s="8">
        <f>SUMIFS('HOJAS DE HORA PROY.'!$I$2:$I$943,'HOJAS DE HORA PROY.'!$A$2:$A$943,'PLAN MAESTRO FINAL'!$A874,'HOJAS DE HORA PROY.'!$M$2:$M$943,M$844)</f>
        <v>0</v>
      </c>
      <c r="N874" s="8">
        <f>SUMIFS('HOJAS DE HORA PROY.'!$I$2:$I$943,'HOJAS DE HORA PROY.'!$A$2:$A$943,'PLAN MAESTRO FINAL'!$A874,'HOJAS DE HORA PROY.'!$M$2:$M$943,N$844)</f>
        <v>0</v>
      </c>
      <c r="O874" s="8">
        <f>SUMIFS('HOJAS DE HORA PROY.'!$I$2:$I$943,'HOJAS DE HORA PROY.'!$A$2:$A$943,'PLAN MAESTRO FINAL'!$A874,'HOJAS DE HORA PROY.'!$M$2:$M$943,O$844)</f>
        <v>0</v>
      </c>
      <c r="P874" s="8">
        <f>SUMIFS('HOJAS DE HORA PROY.'!$I$2:$I$943,'HOJAS DE HORA PROY.'!$A$2:$A$943,'PLAN MAESTRO FINAL'!$A874,'HOJAS DE HORA PROY.'!$M$2:$M$943,P$844)</f>
        <v>0</v>
      </c>
      <c r="Q874" s="8">
        <f>SUMIFS('HOJAS DE HORA PROY.'!$I$2:$I$943,'HOJAS DE HORA PROY.'!$A$2:$A$943,'PLAN MAESTRO FINAL'!$A874,'HOJAS DE HORA PROY.'!$M$2:$M$943,Q$844)</f>
        <v>0</v>
      </c>
      <c r="R874" s="8">
        <f>SUMIFS('HOJAS DE HORA PROY.'!$I$2:$I$943,'HOJAS DE HORA PROY.'!$A$2:$A$943,'PLAN MAESTRO FINAL'!$A874,'HOJAS DE HORA PROY.'!$M$2:$M$943,R$844)</f>
        <v>0</v>
      </c>
      <c r="S874" s="8">
        <f>SUMIFS('HOJAS DE HORA PROY.'!$I$2:$I$943,'HOJAS DE HORA PROY.'!$A$2:$A$943,'PLAN MAESTRO FINAL'!$A874,'HOJAS DE HORA PROY.'!$M$2:$M$943,S$844)</f>
        <v>0</v>
      </c>
      <c r="T874" s="8">
        <f>SUMIFS('HOJAS DE HORA PROY.'!$I$2:$I$943,'HOJAS DE HORA PROY.'!$A$2:$A$943,'PLAN MAESTRO FINAL'!$A874,'HOJAS DE HORA PROY.'!$M$2:$M$943,T$844)</f>
        <v>0</v>
      </c>
      <c r="U874" s="8">
        <f>SUMIFS('HOJAS DE HORA PROY.'!$I$2:$I$943,'HOJAS DE HORA PROY.'!$A$2:$A$943,'PLAN MAESTRO FINAL'!$A874,'HOJAS DE HORA PROY.'!$M$2:$M$943,U$844)</f>
        <v>0</v>
      </c>
      <c r="V874" s="8">
        <f>SUMIFS('HOJAS DE HORA PROY.'!$I$2:$I$943,'HOJAS DE HORA PROY.'!$A$2:$A$943,'PLAN MAESTRO FINAL'!$A874,'HOJAS DE HORA PROY.'!$M$2:$M$943,V$844)</f>
        <v>0</v>
      </c>
      <c r="W874" s="8">
        <f>SUMIFS('HOJAS DE HORA PROY.'!$I$2:$I$943,'HOJAS DE HORA PROY.'!$A$2:$A$943,'PLAN MAESTRO FINAL'!$A874,'HOJAS DE HORA PROY.'!$M$2:$M$943,W$844)</f>
        <v>0</v>
      </c>
    </row>
    <row r="875" spans="1:23" hidden="1" outlineLevel="1" x14ac:dyDescent="0.3">
      <c r="A875" s="13"/>
      <c r="B875" s="8">
        <f>SUMIFS('HOJAS DE HORA PROY.'!$I$2:$I$943,'HOJAS DE HORA PROY.'!$A$2:$A$943,'PLAN MAESTRO FINAL'!$A875,'HOJAS DE HORA PROY.'!$M$2:$M$943,B$844)</f>
        <v>0</v>
      </c>
      <c r="C875" s="8">
        <f>SUMIFS('HOJAS DE HORA PROY.'!$I$2:$I$943,'HOJAS DE HORA PROY.'!$A$2:$A$943,'PLAN MAESTRO FINAL'!$A875,'HOJAS DE HORA PROY.'!$M$2:$M$943,C$844)</f>
        <v>0</v>
      </c>
      <c r="D875" s="8">
        <f>SUMIFS('HOJAS DE HORA PROY.'!$I$2:$I$943,'HOJAS DE HORA PROY.'!$A$2:$A$943,'PLAN MAESTRO FINAL'!$A875,'HOJAS DE HORA PROY.'!$M$2:$M$943,D$844)</f>
        <v>0</v>
      </c>
      <c r="E875" s="8">
        <f>SUMIFS('HOJAS DE HORA PROY.'!$I$2:$I$943,'HOJAS DE HORA PROY.'!$A$2:$A$943,'PLAN MAESTRO FINAL'!$A875,'HOJAS DE HORA PROY.'!$M$2:$M$943,E$844)</f>
        <v>0</v>
      </c>
      <c r="F875" s="8">
        <f>SUMIFS('HOJAS DE HORA PROY.'!$I$2:$I$943,'HOJAS DE HORA PROY.'!$A$2:$A$943,'PLAN MAESTRO FINAL'!$A875,'HOJAS DE HORA PROY.'!$M$2:$M$943,F$844)</f>
        <v>0</v>
      </c>
      <c r="G875" s="8">
        <f>SUMIFS('HOJAS DE HORA PROY.'!$I$2:$I$943,'HOJAS DE HORA PROY.'!$A$2:$A$943,'PLAN MAESTRO FINAL'!$A875,'HOJAS DE HORA PROY.'!$M$2:$M$943,G$844)</f>
        <v>0</v>
      </c>
      <c r="H875" s="8">
        <f>SUMIFS('HOJAS DE HORA PROY.'!$I$2:$I$943,'HOJAS DE HORA PROY.'!$A$2:$A$943,'PLAN MAESTRO FINAL'!$A875,'HOJAS DE HORA PROY.'!$M$2:$M$943,H$844)</f>
        <v>0</v>
      </c>
      <c r="I875" s="8">
        <f>SUMIFS('HOJAS DE HORA PROY.'!$I$2:$I$943,'HOJAS DE HORA PROY.'!$A$2:$A$943,'PLAN MAESTRO FINAL'!$A875,'HOJAS DE HORA PROY.'!$M$2:$M$943,I$844)</f>
        <v>0</v>
      </c>
      <c r="J875" s="8">
        <f>SUMIFS('HOJAS DE HORA PROY.'!$I$2:$I$943,'HOJAS DE HORA PROY.'!$A$2:$A$943,'PLAN MAESTRO FINAL'!$A875,'HOJAS DE HORA PROY.'!$M$2:$M$943,J$844)</f>
        <v>0</v>
      </c>
      <c r="K875" s="8">
        <f>SUMIFS('HOJAS DE HORA PROY.'!$I$2:$I$943,'HOJAS DE HORA PROY.'!$A$2:$A$943,'PLAN MAESTRO FINAL'!$A875,'HOJAS DE HORA PROY.'!$M$2:$M$943,K$844)</f>
        <v>0</v>
      </c>
      <c r="L875" s="8">
        <f>SUMIFS('HOJAS DE HORA PROY.'!$I$2:$I$943,'HOJAS DE HORA PROY.'!$A$2:$A$943,'PLAN MAESTRO FINAL'!$A875,'HOJAS DE HORA PROY.'!$M$2:$M$943,L$844)</f>
        <v>0</v>
      </c>
      <c r="M875" s="8">
        <f>SUMIFS('HOJAS DE HORA PROY.'!$I$2:$I$943,'HOJAS DE HORA PROY.'!$A$2:$A$943,'PLAN MAESTRO FINAL'!$A875,'HOJAS DE HORA PROY.'!$M$2:$M$943,M$844)</f>
        <v>0</v>
      </c>
      <c r="N875" s="8">
        <f>SUMIFS('HOJAS DE HORA PROY.'!$I$2:$I$943,'HOJAS DE HORA PROY.'!$A$2:$A$943,'PLAN MAESTRO FINAL'!$A875,'HOJAS DE HORA PROY.'!$M$2:$M$943,N$844)</f>
        <v>0</v>
      </c>
      <c r="O875" s="8">
        <f>SUMIFS('HOJAS DE HORA PROY.'!$I$2:$I$943,'HOJAS DE HORA PROY.'!$A$2:$A$943,'PLAN MAESTRO FINAL'!$A875,'HOJAS DE HORA PROY.'!$M$2:$M$943,O$844)</f>
        <v>0</v>
      </c>
      <c r="P875" s="8">
        <f>SUMIFS('HOJAS DE HORA PROY.'!$I$2:$I$943,'HOJAS DE HORA PROY.'!$A$2:$A$943,'PLAN MAESTRO FINAL'!$A875,'HOJAS DE HORA PROY.'!$M$2:$M$943,P$844)</f>
        <v>0</v>
      </c>
      <c r="Q875" s="8">
        <f>SUMIFS('HOJAS DE HORA PROY.'!$I$2:$I$943,'HOJAS DE HORA PROY.'!$A$2:$A$943,'PLAN MAESTRO FINAL'!$A875,'HOJAS DE HORA PROY.'!$M$2:$M$943,Q$844)</f>
        <v>0</v>
      </c>
      <c r="R875" s="8">
        <f>SUMIFS('HOJAS DE HORA PROY.'!$I$2:$I$943,'HOJAS DE HORA PROY.'!$A$2:$A$943,'PLAN MAESTRO FINAL'!$A875,'HOJAS DE HORA PROY.'!$M$2:$M$943,R$844)</f>
        <v>0</v>
      </c>
      <c r="S875" s="8">
        <f>SUMIFS('HOJAS DE HORA PROY.'!$I$2:$I$943,'HOJAS DE HORA PROY.'!$A$2:$A$943,'PLAN MAESTRO FINAL'!$A875,'HOJAS DE HORA PROY.'!$M$2:$M$943,S$844)</f>
        <v>0</v>
      </c>
      <c r="T875" s="8">
        <f>SUMIFS('HOJAS DE HORA PROY.'!$I$2:$I$943,'HOJAS DE HORA PROY.'!$A$2:$A$943,'PLAN MAESTRO FINAL'!$A875,'HOJAS DE HORA PROY.'!$M$2:$M$943,T$844)</f>
        <v>0</v>
      </c>
      <c r="U875" s="8">
        <f>SUMIFS('HOJAS DE HORA PROY.'!$I$2:$I$943,'HOJAS DE HORA PROY.'!$A$2:$A$943,'PLAN MAESTRO FINAL'!$A875,'HOJAS DE HORA PROY.'!$M$2:$M$943,U$844)</f>
        <v>0</v>
      </c>
      <c r="V875" s="8">
        <f>SUMIFS('HOJAS DE HORA PROY.'!$I$2:$I$943,'HOJAS DE HORA PROY.'!$A$2:$A$943,'PLAN MAESTRO FINAL'!$A875,'HOJAS DE HORA PROY.'!$M$2:$M$943,V$844)</f>
        <v>0</v>
      </c>
      <c r="W875" s="8">
        <f>SUMIFS('HOJAS DE HORA PROY.'!$I$2:$I$943,'HOJAS DE HORA PROY.'!$A$2:$A$943,'PLAN MAESTRO FINAL'!$A875,'HOJAS DE HORA PROY.'!$M$2:$M$943,W$844)</f>
        <v>0</v>
      </c>
    </row>
    <row r="876" spans="1:23" collapsed="1" x14ac:dyDescent="0.3">
      <c r="A876" s="36" t="s">
        <v>22</v>
      </c>
      <c r="B876" s="37">
        <f t="shared" ref="B876:W876" si="17">SUM(B845:B875)</f>
        <v>0</v>
      </c>
      <c r="C876" s="37">
        <f t="shared" si="17"/>
        <v>0</v>
      </c>
      <c r="D876" s="37">
        <f t="shared" si="17"/>
        <v>0</v>
      </c>
      <c r="E876" s="37">
        <f t="shared" si="17"/>
        <v>0</v>
      </c>
      <c r="F876" s="37">
        <f t="shared" si="17"/>
        <v>0</v>
      </c>
      <c r="G876" s="37">
        <f t="shared" si="17"/>
        <v>1.5</v>
      </c>
      <c r="H876" s="37">
        <f t="shared" si="17"/>
        <v>0</v>
      </c>
      <c r="I876" s="37">
        <f t="shared" si="17"/>
        <v>0</v>
      </c>
      <c r="J876" s="37">
        <f t="shared" si="17"/>
        <v>0</v>
      </c>
      <c r="K876" s="37">
        <f t="shared" si="17"/>
        <v>0</v>
      </c>
      <c r="L876" s="37">
        <f t="shared" si="17"/>
        <v>0</v>
      </c>
      <c r="M876" s="37">
        <f t="shared" si="17"/>
        <v>0</v>
      </c>
      <c r="N876" s="37">
        <f t="shared" si="17"/>
        <v>0</v>
      </c>
      <c r="O876" s="37">
        <f t="shared" si="17"/>
        <v>0</v>
      </c>
      <c r="P876" s="37">
        <f t="shared" si="17"/>
        <v>0</v>
      </c>
      <c r="Q876" s="37">
        <f t="shared" si="17"/>
        <v>0</v>
      </c>
      <c r="R876" s="37">
        <f t="shared" si="17"/>
        <v>0</v>
      </c>
      <c r="S876" s="37">
        <f t="shared" si="17"/>
        <v>0</v>
      </c>
      <c r="T876" s="37">
        <f t="shared" si="17"/>
        <v>0</v>
      </c>
      <c r="U876" s="37">
        <f t="shared" si="17"/>
        <v>0</v>
      </c>
      <c r="V876" s="37">
        <f t="shared" si="17"/>
        <v>0</v>
      </c>
      <c r="W876" s="37">
        <f t="shared" si="17"/>
        <v>0</v>
      </c>
    </row>
    <row r="877" spans="1:23" x14ac:dyDescent="0.3">
      <c r="A877" s="36" t="s">
        <v>29</v>
      </c>
      <c r="B877" s="38">
        <f>CAPACIDAD!G29</f>
        <v>48</v>
      </c>
      <c r="C877" s="38">
        <f>CAPACIDAD!H29</f>
        <v>48</v>
      </c>
      <c r="D877" s="38">
        <f>CAPACIDAD!I29</f>
        <v>24</v>
      </c>
      <c r="E877" s="38">
        <f>CAPACIDAD!J29</f>
        <v>48</v>
      </c>
      <c r="F877" s="38">
        <f>CAPACIDAD!K29</f>
        <v>48</v>
      </c>
      <c r="G877" s="38">
        <f>CAPACIDAD!L29</f>
        <v>48</v>
      </c>
      <c r="H877" s="38">
        <f>CAPACIDAD!M29</f>
        <v>48</v>
      </c>
      <c r="I877" s="38">
        <f>CAPACIDAD!N29</f>
        <v>48</v>
      </c>
      <c r="J877" s="38">
        <f>CAPACIDAD!O29</f>
        <v>48</v>
      </c>
      <c r="K877" s="38">
        <f>CAPACIDAD!P29</f>
        <v>48</v>
      </c>
      <c r="L877" s="38">
        <f>CAPACIDAD!Q29</f>
        <v>48</v>
      </c>
      <c r="M877" s="38">
        <f>CAPACIDAD!R29</f>
        <v>48</v>
      </c>
      <c r="N877" s="38">
        <f>CAPACIDAD!S29</f>
        <v>48</v>
      </c>
      <c r="O877" s="38">
        <f>CAPACIDAD!T29</f>
        <v>48</v>
      </c>
      <c r="P877" s="38">
        <f>CAPACIDAD!U29</f>
        <v>48</v>
      </c>
      <c r="Q877" s="38">
        <f>CAPACIDAD!V29</f>
        <v>48</v>
      </c>
      <c r="R877" s="38">
        <f>CAPACIDAD!W29</f>
        <v>48</v>
      </c>
      <c r="S877" s="38">
        <f>CAPACIDAD!X29</f>
        <v>48</v>
      </c>
      <c r="T877" s="38">
        <f>CAPACIDAD!Y29</f>
        <v>48</v>
      </c>
      <c r="U877" s="38">
        <f>CAPACIDAD!Z29</f>
        <v>48</v>
      </c>
      <c r="V877" s="38">
        <f>CAPACIDAD!AA29</f>
        <v>48</v>
      </c>
      <c r="W877" s="38">
        <f>CAPACIDAD!AB29</f>
        <v>48</v>
      </c>
    </row>
    <row r="878" spans="1:23" s="10" customFormat="1" x14ac:dyDescent="0.3">
      <c r="A878" s="2" t="s">
        <v>28</v>
      </c>
      <c r="B878" s="9" t="str">
        <f t="shared" ref="B878" si="18">IF(B876/B877=0,"",IF(B876/B877&lt;=85%,"🟢 Saludable",IF(B876/B877&lt;=100%,"🟡 Riesgo","🔴 Atraso seguro")))</f>
        <v/>
      </c>
      <c r="C878" s="9" t="str">
        <f t="shared" ref="C878" si="19">IF(C876/C877=0,"",IF(C876/C877&lt;=85%,"🟢 Saludable",IF(C876/C877&lt;=100%,"🟡 Riesgo","🔴 Atraso seguro")))</f>
        <v/>
      </c>
      <c r="D878" s="9" t="str">
        <f t="shared" ref="D878" si="20">IF(D876/D877=0,"",IF(D876/D877&lt;=85%,"🟢 Saludable",IF(D876/D877&lt;=100%,"🟡 Riesgo","🔴 Atraso seguro")))</f>
        <v/>
      </c>
      <c r="E878" s="9" t="str">
        <f t="shared" ref="E878" si="21">IF(E876/E877=0,"",IF(E876/E877&lt;=85%,"🟢 Saludable",IF(E876/E877&lt;=100%,"🟡 Riesgo","🔴 Atraso seguro")))</f>
        <v/>
      </c>
      <c r="F878" s="9" t="str">
        <f t="shared" ref="F878" si="22">IF(F876/F877=0,"",IF(F876/F877&lt;=85%,"🟢 Saludable",IF(F876/F877&lt;=100%,"🟡 Riesgo","🔴 Atraso seguro")))</f>
        <v/>
      </c>
      <c r="G878" s="9" t="str">
        <f t="shared" ref="G878" si="23">IF(G876/G877=0,"",IF(G876/G877&lt;=85%,"🟢 Saludable",IF(G876/G877&lt;=100%,"🟡 Riesgo","🔴 Atraso seguro")))</f>
        <v>🟢 Saludable</v>
      </c>
      <c r="H878" s="9" t="str">
        <f t="shared" ref="H878" si="24">IF(H876/H877=0,"",IF(H876/H877&lt;=85%,"🟢 Saludable",IF(H876/H877&lt;=100%,"🟡 Riesgo","🔴 Atraso seguro")))</f>
        <v/>
      </c>
      <c r="I878" s="9" t="str">
        <f t="shared" ref="I878" si="25">IF(I876/I877=0,"",IF(I876/I877&lt;=85%,"🟢 Saludable",IF(I876/I877&lt;=100%,"🟡 Riesgo","🔴 Atraso seguro")))</f>
        <v/>
      </c>
      <c r="J878" s="9" t="str">
        <f t="shared" ref="J878" si="26">IF(J876/J877=0,"",IF(J876/J877&lt;=85%,"🟢 Saludable",IF(J876/J877&lt;=100%,"🟡 Riesgo","🔴 Atraso seguro")))</f>
        <v/>
      </c>
      <c r="K878" s="9" t="str">
        <f t="shared" ref="K878" si="27">IF(K876/K877=0,"",IF(K876/K877&lt;=85%,"🟢 Saludable",IF(K876/K877&lt;=100%,"🟡 Riesgo","🔴 Atraso seguro")))</f>
        <v/>
      </c>
      <c r="L878" s="9" t="str">
        <f t="shared" ref="L878" si="28">IF(L876/L877=0,"",IF(L876/L877&lt;=85%,"🟢 Saludable",IF(L876/L877&lt;=100%,"🟡 Riesgo","🔴 Atraso seguro")))</f>
        <v/>
      </c>
      <c r="M878" s="9" t="str">
        <f t="shared" ref="M878" si="29">IF(M876/M877=0,"",IF(M876/M877&lt;=85%,"🟢 Saludable",IF(M876/M877&lt;=100%,"🟡 Riesgo","🔴 Atraso seguro")))</f>
        <v/>
      </c>
      <c r="N878" s="9" t="str">
        <f t="shared" ref="N878" si="30">IF(N876/N877=0,"",IF(N876/N877&lt;=85%,"🟢 Saludable",IF(N876/N877&lt;=100%,"🟡 Riesgo","🔴 Atraso seguro")))</f>
        <v/>
      </c>
      <c r="O878" s="9" t="str">
        <f t="shared" ref="O878" si="31">IF(O876/O877=0,"",IF(O876/O877&lt;=85%,"🟢 Saludable",IF(O876/O877&lt;=100%,"🟡 Riesgo","🔴 Atraso seguro")))</f>
        <v/>
      </c>
      <c r="P878" s="9" t="str">
        <f t="shared" ref="P878" si="32">IF(P876/P877=0,"",IF(P876/P877&lt;=85%,"🟢 Saludable",IF(P876/P877&lt;=100%,"🟡 Riesgo","🔴 Atraso seguro")))</f>
        <v/>
      </c>
      <c r="Q878" s="9" t="str">
        <f t="shared" ref="Q878" si="33">IF(Q876/Q877=0,"",IF(Q876/Q877&lt;=85%,"🟢 Saludable",IF(Q876/Q877&lt;=100%,"🟡 Riesgo","🔴 Atraso seguro")))</f>
        <v/>
      </c>
      <c r="R878" s="9" t="str">
        <f t="shared" ref="R878" si="34">IF(R876/R877=0,"",IF(R876/R877&lt;=85%,"🟢 Saludable",IF(R876/R877&lt;=100%,"🟡 Riesgo","🔴 Atraso seguro")))</f>
        <v/>
      </c>
      <c r="S878" s="9" t="str">
        <f t="shared" ref="S878" si="35">IF(S876/S877=0,"",IF(S876/S877&lt;=85%,"🟢 Saludable",IF(S876/S877&lt;=100%,"🟡 Riesgo","🔴 Atraso seguro")))</f>
        <v/>
      </c>
      <c r="T878" s="9" t="str">
        <f t="shared" ref="T878" si="36">IF(T876/T877=0,"",IF(T876/T877&lt;=85%,"🟢 Saludable",IF(T876/T877&lt;=100%,"🟡 Riesgo","🔴 Atraso seguro")))</f>
        <v/>
      </c>
      <c r="U878" s="9" t="str">
        <f t="shared" ref="U878" si="37">IF(U876/U877=0,"",IF(U876/U877&lt;=85%,"🟢 Saludable",IF(U876/U877&lt;=100%,"🟡 Riesgo","🔴 Atraso seguro")))</f>
        <v/>
      </c>
      <c r="V878" s="9" t="str">
        <f t="shared" ref="V878" si="38">IF(V876/V877=0,"",IF(V876/V877&lt;=85%,"🟢 Saludable",IF(V876/V877&lt;=100%,"🟡 Riesgo","🔴 Atraso seguro")))</f>
        <v/>
      </c>
      <c r="W878" s="9" t="str">
        <f t="shared" ref="W878" si="39">IF(W876/W877=0,"",IF(W876/W877&lt;=85%,"🟢 Saludable",IF(W876/W877&lt;=100%,"🟡 Riesgo","🔴 Atraso seguro")))</f>
        <v/>
      </c>
    </row>
  </sheetData>
  <phoneticPr fontId="4" type="noConversion"/>
  <conditionalFormatting sqref="B36:W36 B73:W73 B110:W110 B147:W147 B184:W184 B221:W221 B837:W837 B878:W878">
    <cfRule type="containsText" dxfId="5" priority="49" operator="containsText" text="🔴 Atraso seguro">
      <formula>NOT(ISERROR(SEARCH("🔴 Atraso seguro",B36)))</formula>
    </cfRule>
    <cfRule type="containsText" dxfId="4" priority="50" operator="containsText" text="🟡 Riesgo">
      <formula>NOT(ISERROR(SEARCH("🟡 Riesgo",B36)))</formula>
    </cfRule>
    <cfRule type="containsText" dxfId="3" priority="51" operator="containsText" text="🟢 Saludable">
      <formula>NOT(ISERROR(SEARCH("🟢 Saludable",B36)))</formula>
    </cfRule>
  </conditionalFormatting>
  <conditionalFormatting sqref="B260:W260">
    <cfRule type="containsText" dxfId="2" priority="1" operator="containsText" text="🔴 Atraso seguro">
      <formula>NOT(ISERROR(SEARCH("🔴 Atraso seguro",B260)))</formula>
    </cfRule>
    <cfRule type="containsText" dxfId="1" priority="2" operator="containsText" text="🟡 Riesgo">
      <formula>NOT(ISERROR(SEARCH("🟡 Riesgo",B260)))</formula>
    </cfRule>
    <cfRule type="containsText" dxfId="0" priority="3" operator="containsText" text="🟢 Saludable">
      <formula>NOT(ISERROR(SEARCH("🟢 Saludable",B260)))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  <headerFooter>
    <oddHeader>&amp;C&amp;"-,Negrita"&amp;24VIABILIDAD DE PROYECCIÓN SEGUN CAP. INSTALADA&amp;R&amp;16&amp;KFF0000&amp;D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09CCD6-EEA9-4A38-92D3-FAD66ACBAC2B}">
          <x14:formula1>
            <xm:f>EDIT!$A$2:$A$25</xm:f>
          </x14:formula1>
          <xm:sqref>B1:W1 B225:W225 B803:W803 B187:W187 B844:W844 B150:W150 B113:W113 B76:W76 B39:W39</xm:sqref>
        </x14:dataValidation>
        <x14:dataValidation type="list" allowBlank="1" showInputMessage="1" showErrorMessage="1" xr:uid="{89E54158-B832-4D9F-B7D6-FEFE0885D5BC}">
          <x14:formula1>
            <xm:f>'HOJAS DE HORA PROY.'!$A$2:$A$323</xm:f>
          </x14:formula1>
          <xm:sqref>A2:A21 A845:A864 A804:A823 A226:A245 A40:A58 A77:A95 A114:A132 A151:A169 A188:A206</xm:sqref>
        </x14:dataValidation>
        <x14:dataValidation type="list" showInputMessage="1" showErrorMessage="1" xr:uid="{51A25A1B-23E7-43F0-AC96-7585B958302B}">
          <x14:formula1>
            <xm:f>'HOJAS DE HORA PROY.'!$A$2:$A$180</xm:f>
          </x14:formula1>
          <xm:sqref>A59:A70 A207:A218 A22:A33 A96:A107 A133:A144 A170:A181 A865:A875 A824:A834 A246:A257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D5683-C33E-4384-91AF-621E553BD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41</vt:i4>
      </vt:variant>
      <vt:variant>
        <vt:lpstr>Rangos con nombre</vt:lpstr>
      </vt:variant>
      <vt:variant>
        <vt:i4>1</vt:i4>
      </vt:variant>
    </vt:vector>
  </HeadingPairs>
  <TitlesOfParts>
    <vt:vector size="42" baseType="lpstr">
      <vt:lpstr>EDIT</vt:lpstr>
      <vt:lpstr>CAPACIDAD</vt:lpstr>
      <vt:lpstr>MH-DFM4-0226-Pueblo Libre-Silvi</vt:lpstr>
      <vt:lpstr>MP-0525 - Surco - Arq  Edin</vt:lpstr>
      <vt:lpstr>MH-ONX8 - 0825 - Breña - Dario</vt:lpstr>
      <vt:lpstr>MH-ONM3-1125-Jicamarca-Giovann</vt:lpstr>
      <vt:lpstr>MH-LNC2-Cieneguilla-Sanny &amp; Bry</vt:lpstr>
      <vt:lpstr>MH-LNM5_0425-SAN MIGUEL-CAR</vt:lpstr>
      <vt:lpstr>MH-LNX1 - 0325 - Breña - Juan C</vt:lpstr>
      <vt:lpstr>MH-LNM7 - 0925 - Cedros - Ninah</vt:lpstr>
      <vt:lpstr>MH-ONC2_0725-SAN ANTONIO-PEDRO</vt:lpstr>
      <vt:lpstr>MH-LNM5 - San Miguel - Ing  Mar</vt:lpstr>
      <vt:lpstr>MH-ORX5-1125-Surquillo-LuzSuare</vt:lpstr>
      <vt:lpstr>MH-LNM5-1025-Callao-CarlosCelis</vt:lpstr>
      <vt:lpstr>MH-LNM5_0925-CHORRILLOS-TAFUR</vt:lpstr>
      <vt:lpstr>MH-Punto Marisco-Surquillo-TAFU</vt:lpstr>
      <vt:lpstr>MH-LNM11_0925-PUEBLO LIBRE-TAF</vt:lpstr>
      <vt:lpstr>MH-METRADO_0525 - SAN ISIDROCEL</vt:lpstr>
      <vt:lpstr>MH-METRADO - 1225_ RIOJA- MAYUL</vt:lpstr>
      <vt:lpstr>MH-ONM6-0126-ChorrillosMatellin</vt:lpstr>
      <vt:lpstr>MH-LNM5-0126-ChorrilosMatellini</vt:lpstr>
      <vt:lpstr>MH-LAM4 -1225-San Miguel-Antoni</vt:lpstr>
      <vt:lpstr>MH-LNM10-0425-San Bartolo-Tafur</vt:lpstr>
      <vt:lpstr>MH-ESTRU-ONM7 - SMP - Remo Mele</vt:lpstr>
      <vt:lpstr>MP-OAM4 -0226- ATE -Maria</vt:lpstr>
      <vt:lpstr>MP-LAM4 -0226- ATE -Maria</vt:lpstr>
      <vt:lpstr>MP-ONM5-0226- Breña-Ysidro</vt:lpstr>
      <vt:lpstr>MH-ESTRU-LAM5-0226-Surqu-Mirtha</vt:lpstr>
      <vt:lpstr>MH-DF - 0226 - Surquillo-Mirtha</vt:lpstr>
      <vt:lpstr>MH-LNM5 - 0226 - SJL - MONTERO</vt:lpstr>
      <vt:lpstr>MH-LNM5 - 0226 - SJL - MONTERO </vt:lpstr>
      <vt:lpstr>MH-DF - 0226 - Surquillo-Mi (2)</vt:lpstr>
      <vt:lpstr>LNX2 - 0226 -San Borja-ENCISO</vt:lpstr>
      <vt:lpstr>MH-ONM5 - El Agustino - Cristia</vt:lpstr>
      <vt:lpstr>MH-LMM5-La Victoria-Carmen Baq</vt:lpstr>
      <vt:lpstr>LNM3-0226-Punta Hermosa-Farah</vt:lpstr>
      <vt:lpstr>MH-LNM7 - San Miguel-Wendy Mart</vt:lpstr>
      <vt:lpstr>MH-ONM7 - 0925-Cedros-Ninahuanc</vt:lpstr>
      <vt:lpstr>MH-ONX7 - BREÑA - Eduardo Vara</vt:lpstr>
      <vt:lpstr>HOJAS DE HORA PROY.</vt:lpstr>
      <vt:lpstr>PLAN MAESTRO FINAL</vt:lpstr>
      <vt:lpstr>'HOJAS DE HORA PROY.'!Área_de_impresión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Fiorella Casallo  Echegaray</dc:creator>
  <cp:lastModifiedBy>ROMINA CASALLO</cp:lastModifiedBy>
  <cp:lastPrinted>2026-04-20T00:46:32Z</cp:lastPrinted>
  <dcterms:created xsi:type="dcterms:W3CDTF">2026-01-28T16:37:38Z</dcterms:created>
  <dcterms:modified xsi:type="dcterms:W3CDTF">2026-06-04T22:49:08Z</dcterms:modified>
</cp:coreProperties>
</file>