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2015\Downloads\"/>
    </mc:Choice>
  </mc:AlternateContent>
  <xr:revisionPtr revIDLastSave="0" documentId="8_{32651A69-06FC-4DDC-AB52-4284A02BFDE7}" xr6:coauthVersionLast="47" xr6:coauthVersionMax="47" xr10:uidLastSave="{00000000-0000-0000-0000-000000000000}"/>
  <bookViews>
    <workbookView xWindow="-108" yWindow="-108" windowWidth="23256" windowHeight="12456" firstSheet="1" activeTab="4" xr2:uid="{F3C3329A-67FC-4EC9-B03C-408A790E16BA}"/>
  </bookViews>
  <sheets>
    <sheet name="GASTOS FIJOS + VARIABLES" sheetId="3" state="hidden" r:id="rId1"/>
    <sheet name="EDIT" sheetId="12" r:id="rId2"/>
    <sheet name="DATOS PROYECTO" sheetId="11" r:id="rId3"/>
    <sheet name="APUs" sheetId="9" r:id="rId4"/>
    <sheet name="MH-LAM4 -1225-San Miguel-Antoni" sheetId="13" r:id="rId5"/>
    <sheet name="CONTROL DE HORAS" sheetId="7" r:id="rId6"/>
    <sheet name="PRESUPUESTO" sheetId="1" state="hidden" r:id="rId7"/>
    <sheet name="GRAFICAS" sheetId="10" r:id="rId8"/>
    <sheet name="IMPRESIÓN A4 EN OFICINA" sheetId="2" state="hidden" r:id="rId9"/>
  </sheets>
  <externalReferences>
    <externalReference r:id="rId10"/>
  </externalReferences>
  <definedNames>
    <definedName name="_xlnm._FilterDatabase" localSheetId="4" hidden="1">'MH-LAM4 -1225-San Miguel-Antoni'!$A$1:$H$23</definedName>
    <definedName name="_xlnm.Print_Area" localSheetId="7">GRAFICAS!$M$1:$AI$67</definedName>
    <definedName name="BI">#REF!</definedName>
    <definedName name="H">#REF!</definedName>
    <definedName name="Responsable">[1]Responsables!$C$5:$C$34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G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I7" i="7" l="1"/>
  <c r="BI58" i="7"/>
  <c r="BI57" i="7"/>
  <c r="BI54" i="7"/>
  <c r="BI53" i="7"/>
  <c r="BI52" i="7"/>
  <c r="BI49" i="7"/>
  <c r="BI48" i="7"/>
  <c r="BI47" i="7"/>
  <c r="BI46" i="7"/>
  <c r="BI45" i="7"/>
  <c r="BI44" i="7"/>
  <c r="BI43" i="7"/>
  <c r="BI42" i="7"/>
  <c r="BI39" i="7"/>
  <c r="BI38" i="7"/>
  <c r="BI37" i="7"/>
  <c r="BI36" i="7"/>
  <c r="BI35" i="7"/>
  <c r="BI32" i="7"/>
  <c r="BI31" i="7"/>
  <c r="BI30" i="7"/>
  <c r="BI29" i="7"/>
  <c r="BI26" i="7"/>
  <c r="BI25" i="7"/>
  <c r="BI24" i="7"/>
  <c r="BI23" i="7"/>
  <c r="BI22" i="7"/>
  <c r="BI21" i="7"/>
  <c r="BI20" i="7"/>
  <c r="BI17" i="7"/>
  <c r="BI16" i="7"/>
  <c r="BI15" i="7"/>
  <c r="BI14" i="7"/>
  <c r="BI13" i="7"/>
  <c r="BI12" i="7"/>
  <c r="BI11" i="7"/>
  <c r="BI10" i="7"/>
  <c r="BI9" i="7"/>
  <c r="BI8" i="7"/>
  <c r="H19" i="13"/>
  <c r="H20" i="13"/>
  <c r="H21" i="13"/>
  <c r="D58" i="7"/>
  <c r="D53" i="7"/>
  <c r="E53" i="7" s="1"/>
  <c r="D54" i="7"/>
  <c r="J53" i="7"/>
  <c r="G53" i="7"/>
  <c r="D43" i="7"/>
  <c r="D44" i="7"/>
  <c r="D45" i="7"/>
  <c r="D46" i="7"/>
  <c r="D47" i="7"/>
  <c r="D48" i="7"/>
  <c r="D49" i="7"/>
  <c r="D36" i="7"/>
  <c r="D37" i="7"/>
  <c r="D38" i="7"/>
  <c r="D39" i="7"/>
  <c r="D30" i="7"/>
  <c r="D31" i="7"/>
  <c r="D32" i="7"/>
  <c r="D21" i="7"/>
  <c r="D22" i="7"/>
  <c r="D23" i="7"/>
  <c r="D24" i="7"/>
  <c r="D25" i="7"/>
  <c r="D26" i="7"/>
  <c r="D8" i="7"/>
  <c r="D9" i="7"/>
  <c r="D10" i="7"/>
  <c r="D11" i="7"/>
  <c r="D12" i="7"/>
  <c r="D13" i="7"/>
  <c r="D14" i="7"/>
  <c r="D15" i="7"/>
  <c r="D16" i="7"/>
  <c r="D17" i="7"/>
  <c r="F22" i="1"/>
  <c r="K22" i="1" s="1"/>
  <c r="I22" i="1" l="1"/>
  <c r="L22" i="1" s="1"/>
  <c r="F18" i="1"/>
  <c r="K18" i="1" s="1"/>
  <c r="J58" i="7"/>
  <c r="G58" i="7"/>
  <c r="E58" i="7"/>
  <c r="E54" i="7"/>
  <c r="J54" i="7"/>
  <c r="G54" i="7"/>
  <c r="BG41" i="7"/>
  <c r="BF41" i="7"/>
  <c r="BE41" i="7"/>
  <c r="BC41" i="7"/>
  <c r="BB41" i="7"/>
  <c r="BA41" i="7"/>
  <c r="AY41" i="7"/>
  <c r="AX41" i="7"/>
  <c r="AW41" i="7"/>
  <c r="AU41" i="7"/>
  <c r="AT41" i="7"/>
  <c r="AS41" i="7"/>
  <c r="AQ41" i="7"/>
  <c r="AP41" i="7"/>
  <c r="AO41" i="7"/>
  <c r="AM41" i="7"/>
  <c r="AL41" i="7"/>
  <c r="AK41" i="7"/>
  <c r="AI41" i="7"/>
  <c r="AH41" i="7"/>
  <c r="AG41" i="7"/>
  <c r="AE41" i="7"/>
  <c r="AD41" i="7"/>
  <c r="AC41" i="7"/>
  <c r="AA41" i="7"/>
  <c r="Z41" i="7"/>
  <c r="Y41" i="7"/>
  <c r="W41" i="7"/>
  <c r="V41" i="7"/>
  <c r="U41" i="7"/>
  <c r="S41" i="7"/>
  <c r="R41" i="7"/>
  <c r="Q41" i="7"/>
  <c r="N41" i="7"/>
  <c r="O41" i="7"/>
  <c r="M41" i="7"/>
  <c r="E43" i="7"/>
  <c r="E44" i="7"/>
  <c r="E45" i="7"/>
  <c r="E47" i="7"/>
  <c r="E48" i="7"/>
  <c r="E49" i="7"/>
  <c r="J49" i="7"/>
  <c r="G49" i="7"/>
  <c r="J48" i="7"/>
  <c r="G48" i="7"/>
  <c r="J47" i="7"/>
  <c r="G47" i="7"/>
  <c r="J46" i="7"/>
  <c r="G46" i="7"/>
  <c r="J45" i="7"/>
  <c r="G45" i="7"/>
  <c r="J44" i="7"/>
  <c r="G44" i="7"/>
  <c r="J43" i="7"/>
  <c r="G43" i="7"/>
  <c r="E37" i="7"/>
  <c r="E38" i="7"/>
  <c r="J39" i="7"/>
  <c r="G39" i="7"/>
  <c r="J38" i="7"/>
  <c r="G38" i="7"/>
  <c r="J37" i="7"/>
  <c r="G37" i="7"/>
  <c r="J36" i="7"/>
  <c r="G36" i="7"/>
  <c r="J32" i="7"/>
  <c r="G32" i="7"/>
  <c r="E9" i="7"/>
  <c r="E11" i="7"/>
  <c r="E12" i="7"/>
  <c r="E13" i="7"/>
  <c r="E15" i="7"/>
  <c r="E16" i="7"/>
  <c r="E17" i="7"/>
  <c r="J17" i="7"/>
  <c r="G17" i="7"/>
  <c r="J16" i="7"/>
  <c r="G16" i="7"/>
  <c r="J15" i="7"/>
  <c r="G15" i="7"/>
  <c r="J14" i="7"/>
  <c r="G14" i="7"/>
  <c r="J13" i="7"/>
  <c r="G13" i="7"/>
  <c r="J12" i="7"/>
  <c r="G12" i="7"/>
  <c r="J11" i="7"/>
  <c r="G11" i="7"/>
  <c r="J10" i="7"/>
  <c r="G10" i="7"/>
  <c r="J9" i="7"/>
  <c r="G9" i="7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22" i="13"/>
  <c r="H23" i="13"/>
  <c r="H3" i="13"/>
  <c r="H4" i="13"/>
  <c r="B12" i="1"/>
  <c r="B11" i="1"/>
  <c r="B10" i="1"/>
  <c r="B9" i="1"/>
  <c r="B8" i="1"/>
  <c r="B7" i="1"/>
  <c r="B6" i="1"/>
  <c r="K11" i="1"/>
  <c r="D57" i="7"/>
  <c r="D52" i="7"/>
  <c r="E52" i="7" s="1"/>
  <c r="J52" i="7"/>
  <c r="G52" i="7"/>
  <c r="BG51" i="7"/>
  <c r="BG50" i="7" s="1"/>
  <c r="BF51" i="7"/>
  <c r="BF50" i="7" s="1"/>
  <c r="BE51" i="7"/>
  <c r="BE50" i="7" s="1"/>
  <c r="BC51" i="7"/>
  <c r="BC50" i="7" s="1"/>
  <c r="BB51" i="7"/>
  <c r="BB50" i="7" s="1"/>
  <c r="BA51" i="7"/>
  <c r="BA50" i="7" s="1"/>
  <c r="AY51" i="7"/>
  <c r="AY50" i="7" s="1"/>
  <c r="AX51" i="7"/>
  <c r="AX50" i="7" s="1"/>
  <c r="AW51" i="7"/>
  <c r="AW50" i="7" s="1"/>
  <c r="AU51" i="7"/>
  <c r="AU50" i="7" s="1"/>
  <c r="AT51" i="7"/>
  <c r="AT50" i="7" s="1"/>
  <c r="AS51" i="7"/>
  <c r="AS50" i="7" s="1"/>
  <c r="AQ51" i="7"/>
  <c r="AQ50" i="7" s="1"/>
  <c r="AP51" i="7"/>
  <c r="AP50" i="7" s="1"/>
  <c r="AO51" i="7"/>
  <c r="AO50" i="7" s="1"/>
  <c r="AM51" i="7"/>
  <c r="AM50" i="7" s="1"/>
  <c r="AL51" i="7"/>
  <c r="AL50" i="7" s="1"/>
  <c r="AK51" i="7"/>
  <c r="AK50" i="7" s="1"/>
  <c r="AI51" i="7"/>
  <c r="AI50" i="7" s="1"/>
  <c r="AH51" i="7"/>
  <c r="AH50" i="7" s="1"/>
  <c r="AG51" i="7"/>
  <c r="AG50" i="7" s="1"/>
  <c r="AE51" i="7"/>
  <c r="AE50" i="7" s="1"/>
  <c r="AD51" i="7"/>
  <c r="AD50" i="7" s="1"/>
  <c r="AC51" i="7"/>
  <c r="AC50" i="7" s="1"/>
  <c r="AA51" i="7"/>
  <c r="AA50" i="7" s="1"/>
  <c r="Z51" i="7"/>
  <c r="Z50" i="7" s="1"/>
  <c r="Y51" i="7"/>
  <c r="Y50" i="7" s="1"/>
  <c r="W51" i="7"/>
  <c r="W50" i="7" s="1"/>
  <c r="V51" i="7"/>
  <c r="V50" i="7" s="1"/>
  <c r="U51" i="7"/>
  <c r="U50" i="7" s="1"/>
  <c r="S51" i="7"/>
  <c r="S50" i="7" s="1"/>
  <c r="R51" i="7"/>
  <c r="R50" i="7" s="1"/>
  <c r="Q51" i="7"/>
  <c r="Q50" i="7" s="1"/>
  <c r="O51" i="7"/>
  <c r="N51" i="7"/>
  <c r="N50" i="7" s="1"/>
  <c r="M51" i="7"/>
  <c r="M50" i="7" s="1"/>
  <c r="J51" i="7"/>
  <c r="D42" i="7"/>
  <c r="D29" i="7"/>
  <c r="M2" i="7"/>
  <c r="O2" i="7" s="1"/>
  <c r="Q2" i="7" s="1"/>
  <c r="S2" i="7" s="1"/>
  <c r="U2" i="7" s="1"/>
  <c r="W2" i="7" s="1"/>
  <c r="Y2" i="7" s="1"/>
  <c r="AA2" i="7" s="1"/>
  <c r="AC2" i="7" s="1"/>
  <c r="AE2" i="7" s="1"/>
  <c r="AG2" i="7" s="1"/>
  <c r="AI2" i="7" s="1"/>
  <c r="AK2" i="7" s="1"/>
  <c r="AM2" i="7" s="1"/>
  <c r="AO2" i="7" s="1"/>
  <c r="AQ2" i="7" s="1"/>
  <c r="AS2" i="7" s="1"/>
  <c r="AU2" i="7" s="1"/>
  <c r="AW2" i="7" s="1"/>
  <c r="AY2" i="7" s="1"/>
  <c r="BA2" i="7" s="1"/>
  <c r="BC2" i="7" s="1"/>
  <c r="BE2" i="7" s="1"/>
  <c r="BG2" i="7" s="1"/>
  <c r="O50" i="7" l="1"/>
  <c r="BI51" i="7"/>
  <c r="BI41" i="7"/>
  <c r="I18" i="1"/>
  <c r="L18" i="1" s="1"/>
  <c r="E46" i="7"/>
  <c r="E36" i="7"/>
  <c r="E39" i="7"/>
  <c r="E32" i="7"/>
  <c r="E10" i="7"/>
  <c r="E14" i="7"/>
  <c r="E30" i="7"/>
  <c r="E31" i="7"/>
  <c r="J31" i="7"/>
  <c r="G31" i="7"/>
  <c r="J30" i="7"/>
  <c r="G30" i="7"/>
  <c r="E21" i="7"/>
  <c r="E22" i="7"/>
  <c r="E23" i="7"/>
  <c r="E24" i="7"/>
  <c r="E25" i="7"/>
  <c r="E26" i="7"/>
  <c r="J26" i="7"/>
  <c r="G26" i="7"/>
  <c r="J25" i="7"/>
  <c r="G25" i="7"/>
  <c r="J24" i="7"/>
  <c r="G24" i="7"/>
  <c r="J23" i="7"/>
  <c r="G23" i="7"/>
  <c r="J22" i="7"/>
  <c r="G22" i="7"/>
  <c r="J21" i="7"/>
  <c r="G21" i="7"/>
  <c r="B5" i="7"/>
  <c r="I53" i="7" s="1" a="1"/>
  <c r="I53" i="7" s="1"/>
  <c r="H2" i="13"/>
  <c r="BG56" i="7"/>
  <c r="BF56" i="7"/>
  <c r="BE56" i="7"/>
  <c r="BC56" i="7"/>
  <c r="BB56" i="7"/>
  <c r="BA56" i="7"/>
  <c r="AY56" i="7"/>
  <c r="AX56" i="7"/>
  <c r="AW56" i="7"/>
  <c r="AU56" i="7"/>
  <c r="AT56" i="7"/>
  <c r="AS56" i="7"/>
  <c r="AQ56" i="7"/>
  <c r="AP56" i="7"/>
  <c r="AO56" i="7"/>
  <c r="AM56" i="7"/>
  <c r="AL56" i="7"/>
  <c r="AK56" i="7"/>
  <c r="AI56" i="7"/>
  <c r="AH56" i="7"/>
  <c r="AG56" i="7"/>
  <c r="AE56" i="7"/>
  <c r="AD56" i="7"/>
  <c r="AC56" i="7"/>
  <c r="AA56" i="7"/>
  <c r="Z56" i="7"/>
  <c r="Y56" i="7"/>
  <c r="W56" i="7"/>
  <c r="V56" i="7"/>
  <c r="U56" i="7"/>
  <c r="S56" i="7"/>
  <c r="R56" i="7"/>
  <c r="Q56" i="7"/>
  <c r="O56" i="7"/>
  <c r="BI56" i="7" s="1"/>
  <c r="N56" i="7"/>
  <c r="M56" i="7"/>
  <c r="O34" i="7"/>
  <c r="N34" i="7"/>
  <c r="M34" i="7"/>
  <c r="S34" i="7"/>
  <c r="S33" i="7" s="1"/>
  <c r="R34" i="7"/>
  <c r="R33" i="7" s="1"/>
  <c r="Q34" i="7"/>
  <c r="Q33" i="7" s="1"/>
  <c r="W34" i="7"/>
  <c r="V34" i="7"/>
  <c r="U34" i="7"/>
  <c r="AA34" i="7"/>
  <c r="Z34" i="7"/>
  <c r="Y34" i="7"/>
  <c r="AE34" i="7"/>
  <c r="AD34" i="7"/>
  <c r="AC34" i="7"/>
  <c r="AI34" i="7"/>
  <c r="AH34" i="7"/>
  <c r="AG34" i="7"/>
  <c r="AM34" i="7"/>
  <c r="AL34" i="7"/>
  <c r="AK34" i="7"/>
  <c r="AQ34" i="7"/>
  <c r="AP34" i="7"/>
  <c r="AO34" i="7"/>
  <c r="AU34" i="7"/>
  <c r="AT34" i="7"/>
  <c r="AS34" i="7"/>
  <c r="AY34" i="7"/>
  <c r="AX34" i="7"/>
  <c r="AW34" i="7"/>
  <c r="BC34" i="7"/>
  <c r="BB34" i="7"/>
  <c r="BA34" i="7"/>
  <c r="BE34" i="7"/>
  <c r="BF34" i="7"/>
  <c r="BG34" i="7"/>
  <c r="BG28" i="7"/>
  <c r="BF28" i="7"/>
  <c r="BE28" i="7"/>
  <c r="BC28" i="7"/>
  <c r="BB28" i="7"/>
  <c r="BA28" i="7"/>
  <c r="AY28" i="7"/>
  <c r="AX28" i="7"/>
  <c r="AW28" i="7"/>
  <c r="AU28" i="7"/>
  <c r="AT28" i="7"/>
  <c r="AS28" i="7"/>
  <c r="AQ28" i="7"/>
  <c r="AP28" i="7"/>
  <c r="AO28" i="7"/>
  <c r="AM28" i="7"/>
  <c r="AL28" i="7"/>
  <c r="AK28" i="7"/>
  <c r="AI28" i="7"/>
  <c r="AH28" i="7"/>
  <c r="AG28" i="7"/>
  <c r="AE28" i="7"/>
  <c r="AD28" i="7"/>
  <c r="AC28" i="7"/>
  <c r="AA28" i="7"/>
  <c r="Z28" i="7"/>
  <c r="Y28" i="7"/>
  <c r="W28" i="7"/>
  <c r="V28" i="7"/>
  <c r="U28" i="7"/>
  <c r="S28" i="7"/>
  <c r="R28" i="7"/>
  <c r="Q28" i="7"/>
  <c r="O28" i="7"/>
  <c r="BI28" i="7" s="1"/>
  <c r="N28" i="7"/>
  <c r="M28" i="7"/>
  <c r="BG19" i="7"/>
  <c r="BF19" i="7"/>
  <c r="BE19" i="7"/>
  <c r="BC19" i="7"/>
  <c r="BB19" i="7"/>
  <c r="BA19" i="7"/>
  <c r="AY19" i="7"/>
  <c r="AX19" i="7"/>
  <c r="AW19" i="7"/>
  <c r="AU19" i="7"/>
  <c r="AT19" i="7"/>
  <c r="AS19" i="7"/>
  <c r="AQ19" i="7"/>
  <c r="AP19" i="7"/>
  <c r="AO19" i="7"/>
  <c r="AM19" i="7"/>
  <c r="AL19" i="7"/>
  <c r="AK19" i="7"/>
  <c r="AI19" i="7"/>
  <c r="AH19" i="7"/>
  <c r="AG19" i="7"/>
  <c r="AE19" i="7"/>
  <c r="AD19" i="7"/>
  <c r="AC19" i="7"/>
  <c r="AA19" i="7"/>
  <c r="Z19" i="7"/>
  <c r="Y19" i="7"/>
  <c r="W19" i="7"/>
  <c r="V19" i="7"/>
  <c r="U19" i="7"/>
  <c r="S19" i="7"/>
  <c r="R19" i="7"/>
  <c r="Q19" i="7"/>
  <c r="O19" i="7"/>
  <c r="BI19" i="7" s="1"/>
  <c r="N19" i="7"/>
  <c r="M19" i="7"/>
  <c r="BG6" i="7"/>
  <c r="BF6" i="7"/>
  <c r="BE6" i="7"/>
  <c r="BC6" i="7"/>
  <c r="BC5" i="7" s="1"/>
  <c r="BB6" i="7"/>
  <c r="BA6" i="7"/>
  <c r="AY6" i="7"/>
  <c r="AX6" i="7"/>
  <c r="AW6" i="7"/>
  <c r="AU6" i="7"/>
  <c r="AT6" i="7"/>
  <c r="AS6" i="7"/>
  <c r="AQ6" i="7"/>
  <c r="AP6" i="7"/>
  <c r="AO6" i="7"/>
  <c r="AM6" i="7"/>
  <c r="AL6" i="7"/>
  <c r="AK6" i="7"/>
  <c r="AI6" i="7"/>
  <c r="AH6" i="7"/>
  <c r="AG6" i="7"/>
  <c r="AE6" i="7"/>
  <c r="AD6" i="7"/>
  <c r="AC6" i="7"/>
  <c r="AA6" i="7"/>
  <c r="Z6" i="7"/>
  <c r="Y6" i="7"/>
  <c r="W6" i="7"/>
  <c r="V6" i="7"/>
  <c r="U6" i="7"/>
  <c r="S6" i="7"/>
  <c r="R6" i="7"/>
  <c r="Q6" i="7"/>
  <c r="O6" i="7"/>
  <c r="N6" i="7"/>
  <c r="M6" i="7"/>
  <c r="I26" i="7" l="1" a="1"/>
  <c r="I26" i="7" s="1"/>
  <c r="I45" i="7" a="1"/>
  <c r="I45" i="7" s="1"/>
  <c r="I10" i="7" a="1"/>
  <c r="I10" i="7" s="1"/>
  <c r="I37" i="7" a="1"/>
  <c r="I37" i="7" s="1"/>
  <c r="I58" i="7" a="1"/>
  <c r="I58" i="7" s="1"/>
  <c r="I21" i="7" a="1"/>
  <c r="I21" i="7" s="1"/>
  <c r="I32" i="7" a="1"/>
  <c r="I32" i="7" s="1"/>
  <c r="I15" i="7" a="1"/>
  <c r="I15" i="7" s="1"/>
  <c r="I11" i="7" a="1"/>
  <c r="I11" i="7" s="1"/>
  <c r="I39" i="7" a="1"/>
  <c r="I39" i="7" s="1"/>
  <c r="I17" i="7" a="1"/>
  <c r="I17" i="7" s="1"/>
  <c r="I22" i="7" a="1"/>
  <c r="I22" i="7" s="1"/>
  <c r="I49" i="7" a="1"/>
  <c r="I49" i="7" s="1"/>
  <c r="I46" i="7" a="1"/>
  <c r="I46" i="7" s="1"/>
  <c r="I9" i="7" a="1"/>
  <c r="I9" i="7" s="1"/>
  <c r="I38" i="7" a="1"/>
  <c r="I38" i="7" s="1"/>
  <c r="I44" i="7" a="1"/>
  <c r="I44" i="7" s="1"/>
  <c r="I47" i="7" a="1"/>
  <c r="I47" i="7" s="1"/>
  <c r="I23" i="7" a="1"/>
  <c r="I23" i="7" s="1"/>
  <c r="I24" i="7" a="1"/>
  <c r="I24" i="7" s="1"/>
  <c r="I30" i="7" a="1"/>
  <c r="I30" i="7" s="1"/>
  <c r="I36" i="7" a="1"/>
  <c r="I36" i="7" s="1"/>
  <c r="I52" i="7" a="1"/>
  <c r="I52" i="7" s="1"/>
  <c r="I43" i="7" a="1"/>
  <c r="I43" i="7" s="1"/>
  <c r="I14" i="7" a="1"/>
  <c r="I14" i="7" s="1"/>
  <c r="I48" i="7" a="1"/>
  <c r="I48" i="7" s="1"/>
  <c r="I25" i="7" a="1"/>
  <c r="I25" i="7" s="1"/>
  <c r="I31" i="7" a="1"/>
  <c r="I31" i="7" s="1"/>
  <c r="I12" i="7" a="1"/>
  <c r="I12" i="7" s="1"/>
  <c r="I54" i="7" a="1"/>
  <c r="I54" i="7" s="1"/>
  <c r="I16" i="7" a="1"/>
  <c r="I16" i="7" s="1"/>
  <c r="I13" i="7" a="1"/>
  <c r="I13" i="7" s="1"/>
  <c r="BI34" i="7"/>
  <c r="H53" i="7" a="1"/>
  <c r="H53" i="7" s="1"/>
  <c r="H58" i="7" a="1"/>
  <c r="H58" i="7" s="1"/>
  <c r="H54" i="7" a="1"/>
  <c r="H54" i="7" s="1"/>
  <c r="H48" i="7" a="1"/>
  <c r="H48" i="7" s="1"/>
  <c r="H49" i="7" a="1"/>
  <c r="H49" i="7" s="1"/>
  <c r="H47" i="7" a="1"/>
  <c r="H47" i="7" s="1"/>
  <c r="H46" i="7" a="1"/>
  <c r="H46" i="7" s="1"/>
  <c r="H45" i="7" a="1"/>
  <c r="H45" i="7" s="1"/>
  <c r="H44" i="7" a="1"/>
  <c r="H44" i="7" s="1"/>
  <c r="H43" i="7" a="1"/>
  <c r="H43" i="7" s="1"/>
  <c r="H36" i="7" a="1"/>
  <c r="H36" i="7" s="1"/>
  <c r="H39" i="7" a="1"/>
  <c r="H39" i="7" s="1"/>
  <c r="H37" i="7" a="1"/>
  <c r="H37" i="7" s="1"/>
  <c r="H38" i="7" a="1"/>
  <c r="H38" i="7" s="1"/>
  <c r="H32" i="7" a="1"/>
  <c r="H32" i="7" s="1"/>
  <c r="H15" i="7" a="1"/>
  <c r="H15" i="7" s="1"/>
  <c r="H9" i="7" a="1"/>
  <c r="H9" i="7" s="1"/>
  <c r="H10" i="7" a="1"/>
  <c r="H10" i="7" s="1"/>
  <c r="H16" i="7" a="1"/>
  <c r="H16" i="7" s="1"/>
  <c r="H12" i="7" a="1"/>
  <c r="H12" i="7" s="1"/>
  <c r="H11" i="7" a="1"/>
  <c r="H11" i="7" s="1"/>
  <c r="H17" i="7" a="1"/>
  <c r="H17" i="7" s="1"/>
  <c r="V4" i="7"/>
  <c r="BE4" i="7"/>
  <c r="H13" i="7" a="1"/>
  <c r="H13" i="7" s="1"/>
  <c r="H14" i="7" a="1"/>
  <c r="H14" i="7" s="1"/>
  <c r="Q4" i="7"/>
  <c r="Y4" i="7"/>
  <c r="M4" i="7"/>
  <c r="AC4" i="7"/>
  <c r="AS4" i="7"/>
  <c r="N4" i="7"/>
  <c r="AT4" i="7"/>
  <c r="AD4" i="7"/>
  <c r="H52" i="7" a="1"/>
  <c r="H52" i="7" s="1"/>
  <c r="U4" i="7"/>
  <c r="AO4" i="7"/>
  <c r="AK4" i="7"/>
  <c r="R4" i="7"/>
  <c r="AH4" i="7"/>
  <c r="AX4" i="7"/>
  <c r="BA5" i="7"/>
  <c r="BA4" i="7"/>
  <c r="BB5" i="7"/>
  <c r="BB4" i="7"/>
  <c r="AP4" i="7"/>
  <c r="BF4" i="7"/>
  <c r="AL4" i="7"/>
  <c r="Z4" i="7"/>
  <c r="AG4" i="7"/>
  <c r="AW4" i="7"/>
  <c r="H31" i="7" a="1"/>
  <c r="H31" i="7" s="1"/>
  <c r="H30" i="7" a="1"/>
  <c r="H30" i="7" s="1"/>
  <c r="H22" i="7" a="1"/>
  <c r="H22" i="7" s="1"/>
  <c r="H24" i="7" a="1"/>
  <c r="H24" i="7" s="1"/>
  <c r="H26" i="7" a="1"/>
  <c r="H26" i="7" s="1"/>
  <c r="H21" i="7" a="1"/>
  <c r="H21" i="7" s="1"/>
  <c r="H25" i="7" a="1"/>
  <c r="H25" i="7" s="1"/>
  <c r="H23" i="7" a="1"/>
  <c r="H23" i="7" s="1"/>
  <c r="J57" i="7"/>
  <c r="E57" i="7"/>
  <c r="G57" i="7"/>
  <c r="BF55" i="7"/>
  <c r="BE55" i="7"/>
  <c r="BA55" i="7"/>
  <c r="AX55" i="7"/>
  <c r="AU55" i="7"/>
  <c r="AT55" i="7"/>
  <c r="AS55" i="7"/>
  <c r="AQ55" i="7"/>
  <c r="AP55" i="7"/>
  <c r="AO55" i="7"/>
  <c r="AM55" i="7"/>
  <c r="AL55" i="7"/>
  <c r="AK55" i="7"/>
  <c r="AH55" i="7"/>
  <c r="AG55" i="7"/>
  <c r="AE55" i="7"/>
  <c r="AD55" i="7"/>
  <c r="AC55" i="7"/>
  <c r="AA55" i="7"/>
  <c r="Z55" i="7"/>
  <c r="W55" i="7"/>
  <c r="V55" i="7"/>
  <c r="U55" i="7"/>
  <c r="S55" i="7"/>
  <c r="R55" i="7"/>
  <c r="Q55" i="7"/>
  <c r="N55" i="7"/>
  <c r="M55" i="7"/>
  <c r="J56" i="7"/>
  <c r="BG55" i="7"/>
  <c r="BC55" i="7"/>
  <c r="BB55" i="7"/>
  <c r="AY55" i="7"/>
  <c r="AW55" i="7"/>
  <c r="AI55" i="7"/>
  <c r="Y55" i="7"/>
  <c r="O55" i="7"/>
  <c r="K12" i="1"/>
  <c r="K23" i="1"/>
  <c r="E48" i="9"/>
  <c r="G48" i="9" s="1"/>
  <c r="G56" i="7" s="1"/>
  <c r="E8" i="7"/>
  <c r="E42" i="7"/>
  <c r="D35" i="7"/>
  <c r="E29" i="7"/>
  <c r="D20" i="7"/>
  <c r="D7" i="7"/>
  <c r="Y43" i="10"/>
  <c r="N43" i="10"/>
  <c r="Y22" i="10"/>
  <c r="N22" i="10"/>
  <c r="Y1" i="10"/>
  <c r="N1" i="10"/>
  <c r="K47" i="10"/>
  <c r="I47" i="10"/>
  <c r="E47" i="10"/>
  <c r="C47" i="10"/>
  <c r="K26" i="10"/>
  <c r="I26" i="10"/>
  <c r="E26" i="10"/>
  <c r="C26" i="10"/>
  <c r="BG18" i="7"/>
  <c r="BE18" i="7"/>
  <c r="BC18" i="7"/>
  <c r="BA18" i="7"/>
  <c r="AY18" i="7"/>
  <c r="AX18" i="7"/>
  <c r="AW18" i="7"/>
  <c r="AU18" i="7"/>
  <c r="AS18" i="7"/>
  <c r="AQ18" i="7"/>
  <c r="AP18" i="7"/>
  <c r="AO18" i="7"/>
  <c r="AM18" i="7"/>
  <c r="AL18" i="7"/>
  <c r="AK18" i="7"/>
  <c r="AI18" i="7"/>
  <c r="AH18" i="7"/>
  <c r="AG18" i="7"/>
  <c r="AE18" i="7"/>
  <c r="AD18" i="7"/>
  <c r="AC18" i="7"/>
  <c r="AA18" i="7"/>
  <c r="Z18" i="7"/>
  <c r="Y18" i="7"/>
  <c r="W18" i="7"/>
  <c r="V18" i="7"/>
  <c r="U18" i="7"/>
  <c r="S18" i="7"/>
  <c r="R18" i="7"/>
  <c r="Q18" i="7"/>
  <c r="N18" i="7"/>
  <c r="K6" i="10"/>
  <c r="I6" i="10"/>
  <c r="E6" i="10"/>
  <c r="C6" i="10"/>
  <c r="I57" i="7" l="1" a="1"/>
  <c r="I57" i="7" s="1"/>
  <c r="I56" i="7" s="1"/>
  <c r="I51" i="7"/>
  <c r="E35" i="7"/>
  <c r="J17" i="13"/>
  <c r="K17" i="13" s="1"/>
  <c r="J18" i="13"/>
  <c r="K18" i="13" s="1"/>
  <c r="J22" i="13"/>
  <c r="K22" i="13" s="1"/>
  <c r="J23" i="13"/>
  <c r="K23" i="13" s="1"/>
  <c r="J21" i="13"/>
  <c r="K21" i="13" s="1"/>
  <c r="J19" i="13"/>
  <c r="K19" i="13" s="1"/>
  <c r="J20" i="13"/>
  <c r="K20" i="13" s="1"/>
  <c r="E20" i="7"/>
  <c r="J12" i="13"/>
  <c r="K12" i="13" s="1"/>
  <c r="J15" i="13"/>
  <c r="K15" i="13" s="1"/>
  <c r="J10" i="13"/>
  <c r="K10" i="13" s="1"/>
  <c r="J16" i="13"/>
  <c r="K16" i="13" s="1"/>
  <c r="J11" i="13"/>
  <c r="K11" i="13" s="1"/>
  <c r="J14" i="13"/>
  <c r="K14" i="13" s="1"/>
  <c r="J9" i="13"/>
  <c r="K9" i="13" s="1"/>
  <c r="J13" i="13"/>
  <c r="K13" i="13" s="1"/>
  <c r="E7" i="7"/>
  <c r="J5" i="13"/>
  <c r="K5" i="13" s="1"/>
  <c r="J4" i="13"/>
  <c r="K4" i="13" s="1"/>
  <c r="J7" i="13"/>
  <c r="K7" i="13" s="1"/>
  <c r="J8" i="13"/>
  <c r="K8" i="13" s="1"/>
  <c r="J6" i="13"/>
  <c r="K6" i="13" s="1"/>
  <c r="J3" i="13"/>
  <c r="K3" i="13" s="1"/>
  <c r="J2" i="13"/>
  <c r="K2" i="13" s="1"/>
  <c r="K58" i="7"/>
  <c r="H51" i="7"/>
  <c r="H57" i="7" a="1"/>
  <c r="H57" i="7" s="1"/>
  <c r="H7" i="10"/>
  <c r="I7" i="10" s="1"/>
  <c r="AT18" i="7"/>
  <c r="BF18" i="7"/>
  <c r="BK51" i="7" l="1"/>
  <c r="K57" i="7"/>
  <c r="H56" i="7"/>
  <c r="BE40" i="7" l="1"/>
  <c r="BE33" i="7"/>
  <c r="BE27" i="7"/>
  <c r="BA40" i="7"/>
  <c r="BA33" i="7"/>
  <c r="BA27" i="7"/>
  <c r="AW40" i="7"/>
  <c r="AW33" i="7"/>
  <c r="AW27" i="7"/>
  <c r="AS40" i="7"/>
  <c r="AS33" i="7"/>
  <c r="AS27" i="7"/>
  <c r="AO40" i="7"/>
  <c r="AO33" i="7"/>
  <c r="AO27" i="7"/>
  <c r="AK40" i="7"/>
  <c r="AK33" i="7"/>
  <c r="AK27" i="7"/>
  <c r="AG40" i="7"/>
  <c r="AG33" i="7"/>
  <c r="AG27" i="7"/>
  <c r="AC40" i="7"/>
  <c r="AC33" i="7"/>
  <c r="AC27" i="7"/>
  <c r="Y40" i="7"/>
  <c r="Y33" i="7"/>
  <c r="Y27" i="7"/>
  <c r="U40" i="7"/>
  <c r="U33" i="7"/>
  <c r="U5" i="7"/>
  <c r="Q40" i="7"/>
  <c r="Q27" i="7"/>
  <c r="M40" i="7"/>
  <c r="H48" i="10" s="1"/>
  <c r="I48" i="10" s="1"/>
  <c r="M33" i="7"/>
  <c r="H27" i="10" s="1"/>
  <c r="I27" i="10" s="1"/>
  <c r="M27" i="7"/>
  <c r="B48" i="10" s="1"/>
  <c r="C48" i="10" s="1"/>
  <c r="M5" i="7"/>
  <c r="B27" i="10" s="1"/>
  <c r="C27" i="10" s="1"/>
  <c r="BG40" i="7"/>
  <c r="BF40" i="7"/>
  <c r="BC40" i="7"/>
  <c r="BB40" i="7"/>
  <c r="AY40" i="7"/>
  <c r="AX40" i="7"/>
  <c r="AU40" i="7"/>
  <c r="AT40" i="7"/>
  <c r="AQ40" i="7"/>
  <c r="AP40" i="7"/>
  <c r="AM40" i="7"/>
  <c r="AL40" i="7"/>
  <c r="AI40" i="7"/>
  <c r="AH40" i="7"/>
  <c r="AE40" i="7"/>
  <c r="AD40" i="7"/>
  <c r="AA40" i="7"/>
  <c r="Z40" i="7"/>
  <c r="W40" i="7"/>
  <c r="V40" i="7"/>
  <c r="S40" i="7"/>
  <c r="R40" i="7"/>
  <c r="O40" i="7"/>
  <c r="N40" i="7"/>
  <c r="J48" i="10" s="1"/>
  <c r="K48" i="10" s="1"/>
  <c r="BG27" i="7"/>
  <c r="BF27" i="7"/>
  <c r="BC27" i="7"/>
  <c r="BB27" i="7"/>
  <c r="AY27" i="7"/>
  <c r="AX27" i="7"/>
  <c r="AU27" i="7"/>
  <c r="AT27" i="7"/>
  <c r="AQ27" i="7"/>
  <c r="AP27" i="7"/>
  <c r="AM27" i="7"/>
  <c r="AL27" i="7"/>
  <c r="AI27" i="7"/>
  <c r="AH27" i="7"/>
  <c r="AE27" i="7"/>
  <c r="AD27" i="7"/>
  <c r="AA27" i="7"/>
  <c r="Z27" i="7"/>
  <c r="W27" i="7"/>
  <c r="V27" i="7"/>
  <c r="S27" i="7"/>
  <c r="R27" i="7"/>
  <c r="O27" i="7"/>
  <c r="BG33" i="7"/>
  <c r="BF33" i="7"/>
  <c r="BC33" i="7"/>
  <c r="BB33" i="7"/>
  <c r="AY33" i="7"/>
  <c r="AX33" i="7"/>
  <c r="AU33" i="7"/>
  <c r="AT33" i="7"/>
  <c r="AQ33" i="7"/>
  <c r="AP33" i="7"/>
  <c r="AM33" i="7"/>
  <c r="AL33" i="7"/>
  <c r="AI33" i="7"/>
  <c r="AH33" i="7"/>
  <c r="AE33" i="7"/>
  <c r="AD33" i="7"/>
  <c r="AA33" i="7"/>
  <c r="Z33" i="7"/>
  <c r="W33" i="7"/>
  <c r="V33" i="7"/>
  <c r="O33" i="7"/>
  <c r="N33" i="7"/>
  <c r="N27" i="7"/>
  <c r="D48" i="10" s="1"/>
  <c r="E48" i="10" s="1"/>
  <c r="BG5" i="7"/>
  <c r="AY5" i="7"/>
  <c r="AU5" i="7"/>
  <c r="AQ5" i="7"/>
  <c r="AM5" i="7"/>
  <c r="AI5" i="7"/>
  <c r="AE5" i="7"/>
  <c r="AA5" i="7"/>
  <c r="W5" i="7"/>
  <c r="S5" i="7"/>
  <c r="J42" i="7"/>
  <c r="J35" i="7"/>
  <c r="J29" i="7"/>
  <c r="J7" i="7"/>
  <c r="J8" i="7"/>
  <c r="J20" i="7"/>
  <c r="J28" i="7"/>
  <c r="G42" i="7"/>
  <c r="I42" i="7" s="1" a="1"/>
  <c r="I42" i="7" s="1"/>
  <c r="I41" i="7" s="1"/>
  <c r="G35" i="7"/>
  <c r="I35" i="7" s="1" a="1"/>
  <c r="I35" i="7" s="1"/>
  <c r="I34" i="7" s="1"/>
  <c r="G29" i="7"/>
  <c r="I29" i="7" s="1" a="1"/>
  <c r="I29" i="7" s="1"/>
  <c r="I28" i="7" s="1"/>
  <c r="G20" i="7"/>
  <c r="I20" i="7" s="1" a="1"/>
  <c r="I20" i="7" s="1"/>
  <c r="I19" i="7" s="1"/>
  <c r="G8" i="7"/>
  <c r="I8" i="7" s="1" a="1"/>
  <c r="I8" i="7" s="1"/>
  <c r="G7" i="7"/>
  <c r="I7" i="7" s="1" a="1"/>
  <c r="I7" i="7" s="1"/>
  <c r="I6" i="7" s="1"/>
  <c r="C29" i="9"/>
  <c r="E29" i="9" s="1"/>
  <c r="G29" i="9" s="1"/>
  <c r="J19" i="7"/>
  <c r="H29" i="7" l="1" a="1"/>
  <c r="H29" i="7" s="1"/>
  <c r="H20" i="7" a="1"/>
  <c r="H20" i="7" s="1"/>
  <c r="H35" i="7" a="1"/>
  <c r="H35" i="7" s="1"/>
  <c r="H42" i="7" a="1"/>
  <c r="H42" i="7" s="1"/>
  <c r="H41" i="7" s="1"/>
  <c r="H8" i="7" a="1"/>
  <c r="H8" i="7" s="1"/>
  <c r="H7" i="7" a="1"/>
  <c r="H7" i="7" s="1"/>
  <c r="J27" i="10"/>
  <c r="K27" i="10" s="1"/>
  <c r="D8" i="10"/>
  <c r="R5" i="7"/>
  <c r="AT5" i="7"/>
  <c r="D15" i="10"/>
  <c r="AC5" i="7"/>
  <c r="B11" i="10"/>
  <c r="AO5" i="7"/>
  <c r="B14" i="10"/>
  <c r="Z5" i="7"/>
  <c r="D10" i="10"/>
  <c r="D16" i="10"/>
  <c r="AX5" i="7"/>
  <c r="D9" i="10"/>
  <c r="V5" i="7"/>
  <c r="Q5" i="7"/>
  <c r="B8" i="10"/>
  <c r="B17" i="10"/>
  <c r="AD5" i="7"/>
  <c r="D11" i="10"/>
  <c r="AG5" i="7"/>
  <c r="B12" i="10"/>
  <c r="AS5" i="7"/>
  <c r="B15" i="10"/>
  <c r="BE5" i="7"/>
  <c r="B18" i="10"/>
  <c r="B9" i="10"/>
  <c r="U27" i="7"/>
  <c r="AP5" i="7"/>
  <c r="D14" i="10"/>
  <c r="D12" i="10"/>
  <c r="AH5" i="7"/>
  <c r="BF5" i="7"/>
  <c r="D18" i="10"/>
  <c r="D13" i="10"/>
  <c r="AL5" i="7"/>
  <c r="B10" i="10"/>
  <c r="Y5" i="7"/>
  <c r="B13" i="10"/>
  <c r="AK5" i="7"/>
  <c r="B16" i="10"/>
  <c r="AW5" i="7"/>
  <c r="D17" i="10"/>
  <c r="BB18" i="7"/>
  <c r="J6" i="7"/>
  <c r="BI6" i="7" l="1"/>
  <c r="O5" i="7"/>
  <c r="D7" i="10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N5" i="7"/>
  <c r="D27" i="10" s="1"/>
  <c r="E27" i="10" s="1"/>
  <c r="O18" i="7" l="1"/>
  <c r="E9" i="9"/>
  <c r="G9" i="9" s="1"/>
  <c r="J34" i="7" l="1"/>
  <c r="J41" i="7"/>
  <c r="H6" i="7" l="1"/>
  <c r="F47" i="1" l="1"/>
  <c r="K47" i="1" s="1"/>
  <c r="F30" i="1"/>
  <c r="K30" i="1" s="1"/>
  <c r="F48" i="1"/>
  <c r="K48" i="1" s="1"/>
  <c r="F49" i="1"/>
  <c r="K49" i="1" s="1"/>
  <c r="F50" i="1"/>
  <c r="K50" i="1" s="1"/>
  <c r="F51" i="1"/>
  <c r="K51" i="1" s="1"/>
  <c r="F52" i="1"/>
  <c r="K52" i="1" s="1"/>
  <c r="F53" i="1"/>
  <c r="K53" i="1" s="1"/>
  <c r="K46" i="1"/>
  <c r="H34" i="7"/>
  <c r="H28" i="7"/>
  <c r="H19" i="7"/>
  <c r="C41" i="9"/>
  <c r="E41" i="9" s="1"/>
  <c r="G41" i="9" s="1"/>
  <c r="C35" i="9"/>
  <c r="E35" i="9" s="1"/>
  <c r="G35" i="9" s="1"/>
  <c r="C26" i="9"/>
  <c r="E26" i="9" s="1"/>
  <c r="G26" i="9" s="1"/>
  <c r="C24" i="9"/>
  <c r="E24" i="9" s="1"/>
  <c r="G24" i="9" s="1"/>
  <c r="G51" i="7" s="1"/>
  <c r="K51" i="7" s="1"/>
  <c r="F11" i="1" s="1"/>
  <c r="I11" i="1" s="1"/>
  <c r="L11" i="1" s="1"/>
  <c r="C14" i="9"/>
  <c r="E14" i="9" s="1"/>
  <c r="G14" i="9" s="1"/>
  <c r="E18" i="9"/>
  <c r="G18" i="9" s="1"/>
  <c r="E3" i="9"/>
  <c r="G3" i="9" s="1"/>
  <c r="C11" i="9"/>
  <c r="E11" i="9" s="1"/>
  <c r="G11" i="9" s="1"/>
  <c r="G6" i="7" s="1"/>
  <c r="E45" i="9"/>
  <c r="G45" i="9" s="1"/>
  <c r="E39" i="9"/>
  <c r="G39" i="9" s="1"/>
  <c r="G28" i="7" s="1"/>
  <c r="E33" i="9"/>
  <c r="G33" i="9" s="1"/>
  <c r="G34" i="7" s="1"/>
  <c r="E22" i="9"/>
  <c r="G22" i="9" s="1"/>
  <c r="E20" i="9"/>
  <c r="G20" i="9" s="1"/>
  <c r="E7" i="9"/>
  <c r="G7" i="9" s="1"/>
  <c r="X53" i="7" l="1"/>
  <c r="T53" i="7"/>
  <c r="AR53" i="7"/>
  <c r="AJ53" i="7"/>
  <c r="P53" i="7"/>
  <c r="BH53" i="7"/>
  <c r="BD53" i="7"/>
  <c r="AZ53" i="7"/>
  <c r="AV53" i="7"/>
  <c r="AN53" i="7"/>
  <c r="AF53" i="7"/>
  <c r="AB53" i="7"/>
  <c r="K53" i="7"/>
  <c r="AN58" i="7"/>
  <c r="AJ58" i="7"/>
  <c r="AF58" i="7"/>
  <c r="AB58" i="7"/>
  <c r="X58" i="7"/>
  <c r="AR58" i="7"/>
  <c r="T58" i="7"/>
  <c r="P58" i="7"/>
  <c r="BH58" i="7"/>
  <c r="BD58" i="7"/>
  <c r="AZ58" i="7"/>
  <c r="AV58" i="7"/>
  <c r="P54" i="7"/>
  <c r="T54" i="7"/>
  <c r="BH54" i="7"/>
  <c r="AB54" i="7"/>
  <c r="X54" i="7"/>
  <c r="BD54" i="7"/>
  <c r="AZ54" i="7"/>
  <c r="AV54" i="7"/>
  <c r="AR54" i="7"/>
  <c r="AN54" i="7"/>
  <c r="AJ54" i="7"/>
  <c r="AF54" i="7"/>
  <c r="K54" i="7"/>
  <c r="AZ49" i="7"/>
  <c r="P48" i="7"/>
  <c r="AJ48" i="7"/>
  <c r="AV49" i="7"/>
  <c r="BH48" i="7"/>
  <c r="BD49" i="7"/>
  <c r="AR49" i="7"/>
  <c r="BD48" i="7"/>
  <c r="AN48" i="7"/>
  <c r="AF48" i="7"/>
  <c r="AN49" i="7"/>
  <c r="AZ48" i="7"/>
  <c r="AJ49" i="7"/>
  <c r="AV48" i="7"/>
  <c r="AB49" i="7"/>
  <c r="X49" i="7"/>
  <c r="T49" i="7"/>
  <c r="T48" i="7"/>
  <c r="AF49" i="7"/>
  <c r="AR48" i="7"/>
  <c r="P49" i="7"/>
  <c r="AB48" i="7"/>
  <c r="BH49" i="7"/>
  <c r="X48" i="7"/>
  <c r="AZ47" i="7"/>
  <c r="BH46" i="7"/>
  <c r="AV47" i="7"/>
  <c r="BD46" i="7"/>
  <c r="AR47" i="7"/>
  <c r="AZ46" i="7"/>
  <c r="AN47" i="7"/>
  <c r="AV46" i="7"/>
  <c r="AJ47" i="7"/>
  <c r="AR46" i="7"/>
  <c r="AF47" i="7"/>
  <c r="AN46" i="7"/>
  <c r="AB47" i="7"/>
  <c r="AJ46" i="7"/>
  <c r="X47" i="7"/>
  <c r="AF46" i="7"/>
  <c r="T47" i="7"/>
  <c r="AB46" i="7"/>
  <c r="P47" i="7"/>
  <c r="X46" i="7"/>
  <c r="BH47" i="7"/>
  <c r="T46" i="7"/>
  <c r="BD47" i="7"/>
  <c r="P46" i="7"/>
  <c r="AJ45" i="7"/>
  <c r="AV44" i="7"/>
  <c r="T43" i="7"/>
  <c r="AZ45" i="7"/>
  <c r="AJ43" i="7"/>
  <c r="AV45" i="7"/>
  <c r="AR45" i="7"/>
  <c r="AZ44" i="7"/>
  <c r="AF45" i="7"/>
  <c r="AR44" i="7"/>
  <c r="P43" i="7"/>
  <c r="AB45" i="7"/>
  <c r="AN44" i="7"/>
  <c r="BH43" i="7"/>
  <c r="X45" i="7"/>
  <c r="AJ44" i="7"/>
  <c r="BD43" i="7"/>
  <c r="BH44" i="7"/>
  <c r="AB43" i="7"/>
  <c r="T45" i="7"/>
  <c r="AF44" i="7"/>
  <c r="AZ43" i="7"/>
  <c r="P45" i="7"/>
  <c r="AB44" i="7"/>
  <c r="AV43" i="7"/>
  <c r="P44" i="7"/>
  <c r="AF43" i="7"/>
  <c r="BH45" i="7"/>
  <c r="X44" i="7"/>
  <c r="AR43" i="7"/>
  <c r="BD45" i="7"/>
  <c r="T44" i="7"/>
  <c r="AN43" i="7"/>
  <c r="BD44" i="7"/>
  <c r="AN45" i="7"/>
  <c r="X43" i="7"/>
  <c r="P39" i="7"/>
  <c r="AB38" i="7"/>
  <c r="AV37" i="7"/>
  <c r="BH36" i="7"/>
  <c r="BH39" i="7"/>
  <c r="X38" i="7"/>
  <c r="AR37" i="7"/>
  <c r="BD36" i="7"/>
  <c r="BD39" i="7"/>
  <c r="T38" i="7"/>
  <c r="AN37" i="7"/>
  <c r="AZ36" i="7"/>
  <c r="AZ39" i="7"/>
  <c r="P38" i="7"/>
  <c r="AJ37" i="7"/>
  <c r="AV36" i="7"/>
  <c r="AV39" i="7"/>
  <c r="AN39" i="7"/>
  <c r="AZ38" i="7"/>
  <c r="X37" i="7"/>
  <c r="AJ36" i="7"/>
  <c r="AV38" i="7"/>
  <c r="T37" i="7"/>
  <c r="P37" i="7"/>
  <c r="AB36" i="7"/>
  <c r="AN38" i="7"/>
  <c r="BH37" i="7"/>
  <c r="X36" i="7"/>
  <c r="T39" i="7"/>
  <c r="AF38" i="7"/>
  <c r="AZ37" i="7"/>
  <c r="BH38" i="7"/>
  <c r="AF37" i="7"/>
  <c r="AR36" i="7"/>
  <c r="AR39" i="7"/>
  <c r="BD38" i="7"/>
  <c r="AB37" i="7"/>
  <c r="AN36" i="7"/>
  <c r="AJ39" i="7"/>
  <c r="AF36" i="7"/>
  <c r="AF39" i="7"/>
  <c r="AR38" i="7"/>
  <c r="AB39" i="7"/>
  <c r="X39" i="7"/>
  <c r="AJ38" i="7"/>
  <c r="BD37" i="7"/>
  <c r="T36" i="7"/>
  <c r="P36" i="7"/>
  <c r="K39" i="7"/>
  <c r="K38" i="7"/>
  <c r="K36" i="7"/>
  <c r="K37" i="7"/>
  <c r="AV32" i="7"/>
  <c r="AB32" i="7"/>
  <c r="AR32" i="7"/>
  <c r="AN32" i="7"/>
  <c r="X32" i="7"/>
  <c r="T32" i="7"/>
  <c r="AJ32" i="7"/>
  <c r="P32" i="7"/>
  <c r="BH32" i="7"/>
  <c r="AZ32" i="7"/>
  <c r="AF32" i="7"/>
  <c r="BD32" i="7"/>
  <c r="K32" i="7"/>
  <c r="T17" i="7"/>
  <c r="AB16" i="7"/>
  <c r="AR15" i="7"/>
  <c r="AZ14" i="7"/>
  <c r="T13" i="7"/>
  <c r="AF12" i="7"/>
  <c r="AV11" i="7"/>
  <c r="BH10" i="7"/>
  <c r="AB9" i="7"/>
  <c r="BD13" i="7"/>
  <c r="T12" i="7"/>
  <c r="AJ11" i="7"/>
  <c r="AV10" i="7"/>
  <c r="P9" i="7"/>
  <c r="AZ17" i="7"/>
  <c r="BH16" i="7"/>
  <c r="AB15" i="7"/>
  <c r="AJ14" i="7"/>
  <c r="AZ13" i="7"/>
  <c r="P12" i="7"/>
  <c r="AF11" i="7"/>
  <c r="AR10" i="7"/>
  <c r="BH9" i="7"/>
  <c r="AV17" i="7"/>
  <c r="BD16" i="7"/>
  <c r="X15" i="7"/>
  <c r="AF14" i="7"/>
  <c r="AV13" i="7"/>
  <c r="BD12" i="7"/>
  <c r="AV16" i="7"/>
  <c r="P15" i="7"/>
  <c r="X14" i="7"/>
  <c r="AN13" i="7"/>
  <c r="T11" i="7"/>
  <c r="AJ17" i="7"/>
  <c r="T14" i="7"/>
  <c r="AJ13" i="7"/>
  <c r="AN16" i="7"/>
  <c r="P14" i="7"/>
  <c r="BH11" i="7"/>
  <c r="AN9" i="7"/>
  <c r="P17" i="7"/>
  <c r="X16" i="7"/>
  <c r="AN15" i="7"/>
  <c r="AV14" i="7"/>
  <c r="P13" i="7"/>
  <c r="AB12" i="7"/>
  <c r="AR11" i="7"/>
  <c r="BD10" i="7"/>
  <c r="X9" i="7"/>
  <c r="T16" i="7"/>
  <c r="AR14" i="7"/>
  <c r="BH13" i="7"/>
  <c r="BD17" i="7"/>
  <c r="P16" i="7"/>
  <c r="AF15" i="7"/>
  <c r="AN14" i="7"/>
  <c r="AN10" i="7"/>
  <c r="AZ16" i="7"/>
  <c r="T15" i="7"/>
  <c r="AR13" i="7"/>
  <c r="AJ10" i="7"/>
  <c r="AN17" i="7"/>
  <c r="AF10" i="7"/>
  <c r="AV9" i="7"/>
  <c r="AR16" i="7"/>
  <c r="BH15" i="7"/>
  <c r="AB10" i="7"/>
  <c r="AF17" i="7"/>
  <c r="AR12" i="7"/>
  <c r="X10" i="7"/>
  <c r="BH17" i="7"/>
  <c r="AJ15" i="7"/>
  <c r="X12" i="7"/>
  <c r="AN11" i="7"/>
  <c r="AZ10" i="7"/>
  <c r="T9" i="7"/>
  <c r="BH12" i="7"/>
  <c r="AB11" i="7"/>
  <c r="BD9" i="7"/>
  <c r="AZ12" i="7"/>
  <c r="P11" i="7"/>
  <c r="BD15" i="7"/>
  <c r="AF13" i="7"/>
  <c r="AR17" i="7"/>
  <c r="AB14" i="7"/>
  <c r="X11" i="7"/>
  <c r="AZ9" i="7"/>
  <c r="AV12" i="7"/>
  <c r="AR9" i="7"/>
  <c r="AV15" i="7"/>
  <c r="AN12" i="7"/>
  <c r="AJ12" i="7"/>
  <c r="AB17" i="7"/>
  <c r="BH14" i="7"/>
  <c r="X17" i="7"/>
  <c r="BD14" i="7"/>
  <c r="BD11" i="7"/>
  <c r="AF16" i="7"/>
  <c r="AB13" i="7"/>
  <c r="X13" i="7"/>
  <c r="T10" i="7"/>
  <c r="AZ11" i="7"/>
  <c r="AZ15" i="7"/>
  <c r="AJ9" i="7"/>
  <c r="AF9" i="7"/>
  <c r="AJ16" i="7"/>
  <c r="P10" i="7"/>
  <c r="K10" i="7"/>
  <c r="K16" i="7"/>
  <c r="K14" i="7"/>
  <c r="K12" i="7"/>
  <c r="K9" i="7"/>
  <c r="K15" i="7"/>
  <c r="K13" i="7"/>
  <c r="K17" i="7"/>
  <c r="K11" i="7"/>
  <c r="K45" i="1"/>
  <c r="K44" i="1" s="1"/>
  <c r="AV52" i="7"/>
  <c r="AR52" i="7"/>
  <c r="P52" i="7"/>
  <c r="K52" i="7"/>
  <c r="AN52" i="7"/>
  <c r="AJ52" i="7"/>
  <c r="BH52" i="7"/>
  <c r="AF52" i="7"/>
  <c r="T52" i="7"/>
  <c r="AB52" i="7"/>
  <c r="AZ52" i="7"/>
  <c r="X52" i="7"/>
  <c r="BD52" i="7"/>
  <c r="BJ51" i="7"/>
  <c r="BH31" i="7"/>
  <c r="AB30" i="7"/>
  <c r="AN30" i="7"/>
  <c r="BD31" i="7"/>
  <c r="X30" i="7"/>
  <c r="AZ31" i="7"/>
  <c r="T30" i="7"/>
  <c r="AV31" i="7"/>
  <c r="P30" i="7"/>
  <c r="AR31" i="7"/>
  <c r="BH30" i="7"/>
  <c r="X31" i="7"/>
  <c r="AN31" i="7"/>
  <c r="BD30" i="7"/>
  <c r="AJ31" i="7"/>
  <c r="AZ30" i="7"/>
  <c r="AF31" i="7"/>
  <c r="AV30" i="7"/>
  <c r="AB31" i="7"/>
  <c r="AR30" i="7"/>
  <c r="T31" i="7"/>
  <c r="AJ30" i="7"/>
  <c r="P31" i="7"/>
  <c r="AF30" i="7"/>
  <c r="K31" i="7"/>
  <c r="K30" i="7"/>
  <c r="K35" i="7"/>
  <c r="K29" i="7"/>
  <c r="G41" i="7"/>
  <c r="AZ8" i="7"/>
  <c r="BH8" i="7"/>
  <c r="X7" i="7"/>
  <c r="AF7" i="7"/>
  <c r="AN8" i="7"/>
  <c r="AB8" i="7"/>
  <c r="AN7" i="7"/>
  <c r="AV7" i="7"/>
  <c r="X8" i="7"/>
  <c r="BD7" i="7"/>
  <c r="AF8" i="7"/>
  <c r="AV8" i="7"/>
  <c r="T7" i="7"/>
  <c r="T8" i="7"/>
  <c r="BD8" i="7"/>
  <c r="AJ7" i="7"/>
  <c r="AR7" i="7"/>
  <c r="BH7" i="7"/>
  <c r="P8" i="7"/>
  <c r="AB7" i="7"/>
  <c r="AZ7" i="7"/>
  <c r="AJ8" i="7"/>
  <c r="AR8" i="7"/>
  <c r="P7" i="7"/>
  <c r="K7" i="7"/>
  <c r="BJ6" i="7"/>
  <c r="K6" i="1" s="1"/>
  <c r="P29" i="7"/>
  <c r="AJ57" i="7"/>
  <c r="AF57" i="7"/>
  <c r="AB57" i="7"/>
  <c r="X57" i="7"/>
  <c r="T57" i="7"/>
  <c r="P57" i="7"/>
  <c r="BH57" i="7"/>
  <c r="BD57" i="7"/>
  <c r="AZ57" i="7"/>
  <c r="AV57" i="7"/>
  <c r="AR57" i="7"/>
  <c r="AN57" i="7"/>
  <c r="BK28" i="7"/>
  <c r="BK34" i="7"/>
  <c r="BK41" i="7"/>
  <c r="BK19" i="7"/>
  <c r="AR29" i="7"/>
  <c r="BH29" i="7"/>
  <c r="AZ29" i="7"/>
  <c r="X29" i="7"/>
  <c r="AF29" i="7"/>
  <c r="AN29" i="7"/>
  <c r="AV29" i="7"/>
  <c r="BD29" i="7"/>
  <c r="AB29" i="7"/>
  <c r="T29" i="7"/>
  <c r="AJ29" i="7"/>
  <c r="BJ28" i="7"/>
  <c r="K8" i="1" s="1"/>
  <c r="BH35" i="7"/>
  <c r="AV35" i="7"/>
  <c r="AJ35" i="7"/>
  <c r="AB42" i="7"/>
  <c r="T42" i="7"/>
  <c r="X35" i="7"/>
  <c r="AZ42" i="7"/>
  <c r="AR42" i="7"/>
  <c r="AJ42" i="7"/>
  <c r="BH42" i="7"/>
  <c r="AZ35" i="7"/>
  <c r="AN35" i="7"/>
  <c r="AB35" i="7"/>
  <c r="AF42" i="7"/>
  <c r="X42" i="7"/>
  <c r="P42" i="7"/>
  <c r="BD35" i="7"/>
  <c r="AR35" i="7"/>
  <c r="AV42" i="7"/>
  <c r="AN42" i="7"/>
  <c r="AF35" i="7"/>
  <c r="P35" i="7"/>
  <c r="BD42" i="7"/>
  <c r="T35" i="7"/>
  <c r="BJ34" i="7"/>
  <c r="K9" i="1" s="1"/>
  <c r="G19" i="7"/>
  <c r="I46" i="1"/>
  <c r="L46" i="1" s="1"/>
  <c r="I51" i="1"/>
  <c r="L51" i="1" s="1"/>
  <c r="I48" i="1"/>
  <c r="L48" i="1" s="1"/>
  <c r="I53" i="1"/>
  <c r="L53" i="1" s="1"/>
  <c r="I52" i="1"/>
  <c r="L52" i="1" s="1"/>
  <c r="I50" i="1"/>
  <c r="L50" i="1" s="1"/>
  <c r="I49" i="1"/>
  <c r="L49" i="1" s="1"/>
  <c r="I47" i="1"/>
  <c r="L47" i="1" s="1"/>
  <c r="I30" i="1"/>
  <c r="L30" i="1" s="1"/>
  <c r="K34" i="7"/>
  <c r="K28" i="7"/>
  <c r="C8" i="1" s="1"/>
  <c r="F8" i="1" s="1"/>
  <c r="E5" i="9"/>
  <c r="G5" i="9" s="1"/>
  <c r="I23" i="1"/>
  <c r="L23" i="1" s="1"/>
  <c r="T41" i="7" l="1"/>
  <c r="AB41" i="7"/>
  <c r="AB40" i="7" s="1"/>
  <c r="X41" i="7"/>
  <c r="BD41" i="7"/>
  <c r="BD40" i="7" s="1"/>
  <c r="AN41" i="7"/>
  <c r="AR41" i="7"/>
  <c r="AR40" i="7" s="1"/>
  <c r="P41" i="7"/>
  <c r="P40" i="7" s="1"/>
  <c r="AF41" i="7"/>
  <c r="AJ41" i="7"/>
  <c r="AJ40" i="7" s="1"/>
  <c r="AZ41" i="7"/>
  <c r="AZ40" i="7" s="1"/>
  <c r="BH41" i="7"/>
  <c r="AV41" i="7"/>
  <c r="AV40" i="7" s="1"/>
  <c r="K49" i="7"/>
  <c r="K48" i="7"/>
  <c r="K46" i="7"/>
  <c r="K47" i="7"/>
  <c r="K44" i="7"/>
  <c r="K43" i="7"/>
  <c r="K45" i="7"/>
  <c r="T51" i="7"/>
  <c r="T50" i="7" s="1"/>
  <c r="AR51" i="7"/>
  <c r="AR50" i="7" s="1"/>
  <c r="AF51" i="7"/>
  <c r="AF50" i="7" s="1"/>
  <c r="AV51" i="7"/>
  <c r="AV50" i="7" s="1"/>
  <c r="BD51" i="7"/>
  <c r="BD50" i="7" s="1"/>
  <c r="AZ51" i="7"/>
  <c r="AZ50" i="7" s="1"/>
  <c r="X51" i="7"/>
  <c r="X50" i="7" s="1"/>
  <c r="AB51" i="7"/>
  <c r="AB50" i="7" s="1"/>
  <c r="P51" i="7"/>
  <c r="P50" i="7" s="1"/>
  <c r="BH51" i="7"/>
  <c r="BH50" i="7" s="1"/>
  <c r="AJ51" i="7"/>
  <c r="AJ50" i="7" s="1"/>
  <c r="AN51" i="7"/>
  <c r="AN50" i="7" s="1"/>
  <c r="K41" i="7"/>
  <c r="C10" i="1" s="1"/>
  <c r="F10" i="1" s="1"/>
  <c r="I10" i="1" s="1"/>
  <c r="P34" i="7"/>
  <c r="P33" i="7" s="1"/>
  <c r="AZ26" i="7"/>
  <c r="X25" i="7"/>
  <c r="AJ24" i="7"/>
  <c r="AZ23" i="7"/>
  <c r="P22" i="7"/>
  <c r="AJ21" i="7"/>
  <c r="AV26" i="7"/>
  <c r="T25" i="7"/>
  <c r="AF24" i="7"/>
  <c r="AV23" i="7"/>
  <c r="BH22" i="7"/>
  <c r="AF21" i="7"/>
  <c r="AR26" i="7"/>
  <c r="P25" i="7"/>
  <c r="AB24" i="7"/>
  <c r="AR23" i="7"/>
  <c r="BD22" i="7"/>
  <c r="AB21" i="7"/>
  <c r="T22" i="7"/>
  <c r="AN26" i="7"/>
  <c r="BH25" i="7"/>
  <c r="X24" i="7"/>
  <c r="AN23" i="7"/>
  <c r="AZ22" i="7"/>
  <c r="X21" i="7"/>
  <c r="AJ26" i="7"/>
  <c r="BD25" i="7"/>
  <c r="T24" i="7"/>
  <c r="AJ23" i="7"/>
  <c r="AV22" i="7"/>
  <c r="T21" i="7"/>
  <c r="AF26" i="7"/>
  <c r="AZ25" i="7"/>
  <c r="P24" i="7"/>
  <c r="AF23" i="7"/>
  <c r="AR22" i="7"/>
  <c r="P21" i="7"/>
  <c r="AB25" i="7"/>
  <c r="AN24" i="7"/>
  <c r="AB26" i="7"/>
  <c r="AV25" i="7"/>
  <c r="BH24" i="7"/>
  <c r="AB23" i="7"/>
  <c r="AN22" i="7"/>
  <c r="BH21" i="7"/>
  <c r="X26" i="7"/>
  <c r="AR25" i="7"/>
  <c r="BD24" i="7"/>
  <c r="X23" i="7"/>
  <c r="AJ22" i="7"/>
  <c r="BD21" i="7"/>
  <c r="T26" i="7"/>
  <c r="AN25" i="7"/>
  <c r="AZ24" i="7"/>
  <c r="T23" i="7"/>
  <c r="AF22" i="7"/>
  <c r="AZ21" i="7"/>
  <c r="BD23" i="7"/>
  <c r="P26" i="7"/>
  <c r="AJ25" i="7"/>
  <c r="AV24" i="7"/>
  <c r="P23" i="7"/>
  <c r="AB22" i="7"/>
  <c r="AV21" i="7"/>
  <c r="BD26" i="7"/>
  <c r="AN21" i="7"/>
  <c r="BH26" i="7"/>
  <c r="AF25" i="7"/>
  <c r="AR24" i="7"/>
  <c r="BH23" i="7"/>
  <c r="X22" i="7"/>
  <c r="AR21" i="7"/>
  <c r="K22" i="7"/>
  <c r="K25" i="7"/>
  <c r="K21" i="7"/>
  <c r="K24" i="7"/>
  <c r="K23" i="7"/>
  <c r="K26" i="7"/>
  <c r="K20" i="7"/>
  <c r="K42" i="7"/>
  <c r="C11" i="1" s="1"/>
  <c r="BJ56" i="7"/>
  <c r="BJ41" i="7"/>
  <c r="K10" i="1" s="1"/>
  <c r="AF56" i="7"/>
  <c r="AF55" i="7" s="1"/>
  <c r="AF34" i="7"/>
  <c r="AF33" i="7" s="1"/>
  <c r="P6" i="7"/>
  <c r="P5" i="7" s="1"/>
  <c r="D28" i="10" s="1"/>
  <c r="E28" i="10" s="1"/>
  <c r="P56" i="7"/>
  <c r="P55" i="7" s="1"/>
  <c r="AN56" i="7"/>
  <c r="AN55" i="7" s="1"/>
  <c r="BD6" i="7"/>
  <c r="BD5" i="7" s="1"/>
  <c r="AV6" i="7"/>
  <c r="AV5" i="7" s="1"/>
  <c r="AB34" i="7"/>
  <c r="AB33" i="7" s="1"/>
  <c r="AN6" i="7"/>
  <c r="AN5" i="7" s="1"/>
  <c r="AV34" i="7"/>
  <c r="AV33" i="7" s="1"/>
  <c r="AJ56" i="7"/>
  <c r="AJ55" i="7" s="1"/>
  <c r="AJ34" i="7"/>
  <c r="AJ33" i="7" s="1"/>
  <c r="BH6" i="7"/>
  <c r="BH5" i="7" s="1"/>
  <c r="AR6" i="7"/>
  <c r="AR5" i="7" s="1"/>
  <c r="AF6" i="7"/>
  <c r="AF5" i="7" s="1"/>
  <c r="AZ6" i="7"/>
  <c r="AZ5" i="7" s="1"/>
  <c r="T6" i="7"/>
  <c r="T5" i="7" s="1"/>
  <c r="X6" i="7"/>
  <c r="X5" i="7" s="1"/>
  <c r="AB6" i="7"/>
  <c r="AB5" i="7" s="1"/>
  <c r="AJ6" i="7"/>
  <c r="AJ5" i="7" s="1"/>
  <c r="T34" i="7"/>
  <c r="T33" i="7" s="1"/>
  <c r="J29" i="10" s="1"/>
  <c r="AF28" i="7"/>
  <c r="AF27" i="7" s="1"/>
  <c r="X28" i="7"/>
  <c r="X27" i="7" s="1"/>
  <c r="AJ28" i="7"/>
  <c r="AJ27" i="7" s="1"/>
  <c r="AR56" i="7"/>
  <c r="AR55" i="7" s="1"/>
  <c r="T56" i="7"/>
  <c r="T55" i="7" s="1"/>
  <c r="X34" i="7"/>
  <c r="X33" i="7" s="1"/>
  <c r="T28" i="7"/>
  <c r="T27" i="7" s="1"/>
  <c r="AR28" i="7"/>
  <c r="AR27" i="7" s="1"/>
  <c r="AV56" i="7"/>
  <c r="AV55" i="7" s="1"/>
  <c r="X56" i="7"/>
  <c r="X55" i="7" s="1"/>
  <c r="AB28" i="7"/>
  <c r="AB27" i="7" s="1"/>
  <c r="AR34" i="7"/>
  <c r="AR33" i="7" s="1"/>
  <c r="AN34" i="7"/>
  <c r="AN33" i="7" s="1"/>
  <c r="T40" i="7"/>
  <c r="AV28" i="7"/>
  <c r="AV27" i="7" s="1"/>
  <c r="AZ56" i="7"/>
  <c r="AZ55" i="7" s="1"/>
  <c r="AB56" i="7"/>
  <c r="AB55" i="7" s="1"/>
  <c r="AZ34" i="7"/>
  <c r="AZ33" i="7" s="1"/>
  <c r="AN28" i="7"/>
  <c r="AN27" i="7" s="1"/>
  <c r="P28" i="7"/>
  <c r="P27" i="7" s="1"/>
  <c r="BH56" i="7"/>
  <c r="BH55" i="7" s="1"/>
  <c r="BH34" i="7"/>
  <c r="BH33" i="7" s="1"/>
  <c r="BH28" i="7"/>
  <c r="BH27" i="7" s="1"/>
  <c r="BD28" i="7"/>
  <c r="BD27" i="7" s="1"/>
  <c r="BD34" i="7"/>
  <c r="BD33" i="7" s="1"/>
  <c r="BD56" i="7"/>
  <c r="BD55" i="7" s="1"/>
  <c r="AZ28" i="7"/>
  <c r="AZ27" i="7" s="1"/>
  <c r="AB20" i="7"/>
  <c r="X20" i="7"/>
  <c r="AV20" i="7"/>
  <c r="T20" i="7"/>
  <c r="AN20" i="7"/>
  <c r="AZ20" i="7"/>
  <c r="AJ20" i="7"/>
  <c r="AR20" i="7"/>
  <c r="P20" i="7"/>
  <c r="AF20" i="7"/>
  <c r="BD20" i="7"/>
  <c r="BH20" i="7"/>
  <c r="H29" i="10"/>
  <c r="BJ19" i="7"/>
  <c r="K7" i="1" s="1"/>
  <c r="K19" i="7"/>
  <c r="C7" i="1" s="1"/>
  <c r="F7" i="1" s="1"/>
  <c r="K8" i="7"/>
  <c r="I8" i="1"/>
  <c r="L8" i="1" s="1"/>
  <c r="C9" i="1"/>
  <c r="F9" i="1" s="1"/>
  <c r="B28" i="10" l="1"/>
  <c r="C28" i="10" s="1"/>
  <c r="D38" i="10"/>
  <c r="B38" i="10"/>
  <c r="AN19" i="7"/>
  <c r="AN18" i="7" s="1"/>
  <c r="K5" i="1"/>
  <c r="T19" i="7"/>
  <c r="T18" i="7" s="1"/>
  <c r="AR19" i="7"/>
  <c r="AR18" i="7" s="1"/>
  <c r="AF40" i="7"/>
  <c r="AZ19" i="7"/>
  <c r="AZ18" i="7" s="1"/>
  <c r="AN40" i="7"/>
  <c r="BH40" i="7"/>
  <c r="B35" i="10"/>
  <c r="D35" i="10"/>
  <c r="AF19" i="7"/>
  <c r="AF18" i="7" s="1"/>
  <c r="B32" i="10"/>
  <c r="D32" i="10"/>
  <c r="B33" i="10"/>
  <c r="D33" i="10"/>
  <c r="B29" i="10"/>
  <c r="C29" i="10" s="1"/>
  <c r="D29" i="10"/>
  <c r="E29" i="10" s="1"/>
  <c r="B34" i="10"/>
  <c r="D34" i="10"/>
  <c r="B37" i="10"/>
  <c r="D37" i="10"/>
  <c r="B36" i="10"/>
  <c r="D36" i="10"/>
  <c r="B31" i="10"/>
  <c r="D31" i="10"/>
  <c r="B30" i="10"/>
  <c r="D30" i="10"/>
  <c r="H37" i="10"/>
  <c r="J37" i="10"/>
  <c r="B50" i="10"/>
  <c r="D50" i="10"/>
  <c r="B56" i="10"/>
  <c r="D56" i="10"/>
  <c r="H59" i="10"/>
  <c r="J59" i="10"/>
  <c r="B59" i="10"/>
  <c r="D59" i="10"/>
  <c r="B55" i="10"/>
  <c r="D55" i="10"/>
  <c r="H30" i="10"/>
  <c r="J30" i="10"/>
  <c r="H53" i="10"/>
  <c r="J53" i="10"/>
  <c r="X40" i="7"/>
  <c r="B58" i="10"/>
  <c r="D58" i="10"/>
  <c r="H35" i="10"/>
  <c r="J35" i="10"/>
  <c r="H31" i="10"/>
  <c r="J31" i="10"/>
  <c r="B57" i="10"/>
  <c r="D57" i="10"/>
  <c r="B49" i="10"/>
  <c r="C49" i="10" s="1"/>
  <c r="D49" i="10"/>
  <c r="E49" i="10" s="1"/>
  <c r="H49" i="10"/>
  <c r="I49" i="10" s="1"/>
  <c r="J49" i="10"/>
  <c r="K49" i="10" s="1"/>
  <c r="H52" i="10"/>
  <c r="J52" i="10"/>
  <c r="H56" i="10"/>
  <c r="J56" i="10"/>
  <c r="H36" i="10"/>
  <c r="J36" i="10"/>
  <c r="H28" i="10"/>
  <c r="I28" i="10" s="1"/>
  <c r="I29" i="10" s="1"/>
  <c r="J28" i="10"/>
  <c r="K28" i="10" s="1"/>
  <c r="K29" i="10" s="1"/>
  <c r="P19" i="7"/>
  <c r="P18" i="7" s="1"/>
  <c r="B52" i="10"/>
  <c r="D52" i="10"/>
  <c r="AV19" i="7"/>
  <c r="AV18" i="7" s="1"/>
  <c r="H34" i="10"/>
  <c r="J34" i="10"/>
  <c r="H38" i="10"/>
  <c r="J38" i="10"/>
  <c r="B54" i="10"/>
  <c r="D54" i="10"/>
  <c r="X19" i="7"/>
  <c r="X18" i="7" s="1"/>
  <c r="H50" i="10"/>
  <c r="J50" i="10"/>
  <c r="H55" i="10"/>
  <c r="J55" i="10"/>
  <c r="B51" i="10"/>
  <c r="D51" i="10"/>
  <c r="H33" i="10"/>
  <c r="J33" i="10"/>
  <c r="H54" i="10"/>
  <c r="J54" i="10"/>
  <c r="H32" i="10"/>
  <c r="J32" i="10"/>
  <c r="AJ19" i="7"/>
  <c r="AJ18" i="7" s="1"/>
  <c r="AB19" i="7"/>
  <c r="AB18" i="7" s="1"/>
  <c r="B53" i="10"/>
  <c r="D53" i="10"/>
  <c r="H58" i="10"/>
  <c r="J58" i="10"/>
  <c r="H57" i="10"/>
  <c r="J57" i="10"/>
  <c r="BH19" i="7"/>
  <c r="BH18" i="7" s="1"/>
  <c r="BD19" i="7"/>
  <c r="BD18" i="7" s="1"/>
  <c r="I9" i="1"/>
  <c r="L9" i="1" s="1"/>
  <c r="I7" i="1"/>
  <c r="L7" i="1" s="1"/>
  <c r="L10" i="1"/>
  <c r="I30" i="10" l="1"/>
  <c r="I31" i="10" s="1"/>
  <c r="I32" i="10" s="1"/>
  <c r="I33" i="10" s="1"/>
  <c r="I34" i="10" s="1"/>
  <c r="I35" i="10" s="1"/>
  <c r="I36" i="10" s="1"/>
  <c r="I37" i="10" s="1"/>
  <c r="I38" i="10" s="1"/>
  <c r="C50" i="10"/>
  <c r="C51" i="10" s="1"/>
  <c r="C52" i="10" s="1"/>
  <c r="C53" i="10" s="1"/>
  <c r="C54" i="10" s="1"/>
  <c r="C55" i="10" s="1"/>
  <c r="C56" i="10" s="1"/>
  <c r="C57" i="10" s="1"/>
  <c r="C58" i="10" s="1"/>
  <c r="C59" i="10" s="1"/>
  <c r="E30" i="10"/>
  <c r="E31" i="10" s="1"/>
  <c r="E32" i="10" s="1"/>
  <c r="E33" i="10" s="1"/>
  <c r="E34" i="10" s="1"/>
  <c r="E35" i="10" s="1"/>
  <c r="E36" i="10" s="1"/>
  <c r="E37" i="10" s="1"/>
  <c r="E38" i="10" s="1"/>
  <c r="C30" i="10"/>
  <c r="C31" i="10" s="1"/>
  <c r="C32" i="10" s="1"/>
  <c r="C33" i="10" s="1"/>
  <c r="C34" i="10" s="1"/>
  <c r="C35" i="10" s="1"/>
  <c r="C36" i="10" s="1"/>
  <c r="C37" i="10" s="1"/>
  <c r="C38" i="10" s="1"/>
  <c r="I50" i="10"/>
  <c r="H10" i="10"/>
  <c r="J10" i="10"/>
  <c r="H18" i="10"/>
  <c r="J18" i="10"/>
  <c r="H12" i="10"/>
  <c r="J12" i="10"/>
  <c r="H9" i="10"/>
  <c r="J9" i="10"/>
  <c r="H14" i="10"/>
  <c r="J14" i="10"/>
  <c r="H17" i="10"/>
  <c r="J17" i="10"/>
  <c r="H16" i="10"/>
  <c r="J16" i="10"/>
  <c r="K50" i="10"/>
  <c r="H51" i="10"/>
  <c r="J51" i="10"/>
  <c r="H11" i="10"/>
  <c r="J11" i="10"/>
  <c r="H15" i="10"/>
  <c r="J15" i="10"/>
  <c r="E50" i="10"/>
  <c r="E51" i="10" s="1"/>
  <c r="E52" i="10" s="1"/>
  <c r="E53" i="10" s="1"/>
  <c r="E54" i="10" s="1"/>
  <c r="E55" i="10" s="1"/>
  <c r="E56" i="10" s="1"/>
  <c r="E57" i="10" s="1"/>
  <c r="E58" i="10" s="1"/>
  <c r="E59" i="10" s="1"/>
  <c r="H13" i="10"/>
  <c r="J13" i="10"/>
  <c r="H8" i="10"/>
  <c r="I8" i="10" s="1"/>
  <c r="J8" i="10"/>
  <c r="K30" i="10"/>
  <c r="K31" i="10" s="1"/>
  <c r="K32" i="10" s="1"/>
  <c r="K33" i="10" s="1"/>
  <c r="K34" i="10" s="1"/>
  <c r="K35" i="10" s="1"/>
  <c r="K36" i="10" s="1"/>
  <c r="K37" i="10" s="1"/>
  <c r="K38" i="10" s="1"/>
  <c r="F31" i="1"/>
  <c r="K31" i="1" s="1"/>
  <c r="F29" i="1"/>
  <c r="K29" i="1" s="1"/>
  <c r="F28" i="1"/>
  <c r="K28" i="1" s="1"/>
  <c r="F27" i="1"/>
  <c r="K27" i="1" s="1"/>
  <c r="F26" i="1"/>
  <c r="K26" i="1" s="1"/>
  <c r="F25" i="1"/>
  <c r="K25" i="1" s="1"/>
  <c r="C36" i="1"/>
  <c r="F36" i="1" s="1"/>
  <c r="K36" i="1" s="1"/>
  <c r="D25" i="3"/>
  <c r="G25" i="3" s="1"/>
  <c r="D15" i="3"/>
  <c r="G15" i="3" s="1"/>
  <c r="D11" i="3"/>
  <c r="G11" i="3" s="1"/>
  <c r="G32" i="3"/>
  <c r="G9" i="3"/>
  <c r="G28" i="3"/>
  <c r="D23" i="3"/>
  <c r="G23" i="3" s="1"/>
  <c r="C40" i="1"/>
  <c r="F40" i="1" s="1"/>
  <c r="K40" i="1" s="1"/>
  <c r="C41" i="1"/>
  <c r="F41" i="1" s="1"/>
  <c r="K41" i="1" s="1"/>
  <c r="C43" i="1"/>
  <c r="F43" i="1" s="1"/>
  <c r="C42" i="1"/>
  <c r="F42" i="1" s="1"/>
  <c r="K42" i="1" s="1"/>
  <c r="C38" i="1"/>
  <c r="F38" i="1" s="1"/>
  <c r="K38" i="1" s="1"/>
  <c r="C37" i="1"/>
  <c r="F37" i="1" s="1"/>
  <c r="K37" i="1" s="1"/>
  <c r="C35" i="1"/>
  <c r="F35" i="1" s="1"/>
  <c r="K35" i="1" s="1"/>
  <c r="C34" i="1"/>
  <c r="F34" i="1" s="1"/>
  <c r="K34" i="1" s="1"/>
  <c r="C33" i="1"/>
  <c r="F33" i="1" s="1"/>
  <c r="K33" i="1" s="1"/>
  <c r="G37" i="3"/>
  <c r="G39" i="3" s="1"/>
  <c r="G6" i="3"/>
  <c r="G10" i="3"/>
  <c r="G29" i="3"/>
  <c r="G30" i="3"/>
  <c r="G7" i="3"/>
  <c r="G33" i="3"/>
  <c r="G31" i="3"/>
  <c r="G5" i="3"/>
  <c r="G4" i="3"/>
  <c r="G8" i="3"/>
  <c r="D21" i="3"/>
  <c r="G21" i="3" s="1"/>
  <c r="D19" i="3"/>
  <c r="G19" i="3" s="1"/>
  <c r="D13" i="3"/>
  <c r="G3" i="3"/>
  <c r="F4" i="2"/>
  <c r="B4" i="2"/>
  <c r="E4" i="2" s="1"/>
  <c r="G4" i="2" s="1"/>
  <c r="B3" i="2"/>
  <c r="E3" i="2" s="1"/>
  <c r="G3" i="2" s="1"/>
  <c r="E5" i="2"/>
  <c r="G5" i="2" s="1"/>
  <c r="F15" i="1"/>
  <c r="K15" i="1" s="1"/>
  <c r="F16" i="1"/>
  <c r="K16" i="1" s="1"/>
  <c r="F17" i="1"/>
  <c r="K17" i="1" s="1"/>
  <c r="F19" i="1"/>
  <c r="K19" i="1" s="1"/>
  <c r="F21" i="1"/>
  <c r="K21" i="1" s="1"/>
  <c r="K20" i="1" s="1"/>
  <c r="K14" i="1" l="1"/>
  <c r="K24" i="1"/>
  <c r="I51" i="10"/>
  <c r="I52" i="10" s="1"/>
  <c r="I53" i="10" s="1"/>
  <c r="I54" i="10" s="1"/>
  <c r="I55" i="10" s="1"/>
  <c r="I56" i="10" s="1"/>
  <c r="I57" i="10" s="1"/>
  <c r="I58" i="10" s="1"/>
  <c r="I59" i="10" s="1"/>
  <c r="K51" i="10"/>
  <c r="K52" i="10" s="1"/>
  <c r="K53" i="10" s="1"/>
  <c r="K54" i="10" s="1"/>
  <c r="K55" i="10" s="1"/>
  <c r="K56" i="10" s="1"/>
  <c r="K57" i="10" s="1"/>
  <c r="K58" i="10" s="1"/>
  <c r="K59" i="10" s="1"/>
  <c r="I9" i="10"/>
  <c r="I10" i="10" s="1"/>
  <c r="I11" i="10" s="1"/>
  <c r="I12" i="10" s="1"/>
  <c r="I13" i="10" s="1"/>
  <c r="I14" i="10" s="1"/>
  <c r="I15" i="10" s="1"/>
  <c r="I16" i="10" s="1"/>
  <c r="I17" i="10" s="1"/>
  <c r="I18" i="10" s="1"/>
  <c r="L29" i="1"/>
  <c r="I35" i="1"/>
  <c r="L35" i="1" s="1"/>
  <c r="I38" i="1"/>
  <c r="L38" i="1" s="1"/>
  <c r="I25" i="1"/>
  <c r="L25" i="1" s="1"/>
  <c r="I40" i="1"/>
  <c r="L40" i="1" s="1"/>
  <c r="I19" i="1"/>
  <c r="L19" i="1" s="1"/>
  <c r="I17" i="1"/>
  <c r="L17" i="1" s="1"/>
  <c r="I15" i="1"/>
  <c r="L15" i="1" s="1"/>
  <c r="I42" i="1"/>
  <c r="L42" i="1" s="1"/>
  <c r="I31" i="1"/>
  <c r="L31" i="1" s="1"/>
  <c r="I33" i="1"/>
  <c r="L33" i="1" s="1"/>
  <c r="I34" i="1"/>
  <c r="L34" i="1" s="1"/>
  <c r="I16" i="1"/>
  <c r="L16" i="1" s="1"/>
  <c r="I37" i="1"/>
  <c r="L37" i="1" s="1"/>
  <c r="I36" i="1"/>
  <c r="L36" i="1" s="1"/>
  <c r="I21" i="1"/>
  <c r="I20" i="1" s="1"/>
  <c r="I43" i="1"/>
  <c r="I41" i="1"/>
  <c r="L41" i="1" s="1"/>
  <c r="I27" i="1"/>
  <c r="L27" i="1" s="1"/>
  <c r="I29" i="1"/>
  <c r="I26" i="1"/>
  <c r="L26" i="1" s="1"/>
  <c r="I28" i="1"/>
  <c r="L28" i="1" s="1"/>
  <c r="G13" i="3"/>
  <c r="G6" i="2"/>
  <c r="C39" i="1" s="1"/>
  <c r="F39" i="1" s="1"/>
  <c r="K39" i="1" s="1"/>
  <c r="K43" i="1" l="1"/>
  <c r="K32" i="1" s="1"/>
  <c r="K13" i="1"/>
  <c r="L20" i="1"/>
  <c r="L21" i="1"/>
  <c r="I24" i="1"/>
  <c r="L24" i="1" s="1"/>
  <c r="I14" i="1"/>
  <c r="I39" i="1"/>
  <c r="L39" i="1" s="1"/>
  <c r="G27" i="3"/>
  <c r="G34" i="3" s="1"/>
  <c r="L43" i="1" l="1"/>
  <c r="L14" i="1"/>
  <c r="I13" i="1"/>
  <c r="L13" i="1" s="1"/>
  <c r="I32" i="1"/>
  <c r="L32" i="1" s="1"/>
  <c r="I45" i="1"/>
  <c r="L45" i="1" s="1"/>
  <c r="I44" i="1" l="1"/>
  <c r="L44" i="1" s="1"/>
  <c r="K4" i="1" l="1"/>
  <c r="K54" i="1" s="1"/>
  <c r="K56" i="1" s="1"/>
  <c r="BK6" i="7" l="1"/>
  <c r="K6" i="7" l="1"/>
  <c r="C6" i="1" s="1"/>
  <c r="F6" i="1" s="1"/>
  <c r="I6" i="1" s="1"/>
  <c r="L6" i="1" l="1"/>
  <c r="BK56" i="7" l="1"/>
  <c r="K56" i="7" l="1"/>
  <c r="C12" i="1" s="1"/>
  <c r="F12" i="1" s="1"/>
  <c r="I12" i="1" s="1"/>
  <c r="B7" i="10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M18" i="7"/>
  <c r="J7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L12" i="1" l="1"/>
  <c r="I5" i="1"/>
  <c r="L5" i="1" l="1"/>
  <c r="I4" i="1"/>
  <c r="L4" i="1" l="1"/>
  <c r="I54" i="1"/>
  <c r="I55" i="1" l="1"/>
  <c r="I56" i="1" s="1"/>
  <c r="L56" i="1" s="1"/>
  <c r="L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tc={6F06DDCB-6915-4508-9F98-0AE627707AF6}</author>
  </authors>
  <commentList>
    <comment ref="B14" authorId="0" shapeId="0" xr:uid="{6F06DDCB-6915-4508-9F98-0AE627707AF6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AL MÁS CAPO, SE LE CONSIDERA COMO RENDIMIENTO 100%..LOS DEMÁS SON EN BASE AL RENDIMIENTO DEL MAYOR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<sst xmlns="http://schemas.openxmlformats.org/spreadsheetml/2006/main" count="948" uniqueCount="419">
  <si>
    <t>DESCRIPCIÓN DE INSUMOS</t>
  </si>
  <si>
    <t>COSTO DE INSUMO</t>
  </si>
  <si>
    <t>PRESENTACIÓN EMPAQUE</t>
  </si>
  <si>
    <t>UNIDADES DE MEDIDA</t>
  </si>
  <si>
    <t>COSTO UNITARIO</t>
  </si>
  <si>
    <t>CANTIDAD A UTILIZAR</t>
  </si>
  <si>
    <t>SUBTOTAL DEL COSTO</t>
  </si>
  <si>
    <t>PAPEL BOND x 1 ciento</t>
  </si>
  <si>
    <t>ARCHIVADOR x unidad</t>
  </si>
  <si>
    <t>PLOTEO DE HOJA A1</t>
  </si>
  <si>
    <t>PLOTEO DE HOJA A0</t>
  </si>
  <si>
    <t>FOLDER MANILA</t>
  </si>
  <si>
    <t>FASTER</t>
  </si>
  <si>
    <t>GRAPA</t>
  </si>
  <si>
    <t>FIRMA DE INGENIERO ESTRUCTURAL</t>
  </si>
  <si>
    <t>FIRMA DE INGENIERO SANITARIO</t>
  </si>
  <si>
    <t>FIRMA DE INGENIERO ELÉCTRICO</t>
  </si>
  <si>
    <t>FIRMA DE ARQUITECTO</t>
  </si>
  <si>
    <t>SUB TOTAL</t>
  </si>
  <si>
    <t>PLOTEO DE HOJA A4</t>
  </si>
  <si>
    <t>PLOTEO DE HOJA A3</t>
  </si>
  <si>
    <t>hojas</t>
  </si>
  <si>
    <t>unid.</t>
  </si>
  <si>
    <t>SOBRE MANILA</t>
  </si>
  <si>
    <t>LAPICERO AZUL FABER CASTELLE</t>
  </si>
  <si>
    <t>plano</t>
  </si>
  <si>
    <t>viajes</t>
  </si>
  <si>
    <t>viaje</t>
  </si>
  <si>
    <t>MOVILIDAD PARA VISITAR AL PREDIO</t>
  </si>
  <si>
    <t>proyecto</t>
  </si>
  <si>
    <t>ml</t>
  </si>
  <si>
    <t>ESTRUCTURA DE COSTOS , IMPRESIÓN A4 EN OFICINA</t>
  </si>
  <si>
    <t>MANTENIMIENTO DE IMPRESORA</t>
  </si>
  <si>
    <t>dias</t>
  </si>
  <si>
    <t>TINTA DE IMPRESORA BLANCO Y NEGRO O COLOR</t>
  </si>
  <si>
    <t>IMPRESIÓN EN A4 DE OFICINA</t>
  </si>
  <si>
    <t>hoja</t>
  </si>
  <si>
    <t>COSTOS INDIRECTOS</t>
  </si>
  <si>
    <t>UTILIDAD DE VENTA</t>
  </si>
  <si>
    <t>PRECIO DE VENTA</t>
  </si>
  <si>
    <t>COSTOS FIJOS</t>
  </si>
  <si>
    <t>CANTIDAD</t>
  </si>
  <si>
    <t>LOCAL</t>
  </si>
  <si>
    <t>UNIDAD</t>
  </si>
  <si>
    <t>PERSONA</t>
  </si>
  <si>
    <t>ARQUITECTO JUNIOR</t>
  </si>
  <si>
    <t>ARQUITECTO SEMISENIOR</t>
  </si>
  <si>
    <t>KARLA</t>
  </si>
  <si>
    <t>ANGELO</t>
  </si>
  <si>
    <t>ALDAIR</t>
  </si>
  <si>
    <t>CRISTIAN</t>
  </si>
  <si>
    <t>INGENIERO ESTRUC. JUNIOR</t>
  </si>
  <si>
    <t>INGENIERO ESTRUCT. SEMISENIOR</t>
  </si>
  <si>
    <t>SUNAT</t>
  </si>
  <si>
    <t>MES</t>
  </si>
  <si>
    <t>CONTABILIDAD MENSUAL</t>
  </si>
  <si>
    <t>CONTABILIDAD ANUAL</t>
  </si>
  <si>
    <t>MARKETERA</t>
  </si>
  <si>
    <t>LIMPIEZA</t>
  </si>
  <si>
    <t>DIAS</t>
  </si>
  <si>
    <t>ADMINISTRADOR GENERAL</t>
  </si>
  <si>
    <t xml:space="preserve">GERENTE GENERAL + VENDEDOR </t>
  </si>
  <si>
    <t>OPERATIVO</t>
  </si>
  <si>
    <t>ADMINISTATIVO</t>
  </si>
  <si>
    <t>VENTAS</t>
  </si>
  <si>
    <t>PUBLICIDAD FACEBOOK</t>
  </si>
  <si>
    <t>CAMPAÑAS</t>
  </si>
  <si>
    <t>DIBUJANTE CADISTA</t>
  </si>
  <si>
    <t>FIRMA ESTRUCTURAL</t>
  </si>
  <si>
    <t>FIRMA SANITARIO</t>
  </si>
  <si>
    <t>FIRMA ELECTRICO</t>
  </si>
  <si>
    <t>TOTAL GASTOS FIJOS</t>
  </si>
  <si>
    <t>GASTOS FIJOS MENSUALES</t>
  </si>
  <si>
    <t>GESTORA DE PROYECTOS  + INGENIERA</t>
  </si>
  <si>
    <t>GASTOS VARIABLES MENSUALES</t>
  </si>
  <si>
    <t>FIRMA DE SANITARIO</t>
  </si>
  <si>
    <t>FIRMA DE ESTRUCTURAL</t>
  </si>
  <si>
    <t>INGENIERO SANITARIO SEMISENIOR</t>
  </si>
  <si>
    <t>COSTO POR DIA CALENDARIO</t>
  </si>
  <si>
    <t>sin igv</t>
  </si>
  <si>
    <t>HORAS CALENDARIO TECNICOS LABORADOS</t>
  </si>
  <si>
    <t>HORAS CALENDARIO EN REUNIONES CON CLIENTES</t>
  </si>
  <si>
    <t>FIRMA ARQUITECTURA</t>
  </si>
  <si>
    <t>SECRETARIA</t>
  </si>
  <si>
    <t>VENDEDORA</t>
  </si>
  <si>
    <t>PLOTEOS PLANOS</t>
  </si>
  <si>
    <t>OTROS</t>
  </si>
  <si>
    <t>FIRMAS</t>
  </si>
  <si>
    <t>MOVILIDAD</t>
  </si>
  <si>
    <t>INGENIERO ELECTRICO SEMISENIOR</t>
  </si>
  <si>
    <t>PUESTOS</t>
  </si>
  <si>
    <t>PIERINA</t>
  </si>
  <si>
    <t>ALAN</t>
  </si>
  <si>
    <t>SUELOS</t>
  </si>
  <si>
    <t>MOTORIZADO PARA TRAER LOS PLANOS DE IMPRENTA</t>
  </si>
  <si>
    <t>calicata</t>
  </si>
  <si>
    <t>CALICATAS 3M</t>
  </si>
  <si>
    <t>CALICATAS 4M</t>
  </si>
  <si>
    <t>CALICATAS 5M</t>
  </si>
  <si>
    <t>CALICATAS 6M</t>
  </si>
  <si>
    <t>CALICATAS 8M</t>
  </si>
  <si>
    <t>ALMUERZO</t>
  </si>
  <si>
    <t>ITEM</t>
  </si>
  <si>
    <t>PARTIDA</t>
  </si>
  <si>
    <t>SUBCONTRATO</t>
  </si>
  <si>
    <t>01.00.00</t>
  </si>
  <si>
    <t>01.01.00</t>
  </si>
  <si>
    <t>01.02.00</t>
  </si>
  <si>
    <t>01.03.00</t>
  </si>
  <si>
    <t>01.04.00</t>
  </si>
  <si>
    <t>01.05.00</t>
  </si>
  <si>
    <t>02.00.00</t>
  </si>
  <si>
    <t>02.01.00</t>
  </si>
  <si>
    <t>02.01.01</t>
  </si>
  <si>
    <t>02.02.00</t>
  </si>
  <si>
    <t>02.03.00</t>
  </si>
  <si>
    <t>02.02.01</t>
  </si>
  <si>
    <t>02.03.01</t>
  </si>
  <si>
    <t>DESARROLLO DE PLANOS</t>
  </si>
  <si>
    <t>ARQUITECTURA</t>
  </si>
  <si>
    <t>INST. SANITARIAS</t>
  </si>
  <si>
    <t>FACTOR DE SEGURIDAD</t>
  </si>
  <si>
    <t>DIAS CALENDARIO LABORADOS</t>
  </si>
  <si>
    <t>COSTO POR HORA LABORADAS</t>
  </si>
  <si>
    <t>HORAS LABORADAS</t>
  </si>
  <si>
    <t>01.01.01</t>
  </si>
  <si>
    <t>01.01.02</t>
  </si>
  <si>
    <t>01.01.03</t>
  </si>
  <si>
    <t>01.01.04</t>
  </si>
  <si>
    <t>01.01.05</t>
  </si>
  <si>
    <t>01.01.06</t>
  </si>
  <si>
    <t>01.01.07</t>
  </si>
  <si>
    <t>01.02.01</t>
  </si>
  <si>
    <t>01.03.01</t>
  </si>
  <si>
    <t>01.04.01</t>
  </si>
  <si>
    <t>XXXX</t>
  </si>
  <si>
    <t>03.00.00</t>
  </si>
  <si>
    <t>03.01.00</t>
  </si>
  <si>
    <t>03.01.01</t>
  </si>
  <si>
    <t>04.00.00</t>
  </si>
  <si>
    <t>04.01.00</t>
  </si>
  <si>
    <t>04.02.01</t>
  </si>
  <si>
    <t>05.00.00</t>
  </si>
  <si>
    <t>05.01.00</t>
  </si>
  <si>
    <t>05.01.01</t>
  </si>
  <si>
    <t>ARQUITECTO SEMISENIOR COLEGIADO</t>
  </si>
  <si>
    <t>INGENIERO ESTRUC. JUNIOR COLEGIADO</t>
  </si>
  <si>
    <t>INGENIERO ESTRUCT. SEMISENIOR COLEGIADO</t>
  </si>
  <si>
    <t>INGENIERO SANITARIO SEMISENIOR COLEGIADO</t>
  </si>
  <si>
    <t>FIRMA DE ARQUITECTURA</t>
  </si>
  <si>
    <t>PRACTICANTE DE ARQUITECTURA</t>
  </si>
  <si>
    <t>% DE RENDIMIENTO IDEAL</t>
  </si>
  <si>
    <t>% DE RENDIMIENTO REAL</t>
  </si>
  <si>
    <t>PRACTICANTE DE ESTRUCTURAS</t>
  </si>
  <si>
    <t>ARQUITECTO SENIOR COLEGIADO</t>
  </si>
  <si>
    <t>01.05.01</t>
  </si>
  <si>
    <t>INGENIERO ELECTRICO SEMISENIOR COLEGIADO</t>
  </si>
  <si>
    <t>03.02.00</t>
  </si>
  <si>
    <t>03.02.01</t>
  </si>
  <si>
    <t>04.01.01</t>
  </si>
  <si>
    <t>04.02.00</t>
  </si>
  <si>
    <t>TIPO DE COSTO</t>
  </si>
  <si>
    <t>FIJOS</t>
  </si>
  <si>
    <t>SUB TIPO</t>
  </si>
  <si>
    <t>COSTOS DIRECTOS</t>
  </si>
  <si>
    <t>02.00.00.00</t>
  </si>
  <si>
    <t>01.00.00.00</t>
  </si>
  <si>
    <t>01.01.00.00</t>
  </si>
  <si>
    <t>01.02.00.00</t>
  </si>
  <si>
    <t>01.02.01.00</t>
  </si>
  <si>
    <t>01.02.01.01</t>
  </si>
  <si>
    <t>01.02.01.02</t>
  </si>
  <si>
    <t>01.02.01.03</t>
  </si>
  <si>
    <t>01.02.01.04</t>
  </si>
  <si>
    <t>01.02.02.00</t>
  </si>
  <si>
    <t>01.02.02.01</t>
  </si>
  <si>
    <t>01.02.02.02</t>
  </si>
  <si>
    <t>01.02.03.00</t>
  </si>
  <si>
    <t>01.02.03.01</t>
  </si>
  <si>
    <t>01.02.03.02</t>
  </si>
  <si>
    <t>01.02.03.03</t>
  </si>
  <si>
    <t>01.02.03.04</t>
  </si>
  <si>
    <t>01.02.03.05</t>
  </si>
  <si>
    <t>01.02.03.06</t>
  </si>
  <si>
    <t>01.02.04.01</t>
  </si>
  <si>
    <t>01.02.04.02</t>
  </si>
  <si>
    <t>01.02.04.03</t>
  </si>
  <si>
    <t>01.02.04.04</t>
  </si>
  <si>
    <t>01.02.04.05</t>
  </si>
  <si>
    <t>02.01.00.00</t>
  </si>
  <si>
    <t>GASTOS ADMINISTRATIVOS</t>
  </si>
  <si>
    <t>local</t>
  </si>
  <si>
    <t>01.02.03.07</t>
  </si>
  <si>
    <t>ROTURA DE PISO</t>
  </si>
  <si>
    <t>PAPELERÍA Y UTILES DE OFICINA</t>
  </si>
  <si>
    <t>INTERNET</t>
  </si>
  <si>
    <t>mensual</t>
  </si>
  <si>
    <t>anual</t>
  </si>
  <si>
    <t>01.03.00.00</t>
  </si>
  <si>
    <t>01.03.01.00</t>
  </si>
  <si>
    <t>01.03.02.00</t>
  </si>
  <si>
    <t>01.03.03.00</t>
  </si>
  <si>
    <t>01.03.04.00</t>
  </si>
  <si>
    <t>01.03.05.00</t>
  </si>
  <si>
    <t>01.03.06.00</t>
  </si>
  <si>
    <t>01.03.07.00</t>
  </si>
  <si>
    <t>01.03.08.00</t>
  </si>
  <si>
    <t>01.03.09.00</t>
  </si>
  <si>
    <t>01.03.10.00</t>
  </si>
  <si>
    <t>01.03.11.00</t>
  </si>
  <si>
    <t>AUXILIAR ADMINISTRATIVO</t>
  </si>
  <si>
    <t>GERENTE GENERAL</t>
  </si>
  <si>
    <t>COSTO DE VENTA FINAL</t>
  </si>
  <si>
    <t>02.01.01.00</t>
  </si>
  <si>
    <t>02.01.02.00</t>
  </si>
  <si>
    <t>02.01.03.00</t>
  </si>
  <si>
    <t>02.01.04.00</t>
  </si>
  <si>
    <t>02.01.05.00</t>
  </si>
  <si>
    <t>02.01.06.00</t>
  </si>
  <si>
    <t>02.01.07.00</t>
  </si>
  <si>
    <t>02.01.08.00</t>
  </si>
  <si>
    <t>CANTIDAD A UTILIZAR PROYECTADA</t>
  </si>
  <si>
    <t>% DE RENDIMIENTO PROYECTADO</t>
  </si>
  <si>
    <t>REAL</t>
  </si>
  <si>
    <t>CANTIDAD UTILIZADA</t>
  </si>
  <si>
    <t>SUBTOTAL DEL COSTO REAL</t>
  </si>
  <si>
    <t>% DE COSTO REAL</t>
  </si>
  <si>
    <t>03.01.02</t>
  </si>
  <si>
    <t>PROYECTADA</t>
  </si>
  <si>
    <t>SALARIO 2026</t>
  </si>
  <si>
    <t>ARQUITECTO SEMISENIOR ACCIONISTA</t>
  </si>
  <si>
    <t>01.06.00</t>
  </si>
  <si>
    <t>01.06.01</t>
  </si>
  <si>
    <t>NOMBRE DE CLIENTE</t>
  </si>
  <si>
    <t>CÓDIGO DE PROYECTO</t>
  </si>
  <si>
    <t>TIPO DE PROYECTO</t>
  </si>
  <si>
    <t>PARTIDA / CODIGO PROYECTO</t>
  </si>
  <si>
    <t>Caract. 1</t>
  </si>
  <si>
    <t>Caract. 2</t>
  </si>
  <si>
    <t>Caract. 3</t>
  </si>
  <si>
    <t>Viv. Unifamiliar</t>
  </si>
  <si>
    <t>Fuera de Lima</t>
  </si>
  <si>
    <t>Exp. Obra + EMS</t>
  </si>
  <si>
    <t>Viv. Multifamiliar</t>
  </si>
  <si>
    <t>Ancón</t>
  </si>
  <si>
    <t>Exp. Licencia</t>
  </si>
  <si>
    <t>Comercio</t>
  </si>
  <si>
    <t>Carabayllo</t>
  </si>
  <si>
    <t>EMS</t>
  </si>
  <si>
    <t>Casa de Campo</t>
  </si>
  <si>
    <t>Comas</t>
  </si>
  <si>
    <t>Render</t>
  </si>
  <si>
    <t>Casa de Playa</t>
  </si>
  <si>
    <t>Independencia</t>
  </si>
  <si>
    <t>Visita Tecnica</t>
  </si>
  <si>
    <t>Los Olivos</t>
  </si>
  <si>
    <t>Declaratoria</t>
  </si>
  <si>
    <t>Puente Piedra</t>
  </si>
  <si>
    <t>Declaratoria + Independización</t>
  </si>
  <si>
    <t>San Martín de Porres</t>
  </si>
  <si>
    <t>Independización</t>
  </si>
  <si>
    <t>Santa Rosa</t>
  </si>
  <si>
    <t>Acumulación de Lotes</t>
  </si>
  <si>
    <t>Barranco</t>
  </si>
  <si>
    <t>Subdivisión</t>
  </si>
  <si>
    <t>Breña</t>
  </si>
  <si>
    <t>Tasación</t>
  </si>
  <si>
    <t>Jesús María</t>
  </si>
  <si>
    <t>Solo 1 especialidad</t>
  </si>
  <si>
    <t>La Victoria</t>
  </si>
  <si>
    <t>Solo memorias</t>
  </si>
  <si>
    <t>Lima</t>
  </si>
  <si>
    <t>Inspeccion técnica de seguridad en edificacion</t>
  </si>
  <si>
    <t>Lince</t>
  </si>
  <si>
    <t>Firma</t>
  </si>
  <si>
    <t>Magdalena del Mar</t>
  </si>
  <si>
    <t>Tramite SEDAPAL</t>
  </si>
  <si>
    <t>Miraflores</t>
  </si>
  <si>
    <t>Pueblo Libre</t>
  </si>
  <si>
    <t>Rímac</t>
  </si>
  <si>
    <t>San Borja</t>
  </si>
  <si>
    <t>San Isidro</t>
  </si>
  <si>
    <t>San Miguel</t>
  </si>
  <si>
    <t>Santiago de Surco</t>
  </si>
  <si>
    <t>Surquillo</t>
  </si>
  <si>
    <t>Ate</t>
  </si>
  <si>
    <t>Chaclacayo</t>
  </si>
  <si>
    <t>Cieneguilla</t>
  </si>
  <si>
    <t>El Agustino</t>
  </si>
  <si>
    <t>Huaycán (Comunidad)</t>
  </si>
  <si>
    <t>La Molina</t>
  </si>
  <si>
    <t>Lurigancho</t>
  </si>
  <si>
    <t>San Juan de Lurigancho</t>
  </si>
  <si>
    <t>San Luis</t>
  </si>
  <si>
    <t>Santa Anita</t>
  </si>
  <si>
    <t>Chorrillos</t>
  </si>
  <si>
    <t>Lurín</t>
  </si>
  <si>
    <t>Pachacamac</t>
  </si>
  <si>
    <t>Pucusana</t>
  </si>
  <si>
    <t>Punta Hermosa</t>
  </si>
  <si>
    <t>Punta Negra</t>
  </si>
  <si>
    <t>San Bartolo</t>
  </si>
  <si>
    <t>San Juan de Miraflores</t>
  </si>
  <si>
    <t>Santa María del Mar</t>
  </si>
  <si>
    <t>Villa El Salvador</t>
  </si>
  <si>
    <t>Villa María del Triunfo</t>
  </si>
  <si>
    <t>Callao</t>
  </si>
  <si>
    <t>Tarapoto</t>
  </si>
  <si>
    <t>Puno</t>
  </si>
  <si>
    <t>Ventanilla</t>
  </si>
  <si>
    <t>Ica</t>
  </si>
  <si>
    <t>Chosica</t>
  </si>
  <si>
    <t>Mala</t>
  </si>
  <si>
    <t>Chilca</t>
  </si>
  <si>
    <t>Asia</t>
  </si>
  <si>
    <t>Rioja</t>
  </si>
  <si>
    <t>Chincha</t>
  </si>
  <si>
    <t>Marcona</t>
  </si>
  <si>
    <t>TIPO DE EDIFICACIÓN</t>
  </si>
  <si>
    <t>DISTRITO</t>
  </si>
  <si>
    <t>HORAS</t>
  </si>
  <si>
    <t>PRECIO</t>
  </si>
  <si>
    <t>MEDIA</t>
  </si>
  <si>
    <t>TIPO DE EXPEDIENTE</t>
  </si>
  <si>
    <t>Exp. Obra (UNIFAMILIAR)</t>
  </si>
  <si>
    <t>Exp. Obra (MULTIFAMILIAR)</t>
  </si>
  <si>
    <t>Exp. Obra (COMERCIO)</t>
  </si>
  <si>
    <t>Exp. Licencia mod. B</t>
  </si>
  <si>
    <t>Exp. Licencia mod. C</t>
  </si>
  <si>
    <t>Exp. Licencia mod. A</t>
  </si>
  <si>
    <t>ESPECIALIDAD</t>
  </si>
  <si>
    <t>ESPECIALIDADES</t>
  </si>
  <si>
    <t>ESTRUCTURAS</t>
  </si>
  <si>
    <t>INST. MECANICAS</t>
  </si>
  <si>
    <t>INST. GAS</t>
  </si>
  <si>
    <t>INST. ELECTRICAS</t>
  </si>
  <si>
    <t>CODIGO</t>
  </si>
  <si>
    <t>HORAS CALENDARIO TECNICOS LABORADOS PARA PERSONA CON RENDIMIENTO AL 100%</t>
  </si>
  <si>
    <t>HORAS CALENDARIO EN REUNIONES CON CLIENTES PARA PERSONA CON RENDIMIENTO AL 100%</t>
  </si>
  <si>
    <t>INGENIERO ESTRUCT. SENIOR COLEGIADO</t>
  </si>
  <si>
    <t>NIVEL DE COMPLEJIDAD</t>
  </si>
  <si>
    <t>P. UNITARIO / FACTOR SEGUN NIVEL DE COMPLEJIDAD</t>
  </si>
  <si>
    <t>% PROGR.</t>
  </si>
  <si>
    <t>% EJEC.</t>
  </si>
  <si>
    <t>PROGRAMADO</t>
  </si>
  <si>
    <t>EJECUTADO</t>
  </si>
  <si>
    <t>PARCIALES</t>
  </si>
  <si>
    <t>CALENDARIO</t>
  </si>
  <si>
    <t>% ACUMULADO</t>
  </si>
  <si>
    <t>INICIO</t>
  </si>
  <si>
    <t>TODO EL PROYECTO</t>
  </si>
  <si>
    <t>MES 1 (PARTE 1)</t>
  </si>
  <si>
    <t>MES 1 (PARTE 2)</t>
  </si>
  <si>
    <t>MES 2 (PARTE 1)</t>
  </si>
  <si>
    <t>MES 2 (PARTE 2)</t>
  </si>
  <si>
    <t>MES 3 (PARTE 1)</t>
  </si>
  <si>
    <t>MES 3 (PARTE 2)</t>
  </si>
  <si>
    <t>MES 4 (PARTE 1)</t>
  </si>
  <si>
    <t>MES 4 (PARTE 2)</t>
  </si>
  <si>
    <t>MES 5 (PARTE 1)</t>
  </si>
  <si>
    <t>MES 5 (PARTE 2)</t>
  </si>
  <si>
    <t>AL MÁS CAPO, SE LE CONSIDERA COMO RENDIMIENTO 100%..LOS DEMÁS SON EN BASE AL RENDIMIENTO DEL MÁS CAPO. LA PESTAÑA "MAPEO DE HORAS" ES CONSIDERANDO LAS HORAS DEL QUE TIENE UN RENDIMIENTO DE 100%, ES DECIR, DEL MÁS CAPO.</t>
  </si>
  <si>
    <t>LEYENDA</t>
  </si>
  <si>
    <t>MES 6 (PARTE 1)</t>
  </si>
  <si>
    <t>MES 6 (PARTE 2)</t>
  </si>
  <si>
    <t>INICIO DE PROYECTO</t>
  </si>
  <si>
    <t>FASE</t>
  </si>
  <si>
    <t>TOTAL</t>
  </si>
  <si>
    <t>VERSIÓN</t>
  </si>
  <si>
    <t>TAREAS ADMINISTRATIVAS - Corroborar membrete de todas las especialidades</t>
  </si>
  <si>
    <t>TAREAS ADMINISTRATIVAS - Entrega de expediente impreso a cliente</t>
  </si>
  <si>
    <t>GESTORA DE PROYECTOS</t>
  </si>
  <si>
    <t>ROMINA CASALLO</t>
  </si>
  <si>
    <t>GESTIÓN Y ADMINISTRACIÓN</t>
  </si>
  <si>
    <t>06.00.00</t>
  </si>
  <si>
    <t>06.01.00</t>
  </si>
  <si>
    <t>06.01.01</t>
  </si>
  <si>
    <t>NOMBRE DE PROYECTO</t>
  </si>
  <si>
    <t>OSCAR</t>
  </si>
  <si>
    <t>KEVIN DIAZ</t>
  </si>
  <si>
    <t>V 2.0 - PRELIMINAR A ENTREGA A REVISORES</t>
  </si>
  <si>
    <t>V 1.0 - PRELIMINAR A LA APROBACIÓN ARQUITECTÓNICA</t>
  </si>
  <si>
    <t>03.01.03</t>
  </si>
  <si>
    <t>FECHA DE INICIO DE ANALISIS</t>
  </si>
  <si>
    <t>HASTA</t>
  </si>
  <si>
    <t>ONM6 - 0126 - Chorrillos (Matellini) - Arq. Martin</t>
  </si>
  <si>
    <t>EMS - Excel de ensayos</t>
  </si>
  <si>
    <t>EMS - Informe de EMS</t>
  </si>
  <si>
    <t>07.00.00</t>
  </si>
  <si>
    <t>07.01.00</t>
  </si>
  <si>
    <t>07.01.01</t>
  </si>
  <si>
    <t>TAREAS ADMINISTRATIVAS - Corroborar bloque actualizado en todas las especialidades</t>
  </si>
  <si>
    <t>V 3.0 - PRELIMINAR A ENTREGA A MUNI</t>
  </si>
  <si>
    <t>ESTRUCTURAS - Lev. de Observaciones de Muni</t>
  </si>
  <si>
    <t>FIRMA DE INGENIERO GAS</t>
  </si>
  <si>
    <t>01.02.02.03</t>
  </si>
  <si>
    <t>MOVILIDAD PARA HACER TRAMITES EN FACTIBILIDAD</t>
  </si>
  <si>
    <t>ARQUITECTURA - Reunión con cliente para ver interiores</t>
  </si>
  <si>
    <t>ARQUITECTURA - Render 3D de interiores</t>
  </si>
  <si>
    <t>TAREAS ADMINISTRATIVAS - MANDAR A IMPRENTA PLANOS A PLOTEAR</t>
  </si>
  <si>
    <t>ARQUITECTURA - Revisión Muni</t>
  </si>
  <si>
    <t>ARQUITECTURA - Lev. de observaciones Municipalidad</t>
  </si>
  <si>
    <t>V 3.1 - ENTREGA TÉCNICA FINAL A MUNI</t>
  </si>
  <si>
    <t>V 2.1 - ENTREGA TÉCNICA FINAL A REVISORES</t>
  </si>
  <si>
    <t>ESTRUCTURAS - Rev. de Muni</t>
  </si>
  <si>
    <t>IIEE - Lev. de observaciones de Muni</t>
  </si>
  <si>
    <t>IIEE - Lev. de observaciones de Revisores</t>
  </si>
  <si>
    <t>IIEE - Revisión de Revisores</t>
  </si>
  <si>
    <t>IIEE - Revisión de Municipalidad</t>
  </si>
  <si>
    <t>IISS - Revisión de Municipalidad</t>
  </si>
  <si>
    <t>IISS - Lev. de observaciones Muni</t>
  </si>
  <si>
    <t>IIGG - Revisión de Municipalidad</t>
  </si>
  <si>
    <t>IIGG - Lev. de Observaciones de Muni</t>
  </si>
  <si>
    <t>EMS - Plano topográfico</t>
  </si>
  <si>
    <t>TAREAS ADMINISTRATIVAS - COORDINAR ENTREGA DE EXPEDIENTE CON CLIENTE</t>
  </si>
  <si>
    <t>LAM4 -1225- San Miguel - Antonio Burneo</t>
  </si>
  <si>
    <t>Antonio Burneo</t>
  </si>
  <si>
    <t>TOTAL HORAS RESTANTES</t>
  </si>
  <si>
    <t>HORAS ADCIONALES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</si>
</sst>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3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Metropolis Regular"/>
    </font>
    <font>
      <sz val="12"/>
      <color theme="1"/>
      <name val="Metropolis Regular"/>
    </font>
    <font>
      <b/>
      <sz val="12"/>
      <color theme="0"/>
      <name val="Metropolis Regular"/>
    </font>
    <font>
      <b/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theme="1"/>
      <name val="Metropolis Regular"/>
    </font>
    <font>
      <sz val="10"/>
      <name val="Arial"/>
      <family val="2"/>
    </font>
    <font>
      <b/>
      <sz val="11"/>
      <color rgb="FFFF0000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4" tint="0.79998168889431442"/>
      <name val="Aptos Narrow"/>
      <family val="2"/>
      <scheme val="minor"/>
    </font>
    <font>
      <b/>
      <sz val="20"/>
      <color theme="8" tint="0.59999389629810485"/>
      <name val="Aptos Narrow"/>
      <family val="2"/>
      <scheme val="minor"/>
    </font>
    <font>
      <b/>
      <sz val="20"/>
      <color rgb="FFFFFF00"/>
      <name val="Aptos Narrow"/>
      <family val="2"/>
      <scheme val="minor"/>
    </font>
    <font>
      <b/>
      <sz val="20"/>
      <color rgb="FF47FF5D"/>
      <name val="Aptos Narrow"/>
      <family val="2"/>
      <scheme val="minor"/>
    </font>
    <font>
      <b/>
      <sz val="20"/>
      <color theme="2" tint="-9.9978637043366805E-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66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375">
    <xf numFmtId="0" fontId="0" fillId="0" borderId="0" xfId="0"/>
    <xf numFmtId="0" fontId="0" fillId="0" borderId="0" xfId="0" applyAlignment="1">
      <alignment vertical="center" wrapText="1"/>
    </xf>
    <xf numFmtId="44" fontId="0" fillId="0" borderId="0" xfId="1" applyFont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44" fontId="1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0" xfId="1" applyFont="1" applyBorder="1"/>
    <xf numFmtId="0" fontId="1" fillId="3" borderId="4" xfId="0" applyFont="1" applyFill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1" fillId="3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4" fontId="1" fillId="3" borderId="1" xfId="1" applyFont="1" applyFill="1" applyBorder="1" applyAlignment="1">
      <alignment horizontal="center" vertical="center"/>
    </xf>
    <xf numFmtId="0" fontId="4" fillId="0" borderId="0" xfId="0" applyFont="1"/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4" fontId="1" fillId="5" borderId="1" xfId="1" applyFont="1" applyFill="1" applyBorder="1" applyAlignment="1">
      <alignment horizontal="center" vertical="center"/>
    </xf>
    <xf numFmtId="44" fontId="1" fillId="5" borderId="1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/>
    </xf>
    <xf numFmtId="2" fontId="1" fillId="4" borderId="1" xfId="1" applyNumberFormat="1" applyFont="1" applyFill="1" applyBorder="1" applyAlignment="1">
      <alignment horizontal="center" vertical="center"/>
    </xf>
    <xf numFmtId="44" fontId="1" fillId="4" borderId="1" xfId="1" applyFont="1" applyFill="1" applyBorder="1" applyAlignment="1">
      <alignment horizontal="center" vertical="center"/>
    </xf>
    <xf numFmtId="44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44" fontId="1" fillId="5" borderId="3" xfId="1" applyFont="1" applyFill="1" applyBorder="1" applyAlignment="1">
      <alignment horizontal="center" vertical="center"/>
    </xf>
    <xf numFmtId="44" fontId="1" fillId="5" borderId="3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44" fontId="1" fillId="7" borderId="17" xfId="0" applyNumberFormat="1" applyFont="1" applyFill="1" applyBorder="1" applyAlignment="1">
      <alignment horizontal="center" vertical="center"/>
    </xf>
    <xf numFmtId="44" fontId="4" fillId="0" borderId="1" xfId="1" applyFont="1" applyBorder="1"/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4" fontId="4" fillId="0" borderId="0" xfId="1" applyFont="1"/>
    <xf numFmtId="0" fontId="4" fillId="0" borderId="0" xfId="0" applyFont="1" applyAlignment="1">
      <alignment horizontal="center"/>
    </xf>
    <xf numFmtId="0" fontId="0" fillId="7" borderId="19" xfId="0" applyFill="1" applyBorder="1" applyAlignment="1">
      <alignment horizontal="center" vertical="center"/>
    </xf>
    <xf numFmtId="44" fontId="1" fillId="7" borderId="21" xfId="0" applyNumberFormat="1" applyFont="1" applyFill="1" applyBorder="1" applyAlignment="1">
      <alignment horizontal="center" vertical="center"/>
    </xf>
    <xf numFmtId="44" fontId="4" fillId="6" borderId="1" xfId="1" applyFont="1" applyFill="1" applyBorder="1"/>
    <xf numFmtId="0" fontId="0" fillId="6" borderId="0" xfId="0" applyFill="1"/>
    <xf numFmtId="0" fontId="0" fillId="0" borderId="0" xfId="0" applyAlignment="1">
      <alignment horizontal="center"/>
    </xf>
    <xf numFmtId="0" fontId="4" fillId="6" borderId="1" xfId="0" quotePrefix="1" applyFont="1" applyFill="1" applyBorder="1" applyAlignment="1">
      <alignment horizontal="center"/>
    </xf>
    <xf numFmtId="2" fontId="6" fillId="7" borderId="1" xfId="0" quotePrefix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44" fontId="6" fillId="7" borderId="1" xfId="1" applyFont="1" applyFill="1" applyBorder="1" applyAlignment="1">
      <alignment horizontal="center" vertical="center" wrapText="1"/>
    </xf>
    <xf numFmtId="44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9" fontId="4" fillId="0" borderId="1" xfId="2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4" fontId="8" fillId="2" borderId="1" xfId="1" applyFont="1" applyFill="1" applyBorder="1" applyAlignment="1">
      <alignment horizontal="center" vertical="center" wrapText="1"/>
    </xf>
    <xf numFmtId="9" fontId="8" fillId="2" borderId="1" xfId="2" applyFont="1" applyFill="1" applyBorder="1" applyAlignment="1">
      <alignment horizontal="center" vertical="center" wrapText="1"/>
    </xf>
    <xf numFmtId="2" fontId="8" fillId="7" borderId="1" xfId="0" quotePrefix="1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44" fontId="8" fillId="7" borderId="1" xfId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9" fontId="8" fillId="7" borderId="1" xfId="2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left"/>
    </xf>
    <xf numFmtId="44" fontId="9" fillId="9" borderId="1" xfId="1" applyFont="1" applyFill="1" applyBorder="1" applyAlignment="1">
      <alignment horizontal="center"/>
    </xf>
    <xf numFmtId="44" fontId="9" fillId="9" borderId="1" xfId="0" applyNumberFormat="1" applyFont="1" applyFill="1" applyBorder="1" applyAlignment="1">
      <alignment horizontal="center"/>
    </xf>
    <xf numFmtId="44" fontId="9" fillId="9" borderId="5" xfId="0" applyNumberFormat="1" applyFont="1" applyFill="1" applyBorder="1" applyAlignment="1">
      <alignment horizontal="center"/>
    </xf>
    <xf numFmtId="9" fontId="9" fillId="9" borderId="1" xfId="2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center"/>
    </xf>
    <xf numFmtId="2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9" fontId="9" fillId="0" borderId="1" xfId="2" applyFont="1" applyBorder="1" applyAlignment="1">
      <alignment horizontal="center"/>
    </xf>
    <xf numFmtId="44" fontId="9" fillId="6" borderId="1" xfId="1" applyFont="1" applyFill="1" applyBorder="1" applyAlignment="1">
      <alignment vertical="center"/>
    </xf>
    <xf numFmtId="0" fontId="9" fillId="0" borderId="5" xfId="0" applyFont="1" applyBorder="1" applyAlignment="1">
      <alignment horizontal="center"/>
    </xf>
    <xf numFmtId="44" fontId="9" fillId="6" borderId="1" xfId="1" applyFont="1" applyFill="1" applyBorder="1" applyAlignment="1">
      <alignment horizontal="right" vertical="center"/>
    </xf>
    <xf numFmtId="0" fontId="8" fillId="7" borderId="5" xfId="0" applyFont="1" applyFill="1" applyBorder="1" applyAlignment="1">
      <alignment horizontal="center" vertical="center" wrapText="1"/>
    </xf>
    <xf numFmtId="44" fontId="9" fillId="6" borderId="13" xfId="1" applyFont="1" applyFill="1" applyBorder="1" applyAlignment="1">
      <alignment vertical="center"/>
    </xf>
    <xf numFmtId="44" fontId="9" fillId="6" borderId="11" xfId="1" applyFont="1" applyFill="1" applyBorder="1" applyAlignment="1">
      <alignment vertical="center"/>
    </xf>
    <xf numFmtId="0" fontId="9" fillId="8" borderId="1" xfId="0" applyFont="1" applyFill="1" applyBorder="1" applyAlignment="1">
      <alignment horizontal="left"/>
    </xf>
    <xf numFmtId="9" fontId="9" fillId="0" borderId="0" xfId="2" applyFont="1"/>
    <xf numFmtId="0" fontId="9" fillId="0" borderId="0" xfId="0" applyFont="1"/>
    <xf numFmtId="44" fontId="9" fillId="0" borderId="0" xfId="1" applyFont="1"/>
    <xf numFmtId="0" fontId="4" fillId="9" borderId="1" xfId="0" applyFont="1" applyFill="1" applyBorder="1"/>
    <xf numFmtId="0" fontId="4" fillId="0" borderId="1" xfId="0" applyFont="1" applyBorder="1"/>
    <xf numFmtId="0" fontId="4" fillId="6" borderId="1" xfId="0" applyFont="1" applyFill="1" applyBorder="1"/>
    <xf numFmtId="44" fontId="0" fillId="6" borderId="1" xfId="1" applyFont="1" applyFill="1" applyBorder="1" applyAlignment="1">
      <alignment vertical="center"/>
    </xf>
    <xf numFmtId="2" fontId="6" fillId="12" borderId="1" xfId="0" quotePrefix="1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wrapText="1"/>
    </xf>
    <xf numFmtId="44" fontId="6" fillId="12" borderId="1" xfId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44" fontId="6" fillId="12" borderId="1" xfId="0" applyNumberFormat="1" applyFont="1" applyFill="1" applyBorder="1" applyAlignment="1">
      <alignment horizontal="center" vertical="center" wrapText="1"/>
    </xf>
    <xf numFmtId="9" fontId="6" fillId="12" borderId="1" xfId="0" applyNumberFormat="1" applyFont="1" applyFill="1" applyBorder="1" applyAlignment="1">
      <alignment horizontal="center" vertical="center" wrapText="1"/>
    </xf>
    <xf numFmtId="2" fontId="3" fillId="13" borderId="1" xfId="0" quotePrefix="1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 wrapText="1"/>
    </xf>
    <xf numFmtId="44" fontId="3" fillId="13" borderId="1" xfId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44" fontId="3" fillId="13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9" fontId="3" fillId="0" borderId="1" xfId="2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7" borderId="1" xfId="0" quotePrefix="1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/>
    </xf>
    <xf numFmtId="9" fontId="4" fillId="14" borderId="1" xfId="2" applyFont="1" applyFill="1" applyBorder="1" applyAlignment="1">
      <alignment horizontal="center"/>
    </xf>
    <xf numFmtId="44" fontId="4" fillId="14" borderId="1" xfId="1" applyFont="1" applyFill="1" applyBorder="1" applyAlignment="1">
      <alignment horizontal="center"/>
    </xf>
    <xf numFmtId="9" fontId="6" fillId="15" borderId="1" xfId="2" applyFont="1" applyFill="1" applyBorder="1" applyAlignment="1">
      <alignment horizontal="center" vertical="center" wrapText="1"/>
    </xf>
    <xf numFmtId="9" fontId="3" fillId="14" borderId="1" xfId="2" applyFont="1" applyFill="1" applyBorder="1" applyAlignment="1">
      <alignment horizontal="center"/>
    </xf>
    <xf numFmtId="2" fontId="6" fillId="14" borderId="1" xfId="0" quotePrefix="1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44" fontId="6" fillId="14" borderId="1" xfId="1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9" fontId="6" fillId="14" borderId="1" xfId="0" applyNumberFormat="1" applyFont="1" applyFill="1" applyBorder="1" applyAlignment="1">
      <alignment horizontal="center" vertical="center" wrapText="1"/>
    </xf>
    <xf numFmtId="44" fontId="6" fillId="14" borderId="1" xfId="0" applyNumberFormat="1" applyFont="1" applyFill="1" applyBorder="1" applyAlignment="1">
      <alignment horizontal="center" vertical="center" wrapText="1"/>
    </xf>
    <xf numFmtId="9" fontId="6" fillId="14" borderId="1" xfId="2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0" xfId="3" applyNumberFormat="1" applyFont="1" applyFill="1" applyAlignment="1" applyProtection="1">
      <alignment horizontal="center" vertical="center" wrapText="1"/>
      <protection locked="0"/>
    </xf>
    <xf numFmtId="0" fontId="0" fillId="6" borderId="0" xfId="0" applyFill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44" fontId="6" fillId="2" borderId="4" xfId="1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1" xfId="0" applyFill="1" applyBorder="1" applyAlignment="1">
      <alignment horizontal="center"/>
    </xf>
    <xf numFmtId="0" fontId="0" fillId="6" borderId="10" xfId="0" applyFill="1" applyBorder="1"/>
    <xf numFmtId="0" fontId="0" fillId="6" borderId="3" xfId="0" applyFill="1" applyBorder="1" applyAlignment="1">
      <alignment horizontal="center"/>
    </xf>
    <xf numFmtId="0" fontId="17" fillId="6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 wrapText="1"/>
    </xf>
    <xf numFmtId="44" fontId="17" fillId="6" borderId="5" xfId="1" applyFont="1" applyFill="1" applyBorder="1" applyAlignment="1">
      <alignment horizontal="left" vertical="center" wrapText="1"/>
    </xf>
    <xf numFmtId="44" fontId="17" fillId="6" borderId="6" xfId="1" applyFont="1" applyFill="1" applyBorder="1" applyAlignment="1">
      <alignment horizontal="left" vertical="center" wrapText="1"/>
    </xf>
    <xf numFmtId="44" fontId="17" fillId="6" borderId="2" xfId="1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9" fontId="4" fillId="6" borderId="1" xfId="2" applyFont="1" applyFill="1" applyBorder="1" applyAlignment="1">
      <alignment horizontal="center"/>
    </xf>
    <xf numFmtId="44" fontId="4" fillId="6" borderId="1" xfId="1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2" fontId="16" fillId="14" borderId="1" xfId="0" applyNumberFormat="1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12" fillId="0" borderId="25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44" fontId="9" fillId="9" borderId="1" xfId="1" applyFont="1" applyFill="1" applyBorder="1" applyAlignment="1">
      <alignment horizontal="center" vertical="center"/>
    </xf>
    <xf numFmtId="44" fontId="9" fillId="9" borderId="1" xfId="0" applyNumberFormat="1" applyFont="1" applyFill="1" applyBorder="1" applyAlignment="1">
      <alignment horizontal="center" vertical="center"/>
    </xf>
    <xf numFmtId="44" fontId="9" fillId="9" borderId="5" xfId="0" applyNumberFormat="1" applyFont="1" applyFill="1" applyBorder="1" applyAlignment="1">
      <alignment horizontal="center" vertical="center"/>
    </xf>
    <xf numFmtId="9" fontId="9" fillId="9" borderId="1" xfId="2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2" fontId="4" fillId="6" borderId="1" xfId="0" applyNumberFormat="1" applyFont="1" applyFill="1" applyBorder="1" applyAlignment="1">
      <alignment horizontal="center"/>
    </xf>
    <xf numFmtId="2" fontId="4" fillId="14" borderId="1" xfId="0" applyNumberFormat="1" applyFont="1" applyFill="1" applyBorder="1" applyAlignment="1">
      <alignment horizontal="center"/>
    </xf>
    <xf numFmtId="2" fontId="3" fillId="7" borderId="1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0" fillId="0" borderId="0" xfId="0" applyNumberFormat="1"/>
    <xf numFmtId="9" fontId="15" fillId="4" borderId="1" xfId="2" applyFont="1" applyFill="1" applyBorder="1" applyAlignment="1">
      <alignment horizontal="center" vertical="center" wrapText="1"/>
    </xf>
    <xf numFmtId="9" fontId="0" fillId="0" borderId="0" xfId="2" applyFont="1"/>
    <xf numFmtId="9" fontId="15" fillId="18" borderId="1" xfId="2" applyFont="1" applyFill="1" applyBorder="1" applyAlignment="1">
      <alignment horizontal="center" vertical="center" wrapText="1"/>
    </xf>
    <xf numFmtId="9" fontId="15" fillId="19" borderId="1" xfId="2" applyFont="1" applyFill="1" applyBorder="1" applyAlignment="1">
      <alignment horizontal="center" vertical="center" wrapText="1"/>
    </xf>
    <xf numFmtId="9" fontId="6" fillId="20" borderId="1" xfId="2" applyFont="1" applyFill="1" applyBorder="1" applyAlignment="1">
      <alignment horizontal="center" vertical="center" wrapText="1"/>
    </xf>
    <xf numFmtId="44" fontId="6" fillId="15" borderId="1" xfId="1" applyFont="1" applyFill="1" applyBorder="1" applyAlignment="1">
      <alignment horizontal="center" vertical="center" wrapText="1"/>
    </xf>
    <xf numFmtId="44" fontId="4" fillId="0" borderId="0" xfId="1" applyFont="1" applyAlignment="1">
      <alignment horizontal="center"/>
    </xf>
    <xf numFmtId="44" fontId="15" fillId="4" borderId="1" xfId="1" applyFont="1" applyFill="1" applyBorder="1" applyAlignment="1">
      <alignment horizontal="center" vertical="center" wrapText="1"/>
    </xf>
    <xf numFmtId="44" fontId="15" fillId="18" borderId="1" xfId="1" applyFont="1" applyFill="1" applyBorder="1" applyAlignment="1">
      <alignment horizontal="center" vertical="center" wrapText="1"/>
    </xf>
    <xf numFmtId="44" fontId="15" fillId="19" borderId="1" xfId="1" applyFont="1" applyFill="1" applyBorder="1" applyAlignment="1">
      <alignment horizontal="center" vertical="center" wrapText="1"/>
    </xf>
    <xf numFmtId="44" fontId="6" fillId="20" borderId="1" xfId="1" applyFont="1" applyFill="1" applyBorder="1" applyAlignment="1">
      <alignment horizontal="center" vertical="center" wrapText="1"/>
    </xf>
    <xf numFmtId="44" fontId="6" fillId="21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4" fillId="23" borderId="1" xfId="0" applyFont="1" applyFill="1" applyBorder="1" applyAlignment="1">
      <alignment horizontal="center"/>
    </xf>
    <xf numFmtId="0" fontId="4" fillId="24" borderId="1" xfId="0" applyFont="1" applyFill="1" applyBorder="1" applyAlignment="1">
      <alignment horizontal="center"/>
    </xf>
    <xf numFmtId="0" fontId="4" fillId="24" borderId="1" xfId="0" applyFont="1" applyFill="1" applyBorder="1"/>
    <xf numFmtId="0" fontId="4" fillId="23" borderId="1" xfId="0" applyFont="1" applyFill="1" applyBorder="1"/>
    <xf numFmtId="0" fontId="4" fillId="8" borderId="1" xfId="0" applyFont="1" applyFill="1" applyBorder="1"/>
    <xf numFmtId="0" fontId="4" fillId="25" borderId="1" xfId="0" applyFont="1" applyFill="1" applyBorder="1" applyAlignment="1">
      <alignment horizontal="center"/>
    </xf>
    <xf numFmtId="0" fontId="4" fillId="25" borderId="1" xfId="0" applyFont="1" applyFill="1" applyBorder="1"/>
    <xf numFmtId="0" fontId="4" fillId="26" borderId="1" xfId="0" applyFont="1" applyFill="1" applyBorder="1" applyAlignment="1">
      <alignment horizontal="center"/>
    </xf>
    <xf numFmtId="0" fontId="4" fillId="26" borderId="1" xfId="0" applyFont="1" applyFill="1" applyBorder="1"/>
    <xf numFmtId="9" fontId="16" fillId="14" borderId="1" xfId="2" applyFont="1" applyFill="1" applyBorder="1" applyAlignment="1">
      <alignment horizontal="center"/>
    </xf>
    <xf numFmtId="44" fontId="16" fillId="14" borderId="1" xfId="1" applyFont="1" applyFill="1" applyBorder="1" applyAlignment="1">
      <alignment horizontal="center"/>
    </xf>
    <xf numFmtId="9" fontId="3" fillId="7" borderId="1" xfId="2" applyFont="1" applyFill="1" applyBorder="1" applyAlignment="1">
      <alignment vertical="center" wrapText="1"/>
    </xf>
    <xf numFmtId="44" fontId="3" fillId="7" borderId="1" xfId="1" applyFont="1" applyFill="1" applyBorder="1" applyAlignment="1">
      <alignment vertical="center" wrapText="1"/>
    </xf>
    <xf numFmtId="9" fontId="6" fillId="21" borderId="1" xfId="2" applyFont="1" applyFill="1" applyBorder="1" applyAlignment="1">
      <alignment horizontal="center" vertical="center" wrapText="1"/>
    </xf>
    <xf numFmtId="9" fontId="6" fillId="27" borderId="1" xfId="2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44" fontId="6" fillId="27" borderId="1" xfId="1" applyFont="1" applyFill="1" applyBorder="1" applyAlignment="1">
      <alignment horizontal="center" vertical="center" wrapText="1"/>
    </xf>
    <xf numFmtId="44" fontId="4" fillId="9" borderId="1" xfId="1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9" fontId="4" fillId="9" borderId="1" xfId="2" applyFont="1" applyFill="1" applyBorder="1" applyAlignment="1">
      <alignment horizontal="center"/>
    </xf>
    <xf numFmtId="0" fontId="0" fillId="9" borderId="0" xfId="0" applyFill="1"/>
    <xf numFmtId="9" fontId="0" fillId="0" borderId="0" xfId="2" applyFont="1" applyAlignment="1">
      <alignment horizontal="center"/>
    </xf>
    <xf numFmtId="9" fontId="0" fillId="0" borderId="1" xfId="2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9" fontId="1" fillId="5" borderId="1" xfId="2" applyFont="1" applyFill="1" applyBorder="1" applyAlignment="1">
      <alignment horizontal="center"/>
    </xf>
    <xf numFmtId="9" fontId="1" fillId="28" borderId="1" xfId="2" applyFont="1" applyFill="1" applyBorder="1" applyAlignment="1">
      <alignment horizontal="center"/>
    </xf>
    <xf numFmtId="9" fontId="3" fillId="6" borderId="1" xfId="2" applyFont="1" applyFill="1" applyBorder="1" applyAlignment="1">
      <alignment horizontal="center"/>
    </xf>
    <xf numFmtId="0" fontId="1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9" fontId="6" fillId="6" borderId="1" xfId="2" applyFont="1" applyFill="1" applyBorder="1" applyAlignment="1">
      <alignment vertical="center" wrapText="1"/>
    </xf>
    <xf numFmtId="2" fontId="3" fillId="7" borderId="5" xfId="0" applyNumberFormat="1" applyFont="1" applyFill="1" applyBorder="1" applyAlignment="1">
      <alignment vertical="center" wrapText="1"/>
    </xf>
    <xf numFmtId="2" fontId="3" fillId="7" borderId="6" xfId="0" applyNumberFormat="1" applyFont="1" applyFill="1" applyBorder="1" applyAlignment="1">
      <alignment vertical="center" wrapText="1"/>
    </xf>
    <xf numFmtId="2" fontId="3" fillId="7" borderId="2" xfId="0" applyNumberFormat="1" applyFont="1" applyFill="1" applyBorder="1" applyAlignment="1">
      <alignment vertical="center" wrapText="1"/>
    </xf>
    <xf numFmtId="9" fontId="22" fillId="7" borderId="1" xfId="2" applyFont="1" applyFill="1" applyBorder="1" applyAlignment="1">
      <alignment horizontal="center" vertical="center" wrapText="1"/>
    </xf>
    <xf numFmtId="0" fontId="14" fillId="16" borderId="26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15" borderId="24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5" borderId="24" xfId="0" applyFont="1" applyFill="1" applyBorder="1" applyAlignment="1">
      <alignment vertical="center" wrapText="1"/>
    </xf>
    <xf numFmtId="0" fontId="6" fillId="15" borderId="0" xfId="0" applyFont="1" applyFill="1" applyAlignment="1">
      <alignment vertical="center" wrapText="1"/>
    </xf>
    <xf numFmtId="0" fontId="6" fillId="15" borderId="9" xfId="0" applyFont="1" applyFill="1" applyBorder="1" applyAlignment="1">
      <alignment vertical="center" wrapText="1"/>
    </xf>
    <xf numFmtId="0" fontId="6" fillId="15" borderId="13" xfId="0" applyFont="1" applyFill="1" applyBorder="1" applyAlignment="1">
      <alignment vertical="center" wrapText="1"/>
    </xf>
    <xf numFmtId="0" fontId="6" fillId="15" borderId="7" xfId="0" applyFont="1" applyFill="1" applyBorder="1" applyAlignment="1">
      <alignment vertical="center" wrapText="1"/>
    </xf>
    <xf numFmtId="0" fontId="6" fillId="15" borderId="11" xfId="0" applyFont="1" applyFill="1" applyBorder="1" applyAlignment="1">
      <alignment vertical="center" wrapText="1"/>
    </xf>
    <xf numFmtId="44" fontId="6" fillId="15" borderId="9" xfId="1" applyFont="1" applyFill="1" applyBorder="1" applyAlignment="1">
      <alignment horizontal="center" vertical="center" wrapText="1"/>
    </xf>
    <xf numFmtId="9" fontId="6" fillId="15" borderId="0" xfId="2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4" fillId="0" borderId="0" xfId="0" applyFont="1"/>
    <xf numFmtId="0" fontId="0" fillId="14" borderId="0" xfId="0" applyFill="1"/>
    <xf numFmtId="0" fontId="21" fillId="0" borderId="0" xfId="0" applyFont="1" applyAlignment="1">
      <alignment horizontal="right"/>
    </xf>
    <xf numFmtId="0" fontId="21" fillId="0" borderId="7" xfId="0" applyFont="1" applyBorder="1" applyAlignment="1">
      <alignment horizontal="right"/>
    </xf>
    <xf numFmtId="9" fontId="1" fillId="28" borderId="1" xfId="2" applyFont="1" applyFill="1" applyBorder="1" applyAlignment="1">
      <alignment horizontal="right"/>
    </xf>
    <xf numFmtId="9" fontId="1" fillId="5" borderId="1" xfId="2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1" xfId="2" applyFont="1" applyBorder="1" applyAlignment="1">
      <alignment horizontal="right"/>
    </xf>
    <xf numFmtId="0" fontId="0" fillId="0" borderId="0" xfId="0" applyAlignment="1">
      <alignment horizontal="right"/>
    </xf>
    <xf numFmtId="0" fontId="4" fillId="30" borderId="1" xfId="0" applyFont="1" applyFill="1" applyBorder="1" applyAlignment="1">
      <alignment horizontal="center"/>
    </xf>
    <xf numFmtId="0" fontId="4" fillId="30" borderId="1" xfId="0" applyFont="1" applyFill="1" applyBorder="1"/>
    <xf numFmtId="44" fontId="4" fillId="8" borderId="1" xfId="1" applyFont="1" applyFill="1" applyBorder="1" applyAlignment="1">
      <alignment horizontal="center"/>
    </xf>
    <xf numFmtId="9" fontId="4" fillId="8" borderId="1" xfId="2" applyFon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44" fontId="6" fillId="15" borderId="0" xfId="1" applyFont="1" applyFill="1" applyBorder="1" applyAlignment="1">
      <alignment horizontal="center" vertical="center" wrapText="1"/>
    </xf>
    <xf numFmtId="2" fontId="6" fillId="15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4" fontId="15" fillId="4" borderId="6" xfId="2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/>
    </xf>
    <xf numFmtId="14" fontId="15" fillId="4" borderId="5" xfId="2" applyNumberFormat="1" applyFont="1" applyFill="1" applyBorder="1" applyAlignment="1">
      <alignment vertical="center" wrapText="1"/>
    </xf>
    <xf numFmtId="14" fontId="15" fillId="4" borderId="2" xfId="2" applyNumberFormat="1" applyFont="1" applyFill="1" applyBorder="1" applyAlignment="1">
      <alignment vertical="center" wrapText="1"/>
    </xf>
    <xf numFmtId="14" fontId="15" fillId="18" borderId="6" xfId="2" applyNumberFormat="1" applyFont="1" applyFill="1" applyBorder="1" applyAlignment="1">
      <alignment horizontal="center" vertical="center" wrapText="1"/>
    </xf>
    <xf numFmtId="14" fontId="15" fillId="18" borderId="2" xfId="2" applyNumberFormat="1" applyFont="1" applyFill="1" applyBorder="1" applyAlignment="1">
      <alignment vertical="center" wrapText="1"/>
    </xf>
    <xf numFmtId="14" fontId="15" fillId="19" borderId="6" xfId="2" applyNumberFormat="1" applyFont="1" applyFill="1" applyBorder="1" applyAlignment="1">
      <alignment horizontal="center" vertical="center" wrapText="1"/>
    </xf>
    <xf numFmtId="14" fontId="6" fillId="20" borderId="6" xfId="2" applyNumberFormat="1" applyFont="1" applyFill="1" applyBorder="1" applyAlignment="1">
      <alignment horizontal="center" vertical="center" wrapText="1"/>
    </xf>
    <xf numFmtId="14" fontId="6" fillId="21" borderId="6" xfId="2" applyNumberFormat="1" applyFont="1" applyFill="1" applyBorder="1" applyAlignment="1">
      <alignment horizontal="center" vertical="center" wrapText="1"/>
    </xf>
    <xf numFmtId="14" fontId="15" fillId="4" borderId="5" xfId="2" applyNumberFormat="1" applyFont="1" applyFill="1" applyBorder="1" applyAlignment="1">
      <alignment horizontal="left" vertical="center" wrapText="1"/>
    </xf>
    <xf numFmtId="14" fontId="15" fillId="4" borderId="5" xfId="2" applyNumberFormat="1" applyFont="1" applyFill="1" applyBorder="1" applyAlignment="1">
      <alignment horizontal="right" vertical="center" wrapText="1"/>
    </xf>
    <xf numFmtId="14" fontId="6" fillId="29" borderId="5" xfId="2" applyNumberFormat="1" applyFont="1" applyFill="1" applyBorder="1" applyAlignment="1">
      <alignment horizontal="right" vertical="center" wrapText="1"/>
    </xf>
    <xf numFmtId="14" fontId="6" fillId="29" borderId="6" xfId="2" applyNumberFormat="1" applyFont="1" applyFill="1" applyBorder="1" applyAlignment="1">
      <alignment horizontal="center" vertical="center" wrapText="1"/>
    </xf>
    <xf numFmtId="14" fontId="6" fillId="29" borderId="5" xfId="2" applyNumberFormat="1" applyFont="1" applyFill="1" applyBorder="1" applyAlignment="1">
      <alignment horizontal="left" vertical="center" wrapText="1"/>
    </xf>
    <xf numFmtId="14" fontId="6" fillId="29" borderId="2" xfId="2" applyNumberFormat="1" applyFont="1" applyFill="1" applyBorder="1" applyAlignment="1">
      <alignment vertical="center" wrapText="1"/>
    </xf>
    <xf numFmtId="14" fontId="6" fillId="21" borderId="5" xfId="2" applyNumberFormat="1" applyFont="1" applyFill="1" applyBorder="1" applyAlignment="1">
      <alignment horizontal="right" vertical="center" wrapText="1"/>
    </xf>
    <xf numFmtId="14" fontId="6" fillId="21" borderId="5" xfId="2" applyNumberFormat="1" applyFont="1" applyFill="1" applyBorder="1" applyAlignment="1">
      <alignment horizontal="left" vertical="center" wrapText="1"/>
    </xf>
    <xf numFmtId="14" fontId="6" fillId="21" borderId="2" xfId="2" applyNumberFormat="1" applyFont="1" applyFill="1" applyBorder="1" applyAlignment="1">
      <alignment vertical="center" wrapText="1"/>
    </xf>
    <xf numFmtId="14" fontId="6" fillId="20" borderId="5" xfId="2" applyNumberFormat="1" applyFont="1" applyFill="1" applyBorder="1" applyAlignment="1">
      <alignment horizontal="right" vertical="center" wrapText="1"/>
    </xf>
    <xf numFmtId="14" fontId="6" fillId="20" borderId="5" xfId="2" applyNumberFormat="1" applyFont="1" applyFill="1" applyBorder="1" applyAlignment="1">
      <alignment horizontal="left" vertical="center" wrapText="1"/>
    </xf>
    <xf numFmtId="14" fontId="6" fillId="20" borderId="2" xfId="2" applyNumberFormat="1" applyFont="1" applyFill="1" applyBorder="1" applyAlignment="1">
      <alignment vertical="center" wrapText="1"/>
    </xf>
    <xf numFmtId="14" fontId="15" fillId="19" borderId="5" xfId="2" applyNumberFormat="1" applyFont="1" applyFill="1" applyBorder="1" applyAlignment="1">
      <alignment horizontal="right" vertical="center" wrapText="1"/>
    </xf>
    <xf numFmtId="14" fontId="15" fillId="19" borderId="5" xfId="2" applyNumberFormat="1" applyFont="1" applyFill="1" applyBorder="1" applyAlignment="1">
      <alignment horizontal="left" vertical="center" wrapText="1"/>
    </xf>
    <xf numFmtId="14" fontId="15" fillId="19" borderId="2" xfId="2" applyNumberFormat="1" applyFont="1" applyFill="1" applyBorder="1" applyAlignment="1">
      <alignment vertical="center" wrapText="1"/>
    </xf>
    <xf numFmtId="14" fontId="15" fillId="18" borderId="5" xfId="2" applyNumberFormat="1" applyFont="1" applyFill="1" applyBorder="1" applyAlignment="1">
      <alignment horizontal="right" vertical="center" wrapText="1"/>
    </xf>
    <xf numFmtId="14" fontId="15" fillId="18" borderId="5" xfId="2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30" fillId="15" borderId="23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2" fontId="6" fillId="15" borderId="23" xfId="0" applyNumberFormat="1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textRotation="90"/>
    </xf>
    <xf numFmtId="0" fontId="10" fillId="0" borderId="10" xfId="0" applyFont="1" applyBorder="1" applyAlignment="1">
      <alignment horizontal="center" vertical="center" textRotation="90"/>
    </xf>
    <xf numFmtId="0" fontId="10" fillId="0" borderId="9" xfId="0" applyFont="1" applyBorder="1" applyAlignment="1">
      <alignment horizontal="center" vertical="center" textRotation="90"/>
    </xf>
    <xf numFmtId="0" fontId="10" fillId="0" borderId="20" xfId="0" applyFont="1" applyBorder="1" applyAlignment="1">
      <alignment horizontal="center" vertical="center" textRotation="90"/>
    </xf>
    <xf numFmtId="44" fontId="1" fillId="7" borderId="18" xfId="1" applyFont="1" applyFill="1" applyBorder="1" applyAlignment="1">
      <alignment horizontal="center" vertical="center"/>
    </xf>
    <xf numFmtId="44" fontId="1" fillId="7" borderId="20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textRotation="90" wrapText="1"/>
    </xf>
    <xf numFmtId="44" fontId="1" fillId="7" borderId="15" xfId="1" applyFont="1" applyFill="1" applyBorder="1" applyAlignment="1">
      <alignment horizontal="center" vertical="center"/>
    </xf>
    <xf numFmtId="44" fontId="1" fillId="7" borderId="16" xfId="1" applyFont="1" applyFill="1" applyBorder="1" applyAlignment="1">
      <alignment horizontal="center" vertical="center"/>
    </xf>
    <xf numFmtId="44" fontId="0" fillId="6" borderId="1" xfId="1" applyFont="1" applyFill="1" applyBorder="1" applyAlignment="1">
      <alignment horizontal="center" vertical="center"/>
    </xf>
    <xf numFmtId="44" fontId="0" fillId="6" borderId="5" xfId="1" applyFont="1" applyFill="1" applyBorder="1" applyAlignment="1">
      <alignment horizontal="center" vertical="center"/>
    </xf>
    <xf numFmtId="44" fontId="0" fillId="6" borderId="2" xfId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12" fillId="0" borderId="27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9" fillId="6" borderId="12" xfId="1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2" fontId="1" fillId="4" borderId="10" xfId="0" quotePrefix="1" applyNumberFormat="1" applyFont="1" applyFill="1" applyBorder="1" applyAlignment="1">
      <alignment horizontal="center" vertical="top" textRotation="255"/>
    </xf>
    <xf numFmtId="2" fontId="1" fillId="4" borderId="9" xfId="0" quotePrefix="1" applyNumberFormat="1" applyFont="1" applyFill="1" applyBorder="1" applyAlignment="1">
      <alignment horizontal="center" vertical="top" textRotation="255"/>
    </xf>
    <xf numFmtId="2" fontId="5" fillId="4" borderId="23" xfId="0" quotePrefix="1" applyNumberFormat="1" applyFont="1" applyFill="1" applyBorder="1" applyAlignment="1">
      <alignment horizontal="center" vertical="top" textRotation="255"/>
    </xf>
    <xf numFmtId="2" fontId="5" fillId="4" borderId="0" xfId="0" quotePrefix="1" applyNumberFormat="1" applyFont="1" applyFill="1" applyAlignment="1">
      <alignment horizontal="center" vertical="top" textRotation="255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44" fontId="15" fillId="11" borderId="3" xfId="1" applyFont="1" applyFill="1" applyBorder="1" applyAlignment="1">
      <alignment horizontal="center" vertical="center" wrapText="1"/>
    </xf>
    <xf numFmtId="44" fontId="15" fillId="11" borderId="8" xfId="1" applyFont="1" applyFill="1" applyBorder="1" applyAlignment="1">
      <alignment horizontal="center" vertical="center" wrapText="1"/>
    </xf>
    <xf numFmtId="44" fontId="15" fillId="11" borderId="4" xfId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8" borderId="6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9" fontId="15" fillId="11" borderId="3" xfId="2" applyFont="1" applyFill="1" applyBorder="1" applyAlignment="1">
      <alignment horizontal="center" vertical="center" wrapText="1"/>
    </xf>
    <xf numFmtId="9" fontId="15" fillId="11" borderId="8" xfId="2" applyFont="1" applyFill="1" applyBorder="1" applyAlignment="1">
      <alignment horizontal="center" vertical="center" wrapText="1"/>
    </xf>
    <xf numFmtId="9" fontId="15" fillId="11" borderId="4" xfId="2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center" vertical="center" wrapText="1"/>
    </xf>
    <xf numFmtId="0" fontId="6" fillId="21" borderId="5" xfId="0" applyFont="1" applyFill="1" applyBorder="1" applyAlignment="1">
      <alignment horizontal="center" vertical="center" wrapText="1"/>
    </xf>
    <xf numFmtId="0" fontId="6" fillId="21" borderId="6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6" fillId="29" borderId="5" xfId="0" applyFont="1" applyFill="1" applyBorder="1" applyAlignment="1">
      <alignment horizontal="center" vertical="center" wrapText="1"/>
    </xf>
    <xf numFmtId="0" fontId="6" fillId="29" borderId="6" xfId="0" applyFont="1" applyFill="1" applyBorder="1" applyAlignment="1">
      <alignment horizontal="center" vertical="center" wrapText="1"/>
    </xf>
    <xf numFmtId="0" fontId="6" fillId="29" borderId="2" xfId="0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 wrapText="1"/>
    </xf>
    <xf numFmtId="0" fontId="6" fillId="20" borderId="6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4" fontId="6" fillId="2" borderId="1" xfId="1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right"/>
    </xf>
    <xf numFmtId="0" fontId="1" fillId="3" borderId="3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right" vertical="center"/>
    </xf>
    <xf numFmtId="9" fontId="1" fillId="9" borderId="1" xfId="2" applyFont="1" applyFill="1" applyBorder="1" applyAlignment="1">
      <alignment horizontal="right"/>
    </xf>
    <xf numFmtId="9" fontId="1" fillId="28" borderId="5" xfId="2" applyFont="1" applyFill="1" applyBorder="1" applyAlignment="1">
      <alignment horizontal="right"/>
    </xf>
    <xf numFmtId="9" fontId="1" fillId="28" borderId="2" xfId="2" applyFont="1" applyFill="1" applyBorder="1" applyAlignment="1">
      <alignment horizontal="right"/>
    </xf>
    <xf numFmtId="9" fontId="1" fillId="5" borderId="5" xfId="2" applyFont="1" applyFill="1" applyBorder="1" applyAlignment="1">
      <alignment horizontal="right"/>
    </xf>
    <xf numFmtId="9" fontId="1" fillId="5" borderId="2" xfId="2" applyFont="1" applyFill="1" applyBorder="1" applyAlignment="1">
      <alignment horizontal="right"/>
    </xf>
    <xf numFmtId="9" fontId="1" fillId="9" borderId="1" xfId="2" applyFont="1" applyFill="1" applyBorder="1" applyAlignment="1">
      <alignment horizontal="center"/>
    </xf>
    <xf numFmtId="9" fontId="1" fillId="28" borderId="5" xfId="2" applyFont="1" applyFill="1" applyBorder="1" applyAlignment="1">
      <alignment horizontal="center"/>
    </xf>
    <xf numFmtId="9" fontId="1" fillId="28" borderId="2" xfId="2" applyFont="1" applyFill="1" applyBorder="1" applyAlignment="1">
      <alignment horizontal="center"/>
    </xf>
    <xf numFmtId="9" fontId="1" fillId="5" borderId="5" xfId="2" applyFont="1" applyFill="1" applyBorder="1" applyAlignment="1">
      <alignment horizontal="center"/>
    </xf>
    <xf numFmtId="9" fontId="1" fillId="5" borderId="2" xfId="2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/>
    </xf>
    <xf numFmtId="0" fontId="21" fillId="0" borderId="7" xfId="0" applyFont="1" applyBorder="1" applyAlignment="1">
      <alignment horizontal="right"/>
    </xf>
    <xf numFmtId="0" fontId="21" fillId="0" borderId="7" xfId="0" applyFont="1" applyBorder="1" applyAlignment="1">
      <alignment horizontal="center"/>
    </xf>
    <xf numFmtId="0" fontId="23" fillId="14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6" fillId="14" borderId="0" xfId="0" applyFont="1" applyFill="1" applyAlignment="1">
      <alignment horizontal="center"/>
    </xf>
    <xf numFmtId="0" fontId="28" fillId="14" borderId="0" xfId="0" applyFont="1" applyFill="1" applyAlignment="1">
      <alignment horizontal="center"/>
    </xf>
    <xf numFmtId="0" fontId="27" fillId="14" borderId="0" xfId="0" applyFont="1" applyFill="1" applyAlignment="1">
      <alignment horizontal="center"/>
    </xf>
    <xf numFmtId="0" fontId="29" fillId="14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Hipervínculo" xfId="3" builtinId="8"/>
    <cellStyle name="Moneda" xfId="1" builtinId="4"/>
    <cellStyle name="Normal" xfId="0" builtinId="0"/>
    <cellStyle name="Normal 2" xfId="4" xr:uid="{14E9B49F-6670-49E4-8B41-839ADDDD5AE8}"/>
    <cellStyle name="Porcentaje" xfId="2" builtinId="5"/>
    <cellStyle name="Porcentaje 2" xfId="5" xr:uid="{461FF691-0F2B-4E9B-B4E6-EC3CF3940ED7}"/>
  </cellStyles>
  <dxfs count="26">
    <dxf>
      <font>
        <b val="0"/>
        <i/>
      </font>
      <fill>
        <patternFill>
          <fgColor auto="1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tropolis Regular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9966FF"/>
      <color rgb="FFFFFF66"/>
      <color rgb="FF47FF5D"/>
      <color rgb="FFF6F2A8"/>
      <color rgb="FF2BD2FF"/>
      <color rgb="FFF55035"/>
      <color rgb="FFFF9999"/>
      <color rgb="FF9999FF"/>
      <color rgb="FF0099FF"/>
      <color rgb="FF0097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GRAFICAS!$B$4</c:f>
              <c:strCache>
                <c:ptCount val="1"/>
                <c:pt idx="0">
                  <c:v>PROGRAMADO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GRAFICAS!$A$6:$A$18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6 (PARTE 1)</c:v>
                </c:pt>
                <c:pt idx="12">
                  <c:v>MES 6 (PARTE 2)</c:v>
                </c:pt>
              </c:strCache>
            </c:strRef>
          </c:cat>
          <c:val>
            <c:numRef>
              <c:f>GRAFICAS!$C$6:$C$18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F-48E8-B1AA-D99971D8C68A}"/>
            </c:ext>
          </c:extLst>
        </c:ser>
        <c:ser>
          <c:idx val="1"/>
          <c:order val="1"/>
          <c:tx>
            <c:strRef>
              <c:f>GRAFICAS!$D$4</c:f>
              <c:strCache>
                <c:ptCount val="1"/>
                <c:pt idx="0">
                  <c:v>EJECUTADO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GRAFICAS!$A$6:$A$18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6 (PARTE 1)</c:v>
                </c:pt>
                <c:pt idx="12">
                  <c:v>MES 6 (PARTE 2)</c:v>
                </c:pt>
              </c:strCache>
            </c:strRef>
          </c:cat>
          <c:val>
            <c:numRef>
              <c:f>GRAFICAS!$E$6:$E$18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F-48E8-B1AA-D99971D8C6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35853392"/>
        <c:axId val="1835855312"/>
      </c:lineChart>
      <c:catAx>
        <c:axId val="1835853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CALENDARIO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5312"/>
        <c:crosses val="autoZero"/>
        <c:auto val="1"/>
        <c:lblAlgn val="ctr"/>
        <c:lblOffset val="100"/>
        <c:noMultiLvlLbl val="0"/>
      </c:catAx>
      <c:valAx>
        <c:axId val="1835855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800">
                    <a:solidFill>
                      <a:schemeClr val="bg1"/>
                    </a:solidFill>
                  </a:rPr>
                  <a:t>% DE AVANCE</a:t>
                </a:r>
              </a:p>
            </c:rich>
          </c:tx>
          <c:layout>
            <c:manualLayout>
              <c:xMode val="edge"/>
              <c:yMode val="edge"/>
              <c:x val="4.0935672514619881E-2"/>
              <c:y val="0.14802503273814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3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GRAFICAS!$H$4</c:f>
              <c:strCache>
                <c:ptCount val="1"/>
                <c:pt idx="0">
                  <c:v>PROGRAMADO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GRAFICAS!$G$6:$G$18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  <c:pt idx="12">
                  <c:v>MES 5 (PARTE 2)</c:v>
                </c:pt>
              </c:strCache>
            </c:strRef>
          </c:cat>
          <c:val>
            <c:numRef>
              <c:f>GRAFICAS!$I$6:$I$18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B-45F3-91FD-38DD015D6ED1}"/>
            </c:ext>
          </c:extLst>
        </c:ser>
        <c:ser>
          <c:idx val="1"/>
          <c:order val="1"/>
          <c:tx>
            <c:strRef>
              <c:f>GRAFICAS!$J$4</c:f>
              <c:strCache>
                <c:ptCount val="1"/>
                <c:pt idx="0">
                  <c:v>EJECUTADO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GRAFICAS!$G$6:$G$18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  <c:pt idx="12">
                  <c:v>MES 5 (PARTE 2)</c:v>
                </c:pt>
              </c:strCache>
            </c:strRef>
          </c:cat>
          <c:val>
            <c:numRef>
              <c:f>GRAFICAS!$K$6:$K$18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B-45F3-91FD-38DD015D6E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35853392"/>
        <c:axId val="1835855312"/>
      </c:lineChart>
      <c:catAx>
        <c:axId val="1835853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CALENDARIO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5312"/>
        <c:crosses val="autoZero"/>
        <c:auto val="1"/>
        <c:lblAlgn val="ctr"/>
        <c:lblOffset val="100"/>
        <c:noMultiLvlLbl val="0"/>
      </c:catAx>
      <c:valAx>
        <c:axId val="1835855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800">
                    <a:solidFill>
                      <a:schemeClr val="bg1"/>
                    </a:solidFill>
                  </a:rPr>
                  <a:t>% DE AVANCE</a:t>
                </a:r>
              </a:p>
            </c:rich>
          </c:tx>
          <c:layout>
            <c:manualLayout>
              <c:xMode val="edge"/>
              <c:yMode val="edge"/>
              <c:x val="4.0935672514619881E-2"/>
              <c:y val="0.14802503273814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3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GRAFICAS!$B$24</c:f>
              <c:strCache>
                <c:ptCount val="1"/>
                <c:pt idx="0">
                  <c:v>PROGRAMADO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GRAFICAS!$A$26:$A$38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  <c:pt idx="12">
                  <c:v>MES 5 (PARTE 2)</c:v>
                </c:pt>
              </c:strCache>
            </c:strRef>
          </c:cat>
          <c:val>
            <c:numRef>
              <c:f>GRAFICAS!$C$26:$C$38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3-449D-BAEE-5386D095A931}"/>
            </c:ext>
          </c:extLst>
        </c:ser>
        <c:ser>
          <c:idx val="1"/>
          <c:order val="1"/>
          <c:tx>
            <c:strRef>
              <c:f>GRAFICAS!$D$24</c:f>
              <c:strCache>
                <c:ptCount val="1"/>
                <c:pt idx="0">
                  <c:v>EJECUTADO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GRAFICAS!$A$26:$A$38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  <c:pt idx="12">
                  <c:v>MES 5 (PARTE 2)</c:v>
                </c:pt>
              </c:strCache>
            </c:strRef>
          </c:cat>
          <c:val>
            <c:numRef>
              <c:f>GRAFICAS!$E$26:$E$38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3-449D-BAEE-5386D095A9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35853392"/>
        <c:axId val="1835855312"/>
      </c:lineChart>
      <c:catAx>
        <c:axId val="1835853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CALENDARIO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5312"/>
        <c:crosses val="autoZero"/>
        <c:auto val="1"/>
        <c:lblAlgn val="ctr"/>
        <c:lblOffset val="100"/>
        <c:noMultiLvlLbl val="0"/>
      </c:catAx>
      <c:valAx>
        <c:axId val="1835855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800">
                    <a:solidFill>
                      <a:schemeClr val="bg1"/>
                    </a:solidFill>
                  </a:rPr>
                  <a:t>% DE AVANCE</a:t>
                </a:r>
              </a:p>
            </c:rich>
          </c:tx>
          <c:layout>
            <c:manualLayout>
              <c:xMode val="edge"/>
              <c:yMode val="edge"/>
              <c:x val="4.0935672514619881E-2"/>
              <c:y val="0.14802503273814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3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GRAFICAS!$H$24</c:f>
              <c:strCache>
                <c:ptCount val="1"/>
                <c:pt idx="0">
                  <c:v>PROGRAMADO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GRAFICAS!$G$26:$G$38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  <c:pt idx="12">
                  <c:v>MES 5 (PARTE 2)</c:v>
                </c:pt>
              </c:strCache>
            </c:strRef>
          </c:cat>
          <c:val>
            <c:numRef>
              <c:f>GRAFICAS!$I$26:$I$38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9-43E1-AE6B-0ABD895ABD00}"/>
            </c:ext>
          </c:extLst>
        </c:ser>
        <c:ser>
          <c:idx val="1"/>
          <c:order val="1"/>
          <c:tx>
            <c:strRef>
              <c:f>GRAFICAS!$J$24</c:f>
              <c:strCache>
                <c:ptCount val="1"/>
                <c:pt idx="0">
                  <c:v>EJECUTADO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GRAFICAS!$G$26:$G$38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  <c:pt idx="12">
                  <c:v>MES 5 (PARTE 2)</c:v>
                </c:pt>
              </c:strCache>
            </c:strRef>
          </c:cat>
          <c:val>
            <c:numRef>
              <c:f>GRAFICAS!$K$26:$K$38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9-43E1-AE6B-0ABD895ABD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35853392"/>
        <c:axId val="1835855312"/>
      </c:lineChart>
      <c:catAx>
        <c:axId val="1835853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CALENDARIO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5312"/>
        <c:crosses val="autoZero"/>
        <c:auto val="1"/>
        <c:lblAlgn val="ctr"/>
        <c:lblOffset val="100"/>
        <c:noMultiLvlLbl val="0"/>
      </c:catAx>
      <c:valAx>
        <c:axId val="1835855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800">
                    <a:solidFill>
                      <a:schemeClr val="bg1"/>
                    </a:solidFill>
                  </a:rPr>
                  <a:t>% DE AVANCE</a:t>
                </a:r>
              </a:p>
            </c:rich>
          </c:tx>
          <c:layout>
            <c:manualLayout>
              <c:xMode val="edge"/>
              <c:yMode val="edge"/>
              <c:x val="4.0935672514619881E-2"/>
              <c:y val="0.14802503273814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3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GRAFICAS!$B$45</c:f>
              <c:strCache>
                <c:ptCount val="1"/>
                <c:pt idx="0">
                  <c:v>PROGRAMADO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GRAFICAS!$A$47:$A$58</c:f>
              <c:strCache>
                <c:ptCount val="12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</c:strCache>
            </c:strRef>
          </c:cat>
          <c:val>
            <c:numRef>
              <c:f>GRAFICAS!$C$47:$C$59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FA-4425-B436-9F629268C97C}"/>
            </c:ext>
          </c:extLst>
        </c:ser>
        <c:ser>
          <c:idx val="1"/>
          <c:order val="1"/>
          <c:tx>
            <c:strRef>
              <c:f>GRAFICAS!$D$45</c:f>
              <c:strCache>
                <c:ptCount val="1"/>
                <c:pt idx="0">
                  <c:v>EJECUTADO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GRAFICAS!$A$47:$A$58</c:f>
              <c:strCache>
                <c:ptCount val="12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</c:strCache>
            </c:strRef>
          </c:cat>
          <c:val>
            <c:numRef>
              <c:f>GRAFICAS!$E$47:$E$59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FA-4425-B436-9F629268C9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35853392"/>
        <c:axId val="1835855312"/>
      </c:lineChart>
      <c:catAx>
        <c:axId val="1835853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CALENDARIO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5312"/>
        <c:crosses val="autoZero"/>
        <c:auto val="1"/>
        <c:lblAlgn val="ctr"/>
        <c:lblOffset val="100"/>
        <c:noMultiLvlLbl val="0"/>
      </c:catAx>
      <c:valAx>
        <c:axId val="1835855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800">
                    <a:solidFill>
                      <a:schemeClr val="bg1"/>
                    </a:solidFill>
                  </a:rPr>
                  <a:t>% DE AVANCE</a:t>
                </a:r>
              </a:p>
            </c:rich>
          </c:tx>
          <c:layout>
            <c:manualLayout>
              <c:xMode val="edge"/>
              <c:yMode val="edge"/>
              <c:x val="4.0935672514619881E-2"/>
              <c:y val="0.14802503273814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3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GRAFICAS!$H$45</c:f>
              <c:strCache>
                <c:ptCount val="1"/>
                <c:pt idx="0">
                  <c:v>PROGRAMADO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GRAFICAS!$G$47:$G$59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  <c:pt idx="12">
                  <c:v>MES 5 (PARTE 2)</c:v>
                </c:pt>
              </c:strCache>
            </c:strRef>
          </c:cat>
          <c:val>
            <c:numRef>
              <c:f>GRAFICAS!$I$47:$I$59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E-44E3-855D-5E81A0A0B4C9}"/>
            </c:ext>
          </c:extLst>
        </c:ser>
        <c:ser>
          <c:idx val="1"/>
          <c:order val="1"/>
          <c:tx>
            <c:strRef>
              <c:f>GRAFICAS!$J$45</c:f>
              <c:strCache>
                <c:ptCount val="1"/>
                <c:pt idx="0">
                  <c:v>EJECUTADO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GRAFICAS!$G$47:$G$59</c:f>
              <c:strCache>
                <c:ptCount val="13"/>
                <c:pt idx="0">
                  <c:v>INICIO</c:v>
                </c:pt>
                <c:pt idx="1">
                  <c:v>MES 1 (PARTE 1)</c:v>
                </c:pt>
                <c:pt idx="2">
                  <c:v>MES 1 (PARTE 2)</c:v>
                </c:pt>
                <c:pt idx="3">
                  <c:v>MES 2 (PARTE 1)</c:v>
                </c:pt>
                <c:pt idx="4">
                  <c:v>MES 2 (PARTE 2)</c:v>
                </c:pt>
                <c:pt idx="5">
                  <c:v>MES 3 (PARTE 1)</c:v>
                </c:pt>
                <c:pt idx="6">
                  <c:v>MES 3 (PARTE 2)</c:v>
                </c:pt>
                <c:pt idx="7">
                  <c:v>MES 4 (PARTE 1)</c:v>
                </c:pt>
                <c:pt idx="8">
                  <c:v>MES 4 (PARTE 2)</c:v>
                </c:pt>
                <c:pt idx="9">
                  <c:v>MES 5 (PARTE 1)</c:v>
                </c:pt>
                <c:pt idx="10">
                  <c:v>MES 5 (PARTE 2)</c:v>
                </c:pt>
                <c:pt idx="11">
                  <c:v>MES 5 (PARTE 2)</c:v>
                </c:pt>
                <c:pt idx="12">
                  <c:v>MES 5 (PARTE 2)</c:v>
                </c:pt>
              </c:strCache>
            </c:strRef>
          </c:cat>
          <c:val>
            <c:numRef>
              <c:f>GRAFICAS!$K$47:$K$59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FE-44E3-855D-5E81A0A0B4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35853392"/>
        <c:axId val="1835855312"/>
      </c:lineChart>
      <c:catAx>
        <c:axId val="1835853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CALENDARIO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5312"/>
        <c:crosses val="autoZero"/>
        <c:auto val="1"/>
        <c:lblAlgn val="ctr"/>
        <c:lblOffset val="100"/>
        <c:noMultiLvlLbl val="0"/>
      </c:catAx>
      <c:valAx>
        <c:axId val="1835855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800">
                    <a:solidFill>
                      <a:schemeClr val="bg1"/>
                    </a:solidFill>
                  </a:rPr>
                  <a:t>% DE AVANCE</a:t>
                </a:r>
              </a:p>
            </c:rich>
          </c:tx>
          <c:layout>
            <c:manualLayout>
              <c:xMode val="edge"/>
              <c:yMode val="edge"/>
              <c:x val="4.0935672514619881E-2"/>
              <c:y val="0.14802503273814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853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1</xdr:row>
      <xdr:rowOff>36369</xdr:rowOff>
    </xdr:from>
    <xdr:to>
      <xdr:col>23</xdr:col>
      <xdr:colOff>13856</xdr:colOff>
      <xdr:row>19</xdr:row>
      <xdr:rowOff>166948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1B8486-DD23-F9A4-6B22-74A7FAE75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1115292</xdr:colOff>
      <xdr:row>0</xdr:row>
      <xdr:rowOff>299604</xdr:rowOff>
    </xdr:from>
    <xdr:to>
      <xdr:col>34</xdr:col>
      <xdr:colOff>72737</xdr:colOff>
      <xdr:row>19</xdr:row>
      <xdr:rowOff>113261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AB2E61-0DB7-406C-8DF1-142438F93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38100</xdr:colOff>
      <xdr:row>22</xdr:row>
      <xdr:rowOff>45028</xdr:rowOff>
    </xdr:from>
    <xdr:to>
      <xdr:col>23</xdr:col>
      <xdr:colOff>41564</xdr:colOff>
      <xdr:row>41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C02538-18AB-47F4-8B48-C00A375F3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13854</xdr:colOff>
      <xdr:row>22</xdr:row>
      <xdr:rowOff>20782</xdr:rowOff>
    </xdr:from>
    <xdr:to>
      <xdr:col>34</xdr:col>
      <xdr:colOff>93517</xdr:colOff>
      <xdr:row>41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C0C6F90-856F-42E0-AC30-8D22EBE7A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22514</xdr:colOff>
      <xdr:row>43</xdr:row>
      <xdr:rowOff>20782</xdr:rowOff>
    </xdr:from>
    <xdr:to>
      <xdr:col>23</xdr:col>
      <xdr:colOff>50223</xdr:colOff>
      <xdr:row>62</xdr:row>
      <xdr:rowOff>62345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05A3B62-E8E7-47A2-8496-7BD6B8CDA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13854</xdr:colOff>
      <xdr:row>43</xdr:row>
      <xdr:rowOff>1732</xdr:rowOff>
    </xdr:from>
    <xdr:to>
      <xdr:col>34</xdr:col>
      <xdr:colOff>93517</xdr:colOff>
      <xdr:row>62</xdr:row>
      <xdr:rowOff>122959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D36341-9060-4AAA-A9ED-4924C328D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2015\Downloads\digrama-de-gantt-2.xlsx" TargetMode="External"/><Relationship Id="rId1" Type="http://schemas.openxmlformats.org/officeDocument/2006/relationships/externalLinkPath" Target="https://d.docs.live.net/Users/a2015/Downloads/digrama-de-gantt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ponsables"/>
      <sheetName val="Diagrama de Gantt"/>
    </sheetNames>
    <sheetDataSet>
      <sheetData sheetId="0">
        <row r="5">
          <cell r="C5" t="str">
            <v>Cuñat Ramírez, María</v>
          </cell>
        </row>
        <row r="6">
          <cell r="C6" t="str">
            <v>Núñez Torres, Luis</v>
          </cell>
        </row>
        <row r="7">
          <cell r="C7" t="str">
            <v>Vélez Pérez, Juan</v>
          </cell>
        </row>
        <row r="8">
          <cell r="C8" t="str">
            <v>Zuzunaga Fernández, José</v>
          </cell>
        </row>
        <row r="9">
          <cell r="C9" t="str">
            <v>Acosta Vega, Verónica</v>
          </cell>
        </row>
        <row r="10">
          <cell r="C10" t="str">
            <v>Ramírez Medina, Sergio</v>
          </cell>
        </row>
        <row r="11">
          <cell r="C11" t="str">
            <v>Salazar Castillo, Martín</v>
          </cell>
        </row>
        <row r="12">
          <cell r="C12" t="str">
            <v>Gómez Martínez, Jesús</v>
          </cell>
        </row>
        <row r="13">
          <cell r="C13" t="str">
            <v>Pérez González, Francisco</v>
          </cell>
        </row>
        <row r="14">
          <cell r="C14" t="str">
            <v>Fernández Gómez, Javier</v>
          </cell>
        </row>
        <row r="15">
          <cell r="C15" t="str">
            <v>González García, Rosa</v>
          </cell>
        </row>
        <row r="16">
          <cell r="C16" t="str">
            <v>Ortiz Díaz, Jorge</v>
          </cell>
        </row>
        <row r="17">
          <cell r="C17" t="str">
            <v>Sánchez Sánchez, Ana</v>
          </cell>
        </row>
        <row r="18">
          <cell r="C18" t="str">
            <v>Flores Flores, Juana</v>
          </cell>
        </row>
        <row r="19">
          <cell r="C19" t="str">
            <v>Rivera López, Carlos</v>
          </cell>
        </row>
        <row r="20">
          <cell r="C20" t="str">
            <v>Álvarez Espinoza, Guadalupe</v>
          </cell>
        </row>
        <row r="21">
          <cell r="C21" t="str">
            <v>García Mendoza, Martha</v>
          </cell>
        </row>
        <row r="22">
          <cell r="C22" t="str">
            <v>Martínez Romero, Pedro</v>
          </cell>
        </row>
        <row r="23">
          <cell r="C23" t="str">
            <v>Chávez Bravo, Margarita</v>
          </cell>
        </row>
        <row r="24">
          <cell r="C24" t="str">
            <v>Díaz Gutiérrez, Mario</v>
          </cell>
        </row>
        <row r="25">
          <cell r="C25" t="str">
            <v>Espinoza Campos, Claudia</v>
          </cell>
        </row>
        <row r="26">
          <cell r="C26" t="str">
            <v>Mendoza Ortiz, Roberto</v>
          </cell>
        </row>
        <row r="27">
          <cell r="C27" t="str">
            <v>Romero Reyes, Alejandro</v>
          </cell>
        </row>
        <row r="28">
          <cell r="C28" t="str">
            <v>Castillo Aguilar, Manuel</v>
          </cell>
        </row>
        <row r="29">
          <cell r="C29" t="str">
            <v>Jiménez Ríos, Antonio</v>
          </cell>
        </row>
        <row r="30">
          <cell r="C30" t="str">
            <v>Torres Salazar, Víctor</v>
          </cell>
        </row>
        <row r="31">
          <cell r="C31" t="str">
            <v>Velasco Hernández, Miguel</v>
          </cell>
        </row>
        <row r="32">
          <cell r="C32" t="str">
            <v>Hernández Estrada, Ricardo</v>
          </cell>
        </row>
        <row r="33">
          <cell r="C33" t="str">
            <v>Moreno Valdez, Fernando</v>
          </cell>
        </row>
        <row r="34">
          <cell r="C34" t="str">
            <v>Reyes Castro, Laura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MINA CASALLO" id="{16979704-C96F-4629-A3FC-869973614FE8}" userId="4a55f84aed59ee34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B0E8C-0AB5-45D8-9689-BA5E05227610}" name="OpCaract1" displayName="OpCaract1" ref="A2:A28" totalsRowShown="0" headerRowDxfId="25" dataDxfId="24">
  <autoFilter ref="A2:A28" xr:uid="{96CB0E8C-0AB5-45D8-9689-BA5E05227610}"/>
  <tableColumns count="1">
    <tableColumn id="1" xr3:uid="{874888B1-7103-438C-A918-F4338390E782}" name="Caract. 1" dataDxfId="2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11559-4F0B-45EA-A5F7-F8C154BF4189}" name="OpCaract2" displayName="OpCaract2" ref="B2:B7" totalsRowShown="0" headerRowDxfId="22" dataDxfId="20" headerRowBorderDxfId="21">
  <autoFilter ref="B2:B7" xr:uid="{59411559-4F0B-45EA-A5F7-F8C154BF4189}"/>
  <tableColumns count="1">
    <tableColumn id="1" xr3:uid="{EB055B74-F143-497F-B325-EC269407BECF}" name="Caract. 2" dataDxfId="1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21AC14-F223-4728-84ED-EFFC24FAAB6C}" name="OpCaract3" displayName="OpCaract3" ref="C2:E59" totalsRowShown="0" headerRowDxfId="18" dataDxfId="16" headerRowBorderDxfId="17">
  <autoFilter ref="C2:E59" xr:uid="{2A21AC14-F223-4728-84ED-EFFC24FAAB6C}"/>
  <tableColumns count="3">
    <tableColumn id="1" xr3:uid="{DB5DC86D-6DC3-435E-BB11-C23A42C4C828}" name="Caract. 3" dataDxfId="15"/>
    <tableColumn id="2" xr3:uid="{3D3B6E41-F447-4737-9D5E-EDA1F5C9AEA3}" name="ESPECIALIDADES" dataDxfId="14"/>
    <tableColumn id="3" xr3:uid="{8CC920B2-F128-445B-A358-FD5BE55AE1D1}" name="PUESTOS" dataDxfId="13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6F66D8-FD8D-4179-A145-1DF131BD6E7C}" name="DatosProyecto" displayName="DatosProyecto" ref="A1:G10" totalsRowShown="0" headerRowDxfId="12" dataDxfId="10" headerRowBorderDxfId="11" tableBorderDxfId="9" totalsRowBorderDxfId="8">
  <autoFilter ref="A1:G10" xr:uid="{B66F66D8-FD8D-4179-A145-1DF131BD6E7C}"/>
  <tableColumns count="7">
    <tableColumn id="1" xr3:uid="{0F714FA7-349C-4656-B4E0-A2BC1AF4F585}" name="CÓDIGO DE PROYECTO" dataDxfId="7"/>
    <tableColumn id="2" xr3:uid="{93522A12-FD7D-494C-95C3-3640CBF186E7}" name="NOMBRE DE CLIENTE" dataDxfId="6"/>
    <tableColumn id="6" xr3:uid="{9E409F7A-0F3D-4496-B253-615EC8B2BE81}" name="FECHA DE INICIO DE ANALISIS" dataDxfId="5"/>
    <tableColumn id="11" xr3:uid="{166627FD-697F-4871-B949-2F27970F422D}" name="INICIO DE PROYECTO" dataDxfId="4"/>
    <tableColumn id="3" xr3:uid="{97A88498-0617-471A-9527-B85AF2C03E6C}" name="TIPO DE PROYECTO" dataDxfId="3"/>
    <tableColumn id="4" xr3:uid="{AC436523-C706-43C5-8D8A-3ED474CA4F95}" name="TIPO DE EDIFICACIÓN" dataDxfId="2"/>
    <tableColumn id="5" xr3:uid="{1AC9CF2E-6284-45F6-8192-6603A7DDD77D}" name="DISTRIT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6-01-22T17:13:59.63" personId="{16979704-C96F-4629-A3FC-869973614FE8}" id="{6F06DDCB-6915-4508-9F98-0AE627707AF6}">
    <text xml:space="preserve">AL MÁS CAPO, SE LE CONSIDERA COMO RENDIMIENTO 100%..LOS DEMÁS SON EN BASE AL RENDIMIENTO DEL MAYOR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milysearch.org/es/wiki/Lima,_Lima,_Per%C3%BA_-_Genealog%C3%ADa" TargetMode="External"/><Relationship Id="rId18" Type="http://schemas.openxmlformats.org/officeDocument/2006/relationships/hyperlink" Target="https://www.familysearch.org/es/wiki/R%C3%ADmac,_Lima,_Per%C3%BA_-_Genealog%C3%ADa" TargetMode="External"/><Relationship Id="rId26" Type="http://schemas.openxmlformats.org/officeDocument/2006/relationships/hyperlink" Target="https://www.familysearch.org/es/wiki/Cieneguilla,_Lima,_Per%C3%BA_-_Genealog%C3%ADa" TargetMode="External"/><Relationship Id="rId39" Type="http://schemas.openxmlformats.org/officeDocument/2006/relationships/hyperlink" Target="https://www.familysearch.org/es/wiki/Punta_Negra,_Lima,_Per%C3%BA_-_Genealog%C3%ADa" TargetMode="External"/><Relationship Id="rId21" Type="http://schemas.openxmlformats.org/officeDocument/2006/relationships/hyperlink" Target="https://www.familysearch.org/es/wiki/San_Miguel,_Lima,_Per%C3%BA_-_Genealog%C3%ADa" TargetMode="External"/><Relationship Id="rId34" Type="http://schemas.openxmlformats.org/officeDocument/2006/relationships/hyperlink" Target="https://www.familysearch.org/es/wiki/Chorrillos,_Lima,_Per%C3%BA_-_Genealog%C3%ADa" TargetMode="External"/><Relationship Id="rId42" Type="http://schemas.openxmlformats.org/officeDocument/2006/relationships/hyperlink" Target="https://www.familysearch.org/es/wiki/Santa_Mar%C3%ADa_del_Mar,_Lima,_Per%C3%BA_-_Genealog%C3%ADa" TargetMode="External"/><Relationship Id="rId47" Type="http://schemas.openxmlformats.org/officeDocument/2006/relationships/table" Target="../tables/table3.xml"/><Relationship Id="rId7" Type="http://schemas.openxmlformats.org/officeDocument/2006/relationships/hyperlink" Target="https://www.familysearch.org/es/wiki/San_Mart%C3%ADn_de_Porres,_Lima,_Per%C3%BA_-_Genealog%C3%ADa" TargetMode="External"/><Relationship Id="rId2" Type="http://schemas.openxmlformats.org/officeDocument/2006/relationships/hyperlink" Target="https://www.familysearch.org/es/wiki/Carabayllo,_Lima,_Per%C3%BA_-_Genealog%C3%ADa" TargetMode="External"/><Relationship Id="rId16" Type="http://schemas.openxmlformats.org/officeDocument/2006/relationships/hyperlink" Target="https://www.familysearch.org/es/wiki/Miraflores,_Lima,_Per%C3%BA_-_Genealog%C3%ADa" TargetMode="External"/><Relationship Id="rId29" Type="http://schemas.openxmlformats.org/officeDocument/2006/relationships/hyperlink" Target="https://www.familysearch.org/es/wiki/La_Molina,_Lima,_Per%C3%BA_-_Genealog%C3%ADa" TargetMode="External"/><Relationship Id="rId1" Type="http://schemas.openxmlformats.org/officeDocument/2006/relationships/hyperlink" Target="https://www.familysearch.org/es/wiki/Anc%C3%B3n,_Lima,_Per%C3%BA_-_Genealog%C3%ADa" TargetMode="External"/><Relationship Id="rId6" Type="http://schemas.openxmlformats.org/officeDocument/2006/relationships/hyperlink" Target="https://www.familysearch.org/es/wiki/Puente_Piedra,_Lima,_Per%C3%BA_-_Genealog%C3%ADa" TargetMode="External"/><Relationship Id="rId11" Type="http://schemas.openxmlformats.org/officeDocument/2006/relationships/hyperlink" Target="https://www.familysearch.org/es/wiki/Jes%C3%BAs_Mar%C3%ADa,_Lima,_Per%C3%BA_-_Genealog%C3%ADa" TargetMode="External"/><Relationship Id="rId24" Type="http://schemas.openxmlformats.org/officeDocument/2006/relationships/hyperlink" Target="https://www.familysearch.org/es/wiki/Ate,_Lima,_Per%C3%BA_-_Genealog%C3%ADa" TargetMode="External"/><Relationship Id="rId32" Type="http://schemas.openxmlformats.org/officeDocument/2006/relationships/hyperlink" Target="https://www.familysearch.org/es/wiki/San_Luis,_Lima,_Per%C3%BA_-_Genealog%C3%ADa" TargetMode="External"/><Relationship Id="rId37" Type="http://schemas.openxmlformats.org/officeDocument/2006/relationships/hyperlink" Target="https://www.familysearch.org/es/wiki/Pucusana,_Lima,_Per%C3%BA_-_Genealog%C3%ADa" TargetMode="External"/><Relationship Id="rId40" Type="http://schemas.openxmlformats.org/officeDocument/2006/relationships/hyperlink" Target="https://www.familysearch.org/es/wiki/San_Bartolo,_Lima,_Per%C3%BA_-_Genealog%C3%ADa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www.familysearch.org/es/wiki/Los_Olivos,_Lima,_Per%C3%BA_-_Genealog%C3%ADa" TargetMode="External"/><Relationship Id="rId15" Type="http://schemas.openxmlformats.org/officeDocument/2006/relationships/hyperlink" Target="https://www.familysearch.org/es/wiki/Magdalena_del_Mar,_Lima,_Per%C3%BA_-_Genealog%C3%ADa" TargetMode="External"/><Relationship Id="rId23" Type="http://schemas.openxmlformats.org/officeDocument/2006/relationships/hyperlink" Target="https://www.familysearch.org/es/wiki/Surquillo,_Lima,_Per%C3%BA_-_Genealog%C3%ADa" TargetMode="External"/><Relationship Id="rId28" Type="http://schemas.openxmlformats.org/officeDocument/2006/relationships/hyperlink" Target="https://www.familysearch.org/es/wiki/Huayc%C3%A1n,_Lima,_Per%C3%BA_-_Genealog%C3%ADa" TargetMode="External"/><Relationship Id="rId36" Type="http://schemas.openxmlformats.org/officeDocument/2006/relationships/hyperlink" Target="https://www.familysearch.org/es/wiki/Pachacamac,_Lima,_Per%C3%BA_-_Genealog%C3%ADa" TargetMode="External"/><Relationship Id="rId10" Type="http://schemas.openxmlformats.org/officeDocument/2006/relationships/hyperlink" Target="https://www.familysearch.org/es/wiki/Bre%C3%B1a,_Lima,_Per%C3%BA_-_Genealog%C3%ADa" TargetMode="External"/><Relationship Id="rId19" Type="http://schemas.openxmlformats.org/officeDocument/2006/relationships/hyperlink" Target="https://www.familysearch.org/es/wiki/San_Borja,_Lima,_Per%C3%BA_-_Genealog%C3%ADa" TargetMode="External"/><Relationship Id="rId31" Type="http://schemas.openxmlformats.org/officeDocument/2006/relationships/hyperlink" Target="https://www.familysearch.org/es/wiki/San_Juan_de_Lurigancho,_Lima,_Per%C3%BA_-_Genealog%C3%ADa" TargetMode="External"/><Relationship Id="rId44" Type="http://schemas.openxmlformats.org/officeDocument/2006/relationships/hyperlink" Target="https://www.familysearch.org/es/wiki/Villa_Mar%C3%ADa_del_Triunfo,_Lima,_Per%C3%BA_-_Genealog%C3%ADa" TargetMode="External"/><Relationship Id="rId4" Type="http://schemas.openxmlformats.org/officeDocument/2006/relationships/hyperlink" Target="https://www.familysearch.org/es/wiki/Independencia,_Lima,_Per%C3%BA_-_Genealog%C3%ADa" TargetMode="External"/><Relationship Id="rId9" Type="http://schemas.openxmlformats.org/officeDocument/2006/relationships/hyperlink" Target="https://www.familysearch.org/es/wiki/Barranco,_Lima,_Per%C3%BA_-_Genealog%C3%ADa" TargetMode="External"/><Relationship Id="rId14" Type="http://schemas.openxmlformats.org/officeDocument/2006/relationships/hyperlink" Target="https://www.familysearch.org/es/wiki/Lince,_Lince,_Per%C3%BA_-_Genealog%C3%ADa" TargetMode="External"/><Relationship Id="rId22" Type="http://schemas.openxmlformats.org/officeDocument/2006/relationships/hyperlink" Target="https://www.familysearch.org/es/wiki/Santiago_de_Surco,_Lima,_Per%C3%BA_-_Genealog%C3%ADa" TargetMode="External"/><Relationship Id="rId27" Type="http://schemas.openxmlformats.org/officeDocument/2006/relationships/hyperlink" Target="https://www.familysearch.org/es/wiki/El_Agustino,_Lima,_Per%C3%BA_-_Genealog%C3%ADa" TargetMode="External"/><Relationship Id="rId30" Type="http://schemas.openxmlformats.org/officeDocument/2006/relationships/hyperlink" Target="https://www.familysearch.org/es/wiki/Lurigancho,_Lima,_Per%C3%BA_-_Genealog%C3%ADa" TargetMode="External"/><Relationship Id="rId35" Type="http://schemas.openxmlformats.org/officeDocument/2006/relationships/hyperlink" Target="https://www.familysearch.org/es/wiki/Lur%C3%ADn,_Lima,_Per%C3%BA_-_Genealog%C3%ADa" TargetMode="External"/><Relationship Id="rId43" Type="http://schemas.openxmlformats.org/officeDocument/2006/relationships/hyperlink" Target="https://www.familysearch.org/es/wiki/Villa_El_Salvador,_Lima,_Per%C3%BA_-_Genealog%C3%ADa" TargetMode="External"/><Relationship Id="rId8" Type="http://schemas.openxmlformats.org/officeDocument/2006/relationships/hyperlink" Target="https://www.familysearch.org/es/wiki/Santa_Rosa,_Lima,_Per%C3%BA_-_Genealog%C3%ADa" TargetMode="External"/><Relationship Id="rId3" Type="http://schemas.openxmlformats.org/officeDocument/2006/relationships/hyperlink" Target="https://www.familysearch.org/es/wiki/Comas,_Lima,_Per%C3%BA_-_Genealog%C3%ADa" TargetMode="External"/><Relationship Id="rId12" Type="http://schemas.openxmlformats.org/officeDocument/2006/relationships/hyperlink" Target="https://www.familysearch.org/es/wiki/La_Victoria,_Lima,_Per%C3%BA_-_Genealog%C3%ADa" TargetMode="External"/><Relationship Id="rId17" Type="http://schemas.openxmlformats.org/officeDocument/2006/relationships/hyperlink" Target="https://www.familysearch.org/es/wiki/Pueblo_Libre,_Lima,_Per%C3%BA_-_Genealog%C3%ADa" TargetMode="External"/><Relationship Id="rId25" Type="http://schemas.openxmlformats.org/officeDocument/2006/relationships/hyperlink" Target="https://www.familysearch.org/es/wiki/Chaclacayo,_Lima,_Per%C3%BA_-_Genealog%C3%ADa" TargetMode="External"/><Relationship Id="rId33" Type="http://schemas.openxmlformats.org/officeDocument/2006/relationships/hyperlink" Target="https://www.familysearch.org/es/wiki/Santa_Anita,_Lima,_Per%C3%BA_-_Genealog%C3%ADa" TargetMode="External"/><Relationship Id="rId38" Type="http://schemas.openxmlformats.org/officeDocument/2006/relationships/hyperlink" Target="https://www.familysearch.org/es/wiki/Punta_Hermosa,_Lima,_Per%C3%BA_-_Genealog%C3%ADa" TargetMode="External"/><Relationship Id="rId46" Type="http://schemas.openxmlformats.org/officeDocument/2006/relationships/table" Target="../tables/table2.xml"/><Relationship Id="rId20" Type="http://schemas.openxmlformats.org/officeDocument/2006/relationships/hyperlink" Target="https://www.familysearch.org/es/wiki/San_Isidro,_Lima,_Per%C3%BA_-_Genealog%C3%ADa" TargetMode="External"/><Relationship Id="rId41" Type="http://schemas.openxmlformats.org/officeDocument/2006/relationships/hyperlink" Target="https://www.familysearch.org/es/wiki/San_Juan_de_Miraflores,_Lima,_Per%C3%BA_-_Genealog%C3%AD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FFAB-36F0-406F-A448-6861106F43AB}">
  <dimension ref="A1:G39"/>
  <sheetViews>
    <sheetView zoomScale="115" zoomScaleNormal="115" workbookViewId="0">
      <selection activeCell="E8" sqref="E8"/>
    </sheetView>
  </sheetViews>
  <sheetFormatPr baseColWidth="10" defaultRowHeight="14.4" outlineLevelRow="1"/>
  <cols>
    <col min="1" max="1" width="13.6640625" bestFit="1" customWidth="1"/>
    <col min="2" max="2" width="9.44140625" customWidth="1"/>
    <col min="3" max="3" width="43.6640625" style="14" customWidth="1"/>
    <col min="4" max="4" width="11.5546875" style="16"/>
    <col min="6" max="6" width="19.6640625" style="2" bestFit="1" customWidth="1"/>
    <col min="7" max="7" width="21.33203125" customWidth="1"/>
  </cols>
  <sheetData>
    <row r="1" spans="1:7">
      <c r="A1" s="282" t="s">
        <v>72</v>
      </c>
      <c r="B1" s="282"/>
      <c r="C1" s="282"/>
      <c r="D1" s="282"/>
      <c r="E1" s="282"/>
      <c r="F1" s="282"/>
      <c r="G1" s="282"/>
    </row>
    <row r="2" spans="1:7" ht="13.2" customHeight="1" outlineLevel="1">
      <c r="A2" s="13" t="s">
        <v>161</v>
      </c>
      <c r="B2" s="13" t="s">
        <v>163</v>
      </c>
      <c r="C2" s="13" t="s">
        <v>40</v>
      </c>
      <c r="D2" s="15" t="s">
        <v>41</v>
      </c>
      <c r="E2" s="13" t="s">
        <v>43</v>
      </c>
      <c r="F2" s="17" t="s">
        <v>4</v>
      </c>
      <c r="G2" s="13" t="s">
        <v>6</v>
      </c>
    </row>
    <row r="3" spans="1:7" outlineLevel="1">
      <c r="A3" s="285" t="s">
        <v>162</v>
      </c>
      <c r="B3" s="290" t="s">
        <v>63</v>
      </c>
      <c r="C3" s="26" t="s">
        <v>42</v>
      </c>
      <c r="D3" s="27">
        <v>1</v>
      </c>
      <c r="E3" s="26" t="s">
        <v>42</v>
      </c>
      <c r="F3" s="28">
        <v>1200</v>
      </c>
      <c r="G3" s="29">
        <f t="shared" ref="G3:G11" si="0">F3*D3</f>
        <v>1200</v>
      </c>
    </row>
    <row r="4" spans="1:7" outlineLevel="1">
      <c r="A4" s="286"/>
      <c r="B4" s="291"/>
      <c r="C4" s="26" t="s">
        <v>53</v>
      </c>
      <c r="D4" s="27">
        <v>1</v>
      </c>
      <c r="E4" s="26" t="s">
        <v>42</v>
      </c>
      <c r="F4" s="28">
        <v>1200</v>
      </c>
      <c r="G4" s="29">
        <f t="shared" si="0"/>
        <v>1200</v>
      </c>
    </row>
    <row r="5" spans="1:7" outlineLevel="1">
      <c r="A5" s="286"/>
      <c r="B5" s="291"/>
      <c r="C5" s="26" t="s">
        <v>55</v>
      </c>
      <c r="D5" s="27">
        <v>1</v>
      </c>
      <c r="E5" s="26" t="s">
        <v>54</v>
      </c>
      <c r="F5" s="28">
        <v>450</v>
      </c>
      <c r="G5" s="29">
        <f t="shared" si="0"/>
        <v>450</v>
      </c>
    </row>
    <row r="6" spans="1:7" outlineLevel="1">
      <c r="A6" s="286"/>
      <c r="B6" s="291"/>
      <c r="C6" s="26" t="s">
        <v>56</v>
      </c>
      <c r="D6" s="27">
        <v>12</v>
      </c>
      <c r="E6" s="26" t="s">
        <v>54</v>
      </c>
      <c r="F6" s="28">
        <v>125</v>
      </c>
      <c r="G6" s="29">
        <f t="shared" si="0"/>
        <v>1500</v>
      </c>
    </row>
    <row r="7" spans="1:7" outlineLevel="1">
      <c r="A7" s="286"/>
      <c r="B7" s="291"/>
      <c r="C7" s="26" t="s">
        <v>61</v>
      </c>
      <c r="D7" s="30">
        <v>1</v>
      </c>
      <c r="E7" s="26" t="s">
        <v>44</v>
      </c>
      <c r="F7" s="28">
        <v>3500</v>
      </c>
      <c r="G7" s="29">
        <f t="shared" si="0"/>
        <v>3500</v>
      </c>
    </row>
    <row r="8" spans="1:7" outlineLevel="1">
      <c r="A8" s="286"/>
      <c r="B8" s="291"/>
      <c r="C8" s="26" t="s">
        <v>60</v>
      </c>
      <c r="D8" s="30">
        <v>1</v>
      </c>
      <c r="E8" s="26" t="s">
        <v>44</v>
      </c>
      <c r="F8" s="28">
        <v>4000</v>
      </c>
      <c r="G8" s="29">
        <f t="shared" si="0"/>
        <v>4000</v>
      </c>
    </row>
    <row r="9" spans="1:7" outlineLevel="1">
      <c r="A9" s="286"/>
      <c r="B9" s="291"/>
      <c r="C9" s="26" t="s">
        <v>83</v>
      </c>
      <c r="D9" s="30">
        <v>1</v>
      </c>
      <c r="E9" s="26" t="s">
        <v>44</v>
      </c>
      <c r="F9" s="28">
        <v>1500</v>
      </c>
      <c r="G9" s="29">
        <f t="shared" si="0"/>
        <v>1500</v>
      </c>
    </row>
    <row r="10" spans="1:7" outlineLevel="1">
      <c r="A10" s="286"/>
      <c r="B10" s="291"/>
      <c r="C10" s="26" t="s">
        <v>73</v>
      </c>
      <c r="D10" s="30">
        <v>1</v>
      </c>
      <c r="E10" s="26" t="s">
        <v>44</v>
      </c>
      <c r="F10" s="28">
        <v>2500</v>
      </c>
      <c r="G10" s="29">
        <f t="shared" si="0"/>
        <v>2500</v>
      </c>
    </row>
    <row r="11" spans="1:7" ht="14.4" customHeight="1">
      <c r="A11" s="286"/>
      <c r="B11" s="292" t="s">
        <v>62</v>
      </c>
      <c r="C11" s="21" t="s">
        <v>67</v>
      </c>
      <c r="D11" s="22">
        <f>SUM(D12:D12)</f>
        <v>0</v>
      </c>
      <c r="E11" s="21" t="s">
        <v>44</v>
      </c>
      <c r="F11" s="23">
        <v>1500</v>
      </c>
      <c r="G11" s="24">
        <f t="shared" si="0"/>
        <v>0</v>
      </c>
    </row>
    <row r="12" spans="1:7" ht="14.4" customHeight="1">
      <c r="A12" s="286"/>
      <c r="B12" s="293"/>
      <c r="C12" s="19"/>
      <c r="D12" s="20"/>
      <c r="E12" s="19" t="s">
        <v>44</v>
      </c>
      <c r="F12" s="95"/>
      <c r="G12" s="95"/>
    </row>
    <row r="13" spans="1:7" ht="14.4" customHeight="1">
      <c r="A13" s="286"/>
      <c r="B13" s="293"/>
      <c r="C13" s="21" t="s">
        <v>45</v>
      </c>
      <c r="D13" s="22">
        <f>SUM(D14:D14)</f>
        <v>1</v>
      </c>
      <c r="E13" s="21" t="s">
        <v>44</v>
      </c>
      <c r="F13" s="23">
        <v>1500</v>
      </c>
      <c r="G13" s="24">
        <f>F13*D13</f>
        <v>1500</v>
      </c>
    </row>
    <row r="14" spans="1:7" ht="14.4" customHeight="1">
      <c r="A14" s="286"/>
      <c r="B14" s="293"/>
      <c r="C14" s="19" t="s">
        <v>92</v>
      </c>
      <c r="D14" s="20">
        <v>1</v>
      </c>
      <c r="E14" s="19" t="s">
        <v>44</v>
      </c>
      <c r="F14" s="95"/>
      <c r="G14" s="95"/>
    </row>
    <row r="15" spans="1:7">
      <c r="A15" s="286"/>
      <c r="B15" s="293"/>
      <c r="C15" s="21" t="s">
        <v>46</v>
      </c>
      <c r="D15" s="22">
        <f>SUM(D16:D18)</f>
        <v>3</v>
      </c>
      <c r="E15" s="21" t="s">
        <v>44</v>
      </c>
      <c r="F15" s="23">
        <v>2500</v>
      </c>
      <c r="G15" s="24">
        <f>SUM(F15*D15)</f>
        <v>7500</v>
      </c>
    </row>
    <row r="16" spans="1:7" ht="14.4" customHeight="1">
      <c r="A16" s="286"/>
      <c r="B16" s="293"/>
      <c r="C16" s="19" t="s">
        <v>48</v>
      </c>
      <c r="D16" s="20">
        <v>1</v>
      </c>
      <c r="E16" s="19" t="s">
        <v>44</v>
      </c>
      <c r="F16" s="95"/>
      <c r="G16" s="95"/>
    </row>
    <row r="17" spans="1:7" ht="14.4" customHeight="1">
      <c r="A17" s="286"/>
      <c r="B17" s="293"/>
      <c r="C17" s="19" t="s">
        <v>47</v>
      </c>
      <c r="D17" s="20">
        <v>1</v>
      </c>
      <c r="E17" s="19" t="s">
        <v>44</v>
      </c>
      <c r="F17" s="95"/>
      <c r="G17" s="95"/>
    </row>
    <row r="18" spans="1:7" ht="14.4" customHeight="1">
      <c r="A18" s="286"/>
      <c r="B18" s="293"/>
      <c r="C18" s="19" t="s">
        <v>91</v>
      </c>
      <c r="D18" s="20">
        <v>1</v>
      </c>
      <c r="E18" s="19" t="s">
        <v>44</v>
      </c>
      <c r="F18" s="95"/>
      <c r="G18" s="95"/>
    </row>
    <row r="19" spans="1:7">
      <c r="A19" s="286"/>
      <c r="B19" s="293"/>
      <c r="C19" s="21" t="s">
        <v>51</v>
      </c>
      <c r="D19" s="22">
        <f>D20</f>
        <v>1</v>
      </c>
      <c r="E19" s="21" t="s">
        <v>44</v>
      </c>
      <c r="F19" s="23">
        <v>1500</v>
      </c>
      <c r="G19" s="24">
        <f>F19*D19</f>
        <v>1500</v>
      </c>
    </row>
    <row r="20" spans="1:7" ht="14.4" customHeight="1">
      <c r="A20" s="286"/>
      <c r="B20" s="293"/>
      <c r="C20" s="19" t="s">
        <v>50</v>
      </c>
      <c r="D20" s="20">
        <v>1</v>
      </c>
      <c r="E20" s="19" t="s">
        <v>44</v>
      </c>
      <c r="F20" s="297"/>
      <c r="G20" s="297"/>
    </row>
    <row r="21" spans="1:7">
      <c r="A21" s="286"/>
      <c r="B21" s="293"/>
      <c r="C21" s="21" t="s">
        <v>52</v>
      </c>
      <c r="D21" s="22">
        <f>D22</f>
        <v>1</v>
      </c>
      <c r="E21" s="21" t="s">
        <v>44</v>
      </c>
      <c r="F21" s="23">
        <v>2500</v>
      </c>
      <c r="G21" s="24">
        <f>F21*D21</f>
        <v>2500</v>
      </c>
    </row>
    <row r="22" spans="1:7" ht="14.4" customHeight="1">
      <c r="A22" s="286"/>
      <c r="B22" s="293"/>
      <c r="C22" s="19" t="s">
        <v>49</v>
      </c>
      <c r="D22" s="20">
        <v>1</v>
      </c>
      <c r="E22" s="19" t="s">
        <v>44</v>
      </c>
      <c r="F22" s="297"/>
      <c r="G22" s="297"/>
    </row>
    <row r="23" spans="1:7" ht="14.4" customHeight="1">
      <c r="A23" s="286"/>
      <c r="B23" s="293"/>
      <c r="C23" s="21" t="s">
        <v>77</v>
      </c>
      <c r="D23" s="22">
        <f>D24</f>
        <v>0</v>
      </c>
      <c r="E23" s="21" t="s">
        <v>44</v>
      </c>
      <c r="F23" s="23">
        <v>2300</v>
      </c>
      <c r="G23" s="24">
        <f>F23*D23</f>
        <v>0</v>
      </c>
    </row>
    <row r="24" spans="1:7" ht="14.4" customHeight="1">
      <c r="A24" s="286"/>
      <c r="B24" s="293"/>
      <c r="C24" s="19"/>
      <c r="D24" s="20"/>
      <c r="E24" s="19" t="s">
        <v>44</v>
      </c>
      <c r="F24" s="298"/>
      <c r="G24" s="299"/>
    </row>
    <row r="25" spans="1:7" ht="14.4" customHeight="1">
      <c r="A25" s="286"/>
      <c r="B25" s="293"/>
      <c r="C25" s="21" t="s">
        <v>89</v>
      </c>
      <c r="D25" s="22">
        <f>D26</f>
        <v>0</v>
      </c>
      <c r="E25" s="21" t="s">
        <v>44</v>
      </c>
      <c r="F25" s="23">
        <v>2000</v>
      </c>
      <c r="G25" s="24">
        <f>F25*D25</f>
        <v>0</v>
      </c>
    </row>
    <row r="26" spans="1:7" ht="14.4" customHeight="1">
      <c r="A26" s="286"/>
      <c r="B26" s="293"/>
      <c r="C26" s="19"/>
      <c r="D26" s="20"/>
      <c r="E26" s="19" t="s">
        <v>44</v>
      </c>
      <c r="F26" s="298"/>
      <c r="G26" s="299"/>
    </row>
    <row r="27" spans="1:7" ht="13.2" customHeight="1">
      <c r="A27" s="286"/>
      <c r="B27" s="293"/>
      <c r="C27" s="21" t="s">
        <v>68</v>
      </c>
      <c r="D27" s="22">
        <v>1</v>
      </c>
      <c r="E27" s="21" t="s">
        <v>44</v>
      </c>
      <c r="F27" s="23">
        <v>200</v>
      </c>
      <c r="G27" s="24">
        <f t="shared" ref="G27:G32" si="1">F27*D27</f>
        <v>200</v>
      </c>
    </row>
    <row r="28" spans="1:7" ht="13.2" customHeight="1">
      <c r="A28" s="286"/>
      <c r="B28" s="293"/>
      <c r="C28" s="21" t="s">
        <v>82</v>
      </c>
      <c r="D28" s="22">
        <v>1</v>
      </c>
      <c r="E28" s="21" t="s">
        <v>44</v>
      </c>
      <c r="F28" s="23">
        <v>500</v>
      </c>
      <c r="G28" s="24">
        <f t="shared" si="1"/>
        <v>500</v>
      </c>
    </row>
    <row r="29" spans="1:7" ht="14.4" customHeight="1">
      <c r="A29" s="286"/>
      <c r="B29" s="293"/>
      <c r="C29" s="21" t="s">
        <v>69</v>
      </c>
      <c r="D29" s="22">
        <v>1</v>
      </c>
      <c r="E29" s="21" t="s">
        <v>44</v>
      </c>
      <c r="F29" s="23">
        <v>400</v>
      </c>
      <c r="G29" s="24">
        <f t="shared" si="1"/>
        <v>400</v>
      </c>
    </row>
    <row r="30" spans="1:7" ht="14.4" customHeight="1">
      <c r="A30" s="286"/>
      <c r="B30" s="294"/>
      <c r="C30" s="21" t="s">
        <v>70</v>
      </c>
      <c r="D30" s="22">
        <v>1</v>
      </c>
      <c r="E30" s="21" t="s">
        <v>44</v>
      </c>
      <c r="F30" s="23">
        <v>400</v>
      </c>
      <c r="G30" s="24">
        <f t="shared" si="1"/>
        <v>400</v>
      </c>
    </row>
    <row r="31" spans="1:7" ht="21.6" customHeight="1" outlineLevel="1">
      <c r="A31" s="286"/>
      <c r="B31" s="300" t="s">
        <v>64</v>
      </c>
      <c r="C31" s="21" t="s">
        <v>57</v>
      </c>
      <c r="D31" s="22">
        <v>1</v>
      </c>
      <c r="E31" s="21" t="s">
        <v>44</v>
      </c>
      <c r="F31" s="23">
        <v>1500</v>
      </c>
      <c r="G31" s="24">
        <f t="shared" si="1"/>
        <v>1500</v>
      </c>
    </row>
    <row r="32" spans="1:7" ht="19.2" customHeight="1" outlineLevel="1">
      <c r="A32" s="286"/>
      <c r="B32" s="301"/>
      <c r="C32" s="21" t="s">
        <v>84</v>
      </c>
      <c r="D32" s="22">
        <v>1</v>
      </c>
      <c r="E32" s="21" t="s">
        <v>44</v>
      </c>
      <c r="F32" s="23">
        <v>1500</v>
      </c>
      <c r="G32" s="24">
        <f t="shared" si="1"/>
        <v>1500</v>
      </c>
    </row>
    <row r="33" spans="1:7" ht="46.2" customHeight="1" outlineLevel="1" thickBot="1">
      <c r="A33" s="287"/>
      <c r="B33" s="25" t="s">
        <v>58</v>
      </c>
      <c r="C33" s="31" t="s">
        <v>58</v>
      </c>
      <c r="D33" s="32">
        <v>4</v>
      </c>
      <c r="E33" s="31" t="s">
        <v>59</v>
      </c>
      <c r="F33" s="33">
        <v>75</v>
      </c>
      <c r="G33" s="34">
        <f>D33*F33</f>
        <v>300</v>
      </c>
    </row>
    <row r="34" spans="1:7" ht="15" thickBot="1">
      <c r="A34" s="35"/>
      <c r="B34" s="35"/>
      <c r="C34" s="295" t="s">
        <v>71</v>
      </c>
      <c r="D34" s="295"/>
      <c r="E34" s="295"/>
      <c r="F34" s="296"/>
      <c r="G34" s="36">
        <f>SUM(G3:G10)+G11+G13+G15+G19+G21+G23+G25+G27+G28+G29+G30+G31+G32+G33</f>
        <v>33650</v>
      </c>
    </row>
    <row r="35" spans="1:7">
      <c r="A35" s="283" t="s">
        <v>74</v>
      </c>
      <c r="B35" s="283"/>
      <c r="C35" s="283"/>
      <c r="D35" s="283"/>
      <c r="E35" s="283"/>
      <c r="F35" s="283"/>
      <c r="G35" s="283"/>
    </row>
    <row r="36" spans="1:7">
      <c r="A36" s="13" t="s">
        <v>161</v>
      </c>
      <c r="B36" s="13" t="s">
        <v>163</v>
      </c>
      <c r="C36" s="13" t="s">
        <v>40</v>
      </c>
      <c r="D36" s="15" t="s">
        <v>41</v>
      </c>
      <c r="E36" s="13" t="s">
        <v>43</v>
      </c>
      <c r="F36" s="17" t="s">
        <v>4</v>
      </c>
      <c r="G36" s="13" t="s">
        <v>6</v>
      </c>
    </row>
    <row r="37" spans="1:7" ht="19.2" customHeight="1" outlineLevel="1">
      <c r="A37" s="284" t="s">
        <v>86</v>
      </c>
      <c r="B37" s="284" t="s">
        <v>86</v>
      </c>
      <c r="C37" s="21" t="s">
        <v>65</v>
      </c>
      <c r="D37" s="22">
        <v>2</v>
      </c>
      <c r="E37" s="21" t="s">
        <v>66</v>
      </c>
      <c r="F37" s="23">
        <v>400</v>
      </c>
      <c r="G37" s="24">
        <f>D37*F37</f>
        <v>800</v>
      </c>
    </row>
    <row r="38" spans="1:7" ht="20.399999999999999" customHeight="1" outlineLevel="1">
      <c r="A38" s="284"/>
      <c r="B38" s="284"/>
      <c r="C38" s="21" t="s">
        <v>85</v>
      </c>
      <c r="D38" s="22"/>
      <c r="E38" s="21"/>
      <c r="F38" s="23"/>
      <c r="G38" s="24">
        <v>1500</v>
      </c>
    </row>
    <row r="39" spans="1:7" ht="15" thickBot="1">
      <c r="A39" s="44"/>
      <c r="B39" s="44"/>
      <c r="C39" s="288" t="s">
        <v>71</v>
      </c>
      <c r="D39" s="288"/>
      <c r="E39" s="288"/>
      <c r="F39" s="289"/>
      <c r="G39" s="45">
        <f>SUM(G37:G38)</f>
        <v>2300</v>
      </c>
    </row>
  </sheetData>
  <mergeCells count="14">
    <mergeCell ref="A1:G1"/>
    <mergeCell ref="A35:G35"/>
    <mergeCell ref="A37:A38"/>
    <mergeCell ref="A3:A33"/>
    <mergeCell ref="C39:F39"/>
    <mergeCell ref="B3:B10"/>
    <mergeCell ref="B11:B30"/>
    <mergeCell ref="C34:F34"/>
    <mergeCell ref="F20:G20"/>
    <mergeCell ref="F22:G22"/>
    <mergeCell ref="F24:G24"/>
    <mergeCell ref="F26:G26"/>
    <mergeCell ref="B31:B32"/>
    <mergeCell ref="B37:B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7749-BF48-4B4F-B4F4-160FDC43626C}">
  <sheetPr>
    <tabColor theme="4" tint="0.79998168889431442"/>
  </sheetPr>
  <dimension ref="A1:F68"/>
  <sheetViews>
    <sheetView topLeftCell="A3" zoomScaleNormal="100" workbookViewId="0">
      <selection activeCell="D10" sqref="D10"/>
    </sheetView>
  </sheetViews>
  <sheetFormatPr baseColWidth="10" defaultRowHeight="14.4"/>
  <cols>
    <col min="1" max="1" width="22.109375" customWidth="1"/>
    <col min="2" max="2" width="17.44140625" customWidth="1"/>
    <col min="3" max="3" width="18.5546875" customWidth="1"/>
    <col min="4" max="4" width="24.33203125" bestFit="1" customWidth="1"/>
    <col min="5" max="5" width="19.6640625" customWidth="1"/>
    <col min="6" max="6" width="15.33203125" bestFit="1" customWidth="1"/>
  </cols>
  <sheetData>
    <row r="1" spans="1:6" ht="15.6">
      <c r="A1" s="302" t="s">
        <v>362</v>
      </c>
      <c r="B1" s="303"/>
      <c r="C1" s="303"/>
      <c r="D1" s="303"/>
      <c r="E1" s="303"/>
    </row>
    <row r="2" spans="1:6" ht="15.6">
      <c r="A2" s="126" t="s">
        <v>237</v>
      </c>
      <c r="B2" s="126" t="s">
        <v>238</v>
      </c>
      <c r="C2" s="126" t="s">
        <v>239</v>
      </c>
      <c r="D2" s="151" t="s">
        <v>331</v>
      </c>
      <c r="E2" s="151" t="s">
        <v>90</v>
      </c>
      <c r="F2" s="215" t="s">
        <v>347</v>
      </c>
    </row>
    <row r="3" spans="1:6" ht="30">
      <c r="A3" s="127" t="s">
        <v>324</v>
      </c>
      <c r="B3" s="127" t="s">
        <v>240</v>
      </c>
      <c r="C3" s="127" t="s">
        <v>241</v>
      </c>
      <c r="D3" s="152" t="s">
        <v>119</v>
      </c>
      <c r="E3" s="179" t="s">
        <v>67</v>
      </c>
      <c r="F3" s="216" t="s">
        <v>349</v>
      </c>
    </row>
    <row r="4" spans="1:6" ht="45">
      <c r="A4" s="127" t="s">
        <v>325</v>
      </c>
      <c r="B4" s="127" t="s">
        <v>243</v>
      </c>
      <c r="C4" s="127" t="s">
        <v>244</v>
      </c>
      <c r="D4" s="152" t="s">
        <v>332</v>
      </c>
      <c r="E4" s="179" t="s">
        <v>150</v>
      </c>
      <c r="F4" s="217" t="s">
        <v>351</v>
      </c>
    </row>
    <row r="5" spans="1:6" ht="30">
      <c r="A5" s="127" t="s">
        <v>326</v>
      </c>
      <c r="B5" s="127" t="s">
        <v>246</v>
      </c>
      <c r="C5" s="127" t="s">
        <v>247</v>
      </c>
      <c r="D5" s="152" t="s">
        <v>120</v>
      </c>
      <c r="E5" s="179" t="s">
        <v>45</v>
      </c>
      <c r="F5" s="216" t="s">
        <v>352</v>
      </c>
    </row>
    <row r="6" spans="1:6" ht="30">
      <c r="A6" s="127" t="s">
        <v>329</v>
      </c>
      <c r="B6" s="127" t="s">
        <v>249</v>
      </c>
      <c r="C6" s="127" t="s">
        <v>250</v>
      </c>
      <c r="D6" s="152" t="s">
        <v>335</v>
      </c>
      <c r="E6" s="179" t="s">
        <v>46</v>
      </c>
      <c r="F6" s="217" t="s">
        <v>353</v>
      </c>
    </row>
    <row r="7" spans="1:6" ht="45">
      <c r="A7" s="127" t="s">
        <v>327</v>
      </c>
      <c r="B7" s="127" t="s">
        <v>252</v>
      </c>
      <c r="C7" s="127" t="s">
        <v>253</v>
      </c>
      <c r="D7" s="152" t="s">
        <v>333</v>
      </c>
      <c r="E7" s="179" t="s">
        <v>230</v>
      </c>
      <c r="F7" s="216" t="s">
        <v>354</v>
      </c>
    </row>
    <row r="8" spans="1:6" ht="45">
      <c r="A8" s="127" t="s">
        <v>328</v>
      </c>
      <c r="B8" s="127"/>
      <c r="C8" s="127" t="s">
        <v>255</v>
      </c>
      <c r="D8" s="152" t="s">
        <v>334</v>
      </c>
      <c r="E8" s="179" t="s">
        <v>145</v>
      </c>
      <c r="F8" s="217" t="s">
        <v>355</v>
      </c>
    </row>
    <row r="9" spans="1:6" ht="45">
      <c r="A9" s="127" t="s">
        <v>242</v>
      </c>
      <c r="B9" s="127"/>
      <c r="C9" s="127" t="s">
        <v>257</v>
      </c>
      <c r="D9" s="127" t="s">
        <v>93</v>
      </c>
      <c r="E9" s="179" t="s">
        <v>154</v>
      </c>
      <c r="F9" s="216" t="s">
        <v>356</v>
      </c>
    </row>
    <row r="10" spans="1:6" ht="45">
      <c r="A10" s="127" t="s">
        <v>245</v>
      </c>
      <c r="B10" s="127"/>
      <c r="C10" s="127" t="s">
        <v>259</v>
      </c>
      <c r="D10" s="127" t="s">
        <v>373</v>
      </c>
      <c r="E10" s="179" t="s">
        <v>153</v>
      </c>
      <c r="F10" s="217" t="s">
        <v>357</v>
      </c>
    </row>
    <row r="11" spans="1:6" ht="30">
      <c r="A11" s="127" t="s">
        <v>248</v>
      </c>
      <c r="B11" s="127"/>
      <c r="C11" s="127" t="s">
        <v>261</v>
      </c>
      <c r="D11" s="127"/>
      <c r="E11" s="179" t="s">
        <v>51</v>
      </c>
      <c r="F11" s="216" t="s">
        <v>358</v>
      </c>
    </row>
    <row r="12" spans="1:6" ht="45">
      <c r="A12" s="127" t="s">
        <v>251</v>
      </c>
      <c r="B12" s="127"/>
      <c r="C12" s="128" t="s">
        <v>263</v>
      </c>
      <c r="D12" s="127"/>
      <c r="E12" s="179" t="s">
        <v>146</v>
      </c>
      <c r="F12" s="217" t="s">
        <v>359</v>
      </c>
    </row>
    <row r="13" spans="1:6" ht="45">
      <c r="A13" s="127" t="s">
        <v>254</v>
      </c>
      <c r="B13" s="127"/>
      <c r="C13" s="128" t="s">
        <v>265</v>
      </c>
      <c r="D13" s="127"/>
      <c r="E13" s="179" t="s">
        <v>52</v>
      </c>
      <c r="F13" s="216" t="s">
        <v>360</v>
      </c>
    </row>
    <row r="14" spans="1:6" ht="60">
      <c r="A14" s="127" t="s">
        <v>256</v>
      </c>
      <c r="B14" s="127"/>
      <c r="C14" s="128" t="s">
        <v>267</v>
      </c>
      <c r="D14" s="127"/>
      <c r="E14" s="179" t="s">
        <v>147</v>
      </c>
      <c r="F14" s="217" t="s">
        <v>363</v>
      </c>
    </row>
    <row r="15" spans="1:6" ht="60">
      <c r="A15" s="127" t="s">
        <v>258</v>
      </c>
      <c r="B15" s="127"/>
      <c r="C15" s="128" t="s">
        <v>269</v>
      </c>
      <c r="D15" s="127"/>
      <c r="E15" s="179" t="s">
        <v>339</v>
      </c>
      <c r="F15" s="216" t="s">
        <v>364</v>
      </c>
    </row>
    <row r="16" spans="1:6" ht="45">
      <c r="A16" s="127" t="s">
        <v>260</v>
      </c>
      <c r="B16" s="127"/>
      <c r="C16" s="128" t="s">
        <v>271</v>
      </c>
      <c r="D16" s="127"/>
      <c r="E16" s="179" t="s">
        <v>77</v>
      </c>
    </row>
    <row r="17" spans="1:5" ht="60">
      <c r="A17" s="127" t="s">
        <v>262</v>
      </c>
      <c r="B17" s="127"/>
      <c r="C17" s="128" t="s">
        <v>273</v>
      </c>
      <c r="D17" s="127"/>
      <c r="E17" s="179" t="s">
        <v>148</v>
      </c>
    </row>
    <row r="18" spans="1:5" ht="60">
      <c r="A18" s="127" t="s">
        <v>264</v>
      </c>
      <c r="B18" s="127"/>
      <c r="C18" s="128" t="s">
        <v>275</v>
      </c>
      <c r="D18" s="127"/>
      <c r="E18" s="179" t="s">
        <v>148</v>
      </c>
    </row>
    <row r="19" spans="1:5" ht="45">
      <c r="A19" s="127" t="s">
        <v>266</v>
      </c>
      <c r="B19" s="127"/>
      <c r="C19" s="128" t="s">
        <v>277</v>
      </c>
      <c r="D19" s="127"/>
      <c r="E19" s="179" t="s">
        <v>89</v>
      </c>
    </row>
    <row r="20" spans="1:5" ht="60">
      <c r="A20" s="127" t="s">
        <v>268</v>
      </c>
      <c r="B20" s="127"/>
      <c r="C20" s="128" t="s">
        <v>278</v>
      </c>
      <c r="D20" s="127"/>
      <c r="E20" s="179" t="s">
        <v>156</v>
      </c>
    </row>
    <row r="21" spans="1:5" ht="60">
      <c r="A21" s="127" t="s">
        <v>270</v>
      </c>
      <c r="B21" s="127"/>
      <c r="C21" s="128" t="s">
        <v>279</v>
      </c>
      <c r="D21" s="127"/>
      <c r="E21" s="179" t="s">
        <v>148</v>
      </c>
    </row>
    <row r="22" spans="1:5" ht="45">
      <c r="A22" s="127" t="s">
        <v>272</v>
      </c>
      <c r="B22" s="127"/>
      <c r="C22" s="128" t="s">
        <v>280</v>
      </c>
      <c r="D22" s="127"/>
      <c r="E22" s="179" t="s">
        <v>68</v>
      </c>
    </row>
    <row r="23" spans="1:5" ht="30">
      <c r="A23" s="127" t="s">
        <v>274</v>
      </c>
      <c r="B23" s="127"/>
      <c r="C23" s="128" t="s">
        <v>281</v>
      </c>
      <c r="D23" s="127"/>
      <c r="E23" s="179" t="s">
        <v>82</v>
      </c>
    </row>
    <row r="24" spans="1:5" ht="30">
      <c r="A24" s="127" t="s">
        <v>276</v>
      </c>
      <c r="B24" s="127"/>
      <c r="C24" s="128" t="s">
        <v>282</v>
      </c>
      <c r="D24" s="127"/>
      <c r="E24" s="179" t="s">
        <v>69</v>
      </c>
    </row>
    <row r="25" spans="1:5" ht="30">
      <c r="A25" s="127"/>
      <c r="B25" s="127"/>
      <c r="C25" s="128" t="s">
        <v>283</v>
      </c>
      <c r="D25" s="127"/>
      <c r="E25" s="179" t="s">
        <v>70</v>
      </c>
    </row>
    <row r="26" spans="1:5" ht="15">
      <c r="A26" s="127"/>
      <c r="B26" s="127"/>
      <c r="C26" s="128" t="s">
        <v>284</v>
      </c>
      <c r="D26" s="127"/>
      <c r="E26" s="179" t="s">
        <v>57</v>
      </c>
    </row>
    <row r="27" spans="1:5" ht="15">
      <c r="A27" s="127"/>
      <c r="B27" s="127"/>
      <c r="C27" s="128" t="s">
        <v>285</v>
      </c>
      <c r="D27" s="127"/>
      <c r="E27" s="179" t="s">
        <v>84</v>
      </c>
    </row>
    <row r="28" spans="1:5" ht="15">
      <c r="A28" s="127"/>
      <c r="B28" s="127"/>
      <c r="C28" s="128" t="s">
        <v>286</v>
      </c>
      <c r="D28" s="127"/>
      <c r="E28" s="180" t="s">
        <v>58</v>
      </c>
    </row>
    <row r="29" spans="1:5" ht="30">
      <c r="A29" s="127"/>
      <c r="B29" s="127"/>
      <c r="C29" s="128" t="s">
        <v>287</v>
      </c>
      <c r="D29" s="127"/>
      <c r="E29" s="127" t="s">
        <v>371</v>
      </c>
    </row>
    <row r="30" spans="1:5" ht="15">
      <c r="A30" s="127"/>
      <c r="B30" s="127"/>
      <c r="C30" s="128" t="s">
        <v>288</v>
      </c>
      <c r="D30" s="127"/>
      <c r="E30" s="127"/>
    </row>
    <row r="31" spans="1:5" ht="30">
      <c r="A31" s="127"/>
      <c r="B31" s="127"/>
      <c r="C31" s="128" t="s">
        <v>289</v>
      </c>
      <c r="D31" s="127"/>
      <c r="E31" s="127"/>
    </row>
    <row r="32" spans="1:5" ht="15">
      <c r="A32" s="127"/>
      <c r="B32" s="127"/>
      <c r="C32" s="128" t="s">
        <v>290</v>
      </c>
      <c r="D32" s="127"/>
      <c r="E32" s="127"/>
    </row>
    <row r="33" spans="1:5" ht="15">
      <c r="A33" s="127"/>
      <c r="B33" s="127"/>
      <c r="C33" s="128" t="s">
        <v>291</v>
      </c>
      <c r="D33" s="127"/>
      <c r="E33" s="127"/>
    </row>
    <row r="34" spans="1:5" ht="30">
      <c r="A34" s="127"/>
      <c r="B34" s="127"/>
      <c r="C34" s="128" t="s">
        <v>292</v>
      </c>
      <c r="D34" s="127"/>
      <c r="E34" s="127"/>
    </row>
    <row r="35" spans="1:5" ht="15">
      <c r="A35" s="127"/>
      <c r="B35" s="127"/>
      <c r="C35" s="128" t="s">
        <v>293</v>
      </c>
      <c r="D35" s="127"/>
      <c r="E35" s="127"/>
    </row>
    <row r="36" spans="1:5" ht="15">
      <c r="A36" s="127"/>
      <c r="B36" s="127"/>
      <c r="C36" s="128" t="s">
        <v>294</v>
      </c>
      <c r="D36" s="127"/>
      <c r="E36" s="127"/>
    </row>
    <row r="37" spans="1:5" ht="15">
      <c r="A37" s="127"/>
      <c r="B37" s="127"/>
      <c r="C37" s="128" t="s">
        <v>295</v>
      </c>
      <c r="D37" s="127"/>
      <c r="E37" s="127"/>
    </row>
    <row r="38" spans="1:5" ht="15">
      <c r="A38" s="127"/>
      <c r="B38" s="127"/>
      <c r="C38" s="128" t="s">
        <v>296</v>
      </c>
      <c r="D38" s="127"/>
      <c r="E38" s="127"/>
    </row>
    <row r="39" spans="1:5" ht="15">
      <c r="A39" s="127"/>
      <c r="B39" s="127"/>
      <c r="C39" s="128" t="s">
        <v>297</v>
      </c>
      <c r="D39" s="127"/>
      <c r="E39" s="127"/>
    </row>
    <row r="40" spans="1:5" ht="15">
      <c r="A40" s="127"/>
      <c r="B40" s="127"/>
      <c r="C40" s="128" t="s">
        <v>298</v>
      </c>
      <c r="D40" s="127"/>
      <c r="E40" s="127"/>
    </row>
    <row r="41" spans="1:5" ht="15">
      <c r="A41" s="127"/>
      <c r="B41" s="127"/>
      <c r="C41" s="128" t="s">
        <v>299</v>
      </c>
      <c r="D41" s="127"/>
      <c r="E41" s="127"/>
    </row>
    <row r="42" spans="1:5" ht="15">
      <c r="A42" s="127"/>
      <c r="B42" s="127"/>
      <c r="C42" s="128" t="s">
        <v>300</v>
      </c>
      <c r="D42" s="127"/>
      <c r="E42" s="127"/>
    </row>
    <row r="43" spans="1:5" ht="15">
      <c r="A43" s="127"/>
      <c r="B43" s="127"/>
      <c r="C43" s="128" t="s">
        <v>301</v>
      </c>
      <c r="D43" s="127"/>
      <c r="E43" s="127"/>
    </row>
    <row r="44" spans="1:5" ht="30">
      <c r="A44" s="127"/>
      <c r="B44" s="127"/>
      <c r="C44" s="128" t="s">
        <v>302</v>
      </c>
      <c r="D44" s="127"/>
      <c r="E44" s="127"/>
    </row>
    <row r="45" spans="1:5" ht="30">
      <c r="A45" s="127"/>
      <c r="B45" s="127"/>
      <c r="C45" s="128" t="s">
        <v>303</v>
      </c>
      <c r="D45" s="127"/>
      <c r="E45" s="127"/>
    </row>
    <row r="46" spans="1:5" ht="15">
      <c r="A46" s="127"/>
      <c r="B46" s="127"/>
      <c r="C46" s="128" t="s">
        <v>304</v>
      </c>
      <c r="D46" s="127"/>
      <c r="E46" s="127"/>
    </row>
    <row r="47" spans="1:5" ht="30">
      <c r="A47" s="127"/>
      <c r="B47" s="127"/>
      <c r="C47" s="128" t="s">
        <v>305</v>
      </c>
      <c r="D47" s="127"/>
      <c r="E47" s="127"/>
    </row>
    <row r="48" spans="1:5" ht="15">
      <c r="A48" s="127"/>
      <c r="B48" s="127"/>
      <c r="C48" s="127" t="s">
        <v>306</v>
      </c>
      <c r="D48" s="127"/>
      <c r="E48" s="127"/>
    </row>
    <row r="49" spans="1:5" ht="15">
      <c r="A49" s="127"/>
      <c r="B49" s="127"/>
      <c r="C49" s="127" t="s">
        <v>307</v>
      </c>
      <c r="D49" s="127"/>
      <c r="E49" s="127"/>
    </row>
    <row r="50" spans="1:5" ht="15">
      <c r="A50" s="127"/>
      <c r="B50" s="127"/>
      <c r="C50" s="127" t="s">
        <v>308</v>
      </c>
      <c r="D50" s="127"/>
      <c r="E50" s="127"/>
    </row>
    <row r="51" spans="1:5" ht="15">
      <c r="A51" s="127"/>
      <c r="B51" s="127"/>
      <c r="C51" s="127" t="s">
        <v>309</v>
      </c>
      <c r="D51" s="127"/>
      <c r="E51" s="127"/>
    </row>
    <row r="52" spans="1:5" ht="15">
      <c r="A52" s="127"/>
      <c r="B52" s="127"/>
      <c r="C52" s="127" t="s">
        <v>310</v>
      </c>
      <c r="D52" s="127"/>
      <c r="E52" s="127"/>
    </row>
    <row r="53" spans="1:5" ht="15">
      <c r="A53" s="127"/>
      <c r="B53" s="127"/>
      <c r="C53" s="127" t="s">
        <v>311</v>
      </c>
      <c r="D53" s="127"/>
      <c r="E53" s="127"/>
    </row>
    <row r="54" spans="1:5" ht="15">
      <c r="A54" s="127"/>
      <c r="B54" s="127"/>
      <c r="C54" s="127" t="s">
        <v>312</v>
      </c>
      <c r="D54" s="127"/>
      <c r="E54" s="127"/>
    </row>
    <row r="55" spans="1:5" ht="15">
      <c r="A55" s="127"/>
      <c r="B55" s="127"/>
      <c r="C55" s="127" t="s">
        <v>313</v>
      </c>
      <c r="D55" s="127"/>
      <c r="E55" s="127"/>
    </row>
    <row r="56" spans="1:5" ht="15">
      <c r="A56" s="127"/>
      <c r="B56" s="127"/>
      <c r="C56" s="127" t="s">
        <v>314</v>
      </c>
      <c r="D56" s="127"/>
      <c r="E56" s="127"/>
    </row>
    <row r="57" spans="1:5" ht="15">
      <c r="A57" s="127"/>
      <c r="B57" s="127"/>
      <c r="C57" s="127" t="s">
        <v>315</v>
      </c>
      <c r="D57" s="127"/>
      <c r="E57" s="127"/>
    </row>
    <row r="58" spans="1:5" ht="15">
      <c r="A58" s="127"/>
      <c r="B58" s="127"/>
      <c r="C58" s="127" t="s">
        <v>316</v>
      </c>
      <c r="D58" s="127"/>
      <c r="E58" s="127"/>
    </row>
    <row r="59" spans="1:5" ht="15">
      <c r="A59" s="127"/>
      <c r="B59" s="127"/>
      <c r="C59" s="127" t="s">
        <v>317</v>
      </c>
      <c r="D59" s="127"/>
      <c r="E59" s="127"/>
    </row>
    <row r="60" spans="1:5" ht="15">
      <c r="A60" s="127"/>
    </row>
    <row r="61" spans="1:5" ht="15">
      <c r="A61" s="127"/>
    </row>
    <row r="62" spans="1:5" ht="15">
      <c r="A62" s="127"/>
    </row>
    <row r="63" spans="1:5" ht="15">
      <c r="A63" s="127"/>
    </row>
    <row r="64" spans="1:5" ht="15">
      <c r="A64" s="127"/>
    </row>
    <row r="65" spans="1:1" ht="15">
      <c r="A65" s="127"/>
    </row>
    <row r="66" spans="1:1" ht="15">
      <c r="A66" s="127"/>
    </row>
    <row r="67" spans="1:1" ht="15">
      <c r="A67" s="127"/>
    </row>
    <row r="68" spans="1:1" ht="15">
      <c r="A68" s="127"/>
    </row>
  </sheetData>
  <mergeCells count="1">
    <mergeCell ref="A1:E1"/>
  </mergeCells>
  <conditionalFormatting sqref="A1:A68 B2:C59">
    <cfRule type="cellIs" dxfId="0" priority="1" operator="equal">
      <formula>"Editable"</formula>
    </cfRule>
  </conditionalFormatting>
  <hyperlinks>
    <hyperlink ref="C4" r:id="rId1" tooltip="Ancón, Lima, Perú - Genealogía" display="https://www.familysearch.org/es/wiki/Anc%C3%B3n,_Lima,_Per%C3%BA_-_Genealog%C3%ADa" xr:uid="{F1DA3C95-6AB0-471F-B68D-9139F6CAABD7}"/>
    <hyperlink ref="C5" r:id="rId2" tooltip="Carabayllo, Lima, Perú - Genealogía" display="https://www.familysearch.org/es/wiki/Carabayllo,_Lima,_Per%C3%BA_-_Genealog%C3%ADa" xr:uid="{F7BE1F25-6F5D-47C3-A160-FA7EA63FA73F}"/>
    <hyperlink ref="C6" r:id="rId3" tooltip="Comas, Lima, Perú - Genealogía" display="https://www.familysearch.org/es/wiki/Comas,_Lima,_Per%C3%BA_-_Genealog%C3%ADa" xr:uid="{3890F6FF-1305-4EA3-B499-E19A4BD2F84B}"/>
    <hyperlink ref="C7" r:id="rId4" tooltip="Independencia, Lima, Perú - Genealogía" display="https://www.familysearch.org/es/wiki/Independencia,_Lima,_Per%C3%BA_-_Genealog%C3%ADa" xr:uid="{DC149067-0291-4DA4-BE09-D4E61098CFB2}"/>
    <hyperlink ref="C8" r:id="rId5" tooltip="Los Olivos, Lima, Perú - Genealogía" display="https://www.familysearch.org/es/wiki/Los_Olivos,_Lima,_Per%C3%BA_-_Genealog%C3%ADa" xr:uid="{39CA61FF-2C12-4327-800D-3821DC31368A}"/>
    <hyperlink ref="C9" r:id="rId6" tooltip="Puente Piedra, Lima, Perú - Genealogía" display="https://www.familysearch.org/es/wiki/Puente_Piedra,_Lima,_Per%C3%BA_-_Genealog%C3%ADa" xr:uid="{027FA06D-A75B-43FE-9307-E6983A8EF5F4}"/>
    <hyperlink ref="C10" r:id="rId7" tooltip="San Martín de Porres, Lima, Perú - Genealogía" display="https://www.familysearch.org/es/wiki/San_Mart%C3%ADn_de_Porres,_Lima,_Per%C3%BA_-_Genealog%C3%ADa" xr:uid="{0C117B77-C90B-4137-A6F4-39EC3106833F}"/>
    <hyperlink ref="C11" r:id="rId8" tooltip="Santa Rosa, Lima, Perú - Genealogía" display="https://www.familysearch.org/es/wiki/Santa_Rosa,_Lima,_Per%C3%BA_-_Genealog%C3%ADa" xr:uid="{85BECF55-D001-4219-A7CC-4E4B0DBC6380}"/>
    <hyperlink ref="C12" r:id="rId9" tooltip="Barranco, Lima, Perú - Genealogía" display="https://www.familysearch.org/es/wiki/Barranco,_Lima,_Per%C3%BA_-_Genealog%C3%ADa" xr:uid="{E4336906-624B-4835-B654-632F02BC767B}"/>
    <hyperlink ref="C13" r:id="rId10" tooltip="Breña, Lima, Perú - Genealogía" display="https://www.familysearch.org/es/wiki/Bre%C3%B1a,_Lima,_Per%C3%BA_-_Genealog%C3%ADa" xr:uid="{A85EE111-FD0B-473A-A2D8-412A33C81DFB}"/>
    <hyperlink ref="C14" r:id="rId11" tooltip="Jesús María, Lima, Perú - Genealogía" display="https://www.familysearch.org/es/wiki/Jes%C3%BAs_Mar%C3%ADa,_Lima,_Per%C3%BA_-_Genealog%C3%ADa" xr:uid="{EF82A7EB-8BFA-4067-9BBA-D2FB1AF23DE5}"/>
    <hyperlink ref="C15" r:id="rId12" tooltip="La Victoria, Lima, Perú - Genealogía" display="https://www.familysearch.org/es/wiki/La_Victoria,_Lima,_Per%C3%BA_-_Genealog%C3%ADa" xr:uid="{BB6B1711-BB7B-48ED-A36D-C9AC2DCCAFFB}"/>
    <hyperlink ref="C16" r:id="rId13" tooltip="Lima, Lima, Perú - Genealogía" display="https://www.familysearch.org/es/wiki/Lima,_Lima,_Per%C3%BA_-_Genealog%C3%ADa" xr:uid="{A5E6F2BF-4E9C-4B09-B2E9-E5830A1E9EAE}"/>
    <hyperlink ref="C17" r:id="rId14" tooltip="Lince, Lince, Perú - Genealogía" display="https://www.familysearch.org/es/wiki/Lince,_Lince,_Per%C3%BA_-_Genealog%C3%ADa" xr:uid="{79EF4511-DD93-45A9-93A2-079C016948C2}"/>
    <hyperlink ref="C18" r:id="rId15" tooltip="Magdalena del Mar, Lima, Perú - Genealogía" display="https://www.familysearch.org/es/wiki/Magdalena_del_Mar,_Lima,_Per%C3%BA_-_Genealog%C3%ADa" xr:uid="{21C76C81-F222-4B79-BB67-68D9DB37DEE8}"/>
    <hyperlink ref="C19" r:id="rId16" tooltip="Miraflores, Lima, Perú - Genealogía" display="https://www.familysearch.org/es/wiki/Miraflores,_Lima,_Per%C3%BA_-_Genealog%C3%ADa" xr:uid="{361EEC69-74DF-4A15-ADFC-A8D9CACD1727}"/>
    <hyperlink ref="C20" r:id="rId17" tooltip="Pueblo Libre, Lima, Perú - Genealogía" display="https://www.familysearch.org/es/wiki/Pueblo_Libre,_Lima,_Per%C3%BA_-_Genealog%C3%ADa" xr:uid="{B84320DA-2B0F-44E1-91F9-F15B3C4D5B80}"/>
    <hyperlink ref="C21" r:id="rId18" tooltip="Rímac, Lima, Perú - Genealogía" display="https://www.familysearch.org/es/wiki/R%C3%ADmac,_Lima,_Per%C3%BA_-_Genealog%C3%ADa" xr:uid="{64F88C49-44EB-477F-8C06-3811A9D91CB7}"/>
    <hyperlink ref="C22" r:id="rId19" tooltip="San Borja, Lima, Perú - Genealogía" display="https://www.familysearch.org/es/wiki/San_Borja,_Lima,_Per%C3%BA_-_Genealog%C3%ADa" xr:uid="{576787CD-D515-4E78-95F8-C2E5783B91ED}"/>
    <hyperlink ref="C23" r:id="rId20" tooltip="San Isidro, Lima, Perú - Genealogía" display="https://www.familysearch.org/es/wiki/San_Isidro,_Lima,_Per%C3%BA_-_Genealog%C3%ADa" xr:uid="{948BB163-A925-4FA5-BE71-8E355090A6D1}"/>
    <hyperlink ref="C24" r:id="rId21" tooltip="San Miguel, Lima, Perú - Genealogía" display="https://www.familysearch.org/es/wiki/San_Miguel,_Lima,_Per%C3%BA_-_Genealog%C3%ADa" xr:uid="{F8CED81B-5FFB-412D-A8CA-1DDB701B2EC3}"/>
    <hyperlink ref="C25" r:id="rId22" tooltip="Santiago de Surco, Lima, Perú - Genealogía" display="https://www.familysearch.org/es/wiki/Santiago_de_Surco,_Lima,_Per%C3%BA_-_Genealog%C3%ADa" xr:uid="{3DFFD826-F6B7-4814-A38A-4E1646F838E1}"/>
    <hyperlink ref="C26" r:id="rId23" tooltip="Surquillo, Lima, Perú - Genealogía" display="https://www.familysearch.org/es/wiki/Surquillo,_Lima,_Per%C3%BA_-_Genealog%C3%ADa" xr:uid="{359FB3CD-FB9A-4E85-9F03-F4FFA40EA157}"/>
    <hyperlink ref="C27" r:id="rId24" tooltip="Ate, Lima, Perú - Genealogía" display="https://www.familysearch.org/es/wiki/Ate,_Lima,_Per%C3%BA_-_Genealog%C3%ADa" xr:uid="{70F55F68-828A-4B0F-A399-94057EDE3CE7}"/>
    <hyperlink ref="C28" r:id="rId25" tooltip="Chaclacayo, Lima, Perú - Genealogía" display="https://www.familysearch.org/es/wiki/Chaclacayo,_Lima,_Per%C3%BA_-_Genealog%C3%ADa" xr:uid="{AF8D806F-CE08-4227-98B3-0B5DA9B4C739}"/>
    <hyperlink ref="C29" r:id="rId26" tooltip="Cieneguilla, Lima, Perú - Genealogía" display="https://www.familysearch.org/es/wiki/Cieneguilla,_Lima,_Per%C3%BA_-_Genealog%C3%ADa" xr:uid="{035599ED-2B7C-4902-986D-C09DD30C9458}"/>
    <hyperlink ref="C30" r:id="rId27" tooltip="El Agustino, Lima, Perú - Genealogía" display="https://www.familysearch.org/es/wiki/El_Agustino,_Lima,_Per%C3%BA_-_Genealog%C3%ADa" xr:uid="{1A7315C4-5E69-4AA7-A57E-40EB9582FC08}"/>
    <hyperlink ref="C31" r:id="rId28" tooltip="Huaycán, Lima, Perú - Genealogía" display="https://www.familysearch.org/es/wiki/Huayc%C3%A1n,_Lima,_Per%C3%BA_-_Genealog%C3%ADa" xr:uid="{83411831-94B2-4BC7-87A9-4512EB662195}"/>
    <hyperlink ref="C32" r:id="rId29" tooltip="La Molina, Lima, Perú - Genealogía" display="https://www.familysearch.org/es/wiki/La_Molina,_Lima,_Per%C3%BA_-_Genealog%C3%ADa" xr:uid="{BEA620B8-F126-4FC4-A7D6-979648498E99}"/>
    <hyperlink ref="C33" r:id="rId30" tooltip="Lurigancho, Lima, Perú - Genealogía" display="https://www.familysearch.org/es/wiki/Lurigancho,_Lima,_Per%C3%BA_-_Genealog%C3%ADa" xr:uid="{A07B622A-DAAC-4A70-878E-B62C62CB7495}"/>
    <hyperlink ref="C34" r:id="rId31" tooltip="San Juan de Lurigancho, Lima, Perú - Genealogía" display="https://www.familysearch.org/es/wiki/San_Juan_de_Lurigancho,_Lima,_Per%C3%BA_-_Genealog%C3%ADa" xr:uid="{0257E221-FCEC-4072-BB28-FB1FAE2A0C92}"/>
    <hyperlink ref="C35" r:id="rId32" tooltip="San Luis, Lima, Perú - Genealogía" display="https://www.familysearch.org/es/wiki/San_Luis,_Lima,_Per%C3%BA_-_Genealog%C3%ADa" xr:uid="{20818CB9-02F9-47F9-A810-D01F1B03892F}"/>
    <hyperlink ref="C36" r:id="rId33" tooltip="Santa Anita, Lima, Perú - Genealogía" display="https://www.familysearch.org/es/wiki/Santa_Anita,_Lima,_Per%C3%BA_-_Genealog%C3%ADa" xr:uid="{0E3B8591-C8E8-4622-B1E8-597E93A559B9}"/>
    <hyperlink ref="C37" r:id="rId34" tooltip="Chorrillos, Lima, Perú - Genealogía" display="https://www.familysearch.org/es/wiki/Chorrillos,_Lima,_Per%C3%BA_-_Genealog%C3%ADa" xr:uid="{8261D430-F64A-4860-B6D0-F2020B8F847D}"/>
    <hyperlink ref="C38" r:id="rId35" tooltip="Lurín, Lima, Perú - Genealogía" display="https://www.familysearch.org/es/wiki/Lur%C3%ADn,_Lima,_Per%C3%BA_-_Genealog%C3%ADa" xr:uid="{DAD69591-5522-4F3A-94C4-5751ACE8C559}"/>
    <hyperlink ref="C39" r:id="rId36" tooltip="Pachacamac, Lima, Perú - Genealogía" display="https://www.familysearch.org/es/wiki/Pachacamac,_Lima,_Per%C3%BA_-_Genealog%C3%ADa" xr:uid="{69ED2C9B-EC56-4A85-84A6-6C76AFC11168}"/>
    <hyperlink ref="C40" r:id="rId37" tooltip="Pucusana, Lima, Perú - Genealogía" display="https://www.familysearch.org/es/wiki/Pucusana,_Lima,_Per%C3%BA_-_Genealog%C3%ADa" xr:uid="{CABE0407-FC6D-4412-9E8B-C22CFAA0EDE5}"/>
    <hyperlink ref="C41" r:id="rId38" tooltip="Punta Hermosa, Lima, Perú - Genealogía" display="https://www.familysearch.org/es/wiki/Punta_Hermosa,_Lima,_Per%C3%BA_-_Genealog%C3%ADa" xr:uid="{3F68732E-ACD9-45F4-A07F-61439E68BE77}"/>
    <hyperlink ref="C42" r:id="rId39" tooltip="Punta Negra, Lima, Perú - Genealogía" display="https://www.familysearch.org/es/wiki/Punta_Negra,_Lima,_Per%C3%BA_-_Genealog%C3%ADa" xr:uid="{643106EB-5458-4FAA-BC95-4400BB8D8E18}"/>
    <hyperlink ref="C43" r:id="rId40" tooltip="San Bartolo, Lima, Perú - Genealogía" display="https://www.familysearch.org/es/wiki/San_Bartolo,_Lima,_Per%C3%BA_-_Genealog%C3%ADa" xr:uid="{4DE0CD3B-380D-447F-B2CD-3F512A8E79BC}"/>
    <hyperlink ref="C44" r:id="rId41" tooltip="San Juan de Miraflores, Lima, Perú - Genealogía" display="https://www.familysearch.org/es/wiki/San_Juan_de_Miraflores,_Lima,_Per%C3%BA_-_Genealog%C3%ADa" xr:uid="{CBE489FB-35F2-4609-9192-787BCE373363}"/>
    <hyperlink ref="C45" r:id="rId42" tooltip="Santa María del Mar, Lima, Perú - Genealogía" display="https://www.familysearch.org/es/wiki/Santa_Mar%C3%ADa_del_Mar,_Lima,_Per%C3%BA_-_Genealog%C3%ADa" xr:uid="{92BE6AE0-5799-4612-A763-C6CCCF44F78A}"/>
    <hyperlink ref="C46" r:id="rId43" tooltip="Villa El Salvador, Lima, Perú - Genealogía" display="https://www.familysearch.org/es/wiki/Villa_El_Salvador,_Lima,_Per%C3%BA_-_Genealog%C3%ADa" xr:uid="{D20C0A58-BE5A-46A0-B564-E423F7AA1D3C}"/>
    <hyperlink ref="C47" r:id="rId44" tooltip="Villa María del Triunfo, Lima, Perú - Genealogía" display="https://www.familysearch.org/es/wiki/Villa_Mar%C3%ADa_del_Triunfo,_Lima,_Per%C3%BA_-_Genealog%C3%ADa" xr:uid="{67CC0A58-A8B5-41E0-8A8C-CFDC987072EF}"/>
  </hyperlinks>
  <pageMargins left="0.7" right="0.7" top="0.75" bottom="0.75" header="0.3" footer="0.3"/>
  <tableParts count="3">
    <tablePart r:id="rId45"/>
    <tablePart r:id="rId46"/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1329-97AC-4AB9-8480-461D492AD19E}">
  <sheetPr>
    <tabColor rgb="FF47FF5D"/>
  </sheetPr>
  <dimension ref="A1:G10"/>
  <sheetViews>
    <sheetView zoomScaleNormal="100" workbookViewId="0">
      <selection activeCell="B8" sqref="B8"/>
    </sheetView>
  </sheetViews>
  <sheetFormatPr baseColWidth="10" defaultRowHeight="14.4"/>
  <cols>
    <col min="1" max="1" width="40.88671875" customWidth="1"/>
    <col min="2" max="4" width="28.33203125" style="48" customWidth="1"/>
    <col min="5" max="5" width="27.6640625" style="48" customWidth="1"/>
    <col min="6" max="6" width="28.33203125" style="48" customWidth="1"/>
    <col min="7" max="7" width="16.33203125" style="48" customWidth="1"/>
  </cols>
  <sheetData>
    <row r="1" spans="1:7" ht="31.2">
      <c r="A1" s="130" t="s">
        <v>234</v>
      </c>
      <c r="B1" s="131" t="s">
        <v>233</v>
      </c>
      <c r="C1" s="131" t="s">
        <v>383</v>
      </c>
      <c r="D1" s="131" t="s">
        <v>365</v>
      </c>
      <c r="E1" s="131" t="s">
        <v>235</v>
      </c>
      <c r="F1" s="131" t="s">
        <v>318</v>
      </c>
      <c r="G1" s="131" t="s">
        <v>319</v>
      </c>
    </row>
    <row r="2" spans="1:7">
      <c r="A2" s="132" t="s">
        <v>415</v>
      </c>
      <c r="B2" s="133" t="s">
        <v>416</v>
      </c>
      <c r="C2" s="248">
        <v>46052</v>
      </c>
      <c r="D2" s="248">
        <v>45995</v>
      </c>
      <c r="E2" s="133" t="s">
        <v>327</v>
      </c>
      <c r="F2" s="133" t="s">
        <v>243</v>
      </c>
      <c r="G2" s="133" t="s">
        <v>295</v>
      </c>
    </row>
    <row r="3" spans="1:7">
      <c r="A3" s="132"/>
      <c r="B3" s="133"/>
      <c r="C3" s="133"/>
      <c r="D3" s="133"/>
      <c r="E3" s="133"/>
      <c r="F3" s="133"/>
      <c r="G3" s="133"/>
    </row>
    <row r="4" spans="1:7">
      <c r="A4" s="132"/>
      <c r="B4" s="133"/>
      <c r="C4" s="133"/>
      <c r="D4" s="133"/>
      <c r="E4" s="133"/>
      <c r="F4" s="133"/>
      <c r="G4" s="133"/>
    </row>
    <row r="5" spans="1:7">
      <c r="A5" s="132"/>
      <c r="B5" s="133"/>
      <c r="C5" s="133"/>
      <c r="D5" s="133"/>
      <c r="E5" s="133"/>
      <c r="F5" s="133"/>
      <c r="G5" s="133"/>
    </row>
    <row r="6" spans="1:7">
      <c r="A6" s="132"/>
      <c r="B6" s="133"/>
      <c r="C6" s="133"/>
      <c r="D6" s="133"/>
      <c r="E6" s="133"/>
      <c r="F6" s="133"/>
      <c r="G6" s="133"/>
    </row>
    <row r="7" spans="1:7">
      <c r="A7" s="132"/>
      <c r="B7" s="133"/>
      <c r="C7" s="133"/>
      <c r="D7" s="133"/>
      <c r="E7" s="133"/>
      <c r="F7" s="133"/>
      <c r="G7" s="133"/>
    </row>
    <row r="8" spans="1:7">
      <c r="A8" s="132"/>
      <c r="B8" s="133"/>
      <c r="C8" s="133"/>
      <c r="D8" s="133"/>
      <c r="E8" s="133"/>
      <c r="F8" s="133"/>
      <c r="G8" s="133"/>
    </row>
    <row r="9" spans="1:7">
      <c r="A9" s="132"/>
      <c r="B9" s="133"/>
      <c r="C9" s="133"/>
      <c r="D9" s="133"/>
      <c r="E9" s="133"/>
      <c r="F9" s="133"/>
      <c r="G9" s="133"/>
    </row>
    <row r="10" spans="1:7">
      <c r="A10" s="134"/>
      <c r="B10" s="135"/>
      <c r="C10" s="135"/>
      <c r="D10" s="135"/>
      <c r="E10" s="135"/>
      <c r="F10" s="135"/>
      <c r="G10" s="135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26946F3-23F9-4F8C-ABFF-7DB945502471}">
          <x14:formula1>
            <xm:f>EDIT!$B$3:$B$7</xm:f>
          </x14:formula1>
          <xm:sqref>F2</xm:sqref>
        </x14:dataValidation>
        <x14:dataValidation type="list" allowBlank="1" showInputMessage="1" showErrorMessage="1" xr:uid="{2212D339-599A-45BB-9EBF-6F07A1BF82F4}">
          <x14:formula1>
            <xm:f>EDIT!$C$3:$C$59</xm:f>
          </x14:formula1>
          <xm:sqref>G2</xm:sqref>
        </x14:dataValidation>
        <x14:dataValidation type="list" allowBlank="1" showInputMessage="1" showErrorMessage="1" xr:uid="{DF1EEDBD-58A3-4EC0-9F0C-291102214D44}">
          <x14:formula1>
            <xm:f>EDIT!$A$3:$A$22</xm:f>
          </x14:formula1>
          <xm:sqref>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ACF2-218C-4BE0-9518-39F4D6B2E728}">
  <sheetPr>
    <tabColor rgb="FFF6F2A8"/>
  </sheetPr>
  <dimension ref="A1:AX49"/>
  <sheetViews>
    <sheetView zoomScale="70" zoomScaleNormal="70" workbookViewId="0">
      <pane ySplit="1" topLeftCell="A2" activePane="bottomLeft" state="frozen"/>
      <selection activeCell="A24" sqref="A24"/>
      <selection pane="bottomLeft" activeCell="J14" sqref="J14"/>
    </sheetView>
  </sheetViews>
  <sheetFormatPr baseColWidth="10" defaultRowHeight="21" outlineLevelRow="1"/>
  <cols>
    <col min="1" max="1" width="14" style="80" customWidth="1"/>
    <col min="2" max="2" width="64.33203125" style="90" customWidth="1"/>
    <col min="3" max="3" width="53.33203125" style="90" bestFit="1" customWidth="1"/>
    <col min="4" max="4" width="18.6640625" style="91" customWidth="1"/>
    <col min="5" max="5" width="22.109375" style="80" customWidth="1"/>
    <col min="6" max="6" width="20.5546875" style="80" customWidth="1"/>
    <col min="7" max="7" width="22.6640625" style="80" customWidth="1"/>
    <col min="8" max="8" width="21.44140625" style="90" customWidth="1"/>
    <col min="9" max="9" width="22.109375" style="89" customWidth="1"/>
    <col min="10" max="10" width="89" customWidth="1"/>
  </cols>
  <sheetData>
    <row r="1" spans="1:10" s="1" customFormat="1" ht="63">
      <c r="A1" s="61" t="s">
        <v>102</v>
      </c>
      <c r="B1" s="62" t="s">
        <v>103</v>
      </c>
      <c r="C1" s="62" t="s">
        <v>229</v>
      </c>
      <c r="D1" s="63" t="s">
        <v>122</v>
      </c>
      <c r="E1" s="62" t="s">
        <v>78</v>
      </c>
      <c r="F1" s="63" t="s">
        <v>124</v>
      </c>
      <c r="G1" s="62" t="s">
        <v>123</v>
      </c>
      <c r="H1" s="64" t="s">
        <v>151</v>
      </c>
      <c r="I1" s="64" t="s">
        <v>152</v>
      </c>
    </row>
    <row r="2" spans="1:10" s="1" customFormat="1">
      <c r="A2" s="65" t="s">
        <v>105</v>
      </c>
      <c r="B2" s="112" t="s">
        <v>119</v>
      </c>
      <c r="C2" s="66"/>
      <c r="D2" s="67"/>
      <c r="E2" s="68"/>
      <c r="F2" s="67"/>
      <c r="G2" s="68"/>
      <c r="H2" s="69"/>
      <c r="I2" s="69"/>
    </row>
    <row r="3" spans="1:10" s="1" customFormat="1">
      <c r="A3" s="70" t="s">
        <v>106</v>
      </c>
      <c r="B3" s="71" t="s">
        <v>150</v>
      </c>
      <c r="C3" s="72">
        <v>1200</v>
      </c>
      <c r="D3" s="70">
        <v>21</v>
      </c>
      <c r="E3" s="73">
        <f>C3/D3</f>
        <v>57.142857142857146</v>
      </c>
      <c r="F3" s="70">
        <v>10</v>
      </c>
      <c r="G3" s="74">
        <f>E3/F3</f>
        <v>5.7142857142857144</v>
      </c>
      <c r="H3" s="75">
        <v>0.75</v>
      </c>
      <c r="I3" s="75">
        <v>0.75</v>
      </c>
    </row>
    <row r="4" spans="1:10" s="1" customFormat="1">
      <c r="A4" s="76" t="s">
        <v>125</v>
      </c>
      <c r="B4" s="77"/>
      <c r="C4" s="78"/>
      <c r="D4" s="79"/>
      <c r="E4" s="304"/>
      <c r="F4" s="305"/>
      <c r="G4" s="80"/>
      <c r="H4" s="81"/>
      <c r="I4" s="81"/>
    </row>
    <row r="5" spans="1:10" outlineLevel="1">
      <c r="A5" s="70" t="s">
        <v>107</v>
      </c>
      <c r="B5" s="71" t="s">
        <v>45</v>
      </c>
      <c r="C5" s="72">
        <v>1500</v>
      </c>
      <c r="D5" s="70">
        <v>21</v>
      </c>
      <c r="E5" s="73">
        <f>C5/D5</f>
        <v>71.428571428571431</v>
      </c>
      <c r="F5" s="70">
        <v>10</v>
      </c>
      <c r="G5" s="74">
        <f>E5/F5</f>
        <v>7.1428571428571432</v>
      </c>
      <c r="H5" s="75">
        <v>0.85</v>
      </c>
      <c r="I5" s="75">
        <v>0.85</v>
      </c>
    </row>
    <row r="6" spans="1:10">
      <c r="A6" s="76" t="s">
        <v>132</v>
      </c>
      <c r="B6" s="77" t="s">
        <v>92</v>
      </c>
      <c r="C6" s="78"/>
      <c r="D6" s="79"/>
      <c r="E6" s="304"/>
      <c r="F6" s="305"/>
      <c r="H6" s="81"/>
      <c r="I6" s="81"/>
    </row>
    <row r="7" spans="1:10">
      <c r="A7" s="70" t="s">
        <v>108</v>
      </c>
      <c r="B7" s="71" t="s">
        <v>46</v>
      </c>
      <c r="C7" s="72">
        <v>2500</v>
      </c>
      <c r="D7" s="70">
        <v>21</v>
      </c>
      <c r="E7" s="73">
        <f>C7/D7</f>
        <v>119.04761904761905</v>
      </c>
      <c r="F7" s="70">
        <v>10</v>
      </c>
      <c r="G7" s="74">
        <f>E7/F7</f>
        <v>11.904761904761905</v>
      </c>
      <c r="H7" s="75">
        <v>0.9</v>
      </c>
      <c r="I7" s="75">
        <v>0.9</v>
      </c>
    </row>
    <row r="8" spans="1:10">
      <c r="A8" s="76" t="s">
        <v>133</v>
      </c>
      <c r="B8" s="77" t="s">
        <v>48</v>
      </c>
      <c r="C8" s="78"/>
      <c r="D8" s="79"/>
      <c r="E8" s="82"/>
      <c r="F8" s="82"/>
      <c r="G8" s="83"/>
      <c r="H8" s="81"/>
      <c r="I8" s="81"/>
    </row>
    <row r="9" spans="1:10">
      <c r="A9" s="70" t="s">
        <v>109</v>
      </c>
      <c r="B9" s="71" t="s">
        <v>230</v>
      </c>
      <c r="C9" s="72">
        <v>3500</v>
      </c>
      <c r="D9" s="70">
        <v>21</v>
      </c>
      <c r="E9" s="73">
        <f>C9/D9</f>
        <v>166.66666666666666</v>
      </c>
      <c r="F9" s="70">
        <v>10</v>
      </c>
      <c r="G9" s="74">
        <f>E9/F9</f>
        <v>16.666666666666664</v>
      </c>
      <c r="H9" s="75">
        <v>0.9</v>
      </c>
      <c r="I9" s="75">
        <v>0.9</v>
      </c>
    </row>
    <row r="10" spans="1:10">
      <c r="A10" s="76" t="s">
        <v>134</v>
      </c>
      <c r="B10" s="77" t="s">
        <v>91</v>
      </c>
      <c r="C10" s="78"/>
      <c r="D10" s="79"/>
      <c r="E10" s="82"/>
      <c r="F10" s="82"/>
      <c r="G10" s="83"/>
      <c r="H10" s="81"/>
      <c r="I10" s="81"/>
    </row>
    <row r="11" spans="1:10">
      <c r="A11" s="70" t="s">
        <v>110</v>
      </c>
      <c r="B11" s="71" t="s">
        <v>145</v>
      </c>
      <c r="C11" s="72">
        <f>SUM(C12:C13)</f>
        <v>3000</v>
      </c>
      <c r="D11" s="70">
        <v>21</v>
      </c>
      <c r="E11" s="73">
        <f>C11/D11</f>
        <v>142.85714285714286</v>
      </c>
      <c r="F11" s="70">
        <v>10</v>
      </c>
      <c r="G11" s="74">
        <f>E11/F11</f>
        <v>14.285714285714286</v>
      </c>
      <c r="H11" s="75">
        <v>0.97</v>
      </c>
      <c r="I11" s="75">
        <v>0.97</v>
      </c>
    </row>
    <row r="12" spans="1:10">
      <c r="A12" s="76" t="s">
        <v>155</v>
      </c>
      <c r="B12" s="77" t="s">
        <v>47</v>
      </c>
      <c r="C12" s="84">
        <v>2500</v>
      </c>
      <c r="D12" s="79"/>
      <c r="E12" s="82"/>
      <c r="F12" s="82"/>
      <c r="G12" s="83"/>
      <c r="H12" s="81"/>
      <c r="I12" s="81"/>
    </row>
    <row r="13" spans="1:10">
      <c r="A13" s="76"/>
      <c r="B13" s="77" t="s">
        <v>149</v>
      </c>
      <c r="C13" s="84">
        <v>500</v>
      </c>
      <c r="D13" s="79"/>
      <c r="E13" s="82"/>
      <c r="F13" s="82"/>
      <c r="G13" s="83"/>
      <c r="H13" s="81"/>
      <c r="I13" s="81"/>
    </row>
    <row r="14" spans="1:10" s="14" customFormat="1" ht="59.4" customHeight="1">
      <c r="A14" s="153" t="s">
        <v>231</v>
      </c>
      <c r="B14" s="154" t="s">
        <v>154</v>
      </c>
      <c r="C14" s="155">
        <f>SUM(C15:C17)</f>
        <v>4000</v>
      </c>
      <c r="D14" s="153">
        <v>21</v>
      </c>
      <c r="E14" s="156">
        <f>C14/D14</f>
        <v>190.47619047619048</v>
      </c>
      <c r="F14" s="153">
        <v>10</v>
      </c>
      <c r="G14" s="157">
        <f>E14/F14</f>
        <v>19.047619047619047</v>
      </c>
      <c r="H14" s="158">
        <v>1</v>
      </c>
      <c r="I14" s="158">
        <v>1</v>
      </c>
      <c r="J14" s="159" t="s">
        <v>361</v>
      </c>
    </row>
    <row r="15" spans="1:10">
      <c r="A15" s="76" t="s">
        <v>232</v>
      </c>
      <c r="B15" s="77" t="s">
        <v>135</v>
      </c>
      <c r="C15" s="84">
        <v>3000</v>
      </c>
      <c r="D15" s="79"/>
      <c r="E15" s="82"/>
      <c r="F15" s="82"/>
      <c r="G15" s="83"/>
      <c r="H15" s="81"/>
      <c r="I15" s="81"/>
    </row>
    <row r="16" spans="1:10">
      <c r="A16" s="76"/>
      <c r="B16" s="77" t="s">
        <v>17</v>
      </c>
      <c r="C16" s="84">
        <v>1000</v>
      </c>
      <c r="D16" s="79"/>
      <c r="E16" s="82"/>
      <c r="F16" s="82"/>
      <c r="G16" s="83"/>
      <c r="H16" s="81"/>
      <c r="I16" s="81"/>
    </row>
    <row r="17" spans="1:50">
      <c r="A17" s="65" t="s">
        <v>111</v>
      </c>
      <c r="B17" s="112" t="s">
        <v>332</v>
      </c>
      <c r="C17" s="66"/>
      <c r="D17" s="67"/>
      <c r="E17" s="68"/>
      <c r="F17" s="67"/>
      <c r="G17" s="85"/>
      <c r="H17" s="69"/>
      <c r="I17" s="69"/>
    </row>
    <row r="18" spans="1:50">
      <c r="A18" s="70" t="s">
        <v>112</v>
      </c>
      <c r="B18" s="71" t="s">
        <v>153</v>
      </c>
      <c r="C18" s="72">
        <v>1200</v>
      </c>
      <c r="D18" s="70">
        <v>21</v>
      </c>
      <c r="E18" s="73">
        <f>C18/D18</f>
        <v>57.142857142857146</v>
      </c>
      <c r="F18" s="70">
        <v>10</v>
      </c>
      <c r="G18" s="74">
        <f>E18/F18</f>
        <v>5.7142857142857144</v>
      </c>
      <c r="H18" s="75">
        <v>0.75</v>
      </c>
      <c r="I18" s="75">
        <v>0.75</v>
      </c>
    </row>
    <row r="19" spans="1:50">
      <c r="A19" s="76" t="s">
        <v>113</v>
      </c>
      <c r="B19" s="77" t="s">
        <v>135</v>
      </c>
      <c r="C19" s="78"/>
      <c r="D19" s="79"/>
      <c r="E19" s="82"/>
      <c r="F19" s="82"/>
      <c r="G19" s="83"/>
      <c r="H19" s="81"/>
      <c r="I19" s="81"/>
    </row>
    <row r="20" spans="1:50" outlineLevel="1">
      <c r="A20" s="70" t="s">
        <v>114</v>
      </c>
      <c r="B20" s="71" t="s">
        <v>51</v>
      </c>
      <c r="C20" s="72">
        <v>1500</v>
      </c>
      <c r="D20" s="70">
        <v>21</v>
      </c>
      <c r="E20" s="73">
        <f>C20/D20</f>
        <v>71.428571428571431</v>
      </c>
      <c r="F20" s="70">
        <v>10</v>
      </c>
      <c r="G20" s="74">
        <f>E20/F20</f>
        <v>7.1428571428571432</v>
      </c>
      <c r="H20" s="75">
        <v>0.85</v>
      </c>
      <c r="I20" s="75">
        <v>0.85</v>
      </c>
    </row>
    <row r="21" spans="1:50">
      <c r="A21" s="76" t="s">
        <v>116</v>
      </c>
      <c r="B21" s="77" t="s">
        <v>50</v>
      </c>
      <c r="C21" s="78"/>
      <c r="D21" s="79"/>
      <c r="E21" s="82"/>
      <c r="F21" s="82"/>
      <c r="G21" s="83"/>
      <c r="H21" s="81"/>
      <c r="I21" s="81"/>
    </row>
    <row r="22" spans="1:50">
      <c r="A22" s="70" t="s">
        <v>115</v>
      </c>
      <c r="B22" s="71" t="s">
        <v>146</v>
      </c>
      <c r="C22" s="72">
        <v>2500</v>
      </c>
      <c r="D22" s="70">
        <v>21</v>
      </c>
      <c r="E22" s="73">
        <f>C22/D22</f>
        <v>119.04761904761905</v>
      </c>
      <c r="F22" s="70">
        <v>10</v>
      </c>
      <c r="G22" s="74">
        <f>E22/F22</f>
        <v>11.904761904761905</v>
      </c>
      <c r="H22" s="75">
        <v>0.9</v>
      </c>
      <c r="I22" s="75">
        <v>0.9</v>
      </c>
    </row>
    <row r="23" spans="1:50">
      <c r="A23" s="76" t="s">
        <v>117</v>
      </c>
      <c r="B23" s="77" t="s">
        <v>49</v>
      </c>
      <c r="C23" s="78"/>
      <c r="D23" s="79"/>
      <c r="E23" s="82"/>
      <c r="F23" s="82"/>
      <c r="G23" s="83"/>
      <c r="H23" s="81"/>
      <c r="I23" s="81"/>
    </row>
    <row r="24" spans="1:50" s="41" customFormat="1">
      <c r="A24" s="70" t="s">
        <v>109</v>
      </c>
      <c r="B24" s="71" t="s">
        <v>52</v>
      </c>
      <c r="C24" s="72">
        <f>SUM(C25:C25)</f>
        <v>3000</v>
      </c>
      <c r="D24" s="70">
        <v>21</v>
      </c>
      <c r="E24" s="73">
        <f>C24/D24</f>
        <v>142.85714285714286</v>
      </c>
      <c r="F24" s="70">
        <v>10</v>
      </c>
      <c r="G24" s="74">
        <f>E24/F24</f>
        <v>14.285714285714286</v>
      </c>
      <c r="H24" s="75">
        <v>0.97</v>
      </c>
      <c r="I24" s="75">
        <v>0.97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s="60" customFormat="1">
      <c r="A25" s="76" t="s">
        <v>134</v>
      </c>
      <c r="B25" s="77" t="s">
        <v>378</v>
      </c>
      <c r="C25" s="84">
        <v>3000</v>
      </c>
      <c r="D25" s="79"/>
      <c r="E25" s="82"/>
      <c r="F25" s="82"/>
      <c r="G25" s="83"/>
      <c r="H25" s="81"/>
      <c r="I25" s="81"/>
    </row>
    <row r="26" spans="1:50" s="60" customFormat="1">
      <c r="A26" s="70" t="s">
        <v>110</v>
      </c>
      <c r="B26" s="71" t="s">
        <v>147</v>
      </c>
      <c r="C26" s="72">
        <f>SUM(C27:C28)</f>
        <v>4000</v>
      </c>
      <c r="D26" s="70">
        <v>21</v>
      </c>
      <c r="E26" s="73">
        <f>C26/D26</f>
        <v>190.47619047619048</v>
      </c>
      <c r="F26" s="70">
        <v>10</v>
      </c>
      <c r="G26" s="74">
        <f>E26/F26</f>
        <v>19.047619047619047</v>
      </c>
      <c r="H26" s="75">
        <v>1</v>
      </c>
      <c r="I26" s="75">
        <v>1</v>
      </c>
    </row>
    <row r="27" spans="1:50" s="60" customFormat="1">
      <c r="A27" s="76" t="s">
        <v>155</v>
      </c>
      <c r="B27" s="77" t="s">
        <v>135</v>
      </c>
      <c r="C27" s="84">
        <v>3000</v>
      </c>
      <c r="D27" s="79"/>
      <c r="E27" s="82"/>
      <c r="F27" s="82"/>
      <c r="G27" s="83"/>
      <c r="H27" s="81"/>
      <c r="I27" s="81"/>
    </row>
    <row r="28" spans="1:50">
      <c r="A28" s="76"/>
      <c r="B28" s="77" t="s">
        <v>76</v>
      </c>
      <c r="C28" s="84">
        <v>1000</v>
      </c>
      <c r="D28" s="79"/>
      <c r="E28" s="82"/>
      <c r="F28" s="82"/>
      <c r="G28" s="83"/>
      <c r="H28" s="81"/>
      <c r="I28" s="81"/>
    </row>
    <row r="29" spans="1:50" s="60" customFormat="1">
      <c r="A29" s="70" t="s">
        <v>110</v>
      </c>
      <c r="B29" s="71" t="s">
        <v>339</v>
      </c>
      <c r="C29" s="72">
        <f>SUM(C30:C31)</f>
        <v>5000</v>
      </c>
      <c r="D29" s="70">
        <v>21</v>
      </c>
      <c r="E29" s="73">
        <f>C29/D29</f>
        <v>238.0952380952381</v>
      </c>
      <c r="F29" s="70">
        <v>10</v>
      </c>
      <c r="G29" s="74">
        <f>E29/F29</f>
        <v>23.80952380952381</v>
      </c>
      <c r="H29" s="75">
        <v>1.3</v>
      </c>
      <c r="I29" s="75">
        <v>1</v>
      </c>
    </row>
    <row r="30" spans="1:50" s="60" customFormat="1">
      <c r="A30" s="76" t="s">
        <v>155</v>
      </c>
      <c r="B30" s="77" t="s">
        <v>135</v>
      </c>
      <c r="C30" s="84">
        <v>4000</v>
      </c>
      <c r="D30" s="79"/>
      <c r="E30" s="82"/>
      <c r="F30" s="82"/>
      <c r="G30" s="83"/>
      <c r="H30" s="81"/>
      <c r="I30" s="81"/>
    </row>
    <row r="31" spans="1:50">
      <c r="A31" s="76"/>
      <c r="B31" s="77" t="s">
        <v>76</v>
      </c>
      <c r="C31" s="84">
        <v>1000</v>
      </c>
      <c r="D31" s="79"/>
      <c r="E31" s="82"/>
      <c r="F31" s="82"/>
      <c r="G31" s="83"/>
      <c r="H31" s="81"/>
      <c r="I31" s="81"/>
    </row>
    <row r="32" spans="1:50">
      <c r="A32" s="65" t="s">
        <v>136</v>
      </c>
      <c r="B32" s="112" t="s">
        <v>120</v>
      </c>
      <c r="C32" s="66"/>
      <c r="D32" s="67"/>
      <c r="E32" s="68"/>
      <c r="F32" s="67"/>
      <c r="G32" s="85"/>
      <c r="H32" s="69"/>
      <c r="I32" s="69"/>
    </row>
    <row r="33" spans="1:9" outlineLevel="1">
      <c r="A33" s="70" t="s">
        <v>137</v>
      </c>
      <c r="B33" s="71" t="s">
        <v>77</v>
      </c>
      <c r="C33" s="72">
        <v>2200</v>
      </c>
      <c r="D33" s="70">
        <v>21</v>
      </c>
      <c r="E33" s="73">
        <f>C33/D33</f>
        <v>104.76190476190476</v>
      </c>
      <c r="F33" s="70">
        <v>10</v>
      </c>
      <c r="G33" s="74">
        <f>E33/F33</f>
        <v>10.476190476190476</v>
      </c>
      <c r="H33" s="75">
        <v>0.9</v>
      </c>
      <c r="I33" s="75">
        <v>0.9</v>
      </c>
    </row>
    <row r="34" spans="1:9">
      <c r="A34" s="76" t="s">
        <v>138</v>
      </c>
      <c r="B34" s="77" t="s">
        <v>379</v>
      </c>
      <c r="C34" s="78"/>
      <c r="D34" s="79"/>
      <c r="E34" s="86"/>
      <c r="F34" s="87"/>
      <c r="H34" s="81"/>
      <c r="I34" s="81"/>
    </row>
    <row r="35" spans="1:9">
      <c r="A35" s="70" t="s">
        <v>157</v>
      </c>
      <c r="B35" s="71" t="s">
        <v>148</v>
      </c>
      <c r="C35" s="72">
        <f>SUM(C36:C37)</f>
        <v>3000</v>
      </c>
      <c r="D35" s="70">
        <v>21</v>
      </c>
      <c r="E35" s="73">
        <f>C35/D35</f>
        <v>142.85714285714286</v>
      </c>
      <c r="F35" s="70">
        <v>10</v>
      </c>
      <c r="G35" s="74">
        <f>E35/F35</f>
        <v>14.285714285714286</v>
      </c>
      <c r="H35" s="75">
        <v>1</v>
      </c>
      <c r="I35" s="75">
        <v>1</v>
      </c>
    </row>
    <row r="36" spans="1:9">
      <c r="A36" s="76" t="s">
        <v>158</v>
      </c>
      <c r="B36" s="77" t="s">
        <v>135</v>
      </c>
      <c r="C36" s="84">
        <v>2500</v>
      </c>
      <c r="D36" s="79"/>
      <c r="E36" s="82"/>
      <c r="F36" s="82"/>
      <c r="G36" s="83"/>
      <c r="H36" s="81"/>
      <c r="I36" s="81"/>
    </row>
    <row r="37" spans="1:9">
      <c r="A37" s="76"/>
      <c r="B37" s="77" t="s">
        <v>75</v>
      </c>
      <c r="C37" s="84">
        <v>500</v>
      </c>
      <c r="D37" s="79"/>
      <c r="E37" s="82"/>
      <c r="F37" s="82"/>
      <c r="G37" s="83"/>
      <c r="H37" s="81"/>
      <c r="I37" s="81"/>
    </row>
    <row r="38" spans="1:9">
      <c r="A38" s="65" t="s">
        <v>139</v>
      </c>
      <c r="B38" s="112" t="s">
        <v>335</v>
      </c>
      <c r="C38" s="66"/>
      <c r="D38" s="67"/>
      <c r="E38" s="68"/>
      <c r="F38" s="67"/>
      <c r="G38" s="85"/>
      <c r="H38" s="69"/>
      <c r="I38" s="69"/>
    </row>
    <row r="39" spans="1:9">
      <c r="A39" s="70" t="s">
        <v>140</v>
      </c>
      <c r="B39" s="71" t="s">
        <v>89</v>
      </c>
      <c r="C39" s="72">
        <v>2200</v>
      </c>
      <c r="D39" s="70">
        <v>21</v>
      </c>
      <c r="E39" s="73">
        <f>C39/D39</f>
        <v>104.76190476190476</v>
      </c>
      <c r="F39" s="70">
        <v>10</v>
      </c>
      <c r="G39" s="74">
        <f>E39/F39</f>
        <v>10.476190476190476</v>
      </c>
      <c r="H39" s="75">
        <v>0.9</v>
      </c>
      <c r="I39" s="75">
        <v>0.9</v>
      </c>
    </row>
    <row r="40" spans="1:9">
      <c r="A40" s="76" t="s">
        <v>159</v>
      </c>
      <c r="B40" s="77" t="s">
        <v>135</v>
      </c>
      <c r="C40" s="78"/>
      <c r="D40" s="79"/>
      <c r="E40" s="86"/>
      <c r="F40" s="87"/>
      <c r="H40" s="81"/>
      <c r="I40" s="81"/>
    </row>
    <row r="41" spans="1:9">
      <c r="A41" s="70" t="s">
        <v>160</v>
      </c>
      <c r="B41" s="71" t="s">
        <v>148</v>
      </c>
      <c r="C41" s="72">
        <f>SUM(C42:C43)</f>
        <v>3000</v>
      </c>
      <c r="D41" s="70">
        <v>21</v>
      </c>
      <c r="E41" s="73">
        <f>C41/D41</f>
        <v>142.85714285714286</v>
      </c>
      <c r="F41" s="70">
        <v>10</v>
      </c>
      <c r="G41" s="74">
        <f>E41/F41</f>
        <v>14.285714285714286</v>
      </c>
      <c r="H41" s="75">
        <v>1</v>
      </c>
      <c r="I41" s="75">
        <v>1</v>
      </c>
    </row>
    <row r="42" spans="1:9">
      <c r="A42" s="76" t="s">
        <v>141</v>
      </c>
      <c r="B42" s="77" t="s">
        <v>135</v>
      </c>
      <c r="C42" s="84">
        <v>2500</v>
      </c>
      <c r="D42" s="79"/>
      <c r="E42" s="82"/>
      <c r="F42" s="82"/>
      <c r="G42" s="83"/>
      <c r="H42" s="81"/>
      <c r="I42" s="81"/>
    </row>
    <row r="43" spans="1:9">
      <c r="A43" s="76"/>
      <c r="B43" s="77" t="s">
        <v>75</v>
      </c>
      <c r="C43" s="84">
        <v>500</v>
      </c>
      <c r="D43" s="79"/>
      <c r="E43" s="82"/>
      <c r="F43" s="82"/>
      <c r="G43" s="83"/>
      <c r="H43" s="81"/>
      <c r="I43" s="81"/>
    </row>
    <row r="44" spans="1:9">
      <c r="A44" s="65" t="s">
        <v>142</v>
      </c>
      <c r="B44" s="112" t="s">
        <v>334</v>
      </c>
      <c r="C44" s="66"/>
      <c r="D44" s="67"/>
      <c r="E44" s="68"/>
      <c r="F44" s="67"/>
      <c r="G44" s="85"/>
      <c r="H44" s="69"/>
      <c r="I44" s="69"/>
    </row>
    <row r="45" spans="1:9">
      <c r="A45" s="70" t="s">
        <v>143</v>
      </c>
      <c r="B45" s="71" t="s">
        <v>89</v>
      </c>
      <c r="C45" s="72">
        <v>1200</v>
      </c>
      <c r="D45" s="70">
        <v>21</v>
      </c>
      <c r="E45" s="73">
        <f>C45/D45</f>
        <v>57.142857142857146</v>
      </c>
      <c r="F45" s="70">
        <v>10</v>
      </c>
      <c r="G45" s="74">
        <f>E45/F45</f>
        <v>5.7142857142857144</v>
      </c>
      <c r="H45" s="75">
        <v>0.85</v>
      </c>
      <c r="I45" s="75">
        <v>0.85</v>
      </c>
    </row>
    <row r="46" spans="1:9">
      <c r="A46" s="76" t="s">
        <v>144</v>
      </c>
      <c r="B46" s="77" t="s">
        <v>135</v>
      </c>
      <c r="C46" s="78"/>
      <c r="D46" s="79"/>
      <c r="E46" s="82"/>
      <c r="F46" s="82"/>
      <c r="G46" s="83"/>
      <c r="H46" s="81"/>
      <c r="I46" s="81"/>
    </row>
    <row r="47" spans="1:9">
      <c r="A47" s="65" t="s">
        <v>142</v>
      </c>
      <c r="B47" s="112" t="s">
        <v>373</v>
      </c>
      <c r="C47" s="66"/>
      <c r="D47" s="67"/>
      <c r="E47" s="68"/>
      <c r="F47" s="67"/>
      <c r="G47" s="85"/>
      <c r="H47" s="69"/>
      <c r="I47" s="69"/>
    </row>
    <row r="48" spans="1:9">
      <c r="A48" s="70" t="s">
        <v>143</v>
      </c>
      <c r="B48" s="88" t="s">
        <v>371</v>
      </c>
      <c r="C48" s="72">
        <v>3500</v>
      </c>
      <c r="D48" s="70">
        <v>21</v>
      </c>
      <c r="E48" s="73">
        <f>C48/D48</f>
        <v>166.66666666666666</v>
      </c>
      <c r="F48" s="70">
        <v>10</v>
      </c>
      <c r="G48" s="74">
        <f>E48/F48</f>
        <v>16.666666666666664</v>
      </c>
      <c r="H48" s="75">
        <v>0.95</v>
      </c>
      <c r="I48" s="75">
        <v>0.85</v>
      </c>
    </row>
    <row r="49" spans="1:9">
      <c r="A49" s="76" t="s">
        <v>144</v>
      </c>
      <c r="B49" s="77" t="s">
        <v>372</v>
      </c>
      <c r="C49" s="78"/>
      <c r="D49" s="79"/>
      <c r="E49" s="82"/>
      <c r="F49" s="82"/>
      <c r="G49" s="83"/>
      <c r="H49" s="81"/>
      <c r="I49" s="81"/>
    </row>
  </sheetData>
  <mergeCells count="2">
    <mergeCell ref="E4:F4"/>
    <mergeCell ref="E6:F6"/>
  </mergeCells>
  <phoneticPr fontId="7" type="noConversion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A6F2C90-59A3-42EF-AB3B-6B271186D367}">
          <x14:formula1>
            <xm:f>EDIT!$D$3:$D$13</xm:f>
          </x14:formula1>
          <xm:sqref>B2 B44 B38 B32 B17 B47</xm:sqref>
        </x14:dataValidation>
        <x14:dataValidation type="list" allowBlank="1" showInputMessage="1" showErrorMessage="1" xr:uid="{DD2F9DED-8C15-43F8-B73F-1F291A1765EF}">
          <x14:formula1>
            <xm:f>EDIT!$E$3:$E$28</xm:f>
          </x14:formula1>
          <xm:sqref>B5 B29 B26 B41 B35 B18 B14 B3 B7 B9 B20 B22 B33 B39 B11 B24 B45</xm:sqref>
        </x14:dataValidation>
        <x14:dataValidation type="list" allowBlank="1" showInputMessage="1" showErrorMessage="1" xr:uid="{67322E35-6303-42C5-9B7C-FD7ADAA424F8}">
          <x14:formula1>
            <xm:f>EDIT!$E$3:$E$34</xm:f>
          </x14:formula1>
          <xm:sqref>B48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73F7-376D-46DE-80E1-7E2687658213}">
  <sheetPr>
    <tabColor theme="8" tint="0.79998168889431442"/>
  </sheetPr>
  <dimension ref="A1:K23"/>
  <sheetViews>
    <sheetView tabSelected="1" topLeftCell="B1" zoomScale="70" zoomScaleNormal="70" workbookViewId="0">
      <selection activeCell="D22" sqref="D22"/>
    </sheetView>
  </sheetViews>
  <sheetFormatPr baseColWidth="10" defaultRowHeight="15.6"/>
  <cols>
    <col min="1" max="1" width="59.5546875" style="129" bestFit="1" customWidth="1"/>
    <col min="2" max="2" width="24.5546875" style="129" bestFit="1" customWidth="1"/>
    <col min="3" max="3" width="29" style="129" customWidth="1"/>
    <col min="4" max="4" width="79.88671875" style="18" bestFit="1" customWidth="1"/>
    <col min="5" max="5" width="56.33203125" style="18" customWidth="1"/>
    <col min="6" max="6" width="24.33203125" style="43" customWidth="1"/>
    <col min="7" max="7" width="30.109375" style="43" customWidth="1"/>
    <col min="8" max="8" width="11.5546875" style="246"/>
    <col min="9" max="9" width="11.44140625" style="246"/>
  </cols>
  <sheetData>
    <row r="1" spans="1:11" ht="62.4">
      <c r="A1" s="275" t="s">
        <v>377</v>
      </c>
      <c r="B1" s="275" t="s">
        <v>323</v>
      </c>
      <c r="C1" s="276" t="s">
        <v>330</v>
      </c>
      <c r="D1" s="275" t="s">
        <v>103</v>
      </c>
      <c r="E1" s="277" t="s">
        <v>368</v>
      </c>
      <c r="F1" s="108" t="s">
        <v>337</v>
      </c>
      <c r="G1" s="108" t="s">
        <v>338</v>
      </c>
      <c r="H1" s="244" t="s">
        <v>367</v>
      </c>
      <c r="I1" s="281" t="s">
        <v>418</v>
      </c>
      <c r="J1" s="278" t="s">
        <v>417</v>
      </c>
      <c r="K1" s="279"/>
    </row>
    <row r="2" spans="1:11">
      <c r="A2" s="41" t="s">
        <v>415</v>
      </c>
      <c r="B2" s="41" t="s">
        <v>327</v>
      </c>
      <c r="C2" s="188" t="s">
        <v>119</v>
      </c>
      <c r="D2" s="189" t="s">
        <v>398</v>
      </c>
      <c r="E2" s="189" t="s">
        <v>392</v>
      </c>
      <c r="F2" s="177">
        <v>12</v>
      </c>
      <c r="G2" s="177"/>
      <c r="H2" s="245">
        <f>F2+G2</f>
        <v>12</v>
      </c>
      <c r="I2" s="245"/>
      <c r="J2" s="160">
        <f>H2+I2-VLOOKUP(D2,'CONTROL DE HORAS'!D1:BI88,58,FALSE)</f>
        <v>12</v>
      </c>
      <c r="K2" s="280" t="str">
        <f>IF(J2&lt;0,"CAMBIAR HORAS CALENDARIO!","OK")</f>
        <v>OK</v>
      </c>
    </row>
    <row r="3" spans="1:11">
      <c r="A3" s="41" t="s">
        <v>415</v>
      </c>
      <c r="B3" s="41" t="s">
        <v>327</v>
      </c>
      <c r="C3" s="188" t="s">
        <v>119</v>
      </c>
      <c r="D3" s="189" t="s">
        <v>397</v>
      </c>
      <c r="E3" s="189" t="s">
        <v>392</v>
      </c>
      <c r="F3" s="177">
        <v>12</v>
      </c>
      <c r="G3" s="177"/>
      <c r="H3" s="245">
        <f>F3+G3</f>
        <v>12</v>
      </c>
      <c r="I3" s="245"/>
      <c r="J3" s="160">
        <f>H3+I3-VLOOKUP(D3,'CONTROL DE HORAS'!D2:BI89,58,FALSE)</f>
        <v>12</v>
      </c>
      <c r="K3" s="280" t="str">
        <f t="shared" ref="K3:K23" si="0">IF(J3&lt;0,"CAMBIAR HORAS CALENDARIO!","OK")</f>
        <v>OK</v>
      </c>
    </row>
    <row r="4" spans="1:11">
      <c r="A4" s="41" t="s">
        <v>415</v>
      </c>
      <c r="B4" s="41" t="s">
        <v>327</v>
      </c>
      <c r="C4" s="188" t="s">
        <v>119</v>
      </c>
      <c r="D4" s="189" t="s">
        <v>391</v>
      </c>
      <c r="E4" s="189" t="s">
        <v>392</v>
      </c>
      <c r="F4" s="177">
        <v>0</v>
      </c>
      <c r="G4" s="177"/>
      <c r="H4" s="245">
        <f>F4+G4</f>
        <v>0</v>
      </c>
      <c r="I4" s="245"/>
      <c r="J4" s="160">
        <f>H4+I4-VLOOKUP(D4,'CONTROL DE HORAS'!D3:BI90,58,FALSE)</f>
        <v>0</v>
      </c>
      <c r="K4" s="280" t="str">
        <f t="shared" si="0"/>
        <v>OK</v>
      </c>
    </row>
    <row r="5" spans="1:11">
      <c r="A5" s="41" t="s">
        <v>415</v>
      </c>
      <c r="B5" s="41" t="s">
        <v>327</v>
      </c>
      <c r="C5" s="188" t="s">
        <v>119</v>
      </c>
      <c r="D5" s="189" t="s">
        <v>399</v>
      </c>
      <c r="E5" s="189" t="s">
        <v>392</v>
      </c>
      <c r="F5" s="177">
        <v>0</v>
      </c>
      <c r="G5" s="177"/>
      <c r="H5" s="245">
        <f>F5+G5</f>
        <v>0</v>
      </c>
      <c r="I5" s="245"/>
      <c r="J5" s="160">
        <f>H5+I5-VLOOKUP(D5,'CONTROL DE HORAS'!D4:BI91,58,FALSE)</f>
        <v>0</v>
      </c>
      <c r="K5" s="280" t="str">
        <f t="shared" si="0"/>
        <v>OK</v>
      </c>
    </row>
    <row r="6" spans="1:11">
      <c r="A6" s="41" t="s">
        <v>415</v>
      </c>
      <c r="B6" s="41" t="s">
        <v>327</v>
      </c>
      <c r="C6" s="188" t="s">
        <v>119</v>
      </c>
      <c r="D6" s="189" t="s">
        <v>369</v>
      </c>
      <c r="E6" s="189" t="s">
        <v>392</v>
      </c>
      <c r="F6" s="177">
        <v>4</v>
      </c>
      <c r="G6" s="177"/>
      <c r="H6" s="245">
        <f>F6+G6</f>
        <v>4</v>
      </c>
      <c r="I6" s="245"/>
      <c r="J6" s="160">
        <f>H6+I6-VLOOKUP(D6,'CONTROL DE HORAS'!D5:BI92,58,FALSE)</f>
        <v>4</v>
      </c>
      <c r="K6" s="280" t="str">
        <f t="shared" si="0"/>
        <v>OK</v>
      </c>
    </row>
    <row r="7" spans="1:11">
      <c r="A7" s="41" t="s">
        <v>415</v>
      </c>
      <c r="B7" s="41" t="s">
        <v>327</v>
      </c>
      <c r="C7" s="188" t="s">
        <v>119</v>
      </c>
      <c r="D7" s="189" t="s">
        <v>400</v>
      </c>
      <c r="E7" s="189" t="s">
        <v>402</v>
      </c>
      <c r="F7" s="177">
        <v>0</v>
      </c>
      <c r="G7" s="177"/>
      <c r="H7" s="245">
        <f>F7+G7</f>
        <v>0</v>
      </c>
      <c r="I7" s="245"/>
      <c r="J7" s="160">
        <f>H7+I7-VLOOKUP(D7,'CONTROL DE HORAS'!D6:BI93,58,FALSE)</f>
        <v>0</v>
      </c>
      <c r="K7" s="280" t="str">
        <f t="shared" si="0"/>
        <v>OK</v>
      </c>
    </row>
    <row r="8" spans="1:11">
      <c r="A8" s="41" t="s">
        <v>415</v>
      </c>
      <c r="B8" s="41" t="s">
        <v>327</v>
      </c>
      <c r="C8" s="188" t="s">
        <v>119</v>
      </c>
      <c r="D8" s="189" t="s">
        <v>401</v>
      </c>
      <c r="E8" s="189" t="s">
        <v>392</v>
      </c>
      <c r="F8" s="177">
        <v>5</v>
      </c>
      <c r="G8" s="177"/>
      <c r="H8" s="245">
        <f>F8+G8</f>
        <v>5</v>
      </c>
      <c r="I8" s="245"/>
      <c r="J8" s="160">
        <f>H8+I8-VLOOKUP(D8,'CONTROL DE HORAS'!D7:BI94,58,FALSE)</f>
        <v>5</v>
      </c>
      <c r="K8" s="280" t="str">
        <f t="shared" si="0"/>
        <v>OK</v>
      </c>
    </row>
    <row r="9" spans="1:11" ht="16.2" customHeight="1">
      <c r="A9" s="41" t="s">
        <v>415</v>
      </c>
      <c r="B9" s="41" t="s">
        <v>327</v>
      </c>
      <c r="C9" s="186" t="s">
        <v>332</v>
      </c>
      <c r="D9" s="187" t="s">
        <v>404</v>
      </c>
      <c r="E9" s="187" t="s">
        <v>402</v>
      </c>
      <c r="F9" s="178">
        <v>0</v>
      </c>
      <c r="G9" s="178"/>
      <c r="H9" s="245">
        <f>F9+G9</f>
        <v>0</v>
      </c>
      <c r="I9" s="245"/>
      <c r="J9" s="160">
        <f>H9+I9-VLOOKUP(D9,'CONTROL DE HORAS'!D9:BI96,58,FALSE)</f>
        <v>0</v>
      </c>
      <c r="K9" s="280" t="str">
        <f t="shared" si="0"/>
        <v>OK</v>
      </c>
    </row>
    <row r="10" spans="1:11" ht="16.2" customHeight="1">
      <c r="A10" s="41" t="s">
        <v>415</v>
      </c>
      <c r="B10" s="41" t="s">
        <v>327</v>
      </c>
      <c r="C10" s="186" t="s">
        <v>332</v>
      </c>
      <c r="D10" s="187" t="s">
        <v>393</v>
      </c>
      <c r="E10" s="187" t="s">
        <v>392</v>
      </c>
      <c r="F10" s="178">
        <v>9</v>
      </c>
      <c r="G10" s="178"/>
      <c r="H10" s="245">
        <f>F10+G10</f>
        <v>9</v>
      </c>
      <c r="I10" s="245"/>
      <c r="J10" s="160">
        <f>H10+I10-VLOOKUP(D10,'CONTROL DE HORAS'!D10:BI97,58,FALSE)</f>
        <v>9</v>
      </c>
      <c r="K10" s="280" t="str">
        <f t="shared" si="0"/>
        <v>OK</v>
      </c>
    </row>
    <row r="11" spans="1:11">
      <c r="A11" s="41" t="s">
        <v>415</v>
      </c>
      <c r="B11" s="41" t="s">
        <v>327</v>
      </c>
      <c r="C11" s="40" t="s">
        <v>335</v>
      </c>
      <c r="D11" s="185" t="s">
        <v>405</v>
      </c>
      <c r="E11" s="185" t="s">
        <v>392</v>
      </c>
      <c r="F11" s="41">
        <v>4</v>
      </c>
      <c r="G11" s="41"/>
      <c r="H11" s="245">
        <f>F11+G11</f>
        <v>4</v>
      </c>
      <c r="I11" s="245"/>
      <c r="J11" s="160">
        <f>H11+I11-VLOOKUP(D11,'CONTROL DE HORAS'!D11:BI98,58,FALSE)</f>
        <v>4</v>
      </c>
      <c r="K11" s="280" t="str">
        <f t="shared" si="0"/>
        <v>OK</v>
      </c>
    </row>
    <row r="12" spans="1:11">
      <c r="A12" s="41" t="s">
        <v>415</v>
      </c>
      <c r="B12" s="41" t="s">
        <v>327</v>
      </c>
      <c r="C12" s="40" t="s">
        <v>335</v>
      </c>
      <c r="D12" s="185" t="s">
        <v>406</v>
      </c>
      <c r="E12" s="185" t="s">
        <v>380</v>
      </c>
      <c r="F12" s="41">
        <v>4</v>
      </c>
      <c r="G12" s="41"/>
      <c r="H12" s="245">
        <f>F12+G12</f>
        <v>4</v>
      </c>
      <c r="I12" s="245">
        <v>-4</v>
      </c>
      <c r="J12" s="160">
        <f>H12+I12-VLOOKUP(D12,'CONTROL DE HORAS'!D12:BI99,58,FALSE)</f>
        <v>0</v>
      </c>
      <c r="K12" s="280" t="str">
        <f t="shared" si="0"/>
        <v>OK</v>
      </c>
    </row>
    <row r="13" spans="1:11">
      <c r="A13" s="41" t="s">
        <v>415</v>
      </c>
      <c r="B13" s="41" t="s">
        <v>327</v>
      </c>
      <c r="C13" s="40" t="s">
        <v>335</v>
      </c>
      <c r="D13" s="185" t="s">
        <v>407</v>
      </c>
      <c r="E13" s="185" t="s">
        <v>403</v>
      </c>
      <c r="F13" s="41">
        <v>0</v>
      </c>
      <c r="G13" s="41"/>
      <c r="H13" s="245">
        <f>F13+G13</f>
        <v>0</v>
      </c>
      <c r="I13" s="245"/>
      <c r="J13" s="160">
        <f>H13+I13-VLOOKUP(D13,'CONTROL DE HORAS'!D13:BI100,58,FALSE)</f>
        <v>0</v>
      </c>
      <c r="K13" s="280" t="str">
        <f t="shared" si="0"/>
        <v>OK</v>
      </c>
    </row>
    <row r="14" spans="1:11">
      <c r="A14" s="41" t="s">
        <v>415</v>
      </c>
      <c r="B14" s="41" t="s">
        <v>327</v>
      </c>
      <c r="C14" s="40" t="s">
        <v>335</v>
      </c>
      <c r="D14" s="185" t="s">
        <v>408</v>
      </c>
      <c r="E14" s="185" t="s">
        <v>402</v>
      </c>
      <c r="F14" s="41">
        <v>0</v>
      </c>
      <c r="G14" s="41"/>
      <c r="H14" s="245">
        <f>F14+G14</f>
        <v>0</v>
      </c>
      <c r="I14" s="245"/>
      <c r="J14" s="160">
        <f>H14+I14-VLOOKUP(D14,'CONTROL DE HORAS'!D14:BI101,58,FALSE)</f>
        <v>0</v>
      </c>
      <c r="K14" s="280" t="str">
        <f t="shared" si="0"/>
        <v>OK</v>
      </c>
    </row>
    <row r="15" spans="1:11">
      <c r="A15" s="41" t="s">
        <v>415</v>
      </c>
      <c r="B15" s="41" t="s">
        <v>327</v>
      </c>
      <c r="C15" s="181" t="s">
        <v>120</v>
      </c>
      <c r="D15" s="184" t="s">
        <v>409</v>
      </c>
      <c r="E15" s="184" t="s">
        <v>402</v>
      </c>
      <c r="F15" s="41">
        <v>0</v>
      </c>
      <c r="G15" s="41"/>
      <c r="H15" s="245">
        <f>F15+G15</f>
        <v>0</v>
      </c>
      <c r="I15" s="245"/>
      <c r="J15" s="160">
        <f>H15+I15-VLOOKUP(D15,'CONTROL DE HORAS'!D15:BI102,58,FALSE)</f>
        <v>0</v>
      </c>
      <c r="K15" s="280" t="str">
        <f t="shared" si="0"/>
        <v>OK</v>
      </c>
    </row>
    <row r="16" spans="1:11">
      <c r="A16" s="41" t="s">
        <v>415</v>
      </c>
      <c r="B16" s="41" t="s">
        <v>327</v>
      </c>
      <c r="C16" s="181" t="s">
        <v>120</v>
      </c>
      <c r="D16" s="184" t="s">
        <v>410</v>
      </c>
      <c r="E16" s="184" t="s">
        <v>392</v>
      </c>
      <c r="F16" s="41">
        <v>5</v>
      </c>
      <c r="G16" s="41"/>
      <c r="H16" s="245">
        <f>F16+G16</f>
        <v>5</v>
      </c>
      <c r="I16" s="245"/>
      <c r="J16" s="160">
        <f>H16+I16-VLOOKUP(D16,'CONTROL DE HORAS'!D18:BI105,58,FALSE)</f>
        <v>5</v>
      </c>
      <c r="K16" s="280" t="str">
        <f t="shared" si="0"/>
        <v>OK</v>
      </c>
    </row>
    <row r="17" spans="1:11">
      <c r="A17" s="41" t="s">
        <v>415</v>
      </c>
      <c r="B17" s="41" t="s">
        <v>327</v>
      </c>
      <c r="C17" s="182" t="s">
        <v>334</v>
      </c>
      <c r="D17" s="183" t="s">
        <v>412</v>
      </c>
      <c r="E17" s="183" t="s">
        <v>392</v>
      </c>
      <c r="F17" s="41">
        <v>1</v>
      </c>
      <c r="G17" s="41"/>
      <c r="H17" s="245">
        <f>F17+G17</f>
        <v>1</v>
      </c>
      <c r="I17" s="245"/>
      <c r="J17" s="160">
        <f>H17+I17-VLOOKUP(D17,'CONTROL DE HORAS'!D21:BI108,58,FALSE)</f>
        <v>1</v>
      </c>
      <c r="K17" s="280" t="str">
        <f t="shared" si="0"/>
        <v>OK</v>
      </c>
    </row>
    <row r="18" spans="1:11">
      <c r="A18" s="41" t="s">
        <v>415</v>
      </c>
      <c r="B18" s="41" t="s">
        <v>327</v>
      </c>
      <c r="C18" s="182" t="s">
        <v>334</v>
      </c>
      <c r="D18" s="183" t="s">
        <v>411</v>
      </c>
      <c r="E18" s="183" t="s">
        <v>402</v>
      </c>
      <c r="F18" s="41">
        <v>0</v>
      </c>
      <c r="G18" s="41"/>
      <c r="H18" s="245">
        <f>F18+G18</f>
        <v>0</v>
      </c>
      <c r="I18" s="245"/>
      <c r="J18" s="160">
        <f>H18+I18-VLOOKUP(D18,'CONTROL DE HORAS'!D22:BI109,58,FALSE)</f>
        <v>0</v>
      </c>
      <c r="K18" s="280" t="str">
        <f t="shared" si="0"/>
        <v>OK</v>
      </c>
    </row>
    <row r="19" spans="1:11">
      <c r="A19" s="41" t="s">
        <v>415</v>
      </c>
      <c r="B19" s="41" t="s">
        <v>327</v>
      </c>
      <c r="C19" s="238" t="s">
        <v>93</v>
      </c>
      <c r="D19" s="239" t="s">
        <v>386</v>
      </c>
      <c r="E19" s="239" t="s">
        <v>381</v>
      </c>
      <c r="F19" s="41">
        <v>0</v>
      </c>
      <c r="G19" s="41"/>
      <c r="H19" s="245">
        <f>F19+G19</f>
        <v>0</v>
      </c>
      <c r="I19" s="245"/>
      <c r="J19" s="160">
        <f>H19+I19-VLOOKUP(D19,'CONTROL DE HORAS'!D23:BI110,58,FALSE)</f>
        <v>0</v>
      </c>
      <c r="K19" s="280" t="str">
        <f t="shared" si="0"/>
        <v>OK</v>
      </c>
    </row>
    <row r="20" spans="1:11">
      <c r="A20" s="41" t="s">
        <v>415</v>
      </c>
      <c r="B20" s="41" t="s">
        <v>327</v>
      </c>
      <c r="C20" s="238" t="s">
        <v>93</v>
      </c>
      <c r="D20" s="239" t="s">
        <v>413</v>
      </c>
      <c r="E20" s="239" t="s">
        <v>380</v>
      </c>
      <c r="F20" s="41">
        <v>0</v>
      </c>
      <c r="G20" s="41"/>
      <c r="H20" s="245">
        <f>F20+G20</f>
        <v>0</v>
      </c>
      <c r="I20" s="245"/>
      <c r="J20" s="160">
        <f>H20+I20-VLOOKUP(D20,'CONTROL DE HORAS'!D24:BI111,58,FALSE)</f>
        <v>0</v>
      </c>
      <c r="K20" s="280" t="str">
        <f t="shared" si="0"/>
        <v>OK</v>
      </c>
    </row>
    <row r="21" spans="1:11">
      <c r="A21" s="41" t="s">
        <v>415</v>
      </c>
      <c r="B21" s="41" t="s">
        <v>327</v>
      </c>
      <c r="C21" s="238" t="s">
        <v>93</v>
      </c>
      <c r="D21" s="239" t="s">
        <v>387</v>
      </c>
      <c r="E21" s="239" t="s">
        <v>380</v>
      </c>
      <c r="F21" s="41">
        <v>0</v>
      </c>
      <c r="G21" s="41"/>
      <c r="H21" s="245">
        <f>F21+G21</f>
        <v>0</v>
      </c>
      <c r="I21" s="245"/>
      <c r="J21" s="160">
        <f>H21+I21-VLOOKUP(D21,'CONTROL DE HORAS'!D25:BI112,58,FALSE)</f>
        <v>0</v>
      </c>
      <c r="K21" s="280" t="str">
        <f t="shared" si="0"/>
        <v>OK</v>
      </c>
    </row>
    <row r="22" spans="1:11">
      <c r="A22" s="41" t="s">
        <v>415</v>
      </c>
      <c r="B22" s="41" t="s">
        <v>327</v>
      </c>
      <c r="C22" s="273" t="s">
        <v>373</v>
      </c>
      <c r="D22" s="274" t="s">
        <v>414</v>
      </c>
      <c r="E22" s="274" t="s">
        <v>380</v>
      </c>
      <c r="F22" s="41">
        <v>0</v>
      </c>
      <c r="G22" s="41"/>
      <c r="H22" s="245">
        <f>F22+G22</f>
        <v>0</v>
      </c>
      <c r="I22" s="245"/>
      <c r="J22" s="160">
        <f>H22+I22-VLOOKUP(D22,'CONTROL DE HORAS'!D26:BI113,58,FALSE)</f>
        <v>0</v>
      </c>
      <c r="K22" s="280" t="str">
        <f t="shared" si="0"/>
        <v>OK</v>
      </c>
    </row>
    <row r="23" spans="1:11">
      <c r="A23" s="41" t="s">
        <v>415</v>
      </c>
      <c r="B23" s="41" t="s">
        <v>327</v>
      </c>
      <c r="C23" s="273" t="s">
        <v>373</v>
      </c>
      <c r="D23" s="274" t="s">
        <v>370</v>
      </c>
      <c r="E23" s="274" t="s">
        <v>403</v>
      </c>
      <c r="F23" s="41">
        <v>0</v>
      </c>
      <c r="G23" s="41"/>
      <c r="H23" s="245">
        <f>F23+G23</f>
        <v>0</v>
      </c>
      <c r="I23" s="245"/>
      <c r="J23" s="160">
        <f>H23+I23-VLOOKUP(D23,'CONTROL DE HORAS'!D27:BI114,58,FALSE)</f>
        <v>0</v>
      </c>
      <c r="K23" s="280" t="str">
        <f t="shared" si="0"/>
        <v>OK</v>
      </c>
    </row>
  </sheetData>
  <autoFilter ref="A1:H23" xr:uid="{85F273F7-376D-46DE-80E1-7E2687658213}"/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0D66952-5119-41AE-A4F0-81C41D77CE89}">
          <x14:formula1>
            <xm:f>EDIT!$A$3:$A$28</xm:f>
          </x14:formula1>
          <xm:sqref>B2:B23</xm:sqref>
        </x14:dataValidation>
        <x14:dataValidation type="list" allowBlank="1" showInputMessage="1" showErrorMessage="1" xr:uid="{0C293EC0-138E-425E-8AC5-C78B034A2FA1}">
          <x14:formula1>
            <xm:f>EDIT!$D$3:$D$10</xm:f>
          </x14:formula1>
          <xm:sqref>C2:C23</xm:sqref>
        </x14:dataValidation>
        <x14:dataValidation type="list" allowBlank="1" showInputMessage="1" showErrorMessage="1" xr:uid="{09F21FA2-B30F-40D5-B0A0-C1F6046CB4E4}">
          <x14:formula1>
            <xm:f>'DATOS PROYECTO'!$A$2:$A$10</xm:f>
          </x14:formula1>
          <xm:sqref>A2:A23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CE7E-6CB4-423E-8FB9-35616B9E1DA1}">
  <sheetPr>
    <tabColor rgb="FFFFC000"/>
  </sheetPr>
  <dimension ref="A1:BK302"/>
  <sheetViews>
    <sheetView zoomScale="70" zoomScaleNormal="70" workbookViewId="0">
      <pane xSplit="4" ySplit="4" topLeftCell="E5" activePane="bottomRight" state="frozen"/>
      <selection activeCell="A24" sqref="A24"/>
      <selection pane="topRight" activeCell="A24" sqref="A24"/>
      <selection pane="bottomLeft" activeCell="A24" sqref="A24"/>
      <selection pane="bottomRight" activeCell="Q14" sqref="Q14"/>
    </sheetView>
  </sheetViews>
  <sheetFormatPr baseColWidth="10" defaultRowHeight="15.6" outlineLevelCol="4"/>
  <cols>
    <col min="1" max="1" width="13.33203125" customWidth="1"/>
    <col min="2" max="2" width="8.88671875" bestFit="1" customWidth="1"/>
    <col min="3" max="3" width="14" style="48" customWidth="1"/>
    <col min="4" max="4" width="53.33203125" style="18" customWidth="1"/>
    <col min="5" max="5" width="32.5546875" style="18" customWidth="1"/>
    <col min="6" max="6" width="20.88671875" style="43" customWidth="1"/>
    <col min="7" max="7" width="23.33203125" style="43" bestFit="1" customWidth="1"/>
    <col min="8" max="8" width="27.5546875" style="43" customWidth="1"/>
    <col min="9" max="9" width="22.88671875" style="43" customWidth="1"/>
    <col min="10" max="10" width="21.6640625" style="58" customWidth="1"/>
    <col min="11" max="11" width="17.109375" style="171" customWidth="1"/>
    <col min="12" max="12" width="1.88671875" style="171" customWidth="1"/>
    <col min="13" max="13" width="18.88671875" style="202" customWidth="1" outlineLevel="1"/>
    <col min="14" max="14" width="17.88671875" style="202" customWidth="1" outlineLevel="1"/>
    <col min="15" max="15" width="12.109375" bestFit="1" customWidth="1" outlineLevel="2"/>
    <col min="16" max="16" width="13.6640625" style="2" customWidth="1" outlineLevel="2"/>
    <col min="17" max="18" width="15.6640625" style="166" customWidth="1" outlineLevel="1"/>
    <col min="19" max="19" width="10.88671875" customWidth="1" outlineLevel="2"/>
    <col min="20" max="20" width="11.44140625" style="2" customWidth="1" outlineLevel="2"/>
    <col min="21" max="22" width="16" style="166" customWidth="1" outlineLevel="1"/>
    <col min="23" max="23" width="12" customWidth="1" outlineLevel="2"/>
    <col min="24" max="24" width="11.44140625" style="2" customWidth="1" outlineLevel="2"/>
    <col min="25" max="26" width="15.33203125" style="166" customWidth="1" outlineLevel="1"/>
    <col min="27" max="27" width="10.88671875" customWidth="1" outlineLevel="2"/>
    <col min="28" max="28" width="11.44140625" style="2" customWidth="1" outlineLevel="2"/>
    <col min="29" max="30" width="17.109375" style="166" customWidth="1" outlineLevel="1"/>
    <col min="31" max="31" width="10.88671875" customWidth="1" outlineLevel="3"/>
    <col min="32" max="32" width="14.5546875" style="2" customWidth="1" outlineLevel="3"/>
    <col min="33" max="34" width="15.6640625" style="166" customWidth="1" outlineLevel="1"/>
    <col min="35" max="35" width="10.88671875" customWidth="1" outlineLevel="2"/>
    <col min="36" max="36" width="13.6640625" style="2" customWidth="1" outlineLevel="2"/>
    <col min="37" max="38" width="17.6640625" style="166" customWidth="1" outlineLevel="1"/>
    <col min="39" max="39" width="12.109375" bestFit="1" customWidth="1" outlineLevel="2"/>
    <col min="40" max="40" width="14.33203125" style="2" customWidth="1" outlineLevel="2"/>
    <col min="41" max="42" width="17.6640625" style="166" customWidth="1" outlineLevel="1"/>
    <col min="43" max="43" width="10.88671875" customWidth="1" outlineLevel="4"/>
    <col min="44" max="44" width="15.6640625" style="2" customWidth="1" outlineLevel="4"/>
    <col min="45" max="45" width="14.44140625" style="166" customWidth="1" outlineLevel="1"/>
    <col min="46" max="46" width="11.33203125" style="166" customWidth="1" outlineLevel="1"/>
    <col min="47" max="47" width="12.109375" bestFit="1" customWidth="1" outlineLevel="1"/>
    <col min="48" max="48" width="10.6640625" style="2" customWidth="1" outlineLevel="1"/>
    <col min="49" max="49" width="12.109375" style="166" bestFit="1" customWidth="1"/>
    <col min="50" max="50" width="15.5546875" style="166" customWidth="1"/>
    <col min="51" max="51" width="10.88671875" customWidth="1" outlineLevel="1"/>
    <col min="52" max="52" width="13.44140625" style="2" customWidth="1" outlineLevel="1"/>
    <col min="53" max="53" width="14" style="166" customWidth="1"/>
    <col min="54" max="54" width="11.33203125" style="166" customWidth="1"/>
    <col min="55" max="55" width="12.109375" bestFit="1" customWidth="1" outlineLevel="1"/>
    <col min="56" max="56" width="14.33203125" style="2" customWidth="1" outlineLevel="1"/>
    <col min="57" max="57" width="13.33203125" style="166" customWidth="1"/>
    <col min="58" max="58" width="11.33203125" style="166" customWidth="1"/>
    <col min="59" max="59" width="10.88671875" customWidth="1" outlineLevel="1"/>
    <col min="60" max="60" width="15.109375" style="2" customWidth="1" outlineLevel="1"/>
    <col min="61" max="61" width="19.88671875" bestFit="1" customWidth="1"/>
    <col min="62" max="62" width="14.6640625" style="2" bestFit="1" customWidth="1"/>
    <col min="63" max="63" width="14.44140625" style="166" customWidth="1"/>
  </cols>
  <sheetData>
    <row r="1" spans="1:63" s="1" customFormat="1" ht="52.95" customHeight="1">
      <c r="A1" s="306" t="s">
        <v>336</v>
      </c>
      <c r="B1" s="306" t="s">
        <v>235</v>
      </c>
      <c r="C1" s="325" t="s">
        <v>102</v>
      </c>
      <c r="D1" s="306" t="s">
        <v>103</v>
      </c>
      <c r="E1" s="306" t="s">
        <v>366</v>
      </c>
      <c r="F1" s="306" t="s">
        <v>340</v>
      </c>
      <c r="G1" s="306" t="s">
        <v>341</v>
      </c>
      <c r="H1" s="108" t="s">
        <v>80</v>
      </c>
      <c r="I1" s="108" t="s">
        <v>81</v>
      </c>
      <c r="J1" s="117" t="s">
        <v>222</v>
      </c>
      <c r="K1" s="170" t="s">
        <v>6</v>
      </c>
      <c r="L1" s="170"/>
      <c r="M1" s="165" t="s">
        <v>342</v>
      </c>
      <c r="N1" s="165" t="s">
        <v>343</v>
      </c>
      <c r="O1" s="144" t="s">
        <v>320</v>
      </c>
      <c r="P1" s="172" t="s">
        <v>321</v>
      </c>
      <c r="Q1" s="165" t="s">
        <v>342</v>
      </c>
      <c r="R1" s="165" t="s">
        <v>343</v>
      </c>
      <c r="S1" s="144" t="s">
        <v>320</v>
      </c>
      <c r="T1" s="172" t="s">
        <v>321</v>
      </c>
      <c r="U1" s="167" t="s">
        <v>342</v>
      </c>
      <c r="V1" s="167" t="s">
        <v>343</v>
      </c>
      <c r="W1" s="145" t="s">
        <v>320</v>
      </c>
      <c r="X1" s="173" t="s">
        <v>321</v>
      </c>
      <c r="Y1" s="167" t="s">
        <v>342</v>
      </c>
      <c r="Z1" s="167" t="s">
        <v>343</v>
      </c>
      <c r="AA1" s="145" t="s">
        <v>320</v>
      </c>
      <c r="AB1" s="173" t="s">
        <v>321</v>
      </c>
      <c r="AC1" s="168" t="s">
        <v>342</v>
      </c>
      <c r="AD1" s="168" t="s">
        <v>343</v>
      </c>
      <c r="AE1" s="146" t="s">
        <v>320</v>
      </c>
      <c r="AF1" s="174" t="s">
        <v>321</v>
      </c>
      <c r="AG1" s="168" t="s">
        <v>342</v>
      </c>
      <c r="AH1" s="168" t="s">
        <v>343</v>
      </c>
      <c r="AI1" s="146" t="s">
        <v>320</v>
      </c>
      <c r="AJ1" s="174" t="s">
        <v>321</v>
      </c>
      <c r="AK1" s="169" t="s">
        <v>342</v>
      </c>
      <c r="AL1" s="169" t="s">
        <v>343</v>
      </c>
      <c r="AM1" s="147" t="s">
        <v>320</v>
      </c>
      <c r="AN1" s="175" t="s">
        <v>321</v>
      </c>
      <c r="AO1" s="169" t="s">
        <v>342</v>
      </c>
      <c r="AP1" s="169" t="s">
        <v>343</v>
      </c>
      <c r="AQ1" s="147" t="s">
        <v>320</v>
      </c>
      <c r="AR1" s="175" t="s">
        <v>321</v>
      </c>
      <c r="AS1" s="194" t="s">
        <v>342</v>
      </c>
      <c r="AT1" s="194" t="s">
        <v>343</v>
      </c>
      <c r="AU1" s="148" t="s">
        <v>320</v>
      </c>
      <c r="AV1" s="176" t="s">
        <v>321</v>
      </c>
      <c r="AW1" s="194" t="s">
        <v>342</v>
      </c>
      <c r="AX1" s="194" t="s">
        <v>343</v>
      </c>
      <c r="AY1" s="148" t="s">
        <v>320</v>
      </c>
      <c r="AZ1" s="176" t="s">
        <v>321</v>
      </c>
      <c r="BA1" s="195" t="s">
        <v>342</v>
      </c>
      <c r="BB1" s="195" t="s">
        <v>343</v>
      </c>
      <c r="BC1" s="196" t="s">
        <v>320</v>
      </c>
      <c r="BD1" s="197" t="s">
        <v>321</v>
      </c>
      <c r="BE1" s="195" t="s">
        <v>342</v>
      </c>
      <c r="BF1" s="195" t="s">
        <v>343</v>
      </c>
      <c r="BG1" s="196" t="s">
        <v>320</v>
      </c>
      <c r="BH1" s="197" t="s">
        <v>321</v>
      </c>
      <c r="BI1" s="313" t="s">
        <v>80</v>
      </c>
      <c r="BJ1" s="316" t="s">
        <v>6</v>
      </c>
      <c r="BK1" s="328" t="s">
        <v>152</v>
      </c>
    </row>
    <row r="2" spans="1:63" s="1" customFormat="1" ht="20.399999999999999" customHeight="1">
      <c r="A2" s="307"/>
      <c r="B2" s="307"/>
      <c r="C2" s="326"/>
      <c r="D2" s="307"/>
      <c r="E2" s="307"/>
      <c r="F2" s="307"/>
      <c r="G2" s="307"/>
      <c r="H2" s="218"/>
      <c r="I2" s="219"/>
      <c r="J2" s="227"/>
      <c r="K2" s="226"/>
      <c r="L2" s="243"/>
      <c r="M2" s="249">
        <f>VLOOKUP(A5,'DATOS PROYECTO'!A1:G10,3,FALSE)</f>
        <v>46052</v>
      </c>
      <c r="N2" s="247" t="s">
        <v>384</v>
      </c>
      <c r="O2" s="256">
        <f>M2+15</f>
        <v>46067</v>
      </c>
      <c r="P2" s="250"/>
      <c r="Q2" s="257">
        <f>O2+1</f>
        <v>46068</v>
      </c>
      <c r="R2" s="247" t="s">
        <v>384</v>
      </c>
      <c r="S2" s="256">
        <f>Q2+15</f>
        <v>46083</v>
      </c>
      <c r="T2" s="250"/>
      <c r="U2" s="271">
        <f>S2+1</f>
        <v>46084</v>
      </c>
      <c r="V2" s="251" t="s">
        <v>384</v>
      </c>
      <c r="W2" s="272">
        <f>U2+15</f>
        <v>46099</v>
      </c>
      <c r="X2" s="252"/>
      <c r="Y2" s="271">
        <f>W2+1</f>
        <v>46100</v>
      </c>
      <c r="Z2" s="251" t="s">
        <v>384</v>
      </c>
      <c r="AA2" s="272">
        <f>Y2+15</f>
        <v>46115</v>
      </c>
      <c r="AB2" s="252"/>
      <c r="AC2" s="268">
        <f>AA2+1</f>
        <v>46116</v>
      </c>
      <c r="AD2" s="253" t="s">
        <v>384</v>
      </c>
      <c r="AE2" s="269">
        <f>AC2+15</f>
        <v>46131</v>
      </c>
      <c r="AF2" s="270"/>
      <c r="AG2" s="268">
        <f>AE2+1</f>
        <v>46132</v>
      </c>
      <c r="AH2" s="253" t="s">
        <v>384</v>
      </c>
      <c r="AI2" s="269">
        <f>AG2+15</f>
        <v>46147</v>
      </c>
      <c r="AJ2" s="270"/>
      <c r="AK2" s="265">
        <f>AI2+1</f>
        <v>46148</v>
      </c>
      <c r="AL2" s="254" t="s">
        <v>384</v>
      </c>
      <c r="AM2" s="266">
        <f>AK2+15</f>
        <v>46163</v>
      </c>
      <c r="AN2" s="267"/>
      <c r="AO2" s="265">
        <f>AM2+1</f>
        <v>46164</v>
      </c>
      <c r="AP2" s="254" t="s">
        <v>384</v>
      </c>
      <c r="AQ2" s="266">
        <f>AO2+15</f>
        <v>46179</v>
      </c>
      <c r="AR2" s="267"/>
      <c r="AS2" s="262">
        <f>AQ2+1</f>
        <v>46180</v>
      </c>
      <c r="AT2" s="255" t="s">
        <v>384</v>
      </c>
      <c r="AU2" s="263">
        <f>AS2+15</f>
        <v>46195</v>
      </c>
      <c r="AV2" s="264"/>
      <c r="AW2" s="262">
        <f>AU2+1</f>
        <v>46196</v>
      </c>
      <c r="AX2" s="255" t="s">
        <v>384</v>
      </c>
      <c r="AY2" s="263">
        <f>AW2+15</f>
        <v>46211</v>
      </c>
      <c r="AZ2" s="264"/>
      <c r="BA2" s="258">
        <f>AY2+1</f>
        <v>46212</v>
      </c>
      <c r="BB2" s="259" t="s">
        <v>384</v>
      </c>
      <c r="BC2" s="260">
        <f>BA2+15</f>
        <v>46227</v>
      </c>
      <c r="BD2" s="261"/>
      <c r="BE2" s="258">
        <f>BC2+1</f>
        <v>46228</v>
      </c>
      <c r="BF2" s="259" t="s">
        <v>384</v>
      </c>
      <c r="BG2" s="260">
        <f>BE2+15</f>
        <v>46243</v>
      </c>
      <c r="BH2" s="261"/>
      <c r="BI2" s="314"/>
      <c r="BJ2" s="317"/>
      <c r="BK2" s="329"/>
    </row>
    <row r="3" spans="1:63" s="1" customFormat="1" ht="19.95" customHeight="1">
      <c r="A3" s="307"/>
      <c r="B3" s="307"/>
      <c r="C3" s="326"/>
      <c r="D3" s="307"/>
      <c r="E3" s="307"/>
      <c r="F3" s="307"/>
      <c r="G3" s="307"/>
      <c r="H3" s="220"/>
      <c r="I3" s="221"/>
      <c r="J3" s="221"/>
      <c r="K3" s="222"/>
      <c r="L3" s="221"/>
      <c r="M3" s="319" t="s">
        <v>351</v>
      </c>
      <c r="N3" s="320"/>
      <c r="O3" s="320"/>
      <c r="P3" s="321"/>
      <c r="Q3" s="319" t="s">
        <v>352</v>
      </c>
      <c r="R3" s="320"/>
      <c r="S3" s="320"/>
      <c r="T3" s="321"/>
      <c r="U3" s="322" t="s">
        <v>353</v>
      </c>
      <c r="V3" s="323"/>
      <c r="W3" s="323"/>
      <c r="X3" s="324"/>
      <c r="Y3" s="322" t="s">
        <v>354</v>
      </c>
      <c r="Z3" s="323"/>
      <c r="AA3" s="323"/>
      <c r="AB3" s="324"/>
      <c r="AC3" s="331" t="s">
        <v>355</v>
      </c>
      <c r="AD3" s="332"/>
      <c r="AE3" s="332"/>
      <c r="AF3" s="333"/>
      <c r="AG3" s="331" t="s">
        <v>356</v>
      </c>
      <c r="AH3" s="332"/>
      <c r="AI3" s="332"/>
      <c r="AJ3" s="333"/>
      <c r="AK3" s="340" t="s">
        <v>357</v>
      </c>
      <c r="AL3" s="341"/>
      <c r="AM3" s="341"/>
      <c r="AN3" s="342"/>
      <c r="AO3" s="340" t="s">
        <v>358</v>
      </c>
      <c r="AP3" s="341"/>
      <c r="AQ3" s="341"/>
      <c r="AR3" s="342"/>
      <c r="AS3" s="334" t="s">
        <v>359</v>
      </c>
      <c r="AT3" s="335"/>
      <c r="AU3" s="335"/>
      <c r="AV3" s="336"/>
      <c r="AW3" s="334" t="s">
        <v>360</v>
      </c>
      <c r="AX3" s="335"/>
      <c r="AY3" s="335"/>
      <c r="AZ3" s="336"/>
      <c r="BA3" s="337" t="s">
        <v>363</v>
      </c>
      <c r="BB3" s="338"/>
      <c r="BC3" s="338"/>
      <c r="BD3" s="339"/>
      <c r="BE3" s="337" t="s">
        <v>364</v>
      </c>
      <c r="BF3" s="338"/>
      <c r="BG3" s="338"/>
      <c r="BH3" s="339"/>
      <c r="BI3" s="314"/>
      <c r="BJ3" s="317"/>
      <c r="BK3" s="329"/>
    </row>
    <row r="4" spans="1:63" s="1" customFormat="1" ht="19.95" customHeight="1">
      <c r="A4" s="308"/>
      <c r="B4" s="308"/>
      <c r="C4" s="327"/>
      <c r="D4" s="308"/>
      <c r="E4" s="308"/>
      <c r="F4" s="308"/>
      <c r="G4" s="308"/>
      <c r="H4" s="223"/>
      <c r="I4" s="224"/>
      <c r="J4" s="224"/>
      <c r="K4" s="225"/>
      <c r="L4" s="225"/>
      <c r="M4" s="207">
        <f>AVERAGE(M6,M19,M28,M34,M41,M51,M56)</f>
        <v>0</v>
      </c>
      <c r="N4" s="207">
        <f>AVERAGE(N6,N19,N28,N34,N41,N51,N56)</f>
        <v>0</v>
      </c>
      <c r="O4" s="208"/>
      <c r="P4" s="208"/>
      <c r="Q4" s="207">
        <f>AVERAGE(Q6,Q19,Q28,Q34,Q41,Q51,Q56)</f>
        <v>0</v>
      </c>
      <c r="R4" s="207">
        <f>AVERAGE(R6,R19,R28,R34,R41,R51,R56)</f>
        <v>0</v>
      </c>
      <c r="S4" s="208"/>
      <c r="T4" s="208"/>
      <c r="U4" s="207">
        <f>AVERAGE(U6,U19,U28,U34,U41,U51,U56)</f>
        <v>0</v>
      </c>
      <c r="V4" s="207">
        <f>AVERAGE(V6,V19,V28,V34,V41,V51,V56)</f>
        <v>0</v>
      </c>
      <c r="W4" s="208"/>
      <c r="X4" s="208"/>
      <c r="Y4" s="207">
        <f>AVERAGE(Y6,Y19,Y28,Y34,Y41,Y51,Y56)</f>
        <v>0</v>
      </c>
      <c r="Z4" s="207">
        <f>AVERAGE(Z6,Z19,Z28,Z34,Z41,Z51,Z56)</f>
        <v>0</v>
      </c>
      <c r="AA4" s="208"/>
      <c r="AB4" s="208"/>
      <c r="AC4" s="207">
        <f>AVERAGE(AC6,AC19,AC28,AC34,AC41,AC51,AC56)</f>
        <v>0</v>
      </c>
      <c r="AD4" s="207">
        <f>AVERAGE(AD6,AD19,AD28,AD34,AD41,AD51,AD56)</f>
        <v>0</v>
      </c>
      <c r="AE4" s="208"/>
      <c r="AF4" s="208"/>
      <c r="AG4" s="207">
        <f>AVERAGE(AG6,AG19,AG28,AG34,AG41,AG51,AG56)</f>
        <v>0</v>
      </c>
      <c r="AH4" s="207">
        <f>AVERAGE(AH6,AH19,AH28,AH34,AH41,AH51,AH56)</f>
        <v>0</v>
      </c>
      <c r="AI4" s="208"/>
      <c r="AJ4" s="208"/>
      <c r="AK4" s="207">
        <f>AVERAGE(AK6,AK19,AK28,AK34,AK41,AK51,AK56)</f>
        <v>0</v>
      </c>
      <c r="AL4" s="207">
        <f>AVERAGE(AL6,AL19,AL28,AL34,AL41,AL51,AL56)</f>
        <v>0</v>
      </c>
      <c r="AM4" s="209"/>
      <c r="AN4" s="209"/>
      <c r="AO4" s="207">
        <f>AVERAGE(AO6,AO19,AO28,AO34,AO41,AO51,AO56)</f>
        <v>0</v>
      </c>
      <c r="AP4" s="207">
        <f>AVERAGE(AP6,AP19,AP28,AP34,AP41,AP51,AP56)</f>
        <v>0</v>
      </c>
      <c r="AQ4" s="209"/>
      <c r="AR4" s="209"/>
      <c r="AS4" s="207">
        <f>AVERAGE(AS6,AS19,AS28,AS34,AS41,AS51,AS56)</f>
        <v>0</v>
      </c>
      <c r="AT4" s="207">
        <f>AVERAGE(AT6,AT19,AT28,AT34,AT41,AT51,AT56)</f>
        <v>0</v>
      </c>
      <c r="AU4" s="210"/>
      <c r="AV4" s="210"/>
      <c r="AW4" s="207">
        <f>AVERAGE(AW6,AW19,AW28,AW34,AW41,AW51,AW56)</f>
        <v>0</v>
      </c>
      <c r="AX4" s="207">
        <f>AVERAGE(AX6,AX19,AX28,AX34,AX41,AX51,AX56)</f>
        <v>0</v>
      </c>
      <c r="AY4" s="210"/>
      <c r="AZ4" s="210"/>
      <c r="BA4" s="207">
        <f>AVERAGE(BA6,BA19,BA28,BA34,BA41,BA51,BA56)</f>
        <v>0</v>
      </c>
      <c r="BB4" s="207">
        <f>AVERAGE(BB6,BB19,BB28,BB34,BB41,BB51,BB56)</f>
        <v>0</v>
      </c>
      <c r="BC4" s="210"/>
      <c r="BD4" s="210"/>
      <c r="BE4" s="207">
        <f>AVERAGE(BE6,BE19,BE28,BE34,BE41,BE51,BE56)</f>
        <v>0</v>
      </c>
      <c r="BF4" s="207">
        <f>AVERAGE(BF6,BF19,BF28,BF34,BF41,BF51,BF56)</f>
        <v>0</v>
      </c>
      <c r="BG4" s="210"/>
      <c r="BH4" s="210"/>
      <c r="BI4" s="314"/>
      <c r="BJ4" s="317"/>
      <c r="BK4" s="329"/>
    </row>
    <row r="5" spans="1:63" s="1" customFormat="1" ht="15.6" customHeight="1">
      <c r="A5" s="311" t="s">
        <v>415</v>
      </c>
      <c r="B5" s="309" t="str">
        <f>VLOOKUP(A5,DatosProyecto[#All],5,FALSE)</f>
        <v>Exp. Licencia mod. B</v>
      </c>
      <c r="C5" s="111" t="s">
        <v>105</v>
      </c>
      <c r="D5" s="112" t="s">
        <v>119</v>
      </c>
      <c r="E5" s="112"/>
      <c r="F5" s="113"/>
      <c r="G5" s="113"/>
      <c r="H5" s="112"/>
      <c r="I5" s="112"/>
      <c r="J5" s="192"/>
      <c r="K5" s="193"/>
      <c r="L5" s="193"/>
      <c r="M5" s="214" t="str">
        <f>M6</f>
        <v>0</v>
      </c>
      <c r="N5" s="214">
        <f t="shared" ref="N5:BH5" si="0">N6</f>
        <v>0</v>
      </c>
      <c r="O5" s="214">
        <f t="shared" si="0"/>
        <v>0</v>
      </c>
      <c r="P5" s="214">
        <f t="shared" si="0"/>
        <v>0</v>
      </c>
      <c r="Q5" s="214" t="str">
        <f t="shared" si="0"/>
        <v>0</v>
      </c>
      <c r="R5" s="214">
        <f t="shared" si="0"/>
        <v>0</v>
      </c>
      <c r="S5" s="214">
        <f t="shared" si="0"/>
        <v>0</v>
      </c>
      <c r="T5" s="214">
        <f t="shared" si="0"/>
        <v>0</v>
      </c>
      <c r="U5" s="214" t="str">
        <f t="shared" si="0"/>
        <v>0</v>
      </c>
      <c r="V5" s="214">
        <f t="shared" si="0"/>
        <v>0</v>
      </c>
      <c r="W5" s="214">
        <f t="shared" si="0"/>
        <v>0</v>
      </c>
      <c r="X5" s="214">
        <f t="shared" si="0"/>
        <v>0</v>
      </c>
      <c r="Y5" s="214" t="str">
        <f t="shared" si="0"/>
        <v>0</v>
      </c>
      <c r="Z5" s="214">
        <f t="shared" si="0"/>
        <v>0</v>
      </c>
      <c r="AA5" s="214">
        <f t="shared" si="0"/>
        <v>0</v>
      </c>
      <c r="AB5" s="214">
        <f t="shared" si="0"/>
        <v>0</v>
      </c>
      <c r="AC5" s="214" t="str">
        <f t="shared" si="0"/>
        <v>0</v>
      </c>
      <c r="AD5" s="214">
        <f t="shared" si="0"/>
        <v>0</v>
      </c>
      <c r="AE5" s="214">
        <f t="shared" si="0"/>
        <v>0</v>
      </c>
      <c r="AF5" s="214">
        <f t="shared" si="0"/>
        <v>0</v>
      </c>
      <c r="AG5" s="214" t="str">
        <f t="shared" si="0"/>
        <v>0</v>
      </c>
      <c r="AH5" s="214">
        <f t="shared" si="0"/>
        <v>0</v>
      </c>
      <c r="AI5" s="214">
        <f t="shared" si="0"/>
        <v>0</v>
      </c>
      <c r="AJ5" s="214">
        <f t="shared" si="0"/>
        <v>0</v>
      </c>
      <c r="AK5" s="214" t="str">
        <f t="shared" si="0"/>
        <v>0</v>
      </c>
      <c r="AL5" s="214">
        <f t="shared" si="0"/>
        <v>0</v>
      </c>
      <c r="AM5" s="214">
        <f t="shared" si="0"/>
        <v>0</v>
      </c>
      <c r="AN5" s="214">
        <f t="shared" si="0"/>
        <v>0</v>
      </c>
      <c r="AO5" s="214" t="str">
        <f t="shared" si="0"/>
        <v>0</v>
      </c>
      <c r="AP5" s="214">
        <f t="shared" si="0"/>
        <v>0</v>
      </c>
      <c r="AQ5" s="214">
        <f t="shared" si="0"/>
        <v>0</v>
      </c>
      <c r="AR5" s="214">
        <f t="shared" si="0"/>
        <v>0</v>
      </c>
      <c r="AS5" s="214" t="str">
        <f t="shared" si="0"/>
        <v>0</v>
      </c>
      <c r="AT5" s="214">
        <f t="shared" si="0"/>
        <v>0</v>
      </c>
      <c r="AU5" s="214">
        <f t="shared" si="0"/>
        <v>0</v>
      </c>
      <c r="AV5" s="214">
        <f t="shared" si="0"/>
        <v>0</v>
      </c>
      <c r="AW5" s="214" t="str">
        <f t="shared" si="0"/>
        <v>0</v>
      </c>
      <c r="AX5" s="214">
        <f t="shared" si="0"/>
        <v>0</v>
      </c>
      <c r="AY5" s="214">
        <f t="shared" si="0"/>
        <v>0</v>
      </c>
      <c r="AZ5" s="214">
        <f t="shared" si="0"/>
        <v>0</v>
      </c>
      <c r="BA5" s="214" t="str">
        <f t="shared" si="0"/>
        <v>0</v>
      </c>
      <c r="BB5" s="214">
        <f t="shared" si="0"/>
        <v>0</v>
      </c>
      <c r="BC5" s="214">
        <f t="shared" si="0"/>
        <v>0</v>
      </c>
      <c r="BD5" s="214">
        <f t="shared" si="0"/>
        <v>0</v>
      </c>
      <c r="BE5" s="214" t="str">
        <f t="shared" si="0"/>
        <v>0</v>
      </c>
      <c r="BF5" s="214">
        <f t="shared" si="0"/>
        <v>0</v>
      </c>
      <c r="BG5" s="214">
        <f t="shared" si="0"/>
        <v>0</v>
      </c>
      <c r="BH5" s="214">
        <f t="shared" si="0"/>
        <v>0</v>
      </c>
      <c r="BI5" s="315"/>
      <c r="BJ5" s="318"/>
      <c r="BK5" s="330"/>
    </row>
    <row r="6" spans="1:63" s="201" customFormat="1">
      <c r="A6" s="312"/>
      <c r="B6" s="310"/>
      <c r="C6" s="57" t="s">
        <v>106</v>
      </c>
      <c r="D6" s="92" t="s">
        <v>230</v>
      </c>
      <c r="E6" s="92"/>
      <c r="F6" s="57"/>
      <c r="G6" s="198">
        <f>VLOOKUP(D6,APUs!$B$2:$G$50,6,FALSE)</f>
        <v>16.666666666666664</v>
      </c>
      <c r="H6" s="199" t="e">
        <f>SUM(H7:H17)</f>
        <v>#REF!</v>
      </c>
      <c r="I6" s="199" t="e">
        <f>SUM(I7:I17)</f>
        <v>#REF!</v>
      </c>
      <c r="J6" s="200">
        <f>VLOOKUP($D$6,APUs!$B$2:$I$50,7,FALSE)</f>
        <v>0.9</v>
      </c>
      <c r="K6" s="198" t="e">
        <f>$G$6*(H6+I6)/J6</f>
        <v>#REF!</v>
      </c>
      <c r="L6" s="198"/>
      <c r="M6" s="200" t="str">
        <f>IFERROR(AVERAGE(M7:M17),"0")</f>
        <v>0</v>
      </c>
      <c r="N6" s="200">
        <f>IFERROR(AVERAGE(N7:N17),0)</f>
        <v>0</v>
      </c>
      <c r="O6" s="199">
        <f>IFERROR(SUM(O7:O17),0)</f>
        <v>0</v>
      </c>
      <c r="P6" s="198">
        <f>IFERROR(SUM(P7:P17),0)</f>
        <v>0</v>
      </c>
      <c r="Q6" s="200" t="str">
        <f>IFERROR(AVERAGE(Q7:Q17),"0")</f>
        <v>0</v>
      </c>
      <c r="R6" s="200">
        <f>IFERROR(AVERAGE(R7:R17),0)</f>
        <v>0</v>
      </c>
      <c r="S6" s="199">
        <f>IFERROR(SUM(S7:S17),0)</f>
        <v>0</v>
      </c>
      <c r="T6" s="198">
        <f>IFERROR(SUM(T7:T17),0)</f>
        <v>0</v>
      </c>
      <c r="U6" s="200" t="str">
        <f>IFERROR(AVERAGE(U7:U17),"0")</f>
        <v>0</v>
      </c>
      <c r="V6" s="200">
        <f>IFERROR(AVERAGE(V7:V17),0)</f>
        <v>0</v>
      </c>
      <c r="W6" s="199">
        <f>IFERROR(SUM(W7:W17),0)</f>
        <v>0</v>
      </c>
      <c r="X6" s="198">
        <f>IFERROR(SUM(X7:X17),0)</f>
        <v>0</v>
      </c>
      <c r="Y6" s="200" t="str">
        <f>IFERROR(AVERAGE(Y7:Y17),"0")</f>
        <v>0</v>
      </c>
      <c r="Z6" s="200">
        <f>IFERROR(AVERAGE(Z7:Z17),0)</f>
        <v>0</v>
      </c>
      <c r="AA6" s="199">
        <f>IFERROR(SUM(AA7:AA17),0)</f>
        <v>0</v>
      </c>
      <c r="AB6" s="198">
        <f>IFERROR(SUM(AB7:AB17),0)</f>
        <v>0</v>
      </c>
      <c r="AC6" s="200" t="str">
        <f>IFERROR(AVERAGE(AC7:AC17),"0")</f>
        <v>0</v>
      </c>
      <c r="AD6" s="200">
        <f>IFERROR(AVERAGE(AD7:AD17),0)</f>
        <v>0</v>
      </c>
      <c r="AE6" s="199">
        <f>IFERROR(SUM(AE7:AE17),0)</f>
        <v>0</v>
      </c>
      <c r="AF6" s="198">
        <f>IFERROR(SUM(AF7:AF17),0)</f>
        <v>0</v>
      </c>
      <c r="AG6" s="200" t="str">
        <f>IFERROR(AVERAGE(AG7:AG17),"0")</f>
        <v>0</v>
      </c>
      <c r="AH6" s="200">
        <f>IFERROR(AVERAGE(AH7:AH17),0)</f>
        <v>0</v>
      </c>
      <c r="AI6" s="199">
        <f>IFERROR(SUM(AI7:AI17),0)</f>
        <v>0</v>
      </c>
      <c r="AJ6" s="198">
        <f>IFERROR(SUM(AJ7:AJ17),0)</f>
        <v>0</v>
      </c>
      <c r="AK6" s="200" t="str">
        <f>IFERROR(AVERAGE(AK7:AK17),"0")</f>
        <v>0</v>
      </c>
      <c r="AL6" s="200">
        <f>IFERROR(AVERAGE(AL7:AL17),0)</f>
        <v>0</v>
      </c>
      <c r="AM6" s="199">
        <f>IFERROR(SUM(AM7:AM17),0)</f>
        <v>0</v>
      </c>
      <c r="AN6" s="198">
        <f>IFERROR(SUM(AN7:AN17),0)</f>
        <v>0</v>
      </c>
      <c r="AO6" s="200" t="str">
        <f>IFERROR(AVERAGE(AO7:AO17),"0")</f>
        <v>0</v>
      </c>
      <c r="AP6" s="200">
        <f>IFERROR(AVERAGE(AP7:AP17),0)</f>
        <v>0</v>
      </c>
      <c r="AQ6" s="199">
        <f>IFERROR(SUM(AQ7:AQ17),0)</f>
        <v>0</v>
      </c>
      <c r="AR6" s="198">
        <f>IFERROR(SUM(AR7:AR17),0)</f>
        <v>0</v>
      </c>
      <c r="AS6" s="200" t="str">
        <f>IFERROR(AVERAGE(AS7:AS17),"0")</f>
        <v>0</v>
      </c>
      <c r="AT6" s="200">
        <f>IFERROR(AVERAGE(AT7:AT17),0)</f>
        <v>0</v>
      </c>
      <c r="AU6" s="199">
        <f>IFERROR(SUM(AU7:AU17),0)</f>
        <v>0</v>
      </c>
      <c r="AV6" s="198">
        <f>IFERROR(SUM(AV7:AV17),0)</f>
        <v>0</v>
      </c>
      <c r="AW6" s="200" t="str">
        <f>IFERROR(AVERAGE(AW7:AW17),"0")</f>
        <v>0</v>
      </c>
      <c r="AX6" s="200">
        <f>IFERROR(AVERAGE(AX7:AX17),0)</f>
        <v>0</v>
      </c>
      <c r="AY6" s="199">
        <f>IFERROR(SUM(AY7:AY17),0)</f>
        <v>0</v>
      </c>
      <c r="AZ6" s="198">
        <f>IFERROR(SUM(AZ7:AZ17),0)</f>
        <v>0</v>
      </c>
      <c r="BA6" s="200" t="str">
        <f>IFERROR(AVERAGE(BA7:BA17),"0")</f>
        <v>0</v>
      </c>
      <c r="BB6" s="200">
        <f>IFERROR(AVERAGE(BB7:BB17),0)</f>
        <v>0</v>
      </c>
      <c r="BC6" s="199">
        <f>IFERROR(SUM(BC7:BC17),0)</f>
        <v>0</v>
      </c>
      <c r="BD6" s="198">
        <f>IFERROR(SUM(BD7:BD17),0)</f>
        <v>0</v>
      </c>
      <c r="BE6" s="200" t="str">
        <f>IFERROR(AVERAGE(BE7:BE17),"0")</f>
        <v>0</v>
      </c>
      <c r="BF6" s="200">
        <f>IFERROR(AVERAGE(BF7:BF17),0)</f>
        <v>0</v>
      </c>
      <c r="BG6" s="199">
        <f>IFERROR(SUM(BG7:BG17),0)</f>
        <v>0</v>
      </c>
      <c r="BH6" s="198">
        <f>IFERROR(SUM(BH7:BH17),0)</f>
        <v>0</v>
      </c>
      <c r="BI6" s="199">
        <f>O6+S6+W6+AA6+AE6+AI6+AM6+AQ6+AU6+AY6+BC6+BG6</f>
        <v>0</v>
      </c>
      <c r="BJ6" s="198">
        <f>BI6*$G$6</f>
        <v>0</v>
      </c>
      <c r="BK6" s="200" t="e">
        <f>J6*(H6+I6)/(BI6)</f>
        <v>#REF!</v>
      </c>
    </row>
    <row r="7" spans="1:63">
      <c r="A7" s="312"/>
      <c r="B7" s="310"/>
      <c r="C7" s="41" t="s">
        <v>125</v>
      </c>
      <c r="D7" s="93" t="str">
        <f>'MH-LAM4 -1225-San Miguel-Antoni'!D2</f>
        <v>ARQUITECTURA - Render 3D de interiores</v>
      </c>
      <c r="E7" s="93" t="str">
        <f>VLOOKUP(D7,'MH-LAM4 -1225-San Miguel-Antoni'!$D$2:$E$84,2,FALSE)</f>
        <v>V 3.0 - PRELIMINAR A ENTREGA A MUNI</v>
      </c>
      <c r="F7" s="150" t="s">
        <v>322</v>
      </c>
      <c r="G7" s="149">
        <f>IF(F7="BAJA",0.8,IF(F7="MEDIA",1,IF(F7="ALTA",1.4,IF(F7="MUY ALTA",2))))</f>
        <v>1</v>
      </c>
      <c r="H7" s="160" cm="1">
        <f t="array" ref="H7">G7*INDEX('MH-LAM4 -1225-San Miguel-Antoni'!$B$2:$G$68,MATCH($D$5&amp;D7&amp;$B$5,'MH-LAM4 -1225-San Miguel-Antoni'!$C$2:$C$68&amp;'MH-LAM4 -1225-San Miguel-Antoni'!$D$2:$D$68&amp;'MH-LAM4 -1225-San Miguel-Antoni'!$B$2:$B$68,0),5)/J7</f>
        <v>13.333333333333332</v>
      </c>
      <c r="I7" s="160" cm="1">
        <f t="array" ref="I7">G7*INDEX('MH-LAM4 -1225-San Miguel-Antoni'!$B$2:$G$68,MATCH($D$5&amp;D7&amp;$B$5,'MH-LAM4 -1225-San Miguel-Antoni'!$C$2:$C$68&amp;'MH-LAM4 -1225-San Miguel-Antoni'!$D$2:$D$68&amp;'MH-LAM4 -1225-San Miguel-Antoni'!$B$2:$B$68,0),6)/J7</f>
        <v>0</v>
      </c>
      <c r="J7" s="190">
        <f>VLOOKUP($D$6,APUs!$B$2:$I$50,7,FALSE)</f>
        <v>0.9</v>
      </c>
      <c r="K7" s="191">
        <f>$G$6*(H7+I7)/J7</f>
        <v>246.91358024691351</v>
      </c>
      <c r="L7" s="191"/>
      <c r="M7" s="142"/>
      <c r="N7" s="142"/>
      <c r="O7" s="160"/>
      <c r="P7" s="143">
        <f>O7*$G$6</f>
        <v>0</v>
      </c>
      <c r="Q7" s="142"/>
      <c r="R7" s="142"/>
      <c r="S7" s="160"/>
      <c r="T7" s="143">
        <f>S7*$G$6</f>
        <v>0</v>
      </c>
      <c r="U7" s="142"/>
      <c r="V7" s="142"/>
      <c r="W7" s="160"/>
      <c r="X7" s="143">
        <f>W7*$G$6</f>
        <v>0</v>
      </c>
      <c r="Y7" s="142"/>
      <c r="Z7" s="142"/>
      <c r="AA7" s="160"/>
      <c r="AB7" s="143">
        <f>AA7*$G$6</f>
        <v>0</v>
      </c>
      <c r="AC7" s="142"/>
      <c r="AD7" s="142"/>
      <c r="AE7" s="160"/>
      <c r="AF7" s="143">
        <f>AE7*$G$6</f>
        <v>0</v>
      </c>
      <c r="AG7" s="142"/>
      <c r="AH7" s="142"/>
      <c r="AI7" s="160"/>
      <c r="AJ7" s="143">
        <f>AI7*$G$6</f>
        <v>0</v>
      </c>
      <c r="AK7" s="142"/>
      <c r="AL7" s="142"/>
      <c r="AM7" s="160"/>
      <c r="AN7" s="143">
        <f>AM7*$G$6</f>
        <v>0</v>
      </c>
      <c r="AO7" s="142"/>
      <c r="AP7" s="142"/>
      <c r="AQ7" s="160"/>
      <c r="AR7" s="143">
        <f>AQ7*$G$6</f>
        <v>0</v>
      </c>
      <c r="AS7" s="142"/>
      <c r="AT7" s="142"/>
      <c r="AU7" s="160"/>
      <c r="AV7" s="143">
        <f>AU7*$G$6</f>
        <v>0</v>
      </c>
      <c r="AW7" s="142"/>
      <c r="AX7" s="142"/>
      <c r="AY7" s="160"/>
      <c r="AZ7" s="143">
        <f>AY7*$G$6</f>
        <v>0</v>
      </c>
      <c r="BA7" s="142"/>
      <c r="BB7" s="142"/>
      <c r="BC7" s="160"/>
      <c r="BD7" s="143">
        <f>BC7*$G$6</f>
        <v>0</v>
      </c>
      <c r="BE7" s="142"/>
      <c r="BF7" s="142"/>
      <c r="BG7" s="160"/>
      <c r="BH7" s="143">
        <f>BG7*$G$6</f>
        <v>0</v>
      </c>
      <c r="BI7" s="161">
        <f t="shared" ref="BI7:BI58" si="1">O7+S7+W7+AA7+AE7+AI7+AM7+AQ7+AU7+AY7+BC7+BG7</f>
        <v>0</v>
      </c>
      <c r="BJ7" s="116"/>
      <c r="BK7" s="115"/>
    </row>
    <row r="8" spans="1:63">
      <c r="A8" s="312"/>
      <c r="B8" s="310"/>
      <c r="C8" s="41" t="s">
        <v>126</v>
      </c>
      <c r="D8" s="93" t="str">
        <f>'MH-LAM4 -1225-San Miguel-Antoni'!D3</f>
        <v>ARQUITECTURA - Reunión con cliente para ver interiores</v>
      </c>
      <c r="E8" s="93" t="str">
        <f>VLOOKUP(D8,'MH-LAM4 -1225-San Miguel-Antoni'!$D$2:$E$84,2,FALSE)</f>
        <v>V 3.0 - PRELIMINAR A ENTREGA A MUNI</v>
      </c>
      <c r="F8" s="150" t="s">
        <v>322</v>
      </c>
      <c r="G8" s="149">
        <f t="shared" ref="G8" si="2">IF(F8="BAJA",0.8,IF(F8="MEDIA",1,IF(F8="ALTA",1.4,IF(F8="MUY ALTA",2))))</f>
        <v>1</v>
      </c>
      <c r="H8" s="160" cm="1">
        <f t="array" ref="H8">G8*INDEX('MH-LAM4 -1225-San Miguel-Antoni'!$B$2:$G$68,MATCH($D$5&amp;D8&amp;$B$5,'MH-LAM4 -1225-San Miguel-Antoni'!$C$2:$C$68&amp;'MH-LAM4 -1225-San Miguel-Antoni'!$D$2:$D$68&amp;'MH-LAM4 -1225-San Miguel-Antoni'!$B$2:$B$68,0),5)/J8</f>
        <v>13.333333333333332</v>
      </c>
      <c r="I8" s="160" cm="1">
        <f t="array" ref="I8">G8*INDEX('MH-LAM4 -1225-San Miguel-Antoni'!$B$2:$G$68,MATCH($D$5&amp;D8&amp;$B$5,'MH-LAM4 -1225-San Miguel-Antoni'!$C$2:$C$68&amp;'MH-LAM4 -1225-San Miguel-Antoni'!$D$2:$D$68&amp;'MH-LAM4 -1225-San Miguel-Antoni'!$B$2:$B$68,0),6)/J8</f>
        <v>0</v>
      </c>
      <c r="J8" s="190">
        <f>VLOOKUP($D$6,APUs!$B$2:$I$50,7,FALSE)</f>
        <v>0.9</v>
      </c>
      <c r="K8" s="191">
        <f>$G$6*(H8+I8)/J8</f>
        <v>246.91358024691351</v>
      </c>
      <c r="L8" s="191"/>
      <c r="M8" s="142"/>
      <c r="N8" s="142"/>
      <c r="O8" s="160"/>
      <c r="P8" s="143">
        <f t="shared" ref="P8" si="3">O8*$G$6</f>
        <v>0</v>
      </c>
      <c r="Q8" s="142"/>
      <c r="R8" s="142"/>
      <c r="S8" s="160"/>
      <c r="T8" s="143">
        <f t="shared" ref="T8" si="4">S8*$G$6</f>
        <v>0</v>
      </c>
      <c r="U8" s="142"/>
      <c r="V8" s="142"/>
      <c r="W8" s="160"/>
      <c r="X8" s="143">
        <f t="shared" ref="X8" si="5">W8*$G$6</f>
        <v>0</v>
      </c>
      <c r="Y8" s="142"/>
      <c r="Z8" s="142"/>
      <c r="AA8" s="160"/>
      <c r="AB8" s="143">
        <f t="shared" ref="AB8" si="6">AA8*$G$6</f>
        <v>0</v>
      </c>
      <c r="AC8" s="142"/>
      <c r="AD8" s="142"/>
      <c r="AE8" s="160"/>
      <c r="AF8" s="143">
        <f t="shared" ref="AF8" si="7">AE8*$G$6</f>
        <v>0</v>
      </c>
      <c r="AG8" s="142"/>
      <c r="AH8" s="142"/>
      <c r="AI8" s="160"/>
      <c r="AJ8" s="143">
        <f t="shared" ref="AJ8" si="8">AI8*$G$6</f>
        <v>0</v>
      </c>
      <c r="AK8" s="142"/>
      <c r="AL8" s="142"/>
      <c r="AM8" s="160"/>
      <c r="AN8" s="143">
        <f t="shared" ref="AN8" si="9">AM8*$G$6</f>
        <v>0</v>
      </c>
      <c r="AO8" s="142"/>
      <c r="AP8" s="142"/>
      <c r="AQ8" s="160"/>
      <c r="AR8" s="143">
        <f t="shared" ref="AR8" si="10">AQ8*$G$6</f>
        <v>0</v>
      </c>
      <c r="AS8" s="142"/>
      <c r="AT8" s="142"/>
      <c r="AU8" s="160"/>
      <c r="AV8" s="143">
        <f t="shared" ref="AV8" si="11">AU8*$G$6</f>
        <v>0</v>
      </c>
      <c r="AW8" s="142"/>
      <c r="AX8" s="142"/>
      <c r="AY8" s="160"/>
      <c r="AZ8" s="143">
        <f t="shared" ref="AZ8" si="12">AY8*$G$6</f>
        <v>0</v>
      </c>
      <c r="BA8" s="142"/>
      <c r="BB8" s="142"/>
      <c r="BC8" s="160"/>
      <c r="BD8" s="143">
        <f t="shared" ref="BD8" si="13">BC8*$G$6</f>
        <v>0</v>
      </c>
      <c r="BE8" s="142"/>
      <c r="BF8" s="142"/>
      <c r="BG8" s="160"/>
      <c r="BH8" s="143">
        <f t="shared" ref="BH8" si="14">BG8*$G$6</f>
        <v>0</v>
      </c>
      <c r="BI8" s="161">
        <f t="shared" si="1"/>
        <v>0</v>
      </c>
      <c r="BJ8" s="116"/>
      <c r="BK8" s="115"/>
    </row>
    <row r="9" spans="1:63">
      <c r="A9" s="312"/>
      <c r="B9" s="310"/>
      <c r="C9" s="41" t="s">
        <v>126</v>
      </c>
      <c r="D9" s="93" t="str">
        <f>'MH-LAM4 -1225-San Miguel-Antoni'!D4</f>
        <v>TAREAS ADMINISTRATIVAS - Corroborar bloque actualizado en todas las especialidades</v>
      </c>
      <c r="E9" s="93" t="str">
        <f>VLOOKUP(D9,'MH-LAM4 -1225-San Miguel-Antoni'!$D$2:$E$84,2,FALSE)</f>
        <v>V 3.0 - PRELIMINAR A ENTREGA A MUNI</v>
      </c>
      <c r="F9" s="150" t="s">
        <v>322</v>
      </c>
      <c r="G9" s="149">
        <f t="shared" ref="G9:G17" si="15">IF(F9="BAJA",0.8,IF(F9="MEDIA",1,IF(F9="ALTA",1.4,IF(F9="MUY ALTA",2))))</f>
        <v>1</v>
      </c>
      <c r="H9" s="160" cm="1">
        <f t="array" ref="H9">G9*INDEX('MH-LAM4 -1225-San Miguel-Antoni'!$B$2:$G$68,MATCH($D$5&amp;D9&amp;$B$5,'MH-LAM4 -1225-San Miguel-Antoni'!$C$2:$C$68&amp;'MH-LAM4 -1225-San Miguel-Antoni'!$D$2:$D$68&amp;'MH-LAM4 -1225-San Miguel-Antoni'!$B$2:$B$68,0),5)/J9</f>
        <v>0</v>
      </c>
      <c r="I9" s="160" cm="1">
        <f t="array" ref="I9">G9*INDEX('MH-LAM4 -1225-San Miguel-Antoni'!$B$2:$G$68,MATCH($D$5&amp;D9&amp;$B$5,'MH-LAM4 -1225-San Miguel-Antoni'!$C$2:$C$68&amp;'MH-LAM4 -1225-San Miguel-Antoni'!$D$2:$D$68&amp;'MH-LAM4 -1225-San Miguel-Antoni'!$B$2:$B$68,0),6)/J9</f>
        <v>0</v>
      </c>
      <c r="J9" s="190">
        <f>VLOOKUP($D$6,APUs!$B$2:$I$50,7,FALSE)</f>
        <v>0.9</v>
      </c>
      <c r="K9" s="191">
        <f>$G$6*(H9+I9)/J9</f>
        <v>0</v>
      </c>
      <c r="L9" s="191"/>
      <c r="M9" s="142"/>
      <c r="N9" s="142"/>
      <c r="O9" s="160"/>
      <c r="P9" s="143">
        <f t="shared" ref="P9:P17" si="16">O9*$G$6</f>
        <v>0</v>
      </c>
      <c r="Q9" s="142"/>
      <c r="R9" s="142"/>
      <c r="S9" s="160"/>
      <c r="T9" s="143">
        <f t="shared" ref="T9:T17" si="17">S9*$G$6</f>
        <v>0</v>
      </c>
      <c r="U9" s="142"/>
      <c r="V9" s="142"/>
      <c r="W9" s="160"/>
      <c r="X9" s="143">
        <f t="shared" ref="X9:X17" si="18">W9*$G$6</f>
        <v>0</v>
      </c>
      <c r="Y9" s="142"/>
      <c r="Z9" s="142"/>
      <c r="AA9" s="160"/>
      <c r="AB9" s="143">
        <f t="shared" ref="AB9:AB17" si="19">AA9*$G$6</f>
        <v>0</v>
      </c>
      <c r="AC9" s="142"/>
      <c r="AD9" s="142"/>
      <c r="AE9" s="160"/>
      <c r="AF9" s="143">
        <f t="shared" ref="AF9:AF17" si="20">AE9*$G$6</f>
        <v>0</v>
      </c>
      <c r="AG9" s="142"/>
      <c r="AH9" s="142"/>
      <c r="AI9" s="160"/>
      <c r="AJ9" s="143">
        <f t="shared" ref="AJ9:AJ17" si="21">AI9*$G$6</f>
        <v>0</v>
      </c>
      <c r="AK9" s="142"/>
      <c r="AL9" s="142"/>
      <c r="AM9" s="160"/>
      <c r="AN9" s="143">
        <f t="shared" ref="AN9:AN17" si="22">AM9*$G$6</f>
        <v>0</v>
      </c>
      <c r="AO9" s="142"/>
      <c r="AP9" s="142"/>
      <c r="AQ9" s="160"/>
      <c r="AR9" s="143">
        <f t="shared" ref="AR9:AR17" si="23">AQ9*$G$6</f>
        <v>0</v>
      </c>
      <c r="AS9" s="142"/>
      <c r="AT9" s="142"/>
      <c r="AU9" s="160"/>
      <c r="AV9" s="143">
        <f t="shared" ref="AV9:AV17" si="24">AU9*$G$6</f>
        <v>0</v>
      </c>
      <c r="AW9" s="142"/>
      <c r="AX9" s="142"/>
      <c r="AY9" s="160"/>
      <c r="AZ9" s="143">
        <f t="shared" ref="AZ9:AZ17" si="25">AY9*$G$6</f>
        <v>0</v>
      </c>
      <c r="BA9" s="142"/>
      <c r="BB9" s="142"/>
      <c r="BC9" s="160"/>
      <c r="BD9" s="143">
        <f t="shared" ref="BD9:BD17" si="26">BC9*$G$6</f>
        <v>0</v>
      </c>
      <c r="BE9" s="142"/>
      <c r="BF9" s="142"/>
      <c r="BG9" s="160"/>
      <c r="BH9" s="143">
        <f t="shared" ref="BH9:BH17" si="27">BG9*$G$6</f>
        <v>0</v>
      </c>
      <c r="BI9" s="161">
        <f t="shared" si="1"/>
        <v>0</v>
      </c>
      <c r="BJ9" s="116"/>
      <c r="BK9" s="115"/>
    </row>
    <row r="10" spans="1:63">
      <c r="A10" s="312"/>
      <c r="B10" s="310"/>
      <c r="C10" s="41" t="s">
        <v>126</v>
      </c>
      <c r="D10" s="93" t="str">
        <f>'MH-LAM4 -1225-San Miguel-Antoni'!D5</f>
        <v>TAREAS ADMINISTRATIVAS - MANDAR A IMPRENTA PLANOS A PLOTEAR</v>
      </c>
      <c r="E10" s="93" t="str">
        <f>VLOOKUP(D10,'MH-LAM4 -1225-San Miguel-Antoni'!$D$2:$E$84,2,FALSE)</f>
        <v>V 3.0 - PRELIMINAR A ENTREGA A MUNI</v>
      </c>
      <c r="F10" s="150" t="s">
        <v>322</v>
      </c>
      <c r="G10" s="149">
        <f t="shared" si="15"/>
        <v>1</v>
      </c>
      <c r="H10" s="160" cm="1">
        <f t="array" ref="H10">G10*INDEX('MH-LAM4 -1225-San Miguel-Antoni'!$B$2:$G$68,MATCH($D$5&amp;D10&amp;$B$5,'MH-LAM4 -1225-San Miguel-Antoni'!$C$2:$C$68&amp;'MH-LAM4 -1225-San Miguel-Antoni'!$D$2:$D$68&amp;'MH-LAM4 -1225-San Miguel-Antoni'!$B$2:$B$68,0),5)/J10</f>
        <v>0</v>
      </c>
      <c r="I10" s="160" cm="1">
        <f t="array" ref="I10">G10*INDEX('MH-LAM4 -1225-San Miguel-Antoni'!$B$2:$G$68,MATCH($D$5&amp;D10&amp;$B$5,'MH-LAM4 -1225-San Miguel-Antoni'!$C$2:$C$68&amp;'MH-LAM4 -1225-San Miguel-Antoni'!$D$2:$D$68&amp;'MH-LAM4 -1225-San Miguel-Antoni'!$B$2:$B$68,0),6)/J10</f>
        <v>0</v>
      </c>
      <c r="J10" s="190">
        <f>VLOOKUP($D$6,APUs!$B$2:$I$50,7,FALSE)</f>
        <v>0.9</v>
      </c>
      <c r="K10" s="191">
        <f>$G$6*(H10+I10)/J10</f>
        <v>0</v>
      </c>
      <c r="L10" s="191"/>
      <c r="M10" s="142"/>
      <c r="N10" s="142"/>
      <c r="O10" s="160"/>
      <c r="P10" s="143">
        <f t="shared" si="16"/>
        <v>0</v>
      </c>
      <c r="Q10" s="142"/>
      <c r="R10" s="142"/>
      <c r="S10" s="160"/>
      <c r="T10" s="143">
        <f t="shared" si="17"/>
        <v>0</v>
      </c>
      <c r="U10" s="142"/>
      <c r="V10" s="142"/>
      <c r="W10" s="160"/>
      <c r="X10" s="143">
        <f t="shared" si="18"/>
        <v>0</v>
      </c>
      <c r="Y10" s="142"/>
      <c r="Z10" s="142"/>
      <c r="AA10" s="160"/>
      <c r="AB10" s="143">
        <f t="shared" si="19"/>
        <v>0</v>
      </c>
      <c r="AC10" s="142"/>
      <c r="AD10" s="142"/>
      <c r="AE10" s="160"/>
      <c r="AF10" s="143">
        <f t="shared" si="20"/>
        <v>0</v>
      </c>
      <c r="AG10" s="142"/>
      <c r="AH10" s="142"/>
      <c r="AI10" s="160"/>
      <c r="AJ10" s="143">
        <f t="shared" si="21"/>
        <v>0</v>
      </c>
      <c r="AK10" s="142"/>
      <c r="AL10" s="142"/>
      <c r="AM10" s="160"/>
      <c r="AN10" s="143">
        <f t="shared" si="22"/>
        <v>0</v>
      </c>
      <c r="AO10" s="142"/>
      <c r="AP10" s="142"/>
      <c r="AQ10" s="160"/>
      <c r="AR10" s="143">
        <f t="shared" si="23"/>
        <v>0</v>
      </c>
      <c r="AS10" s="142"/>
      <c r="AT10" s="142"/>
      <c r="AU10" s="160"/>
      <c r="AV10" s="143">
        <f t="shared" si="24"/>
        <v>0</v>
      </c>
      <c r="AW10" s="142"/>
      <c r="AX10" s="142"/>
      <c r="AY10" s="160"/>
      <c r="AZ10" s="143">
        <f t="shared" si="25"/>
        <v>0</v>
      </c>
      <c r="BA10" s="142"/>
      <c r="BB10" s="142"/>
      <c r="BC10" s="160"/>
      <c r="BD10" s="143">
        <f t="shared" si="26"/>
        <v>0</v>
      </c>
      <c r="BE10" s="142"/>
      <c r="BF10" s="142"/>
      <c r="BG10" s="160"/>
      <c r="BH10" s="143">
        <f t="shared" si="27"/>
        <v>0</v>
      </c>
      <c r="BI10" s="161">
        <f t="shared" si="1"/>
        <v>0</v>
      </c>
      <c r="BJ10" s="116"/>
      <c r="BK10" s="115"/>
    </row>
    <row r="11" spans="1:63">
      <c r="A11" s="312"/>
      <c r="B11" s="310"/>
      <c r="C11" s="41" t="s">
        <v>126</v>
      </c>
      <c r="D11" s="93" t="str">
        <f>'MH-LAM4 -1225-San Miguel-Antoni'!D6</f>
        <v>TAREAS ADMINISTRATIVAS - Corroborar membrete de todas las especialidades</v>
      </c>
      <c r="E11" s="93" t="str">
        <f>VLOOKUP(D11,'MH-LAM4 -1225-San Miguel-Antoni'!$D$2:$E$84,2,FALSE)</f>
        <v>V 3.0 - PRELIMINAR A ENTREGA A MUNI</v>
      </c>
      <c r="F11" s="150" t="s">
        <v>322</v>
      </c>
      <c r="G11" s="149">
        <f t="shared" si="15"/>
        <v>1</v>
      </c>
      <c r="H11" s="160" cm="1">
        <f t="array" ref="H11">G11*INDEX('MH-LAM4 -1225-San Miguel-Antoni'!$B$2:$G$68,MATCH($D$5&amp;D11&amp;$B$5,'MH-LAM4 -1225-San Miguel-Antoni'!$C$2:$C$68&amp;'MH-LAM4 -1225-San Miguel-Antoni'!$D$2:$D$68&amp;'MH-LAM4 -1225-San Miguel-Antoni'!$B$2:$B$68,0),5)/J11</f>
        <v>4.4444444444444446</v>
      </c>
      <c r="I11" s="160" cm="1">
        <f t="array" ref="I11">G11*INDEX('MH-LAM4 -1225-San Miguel-Antoni'!$B$2:$G$68,MATCH($D$5&amp;D11&amp;$B$5,'MH-LAM4 -1225-San Miguel-Antoni'!$C$2:$C$68&amp;'MH-LAM4 -1225-San Miguel-Antoni'!$D$2:$D$68&amp;'MH-LAM4 -1225-San Miguel-Antoni'!$B$2:$B$68,0),6)/J11</f>
        <v>0</v>
      </c>
      <c r="J11" s="190">
        <f>VLOOKUP($D$6,APUs!$B$2:$I$50,7,FALSE)</f>
        <v>0.9</v>
      </c>
      <c r="K11" s="191">
        <f>$G$6*(H11+I11)/J11</f>
        <v>82.304526748971185</v>
      </c>
      <c r="L11" s="191"/>
      <c r="M11" s="142"/>
      <c r="N11" s="142"/>
      <c r="O11" s="160"/>
      <c r="P11" s="143">
        <f t="shared" si="16"/>
        <v>0</v>
      </c>
      <c r="Q11" s="142"/>
      <c r="R11" s="142"/>
      <c r="S11" s="160"/>
      <c r="T11" s="143">
        <f t="shared" si="17"/>
        <v>0</v>
      </c>
      <c r="U11" s="142"/>
      <c r="V11" s="142"/>
      <c r="W11" s="160"/>
      <c r="X11" s="143">
        <f t="shared" si="18"/>
        <v>0</v>
      </c>
      <c r="Y11" s="142"/>
      <c r="Z11" s="142"/>
      <c r="AA11" s="160"/>
      <c r="AB11" s="143">
        <f t="shared" si="19"/>
        <v>0</v>
      </c>
      <c r="AC11" s="142"/>
      <c r="AD11" s="142"/>
      <c r="AE11" s="160"/>
      <c r="AF11" s="143">
        <f t="shared" si="20"/>
        <v>0</v>
      </c>
      <c r="AG11" s="142"/>
      <c r="AH11" s="142"/>
      <c r="AI11" s="160"/>
      <c r="AJ11" s="143">
        <f t="shared" si="21"/>
        <v>0</v>
      </c>
      <c r="AK11" s="142"/>
      <c r="AL11" s="142"/>
      <c r="AM11" s="160"/>
      <c r="AN11" s="143">
        <f t="shared" si="22"/>
        <v>0</v>
      </c>
      <c r="AO11" s="142"/>
      <c r="AP11" s="142"/>
      <c r="AQ11" s="160"/>
      <c r="AR11" s="143">
        <f t="shared" si="23"/>
        <v>0</v>
      </c>
      <c r="AS11" s="142"/>
      <c r="AT11" s="142"/>
      <c r="AU11" s="160"/>
      <c r="AV11" s="143">
        <f t="shared" si="24"/>
        <v>0</v>
      </c>
      <c r="AW11" s="142"/>
      <c r="AX11" s="142"/>
      <c r="AY11" s="160"/>
      <c r="AZ11" s="143">
        <f t="shared" si="25"/>
        <v>0</v>
      </c>
      <c r="BA11" s="142"/>
      <c r="BB11" s="142"/>
      <c r="BC11" s="160"/>
      <c r="BD11" s="143">
        <f t="shared" si="26"/>
        <v>0</v>
      </c>
      <c r="BE11" s="142"/>
      <c r="BF11" s="142"/>
      <c r="BG11" s="160"/>
      <c r="BH11" s="143">
        <f t="shared" si="27"/>
        <v>0</v>
      </c>
      <c r="BI11" s="161">
        <f t="shared" si="1"/>
        <v>0</v>
      </c>
      <c r="BJ11" s="116"/>
      <c r="BK11" s="115"/>
    </row>
    <row r="12" spans="1:63">
      <c r="A12" s="312"/>
      <c r="B12" s="310"/>
      <c r="C12" s="41" t="s">
        <v>126</v>
      </c>
      <c r="D12" s="93" t="str">
        <f>'MH-LAM4 -1225-San Miguel-Antoni'!D7</f>
        <v>ARQUITECTURA - Revisión Muni</v>
      </c>
      <c r="E12" s="93" t="str">
        <f>VLOOKUP(D12,'MH-LAM4 -1225-San Miguel-Antoni'!$D$2:$E$84,2,FALSE)</f>
        <v>V 3.1 - ENTREGA TÉCNICA FINAL A MUNI</v>
      </c>
      <c r="F12" s="150" t="s">
        <v>322</v>
      </c>
      <c r="G12" s="149">
        <f t="shared" si="15"/>
        <v>1</v>
      </c>
      <c r="H12" s="160" cm="1">
        <f t="array" ref="H12">G12*INDEX('MH-LAM4 -1225-San Miguel-Antoni'!$B$2:$G$68,MATCH($D$5&amp;D12&amp;$B$5,'MH-LAM4 -1225-San Miguel-Antoni'!$C$2:$C$68&amp;'MH-LAM4 -1225-San Miguel-Antoni'!$D$2:$D$68&amp;'MH-LAM4 -1225-San Miguel-Antoni'!$B$2:$B$68,0),5)/J12</f>
        <v>0</v>
      </c>
      <c r="I12" s="160" cm="1">
        <f t="array" ref="I12">G12*INDEX('MH-LAM4 -1225-San Miguel-Antoni'!$B$2:$G$68,MATCH($D$5&amp;D12&amp;$B$5,'MH-LAM4 -1225-San Miguel-Antoni'!$C$2:$C$68&amp;'MH-LAM4 -1225-San Miguel-Antoni'!$D$2:$D$68&amp;'MH-LAM4 -1225-San Miguel-Antoni'!$B$2:$B$68,0),6)/J12</f>
        <v>0</v>
      </c>
      <c r="J12" s="190">
        <f>VLOOKUP($D$6,APUs!$B$2:$I$50,7,FALSE)</f>
        <v>0.9</v>
      </c>
      <c r="K12" s="191">
        <f>$G$6*(H12+I12)/J12</f>
        <v>0</v>
      </c>
      <c r="L12" s="191"/>
      <c r="M12" s="142"/>
      <c r="N12" s="142"/>
      <c r="O12" s="160"/>
      <c r="P12" s="143">
        <f t="shared" si="16"/>
        <v>0</v>
      </c>
      <c r="Q12" s="142"/>
      <c r="R12" s="142"/>
      <c r="S12" s="160"/>
      <c r="T12" s="143">
        <f t="shared" si="17"/>
        <v>0</v>
      </c>
      <c r="U12" s="142"/>
      <c r="V12" s="142"/>
      <c r="W12" s="160"/>
      <c r="X12" s="143">
        <f t="shared" si="18"/>
        <v>0</v>
      </c>
      <c r="Y12" s="142"/>
      <c r="Z12" s="142"/>
      <c r="AA12" s="160"/>
      <c r="AB12" s="143">
        <f t="shared" si="19"/>
        <v>0</v>
      </c>
      <c r="AC12" s="142"/>
      <c r="AD12" s="142"/>
      <c r="AE12" s="160"/>
      <c r="AF12" s="143">
        <f t="shared" si="20"/>
        <v>0</v>
      </c>
      <c r="AG12" s="142"/>
      <c r="AH12" s="142"/>
      <c r="AI12" s="160"/>
      <c r="AJ12" s="143">
        <f t="shared" si="21"/>
        <v>0</v>
      </c>
      <c r="AK12" s="142"/>
      <c r="AL12" s="142"/>
      <c r="AM12" s="160"/>
      <c r="AN12" s="143">
        <f t="shared" si="22"/>
        <v>0</v>
      </c>
      <c r="AO12" s="142"/>
      <c r="AP12" s="142"/>
      <c r="AQ12" s="160"/>
      <c r="AR12" s="143">
        <f t="shared" si="23"/>
        <v>0</v>
      </c>
      <c r="AS12" s="142"/>
      <c r="AT12" s="142"/>
      <c r="AU12" s="160"/>
      <c r="AV12" s="143">
        <f t="shared" si="24"/>
        <v>0</v>
      </c>
      <c r="AW12" s="142"/>
      <c r="AX12" s="142"/>
      <c r="AY12" s="160"/>
      <c r="AZ12" s="143">
        <f t="shared" si="25"/>
        <v>0</v>
      </c>
      <c r="BA12" s="142"/>
      <c r="BB12" s="142"/>
      <c r="BC12" s="160"/>
      <c r="BD12" s="143">
        <f t="shared" si="26"/>
        <v>0</v>
      </c>
      <c r="BE12" s="142"/>
      <c r="BF12" s="142"/>
      <c r="BG12" s="160"/>
      <c r="BH12" s="143">
        <f t="shared" si="27"/>
        <v>0</v>
      </c>
      <c r="BI12" s="161">
        <f t="shared" si="1"/>
        <v>0</v>
      </c>
      <c r="BJ12" s="116"/>
      <c r="BK12" s="115"/>
    </row>
    <row r="13" spans="1:63">
      <c r="A13" s="312"/>
      <c r="B13" s="310"/>
      <c r="C13" s="41" t="s">
        <v>126</v>
      </c>
      <c r="D13" s="93" t="str">
        <f>'MH-LAM4 -1225-San Miguel-Antoni'!D8</f>
        <v>ARQUITECTURA - Lev. de observaciones Municipalidad</v>
      </c>
      <c r="E13" s="93" t="str">
        <f>VLOOKUP(D13,'MH-LAM4 -1225-San Miguel-Antoni'!$D$2:$E$84,2,FALSE)</f>
        <v>V 3.0 - PRELIMINAR A ENTREGA A MUNI</v>
      </c>
      <c r="F13" s="150" t="s">
        <v>322</v>
      </c>
      <c r="G13" s="149">
        <f t="shared" si="15"/>
        <v>1</v>
      </c>
      <c r="H13" s="160" cm="1">
        <f t="array" ref="H13">G13*INDEX('MH-LAM4 -1225-San Miguel-Antoni'!$B$2:$G$68,MATCH($D$5&amp;D13&amp;$B$5,'MH-LAM4 -1225-San Miguel-Antoni'!$C$2:$C$68&amp;'MH-LAM4 -1225-San Miguel-Antoni'!$D$2:$D$68&amp;'MH-LAM4 -1225-San Miguel-Antoni'!$B$2:$B$68,0),5)/J13</f>
        <v>5.5555555555555554</v>
      </c>
      <c r="I13" s="160" cm="1">
        <f t="array" ref="I13">G13*INDEX('MH-LAM4 -1225-San Miguel-Antoni'!$B$2:$G$68,MATCH($D$5&amp;D13&amp;$B$5,'MH-LAM4 -1225-San Miguel-Antoni'!$C$2:$C$68&amp;'MH-LAM4 -1225-San Miguel-Antoni'!$D$2:$D$68&amp;'MH-LAM4 -1225-San Miguel-Antoni'!$B$2:$B$68,0),6)/J13</f>
        <v>0</v>
      </c>
      <c r="J13" s="190">
        <f>VLOOKUP($D$6,APUs!$B$2:$I$50,7,FALSE)</f>
        <v>0.9</v>
      </c>
      <c r="K13" s="191">
        <f>$G$6*(H13+I13)/J13</f>
        <v>102.88065843621398</v>
      </c>
      <c r="L13" s="191"/>
      <c r="M13" s="142"/>
      <c r="N13" s="142"/>
      <c r="O13" s="160"/>
      <c r="P13" s="143">
        <f t="shared" si="16"/>
        <v>0</v>
      </c>
      <c r="Q13" s="142"/>
      <c r="R13" s="142"/>
      <c r="S13" s="160"/>
      <c r="T13" s="143">
        <f t="shared" si="17"/>
        <v>0</v>
      </c>
      <c r="U13" s="142"/>
      <c r="V13" s="142"/>
      <c r="W13" s="160"/>
      <c r="X13" s="143">
        <f t="shared" si="18"/>
        <v>0</v>
      </c>
      <c r="Y13" s="142"/>
      <c r="Z13" s="142"/>
      <c r="AA13" s="160"/>
      <c r="AB13" s="143">
        <f t="shared" si="19"/>
        <v>0</v>
      </c>
      <c r="AC13" s="142"/>
      <c r="AD13" s="142"/>
      <c r="AE13" s="160"/>
      <c r="AF13" s="143">
        <f t="shared" si="20"/>
        <v>0</v>
      </c>
      <c r="AG13" s="142"/>
      <c r="AH13" s="142"/>
      <c r="AI13" s="160"/>
      <c r="AJ13" s="143">
        <f t="shared" si="21"/>
        <v>0</v>
      </c>
      <c r="AK13" s="142"/>
      <c r="AL13" s="142"/>
      <c r="AM13" s="160"/>
      <c r="AN13" s="143">
        <f t="shared" si="22"/>
        <v>0</v>
      </c>
      <c r="AO13" s="142"/>
      <c r="AP13" s="142"/>
      <c r="AQ13" s="160"/>
      <c r="AR13" s="143">
        <f t="shared" si="23"/>
        <v>0</v>
      </c>
      <c r="AS13" s="142"/>
      <c r="AT13" s="142"/>
      <c r="AU13" s="160"/>
      <c r="AV13" s="143">
        <f t="shared" si="24"/>
        <v>0</v>
      </c>
      <c r="AW13" s="142"/>
      <c r="AX13" s="142"/>
      <c r="AY13" s="160"/>
      <c r="AZ13" s="143">
        <f t="shared" si="25"/>
        <v>0</v>
      </c>
      <c r="BA13" s="142"/>
      <c r="BB13" s="142"/>
      <c r="BC13" s="160"/>
      <c r="BD13" s="143">
        <f t="shared" si="26"/>
        <v>0</v>
      </c>
      <c r="BE13" s="142"/>
      <c r="BF13" s="142"/>
      <c r="BG13" s="160"/>
      <c r="BH13" s="143">
        <f t="shared" si="27"/>
        <v>0</v>
      </c>
      <c r="BI13" s="161">
        <f t="shared" si="1"/>
        <v>0</v>
      </c>
      <c r="BJ13" s="116"/>
      <c r="BK13" s="115"/>
    </row>
    <row r="14" spans="1:63">
      <c r="A14" s="312"/>
      <c r="B14" s="310"/>
      <c r="C14" s="41" t="s">
        <v>126</v>
      </c>
      <c r="D14" s="93" t="e">
        <f>'MH-LAM4 -1225-San Miguel-Antoni'!#REF!</f>
        <v>#REF!</v>
      </c>
      <c r="E14" s="93" t="e">
        <f>VLOOKUP(D14,'MH-LAM4 -1225-San Miguel-Antoni'!$D$2:$E$84,2,FALSE)</f>
        <v>#REF!</v>
      </c>
      <c r="F14" s="150" t="s">
        <v>322</v>
      </c>
      <c r="G14" s="149">
        <f t="shared" si="15"/>
        <v>1</v>
      </c>
      <c r="H14" s="160" t="e" cm="1">
        <f t="array" ref="H14">G14*INDEX('MH-LAM4 -1225-San Miguel-Antoni'!$B$2:$G$68,MATCH($D$5&amp;D14&amp;$B$5,'MH-LAM4 -1225-San Miguel-Antoni'!$C$2:$C$68&amp;'MH-LAM4 -1225-San Miguel-Antoni'!$D$2:$D$68&amp;'MH-LAM4 -1225-San Miguel-Antoni'!$B$2:$B$68,0),5)/J14</f>
        <v>#REF!</v>
      </c>
      <c r="I14" s="160" t="e" cm="1">
        <f t="array" ref="I14">G14*INDEX('MH-LAM4 -1225-San Miguel-Antoni'!$B$2:$G$68,MATCH($D$5&amp;D14&amp;$B$5,'MH-LAM4 -1225-San Miguel-Antoni'!$C$2:$C$68&amp;'MH-LAM4 -1225-San Miguel-Antoni'!$D$2:$D$68&amp;'MH-LAM4 -1225-San Miguel-Antoni'!$B$2:$B$68,0),6)/J14</f>
        <v>#REF!</v>
      </c>
      <c r="J14" s="190">
        <f>VLOOKUP($D$6,APUs!$B$2:$I$50,7,FALSE)</f>
        <v>0.9</v>
      </c>
      <c r="K14" s="191" t="e">
        <f>$G$6*(H14+I14)/J14</f>
        <v>#REF!</v>
      </c>
      <c r="L14" s="191"/>
      <c r="M14" s="142"/>
      <c r="N14" s="142"/>
      <c r="O14" s="160"/>
      <c r="P14" s="143">
        <f t="shared" si="16"/>
        <v>0</v>
      </c>
      <c r="Q14" s="142"/>
      <c r="R14" s="142"/>
      <c r="S14" s="160"/>
      <c r="T14" s="143">
        <f t="shared" si="17"/>
        <v>0</v>
      </c>
      <c r="U14" s="142"/>
      <c r="V14" s="142"/>
      <c r="W14" s="160"/>
      <c r="X14" s="143">
        <f t="shared" si="18"/>
        <v>0</v>
      </c>
      <c r="Y14" s="142"/>
      <c r="Z14" s="142"/>
      <c r="AA14" s="160"/>
      <c r="AB14" s="143">
        <f t="shared" si="19"/>
        <v>0</v>
      </c>
      <c r="AC14" s="142"/>
      <c r="AD14" s="142"/>
      <c r="AE14" s="160"/>
      <c r="AF14" s="143">
        <f t="shared" si="20"/>
        <v>0</v>
      </c>
      <c r="AG14" s="142"/>
      <c r="AH14" s="142"/>
      <c r="AI14" s="160"/>
      <c r="AJ14" s="143">
        <f t="shared" si="21"/>
        <v>0</v>
      </c>
      <c r="AK14" s="142"/>
      <c r="AL14" s="142"/>
      <c r="AM14" s="160"/>
      <c r="AN14" s="143">
        <f t="shared" si="22"/>
        <v>0</v>
      </c>
      <c r="AO14" s="142"/>
      <c r="AP14" s="142"/>
      <c r="AQ14" s="160"/>
      <c r="AR14" s="143">
        <f t="shared" si="23"/>
        <v>0</v>
      </c>
      <c r="AS14" s="142"/>
      <c r="AT14" s="142"/>
      <c r="AU14" s="160"/>
      <c r="AV14" s="143">
        <f t="shared" si="24"/>
        <v>0</v>
      </c>
      <c r="AW14" s="142"/>
      <c r="AX14" s="142"/>
      <c r="AY14" s="160"/>
      <c r="AZ14" s="143">
        <f t="shared" si="25"/>
        <v>0</v>
      </c>
      <c r="BA14" s="142"/>
      <c r="BB14" s="142"/>
      <c r="BC14" s="160"/>
      <c r="BD14" s="143">
        <f t="shared" si="26"/>
        <v>0</v>
      </c>
      <c r="BE14" s="142"/>
      <c r="BF14" s="142"/>
      <c r="BG14" s="160"/>
      <c r="BH14" s="143">
        <f t="shared" si="27"/>
        <v>0</v>
      </c>
      <c r="BI14" s="161">
        <f t="shared" si="1"/>
        <v>0</v>
      </c>
      <c r="BJ14" s="116"/>
      <c r="BK14" s="115"/>
    </row>
    <row r="15" spans="1:63">
      <c r="A15" s="312"/>
      <c r="B15" s="310"/>
      <c r="C15" s="41" t="s">
        <v>126</v>
      </c>
      <c r="D15" s="93" t="e">
        <f>'MH-LAM4 -1225-San Miguel-Antoni'!#REF!</f>
        <v>#REF!</v>
      </c>
      <c r="E15" s="93" t="e">
        <f>VLOOKUP(D15,'MH-LAM4 -1225-San Miguel-Antoni'!$D$2:$E$84,2,FALSE)</f>
        <v>#REF!</v>
      </c>
      <c r="F15" s="150" t="s">
        <v>322</v>
      </c>
      <c r="G15" s="149">
        <f t="shared" si="15"/>
        <v>1</v>
      </c>
      <c r="H15" s="160" t="e" cm="1">
        <f t="array" ref="H15">G15*INDEX('MH-LAM4 -1225-San Miguel-Antoni'!$B$2:$G$68,MATCH($D$5&amp;D15&amp;$B$5,'MH-LAM4 -1225-San Miguel-Antoni'!$C$2:$C$68&amp;'MH-LAM4 -1225-San Miguel-Antoni'!$D$2:$D$68&amp;'MH-LAM4 -1225-San Miguel-Antoni'!$B$2:$B$68,0),5)/J15</f>
        <v>#REF!</v>
      </c>
      <c r="I15" s="160" t="e" cm="1">
        <f t="array" ref="I15">G15*INDEX('MH-LAM4 -1225-San Miguel-Antoni'!$B$2:$G$68,MATCH($D$5&amp;D15&amp;$B$5,'MH-LAM4 -1225-San Miguel-Antoni'!$C$2:$C$68&amp;'MH-LAM4 -1225-San Miguel-Antoni'!$D$2:$D$68&amp;'MH-LAM4 -1225-San Miguel-Antoni'!$B$2:$B$68,0),6)/J15</f>
        <v>#REF!</v>
      </c>
      <c r="J15" s="190">
        <f>VLOOKUP($D$6,APUs!$B$2:$I$50,7,FALSE)</f>
        <v>0.9</v>
      </c>
      <c r="K15" s="191" t="e">
        <f>$G$6*(H15+I15)/J15</f>
        <v>#REF!</v>
      </c>
      <c r="L15" s="191"/>
      <c r="M15" s="142"/>
      <c r="N15" s="142"/>
      <c r="O15" s="160"/>
      <c r="P15" s="143">
        <f t="shared" si="16"/>
        <v>0</v>
      </c>
      <c r="Q15" s="142"/>
      <c r="R15" s="142"/>
      <c r="S15" s="160"/>
      <c r="T15" s="143">
        <f t="shared" si="17"/>
        <v>0</v>
      </c>
      <c r="U15" s="142"/>
      <c r="V15" s="142"/>
      <c r="W15" s="160"/>
      <c r="X15" s="143">
        <f t="shared" si="18"/>
        <v>0</v>
      </c>
      <c r="Y15" s="142"/>
      <c r="Z15" s="142"/>
      <c r="AA15" s="160"/>
      <c r="AB15" s="143">
        <f t="shared" si="19"/>
        <v>0</v>
      </c>
      <c r="AC15" s="142"/>
      <c r="AD15" s="142"/>
      <c r="AE15" s="160"/>
      <c r="AF15" s="143">
        <f t="shared" si="20"/>
        <v>0</v>
      </c>
      <c r="AG15" s="142"/>
      <c r="AH15" s="142"/>
      <c r="AI15" s="160"/>
      <c r="AJ15" s="143">
        <f t="shared" si="21"/>
        <v>0</v>
      </c>
      <c r="AK15" s="142"/>
      <c r="AL15" s="142"/>
      <c r="AM15" s="160"/>
      <c r="AN15" s="143">
        <f t="shared" si="22"/>
        <v>0</v>
      </c>
      <c r="AO15" s="142"/>
      <c r="AP15" s="142"/>
      <c r="AQ15" s="160"/>
      <c r="AR15" s="143">
        <f t="shared" si="23"/>
        <v>0</v>
      </c>
      <c r="AS15" s="142"/>
      <c r="AT15" s="142"/>
      <c r="AU15" s="160"/>
      <c r="AV15" s="143">
        <f t="shared" si="24"/>
        <v>0</v>
      </c>
      <c r="AW15" s="142"/>
      <c r="AX15" s="142"/>
      <c r="AY15" s="160"/>
      <c r="AZ15" s="143">
        <f t="shared" si="25"/>
        <v>0</v>
      </c>
      <c r="BA15" s="142"/>
      <c r="BB15" s="142"/>
      <c r="BC15" s="160"/>
      <c r="BD15" s="143">
        <f t="shared" si="26"/>
        <v>0</v>
      </c>
      <c r="BE15" s="142"/>
      <c r="BF15" s="142"/>
      <c r="BG15" s="160"/>
      <c r="BH15" s="143">
        <f t="shared" si="27"/>
        <v>0</v>
      </c>
      <c r="BI15" s="161">
        <f t="shared" si="1"/>
        <v>0</v>
      </c>
      <c r="BJ15" s="116"/>
      <c r="BK15" s="115"/>
    </row>
    <row r="16" spans="1:63">
      <c r="A16" s="312"/>
      <c r="B16" s="310"/>
      <c r="C16" s="41" t="s">
        <v>126</v>
      </c>
      <c r="D16" s="93" t="e">
        <f>'MH-LAM4 -1225-San Miguel-Antoni'!#REF!</f>
        <v>#REF!</v>
      </c>
      <c r="E16" s="93" t="e">
        <f>VLOOKUP(D16,'MH-LAM4 -1225-San Miguel-Antoni'!$D$2:$E$84,2,FALSE)</f>
        <v>#REF!</v>
      </c>
      <c r="F16" s="150" t="s">
        <v>322</v>
      </c>
      <c r="G16" s="149">
        <f t="shared" si="15"/>
        <v>1</v>
      </c>
      <c r="H16" s="160" t="e" cm="1">
        <f t="array" ref="H16">G16*INDEX('MH-LAM4 -1225-San Miguel-Antoni'!$B$2:$G$68,MATCH($D$5&amp;D16&amp;$B$5,'MH-LAM4 -1225-San Miguel-Antoni'!$C$2:$C$68&amp;'MH-LAM4 -1225-San Miguel-Antoni'!$D$2:$D$68&amp;'MH-LAM4 -1225-San Miguel-Antoni'!$B$2:$B$68,0),5)/J16</f>
        <v>#REF!</v>
      </c>
      <c r="I16" s="160" t="e" cm="1">
        <f t="array" ref="I16">G16*INDEX('MH-LAM4 -1225-San Miguel-Antoni'!$B$2:$G$68,MATCH($D$5&amp;D16&amp;$B$5,'MH-LAM4 -1225-San Miguel-Antoni'!$C$2:$C$68&amp;'MH-LAM4 -1225-San Miguel-Antoni'!$D$2:$D$68&amp;'MH-LAM4 -1225-San Miguel-Antoni'!$B$2:$B$68,0),6)/J16</f>
        <v>#REF!</v>
      </c>
      <c r="J16" s="190">
        <f>VLOOKUP($D$6,APUs!$B$2:$I$50,7,FALSE)</f>
        <v>0.9</v>
      </c>
      <c r="K16" s="191" t="e">
        <f>$G$6*(H16+I16)/J16</f>
        <v>#REF!</v>
      </c>
      <c r="L16" s="191"/>
      <c r="M16" s="142"/>
      <c r="N16" s="142"/>
      <c r="O16" s="160"/>
      <c r="P16" s="143">
        <f t="shared" si="16"/>
        <v>0</v>
      </c>
      <c r="Q16" s="142"/>
      <c r="R16" s="142"/>
      <c r="S16" s="160"/>
      <c r="T16" s="143">
        <f t="shared" si="17"/>
        <v>0</v>
      </c>
      <c r="U16" s="142"/>
      <c r="V16" s="142"/>
      <c r="W16" s="160"/>
      <c r="X16" s="143">
        <f t="shared" si="18"/>
        <v>0</v>
      </c>
      <c r="Y16" s="142"/>
      <c r="Z16" s="142"/>
      <c r="AA16" s="160"/>
      <c r="AB16" s="143">
        <f t="shared" si="19"/>
        <v>0</v>
      </c>
      <c r="AC16" s="142"/>
      <c r="AD16" s="142"/>
      <c r="AE16" s="160"/>
      <c r="AF16" s="143">
        <f t="shared" si="20"/>
        <v>0</v>
      </c>
      <c r="AG16" s="142"/>
      <c r="AH16" s="142"/>
      <c r="AI16" s="160"/>
      <c r="AJ16" s="143">
        <f t="shared" si="21"/>
        <v>0</v>
      </c>
      <c r="AK16" s="142"/>
      <c r="AL16" s="142"/>
      <c r="AM16" s="160"/>
      <c r="AN16" s="143">
        <f t="shared" si="22"/>
        <v>0</v>
      </c>
      <c r="AO16" s="142"/>
      <c r="AP16" s="142"/>
      <c r="AQ16" s="160"/>
      <c r="AR16" s="143">
        <f t="shared" si="23"/>
        <v>0</v>
      </c>
      <c r="AS16" s="142"/>
      <c r="AT16" s="142"/>
      <c r="AU16" s="160"/>
      <c r="AV16" s="143">
        <f t="shared" si="24"/>
        <v>0</v>
      </c>
      <c r="AW16" s="142"/>
      <c r="AX16" s="142"/>
      <c r="AY16" s="160"/>
      <c r="AZ16" s="143">
        <f t="shared" si="25"/>
        <v>0</v>
      </c>
      <c r="BA16" s="142"/>
      <c r="BB16" s="142"/>
      <c r="BC16" s="160"/>
      <c r="BD16" s="143">
        <f t="shared" si="26"/>
        <v>0</v>
      </c>
      <c r="BE16" s="142"/>
      <c r="BF16" s="142"/>
      <c r="BG16" s="160"/>
      <c r="BH16" s="143">
        <f t="shared" si="27"/>
        <v>0</v>
      </c>
      <c r="BI16" s="161">
        <f t="shared" si="1"/>
        <v>0</v>
      </c>
      <c r="BJ16" s="116"/>
      <c r="BK16" s="115"/>
    </row>
    <row r="17" spans="1:63">
      <c r="A17" s="312"/>
      <c r="B17" s="310"/>
      <c r="C17" s="41" t="s">
        <v>126</v>
      </c>
      <c r="D17" s="93" t="e">
        <f>'MH-LAM4 -1225-San Miguel-Antoni'!#REF!</f>
        <v>#REF!</v>
      </c>
      <c r="E17" s="93" t="e">
        <f>VLOOKUP(D17,'MH-LAM4 -1225-San Miguel-Antoni'!$D$2:$E$84,2,FALSE)</f>
        <v>#REF!</v>
      </c>
      <c r="F17" s="150" t="s">
        <v>322</v>
      </c>
      <c r="G17" s="149">
        <f t="shared" si="15"/>
        <v>1</v>
      </c>
      <c r="H17" s="160" t="e" cm="1">
        <f t="array" ref="H17">G17*INDEX('MH-LAM4 -1225-San Miguel-Antoni'!$B$2:$G$68,MATCH($D$5&amp;D17&amp;$B$5,'MH-LAM4 -1225-San Miguel-Antoni'!$C$2:$C$68&amp;'MH-LAM4 -1225-San Miguel-Antoni'!$D$2:$D$68&amp;'MH-LAM4 -1225-San Miguel-Antoni'!$B$2:$B$68,0),5)/J17</f>
        <v>#REF!</v>
      </c>
      <c r="I17" s="160" t="e" cm="1">
        <f t="array" ref="I17">G17*INDEX('MH-LAM4 -1225-San Miguel-Antoni'!$B$2:$G$68,MATCH($D$5&amp;D17&amp;$B$5,'MH-LAM4 -1225-San Miguel-Antoni'!$C$2:$C$68&amp;'MH-LAM4 -1225-San Miguel-Antoni'!$D$2:$D$68&amp;'MH-LAM4 -1225-San Miguel-Antoni'!$B$2:$B$68,0),6)/J17</f>
        <v>#REF!</v>
      </c>
      <c r="J17" s="190">
        <f>VLOOKUP($D$6,APUs!$B$2:$I$50,7,FALSE)</f>
        <v>0.9</v>
      </c>
      <c r="K17" s="191" t="e">
        <f>$G$6*(H17+I17)/J17</f>
        <v>#REF!</v>
      </c>
      <c r="L17" s="191"/>
      <c r="M17" s="142"/>
      <c r="N17" s="142"/>
      <c r="O17" s="160"/>
      <c r="P17" s="143">
        <f t="shared" si="16"/>
        <v>0</v>
      </c>
      <c r="Q17" s="142"/>
      <c r="R17" s="142"/>
      <c r="S17" s="160"/>
      <c r="T17" s="143">
        <f t="shared" si="17"/>
        <v>0</v>
      </c>
      <c r="U17" s="142"/>
      <c r="V17" s="142"/>
      <c r="W17" s="160"/>
      <c r="X17" s="143">
        <f t="shared" si="18"/>
        <v>0</v>
      </c>
      <c r="Y17" s="142"/>
      <c r="Z17" s="142"/>
      <c r="AA17" s="160"/>
      <c r="AB17" s="143">
        <f t="shared" si="19"/>
        <v>0</v>
      </c>
      <c r="AC17" s="142"/>
      <c r="AD17" s="142"/>
      <c r="AE17" s="160"/>
      <c r="AF17" s="143">
        <f t="shared" si="20"/>
        <v>0</v>
      </c>
      <c r="AG17" s="142"/>
      <c r="AH17" s="142"/>
      <c r="AI17" s="160"/>
      <c r="AJ17" s="143">
        <f t="shared" si="21"/>
        <v>0</v>
      </c>
      <c r="AK17" s="142"/>
      <c r="AL17" s="142"/>
      <c r="AM17" s="160"/>
      <c r="AN17" s="143">
        <f t="shared" si="22"/>
        <v>0</v>
      </c>
      <c r="AO17" s="142"/>
      <c r="AP17" s="142"/>
      <c r="AQ17" s="160"/>
      <c r="AR17" s="143">
        <f t="shared" si="23"/>
        <v>0</v>
      </c>
      <c r="AS17" s="142"/>
      <c r="AT17" s="142"/>
      <c r="AU17" s="160"/>
      <c r="AV17" s="143">
        <f t="shared" si="24"/>
        <v>0</v>
      </c>
      <c r="AW17" s="142"/>
      <c r="AX17" s="142"/>
      <c r="AY17" s="160"/>
      <c r="AZ17" s="143">
        <f t="shared" si="25"/>
        <v>0</v>
      </c>
      <c r="BA17" s="142"/>
      <c r="BB17" s="142"/>
      <c r="BC17" s="160"/>
      <c r="BD17" s="143">
        <f t="shared" si="26"/>
        <v>0</v>
      </c>
      <c r="BE17" s="142"/>
      <c r="BF17" s="142"/>
      <c r="BG17" s="160"/>
      <c r="BH17" s="143">
        <f t="shared" si="27"/>
        <v>0</v>
      </c>
      <c r="BI17" s="161">
        <f t="shared" si="1"/>
        <v>0</v>
      </c>
      <c r="BJ17" s="116"/>
      <c r="BK17" s="115"/>
    </row>
    <row r="18" spans="1:63">
      <c r="A18" s="312"/>
      <c r="B18" s="310"/>
      <c r="C18" s="111" t="s">
        <v>111</v>
      </c>
      <c r="D18" s="112" t="s">
        <v>332</v>
      </c>
      <c r="E18" s="112"/>
      <c r="F18" s="113"/>
      <c r="G18" s="211"/>
      <c r="H18" s="212"/>
      <c r="I18" s="212"/>
      <c r="J18" s="212"/>
      <c r="K18" s="212"/>
      <c r="L18" s="212"/>
      <c r="M18" s="214" t="str">
        <f>M19</f>
        <v>0</v>
      </c>
      <c r="N18" s="214">
        <f t="shared" ref="N18:BH18" si="28">N19</f>
        <v>0</v>
      </c>
      <c r="O18" s="214">
        <f t="shared" si="28"/>
        <v>0</v>
      </c>
      <c r="P18" s="214">
        <f t="shared" si="28"/>
        <v>0</v>
      </c>
      <c r="Q18" s="214" t="str">
        <f t="shared" si="28"/>
        <v>0</v>
      </c>
      <c r="R18" s="214">
        <f t="shared" si="28"/>
        <v>0</v>
      </c>
      <c r="S18" s="214">
        <f t="shared" si="28"/>
        <v>0</v>
      </c>
      <c r="T18" s="214">
        <f t="shared" si="28"/>
        <v>0</v>
      </c>
      <c r="U18" s="214" t="str">
        <f t="shared" si="28"/>
        <v>0</v>
      </c>
      <c r="V18" s="214">
        <f t="shared" si="28"/>
        <v>0</v>
      </c>
      <c r="W18" s="214">
        <f t="shared" si="28"/>
        <v>0</v>
      </c>
      <c r="X18" s="214">
        <f t="shared" si="28"/>
        <v>0</v>
      </c>
      <c r="Y18" s="214" t="str">
        <f t="shared" si="28"/>
        <v>0</v>
      </c>
      <c r="Z18" s="214">
        <f t="shared" si="28"/>
        <v>0</v>
      </c>
      <c r="AA18" s="214">
        <f t="shared" si="28"/>
        <v>0</v>
      </c>
      <c r="AB18" s="214">
        <f t="shared" si="28"/>
        <v>0</v>
      </c>
      <c r="AC18" s="214" t="str">
        <f t="shared" si="28"/>
        <v>0</v>
      </c>
      <c r="AD18" s="214">
        <f t="shared" si="28"/>
        <v>0</v>
      </c>
      <c r="AE18" s="214">
        <f t="shared" si="28"/>
        <v>0</v>
      </c>
      <c r="AF18" s="214">
        <f t="shared" si="28"/>
        <v>0</v>
      </c>
      <c r="AG18" s="214" t="str">
        <f t="shared" si="28"/>
        <v>0</v>
      </c>
      <c r="AH18" s="214">
        <f t="shared" si="28"/>
        <v>0</v>
      </c>
      <c r="AI18" s="214">
        <f t="shared" si="28"/>
        <v>0</v>
      </c>
      <c r="AJ18" s="214">
        <f t="shared" si="28"/>
        <v>0</v>
      </c>
      <c r="AK18" s="214" t="str">
        <f t="shared" si="28"/>
        <v>0</v>
      </c>
      <c r="AL18" s="214">
        <f t="shared" si="28"/>
        <v>0</v>
      </c>
      <c r="AM18" s="214">
        <f t="shared" si="28"/>
        <v>0</v>
      </c>
      <c r="AN18" s="214">
        <f t="shared" si="28"/>
        <v>0</v>
      </c>
      <c r="AO18" s="214" t="str">
        <f t="shared" si="28"/>
        <v>0</v>
      </c>
      <c r="AP18" s="214">
        <f t="shared" si="28"/>
        <v>0</v>
      </c>
      <c r="AQ18" s="214">
        <f t="shared" si="28"/>
        <v>0</v>
      </c>
      <c r="AR18" s="214">
        <f t="shared" si="28"/>
        <v>0</v>
      </c>
      <c r="AS18" s="214" t="str">
        <f t="shared" si="28"/>
        <v>0</v>
      </c>
      <c r="AT18" s="214">
        <f t="shared" si="28"/>
        <v>0</v>
      </c>
      <c r="AU18" s="214">
        <f t="shared" si="28"/>
        <v>0</v>
      </c>
      <c r="AV18" s="214">
        <f t="shared" si="28"/>
        <v>0</v>
      </c>
      <c r="AW18" s="214" t="str">
        <f t="shared" si="28"/>
        <v>0</v>
      </c>
      <c r="AX18" s="214">
        <f t="shared" si="28"/>
        <v>0</v>
      </c>
      <c r="AY18" s="214">
        <f t="shared" si="28"/>
        <v>0</v>
      </c>
      <c r="AZ18" s="214">
        <f t="shared" si="28"/>
        <v>0</v>
      </c>
      <c r="BA18" s="214" t="str">
        <f t="shared" si="28"/>
        <v>0</v>
      </c>
      <c r="BB18" s="214">
        <f t="shared" si="28"/>
        <v>0</v>
      </c>
      <c r="BC18" s="214">
        <f t="shared" si="28"/>
        <v>0</v>
      </c>
      <c r="BD18" s="214">
        <f t="shared" si="28"/>
        <v>0</v>
      </c>
      <c r="BE18" s="214" t="str">
        <f t="shared" si="28"/>
        <v>0</v>
      </c>
      <c r="BF18" s="214">
        <f t="shared" si="28"/>
        <v>0</v>
      </c>
      <c r="BG18" s="214">
        <f t="shared" si="28"/>
        <v>0</v>
      </c>
      <c r="BH18" s="214">
        <f t="shared" si="28"/>
        <v>0</v>
      </c>
      <c r="BI18" s="212"/>
      <c r="BJ18" s="212"/>
      <c r="BK18" s="213"/>
    </row>
    <row r="19" spans="1:63" s="201" customFormat="1">
      <c r="A19" s="312"/>
      <c r="B19" s="310"/>
      <c r="C19" s="57" t="s">
        <v>106</v>
      </c>
      <c r="D19" s="92" t="s">
        <v>51</v>
      </c>
      <c r="E19" s="92"/>
      <c r="F19" s="57"/>
      <c r="G19" s="198">
        <f>VLOOKUP(D19,APUs!$B$2:$G$50,6,FALSE)</f>
        <v>7.1428571428571432</v>
      </c>
      <c r="H19" s="199" t="e">
        <f>SUM(H20:H26)</f>
        <v>#REF!</v>
      </c>
      <c r="I19" s="199" t="e">
        <f>SUM(I20:I26)</f>
        <v>#REF!</v>
      </c>
      <c r="J19" s="200">
        <f>VLOOKUP($D$19,APUs!$B$2:$I$50,7,FALSE)</f>
        <v>0.85</v>
      </c>
      <c r="K19" s="198" t="e">
        <f>G19*(H19+I19)/J19</f>
        <v>#REF!</v>
      </c>
      <c r="L19" s="198"/>
      <c r="M19" s="200" t="str">
        <f>IFERROR(AVERAGE(M20:M26),"0")</f>
        <v>0</v>
      </c>
      <c r="N19" s="200">
        <f>IFERROR(AVERAGE(N20:N26),0)</f>
        <v>0</v>
      </c>
      <c r="O19" s="199">
        <f>IFERROR(SUM(O20:O26),0)</f>
        <v>0</v>
      </c>
      <c r="P19" s="198">
        <f>IFERROR(SUM(P20:P26),0)</f>
        <v>0</v>
      </c>
      <c r="Q19" s="200" t="str">
        <f>IFERROR(AVERAGE(Q20:Q26),"0")</f>
        <v>0</v>
      </c>
      <c r="R19" s="200">
        <f>IFERROR(AVERAGE(R20:R26),0)</f>
        <v>0</v>
      </c>
      <c r="S19" s="199">
        <f>IFERROR(SUM(S20:S26),0)</f>
        <v>0</v>
      </c>
      <c r="T19" s="198">
        <f>IFERROR(SUM(T20:T26),0)</f>
        <v>0</v>
      </c>
      <c r="U19" s="200" t="str">
        <f>IFERROR(AVERAGE(U20:U26),"0")</f>
        <v>0</v>
      </c>
      <c r="V19" s="200">
        <f>IFERROR(AVERAGE(V20:V26),0)</f>
        <v>0</v>
      </c>
      <c r="W19" s="199">
        <f>IFERROR(SUM(W20:W26),0)</f>
        <v>0</v>
      </c>
      <c r="X19" s="198">
        <f>IFERROR(SUM(X20:X26),0)</f>
        <v>0</v>
      </c>
      <c r="Y19" s="200" t="str">
        <f>IFERROR(AVERAGE(Y20:Y26),"0")</f>
        <v>0</v>
      </c>
      <c r="Z19" s="200">
        <f>IFERROR(AVERAGE(Z20:Z26),0)</f>
        <v>0</v>
      </c>
      <c r="AA19" s="199">
        <f>IFERROR(SUM(AA20:AA26),0)</f>
        <v>0</v>
      </c>
      <c r="AB19" s="198">
        <f>IFERROR(SUM(AB20:AB26),0)</f>
        <v>0</v>
      </c>
      <c r="AC19" s="200" t="str">
        <f>IFERROR(AVERAGE(AC20:AC26),"0")</f>
        <v>0</v>
      </c>
      <c r="AD19" s="200">
        <f>IFERROR(AVERAGE(AD20:AD26),0)</f>
        <v>0</v>
      </c>
      <c r="AE19" s="199">
        <f>IFERROR(SUM(AE20:AE26),0)</f>
        <v>0</v>
      </c>
      <c r="AF19" s="198">
        <f>IFERROR(SUM(AF20:AF26),0)</f>
        <v>0</v>
      </c>
      <c r="AG19" s="200" t="str">
        <f>IFERROR(AVERAGE(AG20:AG26),"0")</f>
        <v>0</v>
      </c>
      <c r="AH19" s="200">
        <f>IFERROR(AVERAGE(AH20:AH26),0)</f>
        <v>0</v>
      </c>
      <c r="AI19" s="199">
        <f>IFERROR(SUM(AI20:AI26),0)</f>
        <v>0</v>
      </c>
      <c r="AJ19" s="198">
        <f>IFERROR(SUM(AJ20:AJ26),0)</f>
        <v>0</v>
      </c>
      <c r="AK19" s="200" t="str">
        <f>IFERROR(AVERAGE(AK20:AK26),"0")</f>
        <v>0</v>
      </c>
      <c r="AL19" s="200">
        <f>IFERROR(AVERAGE(AL20:AL26),0)</f>
        <v>0</v>
      </c>
      <c r="AM19" s="199">
        <f>IFERROR(SUM(AM20:AM26),0)</f>
        <v>0</v>
      </c>
      <c r="AN19" s="198">
        <f>IFERROR(SUM(AN20:AN26),0)</f>
        <v>0</v>
      </c>
      <c r="AO19" s="200" t="str">
        <f>IFERROR(AVERAGE(AO20:AO26),"0")</f>
        <v>0</v>
      </c>
      <c r="AP19" s="200">
        <f>IFERROR(AVERAGE(AP20:AP26),0)</f>
        <v>0</v>
      </c>
      <c r="AQ19" s="199">
        <f>IFERROR(SUM(AQ20:AQ26),0)</f>
        <v>0</v>
      </c>
      <c r="AR19" s="198">
        <f>IFERROR(SUM(AR20:AR26),0)</f>
        <v>0</v>
      </c>
      <c r="AS19" s="200" t="str">
        <f>IFERROR(AVERAGE(AS20:AS26),"0")</f>
        <v>0</v>
      </c>
      <c r="AT19" s="200">
        <f>IFERROR(AVERAGE(AT20:AT26),0)</f>
        <v>0</v>
      </c>
      <c r="AU19" s="199">
        <f>IFERROR(SUM(AU20:AU26),0)</f>
        <v>0</v>
      </c>
      <c r="AV19" s="240">
        <f>IFERROR(SUM(AV20:AV26),0)</f>
        <v>0</v>
      </c>
      <c r="AW19" s="241" t="str">
        <f>IFERROR(AVERAGE(AW20:AW26),"0")</f>
        <v>0</v>
      </c>
      <c r="AX19" s="241">
        <f>IFERROR(AVERAGE(AX20:AX26),0)</f>
        <v>0</v>
      </c>
      <c r="AY19" s="242">
        <f>IFERROR(SUM(AY20:AY26),0)</f>
        <v>0</v>
      </c>
      <c r="AZ19" s="240">
        <f>IFERROR(SUM(AZ20:AZ26),0)</f>
        <v>0</v>
      </c>
      <c r="BA19" s="241" t="str">
        <f>IFERROR(AVERAGE(BA20:BA26),"0")</f>
        <v>0</v>
      </c>
      <c r="BB19" s="241">
        <f>IFERROR(AVERAGE(BB20:BB26),0)</f>
        <v>0</v>
      </c>
      <c r="BC19" s="242">
        <f>IFERROR(SUM(BC20:BC26),0)</f>
        <v>0</v>
      </c>
      <c r="BD19" s="240">
        <f>IFERROR(SUM(BD20:BD26),0)</f>
        <v>0</v>
      </c>
      <c r="BE19" s="241" t="str">
        <f>IFERROR(AVERAGE(BE20:BE26),"0")</f>
        <v>0</v>
      </c>
      <c r="BF19" s="241">
        <f>IFERROR(AVERAGE(BF20:BF26),0)</f>
        <v>0</v>
      </c>
      <c r="BG19" s="199">
        <f>IFERROR(SUM(BG20:BG26),0)</f>
        <v>0</v>
      </c>
      <c r="BH19" s="198">
        <f>IFERROR(SUM(BH20:BH26),0)</f>
        <v>0</v>
      </c>
      <c r="BI19" s="199">
        <f t="shared" si="1"/>
        <v>0</v>
      </c>
      <c r="BJ19" s="198">
        <f>BI19*$G$19</f>
        <v>0</v>
      </c>
      <c r="BK19" s="200" t="e">
        <f>J19*(H19+I19)/(BI19)</f>
        <v>#REF!</v>
      </c>
    </row>
    <row r="20" spans="1:63">
      <c r="A20" s="312"/>
      <c r="B20" s="310"/>
      <c r="C20" s="41" t="s">
        <v>125</v>
      </c>
      <c r="D20" s="93" t="e">
        <f>'MH-LAM4 -1225-San Miguel-Antoni'!#REF!</f>
        <v>#REF!</v>
      </c>
      <c r="E20" s="93" t="e">
        <f>VLOOKUP(D20,'MH-LAM4 -1225-San Miguel-Antoni'!$D$2:$E$84,2,FALSE)</f>
        <v>#REF!</v>
      </c>
      <c r="F20" s="150" t="s">
        <v>322</v>
      </c>
      <c r="G20" s="149">
        <f t="shared" ref="G20" si="29">IF(F20="BAJA",0.8,IF(F20="MEDIA",1,IF(F20="ALTA",1.4,IF(F20="MUY ALTA",2))))</f>
        <v>1</v>
      </c>
      <c r="H20" s="160" t="e" cm="1">
        <f t="array" ref="H20">G20*INDEX('MH-LAM4 -1225-San Miguel-Antoni'!$B$2:$G$68,MATCH($D$18&amp;D20&amp;$B$5,'MH-LAM4 -1225-San Miguel-Antoni'!$C$2:$C$68&amp;'MH-LAM4 -1225-San Miguel-Antoni'!$D$2:$D$68&amp;'MH-LAM4 -1225-San Miguel-Antoni'!$B$2:$B$68,0),5)/J20</f>
        <v>#REF!</v>
      </c>
      <c r="I20" s="160" t="e" cm="1">
        <f t="array" ref="I20">G20*INDEX('MH-LAM4 -1225-San Miguel-Antoni'!$B$2:$G$68,MATCH($D$18&amp;D20&amp;$B$5,'MH-LAM4 -1225-San Miguel-Antoni'!$C$2:$C$68&amp;'MH-LAM4 -1225-San Miguel-Antoni'!$D$2:$D$68&amp;'MH-LAM4 -1225-San Miguel-Antoni'!$B$2:$B$68,0),6)/J20</f>
        <v>#REF!</v>
      </c>
      <c r="J20" s="190">
        <f>VLOOKUP($D$19,APUs!$B$2:$I$50,7,FALSE)</f>
        <v>0.85</v>
      </c>
      <c r="K20" s="191" t="e">
        <f>$G$19*(H20+I20)/J20</f>
        <v>#REF!</v>
      </c>
      <c r="L20" s="191"/>
      <c r="M20" s="142"/>
      <c r="N20" s="142"/>
      <c r="O20" s="160"/>
      <c r="P20" s="143">
        <f t="shared" ref="P20:P26" si="30">O20*$G$19</f>
        <v>0</v>
      </c>
      <c r="Q20" s="142"/>
      <c r="R20" s="142"/>
      <c r="S20" s="160"/>
      <c r="T20" s="143">
        <f t="shared" ref="T20:T26" si="31">S20*$G$19</f>
        <v>0</v>
      </c>
      <c r="U20" s="142"/>
      <c r="V20" s="142"/>
      <c r="W20" s="160"/>
      <c r="X20" s="143">
        <f t="shared" ref="X20:X26" si="32">W20*$G$19</f>
        <v>0</v>
      </c>
      <c r="Y20" s="142"/>
      <c r="Z20" s="142"/>
      <c r="AA20" s="160"/>
      <c r="AB20" s="143">
        <f t="shared" ref="AB20:AB26" si="33">AA20*$G$19</f>
        <v>0</v>
      </c>
      <c r="AC20" s="142"/>
      <c r="AD20" s="142"/>
      <c r="AE20" s="160"/>
      <c r="AF20" s="143">
        <f t="shared" ref="AF20:AF26" si="34">AE20*$G$19</f>
        <v>0</v>
      </c>
      <c r="AG20" s="142"/>
      <c r="AH20" s="142"/>
      <c r="AI20" s="160"/>
      <c r="AJ20" s="143">
        <f t="shared" ref="AJ20:AJ26" si="35">AI20*$G$19</f>
        <v>0</v>
      </c>
      <c r="AK20" s="142"/>
      <c r="AL20" s="142"/>
      <c r="AM20" s="160"/>
      <c r="AN20" s="143">
        <f t="shared" ref="AN20:AN26" si="36">AM20*$G$19</f>
        <v>0</v>
      </c>
      <c r="AO20" s="142"/>
      <c r="AP20" s="142"/>
      <c r="AQ20" s="160"/>
      <c r="AR20" s="143">
        <f t="shared" ref="AR20:AR26" si="37">AQ20*$G$19</f>
        <v>0</v>
      </c>
      <c r="AS20" s="142"/>
      <c r="AT20" s="142"/>
      <c r="AU20" s="160"/>
      <c r="AV20" s="143">
        <f t="shared" ref="AV20:AV26" si="38">AU20*$G$19</f>
        <v>0</v>
      </c>
      <c r="AW20" s="142"/>
      <c r="AX20" s="142"/>
      <c r="AY20" s="160"/>
      <c r="AZ20" s="143">
        <f t="shared" ref="AZ20:AZ26" si="39">AY20*$G$19</f>
        <v>0</v>
      </c>
      <c r="BA20" s="142"/>
      <c r="BB20" s="142"/>
      <c r="BC20" s="160"/>
      <c r="BD20" s="143">
        <f t="shared" ref="BD20:BD26" si="40">BC20*$G$19</f>
        <v>0</v>
      </c>
      <c r="BE20" s="142"/>
      <c r="BF20" s="142"/>
      <c r="BG20" s="160"/>
      <c r="BH20" s="143">
        <f t="shared" ref="BH20:BH26" si="41">BG20*$G$19</f>
        <v>0</v>
      </c>
      <c r="BI20" s="161">
        <f t="shared" si="1"/>
        <v>0</v>
      </c>
      <c r="BJ20" s="116"/>
      <c r="BK20" s="115"/>
    </row>
    <row r="21" spans="1:63">
      <c r="A21" s="312"/>
      <c r="B21" s="310"/>
      <c r="C21" s="41" t="s">
        <v>126</v>
      </c>
      <c r="D21" s="93" t="str">
        <f>'MH-LAM4 -1225-San Miguel-Antoni'!D9</f>
        <v>ESTRUCTURAS - Rev. de Muni</v>
      </c>
      <c r="E21" s="93" t="str">
        <f>VLOOKUP(D21,'MH-LAM4 -1225-San Miguel-Antoni'!$D$2:$E$84,2,FALSE)</f>
        <v>V 3.1 - ENTREGA TÉCNICA FINAL A MUNI</v>
      </c>
      <c r="F21" s="150" t="s">
        <v>322</v>
      </c>
      <c r="G21" s="149">
        <f t="shared" ref="G21:G26" si="42">IF(F21="BAJA",0.8,IF(F21="MEDIA",1,IF(F21="ALTA",1.4,IF(F21="MUY ALTA",2))))</f>
        <v>1</v>
      </c>
      <c r="H21" s="160" cm="1">
        <f t="array" ref="H21">G21*INDEX('MH-LAM4 -1225-San Miguel-Antoni'!$B$2:$G$68,MATCH($D$18&amp;D21&amp;$B$5,'MH-LAM4 -1225-San Miguel-Antoni'!$C$2:$C$68&amp;'MH-LAM4 -1225-San Miguel-Antoni'!$D$2:$D$68&amp;'MH-LAM4 -1225-San Miguel-Antoni'!$B$2:$B$68,0),5)/J21</f>
        <v>0</v>
      </c>
      <c r="I21" s="160" cm="1">
        <f t="array" ref="I21">G21*INDEX('MH-LAM4 -1225-San Miguel-Antoni'!$B$2:$G$68,MATCH($D$18&amp;D21&amp;$B$5,'MH-LAM4 -1225-San Miguel-Antoni'!$C$2:$C$68&amp;'MH-LAM4 -1225-San Miguel-Antoni'!$D$2:$D$68&amp;'MH-LAM4 -1225-San Miguel-Antoni'!$B$2:$B$68,0),6)/J21</f>
        <v>0</v>
      </c>
      <c r="J21" s="190">
        <f>VLOOKUP($D$19,APUs!$B$2:$I$50,7,FALSE)</f>
        <v>0.85</v>
      </c>
      <c r="K21" s="191">
        <f>$G$19*(H21+I21)/J21</f>
        <v>0</v>
      </c>
      <c r="L21" s="191"/>
      <c r="M21" s="142"/>
      <c r="N21" s="142"/>
      <c r="O21" s="160"/>
      <c r="P21" s="143">
        <f t="shared" si="30"/>
        <v>0</v>
      </c>
      <c r="Q21" s="142"/>
      <c r="R21" s="142"/>
      <c r="S21" s="160"/>
      <c r="T21" s="143">
        <f t="shared" si="31"/>
        <v>0</v>
      </c>
      <c r="U21" s="142"/>
      <c r="V21" s="142"/>
      <c r="W21" s="160"/>
      <c r="X21" s="143">
        <f t="shared" si="32"/>
        <v>0</v>
      </c>
      <c r="Y21" s="142"/>
      <c r="Z21" s="142"/>
      <c r="AA21" s="160"/>
      <c r="AB21" s="143">
        <f t="shared" si="33"/>
        <v>0</v>
      </c>
      <c r="AC21" s="142"/>
      <c r="AD21" s="142"/>
      <c r="AE21" s="160"/>
      <c r="AF21" s="143">
        <f t="shared" si="34"/>
        <v>0</v>
      </c>
      <c r="AG21" s="142"/>
      <c r="AH21" s="142"/>
      <c r="AI21" s="160"/>
      <c r="AJ21" s="143">
        <f t="shared" si="35"/>
        <v>0</v>
      </c>
      <c r="AK21" s="142"/>
      <c r="AL21" s="142"/>
      <c r="AM21" s="160"/>
      <c r="AN21" s="143">
        <f t="shared" si="36"/>
        <v>0</v>
      </c>
      <c r="AO21" s="142"/>
      <c r="AP21" s="142"/>
      <c r="AQ21" s="160"/>
      <c r="AR21" s="143">
        <f t="shared" si="37"/>
        <v>0</v>
      </c>
      <c r="AS21" s="142"/>
      <c r="AT21" s="142"/>
      <c r="AU21" s="160"/>
      <c r="AV21" s="143">
        <f t="shared" si="38"/>
        <v>0</v>
      </c>
      <c r="AW21" s="142"/>
      <c r="AX21" s="142"/>
      <c r="AY21" s="160"/>
      <c r="AZ21" s="143">
        <f t="shared" si="39"/>
        <v>0</v>
      </c>
      <c r="BA21" s="142"/>
      <c r="BB21" s="142"/>
      <c r="BC21" s="160"/>
      <c r="BD21" s="143">
        <f t="shared" si="40"/>
        <v>0</v>
      </c>
      <c r="BE21" s="142"/>
      <c r="BF21" s="142"/>
      <c r="BG21" s="160"/>
      <c r="BH21" s="143">
        <f t="shared" si="41"/>
        <v>0</v>
      </c>
      <c r="BI21" s="161">
        <f t="shared" si="1"/>
        <v>0</v>
      </c>
      <c r="BJ21" s="116"/>
      <c r="BK21" s="115"/>
    </row>
    <row r="22" spans="1:63">
      <c r="A22" s="312"/>
      <c r="B22" s="310"/>
      <c r="C22" s="41" t="s">
        <v>127</v>
      </c>
      <c r="D22" s="93" t="str">
        <f>'MH-LAM4 -1225-San Miguel-Antoni'!D10</f>
        <v>ESTRUCTURAS - Lev. de Observaciones de Muni</v>
      </c>
      <c r="E22" s="93" t="str">
        <f>VLOOKUP(D22,'MH-LAM4 -1225-San Miguel-Antoni'!$D$2:$E$84,2,FALSE)</f>
        <v>V 3.0 - PRELIMINAR A ENTREGA A MUNI</v>
      </c>
      <c r="F22" s="150" t="s">
        <v>322</v>
      </c>
      <c r="G22" s="149">
        <f t="shared" si="42"/>
        <v>1</v>
      </c>
      <c r="H22" s="160" cm="1">
        <f t="array" ref="H22">G22*INDEX('MH-LAM4 -1225-San Miguel-Antoni'!$B$2:$G$68,MATCH($D$18&amp;D22&amp;$B$5,'MH-LAM4 -1225-San Miguel-Antoni'!$C$2:$C$68&amp;'MH-LAM4 -1225-San Miguel-Antoni'!$D$2:$D$68&amp;'MH-LAM4 -1225-San Miguel-Antoni'!$B$2:$B$68,0),5)/J22</f>
        <v>10.588235294117647</v>
      </c>
      <c r="I22" s="160" cm="1">
        <f t="array" ref="I22">G22*INDEX('MH-LAM4 -1225-San Miguel-Antoni'!$B$2:$G$68,MATCH($D$18&amp;D22&amp;$B$5,'MH-LAM4 -1225-San Miguel-Antoni'!$C$2:$C$68&amp;'MH-LAM4 -1225-San Miguel-Antoni'!$D$2:$D$68&amp;'MH-LAM4 -1225-San Miguel-Antoni'!$B$2:$B$68,0),6)/J22</f>
        <v>0</v>
      </c>
      <c r="J22" s="190">
        <f>VLOOKUP($D$19,APUs!$B$2:$I$50,7,FALSE)</f>
        <v>0.85</v>
      </c>
      <c r="K22" s="191">
        <f>$G$19*(H22+I22)/J22</f>
        <v>88.976767177459223</v>
      </c>
      <c r="L22" s="191"/>
      <c r="M22" s="142"/>
      <c r="N22" s="142"/>
      <c r="O22" s="160"/>
      <c r="P22" s="143">
        <f t="shared" si="30"/>
        <v>0</v>
      </c>
      <c r="Q22" s="142"/>
      <c r="R22" s="142"/>
      <c r="S22" s="160"/>
      <c r="T22" s="143">
        <f t="shared" si="31"/>
        <v>0</v>
      </c>
      <c r="U22" s="142"/>
      <c r="V22" s="142"/>
      <c r="W22" s="160"/>
      <c r="X22" s="143">
        <f t="shared" si="32"/>
        <v>0</v>
      </c>
      <c r="Y22" s="142"/>
      <c r="Z22" s="142"/>
      <c r="AA22" s="160"/>
      <c r="AB22" s="143">
        <f t="shared" si="33"/>
        <v>0</v>
      </c>
      <c r="AC22" s="142"/>
      <c r="AD22" s="142"/>
      <c r="AE22" s="160"/>
      <c r="AF22" s="143">
        <f t="shared" si="34"/>
        <v>0</v>
      </c>
      <c r="AG22" s="142"/>
      <c r="AH22" s="142"/>
      <c r="AI22" s="160"/>
      <c r="AJ22" s="143">
        <f t="shared" si="35"/>
        <v>0</v>
      </c>
      <c r="AK22" s="142"/>
      <c r="AL22" s="142"/>
      <c r="AM22" s="160"/>
      <c r="AN22" s="143">
        <f t="shared" si="36"/>
        <v>0</v>
      </c>
      <c r="AO22" s="142"/>
      <c r="AP22" s="142"/>
      <c r="AQ22" s="160"/>
      <c r="AR22" s="143">
        <f t="shared" si="37"/>
        <v>0</v>
      </c>
      <c r="AS22" s="142"/>
      <c r="AT22" s="142"/>
      <c r="AU22" s="160"/>
      <c r="AV22" s="143">
        <f t="shared" si="38"/>
        <v>0</v>
      </c>
      <c r="AW22" s="142"/>
      <c r="AX22" s="142"/>
      <c r="AY22" s="160"/>
      <c r="AZ22" s="143">
        <f t="shared" si="39"/>
        <v>0</v>
      </c>
      <c r="BA22" s="142"/>
      <c r="BB22" s="142"/>
      <c r="BC22" s="160"/>
      <c r="BD22" s="143">
        <f t="shared" si="40"/>
        <v>0</v>
      </c>
      <c r="BE22" s="142"/>
      <c r="BF22" s="142"/>
      <c r="BG22" s="160"/>
      <c r="BH22" s="143">
        <f t="shared" si="41"/>
        <v>0</v>
      </c>
      <c r="BI22" s="161">
        <f t="shared" si="1"/>
        <v>0</v>
      </c>
      <c r="BJ22" s="116"/>
      <c r="BK22" s="115"/>
    </row>
    <row r="23" spans="1:63">
      <c r="A23" s="312"/>
      <c r="B23" s="310"/>
      <c r="C23" s="41" t="s">
        <v>128</v>
      </c>
      <c r="D23" s="93" t="e">
        <f>'MH-LAM4 -1225-San Miguel-Antoni'!#REF!</f>
        <v>#REF!</v>
      </c>
      <c r="E23" s="93" t="e">
        <f>VLOOKUP(D23,'MH-LAM4 -1225-San Miguel-Antoni'!$D$2:$E$84,2,FALSE)</f>
        <v>#REF!</v>
      </c>
      <c r="F23" s="150" t="s">
        <v>322</v>
      </c>
      <c r="G23" s="149">
        <f t="shared" si="42"/>
        <v>1</v>
      </c>
      <c r="H23" s="160" t="e" cm="1">
        <f t="array" ref="H23">G23*INDEX('MH-LAM4 -1225-San Miguel-Antoni'!$B$2:$G$68,MATCH($D$18&amp;D23&amp;$B$5,'MH-LAM4 -1225-San Miguel-Antoni'!$C$2:$C$68&amp;'MH-LAM4 -1225-San Miguel-Antoni'!$D$2:$D$68&amp;'MH-LAM4 -1225-San Miguel-Antoni'!$B$2:$B$68,0),5)/J23</f>
        <v>#REF!</v>
      </c>
      <c r="I23" s="160" t="e" cm="1">
        <f t="array" ref="I23">G23*INDEX('MH-LAM4 -1225-San Miguel-Antoni'!$B$2:$G$68,MATCH($D$18&amp;D23&amp;$B$5,'MH-LAM4 -1225-San Miguel-Antoni'!$C$2:$C$68&amp;'MH-LAM4 -1225-San Miguel-Antoni'!$D$2:$D$68&amp;'MH-LAM4 -1225-San Miguel-Antoni'!$B$2:$B$68,0),6)/J23</f>
        <v>#REF!</v>
      </c>
      <c r="J23" s="190">
        <f>VLOOKUP($D$19,APUs!$B$2:$I$50,7,FALSE)</f>
        <v>0.85</v>
      </c>
      <c r="K23" s="191" t="e">
        <f>$G$19*(H23+I23)/J23</f>
        <v>#REF!</v>
      </c>
      <c r="L23" s="191"/>
      <c r="M23" s="142"/>
      <c r="N23" s="142"/>
      <c r="O23" s="160"/>
      <c r="P23" s="143">
        <f t="shared" si="30"/>
        <v>0</v>
      </c>
      <c r="Q23" s="142"/>
      <c r="R23" s="142"/>
      <c r="S23" s="160"/>
      <c r="T23" s="143">
        <f t="shared" si="31"/>
        <v>0</v>
      </c>
      <c r="U23" s="142"/>
      <c r="V23" s="142"/>
      <c r="W23" s="160"/>
      <c r="X23" s="143">
        <f t="shared" si="32"/>
        <v>0</v>
      </c>
      <c r="Y23" s="142"/>
      <c r="Z23" s="142"/>
      <c r="AA23" s="160"/>
      <c r="AB23" s="143">
        <f t="shared" si="33"/>
        <v>0</v>
      </c>
      <c r="AC23" s="142"/>
      <c r="AD23" s="142"/>
      <c r="AE23" s="160"/>
      <c r="AF23" s="143">
        <f t="shared" si="34"/>
        <v>0</v>
      </c>
      <c r="AG23" s="142"/>
      <c r="AH23" s="142"/>
      <c r="AI23" s="160"/>
      <c r="AJ23" s="143">
        <f t="shared" si="35"/>
        <v>0</v>
      </c>
      <c r="AK23" s="142"/>
      <c r="AL23" s="142"/>
      <c r="AM23" s="160"/>
      <c r="AN23" s="143">
        <f t="shared" si="36"/>
        <v>0</v>
      </c>
      <c r="AO23" s="142"/>
      <c r="AP23" s="142"/>
      <c r="AQ23" s="160"/>
      <c r="AR23" s="143">
        <f t="shared" si="37"/>
        <v>0</v>
      </c>
      <c r="AS23" s="142"/>
      <c r="AT23" s="142"/>
      <c r="AU23" s="160"/>
      <c r="AV23" s="143">
        <f t="shared" si="38"/>
        <v>0</v>
      </c>
      <c r="AW23" s="142"/>
      <c r="AX23" s="142"/>
      <c r="AY23" s="160"/>
      <c r="AZ23" s="143">
        <f t="shared" si="39"/>
        <v>0</v>
      </c>
      <c r="BA23" s="142"/>
      <c r="BB23" s="142"/>
      <c r="BC23" s="160"/>
      <c r="BD23" s="143">
        <f t="shared" si="40"/>
        <v>0</v>
      </c>
      <c r="BE23" s="142"/>
      <c r="BF23" s="142"/>
      <c r="BG23" s="160"/>
      <c r="BH23" s="143">
        <f t="shared" si="41"/>
        <v>0</v>
      </c>
      <c r="BI23" s="161">
        <f t="shared" si="1"/>
        <v>0</v>
      </c>
      <c r="BJ23" s="116"/>
      <c r="BK23" s="115"/>
    </row>
    <row r="24" spans="1:63">
      <c r="A24" s="312"/>
      <c r="B24" s="310"/>
      <c r="C24" s="41" t="s">
        <v>129</v>
      </c>
      <c r="D24" s="93" t="e">
        <f>'MH-LAM4 -1225-San Miguel-Antoni'!#REF!</f>
        <v>#REF!</v>
      </c>
      <c r="E24" s="93" t="e">
        <f>VLOOKUP(D24,'MH-LAM4 -1225-San Miguel-Antoni'!$D$2:$E$84,2,FALSE)</f>
        <v>#REF!</v>
      </c>
      <c r="F24" s="150" t="s">
        <v>322</v>
      </c>
      <c r="G24" s="149">
        <f t="shared" si="42"/>
        <v>1</v>
      </c>
      <c r="H24" s="160" t="e" cm="1">
        <f t="array" ref="H24">G24*INDEX('MH-LAM4 -1225-San Miguel-Antoni'!$B$2:$G$68,MATCH($D$18&amp;D24&amp;$B$5,'MH-LAM4 -1225-San Miguel-Antoni'!$C$2:$C$68&amp;'MH-LAM4 -1225-San Miguel-Antoni'!$D$2:$D$68&amp;'MH-LAM4 -1225-San Miguel-Antoni'!$B$2:$B$68,0),5)/J24</f>
        <v>#REF!</v>
      </c>
      <c r="I24" s="160" t="e" cm="1">
        <f t="array" ref="I24">G24*INDEX('MH-LAM4 -1225-San Miguel-Antoni'!$B$2:$G$68,MATCH($D$18&amp;D24&amp;$B$5,'MH-LAM4 -1225-San Miguel-Antoni'!$C$2:$C$68&amp;'MH-LAM4 -1225-San Miguel-Antoni'!$D$2:$D$68&amp;'MH-LAM4 -1225-San Miguel-Antoni'!$B$2:$B$68,0),6)/J24</f>
        <v>#REF!</v>
      </c>
      <c r="J24" s="190">
        <f>VLOOKUP($D$19,APUs!$B$2:$I$50,7,FALSE)</f>
        <v>0.85</v>
      </c>
      <c r="K24" s="191" t="e">
        <f>$G$19*(H24+I24)/J24</f>
        <v>#REF!</v>
      </c>
      <c r="L24" s="191"/>
      <c r="M24" s="142"/>
      <c r="N24" s="142"/>
      <c r="O24" s="160"/>
      <c r="P24" s="143">
        <f t="shared" si="30"/>
        <v>0</v>
      </c>
      <c r="Q24" s="142"/>
      <c r="R24" s="142"/>
      <c r="S24" s="160"/>
      <c r="T24" s="143">
        <f t="shared" si="31"/>
        <v>0</v>
      </c>
      <c r="U24" s="142"/>
      <c r="V24" s="142"/>
      <c r="W24" s="160"/>
      <c r="X24" s="143">
        <f t="shared" si="32"/>
        <v>0</v>
      </c>
      <c r="Y24" s="142"/>
      <c r="Z24" s="142"/>
      <c r="AA24" s="160"/>
      <c r="AB24" s="143">
        <f t="shared" si="33"/>
        <v>0</v>
      </c>
      <c r="AC24" s="142"/>
      <c r="AD24" s="142"/>
      <c r="AE24" s="160"/>
      <c r="AF24" s="143">
        <f t="shared" si="34"/>
        <v>0</v>
      </c>
      <c r="AG24" s="142"/>
      <c r="AH24" s="142"/>
      <c r="AI24" s="160"/>
      <c r="AJ24" s="143">
        <f t="shared" si="35"/>
        <v>0</v>
      </c>
      <c r="AK24" s="142"/>
      <c r="AL24" s="142"/>
      <c r="AM24" s="160"/>
      <c r="AN24" s="143">
        <f t="shared" si="36"/>
        <v>0</v>
      </c>
      <c r="AO24" s="142"/>
      <c r="AP24" s="142"/>
      <c r="AQ24" s="160"/>
      <c r="AR24" s="143">
        <f t="shared" si="37"/>
        <v>0</v>
      </c>
      <c r="AS24" s="142"/>
      <c r="AT24" s="142"/>
      <c r="AU24" s="160"/>
      <c r="AV24" s="143">
        <f t="shared" si="38"/>
        <v>0</v>
      </c>
      <c r="AW24" s="142"/>
      <c r="AX24" s="142"/>
      <c r="AY24" s="160"/>
      <c r="AZ24" s="143">
        <f t="shared" si="39"/>
        <v>0</v>
      </c>
      <c r="BA24" s="142"/>
      <c r="BB24" s="142"/>
      <c r="BC24" s="160"/>
      <c r="BD24" s="143">
        <f t="shared" si="40"/>
        <v>0</v>
      </c>
      <c r="BE24" s="142"/>
      <c r="BF24" s="142"/>
      <c r="BG24" s="160"/>
      <c r="BH24" s="143">
        <f t="shared" si="41"/>
        <v>0</v>
      </c>
      <c r="BI24" s="161">
        <f t="shared" si="1"/>
        <v>0</v>
      </c>
      <c r="BJ24" s="116"/>
      <c r="BK24" s="115"/>
    </row>
    <row r="25" spans="1:63">
      <c r="A25" s="312"/>
      <c r="B25" s="310"/>
      <c r="C25" s="41" t="s">
        <v>130</v>
      </c>
      <c r="D25" s="93" t="e">
        <f>'MH-LAM4 -1225-San Miguel-Antoni'!#REF!</f>
        <v>#REF!</v>
      </c>
      <c r="E25" s="93" t="e">
        <f>VLOOKUP(D25,'MH-LAM4 -1225-San Miguel-Antoni'!$D$2:$E$84,2,FALSE)</f>
        <v>#REF!</v>
      </c>
      <c r="F25" s="150" t="s">
        <v>322</v>
      </c>
      <c r="G25" s="149">
        <f t="shared" si="42"/>
        <v>1</v>
      </c>
      <c r="H25" s="160" t="e" cm="1">
        <f t="array" ref="H25">G25*INDEX('MH-LAM4 -1225-San Miguel-Antoni'!$B$2:$G$68,MATCH($D$18&amp;D25&amp;$B$5,'MH-LAM4 -1225-San Miguel-Antoni'!$C$2:$C$68&amp;'MH-LAM4 -1225-San Miguel-Antoni'!$D$2:$D$68&amp;'MH-LAM4 -1225-San Miguel-Antoni'!$B$2:$B$68,0),5)/J25</f>
        <v>#REF!</v>
      </c>
      <c r="I25" s="160" t="e" cm="1">
        <f t="array" ref="I25">G25*INDEX('MH-LAM4 -1225-San Miguel-Antoni'!$B$2:$G$68,MATCH($D$18&amp;D25&amp;$B$5,'MH-LAM4 -1225-San Miguel-Antoni'!$C$2:$C$68&amp;'MH-LAM4 -1225-San Miguel-Antoni'!$D$2:$D$68&amp;'MH-LAM4 -1225-San Miguel-Antoni'!$B$2:$B$68,0),6)/J25</f>
        <v>#REF!</v>
      </c>
      <c r="J25" s="190">
        <f>VLOOKUP($D$19,APUs!$B$2:$I$50,7,FALSE)</f>
        <v>0.85</v>
      </c>
      <c r="K25" s="191" t="e">
        <f>$G$19*(H25+I25)/J25</f>
        <v>#REF!</v>
      </c>
      <c r="L25" s="191"/>
      <c r="M25" s="142"/>
      <c r="N25" s="142"/>
      <c r="O25" s="160"/>
      <c r="P25" s="143">
        <f t="shared" si="30"/>
        <v>0</v>
      </c>
      <c r="Q25" s="142"/>
      <c r="R25" s="142"/>
      <c r="S25" s="160"/>
      <c r="T25" s="143">
        <f t="shared" si="31"/>
        <v>0</v>
      </c>
      <c r="U25" s="142"/>
      <c r="V25" s="142"/>
      <c r="W25" s="160"/>
      <c r="X25" s="143">
        <f t="shared" si="32"/>
        <v>0</v>
      </c>
      <c r="Y25" s="142"/>
      <c r="Z25" s="142"/>
      <c r="AA25" s="160"/>
      <c r="AB25" s="143">
        <f t="shared" si="33"/>
        <v>0</v>
      </c>
      <c r="AC25" s="142"/>
      <c r="AD25" s="142"/>
      <c r="AE25" s="160"/>
      <c r="AF25" s="143">
        <f t="shared" si="34"/>
        <v>0</v>
      </c>
      <c r="AG25" s="142"/>
      <c r="AH25" s="142"/>
      <c r="AI25" s="160"/>
      <c r="AJ25" s="143">
        <f t="shared" si="35"/>
        <v>0</v>
      </c>
      <c r="AK25" s="142"/>
      <c r="AL25" s="142"/>
      <c r="AM25" s="160"/>
      <c r="AN25" s="143">
        <f t="shared" si="36"/>
        <v>0</v>
      </c>
      <c r="AO25" s="142"/>
      <c r="AP25" s="142"/>
      <c r="AQ25" s="160"/>
      <c r="AR25" s="143">
        <f t="shared" si="37"/>
        <v>0</v>
      </c>
      <c r="AS25" s="142"/>
      <c r="AT25" s="142"/>
      <c r="AU25" s="160"/>
      <c r="AV25" s="143">
        <f t="shared" si="38"/>
        <v>0</v>
      </c>
      <c r="AW25" s="142"/>
      <c r="AX25" s="142"/>
      <c r="AY25" s="160"/>
      <c r="AZ25" s="143">
        <f t="shared" si="39"/>
        <v>0</v>
      </c>
      <c r="BA25" s="142"/>
      <c r="BB25" s="142"/>
      <c r="BC25" s="160"/>
      <c r="BD25" s="143">
        <f t="shared" si="40"/>
        <v>0</v>
      </c>
      <c r="BE25" s="142"/>
      <c r="BF25" s="142"/>
      <c r="BG25" s="160"/>
      <c r="BH25" s="143">
        <f t="shared" si="41"/>
        <v>0</v>
      </c>
      <c r="BI25" s="161">
        <f t="shared" si="1"/>
        <v>0</v>
      </c>
      <c r="BJ25" s="116"/>
      <c r="BK25" s="115"/>
    </row>
    <row r="26" spans="1:63">
      <c r="A26" s="312"/>
      <c r="B26" s="310"/>
      <c r="C26" s="41" t="s">
        <v>131</v>
      </c>
      <c r="D26" s="93" t="e">
        <f>'MH-LAM4 -1225-San Miguel-Antoni'!#REF!</f>
        <v>#REF!</v>
      </c>
      <c r="E26" s="93" t="e">
        <f>VLOOKUP(D26,'MH-LAM4 -1225-San Miguel-Antoni'!$D$2:$E$84,2,FALSE)</f>
        <v>#REF!</v>
      </c>
      <c r="F26" s="150" t="s">
        <v>322</v>
      </c>
      <c r="G26" s="149">
        <f t="shared" si="42"/>
        <v>1</v>
      </c>
      <c r="H26" s="160" t="e" cm="1">
        <f t="array" ref="H26">G26*INDEX('MH-LAM4 -1225-San Miguel-Antoni'!$B$2:$G$68,MATCH($D$18&amp;D26&amp;$B$5,'MH-LAM4 -1225-San Miguel-Antoni'!$C$2:$C$68&amp;'MH-LAM4 -1225-San Miguel-Antoni'!$D$2:$D$68&amp;'MH-LAM4 -1225-San Miguel-Antoni'!$B$2:$B$68,0),5)/J26</f>
        <v>#REF!</v>
      </c>
      <c r="I26" s="160" t="e" cm="1">
        <f t="array" ref="I26">G26*INDEX('MH-LAM4 -1225-San Miguel-Antoni'!$B$2:$G$68,MATCH($D$18&amp;D26&amp;$B$5,'MH-LAM4 -1225-San Miguel-Antoni'!$C$2:$C$68&amp;'MH-LAM4 -1225-San Miguel-Antoni'!$D$2:$D$68&amp;'MH-LAM4 -1225-San Miguel-Antoni'!$B$2:$B$68,0),6)/J26</f>
        <v>#REF!</v>
      </c>
      <c r="J26" s="190">
        <f>VLOOKUP($D$19,APUs!$B$2:$I$50,7,FALSE)</f>
        <v>0.85</v>
      </c>
      <c r="K26" s="191" t="e">
        <f>$G$19*(H26+I26)/J26</f>
        <v>#REF!</v>
      </c>
      <c r="L26" s="191"/>
      <c r="M26" s="142"/>
      <c r="N26" s="142"/>
      <c r="O26" s="160"/>
      <c r="P26" s="143">
        <f t="shared" si="30"/>
        <v>0</v>
      </c>
      <c r="Q26" s="142"/>
      <c r="R26" s="142"/>
      <c r="S26" s="160"/>
      <c r="T26" s="143">
        <f t="shared" si="31"/>
        <v>0</v>
      </c>
      <c r="U26" s="142"/>
      <c r="V26" s="142"/>
      <c r="W26" s="160"/>
      <c r="X26" s="143">
        <f t="shared" si="32"/>
        <v>0</v>
      </c>
      <c r="Y26" s="142"/>
      <c r="Z26" s="142"/>
      <c r="AA26" s="160"/>
      <c r="AB26" s="143">
        <f t="shared" si="33"/>
        <v>0</v>
      </c>
      <c r="AC26" s="142"/>
      <c r="AD26" s="142"/>
      <c r="AE26" s="160"/>
      <c r="AF26" s="143">
        <f t="shared" si="34"/>
        <v>0</v>
      </c>
      <c r="AG26" s="142"/>
      <c r="AH26" s="142"/>
      <c r="AI26" s="160"/>
      <c r="AJ26" s="143">
        <f t="shared" si="35"/>
        <v>0</v>
      </c>
      <c r="AK26" s="142"/>
      <c r="AL26" s="142"/>
      <c r="AM26" s="160"/>
      <c r="AN26" s="143">
        <f t="shared" si="36"/>
        <v>0</v>
      </c>
      <c r="AO26" s="142"/>
      <c r="AP26" s="142"/>
      <c r="AQ26" s="160"/>
      <c r="AR26" s="143">
        <f t="shared" si="37"/>
        <v>0</v>
      </c>
      <c r="AS26" s="142"/>
      <c r="AT26" s="142"/>
      <c r="AU26" s="160"/>
      <c r="AV26" s="143">
        <f t="shared" si="38"/>
        <v>0</v>
      </c>
      <c r="AW26" s="142"/>
      <c r="AX26" s="142"/>
      <c r="AY26" s="160"/>
      <c r="AZ26" s="143">
        <f t="shared" si="39"/>
        <v>0</v>
      </c>
      <c r="BA26" s="142"/>
      <c r="BB26" s="142"/>
      <c r="BC26" s="160"/>
      <c r="BD26" s="143">
        <f t="shared" si="40"/>
        <v>0</v>
      </c>
      <c r="BE26" s="142"/>
      <c r="BF26" s="142"/>
      <c r="BG26" s="160"/>
      <c r="BH26" s="143">
        <f t="shared" si="41"/>
        <v>0</v>
      </c>
      <c r="BI26" s="161">
        <f t="shared" si="1"/>
        <v>0</v>
      </c>
      <c r="BJ26" s="116"/>
      <c r="BK26" s="115"/>
    </row>
    <row r="27" spans="1:63">
      <c r="A27" s="312"/>
      <c r="B27" s="310"/>
      <c r="C27" s="111" t="s">
        <v>136</v>
      </c>
      <c r="D27" s="112" t="s">
        <v>335</v>
      </c>
      <c r="E27" s="112"/>
      <c r="F27" s="113"/>
      <c r="G27" s="162"/>
      <c r="H27" s="211"/>
      <c r="I27" s="212"/>
      <c r="J27" s="212"/>
      <c r="K27" s="212"/>
      <c r="L27" s="212"/>
      <c r="M27" s="214" t="str">
        <f>M28</f>
        <v>0</v>
      </c>
      <c r="N27" s="214">
        <f t="shared" ref="N27:BH27" si="43">N28</f>
        <v>0</v>
      </c>
      <c r="O27" s="214">
        <f t="shared" si="43"/>
        <v>0</v>
      </c>
      <c r="P27" s="214">
        <f t="shared" si="43"/>
        <v>0</v>
      </c>
      <c r="Q27" s="214" t="str">
        <f t="shared" si="43"/>
        <v>0</v>
      </c>
      <c r="R27" s="214">
        <f t="shared" si="43"/>
        <v>0</v>
      </c>
      <c r="S27" s="214">
        <f t="shared" si="43"/>
        <v>0</v>
      </c>
      <c r="T27" s="214">
        <f t="shared" si="43"/>
        <v>0</v>
      </c>
      <c r="U27" s="214" t="str">
        <f t="shared" si="43"/>
        <v>0</v>
      </c>
      <c r="V27" s="214">
        <f t="shared" si="43"/>
        <v>0</v>
      </c>
      <c r="W27" s="214">
        <f t="shared" si="43"/>
        <v>0</v>
      </c>
      <c r="X27" s="214">
        <f t="shared" si="43"/>
        <v>0</v>
      </c>
      <c r="Y27" s="214" t="str">
        <f t="shared" si="43"/>
        <v>0</v>
      </c>
      <c r="Z27" s="214">
        <f t="shared" si="43"/>
        <v>0</v>
      </c>
      <c r="AA27" s="214">
        <f t="shared" si="43"/>
        <v>0</v>
      </c>
      <c r="AB27" s="214">
        <f t="shared" si="43"/>
        <v>0</v>
      </c>
      <c r="AC27" s="214" t="str">
        <f t="shared" si="43"/>
        <v>0</v>
      </c>
      <c r="AD27" s="214">
        <f t="shared" si="43"/>
        <v>0</v>
      </c>
      <c r="AE27" s="214">
        <f t="shared" si="43"/>
        <v>0</v>
      </c>
      <c r="AF27" s="214">
        <f t="shared" si="43"/>
        <v>0</v>
      </c>
      <c r="AG27" s="214" t="str">
        <f t="shared" si="43"/>
        <v>0</v>
      </c>
      <c r="AH27" s="214">
        <f t="shared" si="43"/>
        <v>0</v>
      </c>
      <c r="AI27" s="214">
        <f t="shared" si="43"/>
        <v>0</v>
      </c>
      <c r="AJ27" s="214">
        <f t="shared" si="43"/>
        <v>0</v>
      </c>
      <c r="AK27" s="214" t="str">
        <f t="shared" si="43"/>
        <v>0</v>
      </c>
      <c r="AL27" s="214">
        <f t="shared" si="43"/>
        <v>0</v>
      </c>
      <c r="AM27" s="214">
        <f t="shared" si="43"/>
        <v>0</v>
      </c>
      <c r="AN27" s="214">
        <f t="shared" si="43"/>
        <v>0</v>
      </c>
      <c r="AO27" s="214" t="str">
        <f t="shared" si="43"/>
        <v>0</v>
      </c>
      <c r="AP27" s="214">
        <f t="shared" si="43"/>
        <v>0</v>
      </c>
      <c r="AQ27" s="214">
        <f t="shared" si="43"/>
        <v>0</v>
      </c>
      <c r="AR27" s="214">
        <f t="shared" si="43"/>
        <v>0</v>
      </c>
      <c r="AS27" s="214" t="str">
        <f t="shared" si="43"/>
        <v>0</v>
      </c>
      <c r="AT27" s="214">
        <f t="shared" si="43"/>
        <v>0</v>
      </c>
      <c r="AU27" s="214">
        <f t="shared" si="43"/>
        <v>0</v>
      </c>
      <c r="AV27" s="214">
        <f t="shared" si="43"/>
        <v>0</v>
      </c>
      <c r="AW27" s="214" t="str">
        <f t="shared" si="43"/>
        <v>0</v>
      </c>
      <c r="AX27" s="214">
        <f t="shared" si="43"/>
        <v>0</v>
      </c>
      <c r="AY27" s="214">
        <f t="shared" si="43"/>
        <v>0</v>
      </c>
      <c r="AZ27" s="214">
        <f t="shared" si="43"/>
        <v>0</v>
      </c>
      <c r="BA27" s="214" t="str">
        <f t="shared" si="43"/>
        <v>0</v>
      </c>
      <c r="BB27" s="214">
        <f t="shared" si="43"/>
        <v>0</v>
      </c>
      <c r="BC27" s="214">
        <f t="shared" si="43"/>
        <v>0</v>
      </c>
      <c r="BD27" s="214">
        <f t="shared" si="43"/>
        <v>0</v>
      </c>
      <c r="BE27" s="214" t="str">
        <f t="shared" si="43"/>
        <v>0</v>
      </c>
      <c r="BF27" s="214">
        <f t="shared" si="43"/>
        <v>0</v>
      </c>
      <c r="BG27" s="214">
        <f t="shared" si="43"/>
        <v>0</v>
      </c>
      <c r="BH27" s="214">
        <f t="shared" si="43"/>
        <v>0</v>
      </c>
      <c r="BI27" s="212"/>
      <c r="BJ27" s="212"/>
      <c r="BK27" s="213"/>
    </row>
    <row r="28" spans="1:63" s="201" customFormat="1">
      <c r="A28" s="312"/>
      <c r="B28" s="310"/>
      <c r="C28" s="40" t="s">
        <v>137</v>
      </c>
      <c r="D28" s="185" t="s">
        <v>52</v>
      </c>
      <c r="E28" s="185"/>
      <c r="F28" s="40"/>
      <c r="G28" s="240">
        <f>VLOOKUP(D28,APUs!$B$2:$G$50,6,FALSE)</f>
        <v>14.285714285714286</v>
      </c>
      <c r="H28" s="242">
        <f>SUM(H29:H32)</f>
        <v>8.247422680412372</v>
      </c>
      <c r="I28" s="242">
        <f>SUM(I29:I32)</f>
        <v>0</v>
      </c>
      <c r="J28" s="241">
        <f>VLOOKUP($D$28,APUs!$B$2:$I$50,7,FALSE)</f>
        <v>0.97</v>
      </c>
      <c r="K28" s="240">
        <f>G28*(H28+I28)/J28</f>
        <v>121.46425155246499</v>
      </c>
      <c r="L28" s="240"/>
      <c r="M28" s="241" t="str">
        <f>IFERROR(AVERAGE(M29:M32),"0")</f>
        <v>0</v>
      </c>
      <c r="N28" s="241">
        <f>IFERROR(AVERAGE(N29:N32),0)</f>
        <v>0</v>
      </c>
      <c r="O28" s="242">
        <f>IFERROR(SUM(O29:O32),0)</f>
        <v>0</v>
      </c>
      <c r="P28" s="240">
        <f>IFERROR(SUM(P29:P32),0)</f>
        <v>0</v>
      </c>
      <c r="Q28" s="241" t="str">
        <f>IFERROR(AVERAGE(Q29:Q32),"0")</f>
        <v>0</v>
      </c>
      <c r="R28" s="241">
        <f>IFERROR(AVERAGE(R29:R32),0)</f>
        <v>0</v>
      </c>
      <c r="S28" s="242">
        <f>IFERROR(SUM(S29:S32),0)</f>
        <v>0</v>
      </c>
      <c r="T28" s="240">
        <f>IFERROR(SUM(T29:T32),0)</f>
        <v>0</v>
      </c>
      <c r="U28" s="241" t="str">
        <f>IFERROR(AVERAGE(U29:U32),"0")</f>
        <v>0</v>
      </c>
      <c r="V28" s="241">
        <f>IFERROR(AVERAGE(V29:V32),0)</f>
        <v>0</v>
      </c>
      <c r="W28" s="242">
        <f>IFERROR(SUM(W29:W32),0)</f>
        <v>0</v>
      </c>
      <c r="X28" s="240">
        <f>IFERROR(SUM(X29:X32),0)</f>
        <v>0</v>
      </c>
      <c r="Y28" s="241" t="str">
        <f>IFERROR(AVERAGE(Y29:Y32),"0")</f>
        <v>0</v>
      </c>
      <c r="Z28" s="241">
        <f>IFERROR(AVERAGE(Z29:Z32),0)</f>
        <v>0</v>
      </c>
      <c r="AA28" s="242">
        <f>IFERROR(SUM(AA29:AA32),0)</f>
        <v>0</v>
      </c>
      <c r="AB28" s="240">
        <f>IFERROR(SUM(AB29:AB32),0)</f>
        <v>0</v>
      </c>
      <c r="AC28" s="241" t="str">
        <f>IFERROR(AVERAGE(AC29:AC32),"0")</f>
        <v>0</v>
      </c>
      <c r="AD28" s="241">
        <f>IFERROR(AVERAGE(AD29:AD32),0)</f>
        <v>0</v>
      </c>
      <c r="AE28" s="242">
        <f>IFERROR(SUM(AE29:AE32),0)</f>
        <v>0</v>
      </c>
      <c r="AF28" s="240">
        <f>IFERROR(SUM(AF29:AF32),0)</f>
        <v>0</v>
      </c>
      <c r="AG28" s="241" t="str">
        <f>IFERROR(AVERAGE(AG29:AG32),"0")</f>
        <v>0</v>
      </c>
      <c r="AH28" s="241">
        <f>IFERROR(AVERAGE(AH29:AH32),0)</f>
        <v>0</v>
      </c>
      <c r="AI28" s="242">
        <f>IFERROR(SUM(AI29:AI32),0)</f>
        <v>0</v>
      </c>
      <c r="AJ28" s="240">
        <f>IFERROR(SUM(AJ29:AJ32),0)</f>
        <v>0</v>
      </c>
      <c r="AK28" s="241" t="str">
        <f>IFERROR(AVERAGE(AK29:AK32),"0")</f>
        <v>0</v>
      </c>
      <c r="AL28" s="241">
        <f>IFERROR(AVERAGE(AL29:AL32),0)</f>
        <v>0</v>
      </c>
      <c r="AM28" s="242">
        <f>IFERROR(SUM(AM29:AM32),0)</f>
        <v>0</v>
      </c>
      <c r="AN28" s="240">
        <f>IFERROR(SUM(AN29:AN32),0)</f>
        <v>0</v>
      </c>
      <c r="AO28" s="241" t="str">
        <f>IFERROR(AVERAGE(AO29:AO32),"0")</f>
        <v>0</v>
      </c>
      <c r="AP28" s="241">
        <f>IFERROR(AVERAGE(AP29:AP32),0)</f>
        <v>0</v>
      </c>
      <c r="AQ28" s="242">
        <f>IFERROR(SUM(AQ29:AQ32),0)</f>
        <v>0</v>
      </c>
      <c r="AR28" s="240">
        <f>IFERROR(SUM(AR29:AR32),0)</f>
        <v>0</v>
      </c>
      <c r="AS28" s="241" t="str">
        <f>IFERROR(AVERAGE(AS29:AS32),"0")</f>
        <v>0</v>
      </c>
      <c r="AT28" s="241">
        <f>IFERROR(AVERAGE(AT29:AT32),0)</f>
        <v>0</v>
      </c>
      <c r="AU28" s="242">
        <f>IFERROR(SUM(AU29:AU32),0)</f>
        <v>0</v>
      </c>
      <c r="AV28" s="240">
        <f>IFERROR(SUM(AV29:AV32),0)</f>
        <v>0</v>
      </c>
      <c r="AW28" s="241" t="str">
        <f>IFERROR(AVERAGE(AW29:AW32),"0")</f>
        <v>0</v>
      </c>
      <c r="AX28" s="241">
        <f>IFERROR(AVERAGE(AX29:AX32),0)</f>
        <v>0</v>
      </c>
      <c r="AY28" s="242">
        <f>IFERROR(SUM(AY29:AY32),0)</f>
        <v>0</v>
      </c>
      <c r="AZ28" s="240">
        <f>IFERROR(SUM(AZ29:AZ32),0)</f>
        <v>0</v>
      </c>
      <c r="BA28" s="241" t="str">
        <f>IFERROR(AVERAGE(BA29:BA32),"0")</f>
        <v>0</v>
      </c>
      <c r="BB28" s="241">
        <f>IFERROR(AVERAGE(BB29:BB32),0)</f>
        <v>0</v>
      </c>
      <c r="BC28" s="242">
        <f>IFERROR(SUM(BC29:BC32),0)</f>
        <v>0</v>
      </c>
      <c r="BD28" s="240">
        <f>IFERROR(SUM(BD29:BD32),0)</f>
        <v>0</v>
      </c>
      <c r="BE28" s="241" t="str">
        <f>IFERROR(AVERAGE(BE29:BE32),"0")</f>
        <v>0</v>
      </c>
      <c r="BF28" s="241">
        <f>IFERROR(AVERAGE(BF29:BF32),0)</f>
        <v>0</v>
      </c>
      <c r="BG28" s="242">
        <f>IFERROR(SUM(BG29:BG32),0)</f>
        <v>0</v>
      </c>
      <c r="BH28" s="240">
        <f>IFERROR(SUM(BH29:BH32),0)</f>
        <v>0</v>
      </c>
      <c r="BI28" s="242">
        <f t="shared" si="1"/>
        <v>0</v>
      </c>
      <c r="BJ28" s="240">
        <f>BI28*$G$28</f>
        <v>0</v>
      </c>
      <c r="BK28" s="241" t="e">
        <f>J28*(H28+I28)/(BI28)</f>
        <v>#DIV/0!</v>
      </c>
    </row>
    <row r="29" spans="1:63">
      <c r="A29" s="312"/>
      <c r="B29" s="310"/>
      <c r="C29" s="41" t="s">
        <v>138</v>
      </c>
      <c r="D29" s="94" t="str">
        <f>'MH-LAM4 -1225-San Miguel-Antoni'!D11</f>
        <v>IIEE - Lev. de observaciones de Muni</v>
      </c>
      <c r="E29" s="93" t="str">
        <f>VLOOKUP(D29,'MH-LAM4 -1225-San Miguel-Antoni'!$D$2:$E$84,2,FALSE)</f>
        <v>V 3.0 - PRELIMINAR A ENTREGA A MUNI</v>
      </c>
      <c r="F29" s="150" t="s">
        <v>322</v>
      </c>
      <c r="G29" s="149">
        <f>IF(F29="BAJA",0.8,IF(F29="MEDIA",1,IF(F29="ALTA",1.4,IF(F29="MUY ALTA",2))))</f>
        <v>1</v>
      </c>
      <c r="H29" s="160" cm="1">
        <f t="array" ref="H29">G29*INDEX('MH-LAM4 -1225-San Miguel-Antoni'!$B$2:$G$68,MATCH($D$27&amp;D29&amp;$B$5,'MH-LAM4 -1225-San Miguel-Antoni'!$C$2:$C$68&amp;'MH-LAM4 -1225-San Miguel-Antoni'!$D$2:$D$68&amp;'MH-LAM4 -1225-San Miguel-Antoni'!$B$2:$B$68,0),5)/J29</f>
        <v>4.123711340206186</v>
      </c>
      <c r="I29" s="160" cm="1">
        <f t="array" ref="I29">G29*INDEX('MH-LAM4 -1225-San Miguel-Antoni'!$B$2:$G$68,MATCH($D$27&amp;D29&amp;$B$5,'MH-LAM4 -1225-San Miguel-Antoni'!$C$2:$C$68&amp;'MH-LAM4 -1225-San Miguel-Antoni'!$D$2:$D$68&amp;'MH-LAM4 -1225-San Miguel-Antoni'!$B$2:$B$68,0),6)/J29</f>
        <v>0</v>
      </c>
      <c r="J29" s="190">
        <f>VLOOKUP($D$28,APUs!$B$2:$I$50,7,FALSE)</f>
        <v>0.97</v>
      </c>
      <c r="K29" s="191">
        <f>$G$28*(H29+I29)/J29</f>
        <v>60.732125776232493</v>
      </c>
      <c r="L29" s="191"/>
      <c r="M29" s="142"/>
      <c r="N29" s="142"/>
      <c r="O29" s="160"/>
      <c r="P29" s="143">
        <f t="shared" ref="P29:P31" si="44">O29*$G$28</f>
        <v>0</v>
      </c>
      <c r="Q29" s="142"/>
      <c r="R29" s="142"/>
      <c r="S29" s="160"/>
      <c r="T29" s="143">
        <f t="shared" ref="T29:T31" si="45">S29*$G$28</f>
        <v>0</v>
      </c>
      <c r="U29" s="142"/>
      <c r="V29" s="142"/>
      <c r="W29" s="160"/>
      <c r="X29" s="143">
        <f t="shared" ref="X29:X31" si="46">W29*$G$28</f>
        <v>0</v>
      </c>
      <c r="Y29" s="142"/>
      <c r="Z29" s="142"/>
      <c r="AA29" s="160"/>
      <c r="AB29" s="143">
        <f t="shared" ref="AB29:AB31" si="47">AA29*$G$28</f>
        <v>0</v>
      </c>
      <c r="AC29" s="142"/>
      <c r="AD29" s="142"/>
      <c r="AE29" s="160"/>
      <c r="AF29" s="143">
        <f t="shared" ref="AF29:AF31" si="48">AE29*$G$28</f>
        <v>0</v>
      </c>
      <c r="AG29" s="142"/>
      <c r="AH29" s="142"/>
      <c r="AI29" s="160"/>
      <c r="AJ29" s="143">
        <f t="shared" ref="AJ29:AJ31" si="49">AI29*$G$28</f>
        <v>0</v>
      </c>
      <c r="AK29" s="142"/>
      <c r="AL29" s="142"/>
      <c r="AM29" s="160"/>
      <c r="AN29" s="143">
        <f t="shared" ref="AN29:AN31" si="50">AM29*$G$28</f>
        <v>0</v>
      </c>
      <c r="AO29" s="142"/>
      <c r="AP29" s="142"/>
      <c r="AQ29" s="160"/>
      <c r="AR29" s="143">
        <f t="shared" ref="AR29:AR31" si="51">AQ29*$G$28</f>
        <v>0</v>
      </c>
      <c r="AS29" s="142"/>
      <c r="AT29" s="142"/>
      <c r="AU29" s="160"/>
      <c r="AV29" s="143">
        <f t="shared" ref="AV29:AV31" si="52">AU29*$G$28</f>
        <v>0</v>
      </c>
      <c r="AW29" s="142"/>
      <c r="AX29" s="142"/>
      <c r="AY29" s="160"/>
      <c r="AZ29" s="143">
        <f t="shared" ref="AZ29:AZ31" si="53">AY29*$G$28</f>
        <v>0</v>
      </c>
      <c r="BA29" s="142"/>
      <c r="BB29" s="142"/>
      <c r="BC29" s="160"/>
      <c r="BD29" s="143">
        <f t="shared" ref="BD29:BD31" si="54">BC29*$G$28</f>
        <v>0</v>
      </c>
      <c r="BE29" s="142"/>
      <c r="BF29" s="142"/>
      <c r="BG29" s="160"/>
      <c r="BH29" s="143">
        <f t="shared" ref="BH29:BH31" si="55">BG29*$G$28</f>
        <v>0</v>
      </c>
      <c r="BI29" s="161">
        <f t="shared" si="1"/>
        <v>0</v>
      </c>
      <c r="BJ29" s="116"/>
      <c r="BK29" s="115"/>
    </row>
    <row r="30" spans="1:63">
      <c r="A30" s="312"/>
      <c r="B30" s="310"/>
      <c r="C30" s="41" t="s">
        <v>227</v>
      </c>
      <c r="D30" s="94" t="str">
        <f>'MH-LAM4 -1225-San Miguel-Antoni'!D12</f>
        <v>IIEE - Lev. de observaciones de Revisores</v>
      </c>
      <c r="E30" s="93" t="str">
        <f>VLOOKUP(D30,'MH-LAM4 -1225-San Miguel-Antoni'!$D$2:$E$84,2,FALSE)</f>
        <v>V 2.0 - PRELIMINAR A ENTREGA A REVISORES</v>
      </c>
      <c r="F30" s="150" t="s">
        <v>322</v>
      </c>
      <c r="G30" s="149">
        <f t="shared" ref="G30:G31" si="56">IF(F30="BAJA",0.8,IF(F30="MEDIA",1,IF(F30="ALTA",1.4,IF(F30="MUY ALTA",2))))</f>
        <v>1</v>
      </c>
      <c r="H30" s="160" cm="1">
        <f t="array" ref="H30">G30*INDEX('MH-LAM4 -1225-San Miguel-Antoni'!$B$2:$G$68,MATCH($D$27&amp;D30&amp;$B$5,'MH-LAM4 -1225-San Miguel-Antoni'!$C$2:$C$68&amp;'MH-LAM4 -1225-San Miguel-Antoni'!$D$2:$D$68&amp;'MH-LAM4 -1225-San Miguel-Antoni'!$B$2:$B$68,0),5)/J30</f>
        <v>4.123711340206186</v>
      </c>
      <c r="I30" s="160" cm="1">
        <f t="array" ref="I30">G30*INDEX('MH-LAM4 -1225-San Miguel-Antoni'!$B$2:$G$68,MATCH($D$27&amp;D30&amp;$B$5,'MH-LAM4 -1225-San Miguel-Antoni'!$C$2:$C$68&amp;'MH-LAM4 -1225-San Miguel-Antoni'!$D$2:$D$68&amp;'MH-LAM4 -1225-San Miguel-Antoni'!$B$2:$B$68,0),6)/J30</f>
        <v>0</v>
      </c>
      <c r="J30" s="190">
        <f>VLOOKUP($D$28,APUs!$B$2:$I$50,7,FALSE)</f>
        <v>0.97</v>
      </c>
      <c r="K30" s="191">
        <f>$G$28*(H30+I30)/J30</f>
        <v>60.732125776232493</v>
      </c>
      <c r="L30" s="191"/>
      <c r="M30" s="142"/>
      <c r="N30" s="142"/>
      <c r="O30" s="160"/>
      <c r="P30" s="143">
        <f t="shared" si="44"/>
        <v>0</v>
      </c>
      <c r="Q30" s="142"/>
      <c r="R30" s="142"/>
      <c r="S30" s="160"/>
      <c r="T30" s="143">
        <f t="shared" si="45"/>
        <v>0</v>
      </c>
      <c r="U30" s="142"/>
      <c r="V30" s="142"/>
      <c r="W30" s="160"/>
      <c r="X30" s="143">
        <f t="shared" si="46"/>
        <v>0</v>
      </c>
      <c r="Y30" s="142"/>
      <c r="Z30" s="142"/>
      <c r="AA30" s="160"/>
      <c r="AB30" s="143">
        <f t="shared" si="47"/>
        <v>0</v>
      </c>
      <c r="AC30" s="142"/>
      <c r="AD30" s="142"/>
      <c r="AE30" s="160"/>
      <c r="AF30" s="143">
        <f t="shared" si="48"/>
        <v>0</v>
      </c>
      <c r="AG30" s="142"/>
      <c r="AH30" s="142"/>
      <c r="AI30" s="160"/>
      <c r="AJ30" s="143">
        <f t="shared" si="49"/>
        <v>0</v>
      </c>
      <c r="AK30" s="142"/>
      <c r="AL30" s="142"/>
      <c r="AM30" s="160"/>
      <c r="AN30" s="143">
        <f t="shared" si="50"/>
        <v>0</v>
      </c>
      <c r="AO30" s="142"/>
      <c r="AP30" s="142"/>
      <c r="AQ30" s="160"/>
      <c r="AR30" s="143">
        <f t="shared" si="51"/>
        <v>0</v>
      </c>
      <c r="AS30" s="142"/>
      <c r="AT30" s="142"/>
      <c r="AU30" s="160"/>
      <c r="AV30" s="143">
        <f t="shared" si="52"/>
        <v>0</v>
      </c>
      <c r="AW30" s="142"/>
      <c r="AX30" s="142"/>
      <c r="AY30" s="160"/>
      <c r="AZ30" s="143">
        <f t="shared" si="53"/>
        <v>0</v>
      </c>
      <c r="BA30" s="142"/>
      <c r="BB30" s="142"/>
      <c r="BC30" s="160"/>
      <c r="BD30" s="143">
        <f t="shared" si="54"/>
        <v>0</v>
      </c>
      <c r="BE30" s="142"/>
      <c r="BF30" s="142"/>
      <c r="BG30" s="160"/>
      <c r="BH30" s="143">
        <f t="shared" si="55"/>
        <v>0</v>
      </c>
      <c r="BI30" s="161">
        <f t="shared" si="1"/>
        <v>0</v>
      </c>
      <c r="BJ30" s="116"/>
      <c r="BK30" s="115"/>
    </row>
    <row r="31" spans="1:63" ht="19.95" customHeight="1">
      <c r="A31" s="312"/>
      <c r="B31" s="310"/>
      <c r="C31" s="41" t="s">
        <v>382</v>
      </c>
      <c r="D31" s="94" t="str">
        <f>'MH-LAM4 -1225-San Miguel-Antoni'!D13</f>
        <v>IIEE - Revisión de Revisores</v>
      </c>
      <c r="E31" s="93" t="str">
        <f>VLOOKUP(D31,'MH-LAM4 -1225-San Miguel-Antoni'!$D$2:$E$84,2,FALSE)</f>
        <v>V 2.1 - ENTREGA TÉCNICA FINAL A REVISORES</v>
      </c>
      <c r="F31" s="150" t="s">
        <v>322</v>
      </c>
      <c r="G31" s="149">
        <f t="shared" si="56"/>
        <v>1</v>
      </c>
      <c r="H31" s="160" cm="1">
        <f t="array" ref="H31">G31*INDEX('MH-LAM4 -1225-San Miguel-Antoni'!$B$2:$G$68,MATCH($D$27&amp;D31&amp;$B$5,'MH-LAM4 -1225-San Miguel-Antoni'!$C$2:$C$68&amp;'MH-LAM4 -1225-San Miguel-Antoni'!$D$2:$D$68&amp;'MH-LAM4 -1225-San Miguel-Antoni'!$B$2:$B$68,0),5)/J31</f>
        <v>0</v>
      </c>
      <c r="I31" s="160" cm="1">
        <f t="array" ref="I31">G31*INDEX('MH-LAM4 -1225-San Miguel-Antoni'!$B$2:$G$68,MATCH($D$27&amp;D31&amp;$B$5,'MH-LAM4 -1225-San Miguel-Antoni'!$C$2:$C$68&amp;'MH-LAM4 -1225-San Miguel-Antoni'!$D$2:$D$68&amp;'MH-LAM4 -1225-San Miguel-Antoni'!$B$2:$B$68,0),6)/J31</f>
        <v>0</v>
      </c>
      <c r="J31" s="190">
        <f>VLOOKUP($D$28,APUs!$B$2:$I$50,7,FALSE)</f>
        <v>0.97</v>
      </c>
      <c r="K31" s="191">
        <f>$G$28*(H31+I31)/J31</f>
        <v>0</v>
      </c>
      <c r="L31" s="191"/>
      <c r="M31" s="142"/>
      <c r="N31" s="142"/>
      <c r="O31" s="160"/>
      <c r="P31" s="143">
        <f t="shared" si="44"/>
        <v>0</v>
      </c>
      <c r="Q31" s="142"/>
      <c r="R31" s="142"/>
      <c r="S31" s="160"/>
      <c r="T31" s="143">
        <f t="shared" si="45"/>
        <v>0</v>
      </c>
      <c r="U31" s="142"/>
      <c r="V31" s="142"/>
      <c r="W31" s="160"/>
      <c r="X31" s="143">
        <f t="shared" si="46"/>
        <v>0</v>
      </c>
      <c r="Y31" s="142"/>
      <c r="Z31" s="142"/>
      <c r="AA31" s="160"/>
      <c r="AB31" s="143">
        <f t="shared" si="47"/>
        <v>0</v>
      </c>
      <c r="AC31" s="142"/>
      <c r="AD31" s="142"/>
      <c r="AE31" s="160"/>
      <c r="AF31" s="143">
        <f t="shared" si="48"/>
        <v>0</v>
      </c>
      <c r="AG31" s="142"/>
      <c r="AH31" s="142"/>
      <c r="AI31" s="160"/>
      <c r="AJ31" s="143">
        <f t="shared" si="49"/>
        <v>0</v>
      </c>
      <c r="AK31" s="142"/>
      <c r="AL31" s="142"/>
      <c r="AM31" s="160"/>
      <c r="AN31" s="143">
        <f t="shared" si="50"/>
        <v>0</v>
      </c>
      <c r="AO31" s="142"/>
      <c r="AP31" s="142"/>
      <c r="AQ31" s="160"/>
      <c r="AR31" s="143">
        <f t="shared" si="51"/>
        <v>0</v>
      </c>
      <c r="AS31" s="142"/>
      <c r="AT31" s="142"/>
      <c r="AU31" s="160"/>
      <c r="AV31" s="143">
        <f t="shared" si="52"/>
        <v>0</v>
      </c>
      <c r="AW31" s="142"/>
      <c r="AX31" s="142"/>
      <c r="AY31" s="160"/>
      <c r="AZ31" s="143">
        <f t="shared" si="53"/>
        <v>0</v>
      </c>
      <c r="BA31" s="142"/>
      <c r="BB31" s="142"/>
      <c r="BC31" s="160"/>
      <c r="BD31" s="143">
        <f t="shared" si="54"/>
        <v>0</v>
      </c>
      <c r="BE31" s="142"/>
      <c r="BF31" s="142"/>
      <c r="BG31" s="160"/>
      <c r="BH31" s="143">
        <f t="shared" si="55"/>
        <v>0</v>
      </c>
      <c r="BI31" s="161">
        <f t="shared" si="1"/>
        <v>0</v>
      </c>
      <c r="BJ31" s="116"/>
      <c r="BK31" s="115"/>
    </row>
    <row r="32" spans="1:63" ht="19.95" customHeight="1">
      <c r="A32" s="312"/>
      <c r="B32" s="310"/>
      <c r="C32" s="41" t="s">
        <v>382</v>
      </c>
      <c r="D32" s="94" t="str">
        <f>'MH-LAM4 -1225-San Miguel-Antoni'!D14</f>
        <v>IIEE - Revisión de Municipalidad</v>
      </c>
      <c r="E32" s="93" t="str">
        <f>VLOOKUP(D32,'MH-LAM4 -1225-San Miguel-Antoni'!$D$2:$E$84,2,FALSE)</f>
        <v>V 3.1 - ENTREGA TÉCNICA FINAL A MUNI</v>
      </c>
      <c r="F32" s="150" t="s">
        <v>322</v>
      </c>
      <c r="G32" s="149">
        <f t="shared" ref="G32" si="57">IF(F32="BAJA",0.8,IF(F32="MEDIA",1,IF(F32="ALTA",1.4,IF(F32="MUY ALTA",2))))</f>
        <v>1</v>
      </c>
      <c r="H32" s="160" cm="1">
        <f t="array" ref="H32">G32*INDEX('MH-LAM4 -1225-San Miguel-Antoni'!$B$2:$G$68,MATCH($D$27&amp;D32&amp;$B$5,'MH-LAM4 -1225-San Miguel-Antoni'!$C$2:$C$68&amp;'MH-LAM4 -1225-San Miguel-Antoni'!$D$2:$D$68&amp;'MH-LAM4 -1225-San Miguel-Antoni'!$B$2:$B$68,0),5)/J32</f>
        <v>0</v>
      </c>
      <c r="I32" s="160" cm="1">
        <f t="array" ref="I32">G32*INDEX('MH-LAM4 -1225-San Miguel-Antoni'!$B$2:$G$68,MATCH($D$27&amp;D32&amp;$B$5,'MH-LAM4 -1225-San Miguel-Antoni'!$C$2:$C$68&amp;'MH-LAM4 -1225-San Miguel-Antoni'!$D$2:$D$68&amp;'MH-LAM4 -1225-San Miguel-Antoni'!$B$2:$B$68,0),6)/J32</f>
        <v>0</v>
      </c>
      <c r="J32" s="190">
        <f>VLOOKUP($D$28,APUs!$B$2:$I$50,7,FALSE)</f>
        <v>0.97</v>
      </c>
      <c r="K32" s="191">
        <f>$G$28*(H32+I32)/J32</f>
        <v>0</v>
      </c>
      <c r="L32" s="191"/>
      <c r="M32" s="142"/>
      <c r="N32" s="142"/>
      <c r="O32" s="160"/>
      <c r="P32" s="143">
        <f t="shared" ref="P32" si="58">O32*$G$28</f>
        <v>0</v>
      </c>
      <c r="Q32" s="142"/>
      <c r="R32" s="142"/>
      <c r="S32" s="160"/>
      <c r="T32" s="143">
        <f t="shared" ref="T32" si="59">S32*$G$28</f>
        <v>0</v>
      </c>
      <c r="U32" s="142"/>
      <c r="V32" s="142"/>
      <c r="W32" s="160"/>
      <c r="X32" s="143">
        <f t="shared" ref="X32" si="60">W32*$G$28</f>
        <v>0</v>
      </c>
      <c r="Y32" s="142"/>
      <c r="Z32" s="142"/>
      <c r="AA32" s="160"/>
      <c r="AB32" s="143">
        <f t="shared" ref="AB32" si="61">AA32*$G$28</f>
        <v>0</v>
      </c>
      <c r="AC32" s="142"/>
      <c r="AD32" s="142"/>
      <c r="AE32" s="160"/>
      <c r="AF32" s="143">
        <f t="shared" ref="AF32" si="62">AE32*$G$28</f>
        <v>0</v>
      </c>
      <c r="AG32" s="142"/>
      <c r="AH32" s="142"/>
      <c r="AI32" s="160"/>
      <c r="AJ32" s="143">
        <f t="shared" ref="AJ32" si="63">AI32*$G$28</f>
        <v>0</v>
      </c>
      <c r="AK32" s="142"/>
      <c r="AL32" s="142"/>
      <c r="AM32" s="160"/>
      <c r="AN32" s="143">
        <f t="shared" ref="AN32" si="64">AM32*$G$28</f>
        <v>0</v>
      </c>
      <c r="AO32" s="142"/>
      <c r="AP32" s="142"/>
      <c r="AQ32" s="160"/>
      <c r="AR32" s="143">
        <f t="shared" ref="AR32" si="65">AQ32*$G$28</f>
        <v>0</v>
      </c>
      <c r="AS32" s="142"/>
      <c r="AT32" s="142"/>
      <c r="AU32" s="160"/>
      <c r="AV32" s="143">
        <f t="shared" ref="AV32" si="66">AU32*$G$28</f>
        <v>0</v>
      </c>
      <c r="AW32" s="142"/>
      <c r="AX32" s="142"/>
      <c r="AY32" s="160"/>
      <c r="AZ32" s="143">
        <f t="shared" ref="AZ32" si="67">AY32*$G$28</f>
        <v>0</v>
      </c>
      <c r="BA32" s="142"/>
      <c r="BB32" s="142"/>
      <c r="BC32" s="160"/>
      <c r="BD32" s="143">
        <f t="shared" ref="BD32" si="68">BC32*$G$28</f>
        <v>0</v>
      </c>
      <c r="BE32" s="142"/>
      <c r="BF32" s="142"/>
      <c r="BG32" s="160"/>
      <c r="BH32" s="143">
        <f t="shared" ref="BH32" si="69">BG32*$G$28</f>
        <v>0</v>
      </c>
      <c r="BI32" s="161">
        <f t="shared" si="1"/>
        <v>0</v>
      </c>
      <c r="BJ32" s="116"/>
      <c r="BK32" s="115"/>
    </row>
    <row r="33" spans="1:63">
      <c r="A33" s="312"/>
      <c r="B33" s="310"/>
      <c r="C33" s="111" t="s">
        <v>139</v>
      </c>
      <c r="D33" s="112" t="s">
        <v>120</v>
      </c>
      <c r="E33" s="112"/>
      <c r="F33" s="113"/>
      <c r="G33" s="162"/>
      <c r="H33" s="211"/>
      <c r="I33" s="212"/>
      <c r="J33" s="212"/>
      <c r="K33" s="212"/>
      <c r="L33" s="212"/>
      <c r="M33" s="214">
        <f>M34</f>
        <v>0</v>
      </c>
      <c r="N33" s="214">
        <f t="shared" ref="N33:BH33" si="70">N34</f>
        <v>0</v>
      </c>
      <c r="O33" s="214">
        <f t="shared" si="70"/>
        <v>0</v>
      </c>
      <c r="P33" s="214">
        <f t="shared" si="70"/>
        <v>0</v>
      </c>
      <c r="Q33" s="214">
        <f t="shared" si="70"/>
        <v>0</v>
      </c>
      <c r="R33" s="214">
        <f t="shared" si="70"/>
        <v>0</v>
      </c>
      <c r="S33" s="214">
        <f t="shared" si="70"/>
        <v>0</v>
      </c>
      <c r="T33" s="214">
        <f t="shared" si="70"/>
        <v>0</v>
      </c>
      <c r="U33" s="214">
        <f t="shared" si="70"/>
        <v>0</v>
      </c>
      <c r="V33" s="214">
        <f t="shared" si="70"/>
        <v>0</v>
      </c>
      <c r="W33" s="214">
        <f t="shared" si="70"/>
        <v>0</v>
      </c>
      <c r="X33" s="214">
        <f t="shared" si="70"/>
        <v>0</v>
      </c>
      <c r="Y33" s="214">
        <f t="shared" si="70"/>
        <v>0</v>
      </c>
      <c r="Z33" s="214">
        <f t="shared" si="70"/>
        <v>0</v>
      </c>
      <c r="AA33" s="214">
        <f t="shared" si="70"/>
        <v>0</v>
      </c>
      <c r="AB33" s="214">
        <f t="shared" si="70"/>
        <v>0</v>
      </c>
      <c r="AC33" s="214">
        <f t="shared" si="70"/>
        <v>0</v>
      </c>
      <c r="AD33" s="214">
        <f t="shared" si="70"/>
        <v>0</v>
      </c>
      <c r="AE33" s="214">
        <f t="shared" si="70"/>
        <v>0</v>
      </c>
      <c r="AF33" s="214">
        <f t="shared" si="70"/>
        <v>0</v>
      </c>
      <c r="AG33" s="214">
        <f t="shared" si="70"/>
        <v>0</v>
      </c>
      <c r="AH33" s="214">
        <f t="shared" si="70"/>
        <v>0</v>
      </c>
      <c r="AI33" s="214">
        <f t="shared" si="70"/>
        <v>0</v>
      </c>
      <c r="AJ33" s="214">
        <f t="shared" si="70"/>
        <v>0</v>
      </c>
      <c r="AK33" s="214">
        <f t="shared" si="70"/>
        <v>0</v>
      </c>
      <c r="AL33" s="214">
        <f t="shared" si="70"/>
        <v>0</v>
      </c>
      <c r="AM33" s="214">
        <f t="shared" si="70"/>
        <v>0</v>
      </c>
      <c r="AN33" s="214">
        <f t="shared" si="70"/>
        <v>0</v>
      </c>
      <c r="AO33" s="214">
        <f t="shared" si="70"/>
        <v>0</v>
      </c>
      <c r="AP33" s="214">
        <f t="shared" si="70"/>
        <v>0</v>
      </c>
      <c r="AQ33" s="214">
        <f t="shared" si="70"/>
        <v>0</v>
      </c>
      <c r="AR33" s="214">
        <f t="shared" si="70"/>
        <v>0</v>
      </c>
      <c r="AS33" s="214">
        <f t="shared" si="70"/>
        <v>0</v>
      </c>
      <c r="AT33" s="214">
        <f t="shared" si="70"/>
        <v>0</v>
      </c>
      <c r="AU33" s="214">
        <f t="shared" si="70"/>
        <v>0</v>
      </c>
      <c r="AV33" s="214">
        <f t="shared" si="70"/>
        <v>0</v>
      </c>
      <c r="AW33" s="214">
        <f t="shared" si="70"/>
        <v>0</v>
      </c>
      <c r="AX33" s="214">
        <f t="shared" si="70"/>
        <v>0</v>
      </c>
      <c r="AY33" s="214">
        <f t="shared" si="70"/>
        <v>0</v>
      </c>
      <c r="AZ33" s="214">
        <f t="shared" si="70"/>
        <v>0</v>
      </c>
      <c r="BA33" s="214">
        <f t="shared" si="70"/>
        <v>0</v>
      </c>
      <c r="BB33" s="214">
        <f t="shared" si="70"/>
        <v>0</v>
      </c>
      <c r="BC33" s="214">
        <f t="shared" si="70"/>
        <v>0</v>
      </c>
      <c r="BD33" s="214">
        <f t="shared" si="70"/>
        <v>0</v>
      </c>
      <c r="BE33" s="214">
        <f t="shared" si="70"/>
        <v>0</v>
      </c>
      <c r="BF33" s="214">
        <f t="shared" si="70"/>
        <v>0</v>
      </c>
      <c r="BG33" s="214">
        <f t="shared" si="70"/>
        <v>0</v>
      </c>
      <c r="BH33" s="214">
        <f t="shared" si="70"/>
        <v>0</v>
      </c>
      <c r="BI33" s="212"/>
      <c r="BJ33" s="212"/>
      <c r="BK33" s="213"/>
    </row>
    <row r="34" spans="1:63" s="201" customFormat="1">
      <c r="A34" s="312"/>
      <c r="B34" s="310"/>
      <c r="C34" s="57" t="s">
        <v>140</v>
      </c>
      <c r="D34" s="92" t="s">
        <v>77</v>
      </c>
      <c r="E34" s="92"/>
      <c r="F34" s="57"/>
      <c r="G34" s="198">
        <f>VLOOKUP(D34,APUs!$B$2:$G$50,6,FALSE)</f>
        <v>10.476190476190476</v>
      </c>
      <c r="H34" s="199" t="e">
        <f>SUM(H35:H39)</f>
        <v>#REF!</v>
      </c>
      <c r="I34" s="199" t="e">
        <f>SUM(I35:I39)</f>
        <v>#REF!</v>
      </c>
      <c r="J34" s="200">
        <f>VLOOKUP(D34,APUs!$B$2:$I$50,7,FALSE)</f>
        <v>0.9</v>
      </c>
      <c r="K34" s="198" t="e">
        <f>G34*(H34+I34)/J34</f>
        <v>#REF!</v>
      </c>
      <c r="L34" s="198"/>
      <c r="M34" s="200">
        <f>IFERROR(AVERAGE(M35:M39),0)</f>
        <v>0</v>
      </c>
      <c r="N34" s="200">
        <f>IFERROR(AVERAGE(N35:N39),0)</f>
        <v>0</v>
      </c>
      <c r="O34" s="199">
        <f>IFERROR(SUM(O35:O39),0)</f>
        <v>0</v>
      </c>
      <c r="P34" s="198">
        <f>IFERROR(SUM(P35:P39),0)</f>
        <v>0</v>
      </c>
      <c r="Q34" s="200">
        <f>IFERROR(AVERAGE(Q35:Q39),0)</f>
        <v>0</v>
      </c>
      <c r="R34" s="200">
        <f>IFERROR(AVERAGE(R35:R39),0)</f>
        <v>0</v>
      </c>
      <c r="S34" s="199">
        <f>IFERROR(SUM(S35:S39),0)</f>
        <v>0</v>
      </c>
      <c r="T34" s="198">
        <f>IFERROR(SUM(T35:T39),0)</f>
        <v>0</v>
      </c>
      <c r="U34" s="200">
        <f>IFERROR(AVERAGE(U35:U39),0)</f>
        <v>0</v>
      </c>
      <c r="V34" s="200">
        <f>IFERROR(AVERAGE(V35:V39),0)</f>
        <v>0</v>
      </c>
      <c r="W34" s="199">
        <f>IFERROR(SUM(W35:W39),0)</f>
        <v>0</v>
      </c>
      <c r="X34" s="198">
        <f>IFERROR(SUM(X35:X39),0)</f>
        <v>0</v>
      </c>
      <c r="Y34" s="200">
        <f>IFERROR(AVERAGE(Y35:Y39),0)</f>
        <v>0</v>
      </c>
      <c r="Z34" s="200">
        <f>IFERROR(AVERAGE(Z35:Z39),0)</f>
        <v>0</v>
      </c>
      <c r="AA34" s="199">
        <f>IFERROR(SUM(AA35:AA39),0)</f>
        <v>0</v>
      </c>
      <c r="AB34" s="198">
        <f>IFERROR(SUM(AB35:AB39),0)</f>
        <v>0</v>
      </c>
      <c r="AC34" s="200">
        <f>IFERROR(AVERAGE(AC35:AC39),0)</f>
        <v>0</v>
      </c>
      <c r="AD34" s="200">
        <f>IFERROR(AVERAGE(AD35:AD39),0)</f>
        <v>0</v>
      </c>
      <c r="AE34" s="199">
        <f>IFERROR(SUM(AE35:AE39),0)</f>
        <v>0</v>
      </c>
      <c r="AF34" s="198">
        <f>IFERROR(SUM(AF35:AF39),0)</f>
        <v>0</v>
      </c>
      <c r="AG34" s="200">
        <f>IFERROR(AVERAGE(AG35:AG39),0)</f>
        <v>0</v>
      </c>
      <c r="AH34" s="200">
        <f>IFERROR(AVERAGE(AH35:AH39),0)</f>
        <v>0</v>
      </c>
      <c r="AI34" s="199">
        <f>IFERROR(SUM(AI35:AI39),0)</f>
        <v>0</v>
      </c>
      <c r="AJ34" s="198">
        <f>IFERROR(SUM(AJ35:AJ39),0)</f>
        <v>0</v>
      </c>
      <c r="AK34" s="200">
        <f>IFERROR(AVERAGE(AK35:AK39),0)</f>
        <v>0</v>
      </c>
      <c r="AL34" s="200">
        <f>IFERROR(AVERAGE(AL35:AL39),0)</f>
        <v>0</v>
      </c>
      <c r="AM34" s="199">
        <f>IFERROR(SUM(AM35:AM39),0)</f>
        <v>0</v>
      </c>
      <c r="AN34" s="198">
        <f>IFERROR(SUM(AN35:AN39),0)</f>
        <v>0</v>
      </c>
      <c r="AO34" s="200">
        <f>IFERROR(AVERAGE(AO35:AO39),0)</f>
        <v>0</v>
      </c>
      <c r="AP34" s="200">
        <f>IFERROR(AVERAGE(AP35:AP39),0)</f>
        <v>0</v>
      </c>
      <c r="AQ34" s="199">
        <f>IFERROR(SUM(AQ35:AQ39),0)</f>
        <v>0</v>
      </c>
      <c r="AR34" s="198">
        <f>IFERROR(SUM(AR35:AR39),0)</f>
        <v>0</v>
      </c>
      <c r="AS34" s="200">
        <f>IFERROR(AVERAGE(AS35:AS39),0)</f>
        <v>0</v>
      </c>
      <c r="AT34" s="200">
        <f>IFERROR(AVERAGE(AT35:AT39),0)</f>
        <v>0</v>
      </c>
      <c r="AU34" s="199">
        <f>IFERROR(SUM(AU35:AU39),0)</f>
        <v>0</v>
      </c>
      <c r="AV34" s="198">
        <f>IFERROR(SUM(AV35:AV39),0)</f>
        <v>0</v>
      </c>
      <c r="AW34" s="200">
        <f>IFERROR(AVERAGE(AW35:AW39),0)</f>
        <v>0</v>
      </c>
      <c r="AX34" s="200">
        <f>IFERROR(AVERAGE(AX35:AX39),0)</f>
        <v>0</v>
      </c>
      <c r="AY34" s="199">
        <f>IFERROR(SUM(AY35:AY39),0)</f>
        <v>0</v>
      </c>
      <c r="AZ34" s="198">
        <f>IFERROR(SUM(AZ35:AZ39),0)</f>
        <v>0</v>
      </c>
      <c r="BA34" s="200">
        <f>IFERROR(AVERAGE(BA35:BA39),0)</f>
        <v>0</v>
      </c>
      <c r="BB34" s="200">
        <f>IFERROR(AVERAGE(BB35:BB39),0)</f>
        <v>0</v>
      </c>
      <c r="BC34" s="199">
        <f>IFERROR(SUM(BC35:BC39),0)</f>
        <v>0</v>
      </c>
      <c r="BD34" s="198">
        <f>IFERROR(SUM(BD35:BD39),0)</f>
        <v>0</v>
      </c>
      <c r="BE34" s="200">
        <f>IFERROR(AVERAGE(BE35:BE39),0)</f>
        <v>0</v>
      </c>
      <c r="BF34" s="200">
        <f>IFERROR(AVERAGE(BF35:BF39),0)</f>
        <v>0</v>
      </c>
      <c r="BG34" s="199">
        <f>IFERROR(SUM(BG35:BG39),0)</f>
        <v>0</v>
      </c>
      <c r="BH34" s="198">
        <f>IFERROR(SUM(BH35:BH39),0)</f>
        <v>0</v>
      </c>
      <c r="BI34" s="199">
        <f t="shared" si="1"/>
        <v>0</v>
      </c>
      <c r="BJ34" s="198">
        <f>BI34*$G$34</f>
        <v>0</v>
      </c>
      <c r="BK34" s="200" t="e">
        <f>J34*(H34+I34)/(BI34)</f>
        <v>#REF!</v>
      </c>
    </row>
    <row r="35" spans="1:63">
      <c r="A35" s="312"/>
      <c r="B35" s="310"/>
      <c r="C35" s="41" t="s">
        <v>159</v>
      </c>
      <c r="D35" s="94" t="str">
        <f>'MH-LAM4 -1225-San Miguel-Antoni'!D15</f>
        <v>IISS - Revisión de Municipalidad</v>
      </c>
      <c r="E35" s="93" t="str">
        <f>VLOOKUP(D35,'MH-LAM4 -1225-San Miguel-Antoni'!$D$2:$E$84,2,FALSE)</f>
        <v>V 3.1 - ENTREGA TÉCNICA FINAL A MUNI</v>
      </c>
      <c r="F35" s="150" t="s">
        <v>322</v>
      </c>
      <c r="G35" s="149">
        <f t="shared" ref="G35" si="71">IF(F35="BAJA",0.8,IF(F35="MEDIA",1,IF(F35="ALTA",1.4,IF(F35="MUY ALTA",2))))</f>
        <v>1</v>
      </c>
      <c r="H35" s="160" cm="1">
        <f t="array" ref="H35">G35*INDEX('MH-LAM4 -1225-San Miguel-Antoni'!$B$2:$G$68,MATCH($D$33&amp;D35&amp;$B$5,'MH-LAM4 -1225-San Miguel-Antoni'!$C$2:$C$68&amp;'MH-LAM4 -1225-San Miguel-Antoni'!$D$2:$D$68&amp;'MH-LAM4 -1225-San Miguel-Antoni'!$B$2:$B$68,0),5)/J35</f>
        <v>0</v>
      </c>
      <c r="I35" s="160" cm="1">
        <f t="array" ref="I35">G35*INDEX('MH-LAM4 -1225-San Miguel-Antoni'!$B$2:$G$68,MATCH($D$33&amp;D35&amp;$B$5,'MH-LAM4 -1225-San Miguel-Antoni'!$C$2:$C$68&amp;'MH-LAM4 -1225-San Miguel-Antoni'!$D$2:$D$68&amp;'MH-LAM4 -1225-San Miguel-Antoni'!$B$2:$B$68,0),6)/J35</f>
        <v>0</v>
      </c>
      <c r="J35" s="190">
        <f>VLOOKUP($D$34,APUs!$B$2:$I$50,7,FALSE)</f>
        <v>0.9</v>
      </c>
      <c r="K35" s="191">
        <f>$G$34*(H35+I35)/J35</f>
        <v>0</v>
      </c>
      <c r="L35" s="191"/>
      <c r="M35" s="142"/>
      <c r="N35" s="142"/>
      <c r="O35" s="160"/>
      <c r="P35" s="143">
        <f>O35*$G$34</f>
        <v>0</v>
      </c>
      <c r="Q35" s="142"/>
      <c r="R35" s="142"/>
      <c r="S35" s="160"/>
      <c r="T35" s="143">
        <f>S35*$G$34</f>
        <v>0</v>
      </c>
      <c r="U35" s="142"/>
      <c r="V35" s="142"/>
      <c r="W35" s="160"/>
      <c r="X35" s="143">
        <f>W35*$G$34</f>
        <v>0</v>
      </c>
      <c r="Y35" s="142"/>
      <c r="Z35" s="142"/>
      <c r="AA35" s="160"/>
      <c r="AB35" s="143">
        <f>AA35*$G$34</f>
        <v>0</v>
      </c>
      <c r="AC35" s="142"/>
      <c r="AD35" s="142"/>
      <c r="AE35" s="160"/>
      <c r="AF35" s="143">
        <f>AE35*$G$34</f>
        <v>0</v>
      </c>
      <c r="AG35" s="142"/>
      <c r="AH35" s="142"/>
      <c r="AI35" s="160"/>
      <c r="AJ35" s="143">
        <f>AI35*$G$34</f>
        <v>0</v>
      </c>
      <c r="AK35" s="142"/>
      <c r="AL35" s="142"/>
      <c r="AM35" s="160"/>
      <c r="AN35" s="143">
        <f>AM35*$G$34</f>
        <v>0</v>
      </c>
      <c r="AO35" s="142"/>
      <c r="AP35" s="142"/>
      <c r="AQ35" s="160"/>
      <c r="AR35" s="143">
        <f>AQ35*$G$34</f>
        <v>0</v>
      </c>
      <c r="AS35" s="142"/>
      <c r="AT35" s="142"/>
      <c r="AU35" s="160"/>
      <c r="AV35" s="143">
        <f>AU35*$G$34</f>
        <v>0</v>
      </c>
      <c r="AW35" s="142"/>
      <c r="AX35" s="142"/>
      <c r="AY35" s="160"/>
      <c r="AZ35" s="143">
        <f>AY35*$G$34</f>
        <v>0</v>
      </c>
      <c r="BA35" s="142"/>
      <c r="BB35" s="142"/>
      <c r="BC35" s="160"/>
      <c r="BD35" s="143">
        <f>BC35*$G$34</f>
        <v>0</v>
      </c>
      <c r="BE35" s="142"/>
      <c r="BF35" s="142"/>
      <c r="BG35" s="160"/>
      <c r="BH35" s="143">
        <f>BG35*$G$34</f>
        <v>0</v>
      </c>
      <c r="BI35" s="161">
        <f t="shared" si="1"/>
        <v>0</v>
      </c>
      <c r="BJ35" s="116"/>
      <c r="BK35" s="115"/>
    </row>
    <row r="36" spans="1:63">
      <c r="A36" s="312"/>
      <c r="B36" s="310"/>
      <c r="C36" s="41" t="s">
        <v>159</v>
      </c>
      <c r="D36" s="94" t="e">
        <f>'MH-LAM4 -1225-San Miguel-Antoni'!#REF!</f>
        <v>#REF!</v>
      </c>
      <c r="E36" s="93" t="e">
        <f>VLOOKUP(D36,'MH-LAM4 -1225-San Miguel-Antoni'!$D$2:$E$84,2,FALSE)</f>
        <v>#REF!</v>
      </c>
      <c r="F36" s="150" t="s">
        <v>322</v>
      </c>
      <c r="G36" s="149">
        <f t="shared" ref="G36:G39" si="72">IF(F36="BAJA",0.8,IF(F36="MEDIA",1,IF(F36="ALTA",1.4,IF(F36="MUY ALTA",2))))</f>
        <v>1</v>
      </c>
      <c r="H36" s="160" t="e" cm="1">
        <f t="array" ref="H36">G36*INDEX('MH-LAM4 -1225-San Miguel-Antoni'!$B$2:$G$68,MATCH($D$33&amp;D36&amp;$B$5,'MH-LAM4 -1225-San Miguel-Antoni'!$C$2:$C$68&amp;'MH-LAM4 -1225-San Miguel-Antoni'!$D$2:$D$68&amp;'MH-LAM4 -1225-San Miguel-Antoni'!$B$2:$B$68,0),5)/J36</f>
        <v>#REF!</v>
      </c>
      <c r="I36" s="160" t="e" cm="1">
        <f t="array" ref="I36">G36*INDEX('MH-LAM4 -1225-San Miguel-Antoni'!$B$2:$G$68,MATCH($D$33&amp;D36&amp;$B$5,'MH-LAM4 -1225-San Miguel-Antoni'!$C$2:$C$68&amp;'MH-LAM4 -1225-San Miguel-Antoni'!$D$2:$D$68&amp;'MH-LAM4 -1225-San Miguel-Antoni'!$B$2:$B$68,0),6)/J36</f>
        <v>#REF!</v>
      </c>
      <c r="J36" s="190">
        <f>VLOOKUP($D$34,APUs!$B$2:$I$50,7,FALSE)</f>
        <v>0.9</v>
      </c>
      <c r="K36" s="191" t="e">
        <f>$G$34*(H36+I36)/J36</f>
        <v>#REF!</v>
      </c>
      <c r="L36" s="191"/>
      <c r="M36" s="142"/>
      <c r="N36" s="142"/>
      <c r="O36" s="160"/>
      <c r="P36" s="143">
        <f t="shared" ref="P36:P39" si="73">O36*$G$34</f>
        <v>0</v>
      </c>
      <c r="Q36" s="142"/>
      <c r="R36" s="142"/>
      <c r="S36" s="160"/>
      <c r="T36" s="143">
        <f t="shared" ref="T36:T39" si="74">S36*$G$34</f>
        <v>0</v>
      </c>
      <c r="U36" s="142"/>
      <c r="V36" s="142"/>
      <c r="W36" s="160"/>
      <c r="X36" s="143">
        <f t="shared" ref="X36:X39" si="75">W36*$G$34</f>
        <v>0</v>
      </c>
      <c r="Y36" s="142"/>
      <c r="Z36" s="142"/>
      <c r="AA36" s="160"/>
      <c r="AB36" s="143">
        <f t="shared" ref="AB36:AB39" si="76">AA36*$G$34</f>
        <v>0</v>
      </c>
      <c r="AC36" s="142"/>
      <c r="AD36" s="142"/>
      <c r="AE36" s="160"/>
      <c r="AF36" s="143">
        <f t="shared" ref="AF36:AF39" si="77">AE36*$G$34</f>
        <v>0</v>
      </c>
      <c r="AG36" s="142"/>
      <c r="AH36" s="142"/>
      <c r="AI36" s="160"/>
      <c r="AJ36" s="143">
        <f t="shared" ref="AJ36:AJ39" si="78">AI36*$G$34</f>
        <v>0</v>
      </c>
      <c r="AK36" s="142"/>
      <c r="AL36" s="142"/>
      <c r="AM36" s="160"/>
      <c r="AN36" s="143">
        <f t="shared" ref="AN36:AN39" si="79">AM36*$G$34</f>
        <v>0</v>
      </c>
      <c r="AO36" s="142"/>
      <c r="AP36" s="142"/>
      <c r="AQ36" s="160"/>
      <c r="AR36" s="143">
        <f t="shared" ref="AR36:AR39" si="80">AQ36*$G$34</f>
        <v>0</v>
      </c>
      <c r="AS36" s="142"/>
      <c r="AT36" s="142"/>
      <c r="AU36" s="160"/>
      <c r="AV36" s="143">
        <f t="shared" ref="AV36:AV39" si="81">AU36*$G$34</f>
        <v>0</v>
      </c>
      <c r="AW36" s="142"/>
      <c r="AX36" s="142"/>
      <c r="AY36" s="160"/>
      <c r="AZ36" s="143">
        <f t="shared" ref="AZ36:AZ39" si="82">AY36*$G$34</f>
        <v>0</v>
      </c>
      <c r="BA36" s="142"/>
      <c r="BB36" s="142"/>
      <c r="BC36" s="160"/>
      <c r="BD36" s="143">
        <f t="shared" ref="BD36:BD39" si="83">BC36*$G$34</f>
        <v>0</v>
      </c>
      <c r="BE36" s="142"/>
      <c r="BF36" s="142"/>
      <c r="BG36" s="160"/>
      <c r="BH36" s="143">
        <f t="shared" ref="BH36:BH39" si="84">BG36*$G$34</f>
        <v>0</v>
      </c>
      <c r="BI36" s="161">
        <f t="shared" si="1"/>
        <v>0</v>
      </c>
      <c r="BJ36" s="116"/>
      <c r="BK36" s="115"/>
    </row>
    <row r="37" spans="1:63">
      <c r="A37" s="312"/>
      <c r="B37" s="310"/>
      <c r="C37" s="41" t="s">
        <v>159</v>
      </c>
      <c r="D37" s="94" t="e">
        <f>'MH-LAM4 -1225-San Miguel-Antoni'!#REF!</f>
        <v>#REF!</v>
      </c>
      <c r="E37" s="93" t="e">
        <f>VLOOKUP(D37,'MH-LAM4 -1225-San Miguel-Antoni'!$D$2:$E$84,2,FALSE)</f>
        <v>#REF!</v>
      </c>
      <c r="F37" s="150" t="s">
        <v>322</v>
      </c>
      <c r="G37" s="149">
        <f t="shared" si="72"/>
        <v>1</v>
      </c>
      <c r="H37" s="160" t="e" cm="1">
        <f t="array" ref="H37">G37*INDEX('MH-LAM4 -1225-San Miguel-Antoni'!$B$2:$G$68,MATCH($D$33&amp;D37&amp;$B$5,'MH-LAM4 -1225-San Miguel-Antoni'!$C$2:$C$68&amp;'MH-LAM4 -1225-San Miguel-Antoni'!$D$2:$D$68&amp;'MH-LAM4 -1225-San Miguel-Antoni'!$B$2:$B$68,0),5)/J37</f>
        <v>#REF!</v>
      </c>
      <c r="I37" s="160" t="e" cm="1">
        <f t="array" ref="I37">G37*INDEX('MH-LAM4 -1225-San Miguel-Antoni'!$B$2:$G$68,MATCH($D$33&amp;D37&amp;$B$5,'MH-LAM4 -1225-San Miguel-Antoni'!$C$2:$C$68&amp;'MH-LAM4 -1225-San Miguel-Antoni'!$D$2:$D$68&amp;'MH-LAM4 -1225-San Miguel-Antoni'!$B$2:$B$68,0),6)/J37</f>
        <v>#REF!</v>
      </c>
      <c r="J37" s="190">
        <f>VLOOKUP($D$34,APUs!$B$2:$I$50,7,FALSE)</f>
        <v>0.9</v>
      </c>
      <c r="K37" s="191" t="e">
        <f>$G$34*(H37+I37)/J37</f>
        <v>#REF!</v>
      </c>
      <c r="L37" s="191"/>
      <c r="M37" s="142"/>
      <c r="N37" s="142"/>
      <c r="O37" s="160"/>
      <c r="P37" s="143">
        <f t="shared" si="73"/>
        <v>0</v>
      </c>
      <c r="Q37" s="142"/>
      <c r="R37" s="142"/>
      <c r="S37" s="160"/>
      <c r="T37" s="143">
        <f t="shared" si="74"/>
        <v>0</v>
      </c>
      <c r="U37" s="142"/>
      <c r="V37" s="142"/>
      <c r="W37" s="160"/>
      <c r="X37" s="143">
        <f t="shared" si="75"/>
        <v>0</v>
      </c>
      <c r="Y37" s="142"/>
      <c r="Z37" s="142"/>
      <c r="AA37" s="160"/>
      <c r="AB37" s="143">
        <f t="shared" si="76"/>
        <v>0</v>
      </c>
      <c r="AC37" s="142"/>
      <c r="AD37" s="142"/>
      <c r="AE37" s="160"/>
      <c r="AF37" s="143">
        <f t="shared" si="77"/>
        <v>0</v>
      </c>
      <c r="AG37" s="142"/>
      <c r="AH37" s="142"/>
      <c r="AI37" s="160"/>
      <c r="AJ37" s="143">
        <f t="shared" si="78"/>
        <v>0</v>
      </c>
      <c r="AK37" s="142"/>
      <c r="AL37" s="142"/>
      <c r="AM37" s="160"/>
      <c r="AN37" s="143">
        <f t="shared" si="79"/>
        <v>0</v>
      </c>
      <c r="AO37" s="142"/>
      <c r="AP37" s="142"/>
      <c r="AQ37" s="160"/>
      <c r="AR37" s="143">
        <f t="shared" si="80"/>
        <v>0</v>
      </c>
      <c r="AS37" s="142"/>
      <c r="AT37" s="142"/>
      <c r="AU37" s="160"/>
      <c r="AV37" s="143">
        <f t="shared" si="81"/>
        <v>0</v>
      </c>
      <c r="AW37" s="142"/>
      <c r="AX37" s="142"/>
      <c r="AY37" s="160"/>
      <c r="AZ37" s="143">
        <f t="shared" si="82"/>
        <v>0</v>
      </c>
      <c r="BA37" s="142"/>
      <c r="BB37" s="142"/>
      <c r="BC37" s="160"/>
      <c r="BD37" s="143">
        <f t="shared" si="83"/>
        <v>0</v>
      </c>
      <c r="BE37" s="142"/>
      <c r="BF37" s="142"/>
      <c r="BG37" s="160"/>
      <c r="BH37" s="143">
        <f t="shared" si="84"/>
        <v>0</v>
      </c>
      <c r="BI37" s="161">
        <f t="shared" si="1"/>
        <v>0</v>
      </c>
      <c r="BJ37" s="116"/>
      <c r="BK37" s="115"/>
    </row>
    <row r="38" spans="1:63">
      <c r="A38" s="312"/>
      <c r="B38" s="310"/>
      <c r="C38" s="41" t="s">
        <v>159</v>
      </c>
      <c r="D38" s="94" t="str">
        <f>'MH-LAM4 -1225-San Miguel-Antoni'!D16</f>
        <v>IISS - Lev. de observaciones Muni</v>
      </c>
      <c r="E38" s="93" t="str">
        <f>VLOOKUP(D38,'MH-LAM4 -1225-San Miguel-Antoni'!$D$2:$E$84,2,FALSE)</f>
        <v>V 3.0 - PRELIMINAR A ENTREGA A MUNI</v>
      </c>
      <c r="F38" s="150" t="s">
        <v>322</v>
      </c>
      <c r="G38" s="149">
        <f t="shared" si="72"/>
        <v>1</v>
      </c>
      <c r="H38" s="160" cm="1">
        <f t="array" ref="H38">G38*INDEX('MH-LAM4 -1225-San Miguel-Antoni'!$B$2:$G$68,MATCH($D$33&amp;D38&amp;$B$5,'MH-LAM4 -1225-San Miguel-Antoni'!$C$2:$C$68&amp;'MH-LAM4 -1225-San Miguel-Antoni'!$D$2:$D$68&amp;'MH-LAM4 -1225-San Miguel-Antoni'!$B$2:$B$68,0),5)/J38</f>
        <v>5.5555555555555554</v>
      </c>
      <c r="I38" s="160" cm="1">
        <f t="array" ref="I38">G38*INDEX('MH-LAM4 -1225-San Miguel-Antoni'!$B$2:$G$68,MATCH($D$33&amp;D38&amp;$B$5,'MH-LAM4 -1225-San Miguel-Antoni'!$C$2:$C$68&amp;'MH-LAM4 -1225-San Miguel-Antoni'!$D$2:$D$68&amp;'MH-LAM4 -1225-San Miguel-Antoni'!$B$2:$B$68,0),6)/J38</f>
        <v>0</v>
      </c>
      <c r="J38" s="190">
        <f>VLOOKUP($D$34,APUs!$B$2:$I$50,7,FALSE)</f>
        <v>0.9</v>
      </c>
      <c r="K38" s="191">
        <f>$G$34*(H38+I38)/J38</f>
        <v>64.667842445620224</v>
      </c>
      <c r="L38" s="191"/>
      <c r="M38" s="142"/>
      <c r="N38" s="142"/>
      <c r="O38" s="160"/>
      <c r="P38" s="143">
        <f t="shared" si="73"/>
        <v>0</v>
      </c>
      <c r="Q38" s="142"/>
      <c r="R38" s="142"/>
      <c r="S38" s="160"/>
      <c r="T38" s="143">
        <f t="shared" si="74"/>
        <v>0</v>
      </c>
      <c r="U38" s="142"/>
      <c r="V38" s="142"/>
      <c r="W38" s="160"/>
      <c r="X38" s="143">
        <f t="shared" si="75"/>
        <v>0</v>
      </c>
      <c r="Y38" s="142"/>
      <c r="Z38" s="142"/>
      <c r="AA38" s="160"/>
      <c r="AB38" s="143">
        <f t="shared" si="76"/>
        <v>0</v>
      </c>
      <c r="AC38" s="142"/>
      <c r="AD38" s="142"/>
      <c r="AE38" s="160"/>
      <c r="AF38" s="143">
        <f t="shared" si="77"/>
        <v>0</v>
      </c>
      <c r="AG38" s="142"/>
      <c r="AH38" s="142"/>
      <c r="AI38" s="160"/>
      <c r="AJ38" s="143">
        <f t="shared" si="78"/>
        <v>0</v>
      </c>
      <c r="AK38" s="142"/>
      <c r="AL38" s="142"/>
      <c r="AM38" s="160"/>
      <c r="AN38" s="143">
        <f t="shared" si="79"/>
        <v>0</v>
      </c>
      <c r="AO38" s="142"/>
      <c r="AP38" s="142"/>
      <c r="AQ38" s="160"/>
      <c r="AR38" s="143">
        <f t="shared" si="80"/>
        <v>0</v>
      </c>
      <c r="AS38" s="142"/>
      <c r="AT38" s="142"/>
      <c r="AU38" s="160"/>
      <c r="AV38" s="143">
        <f t="shared" si="81"/>
        <v>0</v>
      </c>
      <c r="AW38" s="142"/>
      <c r="AX38" s="142"/>
      <c r="AY38" s="160"/>
      <c r="AZ38" s="143">
        <f t="shared" si="82"/>
        <v>0</v>
      </c>
      <c r="BA38" s="142"/>
      <c r="BB38" s="142"/>
      <c r="BC38" s="160"/>
      <c r="BD38" s="143">
        <f t="shared" si="83"/>
        <v>0</v>
      </c>
      <c r="BE38" s="142"/>
      <c r="BF38" s="142"/>
      <c r="BG38" s="160"/>
      <c r="BH38" s="143">
        <f t="shared" si="84"/>
        <v>0</v>
      </c>
      <c r="BI38" s="161">
        <f t="shared" si="1"/>
        <v>0</v>
      </c>
      <c r="BJ38" s="116"/>
      <c r="BK38" s="115"/>
    </row>
    <row r="39" spans="1:63">
      <c r="A39" s="312"/>
      <c r="B39" s="310"/>
      <c r="C39" s="41" t="s">
        <v>159</v>
      </c>
      <c r="D39" s="94" t="e">
        <f>'MH-LAM4 -1225-San Miguel-Antoni'!#REF!</f>
        <v>#REF!</v>
      </c>
      <c r="E39" s="93" t="e">
        <f>VLOOKUP(D39,'MH-LAM4 -1225-San Miguel-Antoni'!$D$2:$E$84,2,FALSE)</f>
        <v>#REF!</v>
      </c>
      <c r="F39" s="150" t="s">
        <v>322</v>
      </c>
      <c r="G39" s="149">
        <f t="shared" si="72"/>
        <v>1</v>
      </c>
      <c r="H39" s="160" t="e" cm="1">
        <f t="array" ref="H39">G39*INDEX('MH-LAM4 -1225-San Miguel-Antoni'!$B$2:$G$68,MATCH($D$33&amp;D39&amp;$B$5,'MH-LAM4 -1225-San Miguel-Antoni'!$C$2:$C$68&amp;'MH-LAM4 -1225-San Miguel-Antoni'!$D$2:$D$68&amp;'MH-LAM4 -1225-San Miguel-Antoni'!$B$2:$B$68,0),5)/J39</f>
        <v>#REF!</v>
      </c>
      <c r="I39" s="160" t="e" cm="1">
        <f t="array" ref="I39">G39*INDEX('MH-LAM4 -1225-San Miguel-Antoni'!$B$2:$G$68,MATCH($D$33&amp;D39&amp;$B$5,'MH-LAM4 -1225-San Miguel-Antoni'!$C$2:$C$68&amp;'MH-LAM4 -1225-San Miguel-Antoni'!$D$2:$D$68&amp;'MH-LAM4 -1225-San Miguel-Antoni'!$B$2:$B$68,0),6)/J39</f>
        <v>#REF!</v>
      </c>
      <c r="J39" s="190">
        <f>VLOOKUP($D$34,APUs!$B$2:$I$50,7,FALSE)</f>
        <v>0.9</v>
      </c>
      <c r="K39" s="191" t="e">
        <f>$G$34*(H39+I39)/J39</f>
        <v>#REF!</v>
      </c>
      <c r="L39" s="191"/>
      <c r="M39" s="142"/>
      <c r="N39" s="142"/>
      <c r="O39" s="160"/>
      <c r="P39" s="143">
        <f t="shared" si="73"/>
        <v>0</v>
      </c>
      <c r="Q39" s="142"/>
      <c r="R39" s="142"/>
      <c r="S39" s="160"/>
      <c r="T39" s="143">
        <f t="shared" si="74"/>
        <v>0</v>
      </c>
      <c r="U39" s="142"/>
      <c r="V39" s="142"/>
      <c r="W39" s="160"/>
      <c r="X39" s="143">
        <f t="shared" si="75"/>
        <v>0</v>
      </c>
      <c r="Y39" s="142"/>
      <c r="Z39" s="142"/>
      <c r="AA39" s="160"/>
      <c r="AB39" s="143">
        <f t="shared" si="76"/>
        <v>0</v>
      </c>
      <c r="AC39" s="142"/>
      <c r="AD39" s="142"/>
      <c r="AE39" s="160"/>
      <c r="AF39" s="143">
        <f t="shared" si="77"/>
        <v>0</v>
      </c>
      <c r="AG39" s="142"/>
      <c r="AH39" s="142"/>
      <c r="AI39" s="160"/>
      <c r="AJ39" s="143">
        <f t="shared" si="78"/>
        <v>0</v>
      </c>
      <c r="AK39" s="142"/>
      <c r="AL39" s="142"/>
      <c r="AM39" s="160"/>
      <c r="AN39" s="143">
        <f t="shared" si="79"/>
        <v>0</v>
      </c>
      <c r="AO39" s="142"/>
      <c r="AP39" s="142"/>
      <c r="AQ39" s="160"/>
      <c r="AR39" s="143">
        <f t="shared" si="80"/>
        <v>0</v>
      </c>
      <c r="AS39" s="142"/>
      <c r="AT39" s="142"/>
      <c r="AU39" s="160"/>
      <c r="AV39" s="143">
        <f t="shared" si="81"/>
        <v>0</v>
      </c>
      <c r="AW39" s="142"/>
      <c r="AX39" s="142"/>
      <c r="AY39" s="160"/>
      <c r="AZ39" s="143">
        <f t="shared" si="82"/>
        <v>0</v>
      </c>
      <c r="BA39" s="142"/>
      <c r="BB39" s="142"/>
      <c r="BC39" s="160"/>
      <c r="BD39" s="143">
        <f t="shared" si="83"/>
        <v>0</v>
      </c>
      <c r="BE39" s="142"/>
      <c r="BF39" s="142"/>
      <c r="BG39" s="160"/>
      <c r="BH39" s="143">
        <f t="shared" si="84"/>
        <v>0</v>
      </c>
      <c r="BI39" s="161">
        <f t="shared" si="1"/>
        <v>0</v>
      </c>
      <c r="BJ39" s="116"/>
      <c r="BK39" s="115"/>
    </row>
    <row r="40" spans="1:63">
      <c r="A40" s="312"/>
      <c r="B40" s="310"/>
      <c r="C40" s="111" t="s">
        <v>142</v>
      </c>
      <c r="D40" s="112" t="s">
        <v>334</v>
      </c>
      <c r="E40" s="112"/>
      <c r="F40" s="113"/>
      <c r="G40" s="162"/>
      <c r="H40" s="211"/>
      <c r="I40" s="212"/>
      <c r="J40" s="212"/>
      <c r="K40" s="212"/>
      <c r="L40" s="212"/>
      <c r="M40" s="214">
        <f>M41</f>
        <v>0</v>
      </c>
      <c r="N40" s="214">
        <f t="shared" ref="N40:BH40" si="85">N41</f>
        <v>0</v>
      </c>
      <c r="O40" s="214">
        <f t="shared" si="85"/>
        <v>0</v>
      </c>
      <c r="P40" s="214">
        <f t="shared" si="85"/>
        <v>0</v>
      </c>
      <c r="Q40" s="214">
        <f t="shared" si="85"/>
        <v>0</v>
      </c>
      <c r="R40" s="214">
        <f t="shared" si="85"/>
        <v>0</v>
      </c>
      <c r="S40" s="214">
        <f t="shared" si="85"/>
        <v>0</v>
      </c>
      <c r="T40" s="214">
        <f t="shared" si="85"/>
        <v>0</v>
      </c>
      <c r="U40" s="214">
        <f t="shared" si="85"/>
        <v>0</v>
      </c>
      <c r="V40" s="214">
        <f t="shared" si="85"/>
        <v>0</v>
      </c>
      <c r="W40" s="214">
        <f t="shared" si="85"/>
        <v>0</v>
      </c>
      <c r="X40" s="214">
        <f t="shared" si="85"/>
        <v>0</v>
      </c>
      <c r="Y40" s="214">
        <f t="shared" si="85"/>
        <v>0</v>
      </c>
      <c r="Z40" s="214">
        <f t="shared" si="85"/>
        <v>0</v>
      </c>
      <c r="AA40" s="214">
        <f t="shared" si="85"/>
        <v>0</v>
      </c>
      <c r="AB40" s="214">
        <f t="shared" si="85"/>
        <v>0</v>
      </c>
      <c r="AC40" s="214">
        <f t="shared" si="85"/>
        <v>0</v>
      </c>
      <c r="AD40" s="214">
        <f t="shared" si="85"/>
        <v>0</v>
      </c>
      <c r="AE40" s="214">
        <f t="shared" si="85"/>
        <v>0</v>
      </c>
      <c r="AF40" s="214">
        <f t="shared" si="85"/>
        <v>0</v>
      </c>
      <c r="AG40" s="214">
        <f t="shared" si="85"/>
        <v>0</v>
      </c>
      <c r="AH40" s="214">
        <f t="shared" si="85"/>
        <v>0</v>
      </c>
      <c r="AI40" s="214">
        <f t="shared" si="85"/>
        <v>0</v>
      </c>
      <c r="AJ40" s="214">
        <f t="shared" si="85"/>
        <v>0</v>
      </c>
      <c r="AK40" s="214">
        <f t="shared" si="85"/>
        <v>0</v>
      </c>
      <c r="AL40" s="214">
        <f t="shared" si="85"/>
        <v>0</v>
      </c>
      <c r="AM40" s="214">
        <f t="shared" si="85"/>
        <v>0</v>
      </c>
      <c r="AN40" s="214">
        <f t="shared" si="85"/>
        <v>0</v>
      </c>
      <c r="AO40" s="214">
        <f t="shared" si="85"/>
        <v>0</v>
      </c>
      <c r="AP40" s="214">
        <f t="shared" si="85"/>
        <v>0</v>
      </c>
      <c r="AQ40" s="214">
        <f t="shared" si="85"/>
        <v>0</v>
      </c>
      <c r="AR40" s="214">
        <f t="shared" si="85"/>
        <v>0</v>
      </c>
      <c r="AS40" s="214">
        <f t="shared" si="85"/>
        <v>0</v>
      </c>
      <c r="AT40" s="214">
        <f t="shared" si="85"/>
        <v>0</v>
      </c>
      <c r="AU40" s="214">
        <f t="shared" si="85"/>
        <v>0</v>
      </c>
      <c r="AV40" s="214">
        <f t="shared" si="85"/>
        <v>0</v>
      </c>
      <c r="AW40" s="214">
        <f t="shared" si="85"/>
        <v>0</v>
      </c>
      <c r="AX40" s="214">
        <f t="shared" si="85"/>
        <v>0</v>
      </c>
      <c r="AY40" s="214">
        <f t="shared" si="85"/>
        <v>0</v>
      </c>
      <c r="AZ40" s="214">
        <f t="shared" si="85"/>
        <v>0</v>
      </c>
      <c r="BA40" s="214">
        <f t="shared" si="85"/>
        <v>0</v>
      </c>
      <c r="BB40" s="214">
        <f t="shared" si="85"/>
        <v>0</v>
      </c>
      <c r="BC40" s="214">
        <f t="shared" si="85"/>
        <v>0</v>
      </c>
      <c r="BD40" s="214">
        <f t="shared" si="85"/>
        <v>0</v>
      </c>
      <c r="BE40" s="214">
        <f t="shared" si="85"/>
        <v>0</v>
      </c>
      <c r="BF40" s="214">
        <f t="shared" si="85"/>
        <v>0</v>
      </c>
      <c r="BG40" s="214">
        <f t="shared" si="85"/>
        <v>0</v>
      </c>
      <c r="BH40" s="214">
        <f t="shared" si="85"/>
        <v>0</v>
      </c>
      <c r="BI40" s="212"/>
      <c r="BJ40" s="212"/>
      <c r="BK40" s="213"/>
    </row>
    <row r="41" spans="1:63" s="201" customFormat="1">
      <c r="A41" s="312"/>
      <c r="B41" s="310"/>
      <c r="C41" s="57" t="s">
        <v>143</v>
      </c>
      <c r="D41" s="92" t="s">
        <v>145</v>
      </c>
      <c r="E41" s="92"/>
      <c r="F41" s="57"/>
      <c r="G41" s="198">
        <f>VLOOKUP(D41,APUs!$B$2:$G$50,6,FALSE)</f>
        <v>14.285714285714286</v>
      </c>
      <c r="H41" s="199" t="e">
        <f>SUM(H42:H49)</f>
        <v>#REF!</v>
      </c>
      <c r="I41" s="199" t="e">
        <f>SUM(I42:I49)</f>
        <v>#REF!</v>
      </c>
      <c r="J41" s="200">
        <f>VLOOKUP(D41,APUs!$B$2:$I$50,7,FALSE)</f>
        <v>0.97</v>
      </c>
      <c r="K41" s="198" t="e">
        <f>G41*(H41+I41)/J41</f>
        <v>#REF!</v>
      </c>
      <c r="L41" s="198"/>
      <c r="M41" s="200">
        <f>IFERROR(AVERAGE(M42:M49),0)</f>
        <v>0</v>
      </c>
      <c r="N41" s="200">
        <f>IFERROR(AVERAGE(N42:N49),0)</f>
        <v>0</v>
      </c>
      <c r="O41" s="199">
        <f>IFERROR(SUM(O42:O49),0)</f>
        <v>0</v>
      </c>
      <c r="P41" s="198">
        <f>IFERROR(SUM(P42:P49),0)</f>
        <v>0</v>
      </c>
      <c r="Q41" s="200">
        <f>IFERROR(AVERAGE(Q42:Q49),0)</f>
        <v>0</v>
      </c>
      <c r="R41" s="200">
        <f>IFERROR(AVERAGE(R42:R49),0)</f>
        <v>0</v>
      </c>
      <c r="S41" s="199">
        <f>IFERROR(SUM(S42:S49),0)</f>
        <v>0</v>
      </c>
      <c r="T41" s="198">
        <f>IFERROR(SUM(T42:T49),0)</f>
        <v>0</v>
      </c>
      <c r="U41" s="200">
        <f>IFERROR(AVERAGE(U42:U49),0)</f>
        <v>0</v>
      </c>
      <c r="V41" s="200">
        <f>IFERROR(AVERAGE(V42:V49),0)</f>
        <v>0</v>
      </c>
      <c r="W41" s="199">
        <f>IFERROR(SUM(W42:W49),0)</f>
        <v>0</v>
      </c>
      <c r="X41" s="198">
        <f>IFERROR(SUM(X42:X49),0)</f>
        <v>0</v>
      </c>
      <c r="Y41" s="200">
        <f>IFERROR(AVERAGE(Y42:Y49),0)</f>
        <v>0</v>
      </c>
      <c r="Z41" s="200">
        <f>IFERROR(AVERAGE(Z42:Z49),0)</f>
        <v>0</v>
      </c>
      <c r="AA41" s="199">
        <f>IFERROR(SUM(AA42:AA49),0)</f>
        <v>0</v>
      </c>
      <c r="AB41" s="198">
        <f>IFERROR(SUM(AB42:AB49),0)</f>
        <v>0</v>
      </c>
      <c r="AC41" s="200">
        <f>IFERROR(AVERAGE(AC42:AC49),0)</f>
        <v>0</v>
      </c>
      <c r="AD41" s="200">
        <f>IFERROR(AVERAGE(AD42:AD49),0)</f>
        <v>0</v>
      </c>
      <c r="AE41" s="199">
        <f>IFERROR(SUM(AE42:AE49),0)</f>
        <v>0</v>
      </c>
      <c r="AF41" s="198">
        <f>IFERROR(SUM(AF42:AF49),0)</f>
        <v>0</v>
      </c>
      <c r="AG41" s="200">
        <f>IFERROR(AVERAGE(AG42:AG49),0)</f>
        <v>0</v>
      </c>
      <c r="AH41" s="200">
        <f>IFERROR(AVERAGE(AH42:AH49),0)</f>
        <v>0</v>
      </c>
      <c r="AI41" s="199">
        <f>IFERROR(SUM(AI42:AI49),0)</f>
        <v>0</v>
      </c>
      <c r="AJ41" s="198">
        <f>IFERROR(SUM(AJ42:AJ49),0)</f>
        <v>0</v>
      </c>
      <c r="AK41" s="200">
        <f>IFERROR(AVERAGE(AK42:AK49),0)</f>
        <v>0</v>
      </c>
      <c r="AL41" s="200">
        <f>IFERROR(AVERAGE(AL42:AL49),0)</f>
        <v>0</v>
      </c>
      <c r="AM41" s="199">
        <f>IFERROR(SUM(AM42:AM49),0)</f>
        <v>0</v>
      </c>
      <c r="AN41" s="198">
        <f>IFERROR(SUM(AN42:AN49),0)</f>
        <v>0</v>
      </c>
      <c r="AO41" s="200">
        <f>IFERROR(AVERAGE(AO42:AO49),0)</f>
        <v>0</v>
      </c>
      <c r="AP41" s="200">
        <f>IFERROR(AVERAGE(AP42:AP49),0)</f>
        <v>0</v>
      </c>
      <c r="AQ41" s="199">
        <f>IFERROR(SUM(AQ42:AQ49),0)</f>
        <v>0</v>
      </c>
      <c r="AR41" s="198">
        <f>IFERROR(SUM(AR42:AR49),0)</f>
        <v>0</v>
      </c>
      <c r="AS41" s="200">
        <f>IFERROR(AVERAGE(AS42:AS49),0)</f>
        <v>0</v>
      </c>
      <c r="AT41" s="200">
        <f>IFERROR(AVERAGE(AT42:AT49),0)</f>
        <v>0</v>
      </c>
      <c r="AU41" s="199">
        <f>IFERROR(SUM(AU42:AU49),0)</f>
        <v>0</v>
      </c>
      <c r="AV41" s="198">
        <f>IFERROR(SUM(AV42:AV49),0)</f>
        <v>0</v>
      </c>
      <c r="AW41" s="200">
        <f>IFERROR(AVERAGE(AW42:AW49),0)</f>
        <v>0</v>
      </c>
      <c r="AX41" s="200">
        <f>IFERROR(AVERAGE(AX42:AX49),0)</f>
        <v>0</v>
      </c>
      <c r="AY41" s="199">
        <f>IFERROR(SUM(AY42:AY49),0)</f>
        <v>0</v>
      </c>
      <c r="AZ41" s="198">
        <f>IFERROR(SUM(AZ42:AZ49),0)</f>
        <v>0</v>
      </c>
      <c r="BA41" s="200">
        <f>IFERROR(AVERAGE(BA42:BA49),0)</f>
        <v>0</v>
      </c>
      <c r="BB41" s="200">
        <f>IFERROR(AVERAGE(BB42:BB49),0)</f>
        <v>0</v>
      </c>
      <c r="BC41" s="199">
        <f>IFERROR(SUM(BC42:BC49),0)</f>
        <v>0</v>
      </c>
      <c r="BD41" s="198">
        <f>IFERROR(SUM(BD42:BD49),0)</f>
        <v>0</v>
      </c>
      <c r="BE41" s="200">
        <f>IFERROR(AVERAGE(BE42:BE49),0)</f>
        <v>0</v>
      </c>
      <c r="BF41" s="200">
        <f>IFERROR(AVERAGE(BF42:BF49),0)</f>
        <v>0</v>
      </c>
      <c r="BG41" s="199">
        <f>IFERROR(SUM(BG42:BG49),0)</f>
        <v>0</v>
      </c>
      <c r="BH41" s="198">
        <f>IFERROR(SUM(BH42:BH49),0)</f>
        <v>0</v>
      </c>
      <c r="BI41" s="199">
        <f t="shared" si="1"/>
        <v>0</v>
      </c>
      <c r="BJ41" s="198">
        <f>BI41*$G$41</f>
        <v>0</v>
      </c>
      <c r="BK41" s="200" t="e">
        <f>J41*(H41+I41)/(BI41)</f>
        <v>#REF!</v>
      </c>
    </row>
    <row r="42" spans="1:63">
      <c r="A42" s="312"/>
      <c r="B42" s="310"/>
      <c r="C42" s="41" t="s">
        <v>144</v>
      </c>
      <c r="D42" s="94" t="e">
        <f>'MH-LAM4 -1225-San Miguel-Antoni'!#REF!</f>
        <v>#REF!</v>
      </c>
      <c r="E42" s="93" t="e">
        <f>VLOOKUP(D42,'MH-LAM4 -1225-San Miguel-Antoni'!$D$2:$E$84,2,FALSE)</f>
        <v>#REF!</v>
      </c>
      <c r="F42" s="150" t="s">
        <v>322</v>
      </c>
      <c r="G42" s="149">
        <f>IF(F42="BAJA",0.8,IF(F42="MEDIA",1,IF(F42="ALTA",1.4,IF(F42="MUY ALTA",2))))</f>
        <v>1</v>
      </c>
      <c r="H42" s="160" t="e" cm="1">
        <f t="array" ref="H42">G42*INDEX('MH-LAM4 -1225-San Miguel-Antoni'!$B$2:$G$68,MATCH($D$40&amp;D42&amp;$B$5,'MH-LAM4 -1225-San Miguel-Antoni'!$C$2:$C$68&amp;'MH-LAM4 -1225-San Miguel-Antoni'!$D$2:$D$68&amp;'MH-LAM4 -1225-San Miguel-Antoni'!$B$2:$B$68,0),5)/J42</f>
        <v>#REF!</v>
      </c>
      <c r="I42" s="160" t="e" cm="1">
        <f t="array" ref="I42">G42*INDEX('MH-LAM4 -1225-San Miguel-Antoni'!$B$2:$G$68,MATCH($D$40&amp;D42&amp;$B$5,'MH-LAM4 -1225-San Miguel-Antoni'!$C$2:$C$68&amp;'MH-LAM4 -1225-San Miguel-Antoni'!$D$2:$D$68&amp;'MH-LAM4 -1225-San Miguel-Antoni'!$B$2:$B$68,0),6)/J42</f>
        <v>#REF!</v>
      </c>
      <c r="J42" s="190">
        <f>VLOOKUP($D$41,APUs!$B$2:$I$50,7,FALSE)</f>
        <v>0.97</v>
      </c>
      <c r="K42" s="191" t="e">
        <f>$G$41*(H42+I42)/J42</f>
        <v>#REF!</v>
      </c>
      <c r="L42" s="191"/>
      <c r="M42" s="142"/>
      <c r="N42" s="142"/>
      <c r="O42" s="160"/>
      <c r="P42" s="143">
        <f t="shared" ref="P42:P49" si="86">O42*$G$34</f>
        <v>0</v>
      </c>
      <c r="Q42" s="142"/>
      <c r="R42" s="142"/>
      <c r="S42" s="160"/>
      <c r="T42" s="143">
        <f t="shared" ref="T42:T49" si="87">S42*$G$34</f>
        <v>0</v>
      </c>
      <c r="U42" s="142"/>
      <c r="V42" s="142"/>
      <c r="W42" s="160"/>
      <c r="X42" s="143">
        <f t="shared" ref="X42:X49" si="88">W42*$G$34</f>
        <v>0</v>
      </c>
      <c r="Y42" s="142"/>
      <c r="Z42" s="142"/>
      <c r="AA42" s="160"/>
      <c r="AB42" s="143">
        <f t="shared" ref="AB42:AB49" si="89">AA42*$G$34</f>
        <v>0</v>
      </c>
      <c r="AC42" s="142"/>
      <c r="AD42" s="142"/>
      <c r="AE42" s="160"/>
      <c r="AF42" s="143">
        <f t="shared" ref="AF42:AF49" si="90">AE42*$G$34</f>
        <v>0</v>
      </c>
      <c r="AG42" s="142"/>
      <c r="AH42" s="142"/>
      <c r="AI42" s="160"/>
      <c r="AJ42" s="143">
        <f t="shared" ref="AJ42:AJ49" si="91">AI42*$G$34</f>
        <v>0</v>
      </c>
      <c r="AK42" s="142"/>
      <c r="AL42" s="142"/>
      <c r="AM42" s="160"/>
      <c r="AN42" s="143">
        <f t="shared" ref="AN42:AN49" si="92">AM42*$G$34</f>
        <v>0</v>
      </c>
      <c r="AO42" s="142"/>
      <c r="AP42" s="142"/>
      <c r="AQ42" s="160"/>
      <c r="AR42" s="143">
        <f t="shared" ref="AR42:AR49" si="93">AQ42*$G$34</f>
        <v>0</v>
      </c>
      <c r="AS42" s="142"/>
      <c r="AT42" s="142"/>
      <c r="AU42" s="160"/>
      <c r="AV42" s="143">
        <f t="shared" ref="AV42:AV49" si="94">AU42*$G$34</f>
        <v>0</v>
      </c>
      <c r="AW42" s="142"/>
      <c r="AX42" s="142"/>
      <c r="AY42" s="160"/>
      <c r="AZ42" s="143">
        <f t="shared" ref="AZ42:AZ49" si="95">AY42*$G$34</f>
        <v>0</v>
      </c>
      <c r="BA42" s="142"/>
      <c r="BB42" s="142"/>
      <c r="BC42" s="160"/>
      <c r="BD42" s="143">
        <f t="shared" ref="BD42:BD49" si="96">BC42*$G$34</f>
        <v>0</v>
      </c>
      <c r="BE42" s="142"/>
      <c r="BF42" s="142"/>
      <c r="BG42" s="160"/>
      <c r="BH42" s="143">
        <f t="shared" ref="BH42:BH49" si="97">BG42*$G$34</f>
        <v>0</v>
      </c>
      <c r="BI42" s="161">
        <f t="shared" si="1"/>
        <v>0</v>
      </c>
      <c r="BJ42" s="116"/>
      <c r="BK42" s="115"/>
    </row>
    <row r="43" spans="1:63">
      <c r="A43" s="312"/>
      <c r="B43" s="310"/>
      <c r="C43" s="41" t="s">
        <v>144</v>
      </c>
      <c r="D43" s="94" t="e">
        <f>'MH-LAM4 -1225-San Miguel-Antoni'!#REF!</f>
        <v>#REF!</v>
      </c>
      <c r="E43" s="93" t="e">
        <f>VLOOKUP(D43,'MH-LAM4 -1225-San Miguel-Antoni'!$D$2:$E$84,2,FALSE)</f>
        <v>#REF!</v>
      </c>
      <c r="F43" s="150" t="s">
        <v>322</v>
      </c>
      <c r="G43" s="149">
        <f t="shared" ref="G43:G49" si="98">IF(F43="BAJA",0.8,IF(F43="MEDIA",1,IF(F43="ALTA",1.4,IF(F43="MUY ALTA",2))))</f>
        <v>1</v>
      </c>
      <c r="H43" s="160" t="e" cm="1">
        <f t="array" ref="H43">G43*INDEX('MH-LAM4 -1225-San Miguel-Antoni'!$B$2:$G$68,MATCH($D$40&amp;D43&amp;$B$5,'MH-LAM4 -1225-San Miguel-Antoni'!$C$2:$C$68&amp;'MH-LAM4 -1225-San Miguel-Antoni'!$D$2:$D$68&amp;'MH-LAM4 -1225-San Miguel-Antoni'!$B$2:$B$68,0),5)/J43</f>
        <v>#REF!</v>
      </c>
      <c r="I43" s="160" t="e" cm="1">
        <f t="array" ref="I43">G43*INDEX('MH-LAM4 -1225-San Miguel-Antoni'!$B$2:$G$68,MATCH($D$40&amp;D43&amp;$B$5,'MH-LAM4 -1225-San Miguel-Antoni'!$C$2:$C$68&amp;'MH-LAM4 -1225-San Miguel-Antoni'!$D$2:$D$68&amp;'MH-LAM4 -1225-San Miguel-Antoni'!$B$2:$B$68,0),6)/J43</f>
        <v>#REF!</v>
      </c>
      <c r="J43" s="190">
        <f>VLOOKUP($D$41,APUs!$B$2:$I$50,7,FALSE)</f>
        <v>0.97</v>
      </c>
      <c r="K43" s="191" t="e">
        <f>$G$41*(H43+I43)/J43</f>
        <v>#REF!</v>
      </c>
      <c r="L43" s="191"/>
      <c r="M43" s="142"/>
      <c r="N43" s="142"/>
      <c r="O43" s="160"/>
      <c r="P43" s="143">
        <f t="shared" si="86"/>
        <v>0</v>
      </c>
      <c r="Q43" s="142"/>
      <c r="R43" s="142"/>
      <c r="S43" s="160"/>
      <c r="T43" s="143">
        <f t="shared" si="87"/>
        <v>0</v>
      </c>
      <c r="U43" s="142"/>
      <c r="V43" s="142"/>
      <c r="W43" s="160"/>
      <c r="X43" s="143">
        <f t="shared" si="88"/>
        <v>0</v>
      </c>
      <c r="Y43" s="142"/>
      <c r="Z43" s="142"/>
      <c r="AA43" s="160"/>
      <c r="AB43" s="143">
        <f t="shared" si="89"/>
        <v>0</v>
      </c>
      <c r="AC43" s="142"/>
      <c r="AD43" s="142"/>
      <c r="AE43" s="160"/>
      <c r="AF43" s="143">
        <f t="shared" si="90"/>
        <v>0</v>
      </c>
      <c r="AG43" s="142"/>
      <c r="AH43" s="142"/>
      <c r="AI43" s="160"/>
      <c r="AJ43" s="143">
        <f t="shared" si="91"/>
        <v>0</v>
      </c>
      <c r="AK43" s="142"/>
      <c r="AL43" s="142"/>
      <c r="AM43" s="160"/>
      <c r="AN43" s="143">
        <f t="shared" si="92"/>
        <v>0</v>
      </c>
      <c r="AO43" s="142"/>
      <c r="AP43" s="142"/>
      <c r="AQ43" s="160"/>
      <c r="AR43" s="143">
        <f t="shared" si="93"/>
        <v>0</v>
      </c>
      <c r="AS43" s="142"/>
      <c r="AT43" s="142"/>
      <c r="AU43" s="160"/>
      <c r="AV43" s="143">
        <f t="shared" si="94"/>
        <v>0</v>
      </c>
      <c r="AW43" s="142"/>
      <c r="AX43" s="142"/>
      <c r="AY43" s="160"/>
      <c r="AZ43" s="143">
        <f t="shared" si="95"/>
        <v>0</v>
      </c>
      <c r="BA43" s="142"/>
      <c r="BB43" s="142"/>
      <c r="BC43" s="160"/>
      <c r="BD43" s="143">
        <f t="shared" si="96"/>
        <v>0</v>
      </c>
      <c r="BE43" s="142"/>
      <c r="BF43" s="142"/>
      <c r="BG43" s="160"/>
      <c r="BH43" s="143">
        <f t="shared" si="97"/>
        <v>0</v>
      </c>
      <c r="BI43" s="161">
        <f t="shared" si="1"/>
        <v>0</v>
      </c>
      <c r="BJ43" s="116"/>
      <c r="BK43" s="115"/>
    </row>
    <row r="44" spans="1:63">
      <c r="A44" s="312"/>
      <c r="B44" s="310"/>
      <c r="C44" s="41" t="s">
        <v>144</v>
      </c>
      <c r="D44" s="94" t="str">
        <f>'MH-LAM4 -1225-San Miguel-Antoni'!D17</f>
        <v>IIGG - Lev. de Observaciones de Muni</v>
      </c>
      <c r="E44" s="93" t="str">
        <f>VLOOKUP(D44,'MH-LAM4 -1225-San Miguel-Antoni'!$D$2:$E$84,2,FALSE)</f>
        <v>V 3.0 - PRELIMINAR A ENTREGA A MUNI</v>
      </c>
      <c r="F44" s="150" t="s">
        <v>322</v>
      </c>
      <c r="G44" s="149">
        <f t="shared" si="98"/>
        <v>1</v>
      </c>
      <c r="H44" s="160" cm="1">
        <f t="array" ref="H44">G44*INDEX('MH-LAM4 -1225-San Miguel-Antoni'!$B$2:$G$68,MATCH($D$40&amp;D44&amp;$B$5,'MH-LAM4 -1225-San Miguel-Antoni'!$C$2:$C$68&amp;'MH-LAM4 -1225-San Miguel-Antoni'!$D$2:$D$68&amp;'MH-LAM4 -1225-San Miguel-Antoni'!$B$2:$B$68,0),5)/J44</f>
        <v>1.0309278350515465</v>
      </c>
      <c r="I44" s="160" cm="1">
        <f t="array" ref="I44">G44*INDEX('MH-LAM4 -1225-San Miguel-Antoni'!$B$2:$G$68,MATCH($D$40&amp;D44&amp;$B$5,'MH-LAM4 -1225-San Miguel-Antoni'!$C$2:$C$68&amp;'MH-LAM4 -1225-San Miguel-Antoni'!$D$2:$D$68&amp;'MH-LAM4 -1225-San Miguel-Antoni'!$B$2:$B$68,0),6)/J44</f>
        <v>0</v>
      </c>
      <c r="J44" s="190">
        <f>VLOOKUP($D$41,APUs!$B$2:$I$50,7,FALSE)</f>
        <v>0.97</v>
      </c>
      <c r="K44" s="191">
        <f>$G$41*(H44+I44)/J44</f>
        <v>15.183031444058123</v>
      </c>
      <c r="L44" s="191"/>
      <c r="M44" s="142"/>
      <c r="N44" s="142"/>
      <c r="O44" s="160"/>
      <c r="P44" s="143">
        <f t="shared" si="86"/>
        <v>0</v>
      </c>
      <c r="Q44" s="142"/>
      <c r="R44" s="142"/>
      <c r="S44" s="160"/>
      <c r="T44" s="143">
        <f t="shared" si="87"/>
        <v>0</v>
      </c>
      <c r="U44" s="142"/>
      <c r="V44" s="142"/>
      <c r="W44" s="160"/>
      <c r="X44" s="143">
        <f t="shared" si="88"/>
        <v>0</v>
      </c>
      <c r="Y44" s="142"/>
      <c r="Z44" s="142"/>
      <c r="AA44" s="160"/>
      <c r="AB44" s="143">
        <f t="shared" si="89"/>
        <v>0</v>
      </c>
      <c r="AC44" s="142"/>
      <c r="AD44" s="142"/>
      <c r="AE44" s="160"/>
      <c r="AF44" s="143">
        <f t="shared" si="90"/>
        <v>0</v>
      </c>
      <c r="AG44" s="142"/>
      <c r="AH44" s="142"/>
      <c r="AI44" s="160"/>
      <c r="AJ44" s="143">
        <f t="shared" si="91"/>
        <v>0</v>
      </c>
      <c r="AK44" s="142"/>
      <c r="AL44" s="142"/>
      <c r="AM44" s="160"/>
      <c r="AN44" s="143">
        <f t="shared" si="92"/>
        <v>0</v>
      </c>
      <c r="AO44" s="142"/>
      <c r="AP44" s="142"/>
      <c r="AQ44" s="160"/>
      <c r="AR44" s="143">
        <f t="shared" si="93"/>
        <v>0</v>
      </c>
      <c r="AS44" s="142"/>
      <c r="AT44" s="142"/>
      <c r="AU44" s="160"/>
      <c r="AV44" s="143">
        <f t="shared" si="94"/>
        <v>0</v>
      </c>
      <c r="AW44" s="142"/>
      <c r="AX44" s="142"/>
      <c r="AY44" s="160"/>
      <c r="AZ44" s="143">
        <f t="shared" si="95"/>
        <v>0</v>
      </c>
      <c r="BA44" s="142"/>
      <c r="BB44" s="142"/>
      <c r="BC44" s="160"/>
      <c r="BD44" s="143">
        <f t="shared" si="96"/>
        <v>0</v>
      </c>
      <c r="BE44" s="142"/>
      <c r="BF44" s="142"/>
      <c r="BG44" s="160"/>
      <c r="BH44" s="143">
        <f t="shared" si="97"/>
        <v>0</v>
      </c>
      <c r="BI44" s="161">
        <f t="shared" si="1"/>
        <v>0</v>
      </c>
      <c r="BJ44" s="116"/>
      <c r="BK44" s="115"/>
    </row>
    <row r="45" spans="1:63">
      <c r="A45" s="312"/>
      <c r="B45" s="310"/>
      <c r="C45" s="41" t="s">
        <v>144</v>
      </c>
      <c r="D45" s="94" t="str">
        <f>'MH-LAM4 -1225-San Miguel-Antoni'!D18</f>
        <v>IIGG - Revisión de Municipalidad</v>
      </c>
      <c r="E45" s="93" t="str">
        <f>VLOOKUP(D45,'MH-LAM4 -1225-San Miguel-Antoni'!$D$2:$E$84,2,FALSE)</f>
        <v>V 3.1 - ENTREGA TÉCNICA FINAL A MUNI</v>
      </c>
      <c r="F45" s="150" t="s">
        <v>322</v>
      </c>
      <c r="G45" s="149">
        <f t="shared" si="98"/>
        <v>1</v>
      </c>
      <c r="H45" s="160" cm="1">
        <f t="array" ref="H45">G45*INDEX('MH-LAM4 -1225-San Miguel-Antoni'!$B$2:$G$68,MATCH($D$40&amp;D45&amp;$B$5,'MH-LAM4 -1225-San Miguel-Antoni'!$C$2:$C$68&amp;'MH-LAM4 -1225-San Miguel-Antoni'!$D$2:$D$68&amp;'MH-LAM4 -1225-San Miguel-Antoni'!$B$2:$B$68,0),5)/J45</f>
        <v>0</v>
      </c>
      <c r="I45" s="160" cm="1">
        <f t="array" ref="I45">G45*INDEX('MH-LAM4 -1225-San Miguel-Antoni'!$B$2:$G$68,MATCH($D$40&amp;D45&amp;$B$5,'MH-LAM4 -1225-San Miguel-Antoni'!$C$2:$C$68&amp;'MH-LAM4 -1225-San Miguel-Antoni'!$D$2:$D$68&amp;'MH-LAM4 -1225-San Miguel-Antoni'!$B$2:$B$68,0),6)/J45</f>
        <v>0</v>
      </c>
      <c r="J45" s="190">
        <f>VLOOKUP($D$41,APUs!$B$2:$I$50,7,FALSE)</f>
        <v>0.97</v>
      </c>
      <c r="K45" s="191">
        <f>$G$41*(H45+I45)/J45</f>
        <v>0</v>
      </c>
      <c r="L45" s="191"/>
      <c r="M45" s="142"/>
      <c r="N45" s="142"/>
      <c r="O45" s="160"/>
      <c r="P45" s="143">
        <f t="shared" si="86"/>
        <v>0</v>
      </c>
      <c r="Q45" s="142"/>
      <c r="R45" s="142"/>
      <c r="S45" s="160"/>
      <c r="T45" s="143">
        <f t="shared" si="87"/>
        <v>0</v>
      </c>
      <c r="U45" s="142"/>
      <c r="V45" s="142"/>
      <c r="W45" s="160"/>
      <c r="X45" s="143">
        <f t="shared" si="88"/>
        <v>0</v>
      </c>
      <c r="Y45" s="142"/>
      <c r="Z45" s="142"/>
      <c r="AA45" s="160"/>
      <c r="AB45" s="143">
        <f t="shared" si="89"/>
        <v>0</v>
      </c>
      <c r="AC45" s="142"/>
      <c r="AD45" s="142"/>
      <c r="AE45" s="160"/>
      <c r="AF45" s="143">
        <f t="shared" si="90"/>
        <v>0</v>
      </c>
      <c r="AG45" s="142"/>
      <c r="AH45" s="142"/>
      <c r="AI45" s="160"/>
      <c r="AJ45" s="143">
        <f t="shared" si="91"/>
        <v>0</v>
      </c>
      <c r="AK45" s="142"/>
      <c r="AL45" s="142"/>
      <c r="AM45" s="160"/>
      <c r="AN45" s="143">
        <f t="shared" si="92"/>
        <v>0</v>
      </c>
      <c r="AO45" s="142"/>
      <c r="AP45" s="142"/>
      <c r="AQ45" s="160"/>
      <c r="AR45" s="143">
        <f t="shared" si="93"/>
        <v>0</v>
      </c>
      <c r="AS45" s="142"/>
      <c r="AT45" s="142"/>
      <c r="AU45" s="160"/>
      <c r="AV45" s="143">
        <f t="shared" si="94"/>
        <v>0</v>
      </c>
      <c r="AW45" s="142"/>
      <c r="AX45" s="142"/>
      <c r="AY45" s="160"/>
      <c r="AZ45" s="143">
        <f t="shared" si="95"/>
        <v>0</v>
      </c>
      <c r="BA45" s="142"/>
      <c r="BB45" s="142"/>
      <c r="BC45" s="160"/>
      <c r="BD45" s="143">
        <f t="shared" si="96"/>
        <v>0</v>
      </c>
      <c r="BE45" s="142"/>
      <c r="BF45" s="142"/>
      <c r="BG45" s="160"/>
      <c r="BH45" s="143">
        <f t="shared" si="97"/>
        <v>0</v>
      </c>
      <c r="BI45" s="161">
        <f t="shared" si="1"/>
        <v>0</v>
      </c>
      <c r="BJ45" s="116"/>
      <c r="BK45" s="115"/>
    </row>
    <row r="46" spans="1:63">
      <c r="A46" s="312"/>
      <c r="B46" s="310"/>
      <c r="C46" s="41" t="s">
        <v>144</v>
      </c>
      <c r="D46" s="94" t="e">
        <f>'MH-LAM4 -1225-San Miguel-Antoni'!#REF!</f>
        <v>#REF!</v>
      </c>
      <c r="E46" s="93" t="e">
        <f>VLOOKUP(D46,'MH-LAM4 -1225-San Miguel-Antoni'!$D$2:$E$84,2,FALSE)</f>
        <v>#REF!</v>
      </c>
      <c r="F46" s="150" t="s">
        <v>322</v>
      </c>
      <c r="G46" s="149">
        <f t="shared" si="98"/>
        <v>1</v>
      </c>
      <c r="H46" s="160" t="e" cm="1">
        <f t="array" ref="H46">G46*INDEX('MH-LAM4 -1225-San Miguel-Antoni'!$B$2:$G$68,MATCH($D$40&amp;D46&amp;$B$5,'MH-LAM4 -1225-San Miguel-Antoni'!$C$2:$C$68&amp;'MH-LAM4 -1225-San Miguel-Antoni'!$D$2:$D$68&amp;'MH-LAM4 -1225-San Miguel-Antoni'!$B$2:$B$68,0),5)/J46</f>
        <v>#REF!</v>
      </c>
      <c r="I46" s="160" t="e" cm="1">
        <f t="array" ref="I46">G46*INDEX('MH-LAM4 -1225-San Miguel-Antoni'!$B$2:$G$68,MATCH($D$40&amp;D46&amp;$B$5,'MH-LAM4 -1225-San Miguel-Antoni'!$C$2:$C$68&amp;'MH-LAM4 -1225-San Miguel-Antoni'!$D$2:$D$68&amp;'MH-LAM4 -1225-San Miguel-Antoni'!$B$2:$B$68,0),6)/J46</f>
        <v>#REF!</v>
      </c>
      <c r="J46" s="190">
        <f>VLOOKUP($D$41,APUs!$B$2:$I$50,7,FALSE)</f>
        <v>0.97</v>
      </c>
      <c r="K46" s="191" t="e">
        <f>$G$41*(H46+I46)/J46</f>
        <v>#REF!</v>
      </c>
      <c r="L46" s="191"/>
      <c r="M46" s="142"/>
      <c r="N46" s="142"/>
      <c r="O46" s="160"/>
      <c r="P46" s="143">
        <f t="shared" si="86"/>
        <v>0</v>
      </c>
      <c r="Q46" s="142"/>
      <c r="R46" s="142"/>
      <c r="S46" s="160"/>
      <c r="T46" s="143">
        <f t="shared" si="87"/>
        <v>0</v>
      </c>
      <c r="U46" s="142"/>
      <c r="V46" s="142"/>
      <c r="W46" s="160"/>
      <c r="X46" s="143">
        <f t="shared" si="88"/>
        <v>0</v>
      </c>
      <c r="Y46" s="142"/>
      <c r="Z46" s="142"/>
      <c r="AA46" s="160"/>
      <c r="AB46" s="143">
        <f t="shared" si="89"/>
        <v>0</v>
      </c>
      <c r="AC46" s="142"/>
      <c r="AD46" s="142"/>
      <c r="AE46" s="160"/>
      <c r="AF46" s="143">
        <f t="shared" si="90"/>
        <v>0</v>
      </c>
      <c r="AG46" s="142"/>
      <c r="AH46" s="142"/>
      <c r="AI46" s="160"/>
      <c r="AJ46" s="143">
        <f t="shared" si="91"/>
        <v>0</v>
      </c>
      <c r="AK46" s="142"/>
      <c r="AL46" s="142"/>
      <c r="AM46" s="160"/>
      <c r="AN46" s="143">
        <f t="shared" si="92"/>
        <v>0</v>
      </c>
      <c r="AO46" s="142"/>
      <c r="AP46" s="142"/>
      <c r="AQ46" s="160"/>
      <c r="AR46" s="143">
        <f t="shared" si="93"/>
        <v>0</v>
      </c>
      <c r="AS46" s="142"/>
      <c r="AT46" s="142"/>
      <c r="AU46" s="160"/>
      <c r="AV46" s="143">
        <f t="shared" si="94"/>
        <v>0</v>
      </c>
      <c r="AW46" s="142"/>
      <c r="AX46" s="142"/>
      <c r="AY46" s="160"/>
      <c r="AZ46" s="143">
        <f t="shared" si="95"/>
        <v>0</v>
      </c>
      <c r="BA46" s="142"/>
      <c r="BB46" s="142"/>
      <c r="BC46" s="160"/>
      <c r="BD46" s="143">
        <f t="shared" si="96"/>
        <v>0</v>
      </c>
      <c r="BE46" s="142"/>
      <c r="BF46" s="142"/>
      <c r="BG46" s="160"/>
      <c r="BH46" s="143">
        <f t="shared" si="97"/>
        <v>0</v>
      </c>
      <c r="BI46" s="161">
        <f t="shared" si="1"/>
        <v>0</v>
      </c>
      <c r="BJ46" s="116"/>
      <c r="BK46" s="115"/>
    </row>
    <row r="47" spans="1:63">
      <c r="A47" s="312"/>
      <c r="B47" s="310"/>
      <c r="C47" s="41" t="s">
        <v>144</v>
      </c>
      <c r="D47" s="94" t="e">
        <f>'MH-LAM4 -1225-San Miguel-Antoni'!#REF!</f>
        <v>#REF!</v>
      </c>
      <c r="E47" s="93" t="e">
        <f>VLOOKUP(D47,'MH-LAM4 -1225-San Miguel-Antoni'!$D$2:$E$84,2,FALSE)</f>
        <v>#REF!</v>
      </c>
      <c r="F47" s="150" t="s">
        <v>322</v>
      </c>
      <c r="G47" s="149">
        <f t="shared" si="98"/>
        <v>1</v>
      </c>
      <c r="H47" s="160" t="e" cm="1">
        <f t="array" ref="H47">G47*INDEX('MH-LAM4 -1225-San Miguel-Antoni'!$B$2:$G$68,MATCH($D$40&amp;D47&amp;$B$5,'MH-LAM4 -1225-San Miguel-Antoni'!$C$2:$C$68&amp;'MH-LAM4 -1225-San Miguel-Antoni'!$D$2:$D$68&amp;'MH-LAM4 -1225-San Miguel-Antoni'!$B$2:$B$68,0),5)/J47</f>
        <v>#REF!</v>
      </c>
      <c r="I47" s="160" t="e" cm="1">
        <f t="array" ref="I47">G47*INDEX('MH-LAM4 -1225-San Miguel-Antoni'!$B$2:$G$68,MATCH($D$40&amp;D47&amp;$B$5,'MH-LAM4 -1225-San Miguel-Antoni'!$C$2:$C$68&amp;'MH-LAM4 -1225-San Miguel-Antoni'!$D$2:$D$68&amp;'MH-LAM4 -1225-San Miguel-Antoni'!$B$2:$B$68,0),6)/J47</f>
        <v>#REF!</v>
      </c>
      <c r="J47" s="190">
        <f>VLOOKUP($D$41,APUs!$B$2:$I$50,7,FALSE)</f>
        <v>0.97</v>
      </c>
      <c r="K47" s="191" t="e">
        <f>$G$41*(H47+I47)/J47</f>
        <v>#REF!</v>
      </c>
      <c r="L47" s="191"/>
      <c r="M47" s="142"/>
      <c r="N47" s="142"/>
      <c r="O47" s="160"/>
      <c r="P47" s="143">
        <f t="shared" si="86"/>
        <v>0</v>
      </c>
      <c r="Q47" s="142"/>
      <c r="R47" s="142"/>
      <c r="S47" s="160"/>
      <c r="T47" s="143">
        <f t="shared" si="87"/>
        <v>0</v>
      </c>
      <c r="U47" s="142"/>
      <c r="V47" s="142"/>
      <c r="W47" s="160"/>
      <c r="X47" s="143">
        <f t="shared" si="88"/>
        <v>0</v>
      </c>
      <c r="Y47" s="142"/>
      <c r="Z47" s="142"/>
      <c r="AA47" s="160"/>
      <c r="AB47" s="143">
        <f t="shared" si="89"/>
        <v>0</v>
      </c>
      <c r="AC47" s="142"/>
      <c r="AD47" s="142"/>
      <c r="AE47" s="160"/>
      <c r="AF47" s="143">
        <f t="shared" si="90"/>
        <v>0</v>
      </c>
      <c r="AG47" s="142"/>
      <c r="AH47" s="142"/>
      <c r="AI47" s="160"/>
      <c r="AJ47" s="143">
        <f t="shared" si="91"/>
        <v>0</v>
      </c>
      <c r="AK47" s="142"/>
      <c r="AL47" s="142"/>
      <c r="AM47" s="160"/>
      <c r="AN47" s="143">
        <f t="shared" si="92"/>
        <v>0</v>
      </c>
      <c r="AO47" s="142"/>
      <c r="AP47" s="142"/>
      <c r="AQ47" s="160"/>
      <c r="AR47" s="143">
        <f t="shared" si="93"/>
        <v>0</v>
      </c>
      <c r="AS47" s="142"/>
      <c r="AT47" s="142"/>
      <c r="AU47" s="160"/>
      <c r="AV47" s="143">
        <f t="shared" si="94"/>
        <v>0</v>
      </c>
      <c r="AW47" s="142"/>
      <c r="AX47" s="142"/>
      <c r="AY47" s="160"/>
      <c r="AZ47" s="143">
        <f t="shared" si="95"/>
        <v>0</v>
      </c>
      <c r="BA47" s="142"/>
      <c r="BB47" s="142"/>
      <c r="BC47" s="160"/>
      <c r="BD47" s="143">
        <f t="shared" si="96"/>
        <v>0</v>
      </c>
      <c r="BE47" s="142"/>
      <c r="BF47" s="142"/>
      <c r="BG47" s="160"/>
      <c r="BH47" s="143">
        <f t="shared" si="97"/>
        <v>0</v>
      </c>
      <c r="BI47" s="161">
        <f t="shared" si="1"/>
        <v>0</v>
      </c>
      <c r="BJ47" s="116"/>
      <c r="BK47" s="115"/>
    </row>
    <row r="48" spans="1:63">
      <c r="A48" s="312"/>
      <c r="B48" s="310"/>
      <c r="C48" s="41" t="s">
        <v>144</v>
      </c>
      <c r="D48" s="94" t="e">
        <f>'MH-LAM4 -1225-San Miguel-Antoni'!#REF!</f>
        <v>#REF!</v>
      </c>
      <c r="E48" s="93" t="e">
        <f>VLOOKUP(D48,'MH-LAM4 -1225-San Miguel-Antoni'!$D$2:$E$84,2,FALSE)</f>
        <v>#REF!</v>
      </c>
      <c r="F48" s="150" t="s">
        <v>322</v>
      </c>
      <c r="G48" s="149">
        <f t="shared" si="98"/>
        <v>1</v>
      </c>
      <c r="H48" s="160" t="e" cm="1">
        <f t="array" ref="H48">G48*INDEX('MH-LAM4 -1225-San Miguel-Antoni'!$B$2:$G$68,MATCH($D$40&amp;D48&amp;$B$5,'MH-LAM4 -1225-San Miguel-Antoni'!$C$2:$C$68&amp;'MH-LAM4 -1225-San Miguel-Antoni'!$D$2:$D$68&amp;'MH-LAM4 -1225-San Miguel-Antoni'!$B$2:$B$68,0),5)/J48</f>
        <v>#REF!</v>
      </c>
      <c r="I48" s="160" t="e" cm="1">
        <f t="array" ref="I48">G48*INDEX('MH-LAM4 -1225-San Miguel-Antoni'!$B$2:$G$68,MATCH($D$40&amp;D48&amp;$B$5,'MH-LAM4 -1225-San Miguel-Antoni'!$C$2:$C$68&amp;'MH-LAM4 -1225-San Miguel-Antoni'!$D$2:$D$68&amp;'MH-LAM4 -1225-San Miguel-Antoni'!$B$2:$B$68,0),6)/J48</f>
        <v>#REF!</v>
      </c>
      <c r="J48" s="190">
        <f>VLOOKUP($D$41,APUs!$B$2:$I$50,7,FALSE)</f>
        <v>0.97</v>
      </c>
      <c r="K48" s="191" t="e">
        <f>$G$41*(H48+I48)/J48</f>
        <v>#REF!</v>
      </c>
      <c r="L48" s="191"/>
      <c r="M48" s="142"/>
      <c r="N48" s="142"/>
      <c r="O48" s="160"/>
      <c r="P48" s="143">
        <f t="shared" si="86"/>
        <v>0</v>
      </c>
      <c r="Q48" s="142"/>
      <c r="R48" s="142"/>
      <c r="S48" s="160"/>
      <c r="T48" s="143">
        <f t="shared" si="87"/>
        <v>0</v>
      </c>
      <c r="U48" s="142"/>
      <c r="V48" s="142"/>
      <c r="W48" s="160"/>
      <c r="X48" s="143">
        <f t="shared" si="88"/>
        <v>0</v>
      </c>
      <c r="Y48" s="142"/>
      <c r="Z48" s="142"/>
      <c r="AA48" s="160"/>
      <c r="AB48" s="143">
        <f t="shared" si="89"/>
        <v>0</v>
      </c>
      <c r="AC48" s="142"/>
      <c r="AD48" s="142"/>
      <c r="AE48" s="160"/>
      <c r="AF48" s="143">
        <f t="shared" si="90"/>
        <v>0</v>
      </c>
      <c r="AG48" s="142"/>
      <c r="AH48" s="142"/>
      <c r="AI48" s="160"/>
      <c r="AJ48" s="143">
        <f t="shared" si="91"/>
        <v>0</v>
      </c>
      <c r="AK48" s="142"/>
      <c r="AL48" s="142"/>
      <c r="AM48" s="160"/>
      <c r="AN48" s="143">
        <f t="shared" si="92"/>
        <v>0</v>
      </c>
      <c r="AO48" s="142"/>
      <c r="AP48" s="142"/>
      <c r="AQ48" s="160"/>
      <c r="AR48" s="143">
        <f t="shared" si="93"/>
        <v>0</v>
      </c>
      <c r="AS48" s="142"/>
      <c r="AT48" s="142"/>
      <c r="AU48" s="160"/>
      <c r="AV48" s="143">
        <f t="shared" si="94"/>
        <v>0</v>
      </c>
      <c r="AW48" s="142"/>
      <c r="AX48" s="142"/>
      <c r="AY48" s="160"/>
      <c r="AZ48" s="143">
        <f t="shared" si="95"/>
        <v>0</v>
      </c>
      <c r="BA48" s="142"/>
      <c r="BB48" s="142"/>
      <c r="BC48" s="160"/>
      <c r="BD48" s="143">
        <f t="shared" si="96"/>
        <v>0</v>
      </c>
      <c r="BE48" s="142"/>
      <c r="BF48" s="142"/>
      <c r="BG48" s="160"/>
      <c r="BH48" s="143">
        <f t="shared" si="97"/>
        <v>0</v>
      </c>
      <c r="BI48" s="161">
        <f t="shared" si="1"/>
        <v>0</v>
      </c>
      <c r="BJ48" s="116"/>
      <c r="BK48" s="115"/>
    </row>
    <row r="49" spans="1:63">
      <c r="A49" s="312"/>
      <c r="B49" s="310"/>
      <c r="C49" s="41" t="s">
        <v>144</v>
      </c>
      <c r="D49" s="94" t="e">
        <f>'MH-LAM4 -1225-San Miguel-Antoni'!#REF!</f>
        <v>#REF!</v>
      </c>
      <c r="E49" s="93" t="e">
        <f>VLOOKUP(D49,'MH-LAM4 -1225-San Miguel-Antoni'!$D$2:$E$84,2,FALSE)</f>
        <v>#REF!</v>
      </c>
      <c r="F49" s="150" t="s">
        <v>322</v>
      </c>
      <c r="G49" s="149">
        <f t="shared" si="98"/>
        <v>1</v>
      </c>
      <c r="H49" s="160" t="e" cm="1">
        <f t="array" ref="H49">G49*INDEX('MH-LAM4 -1225-San Miguel-Antoni'!$B$2:$G$68,MATCH($D$40&amp;D49&amp;$B$5,'MH-LAM4 -1225-San Miguel-Antoni'!$C$2:$C$68&amp;'MH-LAM4 -1225-San Miguel-Antoni'!$D$2:$D$68&amp;'MH-LAM4 -1225-San Miguel-Antoni'!$B$2:$B$68,0),5)/J49</f>
        <v>#REF!</v>
      </c>
      <c r="I49" s="160" t="e" cm="1">
        <f t="array" ref="I49">G49*INDEX('MH-LAM4 -1225-San Miguel-Antoni'!$B$2:$G$68,MATCH($D$40&amp;D49&amp;$B$5,'MH-LAM4 -1225-San Miguel-Antoni'!$C$2:$C$68&amp;'MH-LAM4 -1225-San Miguel-Antoni'!$D$2:$D$68&amp;'MH-LAM4 -1225-San Miguel-Antoni'!$B$2:$B$68,0),6)/J49</f>
        <v>#REF!</v>
      </c>
      <c r="J49" s="190">
        <f>VLOOKUP($D$41,APUs!$B$2:$I$50,7,FALSE)</f>
        <v>0.97</v>
      </c>
      <c r="K49" s="191" t="e">
        <f>$G$41*(H49+I49)/J49</f>
        <v>#REF!</v>
      </c>
      <c r="L49" s="191"/>
      <c r="M49" s="142"/>
      <c r="N49" s="142"/>
      <c r="O49" s="160"/>
      <c r="P49" s="143">
        <f t="shared" si="86"/>
        <v>0</v>
      </c>
      <c r="Q49" s="142"/>
      <c r="R49" s="142"/>
      <c r="S49" s="160"/>
      <c r="T49" s="143">
        <f t="shared" si="87"/>
        <v>0</v>
      </c>
      <c r="U49" s="142"/>
      <c r="V49" s="142"/>
      <c r="W49" s="160"/>
      <c r="X49" s="143">
        <f t="shared" si="88"/>
        <v>0</v>
      </c>
      <c r="Y49" s="142"/>
      <c r="Z49" s="142"/>
      <c r="AA49" s="160"/>
      <c r="AB49" s="143">
        <f t="shared" si="89"/>
        <v>0</v>
      </c>
      <c r="AC49" s="142"/>
      <c r="AD49" s="142"/>
      <c r="AE49" s="160"/>
      <c r="AF49" s="143">
        <f t="shared" si="90"/>
        <v>0</v>
      </c>
      <c r="AG49" s="142"/>
      <c r="AH49" s="142"/>
      <c r="AI49" s="160"/>
      <c r="AJ49" s="143">
        <f t="shared" si="91"/>
        <v>0</v>
      </c>
      <c r="AK49" s="142"/>
      <c r="AL49" s="142"/>
      <c r="AM49" s="160"/>
      <c r="AN49" s="143">
        <f t="shared" si="92"/>
        <v>0</v>
      </c>
      <c r="AO49" s="142"/>
      <c r="AP49" s="142"/>
      <c r="AQ49" s="160"/>
      <c r="AR49" s="143">
        <f t="shared" si="93"/>
        <v>0</v>
      </c>
      <c r="AS49" s="142"/>
      <c r="AT49" s="142"/>
      <c r="AU49" s="160"/>
      <c r="AV49" s="143">
        <f t="shared" si="94"/>
        <v>0</v>
      </c>
      <c r="AW49" s="142"/>
      <c r="AX49" s="142"/>
      <c r="AY49" s="160"/>
      <c r="AZ49" s="143">
        <f t="shared" si="95"/>
        <v>0</v>
      </c>
      <c r="BA49" s="142"/>
      <c r="BB49" s="142"/>
      <c r="BC49" s="160"/>
      <c r="BD49" s="143">
        <f t="shared" si="96"/>
        <v>0</v>
      </c>
      <c r="BE49" s="142"/>
      <c r="BF49" s="142"/>
      <c r="BG49" s="160"/>
      <c r="BH49" s="143">
        <f t="shared" si="97"/>
        <v>0</v>
      </c>
      <c r="BI49" s="161">
        <f t="shared" si="1"/>
        <v>0</v>
      </c>
      <c r="BJ49" s="116"/>
      <c r="BK49" s="115"/>
    </row>
    <row r="50" spans="1:63">
      <c r="A50" s="312"/>
      <c r="B50" s="310"/>
      <c r="C50" s="111" t="s">
        <v>374</v>
      </c>
      <c r="D50" s="112" t="s">
        <v>93</v>
      </c>
      <c r="E50" s="112"/>
      <c r="F50" s="113"/>
      <c r="G50" s="162"/>
      <c r="H50" s="211"/>
      <c r="I50" s="212"/>
      <c r="J50" s="212"/>
      <c r="K50" s="212"/>
      <c r="L50" s="212"/>
      <c r="M50" s="214">
        <f>M51</f>
        <v>0</v>
      </c>
      <c r="N50" s="214">
        <f t="shared" ref="N50:BH50" si="99">N51</f>
        <v>0</v>
      </c>
      <c r="O50" s="214">
        <f t="shared" si="99"/>
        <v>0</v>
      </c>
      <c r="P50" s="214">
        <f t="shared" si="99"/>
        <v>0</v>
      </c>
      <c r="Q50" s="214">
        <f t="shared" si="99"/>
        <v>0</v>
      </c>
      <c r="R50" s="214">
        <f t="shared" si="99"/>
        <v>0</v>
      </c>
      <c r="S50" s="214">
        <f t="shared" si="99"/>
        <v>0</v>
      </c>
      <c r="T50" s="214">
        <f t="shared" si="99"/>
        <v>0</v>
      </c>
      <c r="U50" s="214">
        <f t="shared" si="99"/>
        <v>0</v>
      </c>
      <c r="V50" s="214">
        <f t="shared" si="99"/>
        <v>0</v>
      </c>
      <c r="W50" s="214">
        <f t="shared" si="99"/>
        <v>0</v>
      </c>
      <c r="X50" s="214">
        <f t="shared" si="99"/>
        <v>0</v>
      </c>
      <c r="Y50" s="214">
        <f t="shared" si="99"/>
        <v>0</v>
      </c>
      <c r="Z50" s="214">
        <f t="shared" si="99"/>
        <v>0</v>
      </c>
      <c r="AA50" s="214">
        <f t="shared" si="99"/>
        <v>0</v>
      </c>
      <c r="AB50" s="214">
        <f t="shared" si="99"/>
        <v>0</v>
      </c>
      <c r="AC50" s="214">
        <f t="shared" si="99"/>
        <v>0</v>
      </c>
      <c r="AD50" s="214">
        <f t="shared" si="99"/>
        <v>0</v>
      </c>
      <c r="AE50" s="214">
        <f t="shared" si="99"/>
        <v>0</v>
      </c>
      <c r="AF50" s="214">
        <f t="shared" si="99"/>
        <v>0</v>
      </c>
      <c r="AG50" s="214">
        <f t="shared" si="99"/>
        <v>0</v>
      </c>
      <c r="AH50" s="214">
        <f t="shared" si="99"/>
        <v>0</v>
      </c>
      <c r="AI50" s="214">
        <f t="shared" si="99"/>
        <v>0</v>
      </c>
      <c r="AJ50" s="214">
        <f t="shared" si="99"/>
        <v>0</v>
      </c>
      <c r="AK50" s="214">
        <f t="shared" si="99"/>
        <v>0</v>
      </c>
      <c r="AL50" s="214">
        <f t="shared" si="99"/>
        <v>0</v>
      </c>
      <c r="AM50" s="214">
        <f t="shared" si="99"/>
        <v>0</v>
      </c>
      <c r="AN50" s="214">
        <f t="shared" si="99"/>
        <v>0</v>
      </c>
      <c r="AO50" s="214">
        <f t="shared" si="99"/>
        <v>0</v>
      </c>
      <c r="AP50" s="214">
        <f t="shared" si="99"/>
        <v>0</v>
      </c>
      <c r="AQ50" s="214">
        <f t="shared" si="99"/>
        <v>0</v>
      </c>
      <c r="AR50" s="214">
        <f t="shared" si="99"/>
        <v>0</v>
      </c>
      <c r="AS50" s="214">
        <f t="shared" si="99"/>
        <v>0</v>
      </c>
      <c r="AT50" s="214">
        <f t="shared" si="99"/>
        <v>0</v>
      </c>
      <c r="AU50" s="214">
        <f t="shared" si="99"/>
        <v>0</v>
      </c>
      <c r="AV50" s="214">
        <f t="shared" si="99"/>
        <v>0</v>
      </c>
      <c r="AW50" s="214">
        <f t="shared" si="99"/>
        <v>0</v>
      </c>
      <c r="AX50" s="214">
        <f t="shared" si="99"/>
        <v>0</v>
      </c>
      <c r="AY50" s="214">
        <f t="shared" si="99"/>
        <v>0</v>
      </c>
      <c r="AZ50" s="214">
        <f t="shared" si="99"/>
        <v>0</v>
      </c>
      <c r="BA50" s="214">
        <f t="shared" si="99"/>
        <v>0</v>
      </c>
      <c r="BB50" s="214">
        <f t="shared" si="99"/>
        <v>0</v>
      </c>
      <c r="BC50" s="214">
        <f t="shared" si="99"/>
        <v>0</v>
      </c>
      <c r="BD50" s="214">
        <f t="shared" si="99"/>
        <v>0</v>
      </c>
      <c r="BE50" s="214">
        <f t="shared" si="99"/>
        <v>0</v>
      </c>
      <c r="BF50" s="214">
        <f t="shared" si="99"/>
        <v>0</v>
      </c>
      <c r="BG50" s="214">
        <f t="shared" si="99"/>
        <v>0</v>
      </c>
      <c r="BH50" s="214">
        <f t="shared" si="99"/>
        <v>0</v>
      </c>
      <c r="BI50" s="212"/>
      <c r="BJ50" s="212"/>
      <c r="BK50" s="213"/>
    </row>
    <row r="51" spans="1:63" s="201" customFormat="1">
      <c r="A51" s="312"/>
      <c r="B51" s="310"/>
      <c r="C51" s="57" t="s">
        <v>375</v>
      </c>
      <c r="D51" s="92" t="s">
        <v>52</v>
      </c>
      <c r="E51" s="92"/>
      <c r="F51" s="57"/>
      <c r="G51" s="198">
        <f>VLOOKUP(D51,APUs!$B$2:$G$50,6,FALSE)</f>
        <v>14.285714285714286</v>
      </c>
      <c r="H51" s="199">
        <f>SUM(H52:H54)</f>
        <v>0</v>
      </c>
      <c r="I51" s="199">
        <f>SUM(I52:I54)</f>
        <v>0</v>
      </c>
      <c r="J51" s="200">
        <f>VLOOKUP(D51,APUs!$B$2:$I$50,7,FALSE)</f>
        <v>0.97</v>
      </c>
      <c r="K51" s="198">
        <f>G51*(H51+I51)/J51</f>
        <v>0</v>
      </c>
      <c r="L51" s="198"/>
      <c r="M51" s="200">
        <f>IFERROR(AVERAGE(M52:M54),0)</f>
        <v>0</v>
      </c>
      <c r="N51" s="200">
        <f>IFERROR(AVERAGE(N52:N54),0)</f>
        <v>0</v>
      </c>
      <c r="O51" s="199">
        <f>IFERROR(SUM(O52:O54),0)</f>
        <v>0</v>
      </c>
      <c r="P51" s="198">
        <f>IFERROR(SUM(P52:P54),0)</f>
        <v>0</v>
      </c>
      <c r="Q51" s="200">
        <f>IFERROR(AVERAGE(Q52:Q54),0)</f>
        <v>0</v>
      </c>
      <c r="R51" s="200">
        <f>IFERROR(AVERAGE(R52:R54),0)</f>
        <v>0</v>
      </c>
      <c r="S51" s="199">
        <f>IFERROR(SUM(S52:S54),0)</f>
        <v>0</v>
      </c>
      <c r="T51" s="198">
        <f>IFERROR(SUM(T52:T54),0)</f>
        <v>0</v>
      </c>
      <c r="U51" s="200">
        <f>IFERROR(AVERAGE(U52:U54),0)</f>
        <v>0</v>
      </c>
      <c r="V51" s="200">
        <f>IFERROR(AVERAGE(V52:V54),0)</f>
        <v>0</v>
      </c>
      <c r="W51" s="199">
        <f>IFERROR(SUM(W52:W54),0)</f>
        <v>0</v>
      </c>
      <c r="X51" s="198">
        <f>IFERROR(SUM(X52:X54),0)</f>
        <v>0</v>
      </c>
      <c r="Y51" s="200">
        <f>IFERROR(AVERAGE(Y52:Y54),0)</f>
        <v>0</v>
      </c>
      <c r="Z51" s="200">
        <f>IFERROR(AVERAGE(Z52:Z54),0)</f>
        <v>0</v>
      </c>
      <c r="AA51" s="199">
        <f>IFERROR(SUM(AA52:AA54),0)</f>
        <v>0</v>
      </c>
      <c r="AB51" s="198">
        <f>IFERROR(SUM(AB52:AB54),0)</f>
        <v>0</v>
      </c>
      <c r="AC51" s="200">
        <f>IFERROR(AVERAGE(AC52:AC54),0)</f>
        <v>0</v>
      </c>
      <c r="AD51" s="200">
        <f>IFERROR(AVERAGE(AD52:AD54),0)</f>
        <v>0</v>
      </c>
      <c r="AE51" s="199">
        <f>IFERROR(SUM(AE52:AE54),0)</f>
        <v>0</v>
      </c>
      <c r="AF51" s="198">
        <f>IFERROR(SUM(AF52:AF54),0)</f>
        <v>0</v>
      </c>
      <c r="AG51" s="200">
        <f>IFERROR(AVERAGE(AG52:AG54),0)</f>
        <v>0</v>
      </c>
      <c r="AH51" s="200">
        <f>IFERROR(AVERAGE(AH52:AH54),0)</f>
        <v>0</v>
      </c>
      <c r="AI51" s="199">
        <f>IFERROR(SUM(AI52:AI54),0)</f>
        <v>0</v>
      </c>
      <c r="AJ51" s="198">
        <f>IFERROR(SUM(AJ52:AJ54),0)</f>
        <v>0</v>
      </c>
      <c r="AK51" s="200">
        <f>IFERROR(AVERAGE(AK52:AK54),0)</f>
        <v>0</v>
      </c>
      <c r="AL51" s="200">
        <f>IFERROR(AVERAGE(AL52:AL54),0)</f>
        <v>0</v>
      </c>
      <c r="AM51" s="199">
        <f>IFERROR(SUM(AM52:AM54),0)</f>
        <v>0</v>
      </c>
      <c r="AN51" s="198">
        <f>IFERROR(SUM(AN52:AN54),0)</f>
        <v>0</v>
      </c>
      <c r="AO51" s="200">
        <f>IFERROR(AVERAGE(AO52:AO54),0)</f>
        <v>0</v>
      </c>
      <c r="AP51" s="200">
        <f>IFERROR(AVERAGE(AP52:AP54),0)</f>
        <v>0</v>
      </c>
      <c r="AQ51" s="199">
        <f>IFERROR(SUM(AQ52:AQ54),0)</f>
        <v>0</v>
      </c>
      <c r="AR51" s="198">
        <f>IFERROR(SUM(AR52:AR54),0)</f>
        <v>0</v>
      </c>
      <c r="AS51" s="200">
        <f>IFERROR(AVERAGE(AS52:AS54),0)</f>
        <v>0</v>
      </c>
      <c r="AT51" s="200">
        <f>IFERROR(AVERAGE(AT52:AT54),0)</f>
        <v>0</v>
      </c>
      <c r="AU51" s="199">
        <f>IFERROR(SUM(AU52:AU54),0)</f>
        <v>0</v>
      </c>
      <c r="AV51" s="198">
        <f>IFERROR(SUM(AV52:AV54),0)</f>
        <v>0</v>
      </c>
      <c r="AW51" s="200">
        <f>IFERROR(AVERAGE(AW52:AW54),0)</f>
        <v>0</v>
      </c>
      <c r="AX51" s="200">
        <f>IFERROR(AVERAGE(AX52:AX54),0)</f>
        <v>0</v>
      </c>
      <c r="AY51" s="199">
        <f>IFERROR(SUM(AY52:AY54),0)</f>
        <v>0</v>
      </c>
      <c r="AZ51" s="198">
        <f>IFERROR(SUM(AZ52:AZ54),0)</f>
        <v>0</v>
      </c>
      <c r="BA51" s="200">
        <f>IFERROR(AVERAGE(BA52:BA54),0)</f>
        <v>0</v>
      </c>
      <c r="BB51" s="200">
        <f>IFERROR(AVERAGE(BB52:BB54),0)</f>
        <v>0</v>
      </c>
      <c r="BC51" s="199">
        <f>IFERROR(SUM(BC52:BC54),0)</f>
        <v>0</v>
      </c>
      <c r="BD51" s="198">
        <f>IFERROR(SUM(BD52:BD54),0)</f>
        <v>0</v>
      </c>
      <c r="BE51" s="200">
        <f>IFERROR(AVERAGE(BE52:BE54),0)</f>
        <v>0</v>
      </c>
      <c r="BF51" s="200">
        <f>IFERROR(AVERAGE(BF52:BF54),0)</f>
        <v>0</v>
      </c>
      <c r="BG51" s="199">
        <f>IFERROR(SUM(BG52:BG54),0)</f>
        <v>0</v>
      </c>
      <c r="BH51" s="198">
        <f>IFERROR(SUM(BH52:BH54),0)</f>
        <v>0</v>
      </c>
      <c r="BI51" s="199">
        <f t="shared" si="1"/>
        <v>0</v>
      </c>
      <c r="BJ51" s="198">
        <f>BI51*$G$34</f>
        <v>0</v>
      </c>
      <c r="BK51" s="200" t="e">
        <f>J51*(H51+I51)/(BI51)</f>
        <v>#DIV/0!</v>
      </c>
    </row>
    <row r="52" spans="1:63">
      <c r="A52" s="312"/>
      <c r="B52" s="310"/>
      <c r="C52" s="41" t="s">
        <v>376</v>
      </c>
      <c r="D52" s="94" t="str">
        <f>'MH-LAM4 -1225-San Miguel-Antoni'!D19</f>
        <v>EMS - Excel de ensayos</v>
      </c>
      <c r="E52" s="93" t="str">
        <f>VLOOKUP(D52,'MH-LAM4 -1225-San Miguel-Antoni'!$D$2:$E$84,2,FALSE)</f>
        <v>V 1.0 - PRELIMINAR A LA APROBACIÓN ARQUITECTÓNICA</v>
      </c>
      <c r="F52" s="150" t="s">
        <v>322</v>
      </c>
      <c r="G52" s="149">
        <f t="shared" ref="G52" si="100">IF(F52="BAJA",0.8,IF(F52="MEDIA",1,IF(F52="ALTA",1.4,IF(F52="MUY ALTA",2))))</f>
        <v>1</v>
      </c>
      <c r="H52" s="160" cm="1">
        <f t="array" ref="H52">G52*INDEX('MH-LAM4 -1225-San Miguel-Antoni'!$B$2:$G$68,MATCH($D$50&amp;D52&amp;$B$5,'MH-LAM4 -1225-San Miguel-Antoni'!$C$2:$C$68&amp;'MH-LAM4 -1225-San Miguel-Antoni'!$D$2:$D$68&amp;'MH-LAM4 -1225-San Miguel-Antoni'!$B$2:$B$68,0),5)/J52</f>
        <v>0</v>
      </c>
      <c r="I52" s="160" cm="1">
        <f t="array" ref="I52">G52*INDEX('MH-LAM4 -1225-San Miguel-Antoni'!$B$2:$G$68,MATCH($D$50&amp;D52&amp;$B$5,'MH-LAM4 -1225-San Miguel-Antoni'!$C$2:$C$68&amp;'MH-LAM4 -1225-San Miguel-Antoni'!$D$2:$D$68&amp;'MH-LAM4 -1225-San Miguel-Antoni'!$B$2:$B$68,0),6)/J52</f>
        <v>0</v>
      </c>
      <c r="J52" s="190">
        <f>VLOOKUP($D$34,APUs!$B$2:$I$50,7,FALSE)</f>
        <v>0.9</v>
      </c>
      <c r="K52" s="191">
        <f>$G$34*(H52+I52)/J52</f>
        <v>0</v>
      </c>
      <c r="L52" s="191"/>
      <c r="M52" s="142"/>
      <c r="N52" s="142"/>
      <c r="O52" s="160"/>
      <c r="P52" s="143">
        <f>O52*$G$34</f>
        <v>0</v>
      </c>
      <c r="Q52" s="142"/>
      <c r="R52" s="142"/>
      <c r="S52" s="160"/>
      <c r="T52" s="143">
        <f>S52*$G$34</f>
        <v>0</v>
      </c>
      <c r="U52" s="142"/>
      <c r="V52" s="142"/>
      <c r="W52" s="160"/>
      <c r="X52" s="143">
        <f>W52*$G$34</f>
        <v>0</v>
      </c>
      <c r="Y52" s="142"/>
      <c r="Z52" s="142"/>
      <c r="AA52" s="160"/>
      <c r="AB52" s="143">
        <f>AA52*$G$34</f>
        <v>0</v>
      </c>
      <c r="AC52" s="142"/>
      <c r="AD52" s="142"/>
      <c r="AE52" s="160"/>
      <c r="AF52" s="143">
        <f>AE52*$G$34</f>
        <v>0</v>
      </c>
      <c r="AG52" s="142"/>
      <c r="AH52" s="142"/>
      <c r="AI52" s="160"/>
      <c r="AJ52" s="143">
        <f>AI52*$G$34</f>
        <v>0</v>
      </c>
      <c r="AK52" s="142"/>
      <c r="AL52" s="142"/>
      <c r="AM52" s="160"/>
      <c r="AN52" s="143">
        <f>AM52*$G$34</f>
        <v>0</v>
      </c>
      <c r="AO52" s="142"/>
      <c r="AP52" s="142"/>
      <c r="AQ52" s="160"/>
      <c r="AR52" s="143">
        <f>AQ52*$G$34</f>
        <v>0</v>
      </c>
      <c r="AS52" s="142"/>
      <c r="AT52" s="142"/>
      <c r="AU52" s="160"/>
      <c r="AV52" s="143">
        <f>AU52*$G$34</f>
        <v>0</v>
      </c>
      <c r="AW52" s="142"/>
      <c r="AX52" s="142"/>
      <c r="AY52" s="160"/>
      <c r="AZ52" s="143">
        <f>AY52*$G$34</f>
        <v>0</v>
      </c>
      <c r="BA52" s="142"/>
      <c r="BB52" s="142"/>
      <c r="BC52" s="160"/>
      <c r="BD52" s="143">
        <f>BC52*$G$34</f>
        <v>0</v>
      </c>
      <c r="BE52" s="142"/>
      <c r="BF52" s="142"/>
      <c r="BG52" s="160"/>
      <c r="BH52" s="143">
        <f>BG52*$G$34</f>
        <v>0</v>
      </c>
      <c r="BI52" s="161">
        <f t="shared" si="1"/>
        <v>0</v>
      </c>
      <c r="BJ52" s="116"/>
      <c r="BK52" s="115"/>
    </row>
    <row r="53" spans="1:63">
      <c r="A53" s="312"/>
      <c r="B53" s="310"/>
      <c r="C53" s="41" t="s">
        <v>376</v>
      </c>
      <c r="D53" s="94" t="str">
        <f>'MH-LAM4 -1225-San Miguel-Antoni'!D20</f>
        <v>EMS - Plano topográfico</v>
      </c>
      <c r="E53" s="93" t="str">
        <f>VLOOKUP(D53,'MH-LAM4 -1225-San Miguel-Antoni'!$D$2:$E$84,2,FALSE)</f>
        <v>V 2.0 - PRELIMINAR A ENTREGA A REVISORES</v>
      </c>
      <c r="F53" s="150" t="s">
        <v>322</v>
      </c>
      <c r="G53" s="149">
        <f t="shared" ref="G53" si="101">IF(F53="BAJA",0.8,IF(F53="MEDIA",1,IF(F53="ALTA",1.4,IF(F53="MUY ALTA",2))))</f>
        <v>1</v>
      </c>
      <c r="H53" s="160" cm="1">
        <f t="array" ref="H53">G53*INDEX('MH-LAM4 -1225-San Miguel-Antoni'!$B$2:$G$68,MATCH($D$50&amp;D53&amp;$B$5,'MH-LAM4 -1225-San Miguel-Antoni'!$C$2:$C$68&amp;'MH-LAM4 -1225-San Miguel-Antoni'!$D$2:$D$68&amp;'MH-LAM4 -1225-San Miguel-Antoni'!$B$2:$B$68,0),5)/J53</f>
        <v>0</v>
      </c>
      <c r="I53" s="160" cm="1">
        <f t="array" ref="I53">G53*INDEX('MH-LAM4 -1225-San Miguel-Antoni'!$B$2:$G$68,MATCH($D$50&amp;D53&amp;$B$5,'MH-LAM4 -1225-San Miguel-Antoni'!$C$2:$C$68&amp;'MH-LAM4 -1225-San Miguel-Antoni'!$D$2:$D$68&amp;'MH-LAM4 -1225-San Miguel-Antoni'!$B$2:$B$68,0),6)/J53</f>
        <v>0</v>
      </c>
      <c r="J53" s="190">
        <f>VLOOKUP($D$34,APUs!$B$2:$I$50,7,FALSE)</f>
        <v>0.9</v>
      </c>
      <c r="K53" s="191">
        <f>$G$34*(H53+I53)/J53</f>
        <v>0</v>
      </c>
      <c r="L53" s="191"/>
      <c r="M53" s="142"/>
      <c r="N53" s="142"/>
      <c r="O53" s="160"/>
      <c r="P53" s="143">
        <f>O53*$G$34</f>
        <v>0</v>
      </c>
      <c r="Q53" s="142"/>
      <c r="R53" s="142"/>
      <c r="S53" s="160"/>
      <c r="T53" s="143">
        <f>S53*$G$34</f>
        <v>0</v>
      </c>
      <c r="U53" s="142"/>
      <c r="V53" s="142"/>
      <c r="W53" s="160"/>
      <c r="X53" s="143">
        <f>W53*$G$34</f>
        <v>0</v>
      </c>
      <c r="Y53" s="142"/>
      <c r="Z53" s="142"/>
      <c r="AA53" s="160"/>
      <c r="AB53" s="143">
        <f>AA53*$G$34</f>
        <v>0</v>
      </c>
      <c r="AC53" s="142"/>
      <c r="AD53" s="142"/>
      <c r="AE53" s="160"/>
      <c r="AF53" s="143">
        <f>AE53*$G$34</f>
        <v>0</v>
      </c>
      <c r="AG53" s="142"/>
      <c r="AH53" s="142"/>
      <c r="AI53" s="160"/>
      <c r="AJ53" s="143">
        <f>AI53*$G$34</f>
        <v>0</v>
      </c>
      <c r="AK53" s="142"/>
      <c r="AL53" s="142"/>
      <c r="AM53" s="160"/>
      <c r="AN53" s="143">
        <f>AM53*$G$34</f>
        <v>0</v>
      </c>
      <c r="AO53" s="142"/>
      <c r="AP53" s="142"/>
      <c r="AQ53" s="160"/>
      <c r="AR53" s="143">
        <f>AQ53*$G$34</f>
        <v>0</v>
      </c>
      <c r="AS53" s="142"/>
      <c r="AT53" s="142"/>
      <c r="AU53" s="160"/>
      <c r="AV53" s="143">
        <f>AU53*$G$34</f>
        <v>0</v>
      </c>
      <c r="AW53" s="142"/>
      <c r="AX53" s="142"/>
      <c r="AY53" s="160"/>
      <c r="AZ53" s="143">
        <f>AY53*$G$34</f>
        <v>0</v>
      </c>
      <c r="BA53" s="142"/>
      <c r="BB53" s="142"/>
      <c r="BC53" s="160"/>
      <c r="BD53" s="143">
        <f>BC53*$G$34</f>
        <v>0</v>
      </c>
      <c r="BE53" s="142"/>
      <c r="BF53" s="142"/>
      <c r="BG53" s="160"/>
      <c r="BH53" s="143">
        <f>BG53*$G$34</f>
        <v>0</v>
      </c>
      <c r="BI53" s="161">
        <f t="shared" si="1"/>
        <v>0</v>
      </c>
      <c r="BJ53" s="116"/>
      <c r="BK53" s="115"/>
    </row>
    <row r="54" spans="1:63">
      <c r="A54" s="312"/>
      <c r="B54" s="310"/>
      <c r="C54" s="41" t="s">
        <v>376</v>
      </c>
      <c r="D54" s="94" t="str">
        <f>'MH-LAM4 -1225-San Miguel-Antoni'!D21</f>
        <v>EMS - Informe de EMS</v>
      </c>
      <c r="E54" s="93" t="str">
        <f>VLOOKUP(D54,'MH-LAM4 -1225-San Miguel-Antoni'!$D$2:$E$84,2,FALSE)</f>
        <v>V 2.0 - PRELIMINAR A ENTREGA A REVISORES</v>
      </c>
      <c r="F54" s="150" t="s">
        <v>322</v>
      </c>
      <c r="G54" s="149">
        <f t="shared" ref="G54" si="102">IF(F54="BAJA",0.8,IF(F54="MEDIA",1,IF(F54="ALTA",1.4,IF(F54="MUY ALTA",2))))</f>
        <v>1</v>
      </c>
      <c r="H54" s="160" cm="1">
        <f t="array" ref="H54">G54*INDEX('MH-LAM4 -1225-San Miguel-Antoni'!$B$2:$G$68,MATCH($D$50&amp;D54&amp;$B$5,'MH-LAM4 -1225-San Miguel-Antoni'!$C$2:$C$68&amp;'MH-LAM4 -1225-San Miguel-Antoni'!$D$2:$D$68&amp;'MH-LAM4 -1225-San Miguel-Antoni'!$B$2:$B$68,0),5)/J54</f>
        <v>0</v>
      </c>
      <c r="I54" s="160" cm="1">
        <f t="array" ref="I54">G54*INDEX('MH-LAM4 -1225-San Miguel-Antoni'!$B$2:$G$68,MATCH($D$50&amp;D54&amp;$B$5,'MH-LAM4 -1225-San Miguel-Antoni'!$C$2:$C$68&amp;'MH-LAM4 -1225-San Miguel-Antoni'!$D$2:$D$68&amp;'MH-LAM4 -1225-San Miguel-Antoni'!$B$2:$B$68,0),6)/J54</f>
        <v>0</v>
      </c>
      <c r="J54" s="190">
        <f>VLOOKUP($D$34,APUs!$B$2:$I$50,7,FALSE)</f>
        <v>0.9</v>
      </c>
      <c r="K54" s="191">
        <f>$G$34*(H54+I54)/J54</f>
        <v>0</v>
      </c>
      <c r="L54" s="191"/>
      <c r="M54" s="142"/>
      <c r="N54" s="142"/>
      <c r="O54" s="160"/>
      <c r="P54" s="143">
        <f>O54*$G$34</f>
        <v>0</v>
      </c>
      <c r="Q54" s="142"/>
      <c r="R54" s="142"/>
      <c r="S54" s="160"/>
      <c r="T54" s="143">
        <f>S54*$G$34</f>
        <v>0</v>
      </c>
      <c r="U54" s="142"/>
      <c r="V54" s="142"/>
      <c r="W54" s="160"/>
      <c r="X54" s="143">
        <f>W54*$G$34</f>
        <v>0</v>
      </c>
      <c r="Y54" s="142"/>
      <c r="Z54" s="142"/>
      <c r="AA54" s="160"/>
      <c r="AB54" s="143">
        <f>AA54*$G$34</f>
        <v>0</v>
      </c>
      <c r="AC54" s="142"/>
      <c r="AD54" s="142"/>
      <c r="AE54" s="160"/>
      <c r="AF54" s="143">
        <f>AE54*$G$34</f>
        <v>0</v>
      </c>
      <c r="AG54" s="142"/>
      <c r="AH54" s="142"/>
      <c r="AI54" s="160"/>
      <c r="AJ54" s="143">
        <f>AI54*$G$34</f>
        <v>0</v>
      </c>
      <c r="AK54" s="142"/>
      <c r="AL54" s="142"/>
      <c r="AM54" s="160"/>
      <c r="AN54" s="143">
        <f>AM54*$G$34</f>
        <v>0</v>
      </c>
      <c r="AO54" s="142"/>
      <c r="AP54" s="142"/>
      <c r="AQ54" s="160"/>
      <c r="AR54" s="143">
        <f>AQ54*$G$34</f>
        <v>0</v>
      </c>
      <c r="AS54" s="142"/>
      <c r="AT54" s="142"/>
      <c r="AU54" s="160"/>
      <c r="AV54" s="143">
        <f>AU54*$G$34</f>
        <v>0</v>
      </c>
      <c r="AW54" s="142"/>
      <c r="AX54" s="142"/>
      <c r="AY54" s="160"/>
      <c r="AZ54" s="143">
        <f>AY54*$G$34</f>
        <v>0</v>
      </c>
      <c r="BA54" s="142"/>
      <c r="BB54" s="142"/>
      <c r="BC54" s="160"/>
      <c r="BD54" s="143">
        <f>BC54*$G$34</f>
        <v>0</v>
      </c>
      <c r="BE54" s="142"/>
      <c r="BF54" s="142"/>
      <c r="BG54" s="160"/>
      <c r="BH54" s="143">
        <f>BG54*$G$34</f>
        <v>0</v>
      </c>
      <c r="BI54" s="161">
        <f t="shared" si="1"/>
        <v>0</v>
      </c>
      <c r="BJ54" s="116"/>
      <c r="BK54" s="115"/>
    </row>
    <row r="55" spans="1:63">
      <c r="A55" s="312"/>
      <c r="B55" s="310"/>
      <c r="C55" s="111" t="s">
        <v>388</v>
      </c>
      <c r="D55" s="112" t="s">
        <v>373</v>
      </c>
      <c r="E55" s="112"/>
      <c r="F55" s="113"/>
      <c r="G55" s="162"/>
      <c r="H55" s="211"/>
      <c r="I55" s="212"/>
      <c r="J55" s="212"/>
      <c r="K55" s="212"/>
      <c r="L55" s="212"/>
      <c r="M55" s="214">
        <f>M56</f>
        <v>0</v>
      </c>
      <c r="N55" s="214">
        <f t="shared" ref="N55:BH55" si="103">N56</f>
        <v>0</v>
      </c>
      <c r="O55" s="214">
        <f t="shared" si="103"/>
        <v>0</v>
      </c>
      <c r="P55" s="214">
        <f t="shared" si="103"/>
        <v>0</v>
      </c>
      <c r="Q55" s="214">
        <f t="shared" si="103"/>
        <v>0</v>
      </c>
      <c r="R55" s="214">
        <f t="shared" si="103"/>
        <v>0</v>
      </c>
      <c r="S55" s="214">
        <f t="shared" si="103"/>
        <v>0</v>
      </c>
      <c r="T55" s="214">
        <f t="shared" si="103"/>
        <v>0</v>
      </c>
      <c r="U55" s="214">
        <f t="shared" si="103"/>
        <v>0</v>
      </c>
      <c r="V55" s="214">
        <f t="shared" si="103"/>
        <v>0</v>
      </c>
      <c r="W55" s="214">
        <f t="shared" si="103"/>
        <v>0</v>
      </c>
      <c r="X55" s="214">
        <f t="shared" si="103"/>
        <v>0</v>
      </c>
      <c r="Y55" s="214">
        <f t="shared" si="103"/>
        <v>0</v>
      </c>
      <c r="Z55" s="214">
        <f t="shared" si="103"/>
        <v>0</v>
      </c>
      <c r="AA55" s="214">
        <f t="shared" si="103"/>
        <v>0</v>
      </c>
      <c r="AB55" s="214">
        <f t="shared" si="103"/>
        <v>0</v>
      </c>
      <c r="AC55" s="214">
        <f t="shared" si="103"/>
        <v>0</v>
      </c>
      <c r="AD55" s="214">
        <f t="shared" si="103"/>
        <v>0</v>
      </c>
      <c r="AE55" s="214">
        <f t="shared" si="103"/>
        <v>0</v>
      </c>
      <c r="AF55" s="214">
        <f t="shared" si="103"/>
        <v>0</v>
      </c>
      <c r="AG55" s="214">
        <f t="shared" si="103"/>
        <v>0</v>
      </c>
      <c r="AH55" s="214">
        <f t="shared" si="103"/>
        <v>0</v>
      </c>
      <c r="AI55" s="214">
        <f t="shared" si="103"/>
        <v>0</v>
      </c>
      <c r="AJ55" s="214">
        <f t="shared" si="103"/>
        <v>0</v>
      </c>
      <c r="AK55" s="214">
        <f t="shared" si="103"/>
        <v>0</v>
      </c>
      <c r="AL55" s="214">
        <f t="shared" si="103"/>
        <v>0</v>
      </c>
      <c r="AM55" s="214">
        <f t="shared" si="103"/>
        <v>0</v>
      </c>
      <c r="AN55" s="214">
        <f t="shared" si="103"/>
        <v>0</v>
      </c>
      <c r="AO55" s="214">
        <f t="shared" si="103"/>
        <v>0</v>
      </c>
      <c r="AP55" s="214">
        <f t="shared" si="103"/>
        <v>0</v>
      </c>
      <c r="AQ55" s="214">
        <f t="shared" si="103"/>
        <v>0</v>
      </c>
      <c r="AR55" s="214">
        <f t="shared" si="103"/>
        <v>0</v>
      </c>
      <c r="AS55" s="214">
        <f t="shared" si="103"/>
        <v>0</v>
      </c>
      <c r="AT55" s="214">
        <f t="shared" si="103"/>
        <v>0</v>
      </c>
      <c r="AU55" s="214">
        <f t="shared" si="103"/>
        <v>0</v>
      </c>
      <c r="AV55" s="214">
        <f t="shared" si="103"/>
        <v>0</v>
      </c>
      <c r="AW55" s="214">
        <f t="shared" si="103"/>
        <v>0</v>
      </c>
      <c r="AX55" s="214">
        <f t="shared" si="103"/>
        <v>0</v>
      </c>
      <c r="AY55" s="214">
        <f t="shared" si="103"/>
        <v>0</v>
      </c>
      <c r="AZ55" s="214">
        <f t="shared" si="103"/>
        <v>0</v>
      </c>
      <c r="BA55" s="214">
        <f t="shared" si="103"/>
        <v>0</v>
      </c>
      <c r="BB55" s="214">
        <f t="shared" si="103"/>
        <v>0</v>
      </c>
      <c r="BC55" s="214">
        <f t="shared" si="103"/>
        <v>0</v>
      </c>
      <c r="BD55" s="214">
        <f t="shared" si="103"/>
        <v>0</v>
      </c>
      <c r="BE55" s="214">
        <f t="shared" si="103"/>
        <v>0</v>
      </c>
      <c r="BF55" s="214">
        <f t="shared" si="103"/>
        <v>0</v>
      </c>
      <c r="BG55" s="214">
        <f t="shared" si="103"/>
        <v>0</v>
      </c>
      <c r="BH55" s="214">
        <f t="shared" si="103"/>
        <v>0</v>
      </c>
      <c r="BI55" s="212"/>
      <c r="BJ55" s="212"/>
      <c r="BK55" s="213"/>
    </row>
    <row r="56" spans="1:63" s="201" customFormat="1">
      <c r="A56" s="312"/>
      <c r="B56" s="310"/>
      <c r="C56" s="57" t="s">
        <v>389</v>
      </c>
      <c r="D56" s="92" t="s">
        <v>371</v>
      </c>
      <c r="E56" s="92"/>
      <c r="F56" s="57"/>
      <c r="G56" s="198">
        <f>VLOOKUP(D56,APUs!$B$2:$G$50,6,FALSE)</f>
        <v>16.666666666666664</v>
      </c>
      <c r="H56" s="199">
        <f>SUM(H57:H58)</f>
        <v>0</v>
      </c>
      <c r="I56" s="199">
        <f>SUM(I57:I58)</f>
        <v>0</v>
      </c>
      <c r="J56" s="200">
        <f>VLOOKUP(D56,APUs!$B$2:$I$50,7,FALSE)</f>
        <v>0.95</v>
      </c>
      <c r="K56" s="198">
        <f>G56*(H56+I56)/J56</f>
        <v>0</v>
      </c>
      <c r="L56" s="198"/>
      <c r="M56" s="200">
        <f>IFERROR(AVERAGE(M57:M58),0)</f>
        <v>0</v>
      </c>
      <c r="N56" s="200">
        <f>IFERROR(AVERAGE(N57:N58),0)</f>
        <v>0</v>
      </c>
      <c r="O56" s="199">
        <f>IFERROR(SUM(O57:O58),0)</f>
        <v>0</v>
      </c>
      <c r="P56" s="198">
        <f>IFERROR(SUM(P57:P58),0)</f>
        <v>0</v>
      </c>
      <c r="Q56" s="200">
        <f>IFERROR(AVERAGE(Q57:Q58),0)</f>
        <v>0</v>
      </c>
      <c r="R56" s="200">
        <f>IFERROR(AVERAGE(R57:R58),0)</f>
        <v>0</v>
      </c>
      <c r="S56" s="199">
        <f>IFERROR(SUM(S57:S58),0)</f>
        <v>0</v>
      </c>
      <c r="T56" s="198">
        <f>IFERROR(SUM(T57:T58),0)</f>
        <v>0</v>
      </c>
      <c r="U56" s="200">
        <f>IFERROR(AVERAGE(U57:U58),0)</f>
        <v>0</v>
      </c>
      <c r="V56" s="200">
        <f>IFERROR(AVERAGE(V57:V58),0)</f>
        <v>0</v>
      </c>
      <c r="W56" s="199">
        <f>IFERROR(SUM(W57:W58),0)</f>
        <v>0</v>
      </c>
      <c r="X56" s="198">
        <f>IFERROR(SUM(X57:X58),0)</f>
        <v>0</v>
      </c>
      <c r="Y56" s="200">
        <f>IFERROR(AVERAGE(Y57:Y58),0)</f>
        <v>0</v>
      </c>
      <c r="Z56" s="200">
        <f>IFERROR(AVERAGE(Z57:Z58),0)</f>
        <v>0</v>
      </c>
      <c r="AA56" s="199">
        <f>IFERROR(SUM(AA57:AA58),0)</f>
        <v>0</v>
      </c>
      <c r="AB56" s="198">
        <f>IFERROR(SUM(AB57:AB58),0)</f>
        <v>0</v>
      </c>
      <c r="AC56" s="200">
        <f>IFERROR(AVERAGE(AC57:AC58),0)</f>
        <v>0</v>
      </c>
      <c r="AD56" s="200">
        <f>IFERROR(AVERAGE(AD57:AD58),0)</f>
        <v>0</v>
      </c>
      <c r="AE56" s="199">
        <f>IFERROR(SUM(AE57:AE58),0)</f>
        <v>0</v>
      </c>
      <c r="AF56" s="198">
        <f>IFERROR(SUM(AF57:AF58),0)</f>
        <v>0</v>
      </c>
      <c r="AG56" s="200">
        <f>IFERROR(AVERAGE(AG57:AG58),0)</f>
        <v>0</v>
      </c>
      <c r="AH56" s="200">
        <f>IFERROR(AVERAGE(AH57:AH58),0)</f>
        <v>0</v>
      </c>
      <c r="AI56" s="199">
        <f>IFERROR(SUM(AI57:AI58),0)</f>
        <v>0</v>
      </c>
      <c r="AJ56" s="198">
        <f>IFERROR(SUM(AJ57:AJ58),0)</f>
        <v>0</v>
      </c>
      <c r="AK56" s="200">
        <f>IFERROR(AVERAGE(AK57:AK58),0)</f>
        <v>0</v>
      </c>
      <c r="AL56" s="200">
        <f>IFERROR(AVERAGE(AL57:AL58),0)</f>
        <v>0</v>
      </c>
      <c r="AM56" s="199">
        <f>IFERROR(SUM(AM57:AM58),0)</f>
        <v>0</v>
      </c>
      <c r="AN56" s="198">
        <f>IFERROR(SUM(AN57:AN58),0)</f>
        <v>0</v>
      </c>
      <c r="AO56" s="200">
        <f>IFERROR(AVERAGE(AO57:AO58),0)</f>
        <v>0</v>
      </c>
      <c r="AP56" s="200">
        <f>IFERROR(AVERAGE(AP57:AP58),0)</f>
        <v>0</v>
      </c>
      <c r="AQ56" s="199">
        <f>IFERROR(SUM(AQ57:AQ58),0)</f>
        <v>0</v>
      </c>
      <c r="AR56" s="198">
        <f>IFERROR(SUM(AR57:AR58),0)</f>
        <v>0</v>
      </c>
      <c r="AS56" s="200">
        <f>IFERROR(AVERAGE(AS57:AS58),0)</f>
        <v>0</v>
      </c>
      <c r="AT56" s="200">
        <f>IFERROR(AVERAGE(AT57:AT58),0)</f>
        <v>0</v>
      </c>
      <c r="AU56" s="199">
        <f>IFERROR(SUM(AU57:AU58),0)</f>
        <v>0</v>
      </c>
      <c r="AV56" s="198">
        <f>IFERROR(SUM(AV57:AV58),0)</f>
        <v>0</v>
      </c>
      <c r="AW56" s="200">
        <f>IFERROR(AVERAGE(AW57:AW58),0)</f>
        <v>0</v>
      </c>
      <c r="AX56" s="200">
        <f>IFERROR(AVERAGE(AX57:AX58),0)</f>
        <v>0</v>
      </c>
      <c r="AY56" s="199">
        <f>IFERROR(SUM(AY57:AY58),0)</f>
        <v>0</v>
      </c>
      <c r="AZ56" s="198">
        <f>IFERROR(SUM(AZ57:AZ58),0)</f>
        <v>0</v>
      </c>
      <c r="BA56" s="200">
        <f>IFERROR(AVERAGE(BA57:BA58),0)</f>
        <v>0</v>
      </c>
      <c r="BB56" s="200">
        <f>IFERROR(AVERAGE(BB57:BB58),0)</f>
        <v>0</v>
      </c>
      <c r="BC56" s="199">
        <f>IFERROR(SUM(BC57:BC58),0)</f>
        <v>0</v>
      </c>
      <c r="BD56" s="198">
        <f>IFERROR(SUM(BD57:BD58),0)</f>
        <v>0</v>
      </c>
      <c r="BE56" s="200">
        <f>IFERROR(AVERAGE(BE57:BE58),0)</f>
        <v>0</v>
      </c>
      <c r="BF56" s="200">
        <f>IFERROR(AVERAGE(BF57:BF58),0)</f>
        <v>0</v>
      </c>
      <c r="BG56" s="199">
        <f>IFERROR(SUM(BG57:BG58),0)</f>
        <v>0</v>
      </c>
      <c r="BH56" s="198">
        <f>IFERROR(SUM(BH57:BH58),0)</f>
        <v>0</v>
      </c>
      <c r="BI56" s="199">
        <f t="shared" si="1"/>
        <v>0</v>
      </c>
      <c r="BJ56" s="198">
        <f>BI56*$G$41</f>
        <v>0</v>
      </c>
      <c r="BK56" s="200" t="e">
        <f>J56*(H56+I56)/(BI56)</f>
        <v>#DIV/0!</v>
      </c>
    </row>
    <row r="57" spans="1:63">
      <c r="A57" s="312"/>
      <c r="B57" s="310"/>
      <c r="C57" s="41" t="s">
        <v>390</v>
      </c>
      <c r="D57" s="94" t="str">
        <f>'MH-LAM4 -1225-San Miguel-Antoni'!D22</f>
        <v>TAREAS ADMINISTRATIVAS - COORDINAR ENTREGA DE EXPEDIENTE CON CLIENTE</v>
      </c>
      <c r="E57" s="93" t="str">
        <f>VLOOKUP(D57,'MH-LAM4 -1225-San Miguel-Antoni'!$D$2:$E$84,2,FALSE)</f>
        <v>V 2.0 - PRELIMINAR A ENTREGA A REVISORES</v>
      </c>
      <c r="F57" s="150" t="s">
        <v>322</v>
      </c>
      <c r="G57" s="149">
        <f>IF(F57="BAJA",0.8,IF(F57="MEDIA",1,IF(F57="ALTA",1.4,IF(F57="MUY ALTA",2))))</f>
        <v>1</v>
      </c>
      <c r="H57" s="160" cm="1">
        <f t="array" ref="H57">G57*INDEX('MH-LAM4 -1225-San Miguel-Antoni'!$B$2:$G$68,MATCH($D$55&amp;D57&amp;$B$5,'MH-LAM4 -1225-San Miguel-Antoni'!$C$2:$C$68&amp;'MH-LAM4 -1225-San Miguel-Antoni'!$D$2:$D$68&amp;'MH-LAM4 -1225-San Miguel-Antoni'!$B$2:$B$68,0),5)/J57</f>
        <v>0</v>
      </c>
      <c r="I57" s="160" cm="1">
        <f t="array" ref="I57">G57*INDEX('MH-LAM4 -1225-San Miguel-Antoni'!$B$2:$G$68,MATCH($D$55&amp;D57&amp;$B$5,'MH-LAM4 -1225-San Miguel-Antoni'!$C$2:$C$68&amp;'MH-LAM4 -1225-San Miguel-Antoni'!$D$2:$D$68&amp;'MH-LAM4 -1225-San Miguel-Antoni'!$B$2:$B$68,0),6)/J57</f>
        <v>0</v>
      </c>
      <c r="J57" s="190">
        <f>VLOOKUP($D$56,APUs!$B$2:$I$50,7,FALSE)</f>
        <v>0.95</v>
      </c>
      <c r="K57" s="191">
        <f>$G$56*(H57+I57)/J57</f>
        <v>0</v>
      </c>
      <c r="L57" s="191"/>
      <c r="M57" s="142"/>
      <c r="N57" s="142"/>
      <c r="O57" s="160"/>
      <c r="P57" s="143">
        <f>O57*$G$34</f>
        <v>0</v>
      </c>
      <c r="Q57" s="142"/>
      <c r="R57" s="142"/>
      <c r="S57" s="160"/>
      <c r="T57" s="143">
        <f>S57*$G$34</f>
        <v>0</v>
      </c>
      <c r="U57" s="142"/>
      <c r="V57" s="142"/>
      <c r="W57" s="160"/>
      <c r="X57" s="143">
        <f>W57*$G$34</f>
        <v>0</v>
      </c>
      <c r="Y57" s="142"/>
      <c r="Z57" s="142"/>
      <c r="AA57" s="160"/>
      <c r="AB57" s="143">
        <f>AA57*$G$34</f>
        <v>0</v>
      </c>
      <c r="AC57" s="142"/>
      <c r="AD57" s="142"/>
      <c r="AE57" s="160"/>
      <c r="AF57" s="143">
        <f>AE57*$G$34</f>
        <v>0</v>
      </c>
      <c r="AG57" s="142"/>
      <c r="AH57" s="142"/>
      <c r="AI57" s="160"/>
      <c r="AJ57" s="143">
        <f>AI57*$G$34</f>
        <v>0</v>
      </c>
      <c r="AK57" s="142"/>
      <c r="AL57" s="142"/>
      <c r="AM57" s="160"/>
      <c r="AN57" s="143">
        <f>AM57*$G$34</f>
        <v>0</v>
      </c>
      <c r="AO57" s="142"/>
      <c r="AP57" s="142"/>
      <c r="AQ57" s="160"/>
      <c r="AR57" s="143">
        <f>AQ57*$G$34</f>
        <v>0</v>
      </c>
      <c r="AS57" s="142"/>
      <c r="AT57" s="142"/>
      <c r="AU57" s="160"/>
      <c r="AV57" s="143">
        <f>AU57*$G$34</f>
        <v>0</v>
      </c>
      <c r="AW57" s="142"/>
      <c r="AX57" s="142"/>
      <c r="AY57" s="160"/>
      <c r="AZ57" s="143">
        <f>AY57*$G$34</f>
        <v>0</v>
      </c>
      <c r="BA57" s="142"/>
      <c r="BB57" s="142"/>
      <c r="BC57" s="160"/>
      <c r="BD57" s="143">
        <f>BC57*$G$34</f>
        <v>0</v>
      </c>
      <c r="BE57" s="142"/>
      <c r="BF57" s="142"/>
      <c r="BG57" s="160"/>
      <c r="BH57" s="143">
        <f>BG57*$G$34</f>
        <v>0</v>
      </c>
      <c r="BI57" s="161">
        <f t="shared" si="1"/>
        <v>0</v>
      </c>
      <c r="BJ57" s="116"/>
      <c r="BK57" s="115"/>
    </row>
    <row r="58" spans="1:63">
      <c r="A58" s="312"/>
      <c r="B58" s="310"/>
      <c r="C58" s="41" t="s">
        <v>390</v>
      </c>
      <c r="D58" s="94" t="str">
        <f>'MH-LAM4 -1225-San Miguel-Antoni'!D23</f>
        <v>TAREAS ADMINISTRATIVAS - Entrega de expediente impreso a cliente</v>
      </c>
      <c r="E58" s="93" t="str">
        <f>VLOOKUP(D58,'MH-LAM4 -1225-San Miguel-Antoni'!$D$2:$E$84,2,FALSE)</f>
        <v>V 2.1 - ENTREGA TÉCNICA FINAL A REVISORES</v>
      </c>
      <c r="F58" s="150" t="s">
        <v>322</v>
      </c>
      <c r="G58" s="149">
        <f t="shared" ref="G58" si="104">IF(F58="BAJA",0.8,IF(F58="MEDIA",1,IF(F58="ALTA",1.4,IF(F58="MUY ALTA",2))))</f>
        <v>1</v>
      </c>
      <c r="H58" s="160" cm="1">
        <f t="array" ref="H58">G58*INDEX('MH-LAM4 -1225-San Miguel-Antoni'!$B$2:$G$68,MATCH($D$55&amp;D58&amp;$B$5,'MH-LAM4 -1225-San Miguel-Antoni'!$C$2:$C$68&amp;'MH-LAM4 -1225-San Miguel-Antoni'!$D$2:$D$68&amp;'MH-LAM4 -1225-San Miguel-Antoni'!$B$2:$B$68,0),5)/J58</f>
        <v>0</v>
      </c>
      <c r="I58" s="160" cm="1">
        <f t="array" ref="I58">G58*INDEX('MH-LAM4 -1225-San Miguel-Antoni'!$B$2:$G$68,MATCH($D$55&amp;D58&amp;$B$5,'MH-LAM4 -1225-San Miguel-Antoni'!$C$2:$C$68&amp;'MH-LAM4 -1225-San Miguel-Antoni'!$D$2:$D$68&amp;'MH-LAM4 -1225-San Miguel-Antoni'!$B$2:$B$68,0),6)/J58</f>
        <v>0</v>
      </c>
      <c r="J58" s="190">
        <f>VLOOKUP($D$56,APUs!$B$2:$I$50,7,FALSE)</f>
        <v>0.95</v>
      </c>
      <c r="K58" s="191">
        <f>$G$56*(H58+I58)/J58</f>
        <v>0</v>
      </c>
      <c r="L58" s="191"/>
      <c r="M58" s="142"/>
      <c r="N58" s="142"/>
      <c r="O58" s="160"/>
      <c r="P58" s="143">
        <f t="shared" ref="P58" si="105">O58*$G$34</f>
        <v>0</v>
      </c>
      <c r="Q58" s="142"/>
      <c r="R58" s="142"/>
      <c r="S58" s="160"/>
      <c r="T58" s="143">
        <f t="shared" ref="T58" si="106">S58*$G$34</f>
        <v>0</v>
      </c>
      <c r="U58" s="142"/>
      <c r="V58" s="142"/>
      <c r="W58" s="160"/>
      <c r="X58" s="143">
        <f t="shared" ref="X58" si="107">W58*$G$34</f>
        <v>0</v>
      </c>
      <c r="Y58" s="142"/>
      <c r="Z58" s="142"/>
      <c r="AA58" s="160"/>
      <c r="AB58" s="143">
        <f t="shared" ref="AB58" si="108">AA58*$G$34</f>
        <v>0</v>
      </c>
      <c r="AC58" s="142"/>
      <c r="AD58" s="142"/>
      <c r="AE58" s="160"/>
      <c r="AF58" s="143">
        <f t="shared" ref="AF58" si="109">AE58*$G$34</f>
        <v>0</v>
      </c>
      <c r="AG58" s="142"/>
      <c r="AH58" s="142"/>
      <c r="AI58" s="160"/>
      <c r="AJ58" s="143">
        <f t="shared" ref="AJ58" si="110">AI58*$G$34</f>
        <v>0</v>
      </c>
      <c r="AK58" s="142"/>
      <c r="AL58" s="142"/>
      <c r="AM58" s="160"/>
      <c r="AN58" s="143">
        <f t="shared" ref="AN58" si="111">AM58*$G$34</f>
        <v>0</v>
      </c>
      <c r="AO58" s="142"/>
      <c r="AP58" s="142"/>
      <c r="AQ58" s="160"/>
      <c r="AR58" s="143">
        <f t="shared" ref="AR58" si="112">AQ58*$G$34</f>
        <v>0</v>
      </c>
      <c r="AS58" s="142"/>
      <c r="AT58" s="142"/>
      <c r="AU58" s="160"/>
      <c r="AV58" s="143">
        <f t="shared" ref="AV58" si="113">AU58*$G$34</f>
        <v>0</v>
      </c>
      <c r="AW58" s="142"/>
      <c r="AX58" s="142"/>
      <c r="AY58" s="160"/>
      <c r="AZ58" s="143">
        <f t="shared" ref="AZ58" si="114">AY58*$G$34</f>
        <v>0</v>
      </c>
      <c r="BA58" s="142"/>
      <c r="BB58" s="142"/>
      <c r="BC58" s="160"/>
      <c r="BD58" s="143">
        <f t="shared" ref="BD58" si="115">BC58*$G$34</f>
        <v>0</v>
      </c>
      <c r="BE58" s="142"/>
      <c r="BF58" s="142"/>
      <c r="BG58" s="160"/>
      <c r="BH58" s="143">
        <f t="shared" ref="BH58" si="116">BG58*$G$34</f>
        <v>0</v>
      </c>
      <c r="BI58" s="161">
        <f t="shared" si="1"/>
        <v>0</v>
      </c>
      <c r="BJ58" s="116"/>
      <c r="BK58" s="115"/>
    </row>
    <row r="60" spans="1:63">
      <c r="G60" s="163"/>
      <c r="H60" s="163"/>
      <c r="I60" s="163"/>
      <c r="O60" s="164"/>
      <c r="S60" s="164"/>
      <c r="W60" s="164"/>
      <c r="AA60" s="164"/>
      <c r="AE60" s="164"/>
      <c r="AI60" s="164"/>
      <c r="AM60" s="164"/>
      <c r="AQ60" s="164"/>
      <c r="AU60" s="164"/>
      <c r="AY60" s="164"/>
      <c r="BC60" s="164"/>
      <c r="BG60" s="164"/>
      <c r="BI60" s="164"/>
    </row>
    <row r="61" spans="1:63">
      <c r="G61" s="163"/>
      <c r="H61" s="163"/>
      <c r="I61" s="163"/>
      <c r="O61" s="164"/>
      <c r="S61" s="164"/>
      <c r="W61" s="164"/>
      <c r="AA61" s="164"/>
      <c r="AE61" s="164"/>
      <c r="AI61" s="164"/>
      <c r="AM61" s="164"/>
      <c r="AQ61" s="164"/>
      <c r="AU61" s="164"/>
      <c r="AY61" s="164"/>
      <c r="BC61" s="164"/>
      <c r="BG61" s="164"/>
      <c r="BI61" s="164"/>
    </row>
    <row r="62" spans="1:63">
      <c r="G62" s="163"/>
      <c r="H62" s="163"/>
      <c r="I62" s="163"/>
      <c r="O62" s="164"/>
      <c r="S62" s="164"/>
      <c r="W62" s="164"/>
      <c r="AA62" s="164"/>
      <c r="AE62" s="164"/>
      <c r="AI62" s="164"/>
      <c r="AM62" s="164"/>
      <c r="AQ62" s="164"/>
      <c r="AU62" s="164"/>
      <c r="AY62" s="164"/>
      <c r="BC62" s="164"/>
      <c r="BG62" s="164"/>
      <c r="BI62" s="164"/>
    </row>
    <row r="63" spans="1:63">
      <c r="G63" s="163"/>
      <c r="H63" s="163"/>
      <c r="I63" s="163"/>
      <c r="O63" s="164"/>
      <c r="S63" s="164"/>
      <c r="W63" s="164"/>
      <c r="AA63" s="164"/>
      <c r="AE63" s="164"/>
      <c r="AI63" s="164"/>
      <c r="AM63" s="164"/>
      <c r="AQ63" s="164"/>
      <c r="AU63" s="164"/>
      <c r="AY63" s="164"/>
      <c r="BC63" s="164"/>
      <c r="BG63" s="164"/>
      <c r="BI63" s="164"/>
    </row>
    <row r="64" spans="1:63">
      <c r="G64" s="163"/>
      <c r="H64" s="163"/>
      <c r="I64" s="163"/>
      <c r="O64" s="164"/>
      <c r="S64" s="164"/>
      <c r="W64" s="164"/>
      <c r="AA64" s="164"/>
      <c r="AE64" s="164"/>
      <c r="AI64" s="164"/>
      <c r="AM64" s="164"/>
      <c r="AQ64" s="164"/>
      <c r="AU64" s="164"/>
      <c r="AY64" s="164"/>
      <c r="BC64" s="164"/>
      <c r="BG64" s="164"/>
      <c r="BI64" s="164"/>
    </row>
    <row r="65" spans="7:61">
      <c r="G65" s="163"/>
      <c r="H65" s="163"/>
      <c r="I65" s="163"/>
      <c r="O65" s="164"/>
      <c r="S65" s="164"/>
      <c r="W65" s="164"/>
      <c r="AA65" s="164"/>
      <c r="AE65" s="164"/>
      <c r="AI65" s="164"/>
      <c r="AM65" s="164"/>
      <c r="AQ65" s="164"/>
      <c r="AU65" s="164"/>
      <c r="AY65" s="164"/>
      <c r="BC65" s="164"/>
      <c r="BG65" s="164"/>
      <c r="BI65" s="164"/>
    </row>
    <row r="66" spans="7:61">
      <c r="G66" s="163"/>
      <c r="H66" s="163"/>
      <c r="I66" s="163"/>
      <c r="O66" s="164"/>
      <c r="S66" s="164"/>
      <c r="W66" s="164"/>
      <c r="AA66" s="164"/>
      <c r="AE66" s="164"/>
      <c r="AI66" s="164"/>
      <c r="AM66" s="164"/>
      <c r="AQ66" s="164"/>
      <c r="AU66" s="164"/>
      <c r="AY66" s="164"/>
      <c r="BC66" s="164"/>
      <c r="BG66" s="164"/>
      <c r="BI66" s="164"/>
    </row>
    <row r="67" spans="7:61">
      <c r="G67" s="163"/>
      <c r="H67" s="163"/>
      <c r="I67" s="163"/>
      <c r="O67" s="164"/>
      <c r="S67" s="164"/>
      <c r="W67" s="164"/>
      <c r="AA67" s="164"/>
      <c r="AE67" s="164"/>
      <c r="AI67" s="164"/>
      <c r="AM67" s="164"/>
      <c r="AQ67" s="164"/>
      <c r="AU67" s="164"/>
      <c r="AY67" s="164"/>
      <c r="BC67" s="164"/>
      <c r="BG67" s="164"/>
      <c r="BI67" s="164"/>
    </row>
    <row r="68" spans="7:61">
      <c r="G68" s="163"/>
      <c r="H68" s="163"/>
      <c r="I68" s="163"/>
      <c r="O68" s="164"/>
      <c r="S68" s="164"/>
      <c r="W68" s="164"/>
      <c r="AA68" s="164"/>
      <c r="AE68" s="164"/>
      <c r="AI68" s="164"/>
      <c r="AM68" s="164"/>
      <c r="AQ68" s="164"/>
      <c r="AU68" s="164"/>
      <c r="AY68" s="164"/>
      <c r="BC68" s="164"/>
      <c r="BG68" s="164"/>
      <c r="BI68" s="164"/>
    </row>
    <row r="69" spans="7:61">
      <c r="G69" s="163"/>
      <c r="H69" s="163"/>
      <c r="I69" s="163"/>
      <c r="O69" s="164"/>
      <c r="S69" s="164"/>
      <c r="W69" s="164"/>
      <c r="AA69" s="164"/>
      <c r="AE69" s="164"/>
      <c r="AI69" s="164"/>
      <c r="AM69" s="164"/>
      <c r="AQ69" s="164"/>
      <c r="AU69" s="164"/>
      <c r="AY69" s="164"/>
      <c r="BC69" s="164"/>
      <c r="BG69" s="164"/>
      <c r="BI69" s="164"/>
    </row>
    <row r="70" spans="7:61">
      <c r="G70" s="163"/>
      <c r="H70" s="163"/>
      <c r="I70" s="163"/>
      <c r="O70" s="164"/>
      <c r="S70" s="164"/>
      <c r="W70" s="164"/>
      <c r="AA70" s="164"/>
      <c r="AE70" s="164"/>
      <c r="AI70" s="164"/>
      <c r="AM70" s="164"/>
      <c r="AQ70" s="164"/>
      <c r="AU70" s="164"/>
      <c r="AY70" s="164"/>
      <c r="BC70" s="164"/>
      <c r="BG70" s="164"/>
      <c r="BI70" s="164"/>
    </row>
    <row r="71" spans="7:61">
      <c r="G71" s="163"/>
      <c r="H71" s="163"/>
      <c r="I71" s="163"/>
      <c r="O71" s="164"/>
      <c r="S71" s="164"/>
      <c r="W71" s="164"/>
      <c r="AA71" s="164"/>
      <c r="AE71" s="164"/>
      <c r="AI71" s="164"/>
      <c r="AM71" s="164"/>
      <c r="AQ71" s="164"/>
      <c r="AU71" s="164"/>
      <c r="AY71" s="164"/>
      <c r="BC71" s="164"/>
      <c r="BG71" s="164"/>
      <c r="BI71" s="164"/>
    </row>
    <row r="72" spans="7:61">
      <c r="G72" s="163"/>
      <c r="H72" s="163"/>
      <c r="I72" s="163"/>
      <c r="O72" s="164"/>
      <c r="S72" s="164"/>
      <c r="W72" s="164"/>
      <c r="AA72" s="164"/>
      <c r="AE72" s="164"/>
      <c r="AI72" s="164"/>
      <c r="AM72" s="164"/>
      <c r="AQ72" s="164"/>
      <c r="AU72" s="164"/>
      <c r="AY72" s="164"/>
      <c r="BC72" s="164"/>
      <c r="BG72" s="164"/>
      <c r="BI72" s="164"/>
    </row>
    <row r="73" spans="7:61">
      <c r="G73" s="163"/>
      <c r="H73" s="163"/>
      <c r="I73" s="163"/>
      <c r="O73" s="164"/>
      <c r="S73" s="164"/>
      <c r="W73" s="164"/>
      <c r="AA73" s="164"/>
      <c r="AE73" s="164"/>
      <c r="AI73" s="164"/>
      <c r="AM73" s="164"/>
      <c r="AQ73" s="164"/>
      <c r="AU73" s="164"/>
      <c r="AY73" s="164"/>
      <c r="BC73" s="164"/>
      <c r="BG73" s="164"/>
      <c r="BI73" s="164"/>
    </row>
    <row r="74" spans="7:61">
      <c r="G74" s="163"/>
      <c r="H74" s="163"/>
      <c r="I74" s="163"/>
      <c r="O74" s="164"/>
      <c r="S74" s="164"/>
      <c r="W74" s="164"/>
      <c r="AA74" s="164"/>
      <c r="AE74" s="164"/>
      <c r="AI74" s="164"/>
      <c r="AM74" s="164"/>
      <c r="AQ74" s="164"/>
      <c r="AU74" s="164"/>
      <c r="AY74" s="164"/>
      <c r="BC74" s="164"/>
      <c r="BG74" s="164"/>
      <c r="BI74" s="164"/>
    </row>
    <row r="75" spans="7:61">
      <c r="G75" s="163"/>
      <c r="H75" s="163"/>
      <c r="I75" s="163"/>
      <c r="O75" s="164"/>
      <c r="S75" s="164"/>
      <c r="W75" s="164"/>
      <c r="AA75" s="164"/>
      <c r="AE75" s="164"/>
      <c r="AI75" s="164"/>
      <c r="AM75" s="164"/>
      <c r="AQ75" s="164"/>
      <c r="AU75" s="164"/>
      <c r="AY75" s="164"/>
      <c r="BC75" s="164"/>
      <c r="BG75" s="164"/>
      <c r="BI75" s="164"/>
    </row>
    <row r="76" spans="7:61">
      <c r="G76" s="163"/>
      <c r="H76" s="163"/>
      <c r="I76" s="163"/>
      <c r="O76" s="164"/>
      <c r="S76" s="164"/>
      <c r="W76" s="164"/>
      <c r="AA76" s="164"/>
      <c r="AE76" s="164"/>
      <c r="AI76" s="164"/>
      <c r="AM76" s="164"/>
      <c r="AQ76" s="164"/>
      <c r="AU76" s="164"/>
      <c r="AY76" s="164"/>
      <c r="BC76" s="164"/>
      <c r="BG76" s="164"/>
      <c r="BI76" s="164"/>
    </row>
    <row r="77" spans="7:61">
      <c r="G77" s="163"/>
      <c r="H77" s="163"/>
      <c r="I77" s="163"/>
      <c r="O77" s="164"/>
      <c r="S77" s="164"/>
      <c r="W77" s="164"/>
      <c r="AA77" s="164"/>
      <c r="AE77" s="164"/>
      <c r="AI77" s="164"/>
      <c r="AM77" s="164"/>
      <c r="AQ77" s="164"/>
      <c r="AU77" s="164"/>
      <c r="AY77" s="164"/>
      <c r="BC77" s="164"/>
      <c r="BG77" s="164"/>
      <c r="BI77" s="164"/>
    </row>
    <row r="78" spans="7:61">
      <c r="G78" s="163"/>
      <c r="H78" s="163"/>
      <c r="I78" s="163"/>
      <c r="O78" s="164"/>
      <c r="S78" s="164"/>
      <c r="W78" s="164"/>
      <c r="AA78" s="164"/>
      <c r="AE78" s="164"/>
      <c r="AI78" s="164"/>
      <c r="AM78" s="164"/>
      <c r="AQ78" s="164"/>
      <c r="AU78" s="164"/>
      <c r="AY78" s="164"/>
      <c r="BC78" s="164"/>
      <c r="BG78" s="164"/>
      <c r="BI78" s="164"/>
    </row>
    <row r="79" spans="7:61">
      <c r="G79" s="163"/>
      <c r="H79" s="163"/>
      <c r="I79" s="163"/>
      <c r="O79" s="164"/>
      <c r="S79" s="164"/>
      <c r="W79" s="164"/>
      <c r="AA79" s="164"/>
      <c r="AE79" s="164"/>
      <c r="AI79" s="164"/>
      <c r="AM79" s="164"/>
      <c r="AQ79" s="164"/>
      <c r="AU79" s="164"/>
      <c r="AY79" s="164"/>
      <c r="BC79" s="164"/>
      <c r="BG79" s="164"/>
      <c r="BI79" s="164"/>
    </row>
    <row r="80" spans="7:61">
      <c r="G80" s="163"/>
      <c r="H80" s="163"/>
      <c r="I80" s="163"/>
      <c r="O80" s="164"/>
      <c r="S80" s="164"/>
      <c r="W80" s="164"/>
      <c r="AA80" s="164"/>
      <c r="AE80" s="164"/>
      <c r="AI80" s="164"/>
      <c r="AM80" s="164"/>
      <c r="AQ80" s="164"/>
      <c r="AU80" s="164"/>
      <c r="AY80" s="164"/>
      <c r="BC80" s="164"/>
      <c r="BG80" s="164"/>
      <c r="BI80" s="164"/>
    </row>
    <row r="81" spans="7:61">
      <c r="G81" s="163"/>
      <c r="H81" s="163"/>
      <c r="I81" s="163"/>
      <c r="O81" s="164"/>
      <c r="S81" s="164"/>
      <c r="W81" s="164"/>
      <c r="AA81" s="164"/>
      <c r="AE81" s="164"/>
      <c r="AI81" s="164"/>
      <c r="AM81" s="164"/>
      <c r="AQ81" s="164"/>
      <c r="AU81" s="164"/>
      <c r="AY81" s="164"/>
      <c r="BC81" s="164"/>
      <c r="BG81" s="164"/>
      <c r="BI81" s="164"/>
    </row>
    <row r="82" spans="7:61">
      <c r="G82" s="163"/>
      <c r="H82" s="163"/>
      <c r="I82" s="163"/>
      <c r="O82" s="164"/>
      <c r="S82" s="164"/>
      <c r="W82" s="164"/>
      <c r="AA82" s="164"/>
      <c r="AE82" s="164"/>
      <c r="AI82" s="164"/>
      <c r="AM82" s="164"/>
      <c r="AQ82" s="164"/>
      <c r="AU82" s="164"/>
      <c r="AY82" s="164"/>
      <c r="BC82" s="164"/>
      <c r="BG82" s="164"/>
      <c r="BI82" s="164"/>
    </row>
    <row r="83" spans="7:61">
      <c r="G83" s="163"/>
      <c r="H83" s="163"/>
      <c r="I83" s="163"/>
      <c r="O83" s="164"/>
      <c r="S83" s="164"/>
      <c r="W83" s="164"/>
      <c r="AA83" s="164"/>
      <c r="AE83" s="164"/>
      <c r="AI83" s="164"/>
      <c r="AM83" s="164"/>
      <c r="AQ83" s="164"/>
      <c r="AU83" s="164"/>
      <c r="AY83" s="164"/>
      <c r="BC83" s="164"/>
      <c r="BG83" s="164"/>
      <c r="BI83" s="164"/>
    </row>
    <row r="84" spans="7:61">
      <c r="G84" s="163"/>
      <c r="H84" s="163"/>
      <c r="I84" s="163"/>
      <c r="O84" s="164"/>
      <c r="S84" s="164"/>
      <c r="W84" s="164"/>
      <c r="AA84" s="164"/>
      <c r="AE84" s="164"/>
      <c r="AI84" s="164"/>
      <c r="AM84" s="164"/>
      <c r="AQ84" s="164"/>
      <c r="AU84" s="164"/>
      <c r="AY84" s="164"/>
      <c r="BC84" s="164"/>
      <c r="BG84" s="164"/>
      <c r="BI84" s="164"/>
    </row>
    <row r="85" spans="7:61">
      <c r="G85" s="163"/>
      <c r="H85" s="163"/>
      <c r="I85" s="163"/>
      <c r="O85" s="164"/>
      <c r="S85" s="164"/>
      <c r="W85" s="164"/>
      <c r="AA85" s="164"/>
      <c r="AE85" s="164"/>
      <c r="AI85" s="164"/>
      <c r="AM85" s="164"/>
      <c r="AQ85" s="164"/>
      <c r="AU85" s="164"/>
      <c r="AY85" s="164"/>
      <c r="BC85" s="164"/>
      <c r="BG85" s="164"/>
      <c r="BI85" s="164"/>
    </row>
    <row r="86" spans="7:61">
      <c r="G86" s="163"/>
      <c r="H86" s="163"/>
      <c r="I86" s="163"/>
      <c r="O86" s="164"/>
      <c r="S86" s="164"/>
      <c r="W86" s="164"/>
      <c r="AA86" s="164"/>
      <c r="AE86" s="164"/>
      <c r="AI86" s="164"/>
      <c r="AM86" s="164"/>
      <c r="AQ86" s="164"/>
      <c r="AU86" s="164"/>
      <c r="AY86" s="164"/>
      <c r="BC86" s="164"/>
      <c r="BG86" s="164"/>
      <c r="BI86" s="164"/>
    </row>
    <row r="87" spans="7:61">
      <c r="G87" s="163"/>
      <c r="H87" s="163"/>
      <c r="I87" s="163"/>
      <c r="O87" s="164"/>
      <c r="S87" s="164"/>
      <c r="W87" s="164"/>
      <c r="AA87" s="164"/>
      <c r="AE87" s="164"/>
      <c r="AI87" s="164"/>
      <c r="AM87" s="164"/>
      <c r="AQ87" s="164"/>
      <c r="AU87" s="164"/>
      <c r="AY87" s="164"/>
      <c r="BC87" s="164"/>
      <c r="BG87" s="164"/>
      <c r="BI87" s="164"/>
    </row>
    <row r="88" spans="7:61">
      <c r="G88" s="163"/>
      <c r="H88" s="163"/>
      <c r="I88" s="163"/>
      <c r="O88" s="164"/>
      <c r="S88" s="164"/>
      <c r="W88" s="164"/>
      <c r="AA88" s="164"/>
      <c r="AE88" s="164"/>
      <c r="AI88" s="164"/>
      <c r="AM88" s="164"/>
      <c r="AQ88" s="164"/>
      <c r="AU88" s="164"/>
      <c r="AY88" s="164"/>
      <c r="BC88" s="164"/>
      <c r="BG88" s="164"/>
      <c r="BI88" s="164"/>
    </row>
    <row r="89" spans="7:61">
      <c r="G89" s="163"/>
      <c r="H89" s="163"/>
      <c r="I89" s="163"/>
      <c r="O89" s="164"/>
      <c r="S89" s="164"/>
      <c r="W89" s="164"/>
      <c r="AA89" s="164"/>
      <c r="AE89" s="164"/>
      <c r="AI89" s="164"/>
      <c r="AM89" s="164"/>
      <c r="AQ89" s="164"/>
      <c r="AU89" s="164"/>
      <c r="AY89" s="164"/>
      <c r="BC89" s="164"/>
      <c r="BG89" s="164"/>
      <c r="BI89" s="164"/>
    </row>
    <row r="90" spans="7:61">
      <c r="G90" s="163"/>
      <c r="H90" s="163"/>
      <c r="I90" s="163"/>
      <c r="O90" s="164"/>
      <c r="S90" s="164"/>
      <c r="W90" s="164"/>
      <c r="AA90" s="164"/>
      <c r="AE90" s="164"/>
      <c r="AI90" s="164"/>
      <c r="AM90" s="164"/>
      <c r="AQ90" s="164"/>
      <c r="AU90" s="164"/>
      <c r="AY90" s="164"/>
      <c r="BC90" s="164"/>
      <c r="BG90" s="164"/>
      <c r="BI90" s="164"/>
    </row>
    <row r="91" spans="7:61">
      <c r="G91" s="163"/>
      <c r="H91" s="163"/>
      <c r="I91" s="163"/>
      <c r="O91" s="164"/>
      <c r="S91" s="164"/>
      <c r="W91" s="164"/>
      <c r="AA91" s="164"/>
      <c r="AE91" s="164"/>
      <c r="AI91" s="164"/>
      <c r="AM91" s="164"/>
      <c r="AQ91" s="164"/>
      <c r="AU91" s="164"/>
      <c r="AY91" s="164"/>
      <c r="BC91" s="164"/>
      <c r="BG91" s="164"/>
      <c r="BI91" s="164"/>
    </row>
    <row r="92" spans="7:61">
      <c r="G92" s="163"/>
      <c r="H92" s="163"/>
      <c r="I92" s="163"/>
      <c r="O92" s="164"/>
      <c r="S92" s="164"/>
      <c r="W92" s="164"/>
      <c r="AA92" s="164"/>
      <c r="AE92" s="164"/>
      <c r="AI92" s="164"/>
      <c r="AM92" s="164"/>
      <c r="AQ92" s="164"/>
      <c r="AU92" s="164"/>
      <c r="AY92" s="164"/>
      <c r="BC92" s="164"/>
      <c r="BG92" s="164"/>
      <c r="BI92" s="164"/>
    </row>
    <row r="93" spans="7:61">
      <c r="G93" s="163"/>
      <c r="H93" s="163"/>
      <c r="I93" s="163"/>
      <c r="O93" s="164"/>
      <c r="S93" s="164"/>
      <c r="W93" s="164"/>
      <c r="AA93" s="164"/>
      <c r="AE93" s="164"/>
      <c r="AI93" s="164"/>
      <c r="AM93" s="164"/>
      <c r="AQ93" s="164"/>
      <c r="AU93" s="164"/>
      <c r="AY93" s="164"/>
      <c r="BC93" s="164"/>
      <c r="BG93" s="164"/>
      <c r="BI93" s="164"/>
    </row>
    <row r="94" spans="7:61">
      <c r="G94" s="163"/>
      <c r="H94" s="163"/>
      <c r="I94" s="163"/>
      <c r="O94" s="164"/>
      <c r="S94" s="164"/>
      <c r="W94" s="164"/>
      <c r="AA94" s="164"/>
      <c r="AE94" s="164"/>
      <c r="AI94" s="164"/>
      <c r="AM94" s="164"/>
      <c r="AQ94" s="164"/>
      <c r="AU94" s="164"/>
      <c r="AY94" s="164"/>
      <c r="BC94" s="164"/>
      <c r="BG94" s="164"/>
      <c r="BI94" s="164"/>
    </row>
    <row r="95" spans="7:61">
      <c r="G95" s="163"/>
      <c r="H95" s="163"/>
      <c r="I95" s="163"/>
      <c r="O95" s="164"/>
      <c r="S95" s="164"/>
      <c r="W95" s="164"/>
      <c r="AA95" s="164"/>
      <c r="AE95" s="164"/>
      <c r="AI95" s="164"/>
      <c r="AM95" s="164"/>
      <c r="AQ95" s="164"/>
      <c r="AU95" s="164"/>
      <c r="AY95" s="164"/>
      <c r="BC95" s="164"/>
      <c r="BG95" s="164"/>
      <c r="BI95" s="164"/>
    </row>
    <row r="96" spans="7:61">
      <c r="G96" s="163"/>
      <c r="H96" s="163"/>
      <c r="I96" s="163"/>
      <c r="O96" s="164"/>
      <c r="S96" s="164"/>
      <c r="W96" s="164"/>
      <c r="AA96" s="164"/>
      <c r="AE96" s="164"/>
      <c r="AI96" s="164"/>
      <c r="AM96" s="164"/>
      <c r="AQ96" s="164"/>
      <c r="AU96" s="164"/>
      <c r="AY96" s="164"/>
      <c r="BC96" s="164"/>
      <c r="BG96" s="164"/>
      <c r="BI96" s="164"/>
    </row>
    <row r="97" spans="7:61">
      <c r="G97" s="163"/>
      <c r="H97" s="163"/>
      <c r="I97" s="163"/>
      <c r="O97" s="164"/>
      <c r="S97" s="164"/>
      <c r="W97" s="164"/>
      <c r="AA97" s="164"/>
      <c r="AE97" s="164"/>
      <c r="AI97" s="164"/>
      <c r="AM97" s="164"/>
      <c r="AQ97" s="164"/>
      <c r="AU97" s="164"/>
      <c r="AY97" s="164"/>
      <c r="BC97" s="164"/>
      <c r="BG97" s="164"/>
      <c r="BI97" s="164"/>
    </row>
    <row r="98" spans="7:61">
      <c r="G98" s="163"/>
      <c r="H98" s="163"/>
      <c r="I98" s="163"/>
      <c r="O98" s="164"/>
      <c r="S98" s="164"/>
      <c r="W98" s="164"/>
      <c r="AA98" s="164"/>
      <c r="AE98" s="164"/>
      <c r="AI98" s="164"/>
      <c r="AM98" s="164"/>
      <c r="AQ98" s="164"/>
      <c r="AU98" s="164"/>
      <c r="AY98" s="164"/>
      <c r="BC98" s="164"/>
      <c r="BG98" s="164"/>
      <c r="BI98" s="164"/>
    </row>
    <row r="99" spans="7:61">
      <c r="G99" s="163"/>
      <c r="H99" s="163"/>
      <c r="I99" s="163"/>
      <c r="O99" s="164"/>
      <c r="S99" s="164"/>
      <c r="W99" s="164"/>
      <c r="AA99" s="164"/>
      <c r="AE99" s="164"/>
      <c r="AI99" s="164"/>
      <c r="AM99" s="164"/>
      <c r="AQ99" s="164"/>
      <c r="AU99" s="164"/>
      <c r="AY99" s="164"/>
      <c r="BC99" s="164"/>
      <c r="BG99" s="164"/>
      <c r="BI99" s="164"/>
    </row>
    <row r="100" spans="7:61">
      <c r="G100" s="163"/>
      <c r="H100" s="163"/>
      <c r="I100" s="163"/>
      <c r="O100" s="164"/>
      <c r="S100" s="164"/>
      <c r="W100" s="164"/>
      <c r="AA100" s="164"/>
      <c r="AE100" s="164"/>
      <c r="AI100" s="164"/>
      <c r="AM100" s="164"/>
      <c r="AQ100" s="164"/>
      <c r="AU100" s="164"/>
      <c r="AY100" s="164"/>
      <c r="BC100" s="164"/>
      <c r="BG100" s="164"/>
      <c r="BI100" s="164"/>
    </row>
    <row r="101" spans="7:61">
      <c r="G101" s="163"/>
      <c r="H101" s="163"/>
      <c r="I101" s="163"/>
      <c r="O101" s="164"/>
      <c r="S101" s="164"/>
      <c r="W101" s="164"/>
      <c r="AA101" s="164"/>
      <c r="AE101" s="164"/>
      <c r="AI101" s="164"/>
      <c r="AM101" s="164"/>
      <c r="AQ101" s="164"/>
      <c r="AU101" s="164"/>
      <c r="AY101" s="164"/>
      <c r="BC101" s="164"/>
      <c r="BG101" s="164"/>
      <c r="BI101" s="164"/>
    </row>
    <row r="102" spans="7:61">
      <c r="G102" s="163"/>
      <c r="H102" s="163"/>
      <c r="I102" s="163"/>
      <c r="O102" s="164"/>
      <c r="S102" s="164"/>
      <c r="W102" s="164"/>
      <c r="AA102" s="164"/>
      <c r="AE102" s="164"/>
      <c r="AI102" s="164"/>
      <c r="AM102" s="164"/>
      <c r="AQ102" s="164"/>
      <c r="AU102" s="164"/>
      <c r="AY102" s="164"/>
      <c r="BC102" s="164"/>
      <c r="BG102" s="164"/>
      <c r="BI102" s="164"/>
    </row>
    <row r="103" spans="7:61">
      <c r="G103" s="163"/>
      <c r="H103" s="163"/>
      <c r="I103" s="163"/>
      <c r="O103" s="164"/>
      <c r="S103" s="164"/>
      <c r="W103" s="164"/>
      <c r="AA103" s="164"/>
      <c r="AE103" s="164"/>
      <c r="AI103" s="164"/>
      <c r="AM103" s="164"/>
      <c r="AQ103" s="164"/>
      <c r="AU103" s="164"/>
      <c r="AY103" s="164"/>
      <c r="BC103" s="164"/>
      <c r="BG103" s="164"/>
      <c r="BI103" s="164"/>
    </row>
    <row r="104" spans="7:61">
      <c r="G104" s="163"/>
      <c r="H104" s="163"/>
      <c r="I104" s="163"/>
      <c r="O104" s="164"/>
      <c r="S104" s="164"/>
      <c r="W104" s="164"/>
      <c r="AA104" s="164"/>
      <c r="AE104" s="164"/>
      <c r="AI104" s="164"/>
      <c r="AM104" s="164"/>
      <c r="AQ104" s="164"/>
      <c r="AU104" s="164"/>
      <c r="AY104" s="164"/>
      <c r="BC104" s="164"/>
      <c r="BG104" s="164"/>
      <c r="BI104" s="164"/>
    </row>
    <row r="105" spans="7:61">
      <c r="G105" s="163"/>
      <c r="H105" s="163"/>
      <c r="I105" s="163"/>
      <c r="O105" s="164"/>
      <c r="S105" s="164"/>
      <c r="W105" s="164"/>
      <c r="AA105" s="164"/>
      <c r="AE105" s="164"/>
      <c r="AI105" s="164"/>
      <c r="AM105" s="164"/>
      <c r="AQ105" s="164"/>
      <c r="AU105" s="164"/>
      <c r="AY105" s="164"/>
      <c r="BC105" s="164"/>
      <c r="BG105" s="164"/>
      <c r="BI105" s="164"/>
    </row>
    <row r="106" spans="7:61">
      <c r="G106" s="163"/>
      <c r="H106" s="163"/>
      <c r="I106" s="163"/>
      <c r="O106" s="164"/>
      <c r="S106" s="164"/>
      <c r="W106" s="164"/>
      <c r="AA106" s="164"/>
      <c r="AE106" s="164"/>
      <c r="AI106" s="164"/>
      <c r="AM106" s="164"/>
      <c r="AQ106" s="164"/>
      <c r="AU106" s="164"/>
      <c r="AY106" s="164"/>
      <c r="BC106" s="164"/>
      <c r="BG106" s="164"/>
      <c r="BI106" s="164"/>
    </row>
    <row r="107" spans="7:61">
      <c r="G107" s="163"/>
      <c r="H107" s="163"/>
      <c r="I107" s="163"/>
      <c r="O107" s="164"/>
      <c r="S107" s="164"/>
      <c r="W107" s="164"/>
      <c r="AA107" s="164"/>
      <c r="AE107" s="164"/>
      <c r="AI107" s="164"/>
      <c r="AM107" s="164"/>
      <c r="AQ107" s="164"/>
      <c r="AU107" s="164"/>
      <c r="AY107" s="164"/>
      <c r="BC107" s="164"/>
      <c r="BG107" s="164"/>
      <c r="BI107" s="164"/>
    </row>
    <row r="108" spans="7:61">
      <c r="G108" s="163"/>
      <c r="H108" s="163"/>
      <c r="I108" s="163"/>
      <c r="O108" s="164"/>
      <c r="S108" s="164"/>
      <c r="W108" s="164"/>
      <c r="AA108" s="164"/>
      <c r="AE108" s="164"/>
      <c r="AI108" s="164"/>
      <c r="AM108" s="164"/>
      <c r="AQ108" s="164"/>
      <c r="AU108" s="164"/>
      <c r="AY108" s="164"/>
      <c r="BC108" s="164"/>
      <c r="BG108" s="164"/>
      <c r="BI108" s="164"/>
    </row>
    <row r="109" spans="7:61">
      <c r="G109" s="163"/>
      <c r="H109" s="163"/>
      <c r="I109" s="163"/>
      <c r="O109" s="164"/>
      <c r="S109" s="164"/>
      <c r="W109" s="164"/>
      <c r="AA109" s="164"/>
      <c r="AE109" s="164"/>
      <c r="AI109" s="164"/>
      <c r="AM109" s="164"/>
      <c r="AQ109" s="164"/>
      <c r="AU109" s="164"/>
      <c r="AY109" s="164"/>
      <c r="BC109" s="164"/>
      <c r="BG109" s="164"/>
      <c r="BI109" s="164"/>
    </row>
    <row r="110" spans="7:61">
      <c r="G110" s="163"/>
      <c r="H110" s="163"/>
      <c r="I110" s="163"/>
      <c r="O110" s="164"/>
      <c r="S110" s="164"/>
      <c r="W110" s="164"/>
      <c r="AA110" s="164"/>
      <c r="AE110" s="164"/>
      <c r="AI110" s="164"/>
      <c r="AM110" s="164"/>
      <c r="AQ110" s="164"/>
      <c r="AU110" s="164"/>
      <c r="AY110" s="164"/>
      <c r="BC110" s="164"/>
      <c r="BG110" s="164"/>
      <c r="BI110" s="164"/>
    </row>
    <row r="111" spans="7:61">
      <c r="G111" s="163"/>
      <c r="H111" s="163"/>
      <c r="I111" s="163"/>
      <c r="O111" s="164"/>
      <c r="S111" s="164"/>
      <c r="W111" s="164"/>
      <c r="AA111" s="164"/>
      <c r="AE111" s="164"/>
      <c r="AI111" s="164"/>
      <c r="AM111" s="164"/>
      <c r="AQ111" s="164"/>
      <c r="AU111" s="164"/>
      <c r="AY111" s="164"/>
      <c r="BC111" s="164"/>
      <c r="BG111" s="164"/>
      <c r="BI111" s="164"/>
    </row>
    <row r="112" spans="7:61">
      <c r="G112" s="163"/>
      <c r="H112" s="163"/>
      <c r="I112" s="163"/>
      <c r="O112" s="164"/>
      <c r="S112" s="164"/>
      <c r="W112" s="164"/>
      <c r="AA112" s="164"/>
      <c r="AE112" s="164"/>
      <c r="AI112" s="164"/>
      <c r="AM112" s="164"/>
      <c r="AQ112" s="164"/>
      <c r="AU112" s="164"/>
      <c r="AY112" s="164"/>
      <c r="BC112" s="164"/>
      <c r="BG112" s="164"/>
      <c r="BI112" s="164"/>
    </row>
    <row r="113" spans="7:61">
      <c r="G113" s="163"/>
      <c r="H113" s="163"/>
      <c r="I113" s="163"/>
      <c r="O113" s="164"/>
      <c r="S113" s="164"/>
      <c r="W113" s="164"/>
      <c r="AA113" s="164"/>
      <c r="AE113" s="164"/>
      <c r="AI113" s="164"/>
      <c r="AM113" s="164"/>
      <c r="AQ113" s="164"/>
      <c r="AU113" s="164"/>
      <c r="AY113" s="164"/>
      <c r="BC113" s="164"/>
      <c r="BG113" s="164"/>
      <c r="BI113" s="164"/>
    </row>
    <row r="114" spans="7:61">
      <c r="G114" s="163"/>
      <c r="H114" s="163"/>
      <c r="I114" s="163"/>
      <c r="O114" s="164"/>
      <c r="S114" s="164"/>
      <c r="W114" s="164"/>
      <c r="AA114" s="164"/>
      <c r="AE114" s="164"/>
      <c r="AI114" s="164"/>
      <c r="AM114" s="164"/>
      <c r="AQ114" s="164"/>
      <c r="AU114" s="164"/>
      <c r="AY114" s="164"/>
      <c r="BC114" s="164"/>
      <c r="BG114" s="164"/>
      <c r="BI114" s="164"/>
    </row>
    <row r="115" spans="7:61">
      <c r="G115" s="163"/>
      <c r="H115" s="163"/>
      <c r="I115" s="163"/>
      <c r="O115" s="164"/>
      <c r="S115" s="164"/>
      <c r="W115" s="164"/>
      <c r="AA115" s="164"/>
      <c r="AE115" s="164"/>
      <c r="AI115" s="164"/>
      <c r="AM115" s="164"/>
      <c r="AQ115" s="164"/>
      <c r="AU115" s="164"/>
      <c r="AY115" s="164"/>
      <c r="BC115" s="164"/>
      <c r="BG115" s="164"/>
      <c r="BI115" s="164"/>
    </row>
    <row r="116" spans="7:61">
      <c r="G116" s="163"/>
      <c r="H116" s="163"/>
      <c r="I116" s="163"/>
      <c r="O116" s="164"/>
      <c r="S116" s="164"/>
      <c r="W116" s="164"/>
      <c r="AA116" s="164"/>
      <c r="AE116" s="164"/>
      <c r="AI116" s="164"/>
      <c r="AM116" s="164"/>
      <c r="AQ116" s="164"/>
      <c r="AU116" s="164"/>
      <c r="AY116" s="164"/>
      <c r="BC116" s="164"/>
      <c r="BG116" s="164"/>
      <c r="BI116" s="164"/>
    </row>
    <row r="117" spans="7:61">
      <c r="G117" s="163"/>
      <c r="H117" s="163"/>
      <c r="I117" s="163"/>
      <c r="O117" s="164"/>
      <c r="S117" s="164"/>
      <c r="W117" s="164"/>
      <c r="AA117" s="164"/>
      <c r="AE117" s="164"/>
      <c r="AI117" s="164"/>
      <c r="AM117" s="164"/>
      <c r="AQ117" s="164"/>
      <c r="AU117" s="164"/>
      <c r="AY117" s="164"/>
      <c r="BC117" s="164"/>
      <c r="BG117" s="164"/>
      <c r="BI117" s="164"/>
    </row>
    <row r="118" spans="7:61">
      <c r="G118" s="163"/>
      <c r="H118" s="163"/>
      <c r="I118" s="163"/>
      <c r="O118" s="164"/>
      <c r="S118" s="164"/>
      <c r="W118" s="164"/>
      <c r="AA118" s="164"/>
      <c r="AE118" s="164"/>
      <c r="AI118" s="164"/>
      <c r="AM118" s="164"/>
      <c r="AQ118" s="164"/>
      <c r="AU118" s="164"/>
      <c r="AY118" s="164"/>
      <c r="BC118" s="164"/>
      <c r="BG118" s="164"/>
      <c r="BI118" s="164"/>
    </row>
    <row r="119" spans="7:61">
      <c r="G119" s="163"/>
      <c r="H119" s="163"/>
      <c r="I119" s="163"/>
      <c r="O119" s="164"/>
      <c r="S119" s="164"/>
      <c r="W119" s="164"/>
      <c r="AA119" s="164"/>
      <c r="AE119" s="164"/>
      <c r="AI119" s="164"/>
      <c r="AM119" s="164"/>
      <c r="AQ119" s="164"/>
      <c r="AU119" s="164"/>
      <c r="AY119" s="164"/>
      <c r="BC119" s="164"/>
      <c r="BG119" s="164"/>
      <c r="BI119" s="164"/>
    </row>
    <row r="120" spans="7:61">
      <c r="G120" s="163"/>
      <c r="H120" s="163"/>
      <c r="I120" s="163"/>
      <c r="O120" s="164"/>
      <c r="S120" s="164"/>
      <c r="W120" s="164"/>
      <c r="AA120" s="164"/>
      <c r="AE120" s="164"/>
      <c r="AI120" s="164"/>
      <c r="AM120" s="164"/>
      <c r="AQ120" s="164"/>
      <c r="AU120" s="164"/>
      <c r="AY120" s="164"/>
      <c r="BC120" s="164"/>
      <c r="BG120" s="164"/>
      <c r="BI120" s="164"/>
    </row>
    <row r="121" spans="7:61">
      <c r="G121" s="163"/>
      <c r="H121" s="163"/>
      <c r="I121" s="163"/>
      <c r="O121" s="164"/>
      <c r="S121" s="164"/>
      <c r="W121" s="164"/>
      <c r="AA121" s="164"/>
      <c r="AE121" s="164"/>
      <c r="AI121" s="164"/>
      <c r="AM121" s="164"/>
      <c r="AQ121" s="164"/>
      <c r="AU121" s="164"/>
      <c r="AY121" s="164"/>
      <c r="BC121" s="164"/>
      <c r="BG121" s="164"/>
      <c r="BI121" s="164"/>
    </row>
    <row r="122" spans="7:61">
      <c r="G122" s="163"/>
      <c r="H122" s="163"/>
      <c r="I122" s="163"/>
      <c r="O122" s="164"/>
      <c r="S122" s="164"/>
      <c r="W122" s="164"/>
      <c r="AA122" s="164"/>
      <c r="AE122" s="164"/>
      <c r="AI122" s="164"/>
      <c r="AM122" s="164"/>
      <c r="AQ122" s="164"/>
      <c r="AU122" s="164"/>
      <c r="AY122" s="164"/>
      <c r="BC122" s="164"/>
      <c r="BG122" s="164"/>
      <c r="BI122" s="164"/>
    </row>
    <row r="123" spans="7:61">
      <c r="G123" s="163"/>
      <c r="H123" s="163"/>
      <c r="I123" s="163"/>
      <c r="O123" s="164"/>
      <c r="S123" s="164"/>
      <c r="W123" s="164"/>
      <c r="AA123" s="164"/>
      <c r="AE123" s="164"/>
      <c r="AI123" s="164"/>
      <c r="AM123" s="164"/>
      <c r="AQ123" s="164"/>
      <c r="AU123" s="164"/>
      <c r="AY123" s="164"/>
      <c r="BC123" s="164"/>
      <c r="BG123" s="164"/>
      <c r="BI123" s="164"/>
    </row>
    <row r="124" spans="7:61">
      <c r="G124" s="163"/>
      <c r="H124" s="163"/>
      <c r="I124" s="163"/>
      <c r="O124" s="164"/>
      <c r="S124" s="164"/>
      <c r="W124" s="164"/>
      <c r="AA124" s="164"/>
      <c r="AE124" s="164"/>
      <c r="AI124" s="164"/>
      <c r="AM124" s="164"/>
      <c r="AQ124" s="164"/>
      <c r="AU124" s="164"/>
      <c r="AY124" s="164"/>
      <c r="BC124" s="164"/>
      <c r="BG124" s="164"/>
      <c r="BI124" s="164"/>
    </row>
    <row r="125" spans="7:61">
      <c r="G125" s="163"/>
      <c r="H125" s="163"/>
      <c r="I125" s="163"/>
      <c r="O125" s="164"/>
      <c r="S125" s="164"/>
      <c r="W125" s="164"/>
      <c r="AA125" s="164"/>
      <c r="AE125" s="164"/>
      <c r="AI125" s="164"/>
      <c r="AM125" s="164"/>
      <c r="AQ125" s="164"/>
      <c r="AU125" s="164"/>
      <c r="AY125" s="164"/>
      <c r="BC125" s="164"/>
      <c r="BG125" s="164"/>
      <c r="BI125" s="164"/>
    </row>
    <row r="126" spans="7:61">
      <c r="G126" s="163"/>
      <c r="H126" s="163"/>
      <c r="I126" s="163"/>
      <c r="O126" s="164"/>
      <c r="S126" s="164"/>
      <c r="W126" s="164"/>
      <c r="AA126" s="164"/>
      <c r="AE126" s="164"/>
      <c r="AI126" s="164"/>
      <c r="AM126" s="164"/>
      <c r="AQ126" s="164"/>
      <c r="AU126" s="164"/>
      <c r="AY126" s="164"/>
      <c r="BC126" s="164"/>
      <c r="BG126" s="164"/>
      <c r="BI126" s="164"/>
    </row>
    <row r="127" spans="7:61">
      <c r="G127" s="163"/>
      <c r="H127" s="163"/>
      <c r="I127" s="163"/>
      <c r="O127" s="164"/>
      <c r="S127" s="164"/>
      <c r="W127" s="164"/>
      <c r="AA127" s="164"/>
      <c r="AE127" s="164"/>
      <c r="AI127" s="164"/>
      <c r="AM127" s="164"/>
      <c r="AQ127" s="164"/>
      <c r="AU127" s="164"/>
      <c r="AY127" s="164"/>
      <c r="BC127" s="164"/>
      <c r="BG127" s="164"/>
      <c r="BI127" s="164"/>
    </row>
    <row r="128" spans="7:61">
      <c r="G128" s="163"/>
      <c r="H128" s="163"/>
      <c r="I128" s="163"/>
      <c r="O128" s="164"/>
      <c r="S128" s="164"/>
      <c r="W128" s="164"/>
      <c r="AA128" s="164"/>
      <c r="AE128" s="164"/>
      <c r="AI128" s="164"/>
      <c r="AM128" s="164"/>
      <c r="AQ128" s="164"/>
      <c r="AU128" s="164"/>
      <c r="AY128" s="164"/>
      <c r="BC128" s="164"/>
      <c r="BG128" s="164"/>
      <c r="BI128" s="164"/>
    </row>
    <row r="129" spans="7:61">
      <c r="G129" s="163"/>
      <c r="H129" s="163"/>
      <c r="I129" s="163"/>
      <c r="O129" s="164"/>
      <c r="S129" s="164"/>
      <c r="W129" s="164"/>
      <c r="AA129" s="164"/>
      <c r="AE129" s="164"/>
      <c r="AI129" s="164"/>
      <c r="AM129" s="164"/>
      <c r="AQ129" s="164"/>
      <c r="AU129" s="164"/>
      <c r="AY129" s="164"/>
      <c r="BC129" s="164"/>
      <c r="BG129" s="164"/>
      <c r="BI129" s="164"/>
    </row>
    <row r="130" spans="7:61">
      <c r="G130" s="163"/>
      <c r="H130" s="163"/>
      <c r="I130" s="163"/>
      <c r="O130" s="164"/>
      <c r="S130" s="164"/>
      <c r="W130" s="164"/>
      <c r="AA130" s="164"/>
      <c r="AE130" s="164"/>
      <c r="AI130" s="164"/>
      <c r="AM130" s="164"/>
      <c r="AQ130" s="164"/>
      <c r="AU130" s="164"/>
      <c r="AY130" s="164"/>
      <c r="BC130" s="164"/>
      <c r="BG130" s="164"/>
      <c r="BI130" s="164"/>
    </row>
    <row r="131" spans="7:61">
      <c r="G131" s="163"/>
      <c r="H131" s="163"/>
      <c r="I131" s="163"/>
      <c r="O131" s="164"/>
      <c r="S131" s="164"/>
      <c r="W131" s="164"/>
      <c r="AA131" s="164"/>
      <c r="AE131" s="164"/>
      <c r="AI131" s="164"/>
      <c r="AM131" s="164"/>
      <c r="AQ131" s="164"/>
      <c r="AU131" s="164"/>
      <c r="AY131" s="164"/>
      <c r="BC131" s="164"/>
      <c r="BG131" s="164"/>
      <c r="BI131" s="164"/>
    </row>
    <row r="132" spans="7:61">
      <c r="G132" s="163"/>
      <c r="H132" s="163"/>
      <c r="I132" s="163"/>
      <c r="O132" s="164"/>
      <c r="S132" s="164"/>
      <c r="W132" s="164"/>
      <c r="AA132" s="164"/>
      <c r="AE132" s="164"/>
      <c r="AI132" s="164"/>
      <c r="AM132" s="164"/>
      <c r="AQ132" s="164"/>
      <c r="AU132" s="164"/>
      <c r="AY132" s="164"/>
      <c r="BC132" s="164"/>
      <c r="BG132" s="164"/>
      <c r="BI132" s="164"/>
    </row>
    <row r="133" spans="7:61">
      <c r="G133" s="163"/>
      <c r="H133" s="163"/>
      <c r="I133" s="163"/>
      <c r="O133" s="164"/>
      <c r="S133" s="164"/>
      <c r="W133" s="164"/>
      <c r="AA133" s="164"/>
      <c r="AE133" s="164"/>
      <c r="AI133" s="164"/>
      <c r="AM133" s="164"/>
      <c r="AQ133" s="164"/>
      <c r="AU133" s="164"/>
      <c r="AY133" s="164"/>
      <c r="BC133" s="164"/>
      <c r="BG133" s="164"/>
      <c r="BI133" s="164"/>
    </row>
    <row r="134" spans="7:61">
      <c r="G134" s="163"/>
      <c r="H134" s="163"/>
      <c r="I134" s="163"/>
      <c r="O134" s="164"/>
      <c r="S134" s="164"/>
      <c r="W134" s="164"/>
      <c r="AA134" s="164"/>
      <c r="AE134" s="164"/>
      <c r="AI134" s="164"/>
      <c r="AM134" s="164"/>
      <c r="AQ134" s="164"/>
      <c r="AU134" s="164"/>
      <c r="AY134" s="164"/>
      <c r="BC134" s="164"/>
      <c r="BG134" s="164"/>
      <c r="BI134" s="164"/>
    </row>
    <row r="135" spans="7:61">
      <c r="G135" s="163"/>
      <c r="H135" s="163"/>
      <c r="I135" s="163"/>
      <c r="O135" s="164"/>
      <c r="S135" s="164"/>
      <c r="W135" s="164"/>
      <c r="AA135" s="164"/>
      <c r="AE135" s="164"/>
      <c r="AI135" s="164"/>
      <c r="AM135" s="164"/>
      <c r="AQ135" s="164"/>
      <c r="AU135" s="164"/>
      <c r="AY135" s="164"/>
      <c r="BC135" s="164"/>
      <c r="BG135" s="164"/>
      <c r="BI135" s="164"/>
    </row>
    <row r="136" spans="7:61">
      <c r="G136" s="163"/>
      <c r="H136" s="163"/>
      <c r="I136" s="163"/>
      <c r="O136" s="164"/>
      <c r="S136" s="164"/>
      <c r="W136" s="164"/>
      <c r="AA136" s="164"/>
      <c r="AE136" s="164"/>
      <c r="AI136" s="164"/>
      <c r="AM136" s="164"/>
      <c r="AQ136" s="164"/>
      <c r="AU136" s="164"/>
      <c r="AY136" s="164"/>
      <c r="BC136" s="164"/>
      <c r="BG136" s="164"/>
      <c r="BI136" s="164"/>
    </row>
    <row r="137" spans="7:61">
      <c r="G137" s="163"/>
      <c r="H137" s="163"/>
      <c r="I137" s="163"/>
      <c r="O137" s="164"/>
      <c r="S137" s="164"/>
      <c r="W137" s="164"/>
      <c r="AA137" s="164"/>
      <c r="AE137" s="164"/>
      <c r="AI137" s="164"/>
      <c r="AM137" s="164"/>
      <c r="AQ137" s="164"/>
      <c r="AU137" s="164"/>
      <c r="AY137" s="164"/>
      <c r="BC137" s="164"/>
      <c r="BG137" s="164"/>
      <c r="BI137" s="164"/>
    </row>
    <row r="138" spans="7:61">
      <c r="G138" s="163"/>
      <c r="H138" s="163"/>
      <c r="I138" s="163"/>
      <c r="O138" s="164"/>
      <c r="S138" s="164"/>
      <c r="W138" s="164"/>
      <c r="AA138" s="164"/>
      <c r="AE138" s="164"/>
      <c r="AI138" s="164"/>
      <c r="AM138" s="164"/>
      <c r="AQ138" s="164"/>
      <c r="AU138" s="164"/>
      <c r="AY138" s="164"/>
      <c r="BC138" s="164"/>
      <c r="BG138" s="164"/>
      <c r="BI138" s="164"/>
    </row>
    <row r="139" spans="7:61">
      <c r="G139" s="163"/>
      <c r="H139" s="163"/>
      <c r="I139" s="163"/>
      <c r="O139" s="164"/>
      <c r="S139" s="164"/>
      <c r="W139" s="164"/>
      <c r="AA139" s="164"/>
      <c r="AE139" s="164"/>
      <c r="AI139" s="164"/>
      <c r="AM139" s="164"/>
      <c r="AQ139" s="164"/>
      <c r="AU139" s="164"/>
      <c r="AY139" s="164"/>
      <c r="BC139" s="164"/>
      <c r="BG139" s="164"/>
      <c r="BI139" s="164"/>
    </row>
    <row r="140" spans="7:61">
      <c r="G140" s="163"/>
      <c r="H140" s="163"/>
      <c r="I140" s="163"/>
      <c r="O140" s="164"/>
      <c r="S140" s="164"/>
      <c r="W140" s="164"/>
      <c r="AA140" s="164"/>
      <c r="AE140" s="164"/>
      <c r="AI140" s="164"/>
      <c r="AM140" s="164"/>
      <c r="AQ140" s="164"/>
      <c r="AU140" s="164"/>
      <c r="AY140" s="164"/>
      <c r="BC140" s="164"/>
      <c r="BG140" s="164"/>
      <c r="BI140" s="164"/>
    </row>
    <row r="141" spans="7:61">
      <c r="G141" s="163"/>
      <c r="H141" s="163"/>
      <c r="I141" s="163"/>
      <c r="O141" s="164"/>
      <c r="S141" s="164"/>
      <c r="W141" s="164"/>
      <c r="AA141" s="164"/>
      <c r="AE141" s="164"/>
      <c r="AI141" s="164"/>
      <c r="AM141" s="164"/>
      <c r="AQ141" s="164"/>
      <c r="AU141" s="164"/>
      <c r="AY141" s="164"/>
      <c r="BC141" s="164"/>
      <c r="BG141" s="164"/>
      <c r="BI141" s="164"/>
    </row>
    <row r="142" spans="7:61">
      <c r="G142" s="163"/>
      <c r="H142" s="163"/>
      <c r="I142" s="163"/>
      <c r="O142" s="164"/>
      <c r="S142" s="164"/>
      <c r="W142" s="164"/>
      <c r="AA142" s="164"/>
      <c r="AE142" s="164"/>
      <c r="AI142" s="164"/>
      <c r="AM142" s="164"/>
      <c r="AQ142" s="164"/>
      <c r="AU142" s="164"/>
      <c r="AY142" s="164"/>
      <c r="BC142" s="164"/>
      <c r="BG142" s="164"/>
      <c r="BI142" s="164"/>
    </row>
    <row r="143" spans="7:61">
      <c r="G143" s="163"/>
      <c r="H143" s="163"/>
      <c r="I143" s="163"/>
      <c r="O143" s="164"/>
      <c r="S143" s="164"/>
      <c r="W143" s="164"/>
      <c r="AA143" s="164"/>
      <c r="AE143" s="164"/>
      <c r="AI143" s="164"/>
      <c r="AM143" s="164"/>
      <c r="AQ143" s="164"/>
      <c r="AU143" s="164"/>
      <c r="AY143" s="164"/>
      <c r="BC143" s="164"/>
      <c r="BG143" s="164"/>
      <c r="BI143" s="164"/>
    </row>
    <row r="144" spans="7:61">
      <c r="G144" s="163"/>
      <c r="H144" s="163"/>
      <c r="I144" s="163"/>
      <c r="O144" s="164"/>
      <c r="S144" s="164"/>
      <c r="W144" s="164"/>
      <c r="AA144" s="164"/>
      <c r="AE144" s="164"/>
      <c r="AI144" s="164"/>
      <c r="AM144" s="164"/>
      <c r="AQ144" s="164"/>
      <c r="AU144" s="164"/>
      <c r="AY144" s="164"/>
      <c r="BC144" s="164"/>
      <c r="BG144" s="164"/>
      <c r="BI144" s="164"/>
    </row>
    <row r="145" spans="7:61">
      <c r="G145" s="163"/>
      <c r="H145" s="163"/>
      <c r="I145" s="163"/>
      <c r="O145" s="164"/>
      <c r="S145" s="164"/>
      <c r="W145" s="164"/>
      <c r="AA145" s="164"/>
      <c r="AE145" s="164"/>
      <c r="AI145" s="164"/>
      <c r="AM145" s="164"/>
      <c r="AQ145" s="164"/>
      <c r="AU145" s="164"/>
      <c r="AY145" s="164"/>
      <c r="BC145" s="164"/>
      <c r="BG145" s="164"/>
      <c r="BI145" s="164"/>
    </row>
    <row r="146" spans="7:61">
      <c r="G146" s="163"/>
      <c r="H146" s="163"/>
      <c r="I146" s="163"/>
      <c r="O146" s="164"/>
      <c r="S146" s="164"/>
      <c r="W146" s="164"/>
      <c r="AA146" s="164"/>
      <c r="AE146" s="164"/>
      <c r="AI146" s="164"/>
      <c r="AM146" s="164"/>
      <c r="AQ146" s="164"/>
      <c r="AU146" s="164"/>
      <c r="AY146" s="164"/>
      <c r="BC146" s="164"/>
      <c r="BG146" s="164"/>
      <c r="BI146" s="164"/>
    </row>
    <row r="147" spans="7:61">
      <c r="G147" s="163"/>
      <c r="H147" s="163"/>
      <c r="I147" s="163"/>
      <c r="O147" s="164"/>
      <c r="S147" s="164"/>
      <c r="W147" s="164"/>
      <c r="AA147" s="164"/>
      <c r="AE147" s="164"/>
      <c r="AI147" s="164"/>
      <c r="AM147" s="164"/>
      <c r="AQ147" s="164"/>
      <c r="AU147" s="164"/>
      <c r="AY147" s="164"/>
      <c r="BC147" s="164"/>
      <c r="BG147" s="164"/>
      <c r="BI147" s="164"/>
    </row>
    <row r="148" spans="7:61">
      <c r="G148" s="163"/>
      <c r="H148" s="163"/>
      <c r="I148" s="163"/>
      <c r="O148" s="164"/>
      <c r="S148" s="164"/>
      <c r="W148" s="164"/>
      <c r="AA148" s="164"/>
      <c r="AE148" s="164"/>
      <c r="AI148" s="164"/>
      <c r="AM148" s="164"/>
      <c r="AQ148" s="164"/>
      <c r="AU148" s="164"/>
      <c r="AY148" s="164"/>
      <c r="BC148" s="164"/>
      <c r="BG148" s="164"/>
      <c r="BI148" s="164"/>
    </row>
    <row r="149" spans="7:61">
      <c r="G149" s="163"/>
      <c r="H149" s="163"/>
      <c r="I149" s="163"/>
      <c r="O149" s="164"/>
      <c r="S149" s="164"/>
      <c r="W149" s="164"/>
      <c r="AA149" s="164"/>
      <c r="AE149" s="164"/>
      <c r="AI149" s="164"/>
      <c r="AM149" s="164"/>
      <c r="AQ149" s="164"/>
      <c r="AU149" s="164"/>
      <c r="AY149" s="164"/>
      <c r="BC149" s="164"/>
      <c r="BG149" s="164"/>
      <c r="BI149" s="164"/>
    </row>
    <row r="150" spans="7:61">
      <c r="G150" s="163"/>
      <c r="H150" s="163"/>
      <c r="I150" s="163"/>
      <c r="O150" s="164"/>
      <c r="S150" s="164"/>
      <c r="W150" s="164"/>
      <c r="AA150" s="164"/>
      <c r="AE150" s="164"/>
      <c r="AI150" s="164"/>
      <c r="AM150" s="164"/>
      <c r="AQ150" s="164"/>
      <c r="AU150" s="164"/>
      <c r="AY150" s="164"/>
      <c r="BC150" s="164"/>
      <c r="BG150" s="164"/>
      <c r="BI150" s="164"/>
    </row>
    <row r="151" spans="7:61">
      <c r="G151" s="163"/>
      <c r="H151" s="163"/>
      <c r="I151" s="163"/>
      <c r="O151" s="164"/>
      <c r="S151" s="164"/>
      <c r="W151" s="164"/>
      <c r="AA151" s="164"/>
      <c r="AE151" s="164"/>
      <c r="AI151" s="164"/>
      <c r="AM151" s="164"/>
      <c r="AQ151" s="164"/>
      <c r="AU151" s="164"/>
      <c r="AY151" s="164"/>
      <c r="BC151" s="164"/>
      <c r="BG151" s="164"/>
      <c r="BI151" s="164"/>
    </row>
    <row r="152" spans="7:61">
      <c r="G152" s="163"/>
      <c r="H152" s="163"/>
      <c r="I152" s="163"/>
      <c r="O152" s="164"/>
      <c r="S152" s="164"/>
      <c r="W152" s="164"/>
      <c r="AA152" s="164"/>
      <c r="AE152" s="164"/>
      <c r="AI152" s="164"/>
      <c r="AM152" s="164"/>
      <c r="AQ152" s="164"/>
      <c r="AU152" s="164"/>
      <c r="AY152" s="164"/>
      <c r="BC152" s="164"/>
      <c r="BG152" s="164"/>
      <c r="BI152" s="164"/>
    </row>
    <row r="153" spans="7:61">
      <c r="G153" s="163"/>
      <c r="H153" s="163"/>
      <c r="I153" s="163"/>
      <c r="O153" s="164"/>
      <c r="S153" s="164"/>
      <c r="W153" s="164"/>
      <c r="AA153" s="164"/>
      <c r="AE153" s="164"/>
      <c r="AI153" s="164"/>
      <c r="AM153" s="164"/>
      <c r="AQ153" s="164"/>
      <c r="AU153" s="164"/>
      <c r="AY153" s="164"/>
      <c r="BC153" s="164"/>
      <c r="BG153" s="164"/>
      <c r="BI153" s="164"/>
    </row>
    <row r="154" spans="7:61">
      <c r="G154" s="163"/>
      <c r="H154" s="163"/>
      <c r="I154" s="163"/>
      <c r="O154" s="164"/>
      <c r="S154" s="164"/>
      <c r="W154" s="164"/>
      <c r="AA154" s="164"/>
      <c r="AE154" s="164"/>
      <c r="AI154" s="164"/>
      <c r="AM154" s="164"/>
      <c r="AQ154" s="164"/>
      <c r="AU154" s="164"/>
      <c r="AY154" s="164"/>
      <c r="BC154" s="164"/>
      <c r="BG154" s="164"/>
      <c r="BI154" s="164"/>
    </row>
    <row r="155" spans="7:61">
      <c r="G155" s="163"/>
      <c r="H155" s="163"/>
      <c r="I155" s="163"/>
      <c r="O155" s="164"/>
      <c r="S155" s="164"/>
      <c r="W155" s="164"/>
      <c r="AA155" s="164"/>
      <c r="AE155" s="164"/>
      <c r="AI155" s="164"/>
      <c r="AM155" s="164"/>
      <c r="AQ155" s="164"/>
      <c r="AU155" s="164"/>
      <c r="AY155" s="164"/>
      <c r="BC155" s="164"/>
      <c r="BG155" s="164"/>
      <c r="BI155" s="164"/>
    </row>
    <row r="156" spans="7:61">
      <c r="G156" s="163"/>
      <c r="H156" s="163"/>
      <c r="I156" s="163"/>
      <c r="O156" s="164"/>
      <c r="S156" s="164"/>
      <c r="W156" s="164"/>
      <c r="AA156" s="164"/>
      <c r="AE156" s="164"/>
      <c r="AI156" s="164"/>
      <c r="AM156" s="164"/>
      <c r="AQ156" s="164"/>
      <c r="AU156" s="164"/>
      <c r="AY156" s="164"/>
      <c r="BC156" s="164"/>
      <c r="BG156" s="164"/>
      <c r="BI156" s="164"/>
    </row>
    <row r="157" spans="7:61">
      <c r="G157" s="163"/>
      <c r="H157" s="163"/>
      <c r="I157" s="163"/>
      <c r="O157" s="164"/>
      <c r="S157" s="164"/>
      <c r="W157" s="164"/>
      <c r="AA157" s="164"/>
      <c r="AE157" s="164"/>
      <c r="AI157" s="164"/>
      <c r="AM157" s="164"/>
      <c r="AQ157" s="164"/>
      <c r="AU157" s="164"/>
      <c r="AY157" s="164"/>
      <c r="BC157" s="164"/>
      <c r="BG157" s="164"/>
      <c r="BI157" s="164"/>
    </row>
    <row r="158" spans="7:61">
      <c r="G158" s="163"/>
      <c r="H158" s="163"/>
      <c r="I158" s="163"/>
      <c r="O158" s="164"/>
      <c r="S158" s="164"/>
      <c r="W158" s="164"/>
      <c r="AA158" s="164"/>
      <c r="AE158" s="164"/>
      <c r="AI158" s="164"/>
      <c r="AM158" s="164"/>
      <c r="AQ158" s="164"/>
      <c r="AU158" s="164"/>
      <c r="AY158" s="164"/>
      <c r="BC158" s="164"/>
      <c r="BG158" s="164"/>
      <c r="BI158" s="164"/>
    </row>
    <row r="159" spans="7:61">
      <c r="G159" s="163"/>
      <c r="H159" s="163"/>
      <c r="I159" s="163"/>
      <c r="O159" s="164"/>
      <c r="S159" s="164"/>
      <c r="W159" s="164"/>
      <c r="AA159" s="164"/>
      <c r="AE159" s="164"/>
      <c r="AI159" s="164"/>
      <c r="AM159" s="164"/>
      <c r="AQ159" s="164"/>
      <c r="AU159" s="164"/>
      <c r="AY159" s="164"/>
      <c r="BC159" s="164"/>
      <c r="BG159" s="164"/>
      <c r="BI159" s="164"/>
    </row>
    <row r="160" spans="7:61">
      <c r="G160" s="163"/>
      <c r="H160" s="163"/>
      <c r="I160" s="163"/>
      <c r="O160" s="164"/>
      <c r="S160" s="164"/>
      <c r="W160" s="164"/>
      <c r="AA160" s="164"/>
      <c r="AE160" s="164"/>
      <c r="AI160" s="164"/>
      <c r="AM160" s="164"/>
      <c r="AQ160" s="164"/>
      <c r="AU160" s="164"/>
      <c r="AY160" s="164"/>
      <c r="BC160" s="164"/>
      <c r="BG160" s="164"/>
      <c r="BI160" s="164"/>
    </row>
    <row r="161" spans="7:61">
      <c r="G161" s="163"/>
      <c r="H161" s="163"/>
      <c r="I161" s="163"/>
      <c r="O161" s="164"/>
      <c r="S161" s="164"/>
      <c r="W161" s="164"/>
      <c r="AA161" s="164"/>
      <c r="AE161" s="164"/>
      <c r="AI161" s="164"/>
      <c r="AM161" s="164"/>
      <c r="AQ161" s="164"/>
      <c r="AU161" s="164"/>
      <c r="AY161" s="164"/>
      <c r="BC161" s="164"/>
      <c r="BG161" s="164"/>
      <c r="BI161" s="164"/>
    </row>
    <row r="162" spans="7:61">
      <c r="G162" s="163"/>
      <c r="H162" s="163"/>
      <c r="I162" s="163"/>
      <c r="O162" s="164"/>
      <c r="S162" s="164"/>
      <c r="W162" s="164"/>
      <c r="AA162" s="164"/>
      <c r="AE162" s="164"/>
      <c r="AI162" s="164"/>
      <c r="AM162" s="164"/>
      <c r="AQ162" s="164"/>
      <c r="AU162" s="164"/>
      <c r="AY162" s="164"/>
      <c r="BC162" s="164"/>
      <c r="BG162" s="164"/>
      <c r="BI162" s="164"/>
    </row>
    <row r="163" spans="7:61">
      <c r="G163" s="163"/>
      <c r="H163" s="163"/>
      <c r="I163" s="163"/>
      <c r="O163" s="164"/>
      <c r="S163" s="164"/>
      <c r="W163" s="164"/>
      <c r="AA163" s="164"/>
      <c r="AE163" s="164"/>
      <c r="AI163" s="164"/>
      <c r="AM163" s="164"/>
      <c r="AQ163" s="164"/>
      <c r="AU163" s="164"/>
      <c r="AY163" s="164"/>
      <c r="BC163" s="164"/>
      <c r="BG163" s="164"/>
      <c r="BI163" s="164"/>
    </row>
    <row r="164" spans="7:61">
      <c r="G164" s="163"/>
      <c r="H164" s="163"/>
      <c r="I164" s="163"/>
      <c r="O164" s="164"/>
      <c r="S164" s="164"/>
      <c r="W164" s="164"/>
      <c r="AA164" s="164"/>
      <c r="AE164" s="164"/>
      <c r="AI164" s="164"/>
      <c r="AM164" s="164"/>
      <c r="AQ164" s="164"/>
      <c r="AU164" s="164"/>
      <c r="AY164" s="164"/>
      <c r="BC164" s="164"/>
      <c r="BG164" s="164"/>
      <c r="BI164" s="164"/>
    </row>
    <row r="165" spans="7:61">
      <c r="G165" s="163"/>
      <c r="H165" s="163"/>
      <c r="I165" s="163"/>
      <c r="O165" s="164"/>
      <c r="S165" s="164"/>
      <c r="W165" s="164"/>
      <c r="AA165" s="164"/>
      <c r="AE165" s="164"/>
      <c r="AI165" s="164"/>
      <c r="AM165" s="164"/>
      <c r="AQ165" s="164"/>
      <c r="AU165" s="164"/>
      <c r="AY165" s="164"/>
      <c r="BC165" s="164"/>
      <c r="BG165" s="164"/>
      <c r="BI165" s="164"/>
    </row>
    <row r="166" spans="7:61">
      <c r="G166" s="163"/>
      <c r="H166" s="163"/>
      <c r="I166" s="163"/>
      <c r="O166" s="164"/>
      <c r="S166" s="164"/>
      <c r="W166" s="164"/>
      <c r="AA166" s="164"/>
      <c r="AE166" s="164"/>
      <c r="AI166" s="164"/>
      <c r="AM166" s="164"/>
      <c r="AQ166" s="164"/>
      <c r="AU166" s="164"/>
      <c r="AY166" s="164"/>
      <c r="BC166" s="164"/>
      <c r="BG166" s="164"/>
      <c r="BI166" s="164"/>
    </row>
    <row r="167" spans="7:61">
      <c r="G167" s="163"/>
      <c r="H167" s="163"/>
      <c r="I167" s="163"/>
      <c r="O167" s="164"/>
      <c r="S167" s="164"/>
      <c r="W167" s="164"/>
      <c r="AA167" s="164"/>
      <c r="AE167" s="164"/>
      <c r="AI167" s="164"/>
      <c r="AM167" s="164"/>
      <c r="AQ167" s="164"/>
      <c r="AU167" s="164"/>
      <c r="AY167" s="164"/>
      <c r="BC167" s="164"/>
      <c r="BG167" s="164"/>
      <c r="BI167" s="164"/>
    </row>
    <row r="168" spans="7:61">
      <c r="G168" s="163"/>
      <c r="H168" s="163"/>
      <c r="I168" s="163"/>
      <c r="O168" s="164"/>
      <c r="S168" s="164"/>
      <c r="W168" s="164"/>
      <c r="AA168" s="164"/>
      <c r="AE168" s="164"/>
      <c r="AI168" s="164"/>
      <c r="AM168" s="164"/>
      <c r="AQ168" s="164"/>
      <c r="AU168" s="164"/>
      <c r="AY168" s="164"/>
      <c r="BC168" s="164"/>
      <c r="BG168" s="164"/>
      <c r="BI168" s="164"/>
    </row>
    <row r="169" spans="7:61">
      <c r="G169" s="163"/>
      <c r="H169" s="163"/>
      <c r="I169" s="163"/>
      <c r="O169" s="164"/>
      <c r="S169" s="164"/>
      <c r="W169" s="164"/>
      <c r="AA169" s="164"/>
      <c r="AE169" s="164"/>
      <c r="AI169" s="164"/>
      <c r="AM169" s="164"/>
      <c r="AQ169" s="164"/>
      <c r="AU169" s="164"/>
      <c r="AY169" s="164"/>
      <c r="BC169" s="164"/>
      <c r="BG169" s="164"/>
      <c r="BI169" s="164"/>
    </row>
    <row r="170" spans="7:61">
      <c r="G170" s="163"/>
      <c r="H170" s="163"/>
      <c r="I170" s="163"/>
      <c r="O170" s="164"/>
      <c r="S170" s="164"/>
      <c r="W170" s="164"/>
      <c r="AA170" s="164"/>
      <c r="AE170" s="164"/>
      <c r="AI170" s="164"/>
      <c r="AM170" s="164"/>
      <c r="AQ170" s="164"/>
      <c r="AU170" s="164"/>
      <c r="AY170" s="164"/>
      <c r="BC170" s="164"/>
      <c r="BG170" s="164"/>
      <c r="BI170" s="164"/>
    </row>
    <row r="171" spans="7:61">
      <c r="G171" s="163"/>
      <c r="H171" s="163"/>
      <c r="I171" s="163"/>
      <c r="O171" s="164"/>
      <c r="S171" s="164"/>
      <c r="W171" s="164"/>
      <c r="AA171" s="164"/>
      <c r="AE171" s="164"/>
      <c r="AI171" s="164"/>
      <c r="AM171" s="164"/>
      <c r="AQ171" s="164"/>
      <c r="AU171" s="164"/>
      <c r="AY171" s="164"/>
      <c r="BC171" s="164"/>
      <c r="BG171" s="164"/>
      <c r="BI171" s="164"/>
    </row>
    <row r="172" spans="7:61">
      <c r="G172" s="163"/>
      <c r="H172" s="163"/>
      <c r="I172" s="163"/>
      <c r="O172" s="164"/>
      <c r="S172" s="164"/>
      <c r="W172" s="164"/>
      <c r="AA172" s="164"/>
      <c r="AE172" s="164"/>
      <c r="AI172" s="164"/>
      <c r="AM172" s="164"/>
      <c r="AQ172" s="164"/>
      <c r="AU172" s="164"/>
      <c r="AY172" s="164"/>
      <c r="BC172" s="164"/>
      <c r="BG172" s="164"/>
      <c r="BI172" s="164"/>
    </row>
    <row r="173" spans="7:61">
      <c r="G173" s="163"/>
      <c r="H173" s="163"/>
      <c r="I173" s="163"/>
      <c r="O173" s="164"/>
      <c r="S173" s="164"/>
      <c r="W173" s="164"/>
      <c r="AA173" s="164"/>
      <c r="AE173" s="164"/>
      <c r="AI173" s="164"/>
      <c r="AM173" s="164"/>
      <c r="AQ173" s="164"/>
      <c r="AU173" s="164"/>
      <c r="AY173" s="164"/>
      <c r="BC173" s="164"/>
      <c r="BG173" s="164"/>
      <c r="BI173" s="164"/>
    </row>
    <row r="174" spans="7:61">
      <c r="G174" s="163"/>
      <c r="H174" s="163"/>
      <c r="I174" s="163"/>
      <c r="O174" s="164"/>
      <c r="S174" s="164"/>
      <c r="W174" s="164"/>
      <c r="AA174" s="164"/>
      <c r="AE174" s="164"/>
      <c r="AI174" s="164"/>
      <c r="AM174" s="164"/>
      <c r="AQ174" s="164"/>
      <c r="AU174" s="164"/>
      <c r="AY174" s="164"/>
      <c r="BC174" s="164"/>
      <c r="BG174" s="164"/>
      <c r="BI174" s="164"/>
    </row>
    <row r="175" spans="7:61">
      <c r="G175" s="163"/>
      <c r="H175" s="163"/>
      <c r="I175" s="163"/>
      <c r="O175" s="164"/>
      <c r="S175" s="164"/>
      <c r="W175" s="164"/>
      <c r="AA175" s="164"/>
      <c r="AE175" s="164"/>
      <c r="AI175" s="164"/>
      <c r="AM175" s="164"/>
      <c r="AQ175" s="164"/>
      <c r="AU175" s="164"/>
      <c r="AY175" s="164"/>
      <c r="BC175" s="164"/>
      <c r="BG175" s="164"/>
      <c r="BI175" s="164"/>
    </row>
    <row r="176" spans="7:61">
      <c r="G176" s="163"/>
      <c r="H176" s="163"/>
      <c r="I176" s="163"/>
      <c r="O176" s="164"/>
      <c r="S176" s="164"/>
      <c r="W176" s="164"/>
      <c r="AA176" s="164"/>
      <c r="AE176" s="164"/>
      <c r="AI176" s="164"/>
      <c r="AM176" s="164"/>
      <c r="AQ176" s="164"/>
      <c r="AU176" s="164"/>
      <c r="AY176" s="164"/>
      <c r="BC176" s="164"/>
      <c r="BG176" s="164"/>
      <c r="BI176" s="164"/>
    </row>
    <row r="177" spans="7:61">
      <c r="G177" s="163"/>
      <c r="H177" s="163"/>
      <c r="I177" s="163"/>
      <c r="O177" s="164"/>
      <c r="S177" s="164"/>
      <c r="W177" s="164"/>
      <c r="AA177" s="164"/>
      <c r="AE177" s="164"/>
      <c r="AI177" s="164"/>
      <c r="AM177" s="164"/>
      <c r="AQ177" s="164"/>
      <c r="AU177" s="164"/>
      <c r="AY177" s="164"/>
      <c r="BC177" s="164"/>
      <c r="BG177" s="164"/>
      <c r="BI177" s="164"/>
    </row>
    <row r="178" spans="7:61">
      <c r="G178" s="163"/>
      <c r="H178" s="163"/>
      <c r="I178" s="163"/>
      <c r="O178" s="164"/>
      <c r="S178" s="164"/>
      <c r="W178" s="164"/>
      <c r="AA178" s="164"/>
      <c r="AE178" s="164"/>
      <c r="AI178" s="164"/>
      <c r="AM178" s="164"/>
      <c r="AQ178" s="164"/>
      <c r="AU178" s="164"/>
      <c r="AY178" s="164"/>
      <c r="BC178" s="164"/>
      <c r="BG178" s="164"/>
      <c r="BI178" s="164"/>
    </row>
    <row r="179" spans="7:61">
      <c r="G179" s="163"/>
      <c r="H179" s="163"/>
      <c r="I179" s="163"/>
      <c r="O179" s="164"/>
      <c r="S179" s="164"/>
      <c r="W179" s="164"/>
      <c r="AA179" s="164"/>
      <c r="AE179" s="164"/>
      <c r="AI179" s="164"/>
      <c r="AM179" s="164"/>
      <c r="AQ179" s="164"/>
      <c r="AU179" s="164"/>
      <c r="AY179" s="164"/>
      <c r="BC179" s="164"/>
      <c r="BG179" s="164"/>
      <c r="BI179" s="164"/>
    </row>
    <row r="180" spans="7:61">
      <c r="G180" s="163"/>
      <c r="H180" s="163"/>
      <c r="I180" s="163"/>
      <c r="O180" s="164"/>
      <c r="S180" s="164"/>
      <c r="W180" s="164"/>
      <c r="AA180" s="164"/>
      <c r="AE180" s="164"/>
      <c r="AI180" s="164"/>
      <c r="AM180" s="164"/>
      <c r="AQ180" s="164"/>
      <c r="AU180" s="164"/>
      <c r="AY180" s="164"/>
      <c r="BC180" s="164"/>
      <c r="BG180" s="164"/>
      <c r="BI180" s="164"/>
    </row>
    <row r="181" spans="7:61">
      <c r="G181" s="163"/>
      <c r="H181" s="163"/>
      <c r="I181" s="163"/>
      <c r="O181" s="164"/>
      <c r="S181" s="164"/>
      <c r="W181" s="164"/>
      <c r="AA181" s="164"/>
      <c r="AE181" s="164"/>
      <c r="AI181" s="164"/>
      <c r="AM181" s="164"/>
      <c r="AQ181" s="164"/>
      <c r="AU181" s="164"/>
      <c r="AY181" s="164"/>
      <c r="BC181" s="164"/>
      <c r="BG181" s="164"/>
      <c r="BI181" s="164"/>
    </row>
    <row r="182" spans="7:61">
      <c r="G182" s="163"/>
      <c r="H182" s="163"/>
      <c r="I182" s="163"/>
      <c r="O182" s="164"/>
      <c r="S182" s="164"/>
      <c r="W182" s="164"/>
      <c r="AA182" s="164"/>
      <c r="AE182" s="164"/>
      <c r="AI182" s="164"/>
      <c r="AM182" s="164"/>
      <c r="AQ182" s="164"/>
      <c r="AU182" s="164"/>
      <c r="AY182" s="164"/>
      <c r="BC182" s="164"/>
      <c r="BG182" s="164"/>
      <c r="BI182" s="164"/>
    </row>
    <row r="183" spans="7:61">
      <c r="G183" s="163"/>
      <c r="H183" s="163"/>
      <c r="I183" s="163"/>
      <c r="O183" s="164"/>
      <c r="S183" s="164"/>
      <c r="W183" s="164"/>
      <c r="AA183" s="164"/>
      <c r="AE183" s="164"/>
      <c r="AI183" s="164"/>
      <c r="AM183" s="164"/>
      <c r="AQ183" s="164"/>
      <c r="AU183" s="164"/>
      <c r="AY183" s="164"/>
      <c r="BC183" s="164"/>
      <c r="BG183" s="164"/>
      <c r="BI183" s="164"/>
    </row>
    <row r="184" spans="7:61">
      <c r="G184" s="163"/>
      <c r="H184" s="163"/>
      <c r="I184" s="163"/>
      <c r="O184" s="164"/>
      <c r="S184" s="164"/>
      <c r="W184" s="164"/>
      <c r="AA184" s="164"/>
      <c r="AE184" s="164"/>
      <c r="AI184" s="164"/>
      <c r="AM184" s="164"/>
      <c r="AQ184" s="164"/>
      <c r="AU184" s="164"/>
      <c r="AY184" s="164"/>
      <c r="BC184" s="164"/>
      <c r="BG184" s="164"/>
      <c r="BI184" s="164"/>
    </row>
    <row r="185" spans="7:61">
      <c r="G185" s="163"/>
      <c r="H185" s="163"/>
      <c r="I185" s="163"/>
      <c r="O185" s="164"/>
      <c r="S185" s="164"/>
      <c r="W185" s="164"/>
      <c r="AA185" s="164"/>
      <c r="AE185" s="164"/>
      <c r="AI185" s="164"/>
      <c r="AM185" s="164"/>
      <c r="AQ185" s="164"/>
      <c r="AU185" s="164"/>
      <c r="AY185" s="164"/>
      <c r="BC185" s="164"/>
      <c r="BG185" s="164"/>
      <c r="BI185" s="164"/>
    </row>
    <row r="186" spans="7:61">
      <c r="G186" s="163"/>
      <c r="H186" s="163"/>
      <c r="I186" s="163"/>
      <c r="O186" s="164"/>
      <c r="S186" s="164"/>
      <c r="W186" s="164"/>
      <c r="AA186" s="164"/>
      <c r="AE186" s="164"/>
      <c r="AI186" s="164"/>
      <c r="AM186" s="164"/>
      <c r="AQ186" s="164"/>
      <c r="AU186" s="164"/>
      <c r="AY186" s="164"/>
      <c r="BC186" s="164"/>
      <c r="BG186" s="164"/>
      <c r="BI186" s="164"/>
    </row>
    <row r="187" spans="7:61">
      <c r="G187" s="163"/>
      <c r="H187" s="163"/>
      <c r="I187" s="163"/>
      <c r="O187" s="164"/>
      <c r="S187" s="164"/>
      <c r="W187" s="164"/>
      <c r="AA187" s="164"/>
      <c r="AE187" s="164"/>
      <c r="AI187" s="164"/>
      <c r="AM187" s="164"/>
      <c r="AQ187" s="164"/>
      <c r="AU187" s="164"/>
      <c r="AY187" s="164"/>
      <c r="BC187" s="164"/>
      <c r="BG187" s="164"/>
      <c r="BI187" s="164"/>
    </row>
    <row r="188" spans="7:61">
      <c r="G188" s="163"/>
      <c r="H188" s="163"/>
      <c r="I188" s="163"/>
      <c r="O188" s="164"/>
      <c r="S188" s="164"/>
      <c r="W188" s="164"/>
      <c r="AA188" s="164"/>
      <c r="AE188" s="164"/>
      <c r="AI188" s="164"/>
      <c r="AM188" s="164"/>
      <c r="AQ188" s="164"/>
      <c r="AU188" s="164"/>
      <c r="AY188" s="164"/>
      <c r="BC188" s="164"/>
      <c r="BG188" s="164"/>
      <c r="BI188" s="164"/>
    </row>
    <row r="189" spans="7:61">
      <c r="G189" s="163"/>
      <c r="H189" s="163"/>
      <c r="I189" s="163"/>
      <c r="O189" s="164"/>
      <c r="S189" s="164"/>
      <c r="W189" s="164"/>
      <c r="AA189" s="164"/>
      <c r="AE189" s="164"/>
      <c r="AI189" s="164"/>
      <c r="AM189" s="164"/>
      <c r="AQ189" s="164"/>
      <c r="AU189" s="164"/>
      <c r="AY189" s="164"/>
      <c r="BC189" s="164"/>
      <c r="BG189" s="164"/>
      <c r="BI189" s="164"/>
    </row>
    <row r="190" spans="7:61">
      <c r="G190" s="163"/>
      <c r="H190" s="163"/>
      <c r="I190" s="163"/>
      <c r="O190" s="164"/>
      <c r="S190" s="164"/>
      <c r="W190" s="164"/>
      <c r="AA190" s="164"/>
      <c r="AE190" s="164"/>
      <c r="AI190" s="164"/>
      <c r="AM190" s="164"/>
      <c r="AQ190" s="164"/>
      <c r="AU190" s="164"/>
      <c r="AY190" s="164"/>
      <c r="BC190" s="164"/>
      <c r="BG190" s="164"/>
      <c r="BI190" s="164"/>
    </row>
    <row r="191" spans="7:61">
      <c r="G191" s="163"/>
      <c r="H191" s="163"/>
      <c r="I191" s="163"/>
      <c r="O191" s="164"/>
      <c r="S191" s="164"/>
      <c r="W191" s="164"/>
      <c r="AA191" s="164"/>
      <c r="AE191" s="164"/>
      <c r="AI191" s="164"/>
      <c r="AM191" s="164"/>
      <c r="AQ191" s="164"/>
      <c r="AU191" s="164"/>
      <c r="AY191" s="164"/>
      <c r="BC191" s="164"/>
      <c r="BG191" s="164"/>
      <c r="BI191" s="164"/>
    </row>
    <row r="192" spans="7:61">
      <c r="G192" s="163"/>
      <c r="H192" s="163"/>
      <c r="I192" s="163"/>
      <c r="O192" s="164"/>
      <c r="S192" s="164"/>
      <c r="W192" s="164"/>
      <c r="AA192" s="164"/>
      <c r="AE192" s="164"/>
      <c r="AI192" s="164"/>
      <c r="AM192" s="164"/>
      <c r="AQ192" s="164"/>
      <c r="AU192" s="164"/>
      <c r="AY192" s="164"/>
      <c r="BC192" s="164"/>
      <c r="BG192" s="164"/>
      <c r="BI192" s="164"/>
    </row>
    <row r="193" spans="7:61">
      <c r="G193" s="163"/>
      <c r="H193" s="163"/>
      <c r="I193" s="163"/>
      <c r="O193" s="164"/>
      <c r="S193" s="164"/>
      <c r="W193" s="164"/>
      <c r="AA193" s="164"/>
      <c r="AE193" s="164"/>
      <c r="AI193" s="164"/>
      <c r="AM193" s="164"/>
      <c r="AQ193" s="164"/>
      <c r="AU193" s="164"/>
      <c r="AY193" s="164"/>
      <c r="BC193" s="164"/>
      <c r="BG193" s="164"/>
      <c r="BI193" s="164"/>
    </row>
    <row r="194" spans="7:61">
      <c r="G194" s="163"/>
      <c r="H194" s="163"/>
      <c r="I194" s="163"/>
      <c r="O194" s="164"/>
      <c r="S194" s="164"/>
      <c r="W194" s="164"/>
      <c r="AA194" s="164"/>
      <c r="AE194" s="164"/>
      <c r="AI194" s="164"/>
      <c r="AM194" s="164"/>
      <c r="AQ194" s="164"/>
      <c r="AU194" s="164"/>
      <c r="AY194" s="164"/>
      <c r="BC194" s="164"/>
      <c r="BG194" s="164"/>
      <c r="BI194" s="164"/>
    </row>
    <row r="195" spans="7:61">
      <c r="G195" s="163"/>
      <c r="H195" s="163"/>
      <c r="I195" s="163"/>
      <c r="O195" s="164"/>
      <c r="S195" s="164"/>
      <c r="W195" s="164"/>
      <c r="AA195" s="164"/>
      <c r="AE195" s="164"/>
      <c r="AI195" s="164"/>
      <c r="AM195" s="164"/>
      <c r="AQ195" s="164"/>
      <c r="AU195" s="164"/>
      <c r="AY195" s="164"/>
      <c r="BC195" s="164"/>
      <c r="BG195" s="164"/>
      <c r="BI195" s="164"/>
    </row>
    <row r="196" spans="7:61">
      <c r="G196" s="163"/>
      <c r="H196" s="163"/>
      <c r="I196" s="163"/>
      <c r="O196" s="164"/>
      <c r="S196" s="164"/>
      <c r="W196" s="164"/>
      <c r="AA196" s="164"/>
      <c r="AE196" s="164"/>
      <c r="AI196" s="164"/>
      <c r="AM196" s="164"/>
      <c r="AQ196" s="164"/>
      <c r="AU196" s="164"/>
      <c r="AY196" s="164"/>
      <c r="BC196" s="164"/>
      <c r="BG196" s="164"/>
      <c r="BI196" s="164"/>
    </row>
    <row r="197" spans="7:61">
      <c r="G197" s="163"/>
      <c r="H197" s="163"/>
      <c r="I197" s="163"/>
      <c r="O197" s="164"/>
      <c r="S197" s="164"/>
      <c r="W197" s="164"/>
      <c r="AA197" s="164"/>
      <c r="AE197" s="164"/>
      <c r="AI197" s="164"/>
      <c r="AM197" s="164"/>
      <c r="AQ197" s="164"/>
      <c r="AU197" s="164"/>
      <c r="AY197" s="164"/>
      <c r="BC197" s="164"/>
      <c r="BG197" s="164"/>
      <c r="BI197" s="164"/>
    </row>
    <row r="198" spans="7:61">
      <c r="G198" s="163"/>
      <c r="H198" s="163"/>
      <c r="I198" s="163"/>
      <c r="O198" s="164"/>
      <c r="S198" s="164"/>
      <c r="W198" s="164"/>
      <c r="AA198" s="164"/>
      <c r="AE198" s="164"/>
      <c r="AI198" s="164"/>
      <c r="AM198" s="164"/>
      <c r="AQ198" s="164"/>
      <c r="AU198" s="164"/>
      <c r="AY198" s="164"/>
      <c r="BC198" s="164"/>
      <c r="BG198" s="164"/>
      <c r="BI198" s="164"/>
    </row>
    <row r="199" spans="7:61">
      <c r="G199" s="163"/>
      <c r="H199" s="163"/>
      <c r="I199" s="163"/>
      <c r="O199" s="164"/>
      <c r="S199" s="164"/>
      <c r="W199" s="164"/>
      <c r="AA199" s="164"/>
      <c r="AE199" s="164"/>
      <c r="AI199" s="164"/>
      <c r="AM199" s="164"/>
      <c r="AQ199" s="164"/>
      <c r="AU199" s="164"/>
      <c r="AY199" s="164"/>
      <c r="BC199" s="164"/>
      <c r="BG199" s="164"/>
      <c r="BI199" s="164"/>
    </row>
    <row r="200" spans="7:61">
      <c r="G200" s="163"/>
      <c r="H200" s="163"/>
      <c r="I200" s="163"/>
      <c r="O200" s="164"/>
      <c r="S200" s="164"/>
      <c r="W200" s="164"/>
      <c r="AA200" s="164"/>
      <c r="AE200" s="164"/>
      <c r="AI200" s="164"/>
      <c r="AM200" s="164"/>
      <c r="AQ200" s="164"/>
      <c r="AU200" s="164"/>
      <c r="AY200" s="164"/>
      <c r="BC200" s="164"/>
      <c r="BG200" s="164"/>
      <c r="BI200" s="164"/>
    </row>
    <row r="201" spans="7:61">
      <c r="G201" s="163"/>
      <c r="H201" s="163"/>
      <c r="I201" s="163"/>
      <c r="O201" s="164"/>
      <c r="S201" s="164"/>
      <c r="W201" s="164"/>
      <c r="AA201" s="164"/>
      <c r="AE201" s="164"/>
      <c r="AI201" s="164"/>
      <c r="AM201" s="164"/>
      <c r="AQ201" s="164"/>
      <c r="AU201" s="164"/>
      <c r="AY201" s="164"/>
      <c r="BC201" s="164"/>
      <c r="BG201" s="164"/>
      <c r="BI201" s="164"/>
    </row>
    <row r="202" spans="7:61">
      <c r="G202" s="163"/>
      <c r="H202" s="163"/>
      <c r="I202" s="163"/>
      <c r="O202" s="164"/>
      <c r="S202" s="164"/>
      <c r="W202" s="164"/>
      <c r="AA202" s="164"/>
      <c r="AE202" s="164"/>
      <c r="AI202" s="164"/>
      <c r="AM202" s="164"/>
      <c r="AQ202" s="164"/>
      <c r="AU202" s="164"/>
      <c r="AY202" s="164"/>
      <c r="BC202" s="164"/>
      <c r="BG202" s="164"/>
      <c r="BI202" s="164"/>
    </row>
    <row r="203" spans="7:61">
      <c r="G203" s="163"/>
      <c r="H203" s="163"/>
      <c r="I203" s="163"/>
      <c r="O203" s="164"/>
      <c r="S203" s="164"/>
      <c r="W203" s="164"/>
      <c r="AA203" s="164"/>
      <c r="AE203" s="164"/>
      <c r="AI203" s="164"/>
      <c r="AM203" s="164"/>
      <c r="AQ203" s="164"/>
      <c r="AU203" s="164"/>
      <c r="AY203" s="164"/>
      <c r="BC203" s="164"/>
      <c r="BG203" s="164"/>
      <c r="BI203" s="164"/>
    </row>
    <row r="204" spans="7:61">
      <c r="G204" s="163"/>
      <c r="H204" s="163"/>
      <c r="I204" s="163"/>
      <c r="O204" s="164"/>
      <c r="S204" s="164"/>
      <c r="W204" s="164"/>
      <c r="AA204" s="164"/>
      <c r="AE204" s="164"/>
      <c r="AI204" s="164"/>
      <c r="AM204" s="164"/>
      <c r="AQ204" s="164"/>
      <c r="AU204" s="164"/>
      <c r="AY204" s="164"/>
      <c r="BC204" s="164"/>
      <c r="BG204" s="164"/>
      <c r="BI204" s="164"/>
    </row>
    <row r="205" spans="7:61">
      <c r="G205" s="163"/>
      <c r="H205" s="163"/>
      <c r="I205" s="163"/>
      <c r="O205" s="164"/>
      <c r="S205" s="164"/>
      <c r="W205" s="164"/>
      <c r="AA205" s="164"/>
      <c r="AE205" s="164"/>
      <c r="AI205" s="164"/>
      <c r="AM205" s="164"/>
      <c r="AQ205" s="164"/>
      <c r="AU205" s="164"/>
      <c r="AY205" s="164"/>
      <c r="BC205" s="164"/>
      <c r="BG205" s="164"/>
      <c r="BI205" s="164"/>
    </row>
    <row r="206" spans="7:61">
      <c r="G206" s="163"/>
      <c r="H206" s="163"/>
      <c r="I206" s="163"/>
      <c r="O206" s="164"/>
      <c r="S206" s="164"/>
      <c r="W206" s="164"/>
      <c r="AA206" s="164"/>
      <c r="AE206" s="164"/>
      <c r="AI206" s="164"/>
      <c r="AM206" s="164"/>
      <c r="AQ206" s="164"/>
      <c r="AU206" s="164"/>
      <c r="AY206" s="164"/>
      <c r="BC206" s="164"/>
      <c r="BG206" s="164"/>
      <c r="BI206" s="164"/>
    </row>
    <row r="207" spans="7:61">
      <c r="G207" s="163"/>
      <c r="H207" s="163"/>
      <c r="I207" s="163"/>
      <c r="O207" s="164"/>
      <c r="S207" s="164"/>
      <c r="W207" s="164"/>
      <c r="AA207" s="164"/>
      <c r="AE207" s="164"/>
      <c r="AI207" s="164"/>
      <c r="AM207" s="164"/>
      <c r="AQ207" s="164"/>
      <c r="AU207" s="164"/>
      <c r="AY207" s="164"/>
      <c r="BC207" s="164"/>
      <c r="BG207" s="164"/>
      <c r="BI207" s="164"/>
    </row>
    <row r="208" spans="7:61">
      <c r="G208" s="163"/>
      <c r="H208" s="163"/>
      <c r="I208" s="163"/>
      <c r="O208" s="164"/>
      <c r="S208" s="164"/>
      <c r="W208" s="164"/>
      <c r="AA208" s="164"/>
      <c r="AE208" s="164"/>
      <c r="AI208" s="164"/>
      <c r="AM208" s="164"/>
      <c r="AQ208" s="164"/>
      <c r="AU208" s="164"/>
      <c r="AY208" s="164"/>
      <c r="BC208" s="164"/>
      <c r="BG208" s="164"/>
      <c r="BI208" s="164"/>
    </row>
    <row r="209" spans="7:61">
      <c r="G209" s="163"/>
      <c r="H209" s="163"/>
      <c r="I209" s="163"/>
      <c r="O209" s="164"/>
      <c r="S209" s="164"/>
      <c r="W209" s="164"/>
      <c r="AA209" s="164"/>
      <c r="AE209" s="164"/>
      <c r="AI209" s="164"/>
      <c r="AM209" s="164"/>
      <c r="AQ209" s="164"/>
      <c r="AU209" s="164"/>
      <c r="AY209" s="164"/>
      <c r="BC209" s="164"/>
      <c r="BG209" s="164"/>
      <c r="BI209" s="164"/>
    </row>
    <row r="210" spans="7:61">
      <c r="G210" s="163"/>
      <c r="H210" s="163"/>
      <c r="I210" s="163"/>
      <c r="O210" s="164"/>
      <c r="S210" s="164"/>
      <c r="W210" s="164"/>
      <c r="AA210" s="164"/>
      <c r="AE210" s="164"/>
      <c r="AI210" s="164"/>
      <c r="AM210" s="164"/>
      <c r="AQ210" s="164"/>
      <c r="AU210" s="164"/>
      <c r="AY210" s="164"/>
      <c r="BC210" s="164"/>
      <c r="BG210" s="164"/>
      <c r="BI210" s="164"/>
    </row>
    <row r="211" spans="7:61">
      <c r="G211" s="163"/>
      <c r="H211" s="163"/>
      <c r="I211" s="163"/>
      <c r="O211" s="164"/>
      <c r="S211" s="164"/>
      <c r="W211" s="164"/>
      <c r="AA211" s="164"/>
      <c r="AE211" s="164"/>
      <c r="AI211" s="164"/>
      <c r="AM211" s="164"/>
      <c r="AQ211" s="164"/>
      <c r="AU211" s="164"/>
      <c r="AY211" s="164"/>
      <c r="BC211" s="164"/>
      <c r="BG211" s="164"/>
      <c r="BI211" s="164"/>
    </row>
    <row r="212" spans="7:61">
      <c r="G212" s="163"/>
      <c r="H212" s="163"/>
      <c r="I212" s="163"/>
      <c r="O212" s="164"/>
      <c r="S212" s="164"/>
      <c r="W212" s="164"/>
      <c r="AA212" s="164"/>
      <c r="AE212" s="164"/>
      <c r="AI212" s="164"/>
      <c r="AM212" s="164"/>
      <c r="AQ212" s="164"/>
      <c r="AU212" s="164"/>
      <c r="AY212" s="164"/>
      <c r="BC212" s="164"/>
      <c r="BG212" s="164"/>
      <c r="BI212" s="164"/>
    </row>
    <row r="213" spans="7:61">
      <c r="G213" s="163"/>
      <c r="H213" s="163"/>
      <c r="I213" s="163"/>
      <c r="O213" s="164"/>
      <c r="S213" s="164"/>
      <c r="W213" s="164"/>
      <c r="AA213" s="164"/>
      <c r="AE213" s="164"/>
      <c r="AI213" s="164"/>
      <c r="AM213" s="164"/>
      <c r="AQ213" s="164"/>
      <c r="AU213" s="164"/>
      <c r="AY213" s="164"/>
      <c r="BC213" s="164"/>
      <c r="BG213" s="164"/>
      <c r="BI213" s="164"/>
    </row>
    <row r="214" spans="7:61">
      <c r="G214" s="163"/>
      <c r="H214" s="163"/>
      <c r="I214" s="163"/>
      <c r="O214" s="164"/>
      <c r="S214" s="164"/>
      <c r="W214" s="164"/>
      <c r="AA214" s="164"/>
      <c r="AE214" s="164"/>
      <c r="AI214" s="164"/>
      <c r="AM214" s="164"/>
      <c r="AQ214" s="164"/>
      <c r="AU214" s="164"/>
      <c r="AY214" s="164"/>
      <c r="BC214" s="164"/>
      <c r="BG214" s="164"/>
      <c r="BI214" s="164"/>
    </row>
    <row r="215" spans="7:61">
      <c r="G215" s="163"/>
      <c r="H215" s="163"/>
      <c r="I215" s="163"/>
      <c r="O215" s="164"/>
      <c r="S215" s="164"/>
      <c r="W215" s="164"/>
      <c r="AA215" s="164"/>
      <c r="AE215" s="164"/>
      <c r="AI215" s="164"/>
      <c r="AM215" s="164"/>
      <c r="AQ215" s="164"/>
      <c r="AU215" s="164"/>
      <c r="AY215" s="164"/>
      <c r="BC215" s="164"/>
      <c r="BG215" s="164"/>
      <c r="BI215" s="164"/>
    </row>
    <row r="216" spans="7:61">
      <c r="G216" s="163"/>
      <c r="H216" s="163"/>
      <c r="I216" s="163"/>
      <c r="O216" s="164"/>
      <c r="S216" s="164"/>
      <c r="W216" s="164"/>
      <c r="AA216" s="164"/>
      <c r="AE216" s="164"/>
      <c r="AI216" s="164"/>
      <c r="AM216" s="164"/>
      <c r="AQ216" s="164"/>
      <c r="AU216" s="164"/>
      <c r="AY216" s="164"/>
      <c r="BC216" s="164"/>
      <c r="BG216" s="164"/>
      <c r="BI216" s="164"/>
    </row>
    <row r="217" spans="7:61">
      <c r="G217" s="163"/>
      <c r="H217" s="163"/>
      <c r="I217" s="163"/>
      <c r="O217" s="164"/>
      <c r="S217" s="164"/>
      <c r="W217" s="164"/>
      <c r="AA217" s="164"/>
      <c r="AE217" s="164"/>
      <c r="AI217" s="164"/>
      <c r="AM217" s="164"/>
      <c r="AQ217" s="164"/>
      <c r="AU217" s="164"/>
      <c r="AY217" s="164"/>
      <c r="BC217" s="164"/>
      <c r="BG217" s="164"/>
      <c r="BI217" s="164"/>
    </row>
    <row r="218" spans="7:61">
      <c r="G218" s="163"/>
      <c r="H218" s="163"/>
      <c r="I218" s="163"/>
      <c r="O218" s="164"/>
      <c r="S218" s="164"/>
      <c r="W218" s="164"/>
      <c r="AA218" s="164"/>
      <c r="AE218" s="164"/>
      <c r="AI218" s="164"/>
      <c r="AM218" s="164"/>
      <c r="AQ218" s="164"/>
      <c r="AU218" s="164"/>
      <c r="AY218" s="164"/>
      <c r="BC218" s="164"/>
      <c r="BG218" s="164"/>
      <c r="BI218" s="164"/>
    </row>
    <row r="219" spans="7:61">
      <c r="G219" s="163"/>
      <c r="H219" s="163"/>
      <c r="I219" s="163"/>
      <c r="O219" s="164"/>
      <c r="S219" s="164"/>
      <c r="W219" s="164"/>
      <c r="AA219" s="164"/>
      <c r="AE219" s="164"/>
      <c r="AI219" s="164"/>
      <c r="AM219" s="164"/>
      <c r="AQ219" s="164"/>
      <c r="AU219" s="164"/>
      <c r="AY219" s="164"/>
      <c r="BC219" s="164"/>
      <c r="BG219" s="164"/>
      <c r="BI219" s="164"/>
    </row>
    <row r="220" spans="7:61">
      <c r="G220" s="163"/>
      <c r="H220" s="163"/>
      <c r="I220" s="163"/>
      <c r="O220" s="164"/>
      <c r="S220" s="164"/>
      <c r="W220" s="164"/>
      <c r="AA220" s="164"/>
      <c r="AE220" s="164"/>
      <c r="AI220" s="164"/>
      <c r="AM220" s="164"/>
      <c r="AQ220" s="164"/>
      <c r="AU220" s="164"/>
      <c r="AY220" s="164"/>
      <c r="BC220" s="164"/>
      <c r="BG220" s="164"/>
      <c r="BI220" s="164"/>
    </row>
    <row r="221" spans="7:61">
      <c r="G221" s="163"/>
      <c r="H221" s="163"/>
      <c r="I221" s="163"/>
      <c r="O221" s="164"/>
      <c r="S221" s="164"/>
      <c r="W221" s="164"/>
      <c r="AA221" s="164"/>
      <c r="AE221" s="164"/>
      <c r="AI221" s="164"/>
      <c r="AM221" s="164"/>
      <c r="AQ221" s="164"/>
      <c r="AU221" s="164"/>
      <c r="AY221" s="164"/>
      <c r="BC221" s="164"/>
      <c r="BG221" s="164"/>
      <c r="BI221" s="164"/>
    </row>
    <row r="222" spans="7:61">
      <c r="G222" s="163"/>
      <c r="H222" s="163"/>
      <c r="I222" s="163"/>
      <c r="O222" s="164"/>
      <c r="S222" s="164"/>
      <c r="W222" s="164"/>
      <c r="AA222" s="164"/>
      <c r="AE222" s="164"/>
      <c r="AI222" s="164"/>
      <c r="AM222" s="164"/>
      <c r="AQ222" s="164"/>
      <c r="AU222" s="164"/>
      <c r="AY222" s="164"/>
      <c r="BC222" s="164"/>
      <c r="BG222" s="164"/>
      <c r="BI222" s="164"/>
    </row>
    <row r="223" spans="7:61">
      <c r="G223" s="163"/>
      <c r="H223" s="163"/>
      <c r="I223" s="163"/>
      <c r="O223" s="164"/>
      <c r="S223" s="164"/>
      <c r="W223" s="164"/>
      <c r="AA223" s="164"/>
      <c r="AE223" s="164"/>
      <c r="AI223" s="164"/>
      <c r="AM223" s="164"/>
      <c r="AQ223" s="164"/>
      <c r="AU223" s="164"/>
      <c r="AY223" s="164"/>
      <c r="BC223" s="164"/>
      <c r="BG223" s="164"/>
      <c r="BI223" s="164"/>
    </row>
    <row r="224" spans="7:61">
      <c r="G224" s="163"/>
      <c r="H224" s="163"/>
      <c r="I224" s="163"/>
      <c r="O224" s="164"/>
      <c r="S224" s="164"/>
      <c r="W224" s="164"/>
      <c r="AA224" s="164"/>
      <c r="AE224" s="164"/>
      <c r="AI224" s="164"/>
      <c r="AM224" s="164"/>
      <c r="AQ224" s="164"/>
      <c r="AU224" s="164"/>
      <c r="AY224" s="164"/>
      <c r="BC224" s="164"/>
      <c r="BG224" s="164"/>
      <c r="BI224" s="164"/>
    </row>
    <row r="225" spans="7:61">
      <c r="G225" s="163"/>
      <c r="H225" s="163"/>
      <c r="I225" s="163"/>
      <c r="O225" s="164"/>
      <c r="S225" s="164"/>
      <c r="W225" s="164"/>
      <c r="AA225" s="164"/>
      <c r="AE225" s="164"/>
      <c r="AI225" s="164"/>
      <c r="AM225" s="164"/>
      <c r="AQ225" s="164"/>
      <c r="AU225" s="164"/>
      <c r="AY225" s="164"/>
      <c r="BC225" s="164"/>
      <c r="BG225" s="164"/>
      <c r="BI225" s="164"/>
    </row>
    <row r="226" spans="7:61">
      <c r="G226" s="163"/>
      <c r="H226" s="163"/>
      <c r="I226" s="163"/>
      <c r="O226" s="164"/>
      <c r="S226" s="164"/>
      <c r="W226" s="164"/>
      <c r="AA226" s="164"/>
      <c r="AE226" s="164"/>
      <c r="AI226" s="164"/>
      <c r="AM226" s="164"/>
      <c r="AQ226" s="164"/>
      <c r="AU226" s="164"/>
      <c r="AY226" s="164"/>
      <c r="BC226" s="164"/>
      <c r="BG226" s="164"/>
      <c r="BI226" s="164"/>
    </row>
    <row r="227" spans="7:61">
      <c r="G227" s="163"/>
      <c r="H227" s="163"/>
      <c r="I227" s="163"/>
      <c r="O227" s="164"/>
      <c r="S227" s="164"/>
      <c r="W227" s="164"/>
      <c r="AA227" s="164"/>
      <c r="AE227" s="164"/>
      <c r="AI227" s="164"/>
      <c r="AM227" s="164"/>
      <c r="AQ227" s="164"/>
      <c r="AU227" s="164"/>
      <c r="AY227" s="164"/>
      <c r="BC227" s="164"/>
      <c r="BG227" s="164"/>
      <c r="BI227" s="164"/>
    </row>
    <row r="228" spans="7:61">
      <c r="G228" s="163"/>
      <c r="H228" s="163"/>
      <c r="I228" s="163"/>
      <c r="O228" s="164"/>
      <c r="S228" s="164"/>
      <c r="W228" s="164"/>
      <c r="AA228" s="164"/>
      <c r="AE228" s="164"/>
      <c r="AI228" s="164"/>
      <c r="AM228" s="164"/>
      <c r="AQ228" s="164"/>
      <c r="AU228" s="164"/>
      <c r="AY228" s="164"/>
      <c r="BC228" s="164"/>
      <c r="BG228" s="164"/>
      <c r="BI228" s="164"/>
    </row>
    <row r="229" spans="7:61">
      <c r="G229" s="163"/>
      <c r="H229" s="163"/>
      <c r="I229" s="163"/>
      <c r="O229" s="164"/>
      <c r="S229" s="164"/>
      <c r="W229" s="164"/>
      <c r="AA229" s="164"/>
      <c r="AE229" s="164"/>
      <c r="AI229" s="164"/>
      <c r="AM229" s="164"/>
      <c r="AQ229" s="164"/>
      <c r="AU229" s="164"/>
      <c r="AY229" s="164"/>
      <c r="BC229" s="164"/>
      <c r="BG229" s="164"/>
      <c r="BI229" s="164"/>
    </row>
    <row r="230" spans="7:61">
      <c r="G230" s="163"/>
      <c r="H230" s="163"/>
      <c r="I230" s="163"/>
      <c r="O230" s="164"/>
      <c r="S230" s="164"/>
      <c r="W230" s="164"/>
      <c r="AA230" s="164"/>
      <c r="AE230" s="164"/>
      <c r="AI230" s="164"/>
      <c r="AM230" s="164"/>
      <c r="AQ230" s="164"/>
      <c r="AU230" s="164"/>
      <c r="AY230" s="164"/>
      <c r="BC230" s="164"/>
      <c r="BG230" s="164"/>
      <c r="BI230" s="164"/>
    </row>
    <row r="231" spans="7:61">
      <c r="G231" s="163"/>
      <c r="H231" s="163"/>
      <c r="I231" s="163"/>
      <c r="O231" s="164"/>
      <c r="S231" s="164"/>
      <c r="W231" s="164"/>
      <c r="AA231" s="164"/>
      <c r="AE231" s="164"/>
      <c r="AI231" s="164"/>
      <c r="AM231" s="164"/>
      <c r="AQ231" s="164"/>
      <c r="AU231" s="164"/>
      <c r="AY231" s="164"/>
      <c r="BC231" s="164"/>
      <c r="BG231" s="164"/>
      <c r="BI231" s="164"/>
    </row>
    <row r="232" spans="7:61">
      <c r="G232" s="163"/>
      <c r="H232" s="163"/>
      <c r="I232" s="163"/>
      <c r="O232" s="164"/>
      <c r="S232" s="164"/>
      <c r="W232" s="164"/>
      <c r="AA232" s="164"/>
      <c r="AE232" s="164"/>
      <c r="AI232" s="164"/>
      <c r="AM232" s="164"/>
      <c r="AQ232" s="164"/>
      <c r="AU232" s="164"/>
      <c r="AY232" s="164"/>
      <c r="BC232" s="164"/>
      <c r="BG232" s="164"/>
      <c r="BI232" s="164"/>
    </row>
    <row r="233" spans="7:61">
      <c r="G233" s="163"/>
      <c r="H233" s="163"/>
      <c r="I233" s="163"/>
      <c r="O233" s="164"/>
      <c r="S233" s="164"/>
      <c r="W233" s="164"/>
      <c r="AA233" s="164"/>
      <c r="AE233" s="164"/>
      <c r="AI233" s="164"/>
      <c r="AM233" s="164"/>
      <c r="AQ233" s="164"/>
      <c r="AU233" s="164"/>
      <c r="AY233" s="164"/>
      <c r="BC233" s="164"/>
      <c r="BG233" s="164"/>
      <c r="BI233" s="164"/>
    </row>
    <row r="234" spans="7:61">
      <c r="G234" s="163"/>
      <c r="H234" s="163"/>
      <c r="I234" s="163"/>
      <c r="O234" s="164"/>
      <c r="S234" s="164"/>
      <c r="W234" s="164"/>
      <c r="AA234" s="164"/>
      <c r="AE234" s="164"/>
      <c r="AI234" s="164"/>
      <c r="AM234" s="164"/>
      <c r="AQ234" s="164"/>
      <c r="AU234" s="164"/>
      <c r="AY234" s="164"/>
      <c r="BC234" s="164"/>
      <c r="BG234" s="164"/>
      <c r="BI234" s="164"/>
    </row>
    <row r="235" spans="7:61">
      <c r="G235" s="163"/>
      <c r="H235" s="163"/>
      <c r="I235" s="163"/>
      <c r="O235" s="164"/>
      <c r="S235" s="164"/>
      <c r="W235" s="164"/>
      <c r="AA235" s="164"/>
      <c r="AE235" s="164"/>
      <c r="AI235" s="164"/>
      <c r="AM235" s="164"/>
      <c r="AQ235" s="164"/>
      <c r="AU235" s="164"/>
      <c r="AY235" s="164"/>
      <c r="BC235" s="164"/>
      <c r="BG235" s="164"/>
      <c r="BI235" s="164"/>
    </row>
    <row r="236" spans="7:61">
      <c r="G236" s="163"/>
      <c r="H236" s="163"/>
      <c r="I236" s="163"/>
      <c r="O236" s="164"/>
      <c r="S236" s="164"/>
      <c r="W236" s="164"/>
      <c r="AA236" s="164"/>
      <c r="AE236" s="164"/>
      <c r="AI236" s="164"/>
      <c r="AM236" s="164"/>
      <c r="AQ236" s="164"/>
      <c r="AU236" s="164"/>
      <c r="AY236" s="164"/>
      <c r="BC236" s="164"/>
      <c r="BG236" s="164"/>
      <c r="BI236" s="164"/>
    </row>
    <row r="237" spans="7:61">
      <c r="G237" s="163"/>
      <c r="H237" s="163"/>
      <c r="I237" s="163"/>
      <c r="O237" s="164"/>
      <c r="S237" s="164"/>
      <c r="W237" s="164"/>
      <c r="AA237" s="164"/>
      <c r="AE237" s="164"/>
      <c r="AI237" s="164"/>
      <c r="AM237" s="164"/>
      <c r="AQ237" s="164"/>
      <c r="AU237" s="164"/>
      <c r="AY237" s="164"/>
      <c r="BC237" s="164"/>
      <c r="BG237" s="164"/>
      <c r="BI237" s="164"/>
    </row>
    <row r="238" spans="7:61">
      <c r="G238" s="163"/>
      <c r="H238" s="163"/>
      <c r="I238" s="163"/>
      <c r="O238" s="164"/>
      <c r="S238" s="164"/>
      <c r="W238" s="164"/>
      <c r="AA238" s="164"/>
      <c r="AE238" s="164"/>
      <c r="AI238" s="164"/>
      <c r="AM238" s="164"/>
      <c r="AQ238" s="164"/>
      <c r="AU238" s="164"/>
      <c r="AY238" s="164"/>
      <c r="BC238" s="164"/>
      <c r="BG238" s="164"/>
      <c r="BI238" s="164"/>
    </row>
    <row r="239" spans="7:61">
      <c r="G239" s="163"/>
      <c r="H239" s="163"/>
      <c r="I239" s="163"/>
      <c r="O239" s="164"/>
      <c r="S239" s="164"/>
      <c r="W239" s="164"/>
      <c r="AA239" s="164"/>
      <c r="AE239" s="164"/>
      <c r="AI239" s="164"/>
      <c r="AM239" s="164"/>
      <c r="AQ239" s="164"/>
      <c r="AU239" s="164"/>
      <c r="AY239" s="164"/>
      <c r="BC239" s="164"/>
      <c r="BG239" s="164"/>
      <c r="BI239" s="164"/>
    </row>
    <row r="240" spans="7:61">
      <c r="G240" s="163"/>
      <c r="H240" s="163"/>
      <c r="I240" s="163"/>
      <c r="O240" s="164"/>
      <c r="S240" s="164"/>
      <c r="W240" s="164"/>
      <c r="AA240" s="164"/>
      <c r="AE240" s="164"/>
      <c r="AI240" s="164"/>
      <c r="AM240" s="164"/>
      <c r="AQ240" s="164"/>
      <c r="AU240" s="164"/>
      <c r="AY240" s="164"/>
      <c r="BC240" s="164"/>
      <c r="BG240" s="164"/>
      <c r="BI240" s="164"/>
    </row>
    <row r="241" spans="7:61">
      <c r="G241" s="163"/>
      <c r="H241" s="163"/>
      <c r="I241" s="163"/>
      <c r="O241" s="164"/>
      <c r="S241" s="164"/>
      <c r="W241" s="164"/>
      <c r="AA241" s="164"/>
      <c r="AE241" s="164"/>
      <c r="AI241" s="164"/>
      <c r="AM241" s="164"/>
      <c r="AQ241" s="164"/>
      <c r="AU241" s="164"/>
      <c r="AY241" s="164"/>
      <c r="BC241" s="164"/>
      <c r="BG241" s="164"/>
      <c r="BI241" s="164"/>
    </row>
    <row r="242" spans="7:61">
      <c r="G242" s="163"/>
      <c r="H242" s="163"/>
      <c r="I242" s="163"/>
      <c r="O242" s="164"/>
      <c r="S242" s="164"/>
      <c r="W242" s="164"/>
      <c r="AA242" s="164"/>
      <c r="AE242" s="164"/>
      <c r="AI242" s="164"/>
      <c r="AM242" s="164"/>
      <c r="AQ242" s="164"/>
      <c r="AU242" s="164"/>
      <c r="AY242" s="164"/>
      <c r="BC242" s="164"/>
      <c r="BG242" s="164"/>
      <c r="BI242" s="164"/>
    </row>
    <row r="243" spans="7:61">
      <c r="G243" s="163"/>
      <c r="H243" s="163"/>
      <c r="I243" s="163"/>
      <c r="O243" s="164"/>
      <c r="S243" s="164"/>
      <c r="W243" s="164"/>
      <c r="AA243" s="164"/>
      <c r="AE243" s="164"/>
      <c r="AI243" s="164"/>
      <c r="AM243" s="164"/>
      <c r="AQ243" s="164"/>
      <c r="AU243" s="164"/>
      <c r="AY243" s="164"/>
      <c r="BC243" s="164"/>
      <c r="BG243" s="164"/>
      <c r="BI243" s="164"/>
    </row>
    <row r="244" spans="7:61">
      <c r="G244" s="163"/>
      <c r="H244" s="163"/>
      <c r="I244" s="163"/>
      <c r="O244" s="164"/>
      <c r="S244" s="164"/>
      <c r="W244" s="164"/>
      <c r="AA244" s="164"/>
      <c r="AE244" s="164"/>
      <c r="AI244" s="164"/>
      <c r="AM244" s="164"/>
      <c r="AQ244" s="164"/>
      <c r="AU244" s="164"/>
      <c r="AY244" s="164"/>
      <c r="BC244" s="164"/>
      <c r="BG244" s="164"/>
      <c r="BI244" s="164"/>
    </row>
    <row r="245" spans="7:61">
      <c r="G245" s="163"/>
      <c r="H245" s="163"/>
      <c r="I245" s="163"/>
      <c r="O245" s="164"/>
      <c r="S245" s="164"/>
      <c r="W245" s="164"/>
      <c r="AA245" s="164"/>
      <c r="AE245" s="164"/>
      <c r="AI245" s="164"/>
      <c r="AM245" s="164"/>
      <c r="AQ245" s="164"/>
      <c r="AU245" s="164"/>
      <c r="AY245" s="164"/>
      <c r="BC245" s="164"/>
      <c r="BG245" s="164"/>
      <c r="BI245" s="164"/>
    </row>
    <row r="246" spans="7:61">
      <c r="G246" s="163"/>
      <c r="H246" s="163"/>
      <c r="I246" s="163"/>
      <c r="O246" s="164"/>
      <c r="S246" s="164"/>
      <c r="W246" s="164"/>
      <c r="AA246" s="164"/>
      <c r="AE246" s="164"/>
      <c r="AI246" s="164"/>
      <c r="AM246" s="164"/>
      <c r="AQ246" s="164"/>
      <c r="AU246" s="164"/>
      <c r="AY246" s="164"/>
      <c r="BC246" s="164"/>
      <c r="BG246" s="164"/>
      <c r="BI246" s="164"/>
    </row>
    <row r="247" spans="7:61">
      <c r="G247" s="163"/>
      <c r="H247" s="163"/>
      <c r="I247" s="163"/>
      <c r="O247" s="164"/>
      <c r="S247" s="164"/>
      <c r="W247" s="164"/>
      <c r="AA247" s="164"/>
      <c r="AE247" s="164"/>
      <c r="AI247" s="164"/>
      <c r="AM247" s="164"/>
      <c r="AQ247" s="164"/>
      <c r="AU247" s="164"/>
      <c r="AY247" s="164"/>
      <c r="BC247" s="164"/>
      <c r="BG247" s="164"/>
      <c r="BI247" s="164"/>
    </row>
    <row r="248" spans="7:61">
      <c r="G248" s="163"/>
      <c r="H248" s="163"/>
      <c r="I248" s="163"/>
      <c r="O248" s="164"/>
      <c r="S248" s="164"/>
      <c r="W248" s="164"/>
      <c r="AA248" s="164"/>
      <c r="AE248" s="164"/>
      <c r="AI248" s="164"/>
      <c r="AM248" s="164"/>
      <c r="AQ248" s="164"/>
      <c r="AU248" s="164"/>
      <c r="AY248" s="164"/>
      <c r="BC248" s="164"/>
      <c r="BG248" s="164"/>
      <c r="BI248" s="164"/>
    </row>
    <row r="249" spans="7:61">
      <c r="G249" s="163"/>
      <c r="H249" s="163"/>
      <c r="I249" s="163"/>
      <c r="O249" s="164"/>
      <c r="S249" s="164"/>
      <c r="W249" s="164"/>
      <c r="AA249" s="164"/>
      <c r="AE249" s="164"/>
      <c r="AI249" s="164"/>
      <c r="AM249" s="164"/>
      <c r="AQ249" s="164"/>
      <c r="AU249" s="164"/>
      <c r="AY249" s="164"/>
      <c r="BC249" s="164"/>
      <c r="BG249" s="164"/>
      <c r="BI249" s="164"/>
    </row>
    <row r="250" spans="7:61">
      <c r="G250" s="163"/>
      <c r="H250" s="163"/>
      <c r="I250" s="163"/>
      <c r="O250" s="164"/>
      <c r="S250" s="164"/>
      <c r="W250" s="164"/>
      <c r="AA250" s="164"/>
      <c r="AE250" s="164"/>
      <c r="AI250" s="164"/>
      <c r="AM250" s="164"/>
      <c r="AQ250" s="164"/>
      <c r="AU250" s="164"/>
      <c r="AY250" s="164"/>
      <c r="BC250" s="164"/>
      <c r="BG250" s="164"/>
      <c r="BI250" s="164"/>
    </row>
    <row r="251" spans="7:61">
      <c r="G251" s="163"/>
      <c r="H251" s="163"/>
      <c r="I251" s="163"/>
      <c r="O251" s="164"/>
      <c r="S251" s="164"/>
      <c r="W251" s="164"/>
      <c r="AA251" s="164"/>
      <c r="AE251" s="164"/>
      <c r="AI251" s="164"/>
      <c r="AM251" s="164"/>
      <c r="AQ251" s="164"/>
      <c r="AU251" s="164"/>
      <c r="AY251" s="164"/>
      <c r="BC251" s="164"/>
      <c r="BG251" s="164"/>
      <c r="BI251" s="164"/>
    </row>
    <row r="252" spans="7:61">
      <c r="G252" s="163"/>
      <c r="H252" s="163"/>
      <c r="I252" s="163"/>
      <c r="O252" s="164"/>
      <c r="S252" s="164"/>
      <c r="W252" s="164"/>
      <c r="AA252" s="164"/>
      <c r="AE252" s="164"/>
      <c r="AI252" s="164"/>
      <c r="AM252" s="164"/>
      <c r="AQ252" s="164"/>
      <c r="AU252" s="164"/>
      <c r="AY252" s="164"/>
      <c r="BC252" s="164"/>
      <c r="BG252" s="164"/>
      <c r="BI252" s="164"/>
    </row>
    <row r="253" spans="7:61">
      <c r="G253" s="163"/>
      <c r="H253" s="163"/>
      <c r="I253" s="163"/>
      <c r="O253" s="164"/>
      <c r="S253" s="164"/>
      <c r="W253" s="164"/>
      <c r="AA253" s="164"/>
      <c r="AE253" s="164"/>
      <c r="AI253" s="164"/>
      <c r="AM253" s="164"/>
      <c r="AQ253" s="164"/>
      <c r="AU253" s="164"/>
      <c r="AY253" s="164"/>
      <c r="BC253" s="164"/>
      <c r="BG253" s="164"/>
      <c r="BI253" s="164"/>
    </row>
    <row r="254" spans="7:61">
      <c r="G254" s="163"/>
      <c r="H254" s="163"/>
      <c r="I254" s="163"/>
      <c r="O254" s="164"/>
      <c r="S254" s="164"/>
      <c r="W254" s="164"/>
      <c r="AA254" s="164"/>
      <c r="AE254" s="164"/>
      <c r="AI254" s="164"/>
      <c r="AM254" s="164"/>
      <c r="AQ254" s="164"/>
      <c r="AU254" s="164"/>
      <c r="AY254" s="164"/>
      <c r="BC254" s="164"/>
      <c r="BG254" s="164"/>
      <c r="BI254" s="164"/>
    </row>
    <row r="255" spans="7:61">
      <c r="G255" s="163"/>
      <c r="H255" s="163"/>
      <c r="I255" s="163"/>
      <c r="O255" s="164"/>
      <c r="S255" s="164"/>
      <c r="W255" s="164"/>
      <c r="AA255" s="164"/>
      <c r="AE255" s="164"/>
      <c r="AI255" s="164"/>
      <c r="AM255" s="164"/>
      <c r="AQ255" s="164"/>
      <c r="AU255" s="164"/>
      <c r="AY255" s="164"/>
      <c r="BC255" s="164"/>
      <c r="BG255" s="164"/>
      <c r="BI255" s="164"/>
    </row>
    <row r="256" spans="7:61">
      <c r="G256" s="163"/>
      <c r="H256" s="163"/>
      <c r="I256" s="163"/>
      <c r="O256" s="164"/>
      <c r="S256" s="164"/>
      <c r="W256" s="164"/>
      <c r="AA256" s="164"/>
      <c r="AE256" s="164"/>
      <c r="AI256" s="164"/>
      <c r="AM256" s="164"/>
      <c r="AQ256" s="164"/>
      <c r="AU256" s="164"/>
      <c r="AY256" s="164"/>
      <c r="BC256" s="164"/>
      <c r="BG256" s="164"/>
      <c r="BI256" s="164"/>
    </row>
    <row r="257" spans="7:61">
      <c r="G257" s="163"/>
      <c r="H257" s="163"/>
      <c r="I257" s="163"/>
      <c r="O257" s="164"/>
      <c r="S257" s="164"/>
      <c r="W257" s="164"/>
      <c r="AA257" s="164"/>
      <c r="AE257" s="164"/>
      <c r="AI257" s="164"/>
      <c r="AM257" s="164"/>
      <c r="AQ257" s="164"/>
      <c r="AU257" s="164"/>
      <c r="AY257" s="164"/>
      <c r="BC257" s="164"/>
      <c r="BG257" s="164"/>
      <c r="BI257" s="164"/>
    </row>
    <row r="258" spans="7:61">
      <c r="G258" s="163"/>
      <c r="H258" s="163"/>
      <c r="I258" s="163"/>
      <c r="O258" s="164"/>
      <c r="S258" s="164"/>
      <c r="W258" s="164"/>
      <c r="AA258" s="164"/>
      <c r="AE258" s="164"/>
      <c r="AI258" s="164"/>
      <c r="AM258" s="164"/>
      <c r="AQ258" s="164"/>
      <c r="AU258" s="164"/>
      <c r="AY258" s="164"/>
      <c r="BC258" s="164"/>
      <c r="BG258" s="164"/>
      <c r="BI258" s="164"/>
    </row>
    <row r="259" spans="7:61">
      <c r="G259" s="163"/>
      <c r="H259" s="163"/>
      <c r="I259" s="163"/>
      <c r="O259" s="164"/>
      <c r="S259" s="164"/>
      <c r="W259" s="164"/>
      <c r="AA259" s="164"/>
      <c r="AE259" s="164"/>
      <c r="AI259" s="164"/>
      <c r="AM259" s="164"/>
      <c r="AQ259" s="164"/>
      <c r="AU259" s="164"/>
      <c r="AY259" s="164"/>
      <c r="BC259" s="164"/>
      <c r="BG259" s="164"/>
      <c r="BI259" s="164"/>
    </row>
    <row r="260" spans="7:61">
      <c r="G260" s="163"/>
      <c r="H260" s="163"/>
      <c r="I260" s="163"/>
      <c r="O260" s="164"/>
      <c r="S260" s="164"/>
      <c r="W260" s="164"/>
      <c r="AA260" s="164"/>
      <c r="AE260" s="164"/>
      <c r="AI260" s="164"/>
      <c r="AM260" s="164"/>
      <c r="AQ260" s="164"/>
      <c r="AU260" s="164"/>
      <c r="AY260" s="164"/>
      <c r="BC260" s="164"/>
      <c r="BG260" s="164"/>
      <c r="BI260" s="164"/>
    </row>
    <row r="261" spans="7:61">
      <c r="G261" s="163"/>
      <c r="H261" s="163"/>
      <c r="I261" s="163"/>
      <c r="O261" s="164"/>
      <c r="S261" s="164"/>
      <c r="W261" s="164"/>
      <c r="AA261" s="164"/>
      <c r="AE261" s="164"/>
      <c r="AI261" s="164"/>
      <c r="AM261" s="164"/>
      <c r="AQ261" s="164"/>
      <c r="AU261" s="164"/>
      <c r="AY261" s="164"/>
      <c r="BC261" s="164"/>
      <c r="BG261" s="164"/>
      <c r="BI261" s="164"/>
    </row>
    <row r="262" spans="7:61">
      <c r="G262" s="163"/>
      <c r="H262" s="163"/>
      <c r="I262" s="163"/>
      <c r="O262" s="164"/>
      <c r="S262" s="164"/>
      <c r="W262" s="164"/>
      <c r="AA262" s="164"/>
      <c r="AE262" s="164"/>
      <c r="AI262" s="164"/>
      <c r="AM262" s="164"/>
      <c r="AQ262" s="164"/>
      <c r="AU262" s="164"/>
      <c r="AY262" s="164"/>
      <c r="BC262" s="164"/>
      <c r="BG262" s="164"/>
      <c r="BI262" s="164"/>
    </row>
    <row r="263" spans="7:61">
      <c r="G263" s="163"/>
      <c r="H263" s="163"/>
      <c r="I263" s="163"/>
      <c r="O263" s="164"/>
      <c r="S263" s="164"/>
      <c r="W263" s="164"/>
      <c r="AA263" s="164"/>
      <c r="AE263" s="164"/>
      <c r="AI263" s="164"/>
      <c r="AM263" s="164"/>
      <c r="AQ263" s="164"/>
      <c r="AU263" s="164"/>
      <c r="AY263" s="164"/>
      <c r="BC263" s="164"/>
      <c r="BG263" s="164"/>
      <c r="BI263" s="164"/>
    </row>
    <row r="264" spans="7:61">
      <c r="G264" s="163"/>
      <c r="H264" s="163"/>
      <c r="I264" s="163"/>
      <c r="O264" s="164"/>
      <c r="S264" s="164"/>
      <c r="W264" s="164"/>
      <c r="AA264" s="164"/>
      <c r="AE264" s="164"/>
      <c r="AI264" s="164"/>
      <c r="AM264" s="164"/>
      <c r="AQ264" s="164"/>
      <c r="AU264" s="164"/>
      <c r="AY264" s="164"/>
      <c r="BC264" s="164"/>
      <c r="BG264" s="164"/>
      <c r="BI264" s="164"/>
    </row>
    <row r="265" spans="7:61">
      <c r="G265" s="163"/>
      <c r="H265" s="163"/>
      <c r="I265" s="163"/>
      <c r="O265" s="164"/>
      <c r="S265" s="164"/>
      <c r="W265" s="164"/>
      <c r="AA265" s="164"/>
      <c r="AE265" s="164"/>
      <c r="AI265" s="164"/>
      <c r="AM265" s="164"/>
      <c r="AQ265" s="164"/>
      <c r="AU265" s="164"/>
      <c r="AY265" s="164"/>
      <c r="BC265" s="164"/>
      <c r="BG265" s="164"/>
      <c r="BI265" s="164"/>
    </row>
    <row r="266" spans="7:61">
      <c r="G266" s="163"/>
      <c r="H266" s="163"/>
      <c r="I266" s="163"/>
      <c r="O266" s="164"/>
      <c r="S266" s="164"/>
      <c r="W266" s="164"/>
      <c r="AA266" s="164"/>
      <c r="AE266" s="164"/>
      <c r="AI266" s="164"/>
      <c r="AM266" s="164"/>
      <c r="AQ266" s="164"/>
      <c r="AU266" s="164"/>
      <c r="AY266" s="164"/>
      <c r="BC266" s="164"/>
      <c r="BG266" s="164"/>
      <c r="BI266" s="164"/>
    </row>
    <row r="267" spans="7:61">
      <c r="G267" s="163"/>
      <c r="H267" s="163"/>
      <c r="I267" s="163"/>
      <c r="O267" s="164"/>
      <c r="S267" s="164"/>
      <c r="W267" s="164"/>
      <c r="AA267" s="164"/>
      <c r="AE267" s="164"/>
      <c r="AI267" s="164"/>
      <c r="AM267" s="164"/>
      <c r="AQ267" s="164"/>
      <c r="AU267" s="164"/>
      <c r="AY267" s="164"/>
      <c r="BC267" s="164"/>
      <c r="BG267" s="164"/>
      <c r="BI267" s="164"/>
    </row>
    <row r="268" spans="7:61">
      <c r="G268" s="163"/>
      <c r="H268" s="163"/>
      <c r="I268" s="163"/>
      <c r="O268" s="164"/>
      <c r="S268" s="164"/>
      <c r="W268" s="164"/>
      <c r="AA268" s="164"/>
      <c r="AE268" s="164"/>
      <c r="AI268" s="164"/>
      <c r="AM268" s="164"/>
      <c r="AQ268" s="164"/>
      <c r="AU268" s="164"/>
      <c r="AY268" s="164"/>
      <c r="BC268" s="164"/>
      <c r="BG268" s="164"/>
      <c r="BI268" s="164"/>
    </row>
    <row r="269" spans="7:61">
      <c r="G269" s="163"/>
      <c r="H269" s="163"/>
      <c r="I269" s="163"/>
      <c r="O269" s="164"/>
      <c r="S269" s="164"/>
      <c r="W269" s="164"/>
      <c r="AA269" s="164"/>
      <c r="AE269" s="164"/>
      <c r="AI269" s="164"/>
      <c r="AM269" s="164"/>
      <c r="AQ269" s="164"/>
      <c r="AU269" s="164"/>
      <c r="AY269" s="164"/>
      <c r="BC269" s="164"/>
      <c r="BG269" s="164"/>
      <c r="BI269" s="164"/>
    </row>
    <row r="270" spans="7:61">
      <c r="G270" s="163"/>
      <c r="H270" s="163"/>
      <c r="I270" s="163"/>
      <c r="O270" s="164"/>
      <c r="S270" s="164"/>
      <c r="W270" s="164"/>
      <c r="AA270" s="164"/>
      <c r="AE270" s="164"/>
      <c r="AI270" s="164"/>
      <c r="AM270" s="164"/>
      <c r="AQ270" s="164"/>
      <c r="AU270" s="164"/>
      <c r="AY270" s="164"/>
      <c r="BC270" s="164"/>
      <c r="BG270" s="164"/>
      <c r="BI270" s="164"/>
    </row>
    <row r="271" spans="7:61">
      <c r="G271" s="163"/>
      <c r="H271" s="163"/>
      <c r="I271" s="163"/>
      <c r="O271" s="164"/>
      <c r="S271" s="164"/>
      <c r="W271" s="164"/>
      <c r="AA271" s="164"/>
      <c r="AE271" s="164"/>
      <c r="AI271" s="164"/>
      <c r="AM271" s="164"/>
      <c r="AQ271" s="164"/>
      <c r="AU271" s="164"/>
      <c r="AY271" s="164"/>
      <c r="BC271" s="164"/>
      <c r="BG271" s="164"/>
      <c r="BI271" s="164"/>
    </row>
    <row r="272" spans="7:61">
      <c r="G272" s="163"/>
      <c r="H272" s="163"/>
      <c r="I272" s="163"/>
      <c r="O272" s="164"/>
      <c r="S272" s="164"/>
      <c r="W272" s="164"/>
      <c r="AA272" s="164"/>
      <c r="AE272" s="164"/>
      <c r="AI272" s="164"/>
      <c r="AM272" s="164"/>
      <c r="AQ272" s="164"/>
      <c r="AU272" s="164"/>
      <c r="AY272" s="164"/>
      <c r="BC272" s="164"/>
      <c r="BG272" s="164"/>
      <c r="BI272" s="164"/>
    </row>
    <row r="273" spans="7:61">
      <c r="G273" s="163"/>
      <c r="H273" s="163"/>
      <c r="I273" s="163"/>
      <c r="O273" s="164"/>
      <c r="S273" s="164"/>
      <c r="W273" s="164"/>
      <c r="AA273" s="164"/>
      <c r="AE273" s="164"/>
      <c r="AI273" s="164"/>
      <c r="AM273" s="164"/>
      <c r="AQ273" s="164"/>
      <c r="AU273" s="164"/>
      <c r="AY273" s="164"/>
      <c r="BC273" s="164"/>
      <c r="BG273" s="164"/>
      <c r="BI273" s="164"/>
    </row>
    <row r="274" spans="7:61">
      <c r="G274" s="163"/>
      <c r="H274" s="163"/>
      <c r="I274" s="163"/>
      <c r="O274" s="164"/>
      <c r="S274" s="164"/>
      <c r="W274" s="164"/>
      <c r="AA274" s="164"/>
      <c r="AE274" s="164"/>
      <c r="AI274" s="164"/>
      <c r="AM274" s="164"/>
      <c r="AQ274" s="164"/>
      <c r="AU274" s="164"/>
      <c r="AY274" s="164"/>
      <c r="BC274" s="164"/>
      <c r="BG274" s="164"/>
      <c r="BI274" s="164"/>
    </row>
    <row r="275" spans="7:61">
      <c r="G275" s="163"/>
      <c r="H275" s="163"/>
      <c r="I275" s="163"/>
      <c r="O275" s="164"/>
      <c r="S275" s="164"/>
      <c r="W275" s="164"/>
      <c r="AA275" s="164"/>
      <c r="AE275" s="164"/>
      <c r="AI275" s="164"/>
      <c r="AM275" s="164"/>
      <c r="AQ275" s="164"/>
      <c r="AU275" s="164"/>
      <c r="AY275" s="164"/>
      <c r="BC275" s="164"/>
      <c r="BG275" s="164"/>
      <c r="BI275" s="164"/>
    </row>
    <row r="276" spans="7:61">
      <c r="G276" s="163"/>
      <c r="H276" s="163"/>
      <c r="I276" s="163"/>
      <c r="O276" s="164"/>
      <c r="S276" s="164"/>
      <c r="W276" s="164"/>
      <c r="AA276" s="164"/>
      <c r="AE276" s="164"/>
      <c r="AI276" s="164"/>
      <c r="AM276" s="164"/>
      <c r="AQ276" s="164"/>
      <c r="AU276" s="164"/>
      <c r="AY276" s="164"/>
      <c r="BC276" s="164"/>
      <c r="BG276" s="164"/>
      <c r="BI276" s="164"/>
    </row>
    <row r="277" spans="7:61">
      <c r="G277" s="163"/>
      <c r="H277" s="163"/>
      <c r="I277" s="163"/>
      <c r="O277" s="164"/>
      <c r="S277" s="164"/>
      <c r="W277" s="164"/>
      <c r="AA277" s="164"/>
      <c r="AE277" s="164"/>
      <c r="AI277" s="164"/>
      <c r="AM277" s="164"/>
      <c r="AQ277" s="164"/>
      <c r="AU277" s="164"/>
      <c r="AY277" s="164"/>
      <c r="BC277" s="164"/>
      <c r="BG277" s="164"/>
      <c r="BI277" s="164"/>
    </row>
    <row r="278" spans="7:61">
      <c r="G278" s="163"/>
      <c r="H278" s="163"/>
      <c r="I278" s="163"/>
      <c r="O278" s="164"/>
      <c r="S278" s="164"/>
      <c r="W278" s="164"/>
      <c r="AA278" s="164"/>
      <c r="AE278" s="164"/>
      <c r="AI278" s="164"/>
      <c r="AM278" s="164"/>
      <c r="AQ278" s="164"/>
      <c r="AU278" s="164"/>
      <c r="AY278" s="164"/>
      <c r="BC278" s="164"/>
      <c r="BG278" s="164"/>
      <c r="BI278" s="164"/>
    </row>
    <row r="279" spans="7:61">
      <c r="G279" s="163"/>
      <c r="H279" s="163"/>
      <c r="I279" s="163"/>
      <c r="O279" s="164"/>
      <c r="S279" s="164"/>
      <c r="W279" s="164"/>
      <c r="AA279" s="164"/>
      <c r="AE279" s="164"/>
      <c r="AI279" s="164"/>
      <c r="AM279" s="164"/>
      <c r="AQ279" s="164"/>
      <c r="AU279" s="164"/>
      <c r="AY279" s="164"/>
      <c r="BC279" s="164"/>
      <c r="BG279" s="164"/>
      <c r="BI279" s="164"/>
    </row>
    <row r="280" spans="7:61">
      <c r="G280" s="163"/>
      <c r="H280" s="163"/>
      <c r="I280" s="163"/>
      <c r="O280" s="164"/>
      <c r="S280" s="164"/>
      <c r="W280" s="164"/>
      <c r="AA280" s="164"/>
      <c r="AE280" s="164"/>
      <c r="AI280" s="164"/>
      <c r="AM280" s="164"/>
      <c r="AQ280" s="164"/>
      <c r="AU280" s="164"/>
      <c r="AY280" s="164"/>
      <c r="BC280" s="164"/>
      <c r="BG280" s="164"/>
      <c r="BI280" s="164"/>
    </row>
    <row r="281" spans="7:61">
      <c r="G281" s="163"/>
      <c r="H281" s="163"/>
      <c r="I281" s="163"/>
      <c r="O281" s="164"/>
      <c r="S281" s="164"/>
      <c r="W281" s="164"/>
      <c r="AA281" s="164"/>
      <c r="AE281" s="164"/>
      <c r="AI281" s="164"/>
      <c r="AM281" s="164"/>
      <c r="AQ281" s="164"/>
      <c r="AU281" s="164"/>
      <c r="AY281" s="164"/>
      <c r="BC281" s="164"/>
      <c r="BG281" s="164"/>
      <c r="BI281" s="164"/>
    </row>
    <row r="282" spans="7:61">
      <c r="G282" s="163"/>
      <c r="H282" s="163"/>
      <c r="I282" s="163"/>
      <c r="O282" s="164"/>
      <c r="S282" s="164"/>
      <c r="W282" s="164"/>
      <c r="AA282" s="164"/>
      <c r="AE282" s="164"/>
      <c r="AI282" s="164"/>
      <c r="AM282" s="164"/>
      <c r="AQ282" s="164"/>
      <c r="AU282" s="164"/>
      <c r="AY282" s="164"/>
      <c r="BC282" s="164"/>
      <c r="BG282" s="164"/>
      <c r="BI282" s="164"/>
    </row>
    <row r="283" spans="7:61">
      <c r="G283" s="163"/>
      <c r="H283" s="163"/>
      <c r="I283" s="163"/>
      <c r="O283" s="164"/>
      <c r="S283" s="164"/>
      <c r="W283" s="164"/>
      <c r="AA283" s="164"/>
      <c r="AE283" s="164"/>
      <c r="AI283" s="164"/>
      <c r="AM283" s="164"/>
      <c r="AQ283" s="164"/>
      <c r="AU283" s="164"/>
      <c r="AY283" s="164"/>
      <c r="BC283" s="164"/>
      <c r="BG283" s="164"/>
      <c r="BI283" s="164"/>
    </row>
    <row r="284" spans="7:61">
      <c r="G284" s="163"/>
      <c r="H284" s="163"/>
      <c r="I284" s="163"/>
      <c r="O284" s="164"/>
      <c r="S284" s="164"/>
      <c r="W284" s="164"/>
      <c r="AA284" s="164"/>
      <c r="AE284" s="164"/>
      <c r="AI284" s="164"/>
      <c r="AM284" s="164"/>
      <c r="AQ284" s="164"/>
      <c r="AU284" s="164"/>
      <c r="AY284" s="164"/>
      <c r="BC284" s="164"/>
      <c r="BG284" s="164"/>
      <c r="BI284" s="164"/>
    </row>
    <row r="285" spans="7:61">
      <c r="G285" s="163"/>
      <c r="H285" s="163"/>
      <c r="I285" s="163"/>
      <c r="O285" s="164"/>
      <c r="S285" s="164"/>
      <c r="W285" s="164"/>
      <c r="AA285" s="164"/>
      <c r="AE285" s="164"/>
      <c r="AI285" s="164"/>
      <c r="AM285" s="164"/>
      <c r="AQ285" s="164"/>
      <c r="AU285" s="164"/>
      <c r="AY285" s="164"/>
      <c r="BC285" s="164"/>
      <c r="BG285" s="164"/>
      <c r="BI285" s="164"/>
    </row>
    <row r="286" spans="7:61">
      <c r="G286" s="163"/>
      <c r="H286" s="163"/>
      <c r="I286" s="163"/>
      <c r="O286" s="164"/>
      <c r="S286" s="164"/>
      <c r="W286" s="164"/>
      <c r="AA286" s="164"/>
      <c r="AE286" s="164"/>
      <c r="AI286" s="164"/>
      <c r="AM286" s="164"/>
      <c r="AQ286" s="164"/>
      <c r="AU286" s="164"/>
      <c r="AY286" s="164"/>
      <c r="BC286" s="164"/>
      <c r="BG286" s="164"/>
      <c r="BI286" s="164"/>
    </row>
    <row r="287" spans="7:61">
      <c r="G287" s="163"/>
      <c r="H287" s="163"/>
      <c r="I287" s="163"/>
      <c r="O287" s="164"/>
      <c r="S287" s="164"/>
      <c r="W287" s="164"/>
      <c r="AA287" s="164"/>
      <c r="AE287" s="164"/>
      <c r="AI287" s="164"/>
      <c r="AM287" s="164"/>
      <c r="AQ287" s="164"/>
      <c r="AU287" s="164"/>
      <c r="AY287" s="164"/>
      <c r="BC287" s="164"/>
      <c r="BG287" s="164"/>
      <c r="BI287" s="164"/>
    </row>
    <row r="288" spans="7:61">
      <c r="G288" s="163"/>
      <c r="H288" s="163"/>
      <c r="I288" s="163"/>
      <c r="O288" s="164"/>
      <c r="S288" s="164"/>
      <c r="W288" s="164"/>
      <c r="AA288" s="164"/>
      <c r="AE288" s="164"/>
      <c r="AI288" s="164"/>
      <c r="AM288" s="164"/>
      <c r="AQ288" s="164"/>
      <c r="AU288" s="164"/>
      <c r="AY288" s="164"/>
      <c r="BC288" s="164"/>
      <c r="BG288" s="164"/>
      <c r="BI288" s="164"/>
    </row>
    <row r="289" spans="7:61">
      <c r="G289" s="163"/>
      <c r="H289" s="163"/>
      <c r="I289" s="163"/>
      <c r="O289" s="164"/>
      <c r="S289" s="164"/>
      <c r="W289" s="164"/>
      <c r="AA289" s="164"/>
      <c r="AE289" s="164"/>
      <c r="AI289" s="164"/>
      <c r="AM289" s="164"/>
      <c r="AQ289" s="164"/>
      <c r="AU289" s="164"/>
      <c r="AY289" s="164"/>
      <c r="BC289" s="164"/>
      <c r="BG289" s="164"/>
      <c r="BI289" s="164"/>
    </row>
    <row r="290" spans="7:61">
      <c r="G290" s="163"/>
      <c r="H290" s="163"/>
      <c r="I290" s="163"/>
      <c r="O290" s="164"/>
      <c r="S290" s="164"/>
      <c r="W290" s="164"/>
      <c r="AA290" s="164"/>
      <c r="AE290" s="164"/>
      <c r="AI290" s="164"/>
      <c r="AM290" s="164"/>
      <c r="AQ290" s="164"/>
      <c r="AU290" s="164"/>
      <c r="AY290" s="164"/>
      <c r="BC290" s="164"/>
      <c r="BG290" s="164"/>
      <c r="BI290" s="164"/>
    </row>
    <row r="291" spans="7:61">
      <c r="G291" s="163"/>
      <c r="H291" s="163"/>
      <c r="I291" s="163"/>
      <c r="O291" s="164"/>
      <c r="S291" s="164"/>
      <c r="W291" s="164"/>
      <c r="AA291" s="164"/>
      <c r="AE291" s="164"/>
      <c r="AI291" s="164"/>
      <c r="AM291" s="164"/>
      <c r="AQ291" s="164"/>
      <c r="AU291" s="164"/>
      <c r="AY291" s="164"/>
      <c r="BC291" s="164"/>
      <c r="BG291" s="164"/>
      <c r="BI291" s="164"/>
    </row>
    <row r="292" spans="7:61">
      <c r="G292" s="163"/>
      <c r="H292" s="163"/>
      <c r="I292" s="163"/>
      <c r="O292" s="164"/>
      <c r="S292" s="164"/>
      <c r="W292" s="164"/>
      <c r="AA292" s="164"/>
      <c r="AE292" s="164"/>
      <c r="AI292" s="164"/>
      <c r="AM292" s="164"/>
      <c r="AQ292" s="164"/>
      <c r="AU292" s="164"/>
      <c r="AY292" s="164"/>
      <c r="BC292" s="164"/>
      <c r="BG292" s="164"/>
      <c r="BI292" s="164"/>
    </row>
    <row r="293" spans="7:61">
      <c r="G293" s="163"/>
      <c r="H293" s="163"/>
      <c r="I293" s="163"/>
      <c r="O293" s="164"/>
      <c r="S293" s="164"/>
      <c r="W293" s="164"/>
      <c r="AA293" s="164"/>
      <c r="AE293" s="164"/>
      <c r="AI293" s="164"/>
      <c r="AM293" s="164"/>
      <c r="AQ293" s="164"/>
      <c r="AU293" s="164"/>
      <c r="AY293" s="164"/>
      <c r="BC293" s="164"/>
      <c r="BG293" s="164"/>
      <c r="BI293" s="164"/>
    </row>
    <row r="294" spans="7:61">
      <c r="G294" s="163"/>
      <c r="H294" s="163"/>
      <c r="I294" s="163"/>
      <c r="O294" s="164"/>
      <c r="S294" s="164"/>
      <c r="W294" s="164"/>
      <c r="AA294" s="164"/>
      <c r="AE294" s="164"/>
      <c r="AI294" s="164"/>
      <c r="AM294" s="164"/>
      <c r="AQ294" s="164"/>
      <c r="AU294" s="164"/>
      <c r="AY294" s="164"/>
      <c r="BC294" s="164"/>
      <c r="BG294" s="164"/>
      <c r="BI294" s="164"/>
    </row>
    <row r="295" spans="7:61">
      <c r="G295" s="163"/>
      <c r="H295" s="163"/>
      <c r="I295" s="163"/>
      <c r="O295" s="164"/>
      <c r="S295" s="164"/>
      <c r="W295" s="164"/>
      <c r="AA295" s="164"/>
      <c r="AE295" s="164"/>
      <c r="AI295" s="164"/>
      <c r="AM295" s="164"/>
      <c r="AQ295" s="164"/>
      <c r="AU295" s="164"/>
      <c r="AY295" s="164"/>
      <c r="BC295" s="164"/>
      <c r="BG295" s="164"/>
      <c r="BI295" s="164"/>
    </row>
    <row r="296" spans="7:61">
      <c r="G296" s="163"/>
      <c r="H296" s="163"/>
      <c r="I296" s="163"/>
      <c r="O296" s="164"/>
      <c r="S296" s="164"/>
      <c r="W296" s="164"/>
      <c r="AA296" s="164"/>
      <c r="AE296" s="164"/>
      <c r="AI296" s="164"/>
      <c r="AM296" s="164"/>
      <c r="AQ296" s="164"/>
      <c r="AU296" s="164"/>
      <c r="AY296" s="164"/>
      <c r="BC296" s="164"/>
      <c r="BG296" s="164"/>
      <c r="BI296" s="164"/>
    </row>
    <row r="297" spans="7:61">
      <c r="G297" s="163"/>
      <c r="H297" s="163"/>
      <c r="I297" s="163"/>
      <c r="O297" s="164"/>
      <c r="S297" s="164"/>
      <c r="W297" s="164"/>
      <c r="AA297" s="164"/>
      <c r="AE297" s="164"/>
      <c r="AI297" s="164"/>
      <c r="AM297" s="164"/>
      <c r="AQ297" s="164"/>
      <c r="AU297" s="164"/>
      <c r="AY297" s="164"/>
      <c r="BC297" s="164"/>
      <c r="BG297" s="164"/>
      <c r="BI297" s="164"/>
    </row>
    <row r="298" spans="7:61">
      <c r="G298" s="163"/>
      <c r="H298" s="163"/>
      <c r="I298" s="163"/>
      <c r="O298" s="164"/>
      <c r="S298" s="164"/>
      <c r="W298" s="164"/>
      <c r="AA298" s="164"/>
      <c r="AE298" s="164"/>
      <c r="AI298" s="164"/>
      <c r="AM298" s="164"/>
      <c r="AQ298" s="164"/>
      <c r="AU298" s="164"/>
      <c r="AY298" s="164"/>
      <c r="BC298" s="164"/>
      <c r="BG298" s="164"/>
      <c r="BI298" s="164"/>
    </row>
    <row r="299" spans="7:61">
      <c r="G299" s="163"/>
      <c r="H299" s="163"/>
      <c r="I299" s="163"/>
      <c r="O299" s="164"/>
      <c r="S299" s="164"/>
      <c r="W299" s="164"/>
      <c r="AA299" s="164"/>
      <c r="AE299" s="164"/>
      <c r="AI299" s="164"/>
      <c r="AM299" s="164"/>
      <c r="AQ299" s="164"/>
      <c r="AU299" s="164"/>
      <c r="AY299" s="164"/>
      <c r="BC299" s="164"/>
      <c r="BG299" s="164"/>
      <c r="BI299" s="164"/>
    </row>
    <row r="300" spans="7:61">
      <c r="G300" s="163"/>
      <c r="H300" s="163"/>
      <c r="I300" s="163"/>
      <c r="O300" s="164"/>
      <c r="S300" s="164"/>
      <c r="W300" s="164"/>
      <c r="AA300" s="164"/>
      <c r="AE300" s="164"/>
      <c r="AI300" s="164"/>
      <c r="AM300" s="164"/>
      <c r="AQ300" s="164"/>
      <c r="AU300" s="164"/>
      <c r="AY300" s="164"/>
      <c r="BC300" s="164"/>
      <c r="BG300" s="164"/>
      <c r="BI300" s="164"/>
    </row>
    <row r="301" spans="7:61">
      <c r="G301" s="163"/>
      <c r="H301" s="163"/>
      <c r="I301" s="163"/>
      <c r="O301" s="164"/>
      <c r="S301" s="164"/>
      <c r="W301" s="164"/>
      <c r="AA301" s="164"/>
      <c r="AE301" s="164"/>
      <c r="AI301" s="164"/>
      <c r="AM301" s="164"/>
      <c r="AQ301" s="164"/>
      <c r="AU301" s="164"/>
      <c r="AY301" s="164"/>
      <c r="BC301" s="164"/>
      <c r="BG301" s="164"/>
      <c r="BI301" s="164"/>
    </row>
    <row r="302" spans="7:61">
      <c r="G302" s="163"/>
      <c r="H302" s="163"/>
      <c r="I302" s="163"/>
      <c r="O302" s="164"/>
      <c r="S302" s="164"/>
      <c r="W302" s="164"/>
      <c r="AA302" s="164"/>
      <c r="AE302" s="164"/>
      <c r="AI302" s="164"/>
      <c r="AM302" s="164"/>
      <c r="AQ302" s="164"/>
      <c r="AU302" s="164"/>
      <c r="AY302" s="164"/>
      <c r="BC302" s="164"/>
      <c r="BG302" s="164"/>
      <c r="BI302" s="164"/>
    </row>
  </sheetData>
  <mergeCells count="24">
    <mergeCell ref="BK1:BK5"/>
    <mergeCell ref="AC3:AF3"/>
    <mergeCell ref="AG3:AJ3"/>
    <mergeCell ref="AW3:AZ3"/>
    <mergeCell ref="BA3:BD3"/>
    <mergeCell ref="BE3:BH3"/>
    <mergeCell ref="AK3:AN3"/>
    <mergeCell ref="AO3:AR3"/>
    <mergeCell ref="AS3:AV3"/>
    <mergeCell ref="E1:E4"/>
    <mergeCell ref="B5:B58"/>
    <mergeCell ref="A5:A58"/>
    <mergeCell ref="BI1:BI5"/>
    <mergeCell ref="BJ1:BJ5"/>
    <mergeCell ref="Q3:T3"/>
    <mergeCell ref="U3:X3"/>
    <mergeCell ref="Y3:AB3"/>
    <mergeCell ref="A1:A4"/>
    <mergeCell ref="B1:B4"/>
    <mergeCell ref="M3:P3"/>
    <mergeCell ref="C1:C4"/>
    <mergeCell ref="D1:D4"/>
    <mergeCell ref="G1:G4"/>
    <mergeCell ref="F1:F4"/>
  </mergeCells>
  <phoneticPr fontId="7" type="noConversion"/>
  <conditionalFormatting sqref="M20:M26 M57:N58">
    <cfRule type="dataBar" priority="107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{AB951F67-8AAE-4671-A55C-F6C135C56529}</x14:id>
        </ext>
      </extLst>
    </cfRule>
  </conditionalFormatting>
  <conditionalFormatting sqref="M28">
    <cfRule type="dataBar" priority="58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{1E83B7EA-D3ED-4C36-A9B0-D09D16D5EE1B}</x14:id>
        </ext>
      </extLst>
    </cfRule>
    <cfRule type="dataBar" priority="59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{D1B95466-E182-48FD-A4C1-20152461C5DF}</x14:id>
        </ext>
      </extLst>
    </cfRule>
    <cfRule type="dataBar" priority="5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{D3AE226A-DBA2-4D64-BAED-D70C6CDCFA42}</x14:id>
        </ext>
      </extLst>
    </cfRule>
  </conditionalFormatting>
  <conditionalFormatting sqref="M29:M32">
    <cfRule type="dataBar" priority="332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{5FFA02A6-CFF4-4A19-ACFF-DC8623A28AB8}</x14:id>
        </ext>
      </extLst>
    </cfRule>
    <cfRule type="dataBar" priority="332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{3E5C6DD9-4A75-419B-A33A-3482C4D81E8B}</x14:id>
        </ext>
      </extLst>
    </cfRule>
    <cfRule type="dataBar" priority="3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{D694331E-6200-4A01-B31F-51370D2FB567}</x14:id>
        </ext>
      </extLst>
    </cfRule>
  </conditionalFormatting>
  <conditionalFormatting sqref="M34">
    <cfRule type="dataBar" priority="51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{DE293392-7F81-4F51-B3FE-2ABFACD75959}</x14:id>
        </ext>
      </extLst>
    </cfRule>
    <cfRule type="dataBar" priority="51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{487D1E88-A5E5-4005-9070-F450433474D4}</x14:id>
        </ext>
      </extLst>
    </cfRule>
    <cfRule type="dataBar" priority="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{7317DE2D-1F6E-4997-A438-64B733C2F819}</x14:id>
        </ext>
      </extLst>
    </cfRule>
  </conditionalFormatting>
  <conditionalFormatting sqref="M35:M39">
    <cfRule type="dataBar" priority="339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{824A96ED-2D6C-48A6-B2BE-DBFD1F0D6E96}</x14:id>
        </ext>
      </extLst>
    </cfRule>
    <cfRule type="dataBar" priority="339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{AF3749CE-244C-4643-AA0D-B7D7CC7E4180}</x14:id>
        </ext>
      </extLst>
    </cfRule>
    <cfRule type="dataBar" priority="3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{E5A176F5-5A22-416B-A783-680F40C0CC7E}</x14:id>
        </ext>
      </extLst>
    </cfRule>
    <cfRule type="dataBar" priority="339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{65B6181B-3D66-4394-8765-326BD828E1AF}</x14:id>
        </ext>
      </extLst>
    </cfRule>
  </conditionalFormatting>
  <conditionalFormatting sqref="M41">
    <cfRule type="dataBar" priority="413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{7E58C37D-DB63-4EBD-A290-AD783C4EF630}</x14:id>
        </ext>
      </extLst>
    </cfRule>
    <cfRule type="dataBar" priority="41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{0A96E3F8-E7FB-4920-8470-35C4441FDFD0}</x14:id>
        </ext>
      </extLst>
    </cfRule>
    <cfRule type="dataBar" priority="41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{66BFACFA-50F8-445B-9950-CF04631B8BBE}</x14:id>
        </ext>
      </extLst>
    </cfRule>
    <cfRule type="dataBar" priority="4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{1ADB9757-E9B5-4974-B591-08585767FCDB}</x14:id>
        </ext>
      </extLst>
    </cfRule>
  </conditionalFormatting>
  <conditionalFormatting sqref="M42:M49">
    <cfRule type="dataBar" priority="348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{9F40DDC6-6902-4CA5-8265-53039EFCC879}</x14:id>
        </ext>
      </extLst>
    </cfRule>
    <cfRule type="dataBar" priority="348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{9CC3A9D5-5DB1-4602-97B2-84A5B8AD14C4}</x14:id>
        </ext>
      </extLst>
    </cfRule>
    <cfRule type="dataBar" priority="348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{06FD2DA9-4EAA-43A9-A9C6-21F48D49C7E6}</x14:id>
        </ext>
      </extLst>
    </cfRule>
    <cfRule type="dataBar" priority="3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{36255332-A99A-4B09-9E5C-A3F167345855}</x14:id>
        </ext>
      </extLst>
    </cfRule>
    <cfRule type="dataBar" priority="349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{60CD33FD-9A8C-49D5-B9E2-C22336D5592D}</x14:id>
        </ext>
      </extLst>
    </cfRule>
  </conditionalFormatting>
  <conditionalFormatting sqref="M51">
    <cfRule type="dataBar" priority="14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{43E149D3-97C8-4911-9136-1FEC1015AB5C}</x14:id>
        </ext>
      </extLst>
    </cfRule>
    <cfRule type="dataBar" priority="14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{FAA6D353-253A-4CC1-8C53-C8520785FF35}</x14:id>
        </ext>
      </extLst>
    </cfRule>
    <cfRule type="dataBar" priority="1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{D443EB05-7CEB-4C31-9E59-FBA7075604A8}</x14:id>
        </ext>
      </extLst>
    </cfRule>
  </conditionalFormatting>
  <conditionalFormatting sqref="M52:M54">
    <cfRule type="dataBar" priority="303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{DAAE5C4D-117C-46B3-B844-E7BF5705A5B6}</x14:id>
        </ext>
      </extLst>
    </cfRule>
    <cfRule type="dataBar" priority="303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{775D0155-0C76-4DAD-9950-D54E891FFCA8}</x14:id>
        </ext>
      </extLst>
    </cfRule>
    <cfRule type="dataBar" priority="30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{D5F5220B-BEF2-4C27-977C-C61F3F8ACB0E}</x14:id>
        </ext>
      </extLst>
    </cfRule>
    <cfRule type="dataBar" priority="304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{00917600-ACFC-4F65-BD69-089554B37835}</x14:id>
        </ext>
      </extLst>
    </cfRule>
  </conditionalFormatting>
  <conditionalFormatting sqref="M56:M58">
    <cfRule type="dataBar" priority="360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{176201D2-F500-4E85-A807-C1A89C890406}</x14:id>
        </ext>
      </extLst>
    </cfRule>
    <cfRule type="dataBar" priority="360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{15CF3DBE-B430-4F7E-865E-4BDE6CC6D6B7}</x14:id>
        </ext>
      </extLst>
    </cfRule>
    <cfRule type="dataBar" priority="360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{DDCCA049-7140-4157-A132-FADA46D1CCCF}</x14:id>
        </ext>
      </extLst>
    </cfRule>
    <cfRule type="dataBar" priority="36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{3B8FE5F5-8CA3-4547-8F83-3D6EAD1A9F08}</x14:id>
        </ext>
      </extLst>
    </cfRule>
  </conditionalFormatting>
  <conditionalFormatting sqref="M4:N4">
    <cfRule type="dataBar" priority="902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{2A485F88-A513-43B1-90AB-16B3B677CD1D}</x14:id>
        </ext>
      </extLst>
    </cfRule>
    <cfRule type="dataBar" priority="903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{7B418CFE-FD2C-4D36-9E21-11B86931919A}</x14:id>
        </ext>
      </extLst>
    </cfRule>
  </conditionalFormatting>
  <conditionalFormatting sqref="M6:N17 Q6:R17 U6:V17 Y6:Z17 AC6:AD17 AG6:AH17 AK6:AL17 AO6:AP17 AS6:AT17 AW6:AX17 BA6:BB17 BE6:BF17">
    <cfRule type="dataBar" priority="1071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{37F43684-826E-4787-9991-75296E34A9BE}</x14:id>
        </ext>
      </extLst>
    </cfRule>
  </conditionalFormatting>
  <conditionalFormatting sqref="M19:N19">
    <cfRule type="dataBar" priority="681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{E12C3409-8A7E-4710-8479-A4EEB03945FD}</x14:id>
        </ext>
      </extLst>
    </cfRule>
  </conditionalFormatting>
  <conditionalFormatting sqref="M34:N34">
    <cfRule type="dataBar" priority="51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{55CBD436-E397-415F-A34C-CA41C54B7171}</x14:id>
        </ext>
      </extLst>
    </cfRule>
  </conditionalFormatting>
  <conditionalFormatting sqref="M41:N41">
    <cfRule type="dataBar" priority="42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{1C7CFC67-59CE-4BB6-9F5E-174CD10A3034}</x14:id>
        </ext>
      </extLst>
    </cfRule>
  </conditionalFormatting>
  <conditionalFormatting sqref="M51:N51">
    <cfRule type="dataBar" priority="14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{588DF46B-A8FA-4A93-9E66-D5E89543DBC8}</x14:id>
        </ext>
      </extLst>
    </cfRule>
  </conditionalFormatting>
  <conditionalFormatting sqref="M56:N56">
    <cfRule type="dataBar" priority="81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{C7A6C479-F41F-4DA6-A004-7BB940A3BA67}</x14:id>
        </ext>
      </extLst>
    </cfRule>
  </conditionalFormatting>
  <conditionalFormatting sqref="N20:N26">
    <cfRule type="dataBar" priority="137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{8FA7F497-E4B7-43F6-9B77-28927ACE0947}</x14:id>
        </ext>
      </extLst>
    </cfRule>
  </conditionalFormatting>
  <conditionalFormatting sqref="N28">
    <cfRule type="dataBar" priority="59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{D54A6F1C-E831-4C58-876E-D637D9FB53E6}</x14:id>
        </ext>
      </extLst>
    </cfRule>
    <cfRule type="dataBar" priority="59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{92D81B3B-E7CC-4AF8-91E3-1400AFAF5DEF}</x14:id>
        </ext>
      </extLst>
    </cfRule>
    <cfRule type="dataBar" priority="5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{BD9E28FB-DD07-4383-BD51-CE441D6829D0}</x14:id>
        </ext>
      </extLst>
    </cfRule>
  </conditionalFormatting>
  <conditionalFormatting sqref="N29:N32">
    <cfRule type="dataBar" priority="332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{ADF8116D-B7EC-445B-A1C6-DD99DEE92143}</x14:id>
        </ext>
      </extLst>
    </cfRule>
    <cfRule type="dataBar" priority="332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{6F447C0A-DDB7-4698-8FEB-BC6C8FB8B9D1}</x14:id>
        </ext>
      </extLst>
    </cfRule>
    <cfRule type="dataBar" priority="3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{68A88EFF-D8BD-479E-9329-C8E95DDD9EAB}</x14:id>
        </ext>
      </extLst>
    </cfRule>
  </conditionalFormatting>
  <conditionalFormatting sqref="N34">
    <cfRule type="dataBar" priority="51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{7310EA36-98F3-4F4C-9520-4FE0B8488D26}</x14:id>
        </ext>
      </extLst>
    </cfRule>
    <cfRule type="dataBar" priority="51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{817A93B7-FDEC-4A47-A810-3A174F2E5595}</x14:id>
        </ext>
      </extLst>
    </cfRule>
    <cfRule type="dataBar" priority="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{8BEB7FE7-EC37-441B-A6F3-5FCB5EFF21ED}</x14:id>
        </ext>
      </extLst>
    </cfRule>
  </conditionalFormatting>
  <conditionalFormatting sqref="N35:N39">
    <cfRule type="dataBar" priority="339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{41EC3C50-91E4-4926-BD0C-85C3EAAAA714}</x14:id>
        </ext>
      </extLst>
    </cfRule>
    <cfRule type="dataBar" priority="339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{5EF9DC5F-9C03-49EB-B5EF-0CB8083AEA48}</x14:id>
        </ext>
      </extLst>
    </cfRule>
    <cfRule type="dataBar" priority="3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{4EF10AA5-D4EF-47A0-BE87-BF894C88AC8D}</x14:id>
        </ext>
      </extLst>
    </cfRule>
    <cfRule type="dataBar" priority="340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{8A4627E2-6F36-498F-B046-1A31BBA01238}</x14:id>
        </ext>
      </extLst>
    </cfRule>
  </conditionalFormatting>
  <conditionalFormatting sqref="N41">
    <cfRule type="dataBar" priority="41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{D5C68328-903C-4DF8-A2BF-9E704FC5B056}</x14:id>
        </ext>
      </extLst>
    </cfRule>
    <cfRule type="dataBar" priority="41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{E03A1020-FBC6-488C-967A-120A2F37E9CC}</x14:id>
        </ext>
      </extLst>
    </cfRule>
    <cfRule type="dataBar" priority="41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{06C47727-B565-4F1C-A33F-5F81F86B08C2}</x14:id>
        </ext>
      </extLst>
    </cfRule>
    <cfRule type="dataBar" priority="4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{7E262E3A-0A2A-4094-9BA5-95F62C2285D1}</x14:id>
        </ext>
      </extLst>
    </cfRule>
  </conditionalFormatting>
  <conditionalFormatting sqref="N42:N49">
    <cfRule type="dataBar" priority="349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{167C2367-BC95-492B-B818-3E4543258ECA}</x14:id>
        </ext>
      </extLst>
    </cfRule>
    <cfRule type="dataBar" priority="349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{AAA4AC75-DF3F-4B50-A478-3A41FC7B2824}</x14:id>
        </ext>
      </extLst>
    </cfRule>
    <cfRule type="dataBar" priority="349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{D7C1ED60-C3AF-47E7-A2B1-EEF1C3E28425}</x14:id>
        </ext>
      </extLst>
    </cfRule>
    <cfRule type="dataBar" priority="3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{7983C525-8A22-4C4F-AFAB-6E98F56D38E2}</x14:id>
        </ext>
      </extLst>
    </cfRule>
    <cfRule type="dataBar" priority="349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{CFFD4EDA-A246-49BF-889B-705F18884D8E}</x14:id>
        </ext>
      </extLst>
    </cfRule>
  </conditionalFormatting>
  <conditionalFormatting sqref="N51">
    <cfRule type="dataBar" priority="14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{0DD6A27F-5D07-4F0D-A052-48A442556163}</x14:id>
        </ext>
      </extLst>
    </cfRule>
    <cfRule type="dataBar" priority="14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{3CE54A95-7858-4FEC-A518-E3E50C310F36}</x14:id>
        </ext>
      </extLst>
    </cfRule>
    <cfRule type="dataBar" priority="1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{12D3BF3D-AA0C-41E5-BD95-68AA174BB3E8}</x14:id>
        </ext>
      </extLst>
    </cfRule>
  </conditionalFormatting>
  <conditionalFormatting sqref="N52:N54">
    <cfRule type="dataBar" priority="304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{8253D821-1E60-4E92-82AD-AD6C6E569E80}</x14:id>
        </ext>
      </extLst>
    </cfRule>
    <cfRule type="dataBar" priority="304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{D066AD68-BAAA-423A-917F-C0B09A859A0E}</x14:id>
        </ext>
      </extLst>
    </cfRule>
    <cfRule type="dataBar" priority="30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{DFE6CA0B-6AC9-4FA4-83AB-FAD09C530180}</x14:id>
        </ext>
      </extLst>
    </cfRule>
    <cfRule type="dataBar" priority="304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{DFD47907-F362-4E63-8516-111758AF6FD5}</x14:id>
        </ext>
      </extLst>
    </cfRule>
  </conditionalFormatting>
  <conditionalFormatting sqref="N56:N58">
    <cfRule type="dataBar" priority="361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{D59A4EE7-F3F7-4C6B-88BE-1F3BA4DC6272}</x14:id>
        </ext>
      </extLst>
    </cfRule>
    <cfRule type="dataBar" priority="361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{13C306C3-1FBC-4CAA-8BC0-19387926F0C3}</x14:id>
        </ext>
      </extLst>
    </cfRule>
    <cfRule type="dataBar" priority="361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{2B3BF6B0-7ADD-40B2-8658-4B5051CC75CD}</x14:id>
        </ext>
      </extLst>
    </cfRule>
    <cfRule type="dataBar" priority="36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{79A61927-EC4F-40CA-B4A0-E466B8265078}</x14:id>
        </ext>
      </extLst>
    </cfRule>
  </conditionalFormatting>
  <conditionalFormatting sqref="Q20:Q26">
    <cfRule type="dataBar" priority="84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{8A62F4DA-7569-4F76-B7A8-DD02D2897C31}</x14:id>
        </ext>
      </extLst>
    </cfRule>
  </conditionalFormatting>
  <conditionalFormatting sqref="Q28">
    <cfRule type="dataBar" priority="59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{E8163793-CA57-4258-92F7-F69D9C0B8DCD}</x14:id>
        </ext>
      </extLst>
    </cfRule>
    <cfRule type="dataBar" priority="59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{CFC690D2-754F-4B18-8F2C-9BFDBC1A3A7D}</x14:id>
        </ext>
      </extLst>
    </cfRule>
    <cfRule type="dataBar" priority="5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{06B6F5F6-F1BF-4410-A001-92DD1099137E}</x14:id>
        </ext>
      </extLst>
    </cfRule>
  </conditionalFormatting>
  <conditionalFormatting sqref="Q29:Q32">
    <cfRule type="dataBar" priority="332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{4E192513-5C17-4367-8F3A-218D305FC48E}</x14:id>
        </ext>
      </extLst>
    </cfRule>
    <cfRule type="dataBar" priority="332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{C25D6E22-1267-4B8E-A19F-E3A60758BC0A}</x14:id>
        </ext>
      </extLst>
    </cfRule>
    <cfRule type="dataBar" priority="3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{61144F91-613A-4951-9567-1038179587C9}</x14:id>
        </ext>
      </extLst>
    </cfRule>
  </conditionalFormatting>
  <conditionalFormatting sqref="Q34">
    <cfRule type="dataBar" priority="51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{37586CD8-8D7C-4635-A7E8-5736E382C4EC}</x14:id>
        </ext>
      </extLst>
    </cfRule>
    <cfRule type="dataBar" priority="52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{A9709F47-26D6-4CE3-B45D-E6291536F2DF}</x14:id>
        </ext>
      </extLst>
    </cfRule>
    <cfRule type="dataBar" priority="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{E3C2700B-CFDB-4213-B61B-2A14EDD675A2}</x14:id>
        </ext>
      </extLst>
    </cfRule>
  </conditionalFormatting>
  <conditionalFormatting sqref="Q35:Q39">
    <cfRule type="dataBar" priority="340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{924D4BB7-1C95-44D6-BCD4-3674ED9B5F9F}</x14:id>
        </ext>
      </extLst>
    </cfRule>
    <cfRule type="dataBar" priority="340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{6076D4EC-C00D-4145-AF1C-E6E1854BE07B}</x14:id>
        </ext>
      </extLst>
    </cfRule>
    <cfRule type="dataBar" priority="3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{063C94E1-B0C4-46D7-A2C3-892037E31A65}</x14:id>
        </ext>
      </extLst>
    </cfRule>
    <cfRule type="dataBar" priority="340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{8A3F695D-637C-4CAC-B858-A8AABAC81956}</x14:id>
        </ext>
      </extLst>
    </cfRule>
  </conditionalFormatting>
  <conditionalFormatting sqref="Q41">
    <cfRule type="dataBar" priority="9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{1B36EBFE-3408-4818-AB4A-C504428341CD}</x14:id>
        </ext>
      </extLst>
    </cfRule>
    <cfRule type="dataBar" priority="9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{92F0BC30-3B8E-466F-B92E-EE3F45925F3C}</x14:id>
        </ext>
      </extLst>
    </cfRule>
    <cfRule type="dataBar" priority="9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{CF28CBAA-8F13-45DC-9A38-7D2AB712EABB}</x14:id>
        </ext>
      </extLst>
    </cfRule>
    <cfRule type="dataBar" priority="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{ACDB0C47-177B-4A71-9090-1A811D3F1887}</x14:id>
        </ext>
      </extLst>
    </cfRule>
  </conditionalFormatting>
  <conditionalFormatting sqref="Q42:Q49">
    <cfRule type="dataBar" priority="349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{A38E439E-D729-4005-9FDE-CD94A63F85EF}</x14:id>
        </ext>
      </extLst>
    </cfRule>
    <cfRule type="dataBar" priority="349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{B14F6EEF-FF42-4CC2-BE6C-AEFCBF097827}</x14:id>
        </ext>
      </extLst>
    </cfRule>
    <cfRule type="dataBar" priority="349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{3E7C47DD-9078-44DA-AAC6-54BC4BB3685B}</x14:id>
        </ext>
      </extLst>
    </cfRule>
    <cfRule type="dataBar" priority="3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{60C52E77-7E56-407E-A24F-FFC08E339646}</x14:id>
        </ext>
      </extLst>
    </cfRule>
    <cfRule type="dataBar" priority="350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{08757DEF-F54C-4505-9226-3CB10134E0B0}</x14:id>
        </ext>
      </extLst>
    </cfRule>
  </conditionalFormatting>
  <conditionalFormatting sqref="Q51">
    <cfRule type="dataBar" priority="14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{C98CC5F5-B96D-4A15-8D7C-5E2D4FEA0912}</x14:id>
        </ext>
      </extLst>
    </cfRule>
    <cfRule type="dataBar" priority="14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{72D28522-74EB-4F4F-BA35-DF94DD82D6FB}</x14:id>
        </ext>
      </extLst>
    </cfRule>
    <cfRule type="dataBar" priority="1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{894A9560-EAA9-4209-8A8F-6703C82BE48C}</x14:id>
        </ext>
      </extLst>
    </cfRule>
  </conditionalFormatting>
  <conditionalFormatting sqref="Q52:Q54">
    <cfRule type="dataBar" priority="304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{D1E70AEA-8205-4D52-B2C9-9D6B8D1F846D}</x14:id>
        </ext>
      </extLst>
    </cfRule>
    <cfRule type="dataBar" priority="304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{D7FEB591-6EF2-4D59-824E-BEAAFD6DBCE0}</x14:id>
        </ext>
      </extLst>
    </cfRule>
    <cfRule type="dataBar" priority="30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{11F3CC69-B009-4041-8E16-4FBD44EBCBDC}</x14:id>
        </ext>
      </extLst>
    </cfRule>
    <cfRule type="dataBar" priority="30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{D32D2F7C-F83E-4BE5-87AD-A1EE7D05247B}</x14:id>
        </ext>
      </extLst>
    </cfRule>
  </conditionalFormatting>
  <conditionalFormatting sqref="Q56">
    <cfRule type="dataBar" priority="405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{B40A3EEE-9E42-4203-884A-C2C25CF7CF66}</x14:id>
        </ext>
      </extLst>
    </cfRule>
    <cfRule type="dataBar" priority="40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{067FBF54-5B5D-4C57-81A0-D161A23A4040}</x14:id>
        </ext>
      </extLst>
    </cfRule>
    <cfRule type="dataBar" priority="40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{A762BBCD-D3FA-4BBC-BFFD-A22291111CE3}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{91E70BB1-5A71-4F43-AAD4-BA8C10A73AE3}</x14:id>
        </ext>
      </extLst>
    </cfRule>
  </conditionalFormatting>
  <conditionalFormatting sqref="Q57:Q58">
    <cfRule type="dataBar" priority="361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{D709AA9B-168D-4B42-92D4-1A39BF98EBFC}</x14:id>
        </ext>
      </extLst>
    </cfRule>
    <cfRule type="dataBar" priority="361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{83102502-F910-485E-BD26-FB0220D982CA}</x14:id>
        </ext>
      </extLst>
    </cfRule>
    <cfRule type="dataBar" priority="361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{3BFA2678-02D9-416D-8C2F-35E2C1C9A70C}</x14:id>
        </ext>
      </extLst>
    </cfRule>
    <cfRule type="dataBar" priority="361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{13D07FBF-464A-42DD-9EF9-31E07867646D}</x14:id>
        </ext>
      </extLst>
    </cfRule>
    <cfRule type="dataBar" priority="36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{F0576404-FCC0-4EF1-8AA3-0BAECE7C9763}</x14:id>
        </ext>
      </extLst>
    </cfRule>
  </conditionalFormatting>
  <conditionalFormatting sqref="Q4:R4">
    <cfRule type="dataBar" priority="138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{1EE03F50-9753-4CA2-AA8A-6B1D333F7242}</x14:id>
        </ext>
      </extLst>
    </cfRule>
    <cfRule type="dataBar" priority="139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{DB749A70-19C3-4D7D-B91D-47DE0724FCD9}</x14:id>
        </ext>
      </extLst>
    </cfRule>
  </conditionalFormatting>
  <conditionalFormatting sqref="Q19:R19">
    <cfRule type="dataBar" priority="680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{20149368-13CC-490B-BE14-30075F36A84C}</x14:id>
        </ext>
      </extLst>
    </cfRule>
  </conditionalFormatting>
  <conditionalFormatting sqref="Q34:R34">
    <cfRule type="dataBar" priority="52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{F4C74EBA-083D-45CD-8CC9-22175D23D3FA}</x14:id>
        </ext>
      </extLst>
    </cfRule>
  </conditionalFormatting>
  <conditionalFormatting sqref="Q41:R41">
    <cfRule type="dataBar" priority="9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{7930D2A7-CF9C-45C9-8A71-A410424631BE}</x14:id>
        </ext>
      </extLst>
    </cfRule>
  </conditionalFormatting>
  <conditionalFormatting sqref="Q51:R51">
    <cfRule type="dataBar" priority="15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{481628C5-F06E-4351-8668-26C2407C0C58}</x14:id>
        </ext>
      </extLst>
    </cfRule>
  </conditionalFormatting>
  <conditionalFormatting sqref="Q56:R56">
    <cfRule type="dataBar" priority="40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{669AEC2D-C2AD-40C2-878E-342DA2CBEF4D}</x14:id>
        </ext>
      </extLst>
    </cfRule>
  </conditionalFormatting>
  <conditionalFormatting sqref="R20:R26">
    <cfRule type="dataBar" priority="84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{F4A9838D-0AF1-4E28-9449-6F74EA1DCBF7}</x14:id>
        </ext>
      </extLst>
    </cfRule>
  </conditionalFormatting>
  <conditionalFormatting sqref="R28">
    <cfRule type="dataBar" priority="59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{6D13522C-F072-4B0E-A8F8-EFDA6E54B7F7}</x14:id>
        </ext>
      </extLst>
    </cfRule>
    <cfRule type="dataBar" priority="59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{D3D5E3F9-843D-4260-9460-0953DF5DD576}</x14:id>
        </ext>
      </extLst>
    </cfRule>
    <cfRule type="dataBar" priority="6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{2206A93E-2434-40E6-9E7B-AC69FAA07981}</x14:id>
        </ext>
      </extLst>
    </cfRule>
  </conditionalFormatting>
  <conditionalFormatting sqref="R29:R32">
    <cfRule type="dataBar" priority="333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{F208400C-3DDE-44DB-A8B6-48F728126270}</x14:id>
        </ext>
      </extLst>
    </cfRule>
    <cfRule type="dataBar" priority="333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{3FD219B8-13AB-4161-8B43-ED1ECC38A696}</x14:id>
        </ext>
      </extLst>
    </cfRule>
    <cfRule type="dataBar" priority="3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{C13AB303-3DBD-4867-89BB-DD04A290F1B3}</x14:id>
        </ext>
      </extLst>
    </cfRule>
  </conditionalFormatting>
  <conditionalFormatting sqref="R34">
    <cfRule type="dataBar" priority="52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{1CDEAE59-D54D-41E7-B31F-19446780EADE}</x14:id>
        </ext>
      </extLst>
    </cfRule>
    <cfRule type="dataBar" priority="52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{0B049E4F-D093-4938-BA90-A0238CA915DF}</x14:id>
        </ext>
      </extLst>
    </cfRule>
    <cfRule type="dataBar" priority="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{4D8FD892-15BE-43B0-8DC9-603B2B56CF81}</x14:id>
        </ext>
      </extLst>
    </cfRule>
  </conditionalFormatting>
  <conditionalFormatting sqref="R35:R39">
    <cfRule type="dataBar" priority="340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{7A91B507-9F73-419E-B9AA-473195418CCE}</x14:id>
        </ext>
      </extLst>
    </cfRule>
    <cfRule type="dataBar" priority="340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{D1BB8170-BBB3-4A0B-BA62-0635997E96B6}</x14:id>
        </ext>
      </extLst>
    </cfRule>
    <cfRule type="dataBar" priority="3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{13265797-FB3A-4C5E-918D-45823863BE99}</x14:id>
        </ext>
      </extLst>
    </cfRule>
    <cfRule type="dataBar" priority="340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{7637E5C9-87AE-4081-8712-EDA306EF542F}</x14:id>
        </ext>
      </extLst>
    </cfRule>
  </conditionalFormatting>
  <conditionalFormatting sqref="R41">
    <cfRule type="dataBar" priority="95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{2D8FC52C-6CA1-4A69-A95A-4EBFE0F48745}</x14:id>
        </ext>
      </extLst>
    </cfRule>
    <cfRule type="dataBar" priority="9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{4ECF71C5-482C-4527-B07A-0BA464833D2D}</x14:id>
        </ext>
      </extLst>
    </cfRule>
    <cfRule type="dataBar" priority="9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{CF96CFA2-E522-41D9-BF09-B97C131F8B52}</x14:id>
        </ext>
      </extLst>
    </cfRule>
    <cfRule type="dataBar" priority="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{E5416BEA-AD45-47D6-BF39-593ADEAF842C}</x14:id>
        </ext>
      </extLst>
    </cfRule>
  </conditionalFormatting>
  <conditionalFormatting sqref="R42:R49">
    <cfRule type="dataBar" priority="350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{FC908615-4E2B-4908-8D06-88F515841D2C}</x14:id>
        </ext>
      </extLst>
    </cfRule>
    <cfRule type="dataBar" priority="350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{DA8164B9-2A59-42E1-B2B9-E9535D953DB2}</x14:id>
        </ext>
      </extLst>
    </cfRule>
    <cfRule type="dataBar" priority="350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{5466A57A-99C1-4CD5-83B7-17129BDB3CAA}</x14:id>
        </ext>
      </extLst>
    </cfRule>
    <cfRule type="dataBar" priority="3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{9A083187-58A7-4618-A15C-4D703D7ADE8E}</x14:id>
        </ext>
      </extLst>
    </cfRule>
    <cfRule type="dataBar" priority="350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{351BA429-5C17-4373-8A1B-1E786B79511E}</x14:id>
        </ext>
      </extLst>
    </cfRule>
  </conditionalFormatting>
  <conditionalFormatting sqref="R51">
    <cfRule type="dataBar" priority="15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{A6220F4F-1B22-473F-BC69-4546646D420F}</x14:id>
        </ext>
      </extLst>
    </cfRule>
    <cfRule type="dataBar" priority="15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{635C1D73-90E0-4DB1-8246-CB53B72B0814}</x14:id>
        </ext>
      </extLst>
    </cfRule>
    <cfRule type="dataBar" priority="1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{EBFC4981-495E-4F0A-AEB2-206EBA5514A2}</x14:id>
        </ext>
      </extLst>
    </cfRule>
  </conditionalFormatting>
  <conditionalFormatting sqref="R52:R54">
    <cfRule type="dataBar" priority="304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{5849336C-A9CA-478A-BAAF-48D11C699521}</x14:id>
        </ext>
      </extLst>
    </cfRule>
    <cfRule type="dataBar" priority="305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{507E2AA8-F4B8-4769-9E28-1D9CF451B059}</x14:id>
        </ext>
      </extLst>
    </cfRule>
    <cfRule type="dataBar" priority="30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{974DA372-28E6-49F3-9B05-6F127B9D109D}</x14:id>
        </ext>
      </extLst>
    </cfRule>
    <cfRule type="dataBar" priority="305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{D31ED14F-C8DF-405C-8655-9370F29162E2}</x14:id>
        </ext>
      </extLst>
    </cfRule>
  </conditionalFormatting>
  <conditionalFormatting sqref="R56">
    <cfRule type="dataBar" priority="409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{DD636B99-D865-429B-9DF7-687554725213}</x14:id>
        </ext>
      </extLst>
    </cfRule>
    <cfRule type="dataBar" priority="41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{EA9E3FF2-59C9-4FC6-AB51-95B9BC2C2093}</x14:id>
        </ext>
      </extLst>
    </cfRule>
    <cfRule type="dataBar" priority="41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{1D347C1C-1541-44DC-B7DC-6A85D3C2A833}</x14:id>
        </ext>
      </extLst>
    </cfRule>
    <cfRule type="dataBar" priority="4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{EB1BAFA6-42B6-46F7-A65F-7BD2C2716E3B}</x14:id>
        </ext>
      </extLst>
    </cfRule>
  </conditionalFormatting>
  <conditionalFormatting sqref="R57:R58">
    <cfRule type="dataBar" priority="362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{0E3FAB1B-D626-400E-AA7B-3445D790A433}</x14:id>
        </ext>
      </extLst>
    </cfRule>
    <cfRule type="dataBar" priority="362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{E7B376C8-2E3A-4A20-BAF5-0972D38649F0}</x14:id>
        </ext>
      </extLst>
    </cfRule>
    <cfRule type="dataBar" priority="362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{C7CC6DA9-2F16-4C6E-A491-21C623F0EC8D}</x14:id>
        </ext>
      </extLst>
    </cfRule>
    <cfRule type="dataBar" priority="362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{C07D33FC-757D-448B-9DE5-CED8EBE7E35C}</x14:id>
        </ext>
      </extLst>
    </cfRule>
    <cfRule type="dataBar" priority="36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{8CFBC8E8-DFB4-4628-BD5A-E9809FCB5C8C}</x14:id>
        </ext>
      </extLst>
    </cfRule>
  </conditionalFormatting>
  <conditionalFormatting sqref="U20:U26">
    <cfRule type="dataBar" priority="84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{E718B187-03A6-4107-86F5-7E95024006FC}</x14:id>
        </ext>
      </extLst>
    </cfRule>
  </conditionalFormatting>
  <conditionalFormatting sqref="U28">
    <cfRule type="dataBar" priority="60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{CDD46764-21BC-4D63-A988-FCC51D4743A8}</x14:id>
        </ext>
      </extLst>
    </cfRule>
    <cfRule type="dataBar" priority="60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{F8A578B2-B680-4C43-B05A-4509F8097C0E}</x14:id>
        </ext>
      </extLst>
    </cfRule>
    <cfRule type="dataBar" priority="6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{06B2EB51-2670-417A-B878-A7AB6778133F}</x14:id>
        </ext>
      </extLst>
    </cfRule>
  </conditionalFormatting>
  <conditionalFormatting sqref="U29:U32">
    <cfRule type="dataBar" priority="333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{298BCCF9-4757-419C-8D34-6052DBC7B6A8}</x14:id>
        </ext>
      </extLst>
    </cfRule>
    <cfRule type="dataBar" priority="333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{3844A5B4-BAB3-4725-9092-CA4542D87ABD}</x14:id>
        </ext>
      </extLst>
    </cfRule>
    <cfRule type="dataBar" priority="3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{49D20BF7-AB39-481B-A12E-1BCB22974DDE}</x14:id>
        </ext>
      </extLst>
    </cfRule>
  </conditionalFormatting>
  <conditionalFormatting sqref="U34">
    <cfRule type="dataBar" priority="52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{5DBAA813-4ED3-4E51-8EB0-6473F17F2CE5}</x14:id>
        </ext>
      </extLst>
    </cfRule>
    <cfRule type="dataBar" priority="52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{CBBAEE20-E6BF-4C4A-82E8-7EC4A3764524}</x14:id>
        </ext>
      </extLst>
    </cfRule>
    <cfRule type="dataBar" priority="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{3D6C5C82-6944-43AB-83FF-417040E62C69}</x14:id>
        </ext>
      </extLst>
    </cfRule>
  </conditionalFormatting>
  <conditionalFormatting sqref="U35:U39">
    <cfRule type="dataBar" priority="340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{49FC5D65-D341-44C0-8775-47947BDD53F6}</x14:id>
        </ext>
      </extLst>
    </cfRule>
    <cfRule type="dataBar" priority="341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{FACB719B-1D41-47B6-A01B-67EE81105DF5}</x14:id>
        </ext>
      </extLst>
    </cfRule>
    <cfRule type="dataBar" priority="34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{0DDC316F-9AED-4F90-B202-85691E6FF512}</x14:id>
        </ext>
      </extLst>
    </cfRule>
    <cfRule type="dataBar" priority="34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{07E28D29-9B5D-4526-987D-D54E30E32875}</x14:id>
        </ext>
      </extLst>
    </cfRule>
  </conditionalFormatting>
  <conditionalFormatting sqref="U41">
    <cfRule type="dataBar" priority="8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{FBAEA64F-9ECE-4388-9B7E-A692A0D31E6D}</x14:id>
        </ext>
      </extLst>
    </cfRule>
    <cfRule type="dataBar" priority="8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{E5D58B67-2059-4EF8-8F95-8ACD1AB32F17}</x14:id>
        </ext>
      </extLst>
    </cfRule>
    <cfRule type="dataBar" priority="8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{27A757D1-4750-426E-9E16-BD6892CAC78D}</x14:id>
        </ext>
      </extLst>
    </cfRule>
    <cfRule type="dataBar" priority="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{D07F5490-CD17-47C7-A757-0619CEF2FDBF}</x14:id>
        </ext>
      </extLst>
    </cfRule>
  </conditionalFormatting>
  <conditionalFormatting sqref="U42:U49">
    <cfRule type="dataBar" priority="350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{64ADC645-1613-4B98-9195-817804378E14}</x14:id>
        </ext>
      </extLst>
    </cfRule>
    <cfRule type="dataBar" priority="350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{CA215733-E1BA-4833-BF6E-9F3CAD46011F}</x14:id>
        </ext>
      </extLst>
    </cfRule>
    <cfRule type="dataBar" priority="350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{A3E9AC10-ED00-4B8E-8410-075CC72C6740}</x14:id>
        </ext>
      </extLst>
    </cfRule>
    <cfRule type="dataBar" priority="3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{183F03DE-3410-4882-8CF6-46AE3412C4D6}</x14:id>
        </ext>
      </extLst>
    </cfRule>
    <cfRule type="dataBar" priority="351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{647A7652-CE8D-47E6-A3BE-6D79BEBC54EF}</x14:id>
        </ext>
      </extLst>
    </cfRule>
  </conditionalFormatting>
  <conditionalFormatting sqref="U51">
    <cfRule type="dataBar" priority="15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{6AEB0D20-D21E-4708-8D08-7CE838C19DA6}</x14:id>
        </ext>
      </extLst>
    </cfRule>
    <cfRule type="dataBar" priority="15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{C13BCE63-2220-44B2-A602-4F9339962581}</x14:id>
        </ext>
      </extLst>
    </cfRule>
    <cfRule type="dataBar" priority="1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{ABB9DF92-F571-4D99-A2FC-30DF917DB0F7}</x14:id>
        </ext>
      </extLst>
    </cfRule>
  </conditionalFormatting>
  <conditionalFormatting sqref="U52:U54">
    <cfRule type="dataBar" priority="305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{C40EA7EF-273D-453D-971D-5F177136EE6D}</x14:id>
        </ext>
      </extLst>
    </cfRule>
    <cfRule type="dataBar" priority="305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{1C2D17D4-75CF-4D6A-B524-5CF912A4CC05}</x14:id>
        </ext>
      </extLst>
    </cfRule>
    <cfRule type="dataBar" priority="30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{9263DA18-9210-4472-8993-919D23FF5494}</x14:id>
        </ext>
      </extLst>
    </cfRule>
    <cfRule type="dataBar" priority="305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{58C957EC-8F54-4473-8D97-91354A43639C}</x14:id>
        </ext>
      </extLst>
    </cfRule>
  </conditionalFormatting>
  <conditionalFormatting sqref="U56">
    <cfRule type="dataBar" priority="39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{5A44E8F2-C551-48A8-9FDB-1B778950749D}</x14:id>
        </ext>
      </extLst>
    </cfRule>
    <cfRule type="dataBar" priority="39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{E1ED6518-1302-4734-8F72-5B8E74F89C53}</x14:id>
        </ext>
      </extLst>
    </cfRule>
    <cfRule type="dataBar" priority="39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{06A90A01-E733-4BA3-B265-C048B2FC7CEB}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{36D3AE1E-9FD2-4839-90F1-DC28AC680B2E}</x14:id>
        </ext>
      </extLst>
    </cfRule>
  </conditionalFormatting>
  <conditionalFormatting sqref="U57:U58">
    <cfRule type="dataBar" priority="362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{17BC12D2-5A6F-45D7-9C74-8A6A756A942D}</x14:id>
        </ext>
      </extLst>
    </cfRule>
    <cfRule type="dataBar" priority="362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{4753EEBD-B743-42F7-9826-E386A567BACC}</x14:id>
        </ext>
      </extLst>
    </cfRule>
    <cfRule type="dataBar" priority="362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{F70D10B3-D6E5-40A8-A9D9-A22AF205455F}</x14:id>
        </ext>
      </extLst>
    </cfRule>
    <cfRule type="dataBar" priority="362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{3BE0A9EE-EEDE-4351-8ABC-D009034A1D6A}</x14:id>
        </ext>
      </extLst>
    </cfRule>
    <cfRule type="dataBar" priority="36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{BDCAD992-02AF-4579-B98D-A03399161E49}</x14:id>
        </ext>
      </extLst>
    </cfRule>
  </conditionalFormatting>
  <conditionalFormatting sqref="U4:V4">
    <cfRule type="dataBar" priority="136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{C1A689D6-49F3-44F0-BB97-C5D494BA60CA}</x14:id>
        </ext>
      </extLst>
    </cfRule>
    <cfRule type="dataBar" priority="137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{5D9B4379-840E-4539-8B10-115F170D1166}</x14:id>
        </ext>
      </extLst>
    </cfRule>
  </conditionalFormatting>
  <conditionalFormatting sqref="U19:V19">
    <cfRule type="dataBar" priority="679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{B952C5E2-B3BE-42E3-83F7-A2F440C99A41}</x14:id>
        </ext>
      </extLst>
    </cfRule>
  </conditionalFormatting>
  <conditionalFormatting sqref="U34:V34">
    <cfRule type="dataBar" priority="53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{DF95ACA8-00EF-4189-83DF-3EC723045480}</x14:id>
        </ext>
      </extLst>
    </cfRule>
  </conditionalFormatting>
  <conditionalFormatting sqref="U41:V41">
    <cfRule type="dataBar" priority="9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{0D634A15-3974-4EB0-B37C-9A07B4846478}</x14:id>
        </ext>
      </extLst>
    </cfRule>
  </conditionalFormatting>
  <conditionalFormatting sqref="U51:V51">
    <cfRule type="dataBar" priority="1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{80B10ED1-4582-4A74-A376-816D6D762C22}</x14:id>
        </ext>
      </extLst>
    </cfRule>
  </conditionalFormatting>
  <conditionalFormatting sqref="U56:V56">
    <cfRule type="dataBar" priority="39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{BBB84331-FF5D-4DB0-B87A-B642C0D57178}</x14:id>
        </ext>
      </extLst>
    </cfRule>
  </conditionalFormatting>
  <conditionalFormatting sqref="V20:V26">
    <cfRule type="dataBar" priority="84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{BF31E258-ABDD-40DD-B337-A61CEAC9D166}</x14:id>
        </ext>
      </extLst>
    </cfRule>
  </conditionalFormatting>
  <conditionalFormatting sqref="V28">
    <cfRule type="dataBar" priority="60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{73675C21-F239-47DF-907E-DD9C3CB03891}</x14:id>
        </ext>
      </extLst>
    </cfRule>
    <cfRule type="dataBar" priority="60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{BC402F83-0850-49A5-B768-3ACF1FB97BC0}</x14:id>
        </ext>
      </extLst>
    </cfRule>
    <cfRule type="dataBar" priority="6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{E3F27735-C2D6-4A93-8FF0-571C9EB35F44}</x14:id>
        </ext>
      </extLst>
    </cfRule>
  </conditionalFormatting>
  <conditionalFormatting sqref="V29:V32">
    <cfRule type="dataBar" priority="333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{333F7899-0819-4329-9073-41A2F20B1216}</x14:id>
        </ext>
      </extLst>
    </cfRule>
    <cfRule type="dataBar" priority="333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{1FFB219A-78FB-41C7-AB4F-F80DEDE013D7}</x14:id>
        </ext>
      </extLst>
    </cfRule>
    <cfRule type="dataBar" priority="3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{D6199370-0881-4D01-BC59-3DFA4EF0BD46}</x14:id>
        </ext>
      </extLst>
    </cfRule>
  </conditionalFormatting>
  <conditionalFormatting sqref="V34">
    <cfRule type="dataBar" priority="52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{FB1531AA-DE13-4936-9B68-027A9208CD69}</x14:id>
        </ext>
      </extLst>
    </cfRule>
    <cfRule type="dataBar" priority="53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{FEA2B535-A53B-4BEF-8178-E7292363184A}</x14:id>
        </ext>
      </extLst>
    </cfRule>
    <cfRule type="dataBar" priority="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{716E6258-0A81-42B4-AB0D-58C870BE0149}</x14:id>
        </ext>
      </extLst>
    </cfRule>
  </conditionalFormatting>
  <conditionalFormatting sqref="V35:V39">
    <cfRule type="dataBar" priority="341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{BB72165E-A2FA-4EBA-909C-411F743D6322}</x14:id>
        </ext>
      </extLst>
    </cfRule>
    <cfRule type="dataBar" priority="341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{B8532529-E342-4BE6-A804-6F795F0C774C}</x14:id>
        </ext>
      </extLst>
    </cfRule>
    <cfRule type="dataBar" priority="34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{38EDECDC-11C6-4A6A-BCD8-C0481459661C}</x14:id>
        </ext>
      </extLst>
    </cfRule>
    <cfRule type="dataBar" priority="341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{3A578E06-C020-40EB-AD0C-62324F52747F}</x14:id>
        </ext>
      </extLst>
    </cfRule>
  </conditionalFormatting>
  <conditionalFormatting sqref="V41">
    <cfRule type="dataBar" priority="8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{80A58385-F5DE-43AF-A512-8E2C384CDA4F}</x14:id>
        </ext>
      </extLst>
    </cfRule>
    <cfRule type="dataBar" priority="8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{668E3A31-0EE3-4A03-8647-098E929BAD97}</x14:id>
        </ext>
      </extLst>
    </cfRule>
    <cfRule type="dataBar" priority="8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{EAD5DDE5-4329-43B8-A3F0-E343AB1F4B2C}</x14:id>
        </ext>
      </extLst>
    </cfRule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{3B05EECA-C373-4DEA-A140-0247BA9E7393}</x14:id>
        </ext>
      </extLst>
    </cfRule>
  </conditionalFormatting>
  <conditionalFormatting sqref="V42:V49">
    <cfRule type="dataBar" priority="351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{D6D33D42-E782-4226-A3B3-2976070E781A}</x14:id>
        </ext>
      </extLst>
    </cfRule>
    <cfRule type="dataBar" priority="351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{1B95F7F8-58FE-4F74-ABBD-86B79F232565}</x14:id>
        </ext>
      </extLst>
    </cfRule>
    <cfRule type="dataBar" priority="351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{F4C0EC0E-52D4-4EB1-A065-DF6EA2127DC3}</x14:id>
        </ext>
      </extLst>
    </cfRule>
    <cfRule type="dataBar" priority="3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{8DE7050F-E495-46E1-A382-FC310111810F}</x14:id>
        </ext>
      </extLst>
    </cfRule>
    <cfRule type="dataBar" priority="351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{44F2757B-1342-47DC-9840-A2468184AA8F}</x14:id>
        </ext>
      </extLst>
    </cfRule>
  </conditionalFormatting>
  <conditionalFormatting sqref="V51">
    <cfRule type="dataBar" priority="15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{0C5373B6-9F3C-454B-AD15-5DFCC87A95A3}</x14:id>
        </ext>
      </extLst>
    </cfRule>
    <cfRule type="dataBar" priority="15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{257C1D23-3E20-4D97-B23A-F7974B0E4CAC}</x14:id>
        </ext>
      </extLst>
    </cfRule>
    <cfRule type="dataBar" priority="1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{5EC53688-F593-4BAB-8529-58FDF8E9CE59}</x14:id>
        </ext>
      </extLst>
    </cfRule>
  </conditionalFormatting>
  <conditionalFormatting sqref="V52:V54">
    <cfRule type="dataBar" priority="305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{0D17CB1A-2111-4D1A-809C-F797657DAC6C}</x14:id>
        </ext>
      </extLst>
    </cfRule>
    <cfRule type="dataBar" priority="305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{F80815EC-9816-425C-BFBA-112702025A03}</x14:id>
        </ext>
      </extLst>
    </cfRule>
    <cfRule type="dataBar" priority="30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{DB1EEE5E-0CEF-4474-8C1D-83CADC9F13D3}</x14:id>
        </ext>
      </extLst>
    </cfRule>
    <cfRule type="dataBar" priority="30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{57429E07-049C-424C-A625-A662C73EDD7F}</x14:id>
        </ext>
      </extLst>
    </cfRule>
  </conditionalFormatting>
  <conditionalFormatting sqref="V56">
    <cfRule type="dataBar" priority="400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{1D657803-7778-43D4-903A-9337BAC48FF1}</x14:id>
        </ext>
      </extLst>
    </cfRule>
    <cfRule type="dataBar" priority="40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{9C6BB163-BE39-407E-A89C-0D195A5F40D1}</x14:id>
        </ext>
      </extLst>
    </cfRule>
    <cfRule type="dataBar" priority="40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{2F805783-21DC-403E-B95A-A61BE0B6BD02}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{B4747E09-97D3-46AB-A303-85DD3A424B7F}</x14:id>
        </ext>
      </extLst>
    </cfRule>
  </conditionalFormatting>
  <conditionalFormatting sqref="V57:V58">
    <cfRule type="dataBar" priority="363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{48B047FF-0D93-4411-BDA6-93ECB8DC8D07}</x14:id>
        </ext>
      </extLst>
    </cfRule>
    <cfRule type="dataBar" priority="363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{D0E46575-2747-4B95-B0E8-87B90DE9BC3D}</x14:id>
        </ext>
      </extLst>
    </cfRule>
    <cfRule type="dataBar" priority="363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{6C48083F-FCB5-4159-ABCE-C2A4F4284189}</x14:id>
        </ext>
      </extLst>
    </cfRule>
    <cfRule type="dataBar" priority="363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{3D10CA8B-559D-4C80-94DB-FC508393FF27}</x14:id>
        </ext>
      </extLst>
    </cfRule>
    <cfRule type="dataBar" priority="36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{386E6314-03C4-40C9-8C03-1A74D238D0EE}</x14:id>
        </ext>
      </extLst>
    </cfRule>
  </conditionalFormatting>
  <conditionalFormatting sqref="Y20:Y26">
    <cfRule type="dataBar" priority="83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{DF2EDC4E-518A-4ABB-BF6B-2758E0FC4937}</x14:id>
        </ext>
      </extLst>
    </cfRule>
  </conditionalFormatting>
  <conditionalFormatting sqref="Y28">
    <cfRule type="dataBar" priority="60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{8F150FE7-B594-4341-A070-B0947ABDA5E3}</x14:id>
        </ext>
      </extLst>
    </cfRule>
    <cfRule type="dataBar" priority="60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{B826C721-8C01-4C67-B0C1-525A5E4BB0F8}</x14:id>
        </ext>
      </extLst>
    </cfRule>
    <cfRule type="dataBar" priority="6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{33D7DEEB-91C4-42CD-80C6-3E586E9FE6CD}</x14:id>
        </ext>
      </extLst>
    </cfRule>
  </conditionalFormatting>
  <conditionalFormatting sqref="Y29:Y32">
    <cfRule type="dataBar" priority="333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{06B3B71D-EDE8-471B-98E7-32EFED5B1B14}</x14:id>
        </ext>
      </extLst>
    </cfRule>
    <cfRule type="dataBar" priority="334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{3DD3DB58-CAF2-4075-BCE1-7F25FB25B28B}</x14:id>
        </ext>
      </extLst>
    </cfRule>
    <cfRule type="dataBar" priority="3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{CD3DD2B0-D6AD-45B6-8D1D-C7C1F2F1D698}</x14:id>
        </ext>
      </extLst>
    </cfRule>
  </conditionalFormatting>
  <conditionalFormatting sqref="Y34">
    <cfRule type="dataBar" priority="53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{1092FEF6-3EBC-44BF-B394-4293D6BED0D2}</x14:id>
        </ext>
      </extLst>
    </cfRule>
    <cfRule type="dataBar" priority="53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{26B71069-0A76-46D8-8E37-7219D8813492}</x14:id>
        </ext>
      </extLst>
    </cfRule>
    <cfRule type="dataBar" priority="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{A4B392FF-B4C0-4BA3-AB6E-9A466F55CD97}</x14:id>
        </ext>
      </extLst>
    </cfRule>
  </conditionalFormatting>
  <conditionalFormatting sqref="Y35:Y39">
    <cfRule type="dataBar" priority="341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{956B4212-855B-483A-903C-AC2ADA5CEA51}</x14:id>
        </ext>
      </extLst>
    </cfRule>
    <cfRule type="dataBar" priority="341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{7EDF0B05-B25F-45E5-89D3-EE8EC6F15341}</x14:id>
        </ext>
      </extLst>
    </cfRule>
    <cfRule type="dataBar" priority="34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{4E10AFC0-0339-4116-9B96-FE2A53EAD21A}</x14:id>
        </ext>
      </extLst>
    </cfRule>
    <cfRule type="dataBar" priority="342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{78D00E6C-33E0-46EB-ABAE-289C8593A0B2}</x14:id>
        </ext>
      </extLst>
    </cfRule>
  </conditionalFormatting>
  <conditionalFormatting sqref="Y41">
    <cfRule type="dataBar" priority="73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{0C332743-4BB5-465B-A899-380A235B7454}</x14:id>
        </ext>
      </extLst>
    </cfRule>
    <cfRule type="dataBar" priority="7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{FD9E94F1-7DF0-45A0-A3E3-E62E1C446825}</x14:id>
        </ext>
      </extLst>
    </cfRule>
    <cfRule type="dataBar" priority="7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{D3F29A7D-DC35-4341-9D84-BE430F18298C}</x14:id>
        </ext>
      </extLst>
    </cfRule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{0D551169-6660-4C87-8BD3-4DFF655B5730}</x14:id>
        </ext>
      </extLst>
    </cfRule>
  </conditionalFormatting>
  <conditionalFormatting sqref="Y42:Y49">
    <cfRule type="dataBar" priority="351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{9969F2F7-760E-4D96-AAC9-BF237DCBC349}</x14:id>
        </ext>
      </extLst>
    </cfRule>
    <cfRule type="dataBar" priority="351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{ABF64293-6A27-47EA-87E7-84493CD29208}</x14:id>
        </ext>
      </extLst>
    </cfRule>
    <cfRule type="dataBar" priority="351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{7A4F9AFD-A91F-4A72-99DC-5DE055C15B59}</x14:id>
        </ext>
      </extLst>
    </cfRule>
    <cfRule type="dataBar" priority="3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{989F5391-81C7-490E-A67D-C64A03D90F48}</x14:id>
        </ext>
      </extLst>
    </cfRule>
    <cfRule type="dataBar" priority="352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{2312A205-C0CA-4867-AC7F-9C6B7547FB8A}</x14:id>
        </ext>
      </extLst>
    </cfRule>
  </conditionalFormatting>
  <conditionalFormatting sqref="Y51">
    <cfRule type="dataBar" priority="16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{0A334C85-1860-42F7-8CDC-DCB293EF6028}</x14:id>
        </ext>
      </extLst>
    </cfRule>
    <cfRule type="dataBar" priority="16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{1281846E-3209-4007-A0C6-1AAED509D054}</x14:id>
        </ext>
      </extLst>
    </cfRule>
    <cfRule type="dataBar" priority="1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{EAE19534-79B9-4A25-A760-790D6AF50A1F}</x14:id>
        </ext>
      </extLst>
    </cfRule>
  </conditionalFormatting>
  <conditionalFormatting sqref="Y52:Y54">
    <cfRule type="dataBar" priority="306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{1E79097D-AAD3-48CE-82A8-06AB14998843}</x14:id>
        </ext>
      </extLst>
    </cfRule>
    <cfRule type="dataBar" priority="306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{B657DE45-6E6E-4B46-8A56-6206786D3EF4}</x14:id>
        </ext>
      </extLst>
    </cfRule>
    <cfRule type="dataBar" priority="30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{B432A3E2-85AB-4070-94E6-89E2CB76FBB6}</x14:id>
        </ext>
      </extLst>
    </cfRule>
    <cfRule type="dataBar" priority="30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{BE2A4D57-A2D5-451D-B9E2-36E0167A30AE}</x14:id>
        </ext>
      </extLst>
    </cfRule>
  </conditionalFormatting>
  <conditionalFormatting sqref="Y56">
    <cfRule type="dataBar" priority="38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{5FBB99AE-AC09-4410-9CE4-AFED97C440A9}</x14:id>
        </ext>
      </extLst>
    </cfRule>
    <cfRule type="dataBar" priority="38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{08657319-4919-415A-803A-DDE922AC3357}</x14:id>
        </ext>
      </extLst>
    </cfRule>
    <cfRule type="dataBar" priority="38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{B1B2A0AB-9844-4CEC-819F-8D00DFEB5767}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{C156CAFC-47EE-4862-8714-D1DD01B35D73}</x14:id>
        </ext>
      </extLst>
    </cfRule>
  </conditionalFormatting>
  <conditionalFormatting sqref="Y57:Y58">
    <cfRule type="dataBar" priority="363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{D8BD736F-73BD-43DB-895C-944104D4022D}</x14:id>
        </ext>
      </extLst>
    </cfRule>
    <cfRule type="dataBar" priority="363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{83C6571E-9C50-45E8-BC59-2D43895FBA66}</x14:id>
        </ext>
      </extLst>
    </cfRule>
    <cfRule type="dataBar" priority="363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{10005854-6A60-4873-924F-C961EB694803}</x14:id>
        </ext>
      </extLst>
    </cfRule>
    <cfRule type="dataBar" priority="363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{0A10BF5E-39B0-45A8-9F2B-7CF9FA9FCA00}</x14:id>
        </ext>
      </extLst>
    </cfRule>
    <cfRule type="dataBar" priority="36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{8F777C91-D828-44AD-A045-C979B3FDB0D5}</x14:id>
        </ext>
      </extLst>
    </cfRule>
  </conditionalFormatting>
  <conditionalFormatting sqref="Y4:Z4">
    <cfRule type="dataBar" priority="134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{7507C2B7-DD99-4C94-8B0A-4238153557D9}</x14:id>
        </ext>
      </extLst>
    </cfRule>
    <cfRule type="dataBar" priority="135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{34C808CD-F6CA-4A0C-A3D5-8203CEF9E58A}</x14:id>
        </ext>
      </extLst>
    </cfRule>
  </conditionalFormatting>
  <conditionalFormatting sqref="Y19:Z19">
    <cfRule type="dataBar" priority="678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{E7A63641-1BBD-4CC9-8E66-8994F725C0C8}</x14:id>
        </ext>
      </extLst>
    </cfRule>
  </conditionalFormatting>
  <conditionalFormatting sqref="Y34:Z34">
    <cfRule type="dataBar" priority="53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{A594B499-653F-4567-A638-5FB74CFCE6E4}</x14:id>
        </ext>
      </extLst>
    </cfRule>
  </conditionalFormatting>
  <conditionalFormatting sqref="Y41:Z41">
    <cfRule type="dataBar" priority="8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{2C8EF150-466C-48E4-84A1-B5FF83F1E10E}</x14:id>
        </ext>
      </extLst>
    </cfRule>
  </conditionalFormatting>
  <conditionalFormatting sqref="Y51:Z51">
    <cfRule type="dataBar" priority="1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{4D2D4294-B640-4E5D-8571-F0DCAC271313}</x14:id>
        </ext>
      </extLst>
    </cfRule>
  </conditionalFormatting>
  <conditionalFormatting sqref="Y56:Z56">
    <cfRule type="dataBar" priority="38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{61251447-26B3-41D0-BDFC-1086F426C8F8}</x14:id>
        </ext>
      </extLst>
    </cfRule>
  </conditionalFormatting>
  <conditionalFormatting sqref="Z20:Z26">
    <cfRule type="dataBar" priority="84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{13033759-0597-46D2-ABBC-BF0ED3C05416}</x14:id>
        </ext>
      </extLst>
    </cfRule>
  </conditionalFormatting>
  <conditionalFormatting sqref="Z28">
    <cfRule type="dataBar" priority="60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{B15C049C-237C-49F9-8C65-4DF454785498}</x14:id>
        </ext>
      </extLst>
    </cfRule>
    <cfRule type="dataBar" priority="61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{476A1C1A-8609-4AA4-8646-DCB8051ADBAF}</x14:id>
        </ext>
      </extLst>
    </cfRule>
    <cfRule type="dataBar" priority="6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{F4CD67EA-8515-49D8-8471-1D48B761D904}</x14:id>
        </ext>
      </extLst>
    </cfRule>
  </conditionalFormatting>
  <conditionalFormatting sqref="Z29:Z32">
    <cfRule type="dataBar" priority="334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{4D18A614-0CC1-4E3E-97DD-B494698B12BA}</x14:id>
        </ext>
      </extLst>
    </cfRule>
    <cfRule type="dataBar" priority="334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{615DC8CC-90AE-4A10-AA7A-83B76BA05805}</x14:id>
        </ext>
      </extLst>
    </cfRule>
    <cfRule type="dataBar" priority="3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{F3EFA475-0D49-4AA1-A7AE-A4321DAA30B8}</x14:id>
        </ext>
      </extLst>
    </cfRule>
  </conditionalFormatting>
  <conditionalFormatting sqref="Z34">
    <cfRule type="dataBar" priority="53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{4C9DC5D9-1B6F-4F31-807A-26BA46D4ADF8}</x14:id>
        </ext>
      </extLst>
    </cfRule>
    <cfRule type="dataBar" priority="53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{ADE9ABA1-CE41-49A4-B6D8-B55A66048B94}</x14:id>
        </ext>
      </extLst>
    </cfRule>
    <cfRule type="dataBar" priority="5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{8C780BE8-FCF7-455D-B4CA-5101E85DA3BE}</x14:id>
        </ext>
      </extLst>
    </cfRule>
  </conditionalFormatting>
  <conditionalFormatting sqref="Z35:Z39">
    <cfRule type="dataBar" priority="342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{71C4B4A7-586E-4518-8F15-809703274892}</x14:id>
        </ext>
      </extLst>
    </cfRule>
    <cfRule type="dataBar" priority="342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{C41DA52D-AB86-4246-BA3F-D4F05DA1E443}</x14:id>
        </ext>
      </extLst>
    </cfRule>
    <cfRule type="dataBar" priority="34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{E150B4B8-9891-4EAE-8673-2545FA1914B5}</x14:id>
        </ext>
      </extLst>
    </cfRule>
    <cfRule type="dataBar" priority="342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{7AB075D4-96ED-4680-869F-397D0C1F8C3A}</x14:id>
        </ext>
      </extLst>
    </cfRule>
  </conditionalFormatting>
  <conditionalFormatting sqref="Z41">
    <cfRule type="dataBar" priority="7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{A5974BD6-7A08-4F53-94E8-E7C8388D125E}</x14:id>
        </ext>
      </extLst>
    </cfRule>
    <cfRule type="dataBar" priority="7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{8FFC631D-4278-4BD7-85F4-E6E64D0AC74F}</x14:id>
        </ext>
      </extLst>
    </cfRule>
    <cfRule type="dataBar" priority="7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{A7AF2B44-E7C2-4576-BCE6-1FF5376F7030}</x14:id>
        </ext>
      </extLst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{79CCF22A-0F7E-4DAE-AAA7-B6D8D2DA686B}</x14:id>
        </ext>
      </extLst>
    </cfRule>
  </conditionalFormatting>
  <conditionalFormatting sqref="Z42:Z49">
    <cfRule type="dataBar" priority="352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{74F42C22-AF85-4ADF-B3AE-46D879A8DF1A}</x14:id>
        </ext>
      </extLst>
    </cfRule>
    <cfRule type="dataBar" priority="352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{6098F110-49A5-4FE7-BAD7-A89A4598E91F}</x14:id>
        </ext>
      </extLst>
    </cfRule>
    <cfRule type="dataBar" priority="352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{AAA0E32B-6700-4DF0-8D69-D378E70D6FD3}</x14:id>
        </ext>
      </extLst>
    </cfRule>
    <cfRule type="dataBar" priority="3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{5901C329-30F9-419C-B237-D49834DDF1D5}</x14:id>
        </ext>
      </extLst>
    </cfRule>
    <cfRule type="dataBar" priority="352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{D9075B3E-42D5-4B04-8D02-7BCBFEDA8109}</x14:id>
        </ext>
      </extLst>
    </cfRule>
  </conditionalFormatting>
  <conditionalFormatting sqref="Z51">
    <cfRule type="dataBar" priority="16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{C6332B00-E98F-458D-8D5F-622C63C2E650}</x14:id>
        </ext>
      </extLst>
    </cfRule>
    <cfRule type="dataBar" priority="16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{F2126024-17D9-458D-96D6-5785279A2BAA}</x14:id>
        </ext>
      </extLst>
    </cfRule>
    <cfRule type="dataBar" priority="1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{23F81CD7-F5E8-4CEB-A163-A2E1C32FC2AE}</x14:id>
        </ext>
      </extLst>
    </cfRule>
  </conditionalFormatting>
  <conditionalFormatting sqref="Z52:Z54">
    <cfRule type="dataBar" priority="306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{560ECF0B-6AC3-411C-9FB1-78C88991E414}</x14:id>
        </ext>
      </extLst>
    </cfRule>
    <cfRule type="dataBar" priority="306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{456BA68C-7041-461B-AD42-DA55BDB1B6B6}</x14:id>
        </ext>
      </extLst>
    </cfRule>
    <cfRule type="dataBar" priority="30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{533A9C6B-0B56-4C4A-B7DC-6694862FD745}</x14:id>
        </ext>
      </extLst>
    </cfRule>
    <cfRule type="dataBar" priority="30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{31FDF20C-E7C7-482A-B020-CA72BD288E1C}</x14:id>
        </ext>
      </extLst>
    </cfRule>
  </conditionalFormatting>
  <conditionalFormatting sqref="Z56">
    <cfRule type="dataBar" priority="39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{B1E8D7F5-4512-4D7F-BE81-5246926C2617}</x14:id>
        </ext>
      </extLst>
    </cfRule>
    <cfRule type="dataBar" priority="39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{F096B3DE-F638-43D7-B064-CAE09789F367}</x14:id>
        </ext>
      </extLst>
    </cfRule>
    <cfRule type="dataBar" priority="39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{F4E503D3-BC31-4528-B357-4D1971D98B75}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{02C323B3-6D17-4FAF-8523-F7F0FAC03D0B}</x14:id>
        </ext>
      </extLst>
    </cfRule>
  </conditionalFormatting>
  <conditionalFormatting sqref="Z57:Z58">
    <cfRule type="dataBar" priority="364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{3C49F500-3D77-4905-941C-2C958996EA88}</x14:id>
        </ext>
      </extLst>
    </cfRule>
    <cfRule type="dataBar" priority="364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{017498B6-071D-4C4E-8D0A-F51D6B505C49}</x14:id>
        </ext>
      </extLst>
    </cfRule>
    <cfRule type="dataBar" priority="364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{185C105F-9A56-4FE2-A12F-57400012FF5A}</x14:id>
        </ext>
      </extLst>
    </cfRule>
    <cfRule type="dataBar" priority="364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{5A37DE91-33CA-4BD3-A829-462FBD2FC496}</x14:id>
        </ext>
      </extLst>
    </cfRule>
    <cfRule type="dataBar" priority="36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{C0E2B0A5-9AAF-4035-97F9-1B2251057202}</x14:id>
        </ext>
      </extLst>
    </cfRule>
  </conditionalFormatting>
  <conditionalFormatting sqref="AC20:AC26">
    <cfRule type="dataBar" priority="83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{F7C6F15D-02A4-4482-A317-CED4489BCE8C}</x14:id>
        </ext>
      </extLst>
    </cfRule>
  </conditionalFormatting>
  <conditionalFormatting sqref="AC28">
    <cfRule type="dataBar" priority="61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{AB67BB71-7172-4ED0-86C3-A9A35E023643}</x14:id>
        </ext>
      </extLst>
    </cfRule>
    <cfRule type="dataBar" priority="61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{B87E3D81-110E-49EC-98DD-DDBC4F993A5B}</x14:id>
        </ext>
      </extLst>
    </cfRule>
    <cfRule type="dataBar" priority="6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{D8E34693-20B9-47E0-8AA6-1D2C18052E54}</x14:id>
        </ext>
      </extLst>
    </cfRule>
  </conditionalFormatting>
  <conditionalFormatting sqref="AC29:AC32">
    <cfRule type="dataBar" priority="334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{2087578A-944C-4D24-BD3A-47E4C7BCBF01}</x14:id>
        </ext>
      </extLst>
    </cfRule>
    <cfRule type="dataBar" priority="334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{05D735BC-ED20-4F9D-8213-0AC47752CDAA}</x14:id>
        </ext>
      </extLst>
    </cfRule>
    <cfRule type="dataBar" priority="3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{763C24CB-761F-46ED-8A2A-38CD1E6FD215}</x14:id>
        </ext>
      </extLst>
    </cfRule>
  </conditionalFormatting>
  <conditionalFormatting sqref="AC34">
    <cfRule type="dataBar" priority="54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{E3FA4860-B3C4-4784-BE33-0D174D44D522}</x14:id>
        </ext>
      </extLst>
    </cfRule>
    <cfRule type="dataBar" priority="54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{290E9F85-73E5-4F6D-A369-5955268D8E29}</x14:id>
        </ext>
      </extLst>
    </cfRule>
    <cfRule type="dataBar" priority="5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{CD36BABE-951F-403B-898E-B782EC01BD5E}</x14:id>
        </ext>
      </extLst>
    </cfRule>
  </conditionalFormatting>
  <conditionalFormatting sqref="AC35:AC39">
    <cfRule type="dataBar" priority="342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{89353D64-B1BA-40A5-B03F-24FB296E392E}</x14:id>
        </ext>
      </extLst>
    </cfRule>
    <cfRule type="dataBar" priority="342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{1CF84995-4C47-4A4B-8A80-4D70C8E2343A}</x14:id>
        </ext>
      </extLst>
    </cfRule>
    <cfRule type="dataBar" priority="3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{8989BA9E-2E79-46D3-B170-3D86F9D85CAE}</x14:id>
        </ext>
      </extLst>
    </cfRule>
    <cfRule type="dataBar" priority="342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{32242FB1-6C1F-4FA7-B0D0-8D0B1699A3D3}</x14:id>
        </ext>
      </extLst>
    </cfRule>
  </conditionalFormatting>
  <conditionalFormatting sqref="AC41">
    <cfRule type="dataBar" priority="64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{715AB4DB-1FF3-4D32-A914-1BC75630A6FD}</x14:id>
        </ext>
      </extLst>
    </cfRule>
    <cfRule type="dataBar" priority="6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{7C71BF8D-8CD4-4CC5-8E2C-3404F28CAA96}</x14:id>
        </ext>
      </extLst>
    </cfRule>
    <cfRule type="dataBar" priority="6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{01275D23-71B4-4257-9BA4-78B776399243}</x14:id>
        </ext>
      </extLst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{99189406-F658-4778-A5AC-874A04F4192B}</x14:id>
        </ext>
      </extLst>
    </cfRule>
  </conditionalFormatting>
  <conditionalFormatting sqref="AC42:AC49">
    <cfRule type="dataBar" priority="352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{09EB0F29-FE92-43C2-8A9E-9BE017FC3F21}</x14:id>
        </ext>
      </extLst>
    </cfRule>
    <cfRule type="dataBar" priority="352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{4AC8655E-0544-410F-832F-58D8D5607DF4}</x14:id>
        </ext>
      </extLst>
    </cfRule>
    <cfRule type="dataBar" priority="352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{6700F5D5-5DED-4C0E-B4C8-363E8918093D}</x14:id>
        </ext>
      </extLst>
    </cfRule>
    <cfRule type="dataBar" priority="3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{7DB47E1A-6E33-4FEF-9EC3-1CA13D7D41B2}</x14:id>
        </ext>
      </extLst>
    </cfRule>
    <cfRule type="dataBar" priority="353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{63865A59-409C-4C41-A631-53CFA9252E37}</x14:id>
        </ext>
      </extLst>
    </cfRule>
  </conditionalFormatting>
  <conditionalFormatting sqref="AC51">
    <cfRule type="dataBar" priority="16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{B92DB87A-9F60-4E05-B6FB-8B277F42ABF2}</x14:id>
        </ext>
      </extLst>
    </cfRule>
    <cfRule type="dataBar" priority="16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{D8821EEC-96D5-4D9C-AF04-A843480706EA}</x14:id>
        </ext>
      </extLst>
    </cfRule>
    <cfRule type="dataBar" priority="1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{FDBE0293-EE49-4128-9079-78D9586651F9}</x14:id>
        </ext>
      </extLst>
    </cfRule>
  </conditionalFormatting>
  <conditionalFormatting sqref="AC52:AC54">
    <cfRule type="dataBar" priority="306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{7C2BB518-DEB9-4651-8915-42DAF7FEF331}</x14:id>
        </ext>
      </extLst>
    </cfRule>
    <cfRule type="dataBar" priority="307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{257B3D28-717C-4D8D-B6EF-702D7F52B9F3}</x14:id>
        </ext>
      </extLst>
    </cfRule>
    <cfRule type="dataBar" priority="30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{3F9BFA7C-A0CE-4684-B7E2-BF6935D099AB}</x14:id>
        </ext>
      </extLst>
    </cfRule>
    <cfRule type="dataBar" priority="307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{A626B906-AF72-40E2-A5B1-5D96C2540DE4}</x14:id>
        </ext>
      </extLst>
    </cfRule>
  </conditionalFormatting>
  <conditionalFormatting sqref="AC56">
    <cfRule type="dataBar" priority="378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{2EB55BBF-48BD-483D-9D61-AC5F9B81493C}</x14:id>
        </ext>
      </extLst>
    </cfRule>
    <cfRule type="dataBar" priority="37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{4CBA1BDA-B42A-4D49-9CA8-A3BFFAEC37CD}</x14:id>
        </ext>
      </extLst>
    </cfRule>
    <cfRule type="dataBar" priority="38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{BEA72171-99B8-4807-99E5-075FDB179FC9}</x14:id>
        </ext>
      </extLst>
    </cfRule>
    <cfRule type="dataBar" priority="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{0363E243-3E1A-4F72-9809-853D22BE46CA}</x14:id>
        </ext>
      </extLst>
    </cfRule>
  </conditionalFormatting>
  <conditionalFormatting sqref="AC57:AC58">
    <cfRule type="dataBar" priority="364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{CB33DF47-49A9-43C8-B7AA-5EB0FE991C87}</x14:id>
        </ext>
      </extLst>
    </cfRule>
    <cfRule type="dataBar" priority="364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{6F9CA1BD-F726-495F-973F-AE7D0AF8BA50}</x14:id>
        </ext>
      </extLst>
    </cfRule>
    <cfRule type="dataBar" priority="364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{1A818B69-91A5-426D-9EAD-F5C191465869}</x14:id>
        </ext>
      </extLst>
    </cfRule>
    <cfRule type="dataBar" priority="364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{06419837-D5AF-46E2-B632-5A7DD2E8E8DC}</x14:id>
        </ext>
      </extLst>
    </cfRule>
    <cfRule type="dataBar" priority="36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{FDB6B50E-33BC-48E9-B3A7-C8CF363040C1}</x14:id>
        </ext>
      </extLst>
    </cfRule>
  </conditionalFormatting>
  <conditionalFormatting sqref="AC4:AD4">
    <cfRule type="dataBar" priority="132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{F5B8B44F-F1E9-4D24-883A-357457244291}</x14:id>
        </ext>
      </extLst>
    </cfRule>
    <cfRule type="dataBar" priority="133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{630426C8-9E01-4528-BCAE-937F468A997E}</x14:id>
        </ext>
      </extLst>
    </cfRule>
  </conditionalFormatting>
  <conditionalFormatting sqref="AC19:AD19">
    <cfRule type="dataBar" priority="677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{26623097-761D-4623-8ACD-4F5801EE72B8}</x14:id>
        </ext>
      </extLst>
    </cfRule>
  </conditionalFormatting>
  <conditionalFormatting sqref="AC34:AD34">
    <cfRule type="dataBar" priority="54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{ED9A6ADF-E229-4D0E-9A08-0DA556FC5096}</x14:id>
        </ext>
      </extLst>
    </cfRule>
  </conditionalFormatting>
  <conditionalFormatting sqref="AC41:AD41">
    <cfRule type="dataBar" priority="7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{8A570F3D-F9F7-487F-B535-F7980D6E9723}</x14:id>
        </ext>
      </extLst>
    </cfRule>
  </conditionalFormatting>
  <conditionalFormatting sqref="AC51:AD51">
    <cfRule type="dataBar" priority="17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{CA797F42-DF66-4DA1-B15C-F038924A4A84}</x14:id>
        </ext>
      </extLst>
    </cfRule>
  </conditionalFormatting>
  <conditionalFormatting sqref="AC56:AD56">
    <cfRule type="dataBar" priority="37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{7938A4CD-51F1-4F07-B787-153936D5A914}</x14:id>
        </ext>
      </extLst>
    </cfRule>
  </conditionalFormatting>
  <conditionalFormatting sqref="AD20:AD26">
    <cfRule type="dataBar" priority="83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{801E96C8-AA00-41CD-A515-8653EB34B2F6}</x14:id>
        </ext>
      </extLst>
    </cfRule>
  </conditionalFormatting>
  <conditionalFormatting sqref="AD28">
    <cfRule type="dataBar" priority="61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{B978E897-34B5-459A-9224-B62353B36940}</x14:id>
        </ext>
      </extLst>
    </cfRule>
    <cfRule type="dataBar" priority="61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{5FE41162-D75B-4AE6-A16C-E91426602528}</x14:id>
        </ext>
      </extLst>
    </cfRule>
    <cfRule type="dataBar" priority="6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{6209917A-2143-4571-A07C-4D2597CC3C67}</x14:id>
        </ext>
      </extLst>
    </cfRule>
  </conditionalFormatting>
  <conditionalFormatting sqref="AD29:AD32">
    <cfRule type="dataBar" priority="33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{BF6359D2-78D4-42C0-8097-B26510329772}</x14:id>
        </ext>
      </extLst>
    </cfRule>
    <cfRule type="dataBar" priority="334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{E307BBC7-B050-4494-AC04-65AF75D4D689}</x14:id>
        </ext>
      </extLst>
    </cfRule>
    <cfRule type="dataBar" priority="3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{0E06FA58-718D-4459-A53C-511B722DDF03}</x14:id>
        </ext>
      </extLst>
    </cfRule>
  </conditionalFormatting>
  <conditionalFormatting sqref="AD34">
    <cfRule type="dataBar" priority="54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{C4691722-B841-41F0-BA9B-57C8E8FD12DB}</x14:id>
        </ext>
      </extLst>
    </cfRule>
    <cfRule type="dataBar" priority="54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{270C4D51-4C52-48E3-BAEF-95FAF8858BFA}</x14:id>
        </ext>
      </extLst>
    </cfRule>
    <cfRule type="dataBar" priority="5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{4E1A79D8-644E-4160-885E-137EE94BFC0D}</x14:id>
        </ext>
      </extLst>
    </cfRule>
  </conditionalFormatting>
  <conditionalFormatting sqref="AD35:AD39">
    <cfRule type="dataBar" priority="342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{A60EEA80-819A-4A5D-B7C5-4043B5B45F9A}</x14:id>
        </ext>
      </extLst>
    </cfRule>
    <cfRule type="dataBar" priority="343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{C8C00D18-7CA3-48DD-8B15-7EA7E08BD95D}</x14:id>
        </ext>
      </extLst>
    </cfRule>
    <cfRule type="dataBar" priority="3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{E0F93911-0787-4A9C-9152-0A64637F2574}</x14:id>
        </ext>
      </extLst>
    </cfRule>
    <cfRule type="dataBar" priority="343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{9636BD61-DB15-49F1-B2F3-07989C9B6844}</x14:id>
        </ext>
      </extLst>
    </cfRule>
  </conditionalFormatting>
  <conditionalFormatting sqref="AD41">
    <cfRule type="dataBar" priority="68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{982884ED-84C9-45E7-84C1-5BBC194E74C9}</x14:id>
        </ext>
      </extLst>
    </cfRule>
    <cfRule type="dataBar" priority="6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{D653CF18-0D40-4DBB-9826-43913EB924A6}</x14:id>
        </ext>
      </extLst>
    </cfRule>
    <cfRule type="dataBar" priority="7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{EA63311D-2F4A-468E-A489-2F0BF3384146}</x14:id>
        </ext>
      </extLst>
    </cfRule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{E8DDED71-9477-46A4-B46B-BFF134756DD7}</x14:id>
        </ext>
      </extLst>
    </cfRule>
  </conditionalFormatting>
  <conditionalFormatting sqref="AD42:AD49">
    <cfRule type="dataBar" priority="353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{6DD71FE3-2240-43F2-8852-EE672AD3DF77}</x14:id>
        </ext>
      </extLst>
    </cfRule>
    <cfRule type="dataBar" priority="353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{DE463AE8-C767-4085-A7D6-71FB6E589E21}</x14:id>
        </ext>
      </extLst>
    </cfRule>
    <cfRule type="dataBar" priority="353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{A1047896-A6ED-4599-BBD1-0666597E27FE}</x14:id>
        </ext>
      </extLst>
    </cfRule>
    <cfRule type="dataBar" priority="3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{A67799D7-D9B5-43D8-9408-A1478328D623}</x14:id>
        </ext>
      </extLst>
    </cfRule>
    <cfRule type="dataBar" priority="353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{0DF33322-EA40-4EB3-9499-9C0FD18765D7}</x14:id>
        </ext>
      </extLst>
    </cfRule>
  </conditionalFormatting>
  <conditionalFormatting sqref="AD51">
    <cfRule type="dataBar" priority="17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{EB435B77-5C97-467B-9C2B-0D7AA906A0F0}</x14:id>
        </ext>
      </extLst>
    </cfRule>
    <cfRule type="dataBar" priority="17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{11CE27E4-0B70-4FFC-8158-99C710906692}</x14:id>
        </ext>
      </extLst>
    </cfRule>
    <cfRule type="dataBar" priority="1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{A91ED401-356D-4129-AC65-2127907EBA20}</x14:id>
        </ext>
      </extLst>
    </cfRule>
  </conditionalFormatting>
  <conditionalFormatting sqref="AD52:AD54">
    <cfRule type="dataBar" priority="307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{E2D180DD-0076-41DB-B6DF-4D6972EDD803}</x14:id>
        </ext>
      </extLst>
    </cfRule>
    <cfRule type="dataBar" priority="307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{7DB42058-F444-494A-B960-2CE59A8B1D9E}</x14:id>
        </ext>
      </extLst>
    </cfRule>
    <cfRule type="dataBar" priority="30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{139BEC29-54F4-4C49-BA5C-1A1AC93C38D3}</x14:id>
        </ext>
      </extLst>
    </cfRule>
    <cfRule type="dataBar" priority="307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{430693B6-F507-4B1C-80C4-9563FC660E40}</x14:id>
        </ext>
      </extLst>
    </cfRule>
  </conditionalFormatting>
  <conditionalFormatting sqref="AD56">
    <cfRule type="dataBar" priority="38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{1AFD4A36-4AD7-47CC-B769-2C2E56A48067}</x14:id>
        </ext>
      </extLst>
    </cfRule>
    <cfRule type="dataBar" priority="38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{B4CCDAEE-9150-4503-86B4-1CB94F709F09}</x14:id>
        </ext>
      </extLst>
    </cfRule>
    <cfRule type="dataBar" priority="38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{5870C796-3E50-4F8E-9A0C-5F53F6C741E6}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{F4677E5C-A7B9-40E1-B6B3-46F99C39C69A}</x14:id>
        </ext>
      </extLst>
    </cfRule>
  </conditionalFormatting>
  <conditionalFormatting sqref="AD57:AD58">
    <cfRule type="dataBar" priority="365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{78C85D28-2420-48D5-8495-EA94607B5B1D}</x14:id>
        </ext>
      </extLst>
    </cfRule>
    <cfRule type="dataBar" priority="365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{A098D687-30F9-47EA-A78E-478FDEFD8AA1}</x14:id>
        </ext>
      </extLst>
    </cfRule>
    <cfRule type="dataBar" priority="365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{DE04FBE6-D4EE-4D38-B756-71A1DB4361C2}</x14:id>
        </ext>
      </extLst>
    </cfRule>
    <cfRule type="dataBar" priority="365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{245C08EB-3368-44F4-A12F-3FA55ECACBAC}</x14:id>
        </ext>
      </extLst>
    </cfRule>
    <cfRule type="dataBar" priority="36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{35BD932E-7AB2-4BE8-9711-853DA7493985}</x14:id>
        </ext>
      </extLst>
    </cfRule>
  </conditionalFormatting>
  <conditionalFormatting sqref="AG20:AG26">
    <cfRule type="dataBar" priority="83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{4B19E783-EB7E-4523-96FF-3DFCA80E6A0C}</x14:id>
        </ext>
      </extLst>
    </cfRule>
  </conditionalFormatting>
  <conditionalFormatting sqref="AG28">
    <cfRule type="dataBar" priority="61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{09333D44-C73E-458F-ADDF-89CC47D1FDCD}</x14:id>
        </ext>
      </extLst>
    </cfRule>
    <cfRule type="dataBar" priority="62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{38FBDFC5-9A47-4942-8FA0-D868B977AEEA}</x14:id>
        </ext>
      </extLst>
    </cfRule>
    <cfRule type="dataBar" priority="6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{D0BDDADA-420A-4974-9096-F84D95085FEF}</x14:id>
        </ext>
      </extLst>
    </cfRule>
  </conditionalFormatting>
  <conditionalFormatting sqref="AG29:AG32">
    <cfRule type="dataBar" priority="33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{DCFE4852-0473-4FE1-9AB2-844008E72DED}</x14:id>
        </ext>
      </extLst>
    </cfRule>
    <cfRule type="dataBar" priority="335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{AED1CD25-4629-4400-A12C-F38061205764}</x14:id>
        </ext>
      </extLst>
    </cfRule>
    <cfRule type="dataBar" priority="3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{141F0C4B-6062-41AF-BDBF-D1E112BC8412}</x14:id>
        </ext>
      </extLst>
    </cfRule>
  </conditionalFormatting>
  <conditionalFormatting sqref="AG34">
    <cfRule type="dataBar" priority="54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{C9ECB772-A0EB-46E2-A84B-1FACEA5F0AA7}</x14:id>
        </ext>
      </extLst>
    </cfRule>
    <cfRule type="dataBar" priority="54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{D0C9FFC9-F437-4135-B6E3-04782AB89262}</x14:id>
        </ext>
      </extLst>
    </cfRule>
    <cfRule type="dataBar" priority="5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{765DE6EC-93DB-479C-98EA-67F779D16104}</x14:id>
        </ext>
      </extLst>
    </cfRule>
  </conditionalFormatting>
  <conditionalFormatting sqref="AG35:AG39">
    <cfRule type="dataBar" priority="343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{8580B9A7-268B-4854-B6AD-A90DB220E158}</x14:id>
        </ext>
      </extLst>
    </cfRule>
    <cfRule type="dataBar" priority="343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{32B712FC-E6D0-45E2-959C-7610575AC133}</x14:id>
        </ext>
      </extLst>
    </cfRule>
    <cfRule type="dataBar" priority="3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{6529F0C4-E11A-40ED-9E26-1D39F36EDFE4}</x14:id>
        </ext>
      </extLst>
    </cfRule>
    <cfRule type="dataBar" priority="343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{306C5B33-1AFA-4EFC-8404-930B30389B94}</x14:id>
        </ext>
      </extLst>
    </cfRule>
  </conditionalFormatting>
  <conditionalFormatting sqref="AG41">
    <cfRule type="dataBar" priority="55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{5A5E4D50-D5BD-4FF7-984E-CD399AEDB79D}</x14:id>
        </ext>
      </extLst>
    </cfRule>
    <cfRule type="dataBar" priority="5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{694EB01B-5AB2-4006-B04D-CD067D303BC6}</x14:id>
        </ext>
      </extLst>
    </cfRule>
    <cfRule type="dataBar" priority="5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{DEB4FF0C-7E2D-41D1-BEC9-857308553E1C}</x14:id>
        </ext>
      </extLst>
    </cfRule>
    <cfRule type="dataBar" priority="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{9667C46E-CF47-45AD-9328-F8BE3D64EFE1}</x14:id>
        </ext>
      </extLst>
    </cfRule>
  </conditionalFormatting>
  <conditionalFormatting sqref="AG42:AG49">
    <cfRule type="dataBar" priority="353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{3E37AA6B-8C67-41B9-AB03-094D6DCA7A89}</x14:id>
        </ext>
      </extLst>
    </cfRule>
    <cfRule type="dataBar" priority="353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{E3BE74ED-DAE1-4976-9F9F-363B8501B03C}</x14:id>
        </ext>
      </extLst>
    </cfRule>
    <cfRule type="dataBar" priority="353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{D5D3CB50-2D3E-4DA5-840B-7A4141090B9C}</x14:id>
        </ext>
      </extLst>
    </cfRule>
    <cfRule type="dataBar" priority="35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{8C3211D7-6562-4319-9ACF-D33A5C02CE82}</x14:id>
        </ext>
      </extLst>
    </cfRule>
    <cfRule type="dataBar" priority="354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{D22B27D3-85D8-43FA-A2C5-8366439FAEC3}</x14:id>
        </ext>
      </extLst>
    </cfRule>
  </conditionalFormatting>
  <conditionalFormatting sqref="AG51">
    <cfRule type="dataBar" priority="17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{9CA972F8-45AC-499B-861E-C0ABB5916E3F}</x14:id>
        </ext>
      </extLst>
    </cfRule>
    <cfRule type="dataBar" priority="17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{43102400-253E-44D0-9320-820FBEC9F088}</x14:id>
        </ext>
      </extLst>
    </cfRule>
    <cfRule type="dataBar" priority="1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{1A45BC2F-4D1B-4B0A-A860-529B7349A5B2}</x14:id>
        </ext>
      </extLst>
    </cfRule>
  </conditionalFormatting>
  <conditionalFormatting sqref="AG52:AG54">
    <cfRule type="dataBar" priority="307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{8617331E-4F9A-4AC9-BFF7-16887E533381}</x14:id>
        </ext>
      </extLst>
    </cfRule>
    <cfRule type="dataBar" priority="307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{4CC69CF6-A123-4899-BEE2-6D9D8A113D28}</x14:id>
        </ext>
      </extLst>
    </cfRule>
    <cfRule type="dataBar" priority="30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{379BB986-8518-4A74-A585-5F2503A4B0F5}</x14:id>
        </ext>
      </extLst>
    </cfRule>
    <cfRule type="dataBar" priority="308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{9D2BCDC1-6803-48C2-AB00-379BFB3CD03E}</x14:id>
        </ext>
      </extLst>
    </cfRule>
  </conditionalFormatting>
  <conditionalFormatting sqref="AG56">
    <cfRule type="dataBar" priority="369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{02F892CE-3CF9-4F5C-89C5-F0165707C1F2}</x14:id>
        </ext>
      </extLst>
    </cfRule>
    <cfRule type="dataBar" priority="37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{21FFE8DC-04A1-4A48-83C3-9655D1519262}</x14:id>
        </ext>
      </extLst>
    </cfRule>
    <cfRule type="dataBar" priority="37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{CAC56E9C-150E-4C69-94D0-65C28F723B45}</x14:id>
        </ext>
      </extLst>
    </cfRule>
    <cfRule type="dataBar" priority="3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{DA48AA98-4791-482E-B942-C1B55DAAC517}</x14:id>
        </ext>
      </extLst>
    </cfRule>
  </conditionalFormatting>
  <conditionalFormatting sqref="AG57:AG58">
    <cfRule type="dataBar" priority="365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{E29CCA94-D42F-48D4-9A7B-DFFC1A4D31DD}</x14:id>
        </ext>
      </extLst>
    </cfRule>
    <cfRule type="dataBar" priority="365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{1F9160F9-F33A-4604-896F-2CD746207AEA}</x14:id>
        </ext>
      </extLst>
    </cfRule>
    <cfRule type="dataBar" priority="365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{FF68EC5C-872E-4F9B-8081-039805D2CA83}</x14:id>
        </ext>
      </extLst>
    </cfRule>
    <cfRule type="dataBar" priority="365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{F1AC263F-DF5A-4375-AB30-623ED738D3E9}</x14:id>
        </ext>
      </extLst>
    </cfRule>
    <cfRule type="dataBar" priority="36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{74AB1F21-C1AF-4EA3-B80A-94D2C6DE4A4D}</x14:id>
        </ext>
      </extLst>
    </cfRule>
  </conditionalFormatting>
  <conditionalFormatting sqref="AG4:AH4">
    <cfRule type="dataBar" priority="130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{61E27857-0A37-4B2E-9EA3-F8DDD7706E28}</x14:id>
        </ext>
      </extLst>
    </cfRule>
    <cfRule type="dataBar" priority="131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{30696CC4-8029-47B5-8874-7E02F3923C83}</x14:id>
        </ext>
      </extLst>
    </cfRule>
  </conditionalFormatting>
  <conditionalFormatting sqref="AG19:AH19">
    <cfRule type="dataBar" priority="676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{F99FB67B-2BF7-494E-A63B-EAD95C6446EB}</x14:id>
        </ext>
      </extLst>
    </cfRule>
  </conditionalFormatting>
  <conditionalFormatting sqref="AG34:AH34">
    <cfRule type="dataBar" priority="55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{1974598A-4CA5-477F-A1C5-2EEC27391033}</x14:id>
        </ext>
      </extLst>
    </cfRule>
  </conditionalFormatting>
  <conditionalFormatting sqref="AG41:AH41">
    <cfRule type="dataBar" priority="6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{2AD3A63C-1C9E-46E1-A81C-36E81AFB92ED}</x14:id>
        </ext>
      </extLst>
    </cfRule>
  </conditionalFormatting>
  <conditionalFormatting sqref="AG51:AH51">
    <cfRule type="dataBar" priority="18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{03385F97-E445-445E-B148-66AB87DA63E9}</x14:id>
        </ext>
      </extLst>
    </cfRule>
  </conditionalFormatting>
  <conditionalFormatting sqref="AG56:AH56">
    <cfRule type="dataBar" priority="3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{82897555-6064-4610-A66D-7A1BCBFF66D2}</x14:id>
        </ext>
      </extLst>
    </cfRule>
  </conditionalFormatting>
  <conditionalFormatting sqref="AH20:AH26">
    <cfRule type="dataBar" priority="83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{16D31B67-F44B-4542-BB18-3D570BC324D0}</x14:id>
        </ext>
      </extLst>
    </cfRule>
  </conditionalFormatting>
  <conditionalFormatting sqref="AH28">
    <cfRule type="dataBar" priority="62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{6D947DF6-BAF9-4499-A425-3DABB9E4A55C}</x14:id>
        </ext>
      </extLst>
    </cfRule>
    <cfRule type="dataBar" priority="62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{D40F2A9C-550B-4A52-BC6E-CD602696E535}</x14:id>
        </ext>
      </extLst>
    </cfRule>
    <cfRule type="dataBar" priority="6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{30EF28DE-BD7D-42C4-A2F8-FC9F496EDC5C}</x14:id>
        </ext>
      </extLst>
    </cfRule>
  </conditionalFormatting>
  <conditionalFormatting sqref="AH29:AH32">
    <cfRule type="dataBar" priority="335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{D6C82A1F-C7C7-42CB-8B19-BD774B7CA7DE}</x14:id>
        </ext>
      </extLst>
    </cfRule>
    <cfRule type="dataBar" priority="335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{81AD90E0-5B04-4E00-9085-7DEC08B70412}</x14:id>
        </ext>
      </extLst>
    </cfRule>
    <cfRule type="dataBar" priority="3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{55AF2E96-68E1-407E-87A1-8C9910D767E0}</x14:id>
        </ext>
      </extLst>
    </cfRule>
  </conditionalFormatting>
  <conditionalFormatting sqref="AH34">
    <cfRule type="dataBar" priority="55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{B3104899-F3F9-4222-A244-E824758803CE}</x14:id>
        </ext>
      </extLst>
    </cfRule>
    <cfRule type="dataBar" priority="55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{64468FC5-B850-4532-83E3-F05F28DC9A5C}</x14:id>
        </ext>
      </extLst>
    </cfRule>
    <cfRule type="dataBar" priority="5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{A21305F6-59B4-4126-925B-364BD16F0890}</x14:id>
        </ext>
      </extLst>
    </cfRule>
  </conditionalFormatting>
  <conditionalFormatting sqref="AH35:AH39">
    <cfRule type="dataBar" priority="343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{62D577E9-F76E-488E-BE3C-8FFB64E1C1A9}</x14:id>
        </ext>
      </extLst>
    </cfRule>
    <cfRule type="dataBar" priority="343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{C9000BC3-D1AB-498B-929E-9E68CDC772CE}</x14:id>
        </ext>
      </extLst>
    </cfRule>
    <cfRule type="dataBar" priority="3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{A85F0EF0-A8EE-4596-BA7B-7B7545A311DB}</x14:id>
        </ext>
      </extLst>
    </cfRule>
    <cfRule type="dataBar" priority="344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{3C19F6D6-61CD-48F7-B22A-3FE3B5D45587}</x14:id>
        </ext>
      </extLst>
    </cfRule>
  </conditionalFormatting>
  <conditionalFormatting sqref="AH41">
    <cfRule type="dataBar" priority="59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{3042B652-E026-41EB-8278-0C87BA3A0811}</x14:id>
        </ext>
      </extLst>
    </cfRule>
    <cfRule type="dataBar" priority="6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{87931C33-DAA5-43F0-98AC-4786B1F1B5E7}</x14:id>
        </ext>
      </extLst>
    </cfRule>
    <cfRule type="dataBar" priority="6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{4F32A05C-1EEC-4F69-AC24-D469A089C2C0}</x14:id>
        </ext>
      </extLst>
    </cfRule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{ACA361C0-72D8-4874-8432-8D898CE06592}</x14:id>
        </ext>
      </extLst>
    </cfRule>
  </conditionalFormatting>
  <conditionalFormatting sqref="AH42:AH49">
    <cfRule type="dataBar" priority="354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{6D42D99D-B839-4777-B31A-C37113B1469F}</x14:id>
        </ext>
      </extLst>
    </cfRule>
    <cfRule type="dataBar" priority="354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{71B92BBE-8D2F-43EF-A90B-B244BE3111BD}</x14:id>
        </ext>
      </extLst>
    </cfRule>
    <cfRule type="dataBar" priority="354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{E9AA3AFA-C01E-40F8-92D6-FF0207519AFA}</x14:id>
        </ext>
      </extLst>
    </cfRule>
    <cfRule type="dataBar" priority="35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{CB7CB3F5-95F8-4F1C-99C8-8007C6A51C9E}</x14:id>
        </ext>
      </extLst>
    </cfRule>
    <cfRule type="dataBar" priority="354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{0E364716-FF3C-41E0-A9CE-BDB9A9B50429}</x14:id>
        </ext>
      </extLst>
    </cfRule>
  </conditionalFormatting>
  <conditionalFormatting sqref="AH51">
    <cfRule type="dataBar" priority="17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{AA434F1B-6599-42A0-B1AB-C5790833445F}</x14:id>
        </ext>
      </extLst>
    </cfRule>
    <cfRule type="dataBar" priority="17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{E6420DBD-C829-4E87-B889-8842D41F5C3D}</x14:id>
        </ext>
      </extLst>
    </cfRule>
    <cfRule type="dataBar" priority="1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{40465C92-16EB-4EA8-A653-F495FA770480}</x14:id>
        </ext>
      </extLst>
    </cfRule>
  </conditionalFormatting>
  <conditionalFormatting sqref="AH52:AH54">
    <cfRule type="dataBar" priority="308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{9F2C2432-1335-4400-82F6-DD5F7218003A}</x14:id>
        </ext>
      </extLst>
    </cfRule>
    <cfRule type="dataBar" priority="308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{555FDC86-A1C4-413F-8452-BBE00814537E}</x14:id>
        </ext>
      </extLst>
    </cfRule>
    <cfRule type="dataBar" priority="30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{DCD859B7-35E0-43FD-BB1B-FD442DFAA466}</x14:id>
        </ext>
      </extLst>
    </cfRule>
    <cfRule type="dataBar" priority="308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{A16EA9FE-4D68-4150-ABBA-5576142A494C}</x14:id>
        </ext>
      </extLst>
    </cfRule>
  </conditionalFormatting>
  <conditionalFormatting sqref="AH56">
    <cfRule type="dataBar" priority="373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{3142DE1D-CCFE-40F3-8F58-90146467B93A}</x14:id>
        </ext>
      </extLst>
    </cfRule>
    <cfRule type="dataBar" priority="37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{DC426F3E-7F2B-4B11-9F7D-83761C0F1AD2}</x14:id>
        </ext>
      </extLst>
    </cfRule>
    <cfRule type="dataBar" priority="37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{BDABABB7-DD56-4ABE-9F8B-040C269643B2}</x14:id>
        </ext>
      </extLst>
    </cfRule>
    <cfRule type="dataBar" priority="3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{F38461A4-5E1D-442D-B5EC-00070A9053E9}</x14:id>
        </ext>
      </extLst>
    </cfRule>
  </conditionalFormatting>
  <conditionalFormatting sqref="AH57:AH58">
    <cfRule type="dataBar" priority="36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{B2409782-3ED3-40D6-A1A1-CF61F4516598}</x14:id>
        </ext>
      </extLst>
    </cfRule>
    <cfRule type="dataBar" priority="366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{C3D577B7-DA81-4A50-A422-03820286EBDF}</x14:id>
        </ext>
      </extLst>
    </cfRule>
    <cfRule type="dataBar" priority="366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{F4FD36B4-AA03-4DB2-A892-13BFE31D84ED}</x14:id>
        </ext>
      </extLst>
    </cfRule>
    <cfRule type="dataBar" priority="366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{7C02E0FF-BC8E-4432-B4E2-61D6CFABA7A6}</x14:id>
        </ext>
      </extLst>
    </cfRule>
    <cfRule type="dataBar" priority="3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{DF619740-887A-4348-8804-115CC7DC0BCD}</x14:id>
        </ext>
      </extLst>
    </cfRule>
  </conditionalFormatting>
  <conditionalFormatting sqref="AK20:AK26">
    <cfRule type="dataBar" priority="82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{D56ECD31-7E16-4D7D-ACB8-24BD3C6D8A2F}</x14:id>
        </ext>
      </extLst>
    </cfRule>
  </conditionalFormatting>
  <conditionalFormatting sqref="AK28">
    <cfRule type="dataBar" priority="62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{7CACB147-9B58-446F-982A-AA3E1D9F986F}</x14:id>
        </ext>
      </extLst>
    </cfRule>
    <cfRule type="dataBar" priority="62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{67BFFCCE-8648-4449-88E6-1E04FD1752D9}</x14:id>
        </ext>
      </extLst>
    </cfRule>
    <cfRule type="dataBar" priority="6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{B943008A-3BF8-4C1E-AEC3-A28DE41E876F}</x14:id>
        </ext>
      </extLst>
    </cfRule>
  </conditionalFormatting>
  <conditionalFormatting sqref="AK29:AK32">
    <cfRule type="dataBar" priority="335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{7231EB9F-FC0E-40CF-A249-7896442719C8}</x14:id>
        </ext>
      </extLst>
    </cfRule>
    <cfRule type="dataBar" priority="335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{12F56870-A34C-4B01-9372-10CB48BB0408}</x14:id>
        </ext>
      </extLst>
    </cfRule>
    <cfRule type="dataBar" priority="33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{14E32FEA-8224-42E7-9A2B-1768CBF81D70}</x14:id>
        </ext>
      </extLst>
    </cfRule>
  </conditionalFormatting>
  <conditionalFormatting sqref="AK34">
    <cfRule type="dataBar" priority="55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{5E85C834-AD1B-4778-956A-61CD43287FA1}</x14:id>
        </ext>
      </extLst>
    </cfRule>
    <cfRule type="dataBar" priority="55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{12F3618F-71CE-4204-89D4-33AF8BE30BAB}</x14:id>
        </ext>
      </extLst>
    </cfRule>
    <cfRule type="dataBar" priority="5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{D5CD2F05-7B02-43E1-85B5-09F43EE51AC0}</x14:id>
        </ext>
      </extLst>
    </cfRule>
  </conditionalFormatting>
  <conditionalFormatting sqref="AK35:AK39">
    <cfRule type="dataBar" priority="344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{23813790-0A9F-48C1-B550-67347636179E}</x14:id>
        </ext>
      </extLst>
    </cfRule>
    <cfRule type="dataBar" priority="344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{FC87B0DB-1027-4E25-B3D4-AFCC1058EAD8}</x14:id>
        </ext>
      </extLst>
    </cfRule>
    <cfRule type="dataBar" priority="3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{9884145C-EC6C-46DF-858B-313E726F45A9}</x14:id>
        </ext>
      </extLst>
    </cfRule>
    <cfRule type="dataBar" priority="344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{7B7E4F5E-B039-4759-B571-E2BA5255ECB5}</x14:id>
        </ext>
      </extLst>
    </cfRule>
  </conditionalFormatting>
  <conditionalFormatting sqref="AK41">
    <cfRule type="dataBar" priority="4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{7B212FD9-83DD-413D-AD1D-E0EA60F2B388}</x14:id>
        </ext>
      </extLst>
    </cfRule>
    <cfRule type="dataBar" priority="4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{D9E0BBB6-E197-45D3-B165-5BD1C36E094C}</x14:id>
        </ext>
      </extLst>
    </cfRule>
    <cfRule type="dataBar" priority="4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{0A6841E3-A006-429C-97ED-476C8AEED62C}</x14:id>
        </ext>
      </extLst>
    </cfRule>
    <cfRule type="dataBar" priority="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{232FDF49-8010-4976-9997-2985045D4167}</x14:id>
        </ext>
      </extLst>
    </cfRule>
  </conditionalFormatting>
  <conditionalFormatting sqref="AK42:AK49">
    <cfRule type="dataBar" priority="354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{047A7D32-CCD2-436E-BD24-0DB869E2358E}</x14:id>
        </ext>
      </extLst>
    </cfRule>
    <cfRule type="dataBar" priority="354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{318229E8-4112-44E7-B4D1-4CE753395EA1}</x14:id>
        </ext>
      </extLst>
    </cfRule>
    <cfRule type="dataBar" priority="354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{4155FDF6-5D35-4817-8E22-D7CD4C4E0640}</x14:id>
        </ext>
      </extLst>
    </cfRule>
    <cfRule type="dataBar" priority="35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{6E0A5A54-EB62-4473-BBCC-BB2751077726}</x14:id>
        </ext>
      </extLst>
    </cfRule>
    <cfRule type="dataBar" priority="35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{3BE3E276-A583-49FE-A590-E763F7626D1F}</x14:id>
        </ext>
      </extLst>
    </cfRule>
  </conditionalFormatting>
  <conditionalFormatting sqref="AK51">
    <cfRule type="dataBar" priority="18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{75E71AFA-AF27-4867-BDC4-C049EAF28220}</x14:id>
        </ext>
      </extLst>
    </cfRule>
    <cfRule type="dataBar" priority="18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{E9E78063-504E-4710-B55D-4D33460E2F9D}</x14:id>
        </ext>
      </extLst>
    </cfRule>
    <cfRule type="dataBar" priority="1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{AFD8E258-3BE8-4FE1-B439-5263981D06C6}</x14:id>
        </ext>
      </extLst>
    </cfRule>
  </conditionalFormatting>
  <conditionalFormatting sqref="AK52:AK54">
    <cfRule type="dataBar" priority="308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{780614AD-0897-4E64-A656-C5F7ACD0F422}</x14:id>
        </ext>
      </extLst>
    </cfRule>
    <cfRule type="dataBar" priority="308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{76F35397-1495-4E7C-B910-FC8F25509364}</x14:id>
        </ext>
      </extLst>
    </cfRule>
    <cfRule type="dataBar" priority="30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{284A30B5-7711-4D2A-90E4-20E27C03C4B8}</x14:id>
        </ext>
      </extLst>
    </cfRule>
    <cfRule type="dataBar" priority="308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{3A6EA53B-682B-4015-97A5-40BD03E2A62B}</x14:id>
        </ext>
      </extLst>
    </cfRule>
  </conditionalFormatting>
  <conditionalFormatting sqref="AK56">
    <cfRule type="dataBar" priority="360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{EC45BAF3-DDB2-420B-AB6E-2022016BE4EB}</x14:id>
        </ext>
      </extLst>
    </cfRule>
    <cfRule type="dataBar" priority="36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{568E5E3F-6976-41FE-9C7F-85A40621132B}</x14:id>
        </ext>
      </extLst>
    </cfRule>
    <cfRule type="dataBar" priority="36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{002C3D68-0A0A-4C8B-8F4C-DFE8BAFECB80}</x14:id>
        </ext>
      </extLst>
    </cfRule>
    <cfRule type="dataBar" priority="3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{B6507296-18E1-43EC-AEB0-EA283B511F19}</x14:id>
        </ext>
      </extLst>
    </cfRule>
  </conditionalFormatting>
  <conditionalFormatting sqref="AK57:AK58">
    <cfRule type="dataBar" priority="36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{40ACB1BB-3E8E-4036-906C-756DB93DDB3E}</x14:id>
        </ext>
      </extLst>
    </cfRule>
    <cfRule type="dataBar" priority="366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{BAA8A7A9-970F-4B79-8A68-60B851AE2557}</x14:id>
        </ext>
      </extLst>
    </cfRule>
    <cfRule type="dataBar" priority="366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{B935FD18-7BF5-4C46-815B-29695A9CCDD3}</x14:id>
        </ext>
      </extLst>
    </cfRule>
    <cfRule type="dataBar" priority="366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{B99F293D-E9BA-4324-853F-A26391209A4F}</x14:id>
        </ext>
      </extLst>
    </cfRule>
    <cfRule type="dataBar" priority="36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{9D85941D-8052-4C5A-AD0E-D5F8EA91A0B6}</x14:id>
        </ext>
      </extLst>
    </cfRule>
  </conditionalFormatting>
  <conditionalFormatting sqref="AK4:AL4">
    <cfRule type="dataBar" priority="128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{DF14BEB3-BD84-42F7-AF63-97F9A6F28DF7}</x14:id>
        </ext>
      </extLst>
    </cfRule>
    <cfRule type="dataBar" priority="129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{18B1C96C-3F3B-4C24-92C7-311B653EBC37}</x14:id>
        </ext>
      </extLst>
    </cfRule>
  </conditionalFormatting>
  <conditionalFormatting sqref="AK19:AL19">
    <cfRule type="dataBar" priority="675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{14FCF7BC-2EB6-45C2-A3F0-F765A0F71427}</x14:id>
        </ext>
      </extLst>
    </cfRule>
  </conditionalFormatting>
  <conditionalFormatting sqref="AK34:AL34">
    <cfRule type="dataBar" priority="5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{01721ED1-3D78-4829-8DE2-413C92920104}</x14:id>
        </ext>
      </extLst>
    </cfRule>
  </conditionalFormatting>
  <conditionalFormatting sqref="AK41:AL41">
    <cfRule type="dataBar" priority="5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{A8058E80-4FC9-45C2-A283-B56F36BBC88C}</x14:id>
        </ext>
      </extLst>
    </cfRule>
  </conditionalFormatting>
  <conditionalFormatting sqref="AK51:AL51">
    <cfRule type="dataBar" priority="18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{5E8E8879-D064-4ED6-9A60-3C2FF4114979}</x14:id>
        </ext>
      </extLst>
    </cfRule>
  </conditionalFormatting>
  <conditionalFormatting sqref="AK56:AL56">
    <cfRule type="dataBar" priority="35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{71CC556B-F520-4C95-AB5E-F2A84A9B4FE6}</x14:id>
        </ext>
      </extLst>
    </cfRule>
  </conditionalFormatting>
  <conditionalFormatting sqref="AL20:AL26">
    <cfRule type="dataBar" priority="83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{4B7FDE0D-29CF-4797-B9F9-84190ECA4CC7}</x14:id>
        </ext>
      </extLst>
    </cfRule>
  </conditionalFormatting>
  <conditionalFormatting sqref="AL28">
    <cfRule type="dataBar" priority="62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{3C477569-D032-448B-988E-19DEFBBBA1BE}</x14:id>
        </ext>
      </extLst>
    </cfRule>
    <cfRule type="dataBar" priority="62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{D9EFF000-581C-4E91-BA61-74E1898FDDBD}</x14:id>
        </ext>
      </extLst>
    </cfRule>
    <cfRule type="dataBar" priority="6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{D1F08C62-F908-493E-9331-25CBD850F04C}</x14:id>
        </ext>
      </extLst>
    </cfRule>
  </conditionalFormatting>
  <conditionalFormatting sqref="AL29:AL32">
    <cfRule type="dataBar" priority="33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{475D33E8-259E-4D28-81E7-7F0834508945}</x14:id>
        </ext>
      </extLst>
    </cfRule>
    <cfRule type="dataBar" priority="336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{CFBFBFB2-E7BE-4158-A7A7-915D5C34A68E}</x14:id>
        </ext>
      </extLst>
    </cfRule>
    <cfRule type="dataBar" priority="33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{594A7B86-B239-483F-AB88-D3C80537237C}</x14:id>
        </ext>
      </extLst>
    </cfRule>
  </conditionalFormatting>
  <conditionalFormatting sqref="AL34">
    <cfRule type="dataBar" priority="55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{8E9DF35E-82C8-4B41-8954-840309D6FDF9}</x14:id>
        </ext>
      </extLst>
    </cfRule>
    <cfRule type="dataBar" priority="55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{96C04D29-5D82-4AE4-A31B-0266A2CF08E5}</x14:id>
        </ext>
      </extLst>
    </cfRule>
    <cfRule type="dataBar" priority="5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{1FD43675-569F-4BDB-B845-1E985E964353}</x14:id>
        </ext>
      </extLst>
    </cfRule>
  </conditionalFormatting>
  <conditionalFormatting sqref="AL35:AL39">
    <cfRule type="dataBar" priority="344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{CBF6EECD-8FD9-488B-B6D9-DF92B5378BD7}</x14:id>
        </ext>
      </extLst>
    </cfRule>
    <cfRule type="dataBar" priority="344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{8E0287A5-4067-498B-8CEC-9EA2F4F8FC3E}</x14:id>
        </ext>
      </extLst>
    </cfRule>
    <cfRule type="dataBar" priority="3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{1E7D04EA-4BDC-4BF2-909C-7094A4FDFD9E}</x14:id>
        </ext>
      </extLst>
    </cfRule>
    <cfRule type="dataBar" priority="34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{72A75D10-CC1D-4755-87E6-647D541BB78E}</x14:id>
        </ext>
      </extLst>
    </cfRule>
  </conditionalFormatting>
  <conditionalFormatting sqref="AL41">
    <cfRule type="dataBar" priority="50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{3DFCCEFE-7C39-4F8B-83D5-92C8ABBC3F4C}</x14:id>
        </ext>
      </extLst>
    </cfRule>
    <cfRule type="dataBar" priority="5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{7C9E3DEE-3F50-498C-B5D1-9D1DA215241D}</x14:id>
        </ext>
      </extLst>
    </cfRule>
    <cfRule type="dataBar" priority="5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{DB4DB4CA-58F5-4EE8-9C38-19AECB91146B}</x14:id>
        </ext>
      </extLst>
    </cfRule>
    <cfRule type="dataBar" priority="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{C4236104-04CC-4AA9-9CD8-ABBE43AB2A47}</x14:id>
        </ext>
      </extLst>
    </cfRule>
  </conditionalFormatting>
  <conditionalFormatting sqref="AL42:AL49">
    <cfRule type="dataBar" priority="355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{6B7C66A4-D6AD-43F3-9AFF-2288672AB6CD}</x14:id>
        </ext>
      </extLst>
    </cfRule>
    <cfRule type="dataBar" priority="355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{E6EF2A31-9DD6-427B-B5C4-43EDE8408EAF}</x14:id>
        </ext>
      </extLst>
    </cfRule>
    <cfRule type="dataBar" priority="355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{23EBC2E9-A463-4B4A-A6A5-12379D93AE2C}</x14:id>
        </ext>
      </extLst>
    </cfRule>
    <cfRule type="dataBar" priority="35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{DFEAAA04-73C1-4B86-9D7C-48CE4B6136C3}</x14:id>
        </ext>
      </extLst>
    </cfRule>
    <cfRule type="dataBar" priority="355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{1A294D07-41E0-47D0-9606-682FD0108CCC}</x14:id>
        </ext>
      </extLst>
    </cfRule>
  </conditionalFormatting>
  <conditionalFormatting sqref="AL51">
    <cfRule type="dataBar" priority="18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{F1680765-B772-4475-BDEF-8B416A48B3A8}</x14:id>
        </ext>
      </extLst>
    </cfRule>
    <cfRule type="dataBar" priority="18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{B26A84F3-F86C-4A3E-BDB5-2FF4CE13FFCF}</x14:id>
        </ext>
      </extLst>
    </cfRule>
    <cfRule type="dataBar" priority="1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{ADC3ED54-BF57-485C-A90D-FECF75E6F30D}</x14:id>
        </ext>
      </extLst>
    </cfRule>
  </conditionalFormatting>
  <conditionalFormatting sqref="AL52:AL54">
    <cfRule type="dataBar" priority="308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{C40D7750-9996-4601-8C11-8B75346C2FE7}</x14:id>
        </ext>
      </extLst>
    </cfRule>
    <cfRule type="dataBar" priority="309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{CF799804-7563-413A-B947-9FC70D626373}</x14:id>
        </ext>
      </extLst>
    </cfRule>
    <cfRule type="dataBar" priority="30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{61017421-2BE4-438C-8A2D-9595E7C215EB}</x14:id>
        </ext>
      </extLst>
    </cfRule>
    <cfRule type="dataBar" priority="309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{E5B80A43-E183-499D-B247-14E84910F337}</x14:id>
        </ext>
      </extLst>
    </cfRule>
  </conditionalFormatting>
  <conditionalFormatting sqref="AL56">
    <cfRule type="dataBar" priority="364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{E62B25F4-B32C-4152-8A80-E4D310C47D5B}</x14:id>
        </ext>
      </extLst>
    </cfRule>
    <cfRule type="dataBar" priority="36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{FE2B3116-F341-4373-9262-DC02D74F4FD4}</x14:id>
        </ext>
      </extLst>
    </cfRule>
    <cfRule type="dataBar" priority="36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{61BB9845-793A-48C7-832B-A4AF4E93A749}</x14:id>
        </ext>
      </extLst>
    </cfRule>
    <cfRule type="dataBar" priority="3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{1446FB6E-8E80-48F1-813A-4B7A0E64E1A8}</x14:id>
        </ext>
      </extLst>
    </cfRule>
  </conditionalFormatting>
  <conditionalFormatting sqref="AL57:AL58">
    <cfRule type="dataBar" priority="367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{C8C5A55D-BE7F-4501-98F6-3FF4923B9754}</x14:id>
        </ext>
      </extLst>
    </cfRule>
    <cfRule type="dataBar" priority="367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{D0E13DD1-CA56-4E31-BE49-5FADD87D0B0B}</x14:id>
        </ext>
      </extLst>
    </cfRule>
    <cfRule type="dataBar" priority="367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{DD273DAB-730D-412C-9619-D778FB6DFE34}</x14:id>
        </ext>
      </extLst>
    </cfRule>
    <cfRule type="dataBar" priority="367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{82AA5288-D8F1-4070-AF3D-278F46CA7D20}</x14:id>
        </ext>
      </extLst>
    </cfRule>
    <cfRule type="dataBar" priority="36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{07271AFD-86CB-4452-B9B2-9DDD482BB6BB}</x14:id>
        </ext>
      </extLst>
    </cfRule>
  </conditionalFormatting>
  <conditionalFormatting sqref="AO20:AO26">
    <cfRule type="dataBar" priority="82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{53860017-4017-4BBE-8960-6CCE01FECDC5}</x14:id>
        </ext>
      </extLst>
    </cfRule>
  </conditionalFormatting>
  <conditionalFormatting sqref="AO28">
    <cfRule type="dataBar" priority="63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{0499E96F-9EA4-46CF-9512-A6FB9EB6CFCE}</x14:id>
        </ext>
      </extLst>
    </cfRule>
    <cfRule type="dataBar" priority="63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{E0C41730-38B8-4909-90D7-556D4F782418}</x14:id>
        </ext>
      </extLst>
    </cfRule>
    <cfRule type="dataBar" priority="6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{24DA9DBC-DDE6-4927-9E72-F64CC0BC69F4}</x14:id>
        </ext>
      </extLst>
    </cfRule>
  </conditionalFormatting>
  <conditionalFormatting sqref="AO29:AO32">
    <cfRule type="dataBar" priority="336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{B5C4FCAE-F105-4871-AB43-6F60D59C4771}</x14:id>
        </ext>
      </extLst>
    </cfRule>
    <cfRule type="dataBar" priority="336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{048A2AC5-A308-496D-B156-1BD09E3E655C}</x14:id>
        </ext>
      </extLst>
    </cfRule>
    <cfRule type="dataBar" priority="33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{90C235D7-3867-4D70-A773-2837F496465C}</x14:id>
        </ext>
      </extLst>
    </cfRule>
  </conditionalFormatting>
  <conditionalFormatting sqref="AO34">
    <cfRule type="dataBar" priority="56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{7542BE26-F124-4ABB-A278-95F22EB60A1D}</x14:id>
        </ext>
      </extLst>
    </cfRule>
    <cfRule type="dataBar" priority="56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{26816E89-E680-4BA2-BE69-B8B086B4149C}</x14:id>
        </ext>
      </extLst>
    </cfRule>
    <cfRule type="dataBar" priority="5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{FDBF9F4C-F743-489F-8A17-3E280FE8ED47}</x14:id>
        </ext>
      </extLst>
    </cfRule>
  </conditionalFormatting>
  <conditionalFormatting sqref="AO35:AO39">
    <cfRule type="dataBar" priority="344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{D95F941B-76EB-4AB5-B715-DD0237400EBC}</x14:id>
        </ext>
      </extLst>
    </cfRule>
    <cfRule type="dataBar" priority="345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{142CFFCD-8EA8-4C80-AB5E-B3336FF759EB}</x14:id>
        </ext>
      </extLst>
    </cfRule>
    <cfRule type="dataBar" priority="3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{89BEEEED-F659-4241-A2AD-7F683F0C9762}</x14:id>
        </ext>
      </extLst>
    </cfRule>
    <cfRule type="dataBar" priority="345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{ACFD243F-603B-4575-B1C8-3502506C7F59}</x14:id>
        </ext>
      </extLst>
    </cfRule>
  </conditionalFormatting>
  <conditionalFormatting sqref="AO41">
    <cfRule type="dataBar" priority="3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{D868DF14-D927-4FB6-A4B3-0ECA7F2A6659}</x14:id>
        </ext>
      </extLst>
    </cfRule>
    <cfRule type="dataBar" priority="3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{B220E96E-3B83-4A5E-9E14-6F30CB0D5B49}</x14:id>
        </ext>
      </extLst>
    </cfRule>
    <cfRule type="dataBar" priority="3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{9373886A-4D81-414E-9D97-BEFB1DBE396F}</x14:id>
        </ext>
      </extLst>
    </cfRule>
    <cfRule type="dataBar" priority="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{2C793E61-EEDE-4BDD-ABDF-7FA6992E122C}</x14:id>
        </ext>
      </extLst>
    </cfRule>
  </conditionalFormatting>
  <conditionalFormatting sqref="AO42:AO49">
    <cfRule type="dataBar" priority="355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{0E5F2B66-15C3-439E-A436-3FAA35AA1CF2}</x14:id>
        </ext>
      </extLst>
    </cfRule>
    <cfRule type="dataBar" priority="355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{D824F293-F223-4AA4-A8C5-77306218CA08}</x14:id>
        </ext>
      </extLst>
    </cfRule>
    <cfRule type="dataBar" priority="355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{EE472377-F72F-4288-9C55-F9D2260ACC01}</x14:id>
        </ext>
      </extLst>
    </cfRule>
    <cfRule type="dataBar" priority="35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{D48D5072-8E14-4D54-9569-0ECF301159B5}</x14:id>
        </ext>
      </extLst>
    </cfRule>
    <cfRule type="dataBar" priority="356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{C73A8D19-A7E9-453D-ADFB-4B260B967D68}</x14:id>
        </ext>
      </extLst>
    </cfRule>
  </conditionalFormatting>
  <conditionalFormatting sqref="AO51">
    <cfRule type="dataBar" priority="18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{DEA5726D-6AC5-4D7A-A597-36A69DA0B5AC}</x14:id>
        </ext>
      </extLst>
    </cfRule>
    <cfRule type="dataBar" priority="19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{12BE403F-84D4-4193-824D-D70C4D5419D7}</x14:id>
        </ext>
      </extLst>
    </cfRule>
    <cfRule type="dataBar" priority="1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{60756892-E672-46F5-8509-D96EF57F153D}</x14:id>
        </ext>
      </extLst>
    </cfRule>
  </conditionalFormatting>
  <conditionalFormatting sqref="AO52:AO54">
    <cfRule type="dataBar" priority="309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{4BFDAEE8-D825-4B15-9E3E-CB0103F48BC7}</x14:id>
        </ext>
      </extLst>
    </cfRule>
    <cfRule type="dataBar" priority="309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{44CF73B1-A5E5-4AC6-AC2D-21333E424D20}</x14:id>
        </ext>
      </extLst>
    </cfRule>
    <cfRule type="dataBar" priority="30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{ECC770A1-4453-446F-AB0B-BAB59D68D330}</x14:id>
        </ext>
      </extLst>
    </cfRule>
    <cfRule type="dataBar" priority="309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{34AAAA0F-E8A9-4432-A57D-FBAE6133B7D7}</x14:id>
        </ext>
      </extLst>
    </cfRule>
  </conditionalFormatting>
  <conditionalFormatting sqref="AO56">
    <cfRule type="dataBar" priority="35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{A414247C-C5E8-4FAA-9539-A9ED65EA46AE}</x14:id>
        </ext>
      </extLst>
    </cfRule>
    <cfRule type="dataBar" priority="35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{16C45BE5-BF5B-4321-86EE-E95B79219030}</x14:id>
        </ext>
      </extLst>
    </cfRule>
    <cfRule type="dataBar" priority="35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{9BF01832-A0F7-4E2F-A781-C47B23E29526}</x14:id>
        </ext>
      </extLst>
    </cfRule>
    <cfRule type="dataBar" priority="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{A168E293-7288-4259-B747-24FF9C3CCE02}</x14:id>
        </ext>
      </extLst>
    </cfRule>
  </conditionalFormatting>
  <conditionalFormatting sqref="AO57:AO58">
    <cfRule type="dataBar" priority="367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{BB317B93-FEF1-4B1D-BC5B-84EECE952AE3}</x14:id>
        </ext>
      </extLst>
    </cfRule>
    <cfRule type="dataBar" priority="367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{C2A0F723-3AD8-49A1-AC48-30A110799365}</x14:id>
        </ext>
      </extLst>
    </cfRule>
    <cfRule type="dataBar" priority="367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{247617FA-6A72-455A-80F2-8FAC31B9218E}</x14:id>
        </ext>
      </extLst>
    </cfRule>
    <cfRule type="dataBar" priority="367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{BF8908E3-1D64-4A68-A035-06A288C06612}</x14:id>
        </ext>
      </extLst>
    </cfRule>
    <cfRule type="dataBar" priority="36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{7743115C-8278-4006-9E48-5C5CEAB06332}</x14:id>
        </ext>
      </extLst>
    </cfRule>
  </conditionalFormatting>
  <conditionalFormatting sqref="AO4:AP4">
    <cfRule type="dataBar" priority="126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{C5A17432-4ED3-4331-8692-D593F0314BC6}</x14:id>
        </ext>
      </extLst>
    </cfRule>
    <cfRule type="dataBar" priority="127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{4B75D942-20FB-462D-9A65-BD6FAB24D38F}</x14:id>
        </ext>
      </extLst>
    </cfRule>
  </conditionalFormatting>
  <conditionalFormatting sqref="AO19:AP19">
    <cfRule type="dataBar" priority="674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{56CA5C8B-0B80-479E-9920-5FEB5DCA2396}</x14:id>
        </ext>
      </extLst>
    </cfRule>
  </conditionalFormatting>
  <conditionalFormatting sqref="AO34:AP34">
    <cfRule type="dataBar" priority="5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{D144BF50-C9C9-47DF-991F-D188CAA5FAC9}</x14:id>
        </ext>
      </extLst>
    </cfRule>
  </conditionalFormatting>
  <conditionalFormatting sqref="AO41:AP41">
    <cfRule type="dataBar" priority="4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{ABA93F67-F64F-4523-AC88-65C982C0B933}</x14:id>
        </ext>
      </extLst>
    </cfRule>
  </conditionalFormatting>
  <conditionalFormatting sqref="AO51:AP51">
    <cfRule type="dataBar" priority="19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{EFEFD0FD-0615-43B2-BDC9-E3550EAA869B}</x14:id>
        </ext>
      </extLst>
    </cfRule>
  </conditionalFormatting>
  <conditionalFormatting sqref="AO56:AP56">
    <cfRule type="dataBar" priority="35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{DA556166-0D8D-4271-A769-62D51BF9C761}</x14:id>
        </ext>
      </extLst>
    </cfRule>
  </conditionalFormatting>
  <conditionalFormatting sqref="AP20:AP26">
    <cfRule type="dataBar" priority="82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{F125128A-A014-47FA-9E85-A193920498AC}</x14:id>
        </ext>
      </extLst>
    </cfRule>
  </conditionalFormatting>
  <conditionalFormatting sqref="AP28">
    <cfRule type="dataBar" priority="63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{0780725B-14B9-4030-BBF7-ACB5D63369C1}</x14:id>
        </ext>
      </extLst>
    </cfRule>
    <cfRule type="dataBar" priority="63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{B7BC4105-43D5-4F0E-A31C-9189C1123B63}</x14:id>
        </ext>
      </extLst>
    </cfRule>
    <cfRule type="dataBar" priority="6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{6E46974F-02B6-4CE8-9593-A63D9FFF2144}</x14:id>
        </ext>
      </extLst>
    </cfRule>
  </conditionalFormatting>
  <conditionalFormatting sqref="AP29:AP32">
    <cfRule type="dataBar" priority="336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{9B588C65-CAF3-408D-ABCA-A86BABADEE39}</x14:id>
        </ext>
      </extLst>
    </cfRule>
    <cfRule type="dataBar" priority="336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{3F7C431F-8D86-48FA-9CA3-2A7905BB9B1C}</x14:id>
        </ext>
      </extLst>
    </cfRule>
    <cfRule type="dataBar" priority="33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{E9499605-17B7-41BC-A946-C11AAC2940EC}</x14:id>
        </ext>
      </extLst>
    </cfRule>
  </conditionalFormatting>
  <conditionalFormatting sqref="AP34">
    <cfRule type="dataBar" priority="56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{366CA8C8-D88E-4519-8547-5859D36A77D1}</x14:id>
        </ext>
      </extLst>
    </cfRule>
    <cfRule type="dataBar" priority="56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{D4A1B9DB-B512-4EE5-8C97-047C510AB313}</x14:id>
        </ext>
      </extLst>
    </cfRule>
    <cfRule type="dataBar" priority="5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{CEBD5061-5BAE-4E4E-8CBC-B0E83795B709}</x14:id>
        </ext>
      </extLst>
    </cfRule>
  </conditionalFormatting>
  <conditionalFormatting sqref="AP35:AP39">
    <cfRule type="dataBar" priority="345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{792BD63F-C4F3-4FD4-9D09-7342CD407ADD}</x14:id>
        </ext>
      </extLst>
    </cfRule>
    <cfRule type="dataBar" priority="345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{12C00998-DBC6-42BB-9244-4A88A55026B3}</x14:id>
        </ext>
      </extLst>
    </cfRule>
    <cfRule type="dataBar" priority="3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{DC1323F5-478E-41B3-A92A-0F813861A017}</x14:id>
        </ext>
      </extLst>
    </cfRule>
    <cfRule type="dataBar" priority="345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{15C0A9DC-C8AE-489A-BC7D-F840209C9B27}</x14:id>
        </ext>
      </extLst>
    </cfRule>
  </conditionalFormatting>
  <conditionalFormatting sqref="AP41">
    <cfRule type="dataBar" priority="4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{144BFABA-343E-4FD5-BBD7-EC9F8D53F399}</x14:id>
        </ext>
      </extLst>
    </cfRule>
    <cfRule type="dataBar" priority="4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{6F58331F-5FAB-4D98-8AFC-3F52F7D2318A}</x14:id>
        </ext>
      </extLst>
    </cfRule>
    <cfRule type="dataBar" priority="4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{DB53849D-C60B-4E6F-A359-5D478237388C}</x14:id>
        </ext>
      </extLst>
    </cfRule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{4DD2F51D-1B49-4FD8-B811-3E4B56FAE06F}</x14:id>
        </ext>
      </extLst>
    </cfRule>
  </conditionalFormatting>
  <conditionalFormatting sqref="AP42:AP49">
    <cfRule type="dataBar" priority="356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{CDFDE145-5077-4A8B-A099-20A70821D6A0}</x14:id>
        </ext>
      </extLst>
    </cfRule>
    <cfRule type="dataBar" priority="356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{CCE823DD-3659-443B-B49F-9EB1CADAA0FD}</x14:id>
        </ext>
      </extLst>
    </cfRule>
    <cfRule type="dataBar" priority="356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{E75C6EFC-0472-4A50-843C-461A965969B1}</x14:id>
        </ext>
      </extLst>
    </cfRule>
    <cfRule type="dataBar" priority="35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{26AEDEC0-B8C0-4A9B-BE8E-5398373D1AE6}</x14:id>
        </ext>
      </extLst>
    </cfRule>
    <cfRule type="dataBar" priority="356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{2F7673F9-1F96-464C-8B0F-2CC225491675}</x14:id>
        </ext>
      </extLst>
    </cfRule>
  </conditionalFormatting>
  <conditionalFormatting sqref="AP51">
    <cfRule type="dataBar" priority="19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{91EE47F5-9F88-4D28-82E8-120FAE3B0894}</x14:id>
        </ext>
      </extLst>
    </cfRule>
    <cfRule type="dataBar" priority="19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{480DD60B-CA1F-491A-820E-CAB4125C9736}</x14:id>
        </ext>
      </extLst>
    </cfRule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{04ED4BE0-815B-4082-9B67-AB57F8B0A882}</x14:id>
        </ext>
      </extLst>
    </cfRule>
  </conditionalFormatting>
  <conditionalFormatting sqref="AP52:AP54">
    <cfRule type="dataBar" priority="309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{20470604-1349-4163-B381-42E99B1F23CA}</x14:id>
        </ext>
      </extLst>
    </cfRule>
    <cfRule type="dataBar" priority="309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{C20A058F-4878-4885-B7EC-541FA0CEFB29}</x14:id>
        </ext>
      </extLst>
    </cfRule>
    <cfRule type="dataBar" priority="30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{A8A491C3-6B87-4BB5-B1BE-DF5FDFD66897}</x14:id>
        </ext>
      </extLst>
    </cfRule>
    <cfRule type="dataBar" priority="310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{4FC2ACB3-26DF-4095-B312-FB1E120A6E4E}</x14:id>
        </ext>
      </extLst>
    </cfRule>
  </conditionalFormatting>
  <conditionalFormatting sqref="AP56">
    <cfRule type="dataBar" priority="355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{9D685E51-971F-49D4-98D7-1C404E03138E}</x14:id>
        </ext>
      </extLst>
    </cfRule>
    <cfRule type="dataBar" priority="35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{C75CBB74-1423-4CF3-A18D-7773E6444E5C}</x14:id>
        </ext>
      </extLst>
    </cfRule>
    <cfRule type="dataBar" priority="35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{3EA81BDB-7D1B-46F6-9CF2-0C4FF6149E6C}</x14:id>
        </ext>
      </extLst>
    </cfRule>
    <cfRule type="dataBar" priority="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{BAA5E30E-9A28-4A10-B4B4-2218A5E9F6A6}</x14:id>
        </ext>
      </extLst>
    </cfRule>
  </conditionalFormatting>
  <conditionalFormatting sqref="AP57:AP58">
    <cfRule type="dataBar" priority="368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{072A7028-DC00-4910-A6F3-5F57734C0F3E}</x14:id>
        </ext>
      </extLst>
    </cfRule>
    <cfRule type="dataBar" priority="368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{02DDD6EF-504E-48EF-913C-A3724B8121CF}</x14:id>
        </ext>
      </extLst>
    </cfRule>
    <cfRule type="dataBar" priority="368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{A0C14376-8C6F-4ED8-B4E8-75DF537DE82A}</x14:id>
        </ext>
      </extLst>
    </cfRule>
    <cfRule type="dataBar" priority="368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{58A54300-D156-4BB2-BC45-1CDCB005FF7E}</x14:id>
        </ext>
      </extLst>
    </cfRule>
    <cfRule type="dataBar" priority="36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{1B2440E2-410C-4DA6-A199-A10762D27EC8}</x14:id>
        </ext>
      </extLst>
    </cfRule>
  </conditionalFormatting>
  <conditionalFormatting sqref="AS20:AS26">
    <cfRule type="dataBar" priority="82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{597614F8-5401-4F82-A0EC-74931C615104}</x14:id>
        </ext>
      </extLst>
    </cfRule>
  </conditionalFormatting>
  <conditionalFormatting sqref="AS28">
    <cfRule type="dataBar" priority="63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{725ECAFF-D3C2-4950-A927-31DE8EAC0256}</x14:id>
        </ext>
      </extLst>
    </cfRule>
    <cfRule type="dataBar" priority="63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{98CA3BEE-2B0A-40DA-A842-E4C2B0A9FD07}</x14:id>
        </ext>
      </extLst>
    </cfRule>
    <cfRule type="dataBar" priority="6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{457E0F2B-DE51-4342-9DE3-1889629A36F4}</x14:id>
        </ext>
      </extLst>
    </cfRule>
  </conditionalFormatting>
  <conditionalFormatting sqref="AS29:AS32">
    <cfRule type="dataBar" priority="336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{5968BD65-8940-4C94-9396-E2A0EE1077FE}</x14:id>
        </ext>
      </extLst>
    </cfRule>
    <cfRule type="dataBar" priority="337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{389BBEC4-5F09-4EA2-90F2-506EEE92B500}</x14:id>
        </ext>
      </extLst>
    </cfRule>
    <cfRule type="dataBar" priority="33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{1C5B5187-A978-48E8-BE0F-C10C2D9260D0}</x14:id>
        </ext>
      </extLst>
    </cfRule>
  </conditionalFormatting>
  <conditionalFormatting sqref="AS34">
    <cfRule type="dataBar" priority="56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{CBF1F0F8-3871-46D6-A0A0-54B2241889B7}</x14:id>
        </ext>
      </extLst>
    </cfRule>
    <cfRule type="dataBar" priority="56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{A3159D37-627B-485C-9FCA-C5C657952ED7}</x14:id>
        </ext>
      </extLst>
    </cfRule>
    <cfRule type="dataBar" priority="5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{DF21E657-BB6D-4E92-952A-D2A281C22C68}</x14:id>
        </ext>
      </extLst>
    </cfRule>
  </conditionalFormatting>
  <conditionalFormatting sqref="AS35:AS39">
    <cfRule type="dataBar" priority="345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{E4E9B835-D858-4476-A32F-D76DAFDF7315}</x14:id>
        </ext>
      </extLst>
    </cfRule>
    <cfRule type="dataBar" priority="345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{78458463-3D49-4821-9384-E68040AC2814}</x14:id>
        </ext>
      </extLst>
    </cfRule>
    <cfRule type="dataBar" priority="3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{AAEEB2D7-EC63-4811-8459-32A28447DB13}</x14:id>
        </ext>
      </extLst>
    </cfRule>
    <cfRule type="dataBar" priority="34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{BB320F5E-0BB5-4654-B234-26E78739DB2F}</x14:id>
        </ext>
      </extLst>
    </cfRule>
  </conditionalFormatting>
  <conditionalFormatting sqref="AS41">
    <cfRule type="dataBar" priority="28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{B17547DE-59C1-4413-B696-9F1DED06A70F}</x14:id>
        </ext>
      </extLst>
    </cfRule>
    <cfRule type="dataBar" priority="2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{63910983-6C9C-44D9-8772-D0D15B48053B}</x14:id>
        </ext>
      </extLst>
    </cfRule>
    <cfRule type="dataBar" priority="3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{1B73EB72-7E22-4FE0-9210-CED8BCE20759}</x14:id>
        </ext>
      </extLst>
    </cfRule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{AC33D639-A27A-4023-A2EE-580433817618}</x14:id>
        </ext>
      </extLst>
    </cfRule>
  </conditionalFormatting>
  <conditionalFormatting sqref="AS42:AS49">
    <cfRule type="dataBar" priority="356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{9D5B901F-9088-4A46-9EDA-B9640481650E}</x14:id>
        </ext>
      </extLst>
    </cfRule>
    <cfRule type="dataBar" priority="356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{C4503CF4-F88F-4B9D-B1D9-87CA08A6140F}</x14:id>
        </ext>
      </extLst>
    </cfRule>
    <cfRule type="dataBar" priority="356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{ACF304DB-D7CD-402B-8ED7-08ABE3F52C71}</x14:id>
        </ext>
      </extLst>
    </cfRule>
    <cfRule type="dataBar" priority="35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{5B0BDED9-1570-4E33-B829-0DE59D6D7664}</x14:id>
        </ext>
      </extLst>
    </cfRule>
    <cfRule type="dataBar" priority="357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{CE7F0A42-23C7-436E-BBF7-F1EF7F951C77}</x14:id>
        </ext>
      </extLst>
    </cfRule>
  </conditionalFormatting>
  <conditionalFormatting sqref="AS51">
    <cfRule type="dataBar" priority="19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{60031AE3-C013-4F4D-8054-236603CD896D}</x14:id>
        </ext>
      </extLst>
    </cfRule>
    <cfRule type="dataBar" priority="19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{8F09FC1C-EF7C-4674-AA5B-DC1EF1BF2909}</x14:id>
        </ext>
      </extLst>
    </cfRule>
    <cfRule type="dataBar" priority="1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{D993F393-A3DF-4B33-877D-B7AEDDF79961}</x14:id>
        </ext>
      </extLst>
    </cfRule>
  </conditionalFormatting>
  <conditionalFormatting sqref="AS52:AS54">
    <cfRule type="dataBar" priority="310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{CA506E6D-07AE-4934-9E4B-4BC795EAE28C}</x14:id>
        </ext>
      </extLst>
    </cfRule>
    <cfRule type="dataBar" priority="310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{FACE36CC-4A97-4C80-89E5-87EF3E427121}</x14:id>
        </ext>
      </extLst>
    </cfRule>
    <cfRule type="dataBar" priority="31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{EC943EA3-115F-49F2-BE7A-1B718E4FCC3D}</x14:id>
        </ext>
      </extLst>
    </cfRule>
    <cfRule type="dataBar" priority="310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{555EC301-1BC6-4AF3-A073-5F20479FCF9B}</x14:id>
        </ext>
      </extLst>
    </cfRule>
  </conditionalFormatting>
  <conditionalFormatting sqref="AS56">
    <cfRule type="dataBar" priority="34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{FFCCD0E3-2D40-478B-93FA-57F8783B6DE2}</x14:id>
        </ext>
      </extLst>
    </cfRule>
    <cfRule type="dataBar" priority="34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{5FF51D05-4DA3-4BB1-B791-CB405A820FBF}</x14:id>
        </ext>
      </extLst>
    </cfRule>
    <cfRule type="dataBar" priority="34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{E5B49F8A-9AA7-4AF1-86C6-0F942659F0E4}</x14:id>
        </ext>
      </extLst>
    </cfRule>
    <cfRule type="dataBar" priority="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{CDBC48A0-67CB-4C5A-89AD-129D7F617ED4}</x14:id>
        </ext>
      </extLst>
    </cfRule>
  </conditionalFormatting>
  <conditionalFormatting sqref="AS57:AS58">
    <cfRule type="dataBar" priority="368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{570BE433-A2A2-45B7-BF22-8AB78CF618D2}</x14:id>
        </ext>
      </extLst>
    </cfRule>
    <cfRule type="dataBar" priority="368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{B6C2F793-F047-46E5-B7CE-AB86F1047958}</x14:id>
        </ext>
      </extLst>
    </cfRule>
    <cfRule type="dataBar" priority="368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{76B006EE-7B07-44FD-833E-CCDAD3EF316C}</x14:id>
        </ext>
      </extLst>
    </cfRule>
    <cfRule type="dataBar" priority="368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{E21C22B8-648F-4DAE-8A8A-114DD67DB9F7}</x14:id>
        </ext>
      </extLst>
    </cfRule>
    <cfRule type="dataBar" priority="36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{87C94F6F-47C8-4512-95C7-764E86E437B5}</x14:id>
        </ext>
      </extLst>
    </cfRule>
  </conditionalFormatting>
  <conditionalFormatting sqref="AS4:AT4">
    <cfRule type="dataBar" priority="124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{6A96AE9D-AB78-418A-A02D-536A0152EA0D}</x14:id>
        </ext>
      </extLst>
    </cfRule>
    <cfRule type="dataBar" priority="125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{DAE6ABCA-8D6D-4BCD-A46A-DAC0FA6F484C}</x14:id>
        </ext>
      </extLst>
    </cfRule>
  </conditionalFormatting>
  <conditionalFormatting sqref="AS19:AT19">
    <cfRule type="dataBar" priority="673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{9A983D44-E45C-4238-B59E-A533574B3C9D}</x14:id>
        </ext>
      </extLst>
    </cfRule>
  </conditionalFormatting>
  <conditionalFormatting sqref="AS34:AT34">
    <cfRule type="dataBar" priority="57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{96C086AD-B9C0-4D95-A70E-A8E3E9C9C8B2}</x14:id>
        </ext>
      </extLst>
    </cfRule>
  </conditionalFormatting>
  <conditionalFormatting sqref="AS41:AT41">
    <cfRule type="dataBar" priority="3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{2E2D0165-B110-4440-941E-97C07B386594}</x14:id>
        </ext>
      </extLst>
    </cfRule>
  </conditionalFormatting>
  <conditionalFormatting sqref="AS51:AT51">
    <cfRule type="dataBar" priority="20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{618C1C1B-EC25-4E34-8FA5-8E3B7B739E66}</x14:id>
        </ext>
      </extLst>
    </cfRule>
  </conditionalFormatting>
  <conditionalFormatting sqref="AS56:AT56">
    <cfRule type="dataBar" priority="34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{515787B9-30FF-4082-AAF0-2488EFDB8690}</x14:id>
        </ext>
      </extLst>
    </cfRule>
  </conditionalFormatting>
  <conditionalFormatting sqref="AT20:AT26">
    <cfRule type="dataBar" priority="82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{224F0761-0435-4CDD-A688-24DC48192089}</x14:id>
        </ext>
      </extLst>
    </cfRule>
  </conditionalFormatting>
  <conditionalFormatting sqref="AT28">
    <cfRule type="dataBar" priority="63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{2BE67E6D-A772-4834-8DE4-826385838541}</x14:id>
        </ext>
      </extLst>
    </cfRule>
    <cfRule type="dataBar" priority="64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{F1163004-39D2-4E19-B699-BCA51E6F6060}</x14:id>
        </ext>
      </extLst>
    </cfRule>
    <cfRule type="dataBar" priority="6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{16FE3BB1-F70F-4C12-973E-6FD6D934F637}</x14:id>
        </ext>
      </extLst>
    </cfRule>
  </conditionalFormatting>
  <conditionalFormatting sqref="AT29:AT32">
    <cfRule type="dataBar" priority="337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{DE2D6436-F658-40FA-9B40-D8A77EB1E52E}</x14:id>
        </ext>
      </extLst>
    </cfRule>
    <cfRule type="dataBar" priority="337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{BFA04A6E-B10B-4580-85DC-250520EF4BF2}</x14:id>
        </ext>
      </extLst>
    </cfRule>
    <cfRule type="dataBar" priority="33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{64FD479A-BAEF-43B8-8902-75AE96905901}</x14:id>
        </ext>
      </extLst>
    </cfRule>
  </conditionalFormatting>
  <conditionalFormatting sqref="AT34">
    <cfRule type="dataBar" priority="57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{70BEEA7D-ACFD-4638-BE45-ED1700C7F74D}</x14:id>
        </ext>
      </extLst>
    </cfRule>
    <cfRule type="dataBar" priority="57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{E7F77CB6-4639-4B9F-9448-C192CA68BA11}</x14:id>
        </ext>
      </extLst>
    </cfRule>
    <cfRule type="dataBar" priority="5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{EA7B2B5D-813A-4760-AC10-6AC040FE7AAF}</x14:id>
        </ext>
      </extLst>
    </cfRule>
  </conditionalFormatting>
  <conditionalFormatting sqref="AT35:AT39">
    <cfRule type="dataBar" priority="346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{E93AE3DD-567B-4217-8F09-EEE2D8812C9F}</x14:id>
        </ext>
      </extLst>
    </cfRule>
    <cfRule type="dataBar" priority="346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{41DCDB71-C44E-4846-928D-D42F361FA3CE}</x14:id>
        </ext>
      </extLst>
    </cfRule>
    <cfRule type="dataBar" priority="3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{36283ABA-2849-41E9-AB41-03E10FD552C5}</x14:id>
        </ext>
      </extLst>
    </cfRule>
    <cfRule type="dataBar" priority="34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{F3D574A6-C790-4069-9492-F7F00C934731}</x14:id>
        </ext>
      </extLst>
    </cfRule>
  </conditionalFormatting>
  <conditionalFormatting sqref="AT41">
    <cfRule type="dataBar" priority="3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{438002F0-099B-48E9-A706-8CFFC9A1FB19}</x14:id>
        </ext>
      </extLst>
    </cfRule>
    <cfRule type="dataBar" priority="3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{9C1BA55F-4AE7-435E-B61F-C0A81C9DBB65}</x14:id>
        </ext>
      </extLst>
    </cfRule>
    <cfRule type="dataBar" priority="3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{1F1903BD-6065-4FCD-BB24-0DC7214E46BE}</x14:id>
        </ext>
      </extLst>
    </cfRule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{0EC89ADB-903D-4BEE-AA68-23D14CB3B0DB}</x14:id>
        </ext>
      </extLst>
    </cfRule>
  </conditionalFormatting>
  <conditionalFormatting sqref="AT42:AT49">
    <cfRule type="dataBar" priority="357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{B556AEBB-AD29-44C4-842C-C55304EB7B46}</x14:id>
        </ext>
      </extLst>
    </cfRule>
    <cfRule type="dataBar" priority="357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{0B112B8B-6994-4E75-B674-9E6316CCCD6A}</x14:id>
        </ext>
      </extLst>
    </cfRule>
    <cfRule type="dataBar" priority="357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{3ED5EA8E-1712-472C-9DFF-1C49DBA79B92}</x14:id>
        </ext>
      </extLst>
    </cfRule>
    <cfRule type="dataBar" priority="35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{8E43A288-D276-4E1F-BB50-101026191B7E}</x14:id>
        </ext>
      </extLst>
    </cfRule>
    <cfRule type="dataBar" priority="357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{70B2DBAA-023A-42B0-A51B-67CFC4520BB9}</x14:id>
        </ext>
      </extLst>
    </cfRule>
  </conditionalFormatting>
  <conditionalFormatting sqref="AT51">
    <cfRule type="dataBar" priority="19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{BECD325E-3812-4320-984A-D92238ACCEE6}</x14:id>
        </ext>
      </extLst>
    </cfRule>
    <cfRule type="dataBar" priority="20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{CF5B7CF8-EA69-4C41-9EEC-43F61C75453D}</x14:id>
        </ext>
      </extLst>
    </cfRule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{780A50ED-8372-4CFF-B936-BD34095388C6}</x14:id>
        </ext>
      </extLst>
    </cfRule>
  </conditionalFormatting>
  <conditionalFormatting sqref="AT52:AT54">
    <cfRule type="dataBar" priority="310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{E7B6D4B0-FE1A-4387-BD86-DCEA50EAEF08}</x14:id>
        </ext>
      </extLst>
    </cfRule>
    <cfRule type="dataBar" priority="310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{44D947AF-609A-413E-BEA0-30CE0D388E25}</x14:id>
        </ext>
      </extLst>
    </cfRule>
    <cfRule type="dataBar" priority="31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{3866998E-36AC-44D5-8E19-152D597923C4}</x14:id>
        </ext>
      </extLst>
    </cfRule>
    <cfRule type="dataBar" priority="310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{9A5D6880-A290-4E32-9F60-0013AB4B698E}</x14:id>
        </ext>
      </extLst>
    </cfRule>
  </conditionalFormatting>
  <conditionalFormatting sqref="AT56">
    <cfRule type="dataBar" priority="34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{DDAA835C-64CB-45E2-8B9D-6742688F2A6E}</x14:id>
        </ext>
      </extLst>
    </cfRule>
    <cfRule type="dataBar" priority="34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{2266F2C5-91DB-48D1-9309-17FA5323D6C6}</x14:id>
        </ext>
      </extLst>
    </cfRule>
    <cfRule type="dataBar" priority="34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{7722C452-C1A5-4AF9-BAA8-461C82F39D71}</x14:id>
        </ext>
      </extLst>
    </cfRule>
    <cfRule type="dataBar" priority="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{9A1ADB14-B442-4CC6-BB9E-EC6CCF92CE04}</x14:id>
        </ext>
      </extLst>
    </cfRule>
  </conditionalFormatting>
  <conditionalFormatting sqref="AT57:AT58">
    <cfRule type="dataBar" priority="369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{A26195B4-40A1-48BF-AE1F-62A8BAA9BD55}</x14:id>
        </ext>
      </extLst>
    </cfRule>
    <cfRule type="dataBar" priority="369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{B8916DD2-97CC-4281-8C43-CB21EBEC79D4}</x14:id>
        </ext>
      </extLst>
    </cfRule>
    <cfRule type="dataBar" priority="369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{FFBDCAAD-9EE3-44F7-8390-045CD88C2082}</x14:id>
        </ext>
      </extLst>
    </cfRule>
    <cfRule type="dataBar" priority="369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{4011ED58-1E3B-49DA-B979-5207A4C7BAFE}</x14:id>
        </ext>
      </extLst>
    </cfRule>
    <cfRule type="dataBar" priority="36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{8034DA42-CCC1-4111-BECA-E04D137B4CCA}</x14:id>
        </ext>
      </extLst>
    </cfRule>
  </conditionalFormatting>
  <conditionalFormatting sqref="AW20:AW26">
    <cfRule type="dataBar" priority="82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{B6F38FD7-CA86-4591-917A-BF5F6BB5507D}</x14:id>
        </ext>
      </extLst>
    </cfRule>
  </conditionalFormatting>
  <conditionalFormatting sqref="AW28">
    <cfRule type="dataBar" priority="64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{D5B1A607-28A7-4626-81DB-77A033B8B14F}</x14:id>
        </ext>
      </extLst>
    </cfRule>
    <cfRule type="dataBar" priority="64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{75885125-1229-474D-86EF-0E6BDF1C3C57}</x14:id>
        </ext>
      </extLst>
    </cfRule>
    <cfRule type="dataBar" priority="6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{2ED65014-93D5-4A9F-B9BA-8BC0D76638C2}</x14:id>
        </ext>
      </extLst>
    </cfRule>
  </conditionalFormatting>
  <conditionalFormatting sqref="AW29:AW32">
    <cfRule type="dataBar" priority="337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{217BFF37-51F7-4501-A1D1-B1467E3BD6CB}</x14:id>
        </ext>
      </extLst>
    </cfRule>
    <cfRule type="dataBar" priority="337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{9A9204A4-E16D-4DB4-8788-7ED7FA9D3C3D}</x14:id>
        </ext>
      </extLst>
    </cfRule>
    <cfRule type="dataBar" priority="33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{5E0E341F-FD2E-432C-92AE-1A08EF7AA4FB}</x14:id>
        </ext>
      </extLst>
    </cfRule>
  </conditionalFormatting>
  <conditionalFormatting sqref="AW34">
    <cfRule type="dataBar" priority="57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{0EF42D3B-E1C7-4073-A143-9A8D349F660E}</x14:id>
        </ext>
      </extLst>
    </cfRule>
    <cfRule type="dataBar" priority="57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{A22DCF30-A2C2-4F02-B66A-5890A8D7953D}</x14:id>
        </ext>
      </extLst>
    </cfRule>
    <cfRule type="dataBar" priority="5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{0688887D-095F-4154-9DB3-53E075636A2D}</x14:id>
        </ext>
      </extLst>
    </cfRule>
  </conditionalFormatting>
  <conditionalFormatting sqref="AW35:AW39">
    <cfRule type="dataBar" priority="346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{54BA52FF-8A65-4EEA-8AC8-663FC4F55DF7}</x14:id>
        </ext>
      </extLst>
    </cfRule>
    <cfRule type="dataBar" priority="346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{D453F524-5F2B-4FFA-BD33-6410C9B45A3A}</x14:id>
        </ext>
      </extLst>
    </cfRule>
    <cfRule type="dataBar" priority="3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{22337154-A2A3-4F09-AB36-7C71722C354A}</x14:id>
        </ext>
      </extLst>
    </cfRule>
    <cfRule type="dataBar" priority="34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{06154C12-2B4D-4A3C-849F-14417052B914}</x14:id>
        </ext>
      </extLst>
    </cfRule>
  </conditionalFormatting>
  <conditionalFormatting sqref="AW41">
    <cfRule type="dataBar" priority="19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{700A48D6-CD84-49C5-9C64-FA95F6FA9AEE}</x14:id>
        </ext>
      </extLst>
    </cfRule>
    <cfRule type="dataBar" priority="2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{7867E870-27A0-46FE-81C7-2F4B260BF5BA}</x14:id>
        </ext>
      </extLst>
    </cfRule>
    <cfRule type="dataBar" priority="2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{E17CF601-50EE-45FD-A155-08F99C52BC61}</x14:id>
        </ext>
      </extLst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{50C9ACB5-4B0A-45A0-A536-CFD005533312}</x14:id>
        </ext>
      </extLst>
    </cfRule>
  </conditionalFormatting>
  <conditionalFormatting sqref="AW42:AW49">
    <cfRule type="dataBar" priority="357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{2E0FC22A-A6A8-411C-A8F4-A4CCF27A96F4}</x14:id>
        </ext>
      </extLst>
    </cfRule>
    <cfRule type="dataBar" priority="357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{EA229FFE-4171-48DC-98DE-53CF6836E3B7}</x14:id>
        </ext>
      </extLst>
    </cfRule>
    <cfRule type="dataBar" priority="357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{6E735234-2C3E-4394-A4C1-A954CE143727}</x14:id>
        </ext>
      </extLst>
    </cfRule>
    <cfRule type="dataBar" priority="35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{978CACC0-DE7A-4434-86AE-D4E446329A2E}</x14:id>
        </ext>
      </extLst>
    </cfRule>
    <cfRule type="dataBar" priority="358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{06C3E252-D3B3-49AA-8B0C-F94C9DCC616E}</x14:id>
        </ext>
      </extLst>
    </cfRule>
  </conditionalFormatting>
  <conditionalFormatting sqref="AW51">
    <cfRule type="dataBar" priority="20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{AEB266DA-B5CB-46E1-AAAB-9D9F85CA3136}</x14:id>
        </ext>
      </extLst>
    </cfRule>
    <cfRule type="dataBar" priority="20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{ED96D59A-5F93-4648-8C23-A31B3BE70E1E}</x14:id>
        </ext>
      </extLst>
    </cfRule>
    <cfRule type="dataBar" priority="2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{F931CAE0-E470-4AB3-A065-65B418E0FC21}</x14:id>
        </ext>
      </extLst>
    </cfRule>
  </conditionalFormatting>
  <conditionalFormatting sqref="AW52:AW54">
    <cfRule type="dataBar" priority="310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{6E8D8E5A-A312-4C14-ACF1-3DA82B19B773}</x14:id>
        </ext>
      </extLst>
    </cfRule>
    <cfRule type="dataBar" priority="311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{29D35A8F-F8DA-4398-B9DD-ED16DBC1C66B}</x14:id>
        </ext>
      </extLst>
    </cfRule>
    <cfRule type="dataBar" priority="31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{645F34AE-27CF-4F54-AF50-994BF026E8D0}</x14:id>
        </ext>
      </extLst>
    </cfRule>
    <cfRule type="dataBar" priority="31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{14EC97B5-AD99-4877-9987-828C1319C2EB}</x14:id>
        </ext>
      </extLst>
    </cfRule>
  </conditionalFormatting>
  <conditionalFormatting sqref="AW56">
    <cfRule type="dataBar" priority="333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{BE172B08-7F5D-49CB-90CF-90DA97840EBF}</x14:id>
        </ext>
      </extLst>
    </cfRule>
    <cfRule type="dataBar" priority="33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{93D8D610-CE0C-4BB7-A3AC-02854FE41A4B}</x14:id>
        </ext>
      </extLst>
    </cfRule>
    <cfRule type="dataBar" priority="33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{8F793501-7F30-4ACA-8746-4B5851A252EF}</x14:id>
        </ext>
      </extLst>
    </cfRule>
    <cfRule type="dataBar" priority="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{D08F3681-5CB1-4121-BA74-C2D424461939}</x14:id>
        </ext>
      </extLst>
    </cfRule>
  </conditionalFormatting>
  <conditionalFormatting sqref="AW57:AW58">
    <cfRule type="dataBar" priority="369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{9013D122-BE5B-4307-91A9-EE7246F19EDF}</x14:id>
        </ext>
      </extLst>
    </cfRule>
    <cfRule type="dataBar" priority="369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{469431F6-CCBD-4DE6-85DC-4FDC44A7377B}</x14:id>
        </ext>
      </extLst>
    </cfRule>
    <cfRule type="dataBar" priority="369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{D7534E88-3B35-4D5F-B803-EFCD0064C3A6}</x14:id>
        </ext>
      </extLst>
    </cfRule>
    <cfRule type="dataBar" priority="369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{0DABDC52-9DBE-494F-8B4B-12F9E0BCFCF4}</x14:id>
        </ext>
      </extLst>
    </cfRule>
    <cfRule type="dataBar" priority="36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{7A10E8F7-B9CF-4FFC-BB6F-ED5E98DF50E1}</x14:id>
        </ext>
      </extLst>
    </cfRule>
  </conditionalFormatting>
  <conditionalFormatting sqref="AW4:AX4">
    <cfRule type="dataBar" priority="122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{D35D0FC6-DE99-4EBE-818A-EE1A13F8D62D}</x14:id>
        </ext>
      </extLst>
    </cfRule>
    <cfRule type="dataBar" priority="123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{E1913DE7-E132-4010-AE60-64B6F01A7877}</x14:id>
        </ext>
      </extLst>
    </cfRule>
  </conditionalFormatting>
  <conditionalFormatting sqref="AW19:AX19">
    <cfRule type="dataBar" priority="66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{20C7E4E1-0F8A-46E1-9229-CABD06F05A9D}</x14:id>
        </ext>
      </extLst>
    </cfRule>
  </conditionalFormatting>
  <conditionalFormatting sqref="AW34:AX34">
    <cfRule type="dataBar" priority="58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{C080D20C-3339-4859-B643-85A2735E9065}</x14:id>
        </ext>
      </extLst>
    </cfRule>
  </conditionalFormatting>
  <conditionalFormatting sqref="AW41:AX41">
    <cfRule type="dataBar" priority="2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{F761B895-85D8-4CB2-8CA7-8C38E47EE3FF}</x14:id>
        </ext>
      </extLst>
    </cfRule>
  </conditionalFormatting>
  <conditionalFormatting sqref="AW51:AX51">
    <cfRule type="dataBar" priority="20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{A4454D35-12D0-4BA7-B395-3E35E1A0EE60}</x14:id>
        </ext>
      </extLst>
    </cfRule>
  </conditionalFormatting>
  <conditionalFormatting sqref="AW56:AX56">
    <cfRule type="dataBar" priority="33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{02F4B336-C235-4F30-A378-9915394C57A7}</x14:id>
        </ext>
      </extLst>
    </cfRule>
  </conditionalFormatting>
  <conditionalFormatting sqref="AX20:AX26">
    <cfRule type="dataBar" priority="82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{830017AE-3F88-42C3-B6BB-F64B37BF6A5E}</x14:id>
        </ext>
      </extLst>
    </cfRule>
  </conditionalFormatting>
  <conditionalFormatting sqref="AX28">
    <cfRule type="dataBar" priority="64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{FE5FBEE5-56D6-472E-8C8E-A79480A5BB6D}</x14:id>
        </ext>
      </extLst>
    </cfRule>
    <cfRule type="dataBar" priority="64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{8ADB272D-E60D-45A6-BC40-0ED3CF99EB8D}</x14:id>
        </ext>
      </extLst>
    </cfRule>
    <cfRule type="dataBar" priority="6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{2269F4D2-BADD-4401-9386-CF0092BCC5B8}</x14:id>
        </ext>
      </extLst>
    </cfRule>
  </conditionalFormatting>
  <conditionalFormatting sqref="AX29:AX32">
    <cfRule type="dataBar" priority="337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{F60DE160-7589-43A2-986F-DB065687081E}</x14:id>
        </ext>
      </extLst>
    </cfRule>
    <cfRule type="dataBar" priority="337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{62DBDB34-D8C8-4EF1-BC69-3F4AC5EDCE7C}</x14:id>
        </ext>
      </extLst>
    </cfRule>
    <cfRule type="dataBar" priority="3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{A20211E1-5319-4614-976C-932DF24445B4}</x14:id>
        </ext>
      </extLst>
    </cfRule>
  </conditionalFormatting>
  <conditionalFormatting sqref="AX34">
    <cfRule type="dataBar" priority="57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{3F01AA97-626F-4FC9-9536-70E6454881FC}</x14:id>
        </ext>
      </extLst>
    </cfRule>
    <cfRule type="dataBar" priority="57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{D36D7C1A-3B86-47A5-8B8C-987C00CCEA74}</x14:id>
        </ext>
      </extLst>
    </cfRule>
    <cfRule type="dataBar" priority="5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{011C0C87-5E61-4007-8610-E909AE9E8B0F}</x14:id>
        </ext>
      </extLst>
    </cfRule>
  </conditionalFormatting>
  <conditionalFormatting sqref="AX35:AX39">
    <cfRule type="dataBar" priority="346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{1B135616-4892-407C-B458-110E36577FEA}</x14:id>
        </ext>
      </extLst>
    </cfRule>
    <cfRule type="dataBar" priority="347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{53C6B27A-B4CB-4D7C-BE38-B05F632BCD9B}</x14:id>
        </ext>
      </extLst>
    </cfRule>
    <cfRule type="dataBar" priority="3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{B66A6F05-4359-4B7C-8A6B-90F088550B76}</x14:id>
        </ext>
      </extLst>
    </cfRule>
    <cfRule type="dataBar" priority="347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{928604D3-BA91-4763-A7C9-89DBA30D962B}</x14:id>
        </ext>
      </extLst>
    </cfRule>
  </conditionalFormatting>
  <conditionalFormatting sqref="AX41">
    <cfRule type="dataBar" priority="23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{E9A3C9B7-D232-46B3-BDFA-9DE95DE25024}</x14:id>
        </ext>
      </extLst>
    </cfRule>
    <cfRule type="dataBar" priority="2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{1A628B41-A05B-43C4-9EE6-9D7F5AA51917}</x14:id>
        </ext>
      </extLst>
    </cfRule>
    <cfRule type="dataBar" priority="2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{724C2B1B-4B00-4F42-AD67-A25B336D6497}</x14:id>
        </ext>
      </extLst>
    </cfRule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{502CBEB1-A5C8-4EB2-B83E-E5730B857DD5}</x14:id>
        </ext>
      </extLst>
    </cfRule>
  </conditionalFormatting>
  <conditionalFormatting sqref="AX42:AX49">
    <cfRule type="dataBar" priority="358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{194F3F16-2809-4198-8B8C-48FABCF31D6E}</x14:id>
        </ext>
      </extLst>
    </cfRule>
    <cfRule type="dataBar" priority="358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{BE019800-6752-43B5-8891-A1C252E45DE7}</x14:id>
        </ext>
      </extLst>
    </cfRule>
    <cfRule type="dataBar" priority="358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{7F74DC85-16B5-4E8E-B531-F0781E085E2A}</x14:id>
        </ext>
      </extLst>
    </cfRule>
    <cfRule type="dataBar" priority="35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{A01D33DD-0B4D-4351-A847-0FDE1CC0276F}</x14:id>
        </ext>
      </extLst>
    </cfRule>
    <cfRule type="dataBar" priority="358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{F14152A2-72CD-420A-83C2-745EBC73390D}</x14:id>
        </ext>
      </extLst>
    </cfRule>
  </conditionalFormatting>
  <conditionalFormatting sqref="AX51">
    <cfRule type="dataBar" priority="20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{E482F425-26BA-4D2E-B4F8-F1257F9ECBCA}</x14:id>
        </ext>
      </extLst>
    </cfRule>
    <cfRule type="dataBar" priority="20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{3ACD7C89-7632-497D-BF72-D163EA505335}</x14:id>
        </ext>
      </extLst>
    </cfRule>
    <cfRule type="dataBar" priority="2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{19D0C5B0-DB5C-4D8A-8B7F-ED204F6369B9}</x14:id>
        </ext>
      </extLst>
    </cfRule>
  </conditionalFormatting>
  <conditionalFormatting sqref="AX52:AX54">
    <cfRule type="dataBar" priority="311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{4DDEBFE7-A589-4118-A394-616F20D7BAF7}</x14:id>
        </ext>
      </extLst>
    </cfRule>
    <cfRule type="dataBar" priority="311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{7854EBA3-3E52-4A30-B737-5DA40AA3BDCE}</x14:id>
        </ext>
      </extLst>
    </cfRule>
    <cfRule type="dataBar" priority="31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{BD5ADC2A-CBC3-4F0E-9B0E-2C6099E70D36}</x14:id>
        </ext>
      </extLst>
    </cfRule>
    <cfRule type="dataBar" priority="311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{C41A6133-7746-470A-B68C-A414C2C8F42D}</x14:id>
        </ext>
      </extLst>
    </cfRule>
  </conditionalFormatting>
  <conditionalFormatting sqref="AX56">
    <cfRule type="dataBar" priority="33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{DB41D7AE-F87D-4955-AC0E-381304B3860B}</x14:id>
        </ext>
      </extLst>
    </cfRule>
    <cfRule type="dataBar" priority="33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{FCDAE8D6-A1AA-483C-BFAA-D54FF5FE328B}</x14:id>
        </ext>
      </extLst>
    </cfRule>
    <cfRule type="dataBar" priority="33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{19640900-82DF-4A08-A601-4B204C255353}</x14:id>
        </ext>
      </extLst>
    </cfRule>
    <cfRule type="dataBar" priority="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{3842542C-4E2C-4D64-860D-C84175DE3399}</x14:id>
        </ext>
      </extLst>
    </cfRule>
  </conditionalFormatting>
  <conditionalFormatting sqref="AX57:AX58">
    <cfRule type="dataBar" priority="370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{FFB04582-7BC0-4AC3-B70B-1A49CA8F919D}</x14:id>
        </ext>
      </extLst>
    </cfRule>
    <cfRule type="dataBar" priority="370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{D3DF21D8-0873-4730-9E3C-D6AB4F5709FF}</x14:id>
        </ext>
      </extLst>
    </cfRule>
    <cfRule type="dataBar" priority="370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{24569B84-1927-4F40-B439-631C2F16390E}</x14:id>
        </ext>
      </extLst>
    </cfRule>
    <cfRule type="dataBar" priority="370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{B9CB9DBB-C615-48FA-B105-C740387250AE}</x14:id>
        </ext>
      </extLst>
    </cfRule>
    <cfRule type="dataBar" priority="37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{15B4E194-CBF2-4597-9BBB-E3966813F8FC}</x14:id>
        </ext>
      </extLst>
    </cfRule>
  </conditionalFormatting>
  <conditionalFormatting sqref="BA20:BA26">
    <cfRule type="dataBar" priority="81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{958D61F3-0E28-43E4-A290-8D4C8982BBEF}</x14:id>
        </ext>
      </extLst>
    </cfRule>
  </conditionalFormatting>
  <conditionalFormatting sqref="BA28">
    <cfRule type="dataBar" priority="64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{6EF9F6DA-7532-4AFE-83A1-7E2D4E3562B9}</x14:id>
        </ext>
      </extLst>
    </cfRule>
    <cfRule type="dataBar" priority="65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{599A025C-7184-452E-91D1-EB5CEBB44475}</x14:id>
        </ext>
      </extLst>
    </cfRule>
    <cfRule type="dataBar" priority="6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{2D6A22F8-4467-40AE-93FA-238E26E4298E}</x14:id>
        </ext>
      </extLst>
    </cfRule>
  </conditionalFormatting>
  <conditionalFormatting sqref="BA29:BA32">
    <cfRule type="dataBar" priority="338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{253DFE97-E511-44F3-9CF2-B77A89BEDB22}</x14:id>
        </ext>
      </extLst>
    </cfRule>
    <cfRule type="dataBar" priority="338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{670B0630-A291-4FBF-9880-988500B53123}</x14:id>
        </ext>
      </extLst>
    </cfRule>
    <cfRule type="dataBar" priority="3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{3C844BB6-469A-435B-A586-94A12030A24A}</x14:id>
        </ext>
      </extLst>
    </cfRule>
  </conditionalFormatting>
  <conditionalFormatting sqref="BA34">
    <cfRule type="dataBar" priority="58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{CF3991D6-6ADD-4CBE-929E-C27BA6D4DE84}</x14:id>
        </ext>
      </extLst>
    </cfRule>
    <cfRule type="dataBar" priority="58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{94F4B67F-E267-46FC-B158-2DEE42A62C99}</x14:id>
        </ext>
      </extLst>
    </cfRule>
    <cfRule type="dataBar" priority="5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{227E86B3-A04E-42A7-837A-36A4BDA65E21}</x14:id>
        </ext>
      </extLst>
    </cfRule>
  </conditionalFormatting>
  <conditionalFormatting sqref="BA35:BA39">
    <cfRule type="dataBar" priority="347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{FBB4A9B3-A49C-463F-97DE-9E4D352682E1}</x14:id>
        </ext>
      </extLst>
    </cfRule>
    <cfRule type="dataBar" priority="347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{3CB16ACD-50A7-453D-BA0A-A39C756F8128}</x14:id>
        </ext>
      </extLst>
    </cfRule>
    <cfRule type="dataBar" priority="3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{F87BC945-FABB-4261-BCEB-93F235D3C218}</x14:id>
        </ext>
      </extLst>
    </cfRule>
    <cfRule type="dataBar" priority="347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{BEAB899A-920F-43C6-BDC0-B424D5B9D725}</x14:id>
        </ext>
      </extLst>
    </cfRule>
  </conditionalFormatting>
  <conditionalFormatting sqref="BA41">
    <cfRule type="dataBar" priority="10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{16A82BBC-C2AF-44C7-91E6-606C9C2F4887}</x14:id>
        </ext>
      </extLst>
    </cfRule>
    <cfRule type="dataBar" priority="1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{E81DD5C1-9E9F-4E11-8233-EF1E72A831EF}</x14:id>
        </ext>
      </extLst>
    </cfRule>
    <cfRule type="dataBar" priority="1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{AB313666-3566-4524-851D-37E2FFF9629B}</x14:id>
        </ext>
      </extLst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{4DB1AFA1-1DD1-4405-8B10-B8315E3CC96C}</x14:id>
        </ext>
      </extLst>
    </cfRule>
  </conditionalFormatting>
  <conditionalFormatting sqref="BA42:BA49">
    <cfRule type="dataBar" priority="3587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{CB055EE5-30E3-4E50-9045-91601E32AE2B}</x14:id>
        </ext>
      </extLst>
    </cfRule>
    <cfRule type="dataBar" priority="358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{7CC2D170-93FD-4780-BF82-EFE93621C60D}</x14:id>
        </ext>
      </extLst>
    </cfRule>
    <cfRule type="dataBar" priority="358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{71E54B95-7E3C-4D1B-8874-92D0C8875AF7}</x14:id>
        </ext>
      </extLst>
    </cfRule>
    <cfRule type="dataBar" priority="3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{5AC349F9-4F31-4A40-803A-AB55B8B977FB}</x14:id>
        </ext>
      </extLst>
    </cfRule>
    <cfRule type="dataBar" priority="359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{B6C3DDF8-5F10-4CF8-92CB-81F3FA72C128}</x14:id>
        </ext>
      </extLst>
    </cfRule>
  </conditionalFormatting>
  <conditionalFormatting sqref="BA51">
    <cfRule type="dataBar" priority="21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{1BD218D8-E964-4103-B4C7-1393F19DAA12}</x14:id>
        </ext>
      </extLst>
    </cfRule>
    <cfRule type="dataBar" priority="21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{E66CFAD2-18C6-4041-9E4D-A50F65996107}</x14:id>
        </ext>
      </extLst>
    </cfRule>
    <cfRule type="dataBar" priority="2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{BDCCC5C2-FB3D-48DF-8B48-E35777C6C5E2}</x14:id>
        </ext>
      </extLst>
    </cfRule>
  </conditionalFormatting>
  <conditionalFormatting sqref="BA52:BA54">
    <cfRule type="dataBar" priority="311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{E8D8E3C0-0F21-4DB4-A814-F47B4C82891A}</x14:id>
        </ext>
      </extLst>
    </cfRule>
    <cfRule type="dataBar" priority="311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{AA44CF88-6D69-4F78-A596-687DBA0C688A}</x14:id>
        </ext>
      </extLst>
    </cfRule>
    <cfRule type="dataBar" priority="31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{959300FD-F44A-4514-84BF-826729473578}</x14:id>
        </ext>
      </extLst>
    </cfRule>
    <cfRule type="dataBar" priority="312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{9B090A55-52A0-416B-B35C-712E733BD877}</x14:id>
        </ext>
      </extLst>
    </cfRule>
  </conditionalFormatting>
  <conditionalFormatting sqref="BA56">
    <cfRule type="dataBar" priority="324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{57745D29-09DD-4FEE-A303-6E5CA4946A79}</x14:id>
        </ext>
      </extLst>
    </cfRule>
    <cfRule type="dataBar" priority="32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{D8868790-E1E9-4D89-B17A-3865C3AE95DC}</x14:id>
        </ext>
      </extLst>
    </cfRule>
    <cfRule type="dataBar" priority="32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{A35EB867-4CF1-448D-B7C9-8612C908CD98}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{1849B5B2-B192-4363-AE59-B349778E23E7}</x14:id>
        </ext>
      </extLst>
    </cfRule>
  </conditionalFormatting>
  <conditionalFormatting sqref="BA57:BA58">
    <cfRule type="dataBar" priority="370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{4BAAE99B-458C-46F4-AE3E-64E15E61CE15}</x14:id>
        </ext>
      </extLst>
    </cfRule>
    <cfRule type="dataBar" priority="370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{B4068DF0-8F13-4CFD-AFD3-05543622DFD5}</x14:id>
        </ext>
      </extLst>
    </cfRule>
    <cfRule type="dataBar" priority="370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{896C084C-09E4-45B0-AC4B-8843A9F70D7D}</x14:id>
        </ext>
      </extLst>
    </cfRule>
    <cfRule type="dataBar" priority="370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{DFE24701-44C5-4084-AB18-2AF799306849}</x14:id>
        </ext>
      </extLst>
    </cfRule>
    <cfRule type="dataBar" priority="3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{A8FB13EE-727F-43DA-921D-039B21C1E856}</x14:id>
        </ext>
      </extLst>
    </cfRule>
  </conditionalFormatting>
  <conditionalFormatting sqref="BA4:BB4">
    <cfRule type="dataBar" priority="120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{AD88C48E-FD98-4C45-B989-927FF8E28607}</x14:id>
        </ext>
      </extLst>
    </cfRule>
    <cfRule type="dataBar" priority="121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{02D67692-6EC4-4C4C-B912-49A3A42A39BF}</x14:id>
        </ext>
      </extLst>
    </cfRule>
  </conditionalFormatting>
  <conditionalFormatting sqref="BA19:BB19">
    <cfRule type="dataBar" priority="6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{DFD49B88-BE44-47D4-A7F3-D37E06F7E3F1}</x14:id>
        </ext>
      </extLst>
    </cfRule>
  </conditionalFormatting>
  <conditionalFormatting sqref="BA34:BB34">
    <cfRule type="dataBar" priority="58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{43140569-0180-46EC-AC9A-045B0A14AE6B}</x14:id>
        </ext>
      </extLst>
    </cfRule>
  </conditionalFormatting>
  <conditionalFormatting sqref="BA41:BB41">
    <cfRule type="dataBar" priority="1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{6DFD5159-6722-4742-AB5A-3FA68FAD48B6}</x14:id>
        </ext>
      </extLst>
    </cfRule>
  </conditionalFormatting>
  <conditionalFormatting sqref="BA51:BB51">
    <cfRule type="dataBar" priority="21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{425CD596-BB65-4DFC-A1DE-B51962FF8437}</x14:id>
        </ext>
      </extLst>
    </cfRule>
  </conditionalFormatting>
  <conditionalFormatting sqref="BA56:BB56">
    <cfRule type="dataBar" priority="32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{03AB950A-2630-4DAB-BF72-317BE0677DCF}</x14:id>
        </ext>
      </extLst>
    </cfRule>
  </conditionalFormatting>
  <conditionalFormatting sqref="BB20:BB26">
    <cfRule type="dataBar" priority="81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{3D9AC552-7484-4E23-846E-740F038478A0}</x14:id>
        </ext>
      </extLst>
    </cfRule>
  </conditionalFormatting>
  <conditionalFormatting sqref="BB28">
    <cfRule type="dataBar" priority="65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{F6AF3853-4188-4425-87B8-4BDF1278DEDB}</x14:id>
        </ext>
      </extLst>
    </cfRule>
    <cfRule type="dataBar" priority="65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{F06B73E2-832A-420F-AF0F-8D95EFAFA55A}</x14:id>
        </ext>
      </extLst>
    </cfRule>
    <cfRule type="dataBar" priority="6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{EEA300BD-59F4-411B-A61F-74CF7078277B}</x14:id>
        </ext>
      </extLst>
    </cfRule>
  </conditionalFormatting>
  <conditionalFormatting sqref="BB29:BB32">
    <cfRule type="dataBar" priority="338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{0DA1D6B4-3D90-4F8B-B1F0-954CDB4A9C44}</x14:id>
        </ext>
      </extLst>
    </cfRule>
    <cfRule type="dataBar" priority="338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{A63A8594-2263-4C90-B055-6AA81186D75F}</x14:id>
        </ext>
      </extLst>
    </cfRule>
    <cfRule type="dataBar" priority="3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{04F0B69A-9DE2-454A-91A0-B66CD5CE13B6}</x14:id>
        </ext>
      </extLst>
    </cfRule>
  </conditionalFormatting>
  <conditionalFormatting sqref="BB34">
    <cfRule type="dataBar" priority="58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{0E66BEE4-970A-477C-96E1-907D19EC37D6}</x14:id>
        </ext>
      </extLst>
    </cfRule>
    <cfRule type="dataBar" priority="58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{06125782-5FA2-4229-8468-458E27DA86DA}</x14:id>
        </ext>
      </extLst>
    </cfRule>
    <cfRule type="dataBar" priority="5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{E4E9CFE3-880E-4FAB-BA93-41579975BA08}</x14:id>
        </ext>
      </extLst>
    </cfRule>
  </conditionalFormatting>
  <conditionalFormatting sqref="BB35:BB39">
    <cfRule type="dataBar" priority="347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{3D961813-6435-4C6B-A0BE-9543DEBE0623}</x14:id>
        </ext>
      </extLst>
    </cfRule>
    <cfRule type="dataBar" priority="347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{10246D3F-B0F5-4632-8B39-EB1B8C1B8E5C}</x14:id>
        </ext>
      </extLst>
    </cfRule>
    <cfRule type="dataBar" priority="3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{E4693096-3ECE-44DD-B5FD-F7386C2DDAB3}</x14:id>
        </ext>
      </extLst>
    </cfRule>
    <cfRule type="dataBar" priority="348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{4E279727-F007-4B11-B657-C02F2687B7FB}</x14:id>
        </ext>
      </extLst>
    </cfRule>
  </conditionalFormatting>
  <conditionalFormatting sqref="BB41">
    <cfRule type="dataBar" priority="14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{D49C75E8-B69A-4258-851A-4A47FABCC068}</x14:id>
        </ext>
      </extLst>
    </cfRule>
    <cfRule type="dataBar" priority="1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{EDF1A083-65EC-4C7F-8771-30976F4517D8}</x14:id>
        </ext>
      </extLst>
    </cfRule>
    <cfRule type="dataBar" priority="1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{9D5AC7F3-425B-4C1C-ADA7-4876BCF0B9FD}</x14:id>
        </ext>
      </extLst>
    </cfRule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{B3EEEF44-3084-4B6B-894A-8AE66DA407A9}</x14:id>
        </ext>
      </extLst>
    </cfRule>
  </conditionalFormatting>
  <conditionalFormatting sqref="BB42:BB49">
    <cfRule type="dataBar" priority="3592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{0EDF42F9-ED9D-4D66-94EE-44D05C8DFC1B}</x14:id>
        </ext>
      </extLst>
    </cfRule>
    <cfRule type="dataBar" priority="359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{3F6208DA-46EF-46A5-989B-9FF70AFD6E9C}</x14:id>
        </ext>
      </extLst>
    </cfRule>
    <cfRule type="dataBar" priority="359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{2692B7FA-839A-4B52-BFD7-91B01B15699B}</x14:id>
        </ext>
      </extLst>
    </cfRule>
    <cfRule type="dataBar" priority="35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{9A417229-037F-4941-9A03-8A134BBB50D9}</x14:id>
        </ext>
      </extLst>
    </cfRule>
    <cfRule type="dataBar" priority="359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{CDC15726-2F71-40BC-B161-E3C16D7E68BC}</x14:id>
        </ext>
      </extLst>
    </cfRule>
  </conditionalFormatting>
  <conditionalFormatting sqref="BB51">
    <cfRule type="dataBar" priority="213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{80D4427D-5576-49DC-9D5D-74780A8E5DF4}</x14:id>
        </ext>
      </extLst>
    </cfRule>
    <cfRule type="dataBar" priority="214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{E306C988-01BA-478A-B795-01B689DC6304}</x14:id>
        </ext>
      </extLst>
    </cfRule>
    <cfRule type="dataBar" priority="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{4DE49A95-722C-4C7F-8ACE-28AD0480D0F2}</x14:id>
        </ext>
      </extLst>
    </cfRule>
  </conditionalFormatting>
  <conditionalFormatting sqref="BB52:BB54">
    <cfRule type="dataBar" priority="312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{F5B08BB8-3F6C-4580-8D96-A0083722320D}</x14:id>
        </ext>
      </extLst>
    </cfRule>
    <cfRule type="dataBar" priority="312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{613B9D40-902F-4A78-B87F-760E9C5211A3}</x14:id>
        </ext>
      </extLst>
    </cfRule>
    <cfRule type="dataBar" priority="3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{B0474BD5-1079-45F3-A42B-A4E7C6A0197E}</x14:id>
        </ext>
      </extLst>
    </cfRule>
    <cfRule type="dataBar" priority="312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{17648B35-07FE-4436-91A4-9445581685A8}</x14:id>
        </ext>
      </extLst>
    </cfRule>
  </conditionalFormatting>
  <conditionalFormatting sqref="BB56">
    <cfRule type="dataBar" priority="328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{F59889F6-3156-4397-95D5-2E6DE3E8506B}</x14:id>
        </ext>
      </extLst>
    </cfRule>
    <cfRule type="dataBar" priority="32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{B6940B6D-7BCF-4C3B-944D-3F86DB608591}</x14:id>
        </ext>
      </extLst>
    </cfRule>
    <cfRule type="dataBar" priority="33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{F5F92756-E940-4635-ACF4-6FB57958907E}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{28F5AD53-AC58-4C93-A47E-C0ACA5A2D355}</x14:id>
        </ext>
      </extLst>
    </cfRule>
  </conditionalFormatting>
  <conditionalFormatting sqref="BB57:BB58">
    <cfRule type="dataBar" priority="371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{5E9CD834-F859-4A8A-BF4C-7D5B3523ED4F}</x14:id>
        </ext>
      </extLst>
    </cfRule>
    <cfRule type="dataBar" priority="371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{8667ADFF-EABD-481C-840F-4A5ED13E516A}</x14:id>
        </ext>
      </extLst>
    </cfRule>
    <cfRule type="dataBar" priority="371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{A827C22B-2E01-4EC5-AAA6-BF9F3C5B115E}</x14:id>
        </ext>
      </extLst>
    </cfRule>
    <cfRule type="dataBar" priority="371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{4587BD79-99A8-4E11-AF95-711F6BA209CD}</x14:id>
        </ext>
      </extLst>
    </cfRule>
    <cfRule type="dataBar" priority="3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{20ED9805-29DD-4122-A13D-824F5B5CAA0D}</x14:id>
        </ext>
      </extLst>
    </cfRule>
  </conditionalFormatting>
  <conditionalFormatting sqref="BE20:BE26">
    <cfRule type="dataBar" priority="81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{0CE149C5-2A08-4C33-B343-A0548513FEB4}</x14:id>
        </ext>
      </extLst>
    </cfRule>
  </conditionalFormatting>
  <conditionalFormatting sqref="BE28:BE32">
    <cfRule type="dataBar" priority="338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{EF4D3DA9-D2D1-4BDF-9DE7-C57AE805DBD6}</x14:id>
        </ext>
      </extLst>
    </cfRule>
    <cfRule type="dataBar" priority="338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{7A1CD6CA-39BA-4FA2-AC47-E63F9513231C}</x14:id>
        </ext>
      </extLst>
    </cfRule>
    <cfRule type="dataBar" priority="3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{0AAC218A-CFE6-4EED-AC96-7AFE229BBF12}</x14:id>
        </ext>
      </extLst>
    </cfRule>
  </conditionalFormatting>
  <conditionalFormatting sqref="BE34:BE39">
    <cfRule type="dataBar" priority="3481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{6511829B-E87F-4207-B8E6-843172EB0764}</x14:id>
        </ext>
      </extLst>
    </cfRule>
    <cfRule type="dataBar" priority="3482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{A77812E2-E954-4E31-9FA9-5B1DF1592707}</x14:id>
        </ext>
      </extLst>
    </cfRule>
    <cfRule type="dataBar" priority="3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{FD3C76BF-0852-48F2-837B-C1C1EB913A04}</x14:id>
        </ext>
      </extLst>
    </cfRule>
  </conditionalFormatting>
  <conditionalFormatting sqref="BE35:BE39">
    <cfRule type="dataBar" priority="91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{5ED953C6-053B-4E24-852B-356ADB9127B1}</x14:id>
        </ext>
      </extLst>
    </cfRule>
  </conditionalFormatting>
  <conditionalFormatting sqref="BE41">
    <cfRule type="dataBar" priority="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{AE49A185-54BC-45AB-9E52-625534C275AC}</x14:id>
        </ext>
      </extLst>
    </cfRule>
    <cfRule type="dataBar" priority="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{BC6058E1-65C5-4FAC-8CB9-F229B8A2105E}</x14:id>
        </ext>
      </extLst>
    </cfRule>
    <cfRule type="dataBar" priority="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{0265E8D6-A1D1-4C96-9C14-8DD48720B10A}</x14:id>
        </ext>
      </extLst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{13E3AB70-B3DA-4966-8195-04BFCA1A6D08}</x14:id>
        </ext>
      </extLst>
    </cfRule>
  </conditionalFormatting>
  <conditionalFormatting sqref="BE42:BE49">
    <cfRule type="dataBar" priority="359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{4CA15EF5-AB22-4779-A643-801BB933D9A2}</x14:id>
        </ext>
      </extLst>
    </cfRule>
    <cfRule type="dataBar" priority="3598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{DFD90026-5E39-42D0-BEFB-FBCF70ABE95D}</x14:id>
        </ext>
      </extLst>
    </cfRule>
    <cfRule type="dataBar" priority="3599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{7B4B84EF-5CD8-4629-9620-E3B4D68A6B8F}</x14:id>
        </ext>
      </extLst>
    </cfRule>
    <cfRule type="dataBar" priority="3600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{3CA3CDB4-590D-4D40-BD63-2274EC22C289}</x14:id>
        </ext>
      </extLst>
    </cfRule>
    <cfRule type="dataBar" priority="36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{DDACC104-991D-421E-B7F3-CC5829EDD44B}</x14:id>
        </ext>
      </extLst>
    </cfRule>
  </conditionalFormatting>
  <conditionalFormatting sqref="BE51:BE54">
    <cfRule type="dataBar" priority="3125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{AD66E11C-0647-4128-9A86-B36A17D100C8}</x14:id>
        </ext>
      </extLst>
    </cfRule>
    <cfRule type="dataBar" priority="3126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{7D302DE0-2AD6-402F-BE2A-9F2BA811EA7C}</x14:id>
        </ext>
      </extLst>
    </cfRule>
    <cfRule type="dataBar" priority="3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{3020F97D-BEE9-423B-AE78-C459FCC83B27}</x14:id>
        </ext>
      </extLst>
    </cfRule>
  </conditionalFormatting>
  <conditionalFormatting sqref="BE52:BE54">
    <cfRule type="dataBar" priority="21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{3B5CFAFB-F124-4B9D-AAB7-FC9B1DB39B4D}</x14:id>
        </ext>
      </extLst>
    </cfRule>
  </conditionalFormatting>
  <conditionalFormatting sqref="BE56">
    <cfRule type="dataBar" priority="315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{561BA195-BC63-418B-8C71-4ABDE702DD07}</x14:id>
        </ext>
      </extLst>
    </cfRule>
    <cfRule type="dataBar" priority="31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{2FD31857-080E-4EB6-8726-6D962BD6ABDF}</x14:id>
        </ext>
      </extLst>
    </cfRule>
    <cfRule type="dataBar" priority="31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{D8BFA1EA-00A3-407B-9E06-F44D8EF849A5}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{26DFE19D-12D3-4481-BD42-2B57861F2188}</x14:id>
        </ext>
      </extLst>
    </cfRule>
  </conditionalFormatting>
  <conditionalFormatting sqref="BE57:BE58">
    <cfRule type="dataBar" priority="371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{BEE1129B-2F1A-469A-85A7-1AB1639F9194}</x14:id>
        </ext>
      </extLst>
    </cfRule>
    <cfRule type="dataBar" priority="3716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{A1CF4C3F-8E60-4ABC-BDA4-5931512BB465}</x14:id>
        </ext>
      </extLst>
    </cfRule>
    <cfRule type="dataBar" priority="3717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{865AF6EA-8FBA-444D-B918-37EE409CBAEF}</x14:id>
        </ext>
      </extLst>
    </cfRule>
    <cfRule type="dataBar" priority="3718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{D16A242E-2D0C-44D1-9F82-C61D21A1A159}</x14:id>
        </ext>
      </extLst>
    </cfRule>
    <cfRule type="dataBar" priority="3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{706EBD1F-DCB2-4EE6-A0D3-184E87C1C5CC}</x14:id>
        </ext>
      </extLst>
    </cfRule>
  </conditionalFormatting>
  <conditionalFormatting sqref="BE4:BF4">
    <cfRule type="dataBar" priority="118">
      <dataBar>
        <cfvo type="num" val="0"/>
        <cfvo type="num" val="1"/>
        <color rgb="FF2BD2FF"/>
      </dataBar>
      <extLst>
        <ext xmlns:x14="http://schemas.microsoft.com/office/spreadsheetml/2009/9/main" uri="{B025F937-C7B1-47D3-B67F-A62EFF666E3E}">
          <x14:id>{8EAA1332-CCA9-458B-AFD5-AB95C2A4AF58}</x14:id>
        </ext>
      </extLst>
    </cfRule>
    <cfRule type="dataBar" priority="119">
      <dataBar>
        <cfvo type="num" val="0"/>
        <cfvo type="num" val="1"/>
        <color rgb="FFF55035"/>
      </dataBar>
      <extLst>
        <ext xmlns:x14="http://schemas.microsoft.com/office/spreadsheetml/2009/9/main" uri="{B025F937-C7B1-47D3-B67F-A62EFF666E3E}">
          <x14:id>{F7A0FEA6-CDE3-4CDD-A699-98001801D265}</x14:id>
        </ext>
      </extLst>
    </cfRule>
  </conditionalFormatting>
  <conditionalFormatting sqref="BE19:BF19">
    <cfRule type="dataBar" priority="6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{9B8086DE-491B-4E02-B10F-B240AB2E0288}</x14:id>
        </ext>
      </extLst>
    </cfRule>
  </conditionalFormatting>
  <conditionalFormatting sqref="BE34:BF34">
    <cfRule type="dataBar" priority="120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{B1E11845-7404-4610-8831-61F77C786CD3}</x14:id>
        </ext>
      </extLst>
    </cfRule>
  </conditionalFormatting>
  <conditionalFormatting sqref="BE41:BF41">
    <cfRule type="dataBar" priority="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{1F9BC22C-91C2-42AB-A3A5-49376FBAB71A}</x14:id>
        </ext>
      </extLst>
    </cfRule>
  </conditionalFormatting>
  <conditionalFormatting sqref="BE51:BF51">
    <cfRule type="dataBar" priority="21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{948B6F11-6FFB-4B37-9F82-EB7CC6C9E026}</x14:id>
        </ext>
      </extLst>
    </cfRule>
  </conditionalFormatting>
  <conditionalFormatting sqref="BE56:BF56">
    <cfRule type="dataBar" priority="31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{25B1429B-1B0B-40A3-8C63-0049E3016994}</x14:id>
        </ext>
      </extLst>
    </cfRule>
  </conditionalFormatting>
  <conditionalFormatting sqref="BF20:BF26">
    <cfRule type="dataBar" priority="81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{822E8B69-04C3-42F8-8150-6BAE03CF03CB}</x14:id>
        </ext>
      </extLst>
    </cfRule>
  </conditionalFormatting>
  <conditionalFormatting sqref="BF28:BF32">
    <cfRule type="dataBar" priority="339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{3D39E66E-CD8A-4B3D-BBB5-461E5790F525}</x14:id>
        </ext>
      </extLst>
    </cfRule>
    <cfRule type="dataBar" priority="339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{9825E9A4-C2B5-4BC6-9939-53349E21E777}</x14:id>
        </ext>
      </extLst>
    </cfRule>
    <cfRule type="dataBar" priority="3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{8306D8B9-C1A2-4C7B-A617-06E390843643}</x14:id>
        </ext>
      </extLst>
    </cfRule>
  </conditionalFormatting>
  <conditionalFormatting sqref="BF34:BF39">
    <cfRule type="dataBar" priority="348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{D1A6388D-958F-47B4-B76C-FEACFC13EB24}</x14:id>
        </ext>
      </extLst>
    </cfRule>
    <cfRule type="dataBar" priority="348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{2A29CB2D-40D6-4C19-BAF2-8694E8AF9694}</x14:id>
        </ext>
      </extLst>
    </cfRule>
    <cfRule type="dataBar" priority="3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{9C682AD2-235B-428E-94DC-6400321816D2}</x14:id>
        </ext>
      </extLst>
    </cfRule>
  </conditionalFormatting>
  <conditionalFormatting sqref="BF35:BF39">
    <cfRule type="dataBar" priority="119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{CF57C2AA-B1EA-422A-96DC-014D0D891015}</x14:id>
        </ext>
      </extLst>
    </cfRule>
  </conditionalFormatting>
  <conditionalFormatting sqref="BF41">
    <cfRule type="dataBar" priority="5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{49800E5C-CB9B-46C7-A801-C6CBD6921739}</x14:id>
        </ext>
      </extLst>
    </cfRule>
    <cfRule type="dataBar" priority="6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{3856D1FC-B98D-4451-8D57-B0281749AAA9}</x14:id>
        </ext>
      </extLst>
    </cfRule>
    <cfRule type="dataBar" priority="7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{D9ABDD3D-0664-4D44-97CB-2983932335B4}</x14:id>
        </ext>
      </extLst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{FD33C0CB-DB95-46B5-AAD8-0D70E3F2A437}</x14:id>
        </ext>
      </extLst>
    </cfRule>
  </conditionalFormatting>
  <conditionalFormatting sqref="BF42:BF49">
    <cfRule type="dataBar" priority="360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{FBD8FC62-5012-4B56-BF57-233A8A1BF37C}</x14:id>
        </ext>
      </extLst>
    </cfRule>
    <cfRule type="dataBar" priority="3603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{7FF358A0-594C-4C64-9556-5EE447F78016}</x14:id>
        </ext>
      </extLst>
    </cfRule>
    <cfRule type="dataBar" priority="3604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{11C28E1F-601D-4856-A5A0-698CBB98E78A}</x14:id>
        </ext>
      </extLst>
    </cfRule>
    <cfRule type="dataBar" priority="3605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{C50C2C00-C0AE-4D0B-A1AA-5340E7A7CB12}</x14:id>
        </ext>
      </extLst>
    </cfRule>
    <cfRule type="dataBar" priority="36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{F605B312-807D-448D-8AFE-A262D0BC8CC7}</x14:id>
        </ext>
      </extLst>
    </cfRule>
  </conditionalFormatting>
  <conditionalFormatting sqref="BF51:BF54">
    <cfRule type="dataBar" priority="3128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{D865FCD4-83F8-4618-AC30-1A668F57541E}</x14:id>
        </ext>
      </extLst>
    </cfRule>
    <cfRule type="dataBar" priority="3129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{195C2600-25F0-4A43-AEAE-E07BAB6EC316}</x14:id>
        </ext>
      </extLst>
    </cfRule>
    <cfRule type="dataBar" priority="3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{40FCE718-44F4-4DC1-A913-9BBF4376DAB6}</x14:id>
        </ext>
      </extLst>
    </cfRule>
  </conditionalFormatting>
  <conditionalFormatting sqref="BF52:BF54">
    <cfRule type="dataBar" priority="21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{D7F4CEE0-288C-40B7-9F55-B120412DA0AB}</x14:id>
        </ext>
      </extLst>
    </cfRule>
  </conditionalFormatting>
  <conditionalFormatting sqref="BF56">
    <cfRule type="dataBar" priority="319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{CE1BC5E8-D95B-432D-9A41-51C94E4C053D}</x14:id>
        </ext>
      </extLst>
    </cfRule>
    <cfRule type="dataBar" priority="320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{FE89CA0C-1FA3-4627-8847-B29EA303E79D}</x14:id>
        </ext>
      </extLst>
    </cfRule>
    <cfRule type="dataBar" priority="321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{8FBE731D-6A3F-4E01-A968-CA3DF90F3786}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{822D47D8-4309-425B-9844-D1D9670CE7BF}</x14:id>
        </ext>
      </extLst>
    </cfRule>
  </conditionalFormatting>
  <conditionalFormatting sqref="BF57:BF58">
    <cfRule type="dataBar" priority="372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{C7F1D1F9-653D-4128-9161-4BC637E021A4}</x14:id>
        </ext>
      </extLst>
    </cfRule>
    <cfRule type="dataBar" priority="3721">
      <dataBar>
        <cfvo type="num" val="0"/>
        <cfvo type="num" val="1"/>
        <color rgb="FFFF9999"/>
      </dataBar>
      <extLst>
        <ext xmlns:x14="http://schemas.microsoft.com/office/spreadsheetml/2009/9/main" uri="{B025F937-C7B1-47D3-B67F-A62EFF666E3E}">
          <x14:id>{056BE785-8B15-4284-B7B0-9FDB1B6F86AA}</x14:id>
        </ext>
      </extLst>
    </cfRule>
    <cfRule type="dataBar" priority="3722">
      <dataBar>
        <cfvo type="num" val="0"/>
        <cfvo type="num" val="1"/>
        <color rgb="FF9999FF"/>
      </dataBar>
      <extLst>
        <ext xmlns:x14="http://schemas.microsoft.com/office/spreadsheetml/2009/9/main" uri="{B025F937-C7B1-47D3-B67F-A62EFF666E3E}">
          <x14:id>{A7C62498-F6E0-47DC-AEBC-F889B40982ED}</x14:id>
        </ext>
      </extLst>
    </cfRule>
    <cfRule type="dataBar" priority="3723">
      <dataBar>
        <cfvo type="num" val="0"/>
        <cfvo type="num" val="1"/>
        <color rgb="FF0099FF"/>
      </dataBar>
      <extLst>
        <ext xmlns:x14="http://schemas.microsoft.com/office/spreadsheetml/2009/9/main" uri="{B025F937-C7B1-47D3-B67F-A62EFF666E3E}">
          <x14:id>{BD565ACD-8A52-44A9-8078-6239A46F7771}</x14:id>
        </ext>
      </extLst>
    </cfRule>
    <cfRule type="dataBar" priority="3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{22709C4A-9D62-4EFD-9424-22B63A008BCA}</x14:id>
        </ext>
      </extLst>
    </cfRule>
  </conditionalFormatting>
  <dataValidations count="2">
    <dataValidation type="list" allowBlank="1" showInputMessage="1" showErrorMessage="1" sqref="F20:F26 F29:F32 F7:F17 F42:F49 F57:F58 F35:F39 F52:F54" xr:uid="{3863624A-C6F7-4CB6-B3D0-2068B9290BEC}">
      <formula1>"BAJA,MEDIA,ALTA,MUY ALTA"</formula1>
    </dataValidation>
    <dataValidation type="list" allowBlank="1" showInputMessage="1" showErrorMessage="1" sqref="E5" xr:uid="{F296D759-E1A1-4F27-BAE8-0C4D28A9DAC3}">
      <formula1>"V 0.0 - INICIO DEL PROYECTO, V 1.0 - PRELIMINAR A LA APROBACIÓN ARQUITECTÓNICA,V 1.1 - APROBACIÓN ARQUITECTÓNICA,V 2.0 - PRELIMINAR A ENTREGA DEL EXPEDIENTE,V 2.1 - ENTREGA TÉCNICA FINAL DE EXPEDIENTE"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951F67-8AAE-4671-A55C-F6C135C565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M20:M26 M57:N58</xm:sqref>
        </x14:conditionalFormatting>
        <x14:conditionalFormatting xmlns:xm="http://schemas.microsoft.com/office/excel/2006/main">
          <x14:cfRule type="dataBar" id="{1E83B7EA-D3ED-4C36-A9B0-D09D16D5EE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B95466-E182-48FD-A4C1-20152461C5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AE226A-DBA2-4D64-BAED-D70C6CDCF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5FFA02A6-CFF4-4A19-ACFF-DC8623A28A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5C6DD9-4A75-419B-A33A-3482C4D81E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94331E-6200-4A01-B31F-51370D2FB5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M29:M32</xm:sqref>
        </x14:conditionalFormatting>
        <x14:conditionalFormatting xmlns:xm="http://schemas.microsoft.com/office/excel/2006/main">
          <x14:cfRule type="dataBar" id="{DE293392-7F81-4F51-B3FE-2ABFACD759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7D1E88-A5E5-4005-9070-F450433474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17DE2D-1F6E-4997-A438-64B733C2F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824A96ED-2D6C-48A6-B2BE-DBFD1F0D6E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3749CE-244C-4643-AA0D-B7D7CC7E41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A176F5-5A22-416B-A783-680F40C0C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B6181B-3D66-4394-8765-326BD828E1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M35:M39</xm:sqref>
        </x14:conditionalFormatting>
        <x14:conditionalFormatting xmlns:xm="http://schemas.microsoft.com/office/excel/2006/main">
          <x14:cfRule type="dataBar" id="{7E58C37D-DB63-4EBD-A290-AD783C4EF6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96E3F8-E7FB-4920-8470-35C4441FDF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BFACFA-50F8-445B-9950-CF04631B8B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DB9757-E9B5-4974-B591-08585767FC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M41</xm:sqref>
        </x14:conditionalFormatting>
        <x14:conditionalFormatting xmlns:xm="http://schemas.microsoft.com/office/excel/2006/main">
          <x14:cfRule type="dataBar" id="{9F40DDC6-6902-4CA5-8265-53039EFCC8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C3A9D5-5DB1-4602-97B2-84A5B8AD14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FD2DA9-4EAA-43A9-A9C6-21F48D49C7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255332-A99A-4B09-9E5C-A3F1673458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CD33FD-9A8C-49D5-B9E2-C22336D559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M42:M49</xm:sqref>
        </x14:conditionalFormatting>
        <x14:conditionalFormatting xmlns:xm="http://schemas.microsoft.com/office/excel/2006/main">
          <x14:cfRule type="dataBar" id="{43E149D3-97C8-4911-9136-1FEC1015AB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A6D353-253A-4CC1-8C53-C8520785FF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43EB05-7CEB-4C31-9E59-FBA707560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M51</xm:sqref>
        </x14:conditionalFormatting>
        <x14:conditionalFormatting xmlns:xm="http://schemas.microsoft.com/office/excel/2006/main">
          <x14:cfRule type="dataBar" id="{DAAE5C4D-117C-46B3-B844-E7BF5705A5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75D0155-0C76-4DAD-9950-D54E891FFC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F5220B-BEF2-4C27-977C-C61F3F8ACB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917600-ACFC-4F65-BD69-089554B378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M52:M54</xm:sqref>
        </x14:conditionalFormatting>
        <x14:conditionalFormatting xmlns:xm="http://schemas.microsoft.com/office/excel/2006/main">
          <x14:cfRule type="dataBar" id="{176201D2-F500-4E85-A807-C1A89C8904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CF3DBE-B430-4F7E-865E-4BDE6CC6D6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CCA049-7140-4157-A132-FADA46D1CC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8FE5F5-8CA3-4547-8F83-3D6EAD1A9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M56:M58</xm:sqref>
        </x14:conditionalFormatting>
        <x14:conditionalFormatting xmlns:xm="http://schemas.microsoft.com/office/excel/2006/main">
          <x14:cfRule type="dataBar" id="{2A485F88-A513-43B1-90AB-16B3B677CD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418CFE-FD2C-4D36-9E21-11B8693191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M4:N4</xm:sqref>
        </x14:conditionalFormatting>
        <x14:conditionalFormatting xmlns:xm="http://schemas.microsoft.com/office/excel/2006/main">
          <x14:cfRule type="dataBar" id="{37F43684-826E-4787-9991-75296E34A9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M6:N17 Q6:R17 U6:V17 Y6:Z17 AC6:AD17 AG6:AH17 AK6:AL17 AO6:AP17 AS6:AT17 AW6:AX17 BA6:BB17 BE6:BF17</xm:sqref>
        </x14:conditionalFormatting>
        <x14:conditionalFormatting xmlns:xm="http://schemas.microsoft.com/office/excel/2006/main">
          <x14:cfRule type="dataBar" id="{E12C3409-8A7E-4710-8479-A4EEB03945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M19:N19</xm:sqref>
        </x14:conditionalFormatting>
        <x14:conditionalFormatting xmlns:xm="http://schemas.microsoft.com/office/excel/2006/main">
          <x14:cfRule type="dataBar" id="{55CBD436-E397-415F-A34C-CA41C54B71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M34:N34</xm:sqref>
        </x14:conditionalFormatting>
        <x14:conditionalFormatting xmlns:xm="http://schemas.microsoft.com/office/excel/2006/main">
          <x14:cfRule type="dataBar" id="{1C7CFC67-59CE-4BB6-9F5E-174CD10A30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M41:N41</xm:sqref>
        </x14:conditionalFormatting>
        <x14:conditionalFormatting xmlns:xm="http://schemas.microsoft.com/office/excel/2006/main">
          <x14:cfRule type="dataBar" id="{588DF46B-A8FA-4A93-9E66-D5E89543DB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M51:N51</xm:sqref>
        </x14:conditionalFormatting>
        <x14:conditionalFormatting xmlns:xm="http://schemas.microsoft.com/office/excel/2006/main">
          <x14:cfRule type="dataBar" id="{C7A6C479-F41F-4DA6-A004-7BB940A3BA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M56:N56</xm:sqref>
        </x14:conditionalFormatting>
        <x14:conditionalFormatting xmlns:xm="http://schemas.microsoft.com/office/excel/2006/main">
          <x14:cfRule type="dataBar" id="{8FA7F497-E4B7-43F6-9B77-28927ACE09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N20:N26</xm:sqref>
        </x14:conditionalFormatting>
        <x14:conditionalFormatting xmlns:xm="http://schemas.microsoft.com/office/excel/2006/main">
          <x14:cfRule type="dataBar" id="{D54A6F1C-E831-4C58-876E-D637D9FB53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D81B3B-E7CC-4AF8-91E3-1400AFAF5D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9E28FB-DD07-4383-BD51-CE441D6829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ADF8116D-B7EC-445B-A1C6-DD99DEE921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447C0A-DDB7-4698-8FEB-BC6C8FB8B9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A88EFF-D8BD-479E-9329-C8E95DDD9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N29:N32</xm:sqref>
        </x14:conditionalFormatting>
        <x14:conditionalFormatting xmlns:xm="http://schemas.microsoft.com/office/excel/2006/main">
          <x14:cfRule type="dataBar" id="{7310EA36-98F3-4F4C-9520-4FE0B8488D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7A93B7-FDEC-4A47-A810-3A174F2E55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EB7FE7-EC37-441B-A6F3-5FCB5EFF21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41EC3C50-91E4-4926-BD0C-85C3EAAAA7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F9DC5F-9C03-49EB-B5EF-0CB8083AEA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F10AA5-D4EF-47A0-BE87-BF894C88A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4627E2-6F36-498F-B046-1A31BBA012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N35:N39</xm:sqref>
        </x14:conditionalFormatting>
        <x14:conditionalFormatting xmlns:xm="http://schemas.microsoft.com/office/excel/2006/main">
          <x14:cfRule type="dataBar" id="{D5C68328-903C-4DF8-A2BF-9E704FC5B0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3A1020-FBC6-488C-967A-120A2F37E9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C47727-B565-4F1C-A33F-5F81F86B08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262E3A-0A2A-4094-9BA5-95F62C228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N41</xm:sqref>
        </x14:conditionalFormatting>
        <x14:conditionalFormatting xmlns:xm="http://schemas.microsoft.com/office/excel/2006/main">
          <x14:cfRule type="dataBar" id="{167C2367-BC95-492B-B818-3E4543258E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A4AC75-DF3F-4B50-A478-3A41FC7B28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C1ED60-C3AF-47E7-A2B1-EEF1C3E284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83C525-8A22-4C4F-AFAB-6E98F56D38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FD4EDA-A246-49BF-889B-705F18884D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N42:N49</xm:sqref>
        </x14:conditionalFormatting>
        <x14:conditionalFormatting xmlns:xm="http://schemas.microsoft.com/office/excel/2006/main">
          <x14:cfRule type="dataBar" id="{0DD6A27F-5D07-4F0D-A052-48A4425561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E54A95-7858-4FEC-A518-E3E50C310F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D3BF3D-AA0C-41E5-BD95-68AA174BB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N51</xm:sqref>
        </x14:conditionalFormatting>
        <x14:conditionalFormatting xmlns:xm="http://schemas.microsoft.com/office/excel/2006/main">
          <x14:cfRule type="dataBar" id="{8253D821-1E60-4E92-82AD-AD6C6E569E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66AD68-BAAA-423A-917F-C0B09A859A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E6CA0B-6AC9-4FA4-83AB-FAD09C5301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D47907-F362-4E63-8516-111758AF6F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N52:N54</xm:sqref>
        </x14:conditionalFormatting>
        <x14:conditionalFormatting xmlns:xm="http://schemas.microsoft.com/office/excel/2006/main">
          <x14:cfRule type="dataBar" id="{D59A4EE7-F3F7-4C6B-88BE-1F3BA4DC62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C306C3-1FBC-4CAA-8BC0-19387926F0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3BF6B0-7ADD-40B2-8658-4B5051CC75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A61927-EC4F-40CA-B4A0-E466B82650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N56:N58</xm:sqref>
        </x14:conditionalFormatting>
        <x14:conditionalFormatting xmlns:xm="http://schemas.microsoft.com/office/excel/2006/main">
          <x14:cfRule type="dataBar" id="{8A62F4DA-7569-4F76-B7A8-DD02D2897C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Q20:Q26</xm:sqref>
        </x14:conditionalFormatting>
        <x14:conditionalFormatting xmlns:xm="http://schemas.microsoft.com/office/excel/2006/main">
          <x14:cfRule type="dataBar" id="{E8163793-CA57-4258-92F7-F69D9C0B8D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C690D2-754F-4B18-8F2C-9BFDBC1A3A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B6F5F6-F1BF-4410-A001-92DD109913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E192513-5C17-4367-8F3A-218D305FC4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25D6E22-1267-4B8E-A19F-E3A60758BC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144F91-613A-4951-9567-1038179587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Q29:Q32</xm:sqref>
        </x14:conditionalFormatting>
        <x14:conditionalFormatting xmlns:xm="http://schemas.microsoft.com/office/excel/2006/main">
          <x14:cfRule type="dataBar" id="{37586CD8-8D7C-4635-A7E8-5736E382C4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709F47-26D6-4CE3-B45D-E6291536F2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C2700B-CFDB-4213-B61B-2A14EDD67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924D4BB7-1C95-44D6-BCD4-3674ED9B5F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76D4EC-C00D-4145-AF1C-E6E1854BE0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3C94E1-B0C4-46D7-A2C3-892037E31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3F695D-637C-4CAC-B858-A8AABAC819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Q35:Q39</xm:sqref>
        </x14:conditionalFormatting>
        <x14:conditionalFormatting xmlns:xm="http://schemas.microsoft.com/office/excel/2006/main">
          <x14:cfRule type="dataBar" id="{1B36EBFE-3408-4818-AB4A-C504428341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F0BC30-3B8E-466F-B92E-EE3F45925F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28CBAA-8F13-45DC-9A38-7D2AB712EA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DB0C47-177B-4A71-9090-1A811D3F18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A38E439E-D729-4005-9FDE-CD94A63F85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4F6EEF-FF42-4CC2-BE6C-AEFCBF0978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7C47DD-9078-44DA-AAC6-54BC4BB368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C52E77-7E56-407E-A24F-FFC08E3396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757DEF-F54C-4505-9226-3CB10134E0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Q42:Q49</xm:sqref>
        </x14:conditionalFormatting>
        <x14:conditionalFormatting xmlns:xm="http://schemas.microsoft.com/office/excel/2006/main">
          <x14:cfRule type="dataBar" id="{C98CC5F5-B96D-4A15-8D7C-5E2D4FEA09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D28522-74EB-4F4F-BA35-DF94DD82D6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4A9560-EAA9-4209-8A8F-6703C82BE4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D1E70AEA-8205-4D52-B2C9-9D6B8D1F84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FEB591-6EF2-4D59-824E-BEAAFD6DBC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1F3CC69-B009-4041-8E16-4FBD44EBCB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2D2F7C-F83E-4BE5-87AD-A1EE7D0524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Q52:Q54</xm:sqref>
        </x14:conditionalFormatting>
        <x14:conditionalFormatting xmlns:xm="http://schemas.microsoft.com/office/excel/2006/main">
          <x14:cfRule type="dataBar" id="{B40A3EEE-9E42-4203-884A-C2C25CF7CF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7FBF54-5B5D-4C57-81A0-D161A23A40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62BBCD-D3FA-4BBC-BFFD-A22291111C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E70BB1-5A71-4F43-AAD4-BA8C10A73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Q56</xm:sqref>
        </x14:conditionalFormatting>
        <x14:conditionalFormatting xmlns:xm="http://schemas.microsoft.com/office/excel/2006/main">
          <x14:cfRule type="dataBar" id="{D709AA9B-168D-4B42-92D4-1A39BF98EB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102502-F910-485E-BD26-FB0220D982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FA2678-02D9-416D-8C2F-35E2C1C9A7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D07FBF-464A-42DD-9EF9-31E0786764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576404-FCC0-4EF1-8AA3-0BAECE7C97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Q57:Q58</xm:sqref>
        </x14:conditionalFormatting>
        <x14:conditionalFormatting xmlns:xm="http://schemas.microsoft.com/office/excel/2006/main">
          <x14:cfRule type="dataBar" id="{1EE03F50-9753-4CA2-AA8A-6B1D333F72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749A70-19C3-4D7D-B91D-47DE0724FC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Q4:R4</xm:sqref>
        </x14:conditionalFormatting>
        <x14:conditionalFormatting xmlns:xm="http://schemas.microsoft.com/office/excel/2006/main">
          <x14:cfRule type="dataBar" id="{20149368-13CC-490B-BE14-30075F36A8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Q19:R19</xm:sqref>
        </x14:conditionalFormatting>
        <x14:conditionalFormatting xmlns:xm="http://schemas.microsoft.com/office/excel/2006/main">
          <x14:cfRule type="dataBar" id="{F4C74EBA-083D-45CD-8CC9-22175D23D3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Q34:R34</xm:sqref>
        </x14:conditionalFormatting>
        <x14:conditionalFormatting xmlns:xm="http://schemas.microsoft.com/office/excel/2006/main">
          <x14:cfRule type="dataBar" id="{7930D2A7-CF9C-45C9-8A71-A410424631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Q41:R41</xm:sqref>
        </x14:conditionalFormatting>
        <x14:conditionalFormatting xmlns:xm="http://schemas.microsoft.com/office/excel/2006/main">
          <x14:cfRule type="dataBar" id="{481628C5-F06E-4351-8668-26C2407C0C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Q51:R51</xm:sqref>
        </x14:conditionalFormatting>
        <x14:conditionalFormatting xmlns:xm="http://schemas.microsoft.com/office/excel/2006/main">
          <x14:cfRule type="dataBar" id="{669AEC2D-C2AD-40C2-878E-342DA2CBEF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Q56:R56</xm:sqref>
        </x14:conditionalFormatting>
        <x14:conditionalFormatting xmlns:xm="http://schemas.microsoft.com/office/excel/2006/main">
          <x14:cfRule type="dataBar" id="{F4A9838D-0AF1-4E28-9449-6F74EA1DCB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R20:R26</xm:sqref>
        </x14:conditionalFormatting>
        <x14:conditionalFormatting xmlns:xm="http://schemas.microsoft.com/office/excel/2006/main">
          <x14:cfRule type="dataBar" id="{6D13522C-F072-4B0E-A8F8-EFDA6E54B7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D5E3F9-843D-4260-9460-0953DF5DD5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06A93E-2434-40E6-9E7B-AC69FAA079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208400C-3DDE-44DB-A8B6-48F7281262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D219B8-13AB-4161-8B43-ED1ECC38A6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3AB303-3DBD-4867-89BB-DD04A290F1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R29:R32</xm:sqref>
        </x14:conditionalFormatting>
        <x14:conditionalFormatting xmlns:xm="http://schemas.microsoft.com/office/excel/2006/main">
          <x14:cfRule type="dataBar" id="{1CDEAE59-D54D-41E7-B31F-19446780EA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049E4F-D093-4938-BA90-A0238CA915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8FD892-15BE-43B0-8DC9-603B2B56CF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7A91B507-9F73-419E-B9AA-473195418C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BB8170-BBB3-4A0B-BA62-0635997E96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265797-FB3A-4C5E-918D-45823863BE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37E5C9-87AE-4081-8712-EDA306EF54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R35:R39</xm:sqref>
        </x14:conditionalFormatting>
        <x14:conditionalFormatting xmlns:xm="http://schemas.microsoft.com/office/excel/2006/main">
          <x14:cfRule type="dataBar" id="{2D8FC52C-6CA1-4A69-A95A-4EBFE0F487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CF71C5-482C-4527-B07A-0BA464833D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96CFA2-E522-41D9-BF09-B97C131F8B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416BEA-AD45-47D6-BF39-593ADEAF84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FC908615-4E2B-4908-8D06-88F515841D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8164B9-2A59-42E1-B2B9-E9535D953D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66A57A-99C1-4CD5-83B7-17129BDB3C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083187-58A7-4618-A15C-4D703D7AD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1BA429-5C17-4373-8A1B-1E786B7951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R42:R49</xm:sqref>
        </x14:conditionalFormatting>
        <x14:conditionalFormatting xmlns:xm="http://schemas.microsoft.com/office/excel/2006/main">
          <x14:cfRule type="dataBar" id="{A6220F4F-1B22-473F-BC69-4546646D42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5C1D73-90E0-4DB1-8246-CB53B72B08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FC4981-495E-4F0A-AEB2-206EBA551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5849336C-A9CA-478A-BAAF-48D11C6995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7E2AA8-F4B8-4769-9E28-1D9CF451B0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4DA372-28E6-49F3-9B05-6F127B9D10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1ED14F-C8DF-405C-8655-9370F29162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R52:R54</xm:sqref>
        </x14:conditionalFormatting>
        <x14:conditionalFormatting xmlns:xm="http://schemas.microsoft.com/office/excel/2006/main">
          <x14:cfRule type="dataBar" id="{DD636B99-D865-429B-9DF7-6875547252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9E3FF2-59C9-4FC6-AB51-95B9BC2C20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347C1C-1541-44DC-B7DC-6A85D3C2A8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1BAFA6-42B6-46F7-A65F-7BD2C2716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R56</xm:sqref>
        </x14:conditionalFormatting>
        <x14:conditionalFormatting xmlns:xm="http://schemas.microsoft.com/office/excel/2006/main">
          <x14:cfRule type="dataBar" id="{0E3FAB1B-D626-400E-AA7B-3445D790A4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B376C8-2E3A-4A20-BAF5-0972D38649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CC6DA9-2F16-4C6E-A491-21C623F0EC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7D33FC-757D-448B-9DE5-CED8EBE7E3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FBC8E8-DFB4-4628-BD5A-E9809FCB5C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R57:R58</xm:sqref>
        </x14:conditionalFormatting>
        <x14:conditionalFormatting xmlns:xm="http://schemas.microsoft.com/office/excel/2006/main">
          <x14:cfRule type="dataBar" id="{E718B187-03A6-4107-86F5-7E9502400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U20:U26</xm:sqref>
        </x14:conditionalFormatting>
        <x14:conditionalFormatting xmlns:xm="http://schemas.microsoft.com/office/excel/2006/main">
          <x14:cfRule type="dataBar" id="{CDD46764-21BC-4D63-A988-FCC51D4743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A578B2-B680-4C43-B05A-4509F8097C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B2EB51-2670-417A-B878-A7AB677813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U28</xm:sqref>
        </x14:conditionalFormatting>
        <x14:conditionalFormatting xmlns:xm="http://schemas.microsoft.com/office/excel/2006/main">
          <x14:cfRule type="dataBar" id="{298BCCF9-4757-419C-8D34-6052DBC7B6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44A5B4-BAB3-4725-9092-CA4542D87A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D20BF7-AB39-481B-A12E-1BCB22974D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U29:U32</xm:sqref>
        </x14:conditionalFormatting>
        <x14:conditionalFormatting xmlns:xm="http://schemas.microsoft.com/office/excel/2006/main">
          <x14:cfRule type="dataBar" id="{5DBAA813-4ED3-4E51-8EB0-6473F17F2C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BAEE20-E6BF-4C4A-82E8-7EC4A37645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6C5C82-6944-43AB-83FF-417040E62C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U34</xm:sqref>
        </x14:conditionalFormatting>
        <x14:conditionalFormatting xmlns:xm="http://schemas.microsoft.com/office/excel/2006/main">
          <x14:cfRule type="dataBar" id="{49FC5D65-D341-44C0-8775-47947BDD53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CB719B-1D41-47B6-A01B-67EE81105D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DDC316F-9AED-4F90-B202-85691E6FF5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E28D29-9B5D-4526-987D-D54E30E328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U35:U39</xm:sqref>
        </x14:conditionalFormatting>
        <x14:conditionalFormatting xmlns:xm="http://schemas.microsoft.com/office/excel/2006/main">
          <x14:cfRule type="dataBar" id="{FBAEA64F-9ECE-4388-9B7E-A692A0D31E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D58B67-2059-4EF8-8F95-8ACD1AB32F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A757D1-4750-426E-9E16-BD6892CAC7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7F5490-CD17-47C7-A757-0619CEF2F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U41</xm:sqref>
        </x14:conditionalFormatting>
        <x14:conditionalFormatting xmlns:xm="http://schemas.microsoft.com/office/excel/2006/main">
          <x14:cfRule type="dataBar" id="{64ADC645-1613-4B98-9195-817804378E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215733-E1BA-4833-BF6E-9F3CAD4601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E9AC10-ED00-4B8E-8410-075CC72C67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3F03DE-3410-4882-8CF6-46AE3412C4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7A7652-CE8D-47E6-A3BE-6D79BEBC54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U42:U49</xm:sqref>
        </x14:conditionalFormatting>
        <x14:conditionalFormatting xmlns:xm="http://schemas.microsoft.com/office/excel/2006/main">
          <x14:cfRule type="dataBar" id="{6AEB0D20-D21E-4708-8D08-7CE838C19D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3BCE63-2220-44B2-A602-4F93399625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B9DF92-F571-4D99-A2FC-30DF917DB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U51</xm:sqref>
        </x14:conditionalFormatting>
        <x14:conditionalFormatting xmlns:xm="http://schemas.microsoft.com/office/excel/2006/main">
          <x14:cfRule type="dataBar" id="{C40EA7EF-273D-453D-971D-5F177136EE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2D17D4-75CF-4D6A-B524-5CF912A4CC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63DA18-9210-4472-8993-919D23FF54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C957EC-8F54-4473-8D97-91354A4363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U52:U54</xm:sqref>
        </x14:conditionalFormatting>
        <x14:conditionalFormatting xmlns:xm="http://schemas.microsoft.com/office/excel/2006/main">
          <x14:cfRule type="dataBar" id="{5A44E8F2-C551-48A8-9FDB-1B77895074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ED6518-1302-4734-8F72-5B8E74F89C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A90A01-E733-4BA3-B265-C048B2FC7C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D3AE1E-9FD2-4839-90F1-DC28AC680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U56</xm:sqref>
        </x14:conditionalFormatting>
        <x14:conditionalFormatting xmlns:xm="http://schemas.microsoft.com/office/excel/2006/main">
          <x14:cfRule type="dataBar" id="{17BC12D2-5A6F-45D7-9C74-8A6A756A94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53EEBD-B743-42F7-9826-E386A567BA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70D10B3-D6E5-40A8-A9D9-A22AF20545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E0A9EE-EEDE-4351-8ABC-D009034A1D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CAD992-02AF-4579-B98D-A03399161E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U57:U58</xm:sqref>
        </x14:conditionalFormatting>
        <x14:conditionalFormatting xmlns:xm="http://schemas.microsoft.com/office/excel/2006/main">
          <x14:cfRule type="dataBar" id="{C1A689D6-49F3-44F0-BB97-C5D494BA60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9B4379-840E-4539-8B10-115F170D11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U4:V4</xm:sqref>
        </x14:conditionalFormatting>
        <x14:conditionalFormatting xmlns:xm="http://schemas.microsoft.com/office/excel/2006/main">
          <x14:cfRule type="dataBar" id="{B952C5E2-B3BE-42E3-83F7-A2F440C99A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U19:V19</xm:sqref>
        </x14:conditionalFormatting>
        <x14:conditionalFormatting xmlns:xm="http://schemas.microsoft.com/office/excel/2006/main">
          <x14:cfRule type="dataBar" id="{DF95ACA8-00EF-4189-83DF-3EC7230454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U34:V34</xm:sqref>
        </x14:conditionalFormatting>
        <x14:conditionalFormatting xmlns:xm="http://schemas.microsoft.com/office/excel/2006/main">
          <x14:cfRule type="dataBar" id="{0D634A15-3974-4EB0-B37C-9A07B48464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U41:V41</xm:sqref>
        </x14:conditionalFormatting>
        <x14:conditionalFormatting xmlns:xm="http://schemas.microsoft.com/office/excel/2006/main">
          <x14:cfRule type="dataBar" id="{80B10ED1-4582-4A74-A376-816D6D762C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U51:V51</xm:sqref>
        </x14:conditionalFormatting>
        <x14:conditionalFormatting xmlns:xm="http://schemas.microsoft.com/office/excel/2006/main">
          <x14:cfRule type="dataBar" id="{BBB84331-FF5D-4DB0-B87A-B642C0D571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U56:V56</xm:sqref>
        </x14:conditionalFormatting>
        <x14:conditionalFormatting xmlns:xm="http://schemas.microsoft.com/office/excel/2006/main">
          <x14:cfRule type="dataBar" id="{BF31E258-ABDD-40DD-B337-A61CEAC9D1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V20:V26</xm:sqref>
        </x14:conditionalFormatting>
        <x14:conditionalFormatting xmlns:xm="http://schemas.microsoft.com/office/excel/2006/main">
          <x14:cfRule type="dataBar" id="{73675C21-F239-47DF-907E-DD9C3CB038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402F83-0850-49A5-B768-3ACF1FB97B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F27735-C2D6-4A93-8FF0-571C9EB35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V28</xm:sqref>
        </x14:conditionalFormatting>
        <x14:conditionalFormatting xmlns:xm="http://schemas.microsoft.com/office/excel/2006/main">
          <x14:cfRule type="dataBar" id="{333F7899-0819-4329-9073-41A2F20B12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FB219A-78FB-41C7-AB4F-F80DEDE013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199370-0881-4D01-BC59-3DFA4EF0BD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V29:V32</xm:sqref>
        </x14:conditionalFormatting>
        <x14:conditionalFormatting xmlns:xm="http://schemas.microsoft.com/office/excel/2006/main">
          <x14:cfRule type="dataBar" id="{FB1531AA-DE13-4936-9B68-027A9208CD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A2B535-A53B-4BEF-8178-E729236318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6E6258-0A81-42B4-AB0D-58C870BE01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V34</xm:sqref>
        </x14:conditionalFormatting>
        <x14:conditionalFormatting xmlns:xm="http://schemas.microsoft.com/office/excel/2006/main">
          <x14:cfRule type="dataBar" id="{BB72165E-A2FA-4EBA-909C-411F743D63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532529-E342-4BE6-A804-6F795F0C77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EDECDC-11C6-4A6A-BCD8-C048145966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578E06-C020-40EB-AD0C-62324F5274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V35:V39</xm:sqref>
        </x14:conditionalFormatting>
        <x14:conditionalFormatting xmlns:xm="http://schemas.microsoft.com/office/excel/2006/main">
          <x14:cfRule type="dataBar" id="{80A58385-F5DE-43AF-A512-8E2C384CDA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8E3A31-0EE3-4A03-8647-098E929BAD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D5DDE5-4329-43B8-A3F0-E343AB1F4B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05EECA-C373-4DEA-A140-0247BA9E73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V41</xm:sqref>
        </x14:conditionalFormatting>
        <x14:conditionalFormatting xmlns:xm="http://schemas.microsoft.com/office/excel/2006/main">
          <x14:cfRule type="dataBar" id="{D6D33D42-E782-4226-A3B3-2976070E78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B95F7F8-58FE-4F74-ABBD-86B79F2325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C0EC0E-52D4-4EB1-A065-DF6EA2127D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E7050F-E495-46E1-A382-FC31011181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F2757B-1342-47DC-9840-A2468184AA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V42:V49</xm:sqref>
        </x14:conditionalFormatting>
        <x14:conditionalFormatting xmlns:xm="http://schemas.microsoft.com/office/excel/2006/main">
          <x14:cfRule type="dataBar" id="{0C5373B6-9F3C-454B-AD15-5DFCC87A95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57C1D23-3E20-4D97-B23A-F7974B0E4C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C53688-F593-4BAB-8529-58FDF8E9CE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V51</xm:sqref>
        </x14:conditionalFormatting>
        <x14:conditionalFormatting xmlns:xm="http://schemas.microsoft.com/office/excel/2006/main">
          <x14:cfRule type="dataBar" id="{0D17CB1A-2111-4D1A-809C-F797657DAC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0815EC-9816-425C-BFBA-112702025A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1EEE5E-0CEF-4474-8C1D-83CADC9F13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429E07-049C-424C-A625-A662C73EDD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V52:V54</xm:sqref>
        </x14:conditionalFormatting>
        <x14:conditionalFormatting xmlns:xm="http://schemas.microsoft.com/office/excel/2006/main">
          <x14:cfRule type="dataBar" id="{1D657803-7778-43D4-903A-9337BAC48F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6BB163-BE39-407E-A89C-0D195A5F40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805783-21DC-403E-B95A-A61BE0B6BD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747E09-97D3-46AB-A303-85DD3A424B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V56</xm:sqref>
        </x14:conditionalFormatting>
        <x14:conditionalFormatting xmlns:xm="http://schemas.microsoft.com/office/excel/2006/main">
          <x14:cfRule type="dataBar" id="{48B047FF-0D93-4411-BDA6-93ECB8DC8D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E46575-2747-4B95-B0E8-87B90DE9BC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48083F-FCB5-4159-ABCE-C2A4F42841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10CA8B-559D-4C80-94DB-FC508393FF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6E6314-03C4-40C9-8C03-1A74D238D0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V57:V58</xm:sqref>
        </x14:conditionalFormatting>
        <x14:conditionalFormatting xmlns:xm="http://schemas.microsoft.com/office/excel/2006/main">
          <x14:cfRule type="dataBar" id="{DF2EDC4E-518A-4ABB-BF6B-2758E0FC49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Y20:Y26</xm:sqref>
        </x14:conditionalFormatting>
        <x14:conditionalFormatting xmlns:xm="http://schemas.microsoft.com/office/excel/2006/main">
          <x14:cfRule type="dataBar" id="{8F150FE7-B594-4341-A070-B0947ABDA5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26C721-8C01-4C67-B0C1-525A5E4BB0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3D7DEEB-91C4-42CD-80C6-3E586E9FE6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Y28</xm:sqref>
        </x14:conditionalFormatting>
        <x14:conditionalFormatting xmlns:xm="http://schemas.microsoft.com/office/excel/2006/main">
          <x14:cfRule type="dataBar" id="{06B3B71D-EDE8-471B-98E7-32EFED5B1B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D3DB58-CAF2-4075-BCE1-7F25FB25B2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3DD2B0-D6AD-45B6-8D1D-C7C1F2F1D6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Y29:Y32</xm:sqref>
        </x14:conditionalFormatting>
        <x14:conditionalFormatting xmlns:xm="http://schemas.microsoft.com/office/excel/2006/main">
          <x14:cfRule type="dataBar" id="{1092FEF6-3EBC-44BF-B394-4293D6BED0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B71069-0A76-46D8-8E37-7219D88134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B392FF-B4C0-4BA3-AB6E-9A466F55C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Y34</xm:sqref>
        </x14:conditionalFormatting>
        <x14:conditionalFormatting xmlns:xm="http://schemas.microsoft.com/office/excel/2006/main">
          <x14:cfRule type="dataBar" id="{956B4212-855B-483A-903C-AC2ADA5CEA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DF0B05-B25F-45E5-89D3-EE8EC6F153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10AFC0-0339-4116-9B96-FE2A53EAD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D00E6C-33E0-46EB-ABAE-289C8593A0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Y35:Y39</xm:sqref>
        </x14:conditionalFormatting>
        <x14:conditionalFormatting xmlns:xm="http://schemas.microsoft.com/office/excel/2006/main">
          <x14:cfRule type="dataBar" id="{0C332743-4BB5-465B-A899-380A235B74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9E94F1-7DF0-45A0-A3E3-E62E1C4468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F29A7D-DC35-4341-9D84-BE430F1829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D551169-6660-4C87-8BD3-4DFF655B57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Y41</xm:sqref>
        </x14:conditionalFormatting>
        <x14:conditionalFormatting xmlns:xm="http://schemas.microsoft.com/office/excel/2006/main">
          <x14:cfRule type="dataBar" id="{9969F2F7-760E-4D96-AAC9-BF237DCBC3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F64293-6A27-47EA-87E7-84493CD292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4F9AFD-A91F-4A72-99DC-5DE055C15B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9F5391-81C7-490E-A67D-C64A03D90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12A205-C0CA-4867-AC7F-9C6B7547FB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Y42:Y49</xm:sqref>
        </x14:conditionalFormatting>
        <x14:conditionalFormatting xmlns:xm="http://schemas.microsoft.com/office/excel/2006/main">
          <x14:cfRule type="dataBar" id="{0A334C85-1860-42F7-8CDC-DCB293EF60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81846E-3209-4007-A0C6-1AAED509D0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E19534-79B9-4A25-A760-790D6AF50A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Y51</xm:sqref>
        </x14:conditionalFormatting>
        <x14:conditionalFormatting xmlns:xm="http://schemas.microsoft.com/office/excel/2006/main">
          <x14:cfRule type="dataBar" id="{1E79097D-AAD3-48CE-82A8-06AB149988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57DE45-6E6E-4B46-8A56-6206786D3E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32A3E2-85AB-4070-94E6-89E2CB76FB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2A4D57-A2D5-451D-B9E2-36E0167A30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Y52:Y54</xm:sqref>
        </x14:conditionalFormatting>
        <x14:conditionalFormatting xmlns:xm="http://schemas.microsoft.com/office/excel/2006/main">
          <x14:cfRule type="dataBar" id="{5FBB99AE-AC09-4410-9CE4-AFED97C440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657319-4919-415A-803A-DDE922AC33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B2A0AB-9844-4CEC-819F-8D00DFEB57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56CAFC-47EE-4862-8714-D1DD01B35D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Y56</xm:sqref>
        </x14:conditionalFormatting>
        <x14:conditionalFormatting xmlns:xm="http://schemas.microsoft.com/office/excel/2006/main">
          <x14:cfRule type="dataBar" id="{D8BD736F-73BD-43DB-895C-944104D402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C6571E-9C50-45E8-BC59-2D43895FBA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005854-6A60-4873-924F-C961EB6948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10BF5E-39B0-45A8-9F2B-7CF9FA9FCA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777C91-D828-44AD-A045-C979B3FDB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Y57:Y58</xm:sqref>
        </x14:conditionalFormatting>
        <x14:conditionalFormatting xmlns:xm="http://schemas.microsoft.com/office/excel/2006/main">
          <x14:cfRule type="dataBar" id="{7507C2B7-DD99-4C94-8B0A-4238153557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C808CD-F6CA-4A0C-A3D5-8203CEF9E5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Y4:Z4</xm:sqref>
        </x14:conditionalFormatting>
        <x14:conditionalFormatting xmlns:xm="http://schemas.microsoft.com/office/excel/2006/main">
          <x14:cfRule type="dataBar" id="{E7A63641-1BBD-4CC9-8E66-8994F725C0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Y19:Z19</xm:sqref>
        </x14:conditionalFormatting>
        <x14:conditionalFormatting xmlns:xm="http://schemas.microsoft.com/office/excel/2006/main">
          <x14:cfRule type="dataBar" id="{A594B499-653F-4567-A638-5FB74CFCE6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Y34:Z34</xm:sqref>
        </x14:conditionalFormatting>
        <x14:conditionalFormatting xmlns:xm="http://schemas.microsoft.com/office/excel/2006/main">
          <x14:cfRule type="dataBar" id="{2C8EF150-466C-48E4-84A1-B5FF83F1E1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Y41:Z41</xm:sqref>
        </x14:conditionalFormatting>
        <x14:conditionalFormatting xmlns:xm="http://schemas.microsoft.com/office/excel/2006/main">
          <x14:cfRule type="dataBar" id="{4D2D4294-B640-4E5D-8571-F0DCAC2713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Y51:Z51</xm:sqref>
        </x14:conditionalFormatting>
        <x14:conditionalFormatting xmlns:xm="http://schemas.microsoft.com/office/excel/2006/main">
          <x14:cfRule type="dataBar" id="{61251447-26B3-41D0-BDFC-1086F426C8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Y56:Z56</xm:sqref>
        </x14:conditionalFormatting>
        <x14:conditionalFormatting xmlns:xm="http://schemas.microsoft.com/office/excel/2006/main">
          <x14:cfRule type="dataBar" id="{13033759-0597-46D2-ABBC-BF0ED3C054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Z20:Z26</xm:sqref>
        </x14:conditionalFormatting>
        <x14:conditionalFormatting xmlns:xm="http://schemas.microsoft.com/office/excel/2006/main">
          <x14:cfRule type="dataBar" id="{B15C049C-237C-49F9-8C65-4DF4547854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6A1C1A-8609-4AA4-8646-DCB8051ADB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CD67EA-8515-49D8-8471-1D48B761D9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Z28</xm:sqref>
        </x14:conditionalFormatting>
        <x14:conditionalFormatting xmlns:xm="http://schemas.microsoft.com/office/excel/2006/main">
          <x14:cfRule type="dataBar" id="{4D18A614-0CC1-4E3E-97DD-B494698B12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5DC8CC-90AE-4A10-AA7A-83B76BA058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3EFA475-0D49-4AA1-A7AE-A4321DAA30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Z29:Z32</xm:sqref>
        </x14:conditionalFormatting>
        <x14:conditionalFormatting xmlns:xm="http://schemas.microsoft.com/office/excel/2006/main">
          <x14:cfRule type="dataBar" id="{4C9DC5D9-1B6F-4F31-807A-26BA46D4AD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E9ABA1-CE41-49A4-B6D8-B55A66048B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780BE8-FCF7-455D-B4CA-5101E85DA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Z34</xm:sqref>
        </x14:conditionalFormatting>
        <x14:conditionalFormatting xmlns:xm="http://schemas.microsoft.com/office/excel/2006/main">
          <x14:cfRule type="dataBar" id="{71C4B4A7-586E-4518-8F15-8097032748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41DA52D-AB86-4246-BA3F-D4F05DA1E4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50B4B8-9891-4EAE-8673-2545FA1914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B075D4-96ED-4680-869F-397D0C1F8C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Z35:Z39</xm:sqref>
        </x14:conditionalFormatting>
        <x14:conditionalFormatting xmlns:xm="http://schemas.microsoft.com/office/excel/2006/main">
          <x14:cfRule type="dataBar" id="{A5974BD6-7A08-4F53-94E8-E7C8388D12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FC631D-4278-4BD7-85F4-E6E64D0AC7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AF2B44-E7C2-4576-BCE6-1FF5376F70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CCF22A-0F7E-4DAE-AAA7-B6D8D2DA6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Z41</xm:sqref>
        </x14:conditionalFormatting>
        <x14:conditionalFormatting xmlns:xm="http://schemas.microsoft.com/office/excel/2006/main">
          <x14:cfRule type="dataBar" id="{74F42C22-AF85-4ADF-B3AE-46D879A8DF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98F110-49A5-4FE7-BAD7-A89A4598E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A0E32B-6700-4DF0-8D69-D378E70D6F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01C329-30F9-419C-B237-D49834DDF1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075B3E-42D5-4B04-8D02-7BCBFEDA81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Z42:Z49</xm:sqref>
        </x14:conditionalFormatting>
        <x14:conditionalFormatting xmlns:xm="http://schemas.microsoft.com/office/excel/2006/main">
          <x14:cfRule type="dataBar" id="{C6332B00-E98F-458D-8D5F-622C63C2E6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126024-17D9-458D-96D6-5785279A2B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F81CD7-F5E8-4CEB-A163-A2E1C32FC2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Z51</xm:sqref>
        </x14:conditionalFormatting>
        <x14:conditionalFormatting xmlns:xm="http://schemas.microsoft.com/office/excel/2006/main">
          <x14:cfRule type="dataBar" id="{560ECF0B-6AC3-411C-9FB1-78C88991E4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6BA68C-7041-461B-AD42-DA55BDB1B6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3A9C6B-0B56-4C4A-B7DC-6694862FD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FDF20C-E7C7-482A-B020-CA72BD288E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Z52:Z54</xm:sqref>
        </x14:conditionalFormatting>
        <x14:conditionalFormatting xmlns:xm="http://schemas.microsoft.com/office/excel/2006/main">
          <x14:cfRule type="dataBar" id="{B1E8D7F5-4512-4D7F-BE81-5246926C26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96B3DE-F638-43D7-B064-CAE09789F3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E503D3-BC31-4528-B357-4D1971D98B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C323B3-6D17-4FAF-8523-F7F0FAC03D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Z56</xm:sqref>
        </x14:conditionalFormatting>
        <x14:conditionalFormatting xmlns:xm="http://schemas.microsoft.com/office/excel/2006/main">
          <x14:cfRule type="dataBar" id="{3C49F500-3D77-4905-941C-2C958996EA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7498B6-071D-4C4E-8D0A-F51D6B505C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5C105F-9A56-4FE2-A12F-57400012FF5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37DE91-33CA-4BD3-A829-462FBD2FC4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E2B0A5-9AAF-4035-97F9-1B22510572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Z57:Z58</xm:sqref>
        </x14:conditionalFormatting>
        <x14:conditionalFormatting xmlns:xm="http://schemas.microsoft.com/office/excel/2006/main">
          <x14:cfRule type="dataBar" id="{F7C6F15D-02A4-4482-A317-CED4489BCE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AC20:AC26</xm:sqref>
        </x14:conditionalFormatting>
        <x14:conditionalFormatting xmlns:xm="http://schemas.microsoft.com/office/excel/2006/main">
          <x14:cfRule type="dataBar" id="{AB67BB71-7172-4ED0-86C3-A9A35E0236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7E3D81-110E-49EC-98DD-DDBC4F993A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E34693-20B9-47E0-8AA6-1D2C18052E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AC28</xm:sqref>
        </x14:conditionalFormatting>
        <x14:conditionalFormatting xmlns:xm="http://schemas.microsoft.com/office/excel/2006/main">
          <x14:cfRule type="dataBar" id="{2087578A-944C-4D24-BD3A-47E4C7BCBF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D735BC-ED20-4F9D-8213-0AC47752CD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3C24CB-761F-46ED-8A2A-38CD1E6FD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AC29:AC32</xm:sqref>
        </x14:conditionalFormatting>
        <x14:conditionalFormatting xmlns:xm="http://schemas.microsoft.com/office/excel/2006/main">
          <x14:cfRule type="dataBar" id="{E3FA4860-B3C4-4784-BE33-0D174D44D5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0E9F85-73E5-4F6D-A369-5955268D8E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36BABE-951F-403B-898E-B782EC01B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AC34</xm:sqref>
        </x14:conditionalFormatting>
        <x14:conditionalFormatting xmlns:xm="http://schemas.microsoft.com/office/excel/2006/main">
          <x14:cfRule type="dataBar" id="{89353D64-B1BA-40A5-B03F-24FB296E39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F84995-4C47-4A4B-8A80-4D70C8E234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89BA9E-2E79-46D3-B170-3D86F9D85C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242FB1-6C1F-4FA7-B0D0-8D0B1699A3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AC35:AC39</xm:sqref>
        </x14:conditionalFormatting>
        <x14:conditionalFormatting xmlns:xm="http://schemas.microsoft.com/office/excel/2006/main">
          <x14:cfRule type="dataBar" id="{715AB4DB-1FF3-4D32-A914-1BC75630A6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71BF8D-8CD4-4CC5-8E2C-3404F28CAA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275D23-71B4-4257-9BA4-78B7763992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9189406-F658-4778-A5AC-874A04F419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AC41</xm:sqref>
        </x14:conditionalFormatting>
        <x14:conditionalFormatting xmlns:xm="http://schemas.microsoft.com/office/excel/2006/main">
          <x14:cfRule type="dataBar" id="{09EB0F29-FE92-43C2-8A9E-9BE017FC3F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C8655E-0544-410F-832F-58D8D5607D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00F5D5-5DED-4C0E-B4C8-363E891809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B47E1A-6E33-4FEF-9EC3-1CA13D7D41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865A59-409C-4C41-A631-53CFA9252E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AC42:AC49</xm:sqref>
        </x14:conditionalFormatting>
        <x14:conditionalFormatting xmlns:xm="http://schemas.microsoft.com/office/excel/2006/main">
          <x14:cfRule type="dataBar" id="{B92DB87A-9F60-4E05-B6FB-8B277F42AB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821EEC-96D5-4D9C-AF04-A843480706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BE0293-EE49-4128-9079-78D958665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AC51</xm:sqref>
        </x14:conditionalFormatting>
        <x14:conditionalFormatting xmlns:xm="http://schemas.microsoft.com/office/excel/2006/main">
          <x14:cfRule type="dataBar" id="{7C2BB518-DEB9-4651-8915-42DAF7FEF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57B3D28-717C-4D8D-B6EF-702D7F52B9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9BFA7C-A0CE-4684-B7E2-BF6935D099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26B906-AF72-40E2-A5B1-5D96C2540D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AC52:AC54</xm:sqref>
        </x14:conditionalFormatting>
        <x14:conditionalFormatting xmlns:xm="http://schemas.microsoft.com/office/excel/2006/main">
          <x14:cfRule type="dataBar" id="{2EB55BBF-48BD-483D-9D61-AC5F9B8149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CBA1BDA-B42A-4D49-9CA8-A3BFFAEC37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A72171-99B8-4807-99E5-075FDB179F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63E243-3E1A-4F72-9809-853D22BE46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AC56</xm:sqref>
        </x14:conditionalFormatting>
        <x14:conditionalFormatting xmlns:xm="http://schemas.microsoft.com/office/excel/2006/main">
          <x14:cfRule type="dataBar" id="{CB33DF47-49A9-43C8-B7AA-5EB0FE991C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9CA1BD-F726-495F-973F-AE7D0AF8BA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818B69-91A5-426D-9EAD-F5C1914658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419837-D5AF-46E2-B632-5A7DD2E8E8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B6B50E-33BC-48E9-B3A7-C8CF363040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AC57:AC58</xm:sqref>
        </x14:conditionalFormatting>
        <x14:conditionalFormatting xmlns:xm="http://schemas.microsoft.com/office/excel/2006/main">
          <x14:cfRule type="dataBar" id="{F5B8B44F-F1E9-4D24-883A-3574572442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0426C8-9E01-4528-BCAE-937F468A99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AC4:AD4</xm:sqref>
        </x14:conditionalFormatting>
        <x14:conditionalFormatting xmlns:xm="http://schemas.microsoft.com/office/excel/2006/main">
          <x14:cfRule type="dataBar" id="{26623097-761D-4623-8ACD-4F5801EE72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AC19:AD19</xm:sqref>
        </x14:conditionalFormatting>
        <x14:conditionalFormatting xmlns:xm="http://schemas.microsoft.com/office/excel/2006/main">
          <x14:cfRule type="dataBar" id="{ED9A6ADF-E229-4D0E-9A08-0DA556FC50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AC34:AD34</xm:sqref>
        </x14:conditionalFormatting>
        <x14:conditionalFormatting xmlns:xm="http://schemas.microsoft.com/office/excel/2006/main">
          <x14:cfRule type="dataBar" id="{8A570F3D-F9F7-487F-B535-F7980D6E97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AC41:AD41</xm:sqref>
        </x14:conditionalFormatting>
        <x14:conditionalFormatting xmlns:xm="http://schemas.microsoft.com/office/excel/2006/main">
          <x14:cfRule type="dataBar" id="{CA797F42-DF66-4DA1-B15C-F038924A4A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AC51:AD51</xm:sqref>
        </x14:conditionalFormatting>
        <x14:conditionalFormatting xmlns:xm="http://schemas.microsoft.com/office/excel/2006/main">
          <x14:cfRule type="dataBar" id="{7938A4CD-51F1-4F07-B787-153936D5A9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AC56:AD56</xm:sqref>
        </x14:conditionalFormatting>
        <x14:conditionalFormatting xmlns:xm="http://schemas.microsoft.com/office/excel/2006/main">
          <x14:cfRule type="dataBar" id="{801E96C8-AA00-41CD-A515-8653EB34B2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AD20:AD26</xm:sqref>
        </x14:conditionalFormatting>
        <x14:conditionalFormatting xmlns:xm="http://schemas.microsoft.com/office/excel/2006/main">
          <x14:cfRule type="dataBar" id="{B978E897-34B5-459A-9224-B62353B369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E41162-D75B-4AE6-A16C-E914266025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09917A-2143-4571-A07C-4D2597CC3C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AD28</xm:sqref>
        </x14:conditionalFormatting>
        <x14:conditionalFormatting xmlns:xm="http://schemas.microsoft.com/office/excel/2006/main">
          <x14:cfRule type="dataBar" id="{BF6359D2-78D4-42C0-8097-B265103297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07BBC7-B050-4494-AC04-65AF75D4D6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06FA58-718D-4459-A53C-511B722DD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AD29:AD32</xm:sqref>
        </x14:conditionalFormatting>
        <x14:conditionalFormatting xmlns:xm="http://schemas.microsoft.com/office/excel/2006/main">
          <x14:cfRule type="dataBar" id="{C4691722-B841-41F0-BA9B-57C8E8FD12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0C4D51-4C52-48E3-BAEF-95FAF8858B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1A79D8-644E-4160-885E-137EE94BFC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AD34</xm:sqref>
        </x14:conditionalFormatting>
        <x14:conditionalFormatting xmlns:xm="http://schemas.microsoft.com/office/excel/2006/main">
          <x14:cfRule type="dataBar" id="{A60EEA80-819A-4A5D-B7C5-4043B5B45F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C00D18-7CA3-48DD-8B15-7EA7E08BD9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F93911-0787-4A9C-9152-0A64637F25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36BD61-DB15-49F1-B2F3-07989C9B68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AD35:AD39</xm:sqref>
        </x14:conditionalFormatting>
        <x14:conditionalFormatting xmlns:xm="http://schemas.microsoft.com/office/excel/2006/main">
          <x14:cfRule type="dataBar" id="{982884ED-84C9-45E7-84C1-5BBC194E74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53CF18-0D40-4DBB-9826-43913EB924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63311D-2F4A-468E-A489-2F0BF33841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DDED71-9477-46A4-B46B-BFF134756D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AD41</xm:sqref>
        </x14:conditionalFormatting>
        <x14:conditionalFormatting xmlns:xm="http://schemas.microsoft.com/office/excel/2006/main">
          <x14:cfRule type="dataBar" id="{6DD71FE3-2240-43F2-8852-EE672AD3DF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463AE8-C767-4085-A7D6-71FB6E589E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047896-A6ED-4599-BBD1-0666597E27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7799D7-D9B5-43D8-9408-A1478328D6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F33322-EA40-4EB3-9499-9C0FD18765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AD42:AD49</xm:sqref>
        </x14:conditionalFormatting>
        <x14:conditionalFormatting xmlns:xm="http://schemas.microsoft.com/office/excel/2006/main">
          <x14:cfRule type="dataBar" id="{EB435B77-5C97-467B-9C2B-0D7AA906A0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1CE27E4-0B70-4FFC-8158-99C7109066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1ED401-356D-4129-AC65-2127907EB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AD51</xm:sqref>
        </x14:conditionalFormatting>
        <x14:conditionalFormatting xmlns:xm="http://schemas.microsoft.com/office/excel/2006/main">
          <x14:cfRule type="dataBar" id="{E2D180DD-0076-41DB-B6DF-4D6972EDD8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B42058-F444-494A-B960-2CE59A8B1D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9BEC29-54F4-4C49-BA5C-1A1AC93C3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0693B6-F507-4B1C-80C4-9563FC660E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AD52:AD54</xm:sqref>
        </x14:conditionalFormatting>
        <x14:conditionalFormatting xmlns:xm="http://schemas.microsoft.com/office/excel/2006/main">
          <x14:cfRule type="dataBar" id="{1AFD4A36-4AD7-47CC-B769-2C2E56A480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CCDAEE-9150-4503-86B4-1CB94F709F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70C796-3E50-4F8E-9A0C-5F53F6C741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677E5C-A7B9-40E1-B6B3-46F99C39C6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AD56</xm:sqref>
        </x14:conditionalFormatting>
        <x14:conditionalFormatting xmlns:xm="http://schemas.microsoft.com/office/excel/2006/main">
          <x14:cfRule type="dataBar" id="{78C85D28-2420-48D5-8495-EA94607B5B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98D687-30F9-47EA-A78E-478FDEFD8A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04FBE6-D4EE-4D38-B756-71A1DB4361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5C08EB-3368-44F4-A12F-3FA55ECAC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5BD932E-7AB2-4BE8-9711-853DA7493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AD57:AD58</xm:sqref>
        </x14:conditionalFormatting>
        <x14:conditionalFormatting xmlns:xm="http://schemas.microsoft.com/office/excel/2006/main">
          <x14:cfRule type="dataBar" id="{4B19E783-EB7E-4523-96FF-3DFCA80E6A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AG20:AG26</xm:sqref>
        </x14:conditionalFormatting>
        <x14:conditionalFormatting xmlns:xm="http://schemas.microsoft.com/office/excel/2006/main">
          <x14:cfRule type="dataBar" id="{09333D44-C73E-458F-ADDF-89CC47D1FD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FBDFC5-9A47-4942-8FA0-D868B977AE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BDDADA-420A-4974-9096-F84D95085F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AG28</xm:sqref>
        </x14:conditionalFormatting>
        <x14:conditionalFormatting xmlns:xm="http://schemas.microsoft.com/office/excel/2006/main">
          <x14:cfRule type="dataBar" id="{DCFE4852-0473-4FE1-9AB2-844008E72D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D1CD25-4629-4400-A12C-F380612057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1F0C4B-6062-41AF-BDBF-D1E112BC84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AG29:AG32</xm:sqref>
        </x14:conditionalFormatting>
        <x14:conditionalFormatting xmlns:xm="http://schemas.microsoft.com/office/excel/2006/main">
          <x14:cfRule type="dataBar" id="{C9ECB772-A0EB-46E2-A84B-1FACEA5F0A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C9FFC9-F437-4135-B6E3-04782AB892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5DE6EC-93DB-479C-98EA-67F779D161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AG34</xm:sqref>
        </x14:conditionalFormatting>
        <x14:conditionalFormatting xmlns:xm="http://schemas.microsoft.com/office/excel/2006/main">
          <x14:cfRule type="dataBar" id="{8580B9A7-268B-4854-B6AD-A90DB220E1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B712FC-E6D0-45E2-959C-7610575AC1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29F0C4-E11A-40ED-9E26-1D39F36EDF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6C5B33-1AFA-4EFC-8404-930B30389B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AG35:AG39</xm:sqref>
        </x14:conditionalFormatting>
        <x14:conditionalFormatting xmlns:xm="http://schemas.microsoft.com/office/excel/2006/main">
          <x14:cfRule type="dataBar" id="{5A5E4D50-D5BD-4FF7-984E-CD399AEDB7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4EB01B-5AB2-4006-B04D-CD067D303B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B4FF0C-7E2D-41D1-BEC9-857308553E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67C46E-CF47-45AD-9328-F8BE3D64EF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AG41</xm:sqref>
        </x14:conditionalFormatting>
        <x14:conditionalFormatting xmlns:xm="http://schemas.microsoft.com/office/excel/2006/main">
          <x14:cfRule type="dataBar" id="{3E37AA6B-8C67-41B9-AB03-094D6DCA7A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BE74ED-DAE1-4976-9F9F-363B8501B0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D3CB50-2D3E-4DA5-840B-7A4141090B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3211D7-6562-4319-9ACF-D33A5C02CE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2B27D3-85D8-43FA-A2C5-8366439FAE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AG42:AG49</xm:sqref>
        </x14:conditionalFormatting>
        <x14:conditionalFormatting xmlns:xm="http://schemas.microsoft.com/office/excel/2006/main">
          <x14:cfRule type="dataBar" id="{9CA972F8-45AC-499B-861E-C0ABB5916E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102400-253E-44D0-9320-820FBEC9F0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45BC2F-4D1B-4B0A-A860-529B7349A5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AG51</xm:sqref>
        </x14:conditionalFormatting>
        <x14:conditionalFormatting xmlns:xm="http://schemas.microsoft.com/office/excel/2006/main">
          <x14:cfRule type="dataBar" id="{8617331E-4F9A-4AC9-BFF7-16887E5333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CC69CF6-A123-4899-BEE2-6D9D8A113D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9BB986-8518-4A74-A585-5F2503A4B0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2BCDC1-6803-48C2-AB00-379BFB3CD0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AG52:AG54</xm:sqref>
        </x14:conditionalFormatting>
        <x14:conditionalFormatting xmlns:xm="http://schemas.microsoft.com/office/excel/2006/main">
          <x14:cfRule type="dataBar" id="{02F892CE-3CF9-4F5C-89C5-F0165707C1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FFE8DC-04A1-4A48-83C3-9655D15192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C56E9C-150E-4C69-94D0-65C28F723B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48AA98-4791-482E-B942-C1B55DAAC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AG56</xm:sqref>
        </x14:conditionalFormatting>
        <x14:conditionalFormatting xmlns:xm="http://schemas.microsoft.com/office/excel/2006/main">
          <x14:cfRule type="dataBar" id="{E29CCA94-D42F-48D4-9A7B-DFFC1A4D31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9160F9-F33A-4604-896F-2CD746207A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68EC5C-872E-4F9B-8081-039805D2CA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AC263F-DF5A-4375-AB30-623ED738D3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4AB1F21-C1AF-4EA3-B80A-94D2C6DE4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AG57:AG58</xm:sqref>
        </x14:conditionalFormatting>
        <x14:conditionalFormatting xmlns:xm="http://schemas.microsoft.com/office/excel/2006/main">
          <x14:cfRule type="dataBar" id="{61E27857-0A37-4B2E-9EA3-F8DDD7706E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696CC4-8029-47B5-8874-7E02F3923C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AG4:AH4</xm:sqref>
        </x14:conditionalFormatting>
        <x14:conditionalFormatting xmlns:xm="http://schemas.microsoft.com/office/excel/2006/main">
          <x14:cfRule type="dataBar" id="{F99FB67B-2BF7-494E-A63B-EAD95C6446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AG19:AH19</xm:sqref>
        </x14:conditionalFormatting>
        <x14:conditionalFormatting xmlns:xm="http://schemas.microsoft.com/office/excel/2006/main">
          <x14:cfRule type="dataBar" id="{1974598A-4CA5-477F-A1C5-2EEC273910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AG34:AH34</xm:sqref>
        </x14:conditionalFormatting>
        <x14:conditionalFormatting xmlns:xm="http://schemas.microsoft.com/office/excel/2006/main">
          <x14:cfRule type="dataBar" id="{2AD3A63C-1C9E-46E1-A81C-36E81AFB92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AG41:AH41</xm:sqref>
        </x14:conditionalFormatting>
        <x14:conditionalFormatting xmlns:xm="http://schemas.microsoft.com/office/excel/2006/main">
          <x14:cfRule type="dataBar" id="{03385F97-E445-445E-B148-66AB87DA63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AG51:AH51</xm:sqref>
        </x14:conditionalFormatting>
        <x14:conditionalFormatting xmlns:xm="http://schemas.microsoft.com/office/excel/2006/main">
          <x14:cfRule type="dataBar" id="{82897555-6064-4610-A66D-7A1BCBFF66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AG56:AH56</xm:sqref>
        </x14:conditionalFormatting>
        <x14:conditionalFormatting xmlns:xm="http://schemas.microsoft.com/office/excel/2006/main">
          <x14:cfRule type="dataBar" id="{16D31B67-F44B-4542-BB18-3D570BC324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AH20:AH26</xm:sqref>
        </x14:conditionalFormatting>
        <x14:conditionalFormatting xmlns:xm="http://schemas.microsoft.com/office/excel/2006/main">
          <x14:cfRule type="dataBar" id="{6D947DF6-BAF9-4499-A425-3DABB9E4A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0F2A9C-550B-4A52-BC6E-CD602696E5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EF28DE-BD7D-42C4-A2F8-FC9F496EDC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AH28</xm:sqref>
        </x14:conditionalFormatting>
        <x14:conditionalFormatting xmlns:xm="http://schemas.microsoft.com/office/excel/2006/main">
          <x14:cfRule type="dataBar" id="{D6C82A1F-C7C7-42CB-8B19-BD774B7CA7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AD90E0-5B04-4E00-9085-7DEC08B704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AF2E96-68E1-407E-87A1-8C9910D767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AH29:AH32</xm:sqref>
        </x14:conditionalFormatting>
        <x14:conditionalFormatting xmlns:xm="http://schemas.microsoft.com/office/excel/2006/main">
          <x14:cfRule type="dataBar" id="{B3104899-F3F9-4222-A244-E824758803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468FC5-B850-4532-83E3-F05F28DC9A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1305F6-59B4-4126-925B-364BD16F0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AH34</xm:sqref>
        </x14:conditionalFormatting>
        <x14:conditionalFormatting xmlns:xm="http://schemas.microsoft.com/office/excel/2006/main">
          <x14:cfRule type="dataBar" id="{62D577E9-F76E-488E-BE3C-8FFB64E1C1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000BC3-D1AB-498B-929E-9E68CDC772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85F0EF0-A8EE-4596-BA7B-7B7545A311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19F6D6-61CD-48F7-B22A-3FE3B5D455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AH35:AH39</xm:sqref>
        </x14:conditionalFormatting>
        <x14:conditionalFormatting xmlns:xm="http://schemas.microsoft.com/office/excel/2006/main">
          <x14:cfRule type="dataBar" id="{3042B652-E026-41EB-8278-0C87BA3A08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931C33-DAA5-43F0-98AC-4786B1F1B5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F32A05C-1EEC-4F69-AC24-D469A089C2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A361C0-72D8-4874-8432-8D898CE06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AH41</xm:sqref>
        </x14:conditionalFormatting>
        <x14:conditionalFormatting xmlns:xm="http://schemas.microsoft.com/office/excel/2006/main">
          <x14:cfRule type="dataBar" id="{6D42D99D-B839-4777-B31A-C37113B146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B92BBE-8D2F-43EF-A90B-B244BE3111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AA3AFA-C01E-40F8-92D6-FF0207519A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7CB3F5-95F8-4F1C-99C8-8007C6A51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364716-FF3C-41E0-A9CE-BDB9A9B504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AH42:AH49</xm:sqref>
        </x14:conditionalFormatting>
        <x14:conditionalFormatting xmlns:xm="http://schemas.microsoft.com/office/excel/2006/main">
          <x14:cfRule type="dataBar" id="{AA434F1B-6599-42A0-B1AB-C579083344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6420DBD-C829-4E87-B889-8842D41F5C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0465C92-16EB-4EA8-A653-F495FA7704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AH51</xm:sqref>
        </x14:conditionalFormatting>
        <x14:conditionalFormatting xmlns:xm="http://schemas.microsoft.com/office/excel/2006/main">
          <x14:cfRule type="dataBar" id="{9F2C2432-1335-4400-82F6-DD5F721800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5FDC86-A1C4-413F-8452-BBE0081453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D859B7-35E0-43FD-BB1B-FD442DFAA4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6EA9FE-4D68-4150-ABBA-5576142A49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AH52:AH54</xm:sqref>
        </x14:conditionalFormatting>
        <x14:conditionalFormatting xmlns:xm="http://schemas.microsoft.com/office/excel/2006/main">
          <x14:cfRule type="dataBar" id="{3142DE1D-CCFE-40F3-8F58-90146467B9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426F3E-7F2B-4B11-9F7D-83761C0F1A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ABABB7-DD56-4ABE-9F8B-040C269643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38461A4-5E1D-442D-B5EC-00070A9053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AH56</xm:sqref>
        </x14:conditionalFormatting>
        <x14:conditionalFormatting xmlns:xm="http://schemas.microsoft.com/office/excel/2006/main">
          <x14:cfRule type="dataBar" id="{B2409782-3ED3-40D6-A1A1-CF61F45165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D577B7-DA81-4A50-A422-03820286EB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FD36B4-AA03-4DB2-A892-13BFE31D84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02E0FF-BC8E-4432-B4E2-61D6CFABA7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619740-887A-4348-8804-115CC7DC0B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AH57:AH58</xm:sqref>
        </x14:conditionalFormatting>
        <x14:conditionalFormatting xmlns:xm="http://schemas.microsoft.com/office/excel/2006/main">
          <x14:cfRule type="dataBar" id="{D56ECD31-7E16-4D7D-ACB8-24BD3C6D8A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AK20:AK26</xm:sqref>
        </x14:conditionalFormatting>
        <x14:conditionalFormatting xmlns:xm="http://schemas.microsoft.com/office/excel/2006/main">
          <x14:cfRule type="dataBar" id="{7CACB147-9B58-446F-982A-AA3E1D9F98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BFFCCE-8648-4449-88E6-1E04FD1752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43008A-3BF8-4C1E-AEC3-A28DE41E87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AK28</xm:sqref>
        </x14:conditionalFormatting>
        <x14:conditionalFormatting xmlns:xm="http://schemas.microsoft.com/office/excel/2006/main">
          <x14:cfRule type="dataBar" id="{7231EB9F-FC0E-40CF-A249-7896442719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F56870-A34C-4B01-9372-10CB48BB04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E32FEA-8224-42E7-9A2B-1768CBF81D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AK29:AK32</xm:sqref>
        </x14:conditionalFormatting>
        <x14:conditionalFormatting xmlns:xm="http://schemas.microsoft.com/office/excel/2006/main">
          <x14:cfRule type="dataBar" id="{5E85C834-AD1B-4778-956A-61CD43287F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F3618F-71CE-4204-89D4-33AF8BE30B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CD2F05-7B02-43E1-85B5-09F43EE51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AK34</xm:sqref>
        </x14:conditionalFormatting>
        <x14:conditionalFormatting xmlns:xm="http://schemas.microsoft.com/office/excel/2006/main">
          <x14:cfRule type="dataBar" id="{23813790-0A9F-48C1-B550-673476361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87B0DB-1027-4E25-B3D4-AFCC1058EA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84145C-EC6C-46DF-858B-313E726F4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7E4F5E-B039-4759-B571-E2BA5255EC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AK35:AK39</xm:sqref>
        </x14:conditionalFormatting>
        <x14:conditionalFormatting xmlns:xm="http://schemas.microsoft.com/office/excel/2006/main">
          <x14:cfRule type="dataBar" id="{7B212FD9-83DD-413D-AD1D-E0EA60F2B3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E0BBB6-E197-45D3-B165-5BD1C36E09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6841E3-A006-429C-97ED-476C8AEED6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2FDF49-8010-4976-9997-2985045D41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AK41</xm:sqref>
        </x14:conditionalFormatting>
        <x14:conditionalFormatting xmlns:xm="http://schemas.microsoft.com/office/excel/2006/main">
          <x14:cfRule type="dataBar" id="{047A7D32-CCD2-436E-BD24-0DB869E235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8229E8-4112-44E7-B4D1-4CE753395E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55FDF6-5D35-4817-8E22-D7CD4C4E06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0A5A54-EB62-4473-BBCC-BB27510777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E3E276-A583-49FE-A590-E763F7626D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AK42:AK49</xm:sqref>
        </x14:conditionalFormatting>
        <x14:conditionalFormatting xmlns:xm="http://schemas.microsoft.com/office/excel/2006/main">
          <x14:cfRule type="dataBar" id="{75E71AFA-AF27-4867-BDC4-C049EAF282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E78063-504E-4710-B55D-4D33460E2F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D8E258-3BE8-4FE1-B439-5263981D0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AK51</xm:sqref>
        </x14:conditionalFormatting>
        <x14:conditionalFormatting xmlns:xm="http://schemas.microsoft.com/office/excel/2006/main">
          <x14:cfRule type="dataBar" id="{780614AD-0897-4E64-A656-C5F7ACD0F4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F35397-1495-4E7C-B910-FC8F255093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4A30B5-7711-4D2A-90E4-20E27C03C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6EA53B-682B-4015-97A5-40BD03E2A6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AK52:AK54</xm:sqref>
        </x14:conditionalFormatting>
        <x14:conditionalFormatting xmlns:xm="http://schemas.microsoft.com/office/excel/2006/main">
          <x14:cfRule type="dataBar" id="{EC45BAF3-DDB2-420B-AB6E-2022016BE4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8E5E3F-6976-41FE-9C7F-85A4062113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2C3D68-0A0A-4C8B-8F4C-DFE8BAFECB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507296-18E1-43EC-AEB0-EA283B511F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AK56</xm:sqref>
        </x14:conditionalFormatting>
        <x14:conditionalFormatting xmlns:xm="http://schemas.microsoft.com/office/excel/2006/main">
          <x14:cfRule type="dataBar" id="{40ACB1BB-3E8E-4036-906C-756DB93DDB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A8A7A9-970F-4B79-8A68-60B851AE25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35FD18-7BF5-4C46-815B-29695A9CCD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9F293D-E9BA-4324-853F-A26391209A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85941D-8052-4C5A-AD0E-D5F8EA91A0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AK57:AK58</xm:sqref>
        </x14:conditionalFormatting>
        <x14:conditionalFormatting xmlns:xm="http://schemas.microsoft.com/office/excel/2006/main">
          <x14:cfRule type="dataBar" id="{DF14BEB3-BD84-42F7-AF63-97F9A6F28D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B1C96C-3F3B-4C24-92C7-311B653EBC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AK4:AL4</xm:sqref>
        </x14:conditionalFormatting>
        <x14:conditionalFormatting xmlns:xm="http://schemas.microsoft.com/office/excel/2006/main">
          <x14:cfRule type="dataBar" id="{14FCF7BC-2EB6-45C2-A3F0-F765A0F714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AK19:AL19</xm:sqref>
        </x14:conditionalFormatting>
        <x14:conditionalFormatting xmlns:xm="http://schemas.microsoft.com/office/excel/2006/main">
          <x14:cfRule type="dataBar" id="{01721ED1-3D78-4829-8DE2-413C929201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AK34:AL34</xm:sqref>
        </x14:conditionalFormatting>
        <x14:conditionalFormatting xmlns:xm="http://schemas.microsoft.com/office/excel/2006/main">
          <x14:cfRule type="dataBar" id="{A8058E80-4FC9-45C2-A283-B56F36BBC8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AK41:AL41</xm:sqref>
        </x14:conditionalFormatting>
        <x14:conditionalFormatting xmlns:xm="http://schemas.microsoft.com/office/excel/2006/main">
          <x14:cfRule type="dataBar" id="{5E8E8879-D064-4ED6-9A60-3C2FF41149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AK51:AL51</xm:sqref>
        </x14:conditionalFormatting>
        <x14:conditionalFormatting xmlns:xm="http://schemas.microsoft.com/office/excel/2006/main">
          <x14:cfRule type="dataBar" id="{71CC556B-F520-4C95-AB5E-F2A84A9B4F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AK56:AL56</xm:sqref>
        </x14:conditionalFormatting>
        <x14:conditionalFormatting xmlns:xm="http://schemas.microsoft.com/office/excel/2006/main">
          <x14:cfRule type="dataBar" id="{4B7FDE0D-29CF-4797-B9F9-84190ECA4C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AL20:AL26</xm:sqref>
        </x14:conditionalFormatting>
        <x14:conditionalFormatting xmlns:xm="http://schemas.microsoft.com/office/excel/2006/main">
          <x14:cfRule type="dataBar" id="{3C477569-D032-448B-988E-19DEFBBBA1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EFF000-581C-4E91-BA61-74E1898FDD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F08C62-F908-493E-9331-25CBD850F0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AL28</xm:sqref>
        </x14:conditionalFormatting>
        <x14:conditionalFormatting xmlns:xm="http://schemas.microsoft.com/office/excel/2006/main">
          <x14:cfRule type="dataBar" id="{475D33E8-259E-4D28-81E7-7F08345089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BFBFB2-E7BE-4158-A7A7-915D5C34A6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4A7B86-B239-483F-AB88-D3C8053723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AL29:AL32</xm:sqref>
        </x14:conditionalFormatting>
        <x14:conditionalFormatting xmlns:xm="http://schemas.microsoft.com/office/excel/2006/main">
          <x14:cfRule type="dataBar" id="{8E9DF35E-82C8-4B41-8954-840309D6FD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C04D29-5D82-4AE4-A31B-0266A2CF08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D43675-569F-4BDB-B845-1E985E9643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AL34</xm:sqref>
        </x14:conditionalFormatting>
        <x14:conditionalFormatting xmlns:xm="http://schemas.microsoft.com/office/excel/2006/main">
          <x14:cfRule type="dataBar" id="{CBF6EECD-8FD9-488B-B6D9-DF92B5378B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0287A5-4067-498B-8CEC-9EA2F4F8FC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7D04EA-4BDC-4BF2-909C-7094A4FDF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A75D10-CC1D-4755-87E6-647D541BB7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AL35:AL39</xm:sqref>
        </x14:conditionalFormatting>
        <x14:conditionalFormatting xmlns:xm="http://schemas.microsoft.com/office/excel/2006/main">
          <x14:cfRule type="dataBar" id="{3DFCCEFE-7C39-4F8B-83D5-92C8ABBC3F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9E3DEE-3F50-498C-B5D1-9D1DA21524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4DB4CA-58F5-4EE8-9C38-19AECB9114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4236104-04CC-4AA9-9CD8-ABBE43AB2A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AL41</xm:sqref>
        </x14:conditionalFormatting>
        <x14:conditionalFormatting xmlns:xm="http://schemas.microsoft.com/office/excel/2006/main">
          <x14:cfRule type="dataBar" id="{6B7C66A4-D6AD-43F3-9AFF-2288672AB6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6EF2A31-9DD6-427B-B5C4-43EDE8408E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EBC2E9-A463-4B4A-A6A5-12379D93AE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EAAA04-73C1-4B86-9D7C-48CE4B6136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294D07-41E0-47D0-9606-682FD0108C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AL42:AL49</xm:sqref>
        </x14:conditionalFormatting>
        <x14:conditionalFormatting xmlns:xm="http://schemas.microsoft.com/office/excel/2006/main">
          <x14:cfRule type="dataBar" id="{F1680765-B772-4475-BDEF-8B416A48B3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6A84F3-F86C-4A3E-BDB5-2FF4CE13FF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C3ED54-BF57-485C-A90D-FECF75E6F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AL51</xm:sqref>
        </x14:conditionalFormatting>
        <x14:conditionalFormatting xmlns:xm="http://schemas.microsoft.com/office/excel/2006/main">
          <x14:cfRule type="dataBar" id="{C40D7750-9996-4601-8C11-8B75346C2F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799804-7563-413A-B947-9FC70D6263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017421-2BE4-438C-8A2D-9595E7C215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B80A43-E183-499D-B247-14E84910F3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AL52:AL54</xm:sqref>
        </x14:conditionalFormatting>
        <x14:conditionalFormatting xmlns:xm="http://schemas.microsoft.com/office/excel/2006/main">
          <x14:cfRule type="dataBar" id="{E62B25F4-B32C-4152-8A80-E4D310C47D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2B3116-F341-4373-9262-DC02D74F4F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BB9845-793A-48C7-832B-A4AF4E93A7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46FB6E-8E80-48F1-813A-4B7A0E64E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AL56</xm:sqref>
        </x14:conditionalFormatting>
        <x14:conditionalFormatting xmlns:xm="http://schemas.microsoft.com/office/excel/2006/main">
          <x14:cfRule type="dataBar" id="{C8C5A55D-BE7F-4501-98F6-3FF4923B97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E13DD1-CA56-4E31-BE49-5FADD87D0B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273DAB-730D-412C-9619-D778FB6DFE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AA5288-D8F1-4070-AF3D-278F46CA7D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271AFD-86CB-4452-B9B2-9DDD482BB6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AL57:AL58</xm:sqref>
        </x14:conditionalFormatting>
        <x14:conditionalFormatting xmlns:xm="http://schemas.microsoft.com/office/excel/2006/main">
          <x14:cfRule type="dataBar" id="{53860017-4017-4BBE-8960-6CCE01FECD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AO20:AO26</xm:sqref>
        </x14:conditionalFormatting>
        <x14:conditionalFormatting xmlns:xm="http://schemas.microsoft.com/office/excel/2006/main">
          <x14:cfRule type="dataBar" id="{0499E96F-9EA4-46CF-9512-A6FB9EB6CF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C41730-38B8-4909-90D7-556D4F7824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DA9DBC-DDE6-4927-9E72-F64CC0BC6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AO28</xm:sqref>
        </x14:conditionalFormatting>
        <x14:conditionalFormatting xmlns:xm="http://schemas.microsoft.com/office/excel/2006/main">
          <x14:cfRule type="dataBar" id="{B5C4FCAE-F105-4871-AB43-6F60D59C47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8A2AC5-A308-496D-B156-1BD09E3E6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C235D7-3867-4D70-A773-2837F4964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AO29:AO32</xm:sqref>
        </x14:conditionalFormatting>
        <x14:conditionalFormatting xmlns:xm="http://schemas.microsoft.com/office/excel/2006/main">
          <x14:cfRule type="dataBar" id="{7542BE26-F124-4ABB-A278-95F22EB60A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816E89-E680-4BA2-BE69-B8B086B414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BF9F4C-F743-489F-8A17-3E280FE8ED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AO34</xm:sqref>
        </x14:conditionalFormatting>
        <x14:conditionalFormatting xmlns:xm="http://schemas.microsoft.com/office/excel/2006/main">
          <x14:cfRule type="dataBar" id="{D95F941B-76EB-4AB5-B715-DD0237400E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2CFFCD-8EA8-4C80-AB5E-B3336FF759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BEEEED-F659-4241-A2AD-7F683F0C97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FD243F-603B-4575-B1C8-3502506C7F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AO35:AO39</xm:sqref>
        </x14:conditionalFormatting>
        <x14:conditionalFormatting xmlns:xm="http://schemas.microsoft.com/office/excel/2006/main">
          <x14:cfRule type="dataBar" id="{D868DF14-D927-4FB6-A4B3-0ECA7F2A66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20E96E-3B83-4A5E-9E14-6F30CB0D5B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373886A-4D81-414E-9D97-BEFB1DBE39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C793E61-EEDE-4BDD-ABDF-7FA6992E12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AO41</xm:sqref>
        </x14:conditionalFormatting>
        <x14:conditionalFormatting xmlns:xm="http://schemas.microsoft.com/office/excel/2006/main">
          <x14:cfRule type="dataBar" id="{0E5F2B66-15C3-439E-A436-3FAA35AA1C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24F293-F223-4AA4-A8C5-77306218CA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472377-F72F-4288-9C55-F9D2260ACC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8D5072-8E14-4D54-9569-0ECF301159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3A8D19-A7E9-453D-ADFB-4B260B967D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AO42:AO49</xm:sqref>
        </x14:conditionalFormatting>
        <x14:conditionalFormatting xmlns:xm="http://schemas.microsoft.com/office/excel/2006/main">
          <x14:cfRule type="dataBar" id="{DEA5726D-6AC5-4D7A-A597-36A69DA0B5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BE403F-84D4-4193-824D-D70C4D5419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756892-E672-46F5-8509-D96EF57F15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AO51</xm:sqref>
        </x14:conditionalFormatting>
        <x14:conditionalFormatting xmlns:xm="http://schemas.microsoft.com/office/excel/2006/main">
          <x14:cfRule type="dataBar" id="{4BFDAEE8-D825-4B15-9E3E-CB0103F48B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CF73B1-A5E5-4AC6-AC2D-21333E424D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C770A1-4453-446F-AB0B-BAB59D68D3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AAAA0F-E8A9-4432-A57D-FBAE6133B7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AO52:AO54</xm:sqref>
        </x14:conditionalFormatting>
        <x14:conditionalFormatting xmlns:xm="http://schemas.microsoft.com/office/excel/2006/main">
          <x14:cfRule type="dataBar" id="{A414247C-C5E8-4FAA-9539-A9ED65EA46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6C45BE5-BF5B-4321-86EE-E95B792190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F01832-A0F7-4E2F-A781-C47B23E295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68E293-7288-4259-B747-24FF9C3CCE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AO56</xm:sqref>
        </x14:conditionalFormatting>
        <x14:conditionalFormatting xmlns:xm="http://schemas.microsoft.com/office/excel/2006/main">
          <x14:cfRule type="dataBar" id="{BB317B93-FEF1-4B1D-BC5B-84EECE952A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2A0F723-3AD8-49A1-AC48-30A1107993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7617FA-6A72-455A-80F2-8FAC31B921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F8908E3-1D64-4A68-A035-06A288C066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743115C-8278-4006-9E48-5C5CEAB063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AO57:AO58</xm:sqref>
        </x14:conditionalFormatting>
        <x14:conditionalFormatting xmlns:xm="http://schemas.microsoft.com/office/excel/2006/main">
          <x14:cfRule type="dataBar" id="{C5A17432-4ED3-4331-8692-D593F0314B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75D942-20FB-462D-9A65-BD6FAB24D3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AO4:AP4</xm:sqref>
        </x14:conditionalFormatting>
        <x14:conditionalFormatting xmlns:xm="http://schemas.microsoft.com/office/excel/2006/main">
          <x14:cfRule type="dataBar" id="{56CA5C8B-0B80-479E-9920-5FEB5DCA23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AO19:AP19</xm:sqref>
        </x14:conditionalFormatting>
        <x14:conditionalFormatting xmlns:xm="http://schemas.microsoft.com/office/excel/2006/main">
          <x14:cfRule type="dataBar" id="{D144BF50-C9C9-47DF-991F-D188CAA5FA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AO34:AP34</xm:sqref>
        </x14:conditionalFormatting>
        <x14:conditionalFormatting xmlns:xm="http://schemas.microsoft.com/office/excel/2006/main">
          <x14:cfRule type="dataBar" id="{ABA93F67-F64F-4523-AC88-65C982C0B9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AO41:AP41</xm:sqref>
        </x14:conditionalFormatting>
        <x14:conditionalFormatting xmlns:xm="http://schemas.microsoft.com/office/excel/2006/main">
          <x14:cfRule type="dataBar" id="{EFEFD0FD-0615-43B2-BDC9-E3550EAA86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AO51:AP51</xm:sqref>
        </x14:conditionalFormatting>
        <x14:conditionalFormatting xmlns:xm="http://schemas.microsoft.com/office/excel/2006/main">
          <x14:cfRule type="dataBar" id="{DA556166-0D8D-4271-A769-62D51BF9C7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AO56:AP56</xm:sqref>
        </x14:conditionalFormatting>
        <x14:conditionalFormatting xmlns:xm="http://schemas.microsoft.com/office/excel/2006/main">
          <x14:cfRule type="dataBar" id="{F125128A-A014-47FA-9E85-A193920498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AP20:AP26</xm:sqref>
        </x14:conditionalFormatting>
        <x14:conditionalFormatting xmlns:xm="http://schemas.microsoft.com/office/excel/2006/main">
          <x14:cfRule type="dataBar" id="{0780725B-14B9-4030-BBF7-ACB5D63369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BC4105-43D5-4F0E-A31C-9189C1123B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46974F-02B6-4CE8-9593-A63D9FFF2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AP28</xm:sqref>
        </x14:conditionalFormatting>
        <x14:conditionalFormatting xmlns:xm="http://schemas.microsoft.com/office/excel/2006/main">
          <x14:cfRule type="dataBar" id="{9B588C65-CAF3-408D-ABCA-A86BABADEE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7C431F-8D86-48FA-9CA3-2A7905BB9B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499605-17B7-41BC-A946-C11AAC294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AP29:AP32</xm:sqref>
        </x14:conditionalFormatting>
        <x14:conditionalFormatting xmlns:xm="http://schemas.microsoft.com/office/excel/2006/main">
          <x14:cfRule type="dataBar" id="{366CA8C8-D88E-4519-8547-5859D36A77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A1B9DB-B512-4EE5-8C97-047C510AB3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BD5061-5BAE-4E4E-8CBC-B0E83795B7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AP34</xm:sqref>
        </x14:conditionalFormatting>
        <x14:conditionalFormatting xmlns:xm="http://schemas.microsoft.com/office/excel/2006/main">
          <x14:cfRule type="dataBar" id="{792BD63F-C4F3-4FD4-9D09-7342CD407A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C00998-DBC6-42BB-9244-4A88A55026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1323F5-478E-41B3-A92A-0F813861A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C0A9DC-C8AE-489A-BC7D-F840209C9B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AP35:AP39</xm:sqref>
        </x14:conditionalFormatting>
        <x14:conditionalFormatting xmlns:xm="http://schemas.microsoft.com/office/excel/2006/main">
          <x14:cfRule type="dataBar" id="{144BFABA-343E-4FD5-BBD7-EC9F8D53F3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58331F-5FAB-4D98-8AFC-3F52F7D231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53849D-C60B-4E6F-A359-5D47823738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D2F51D-1B49-4FD8-B811-3E4B56FAE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AP41</xm:sqref>
        </x14:conditionalFormatting>
        <x14:conditionalFormatting xmlns:xm="http://schemas.microsoft.com/office/excel/2006/main">
          <x14:cfRule type="dataBar" id="{CDFDE145-5077-4A8B-A099-20A70821D6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E823DD-3659-443B-B49F-9EB1CADAA0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5C6EFC-0472-4A50-843C-461A965969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AEDEC0-B8C0-4A9B-BE8E-5398373D1A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7673F9-1F96-464C-8B0F-2CC2254916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AP42:AP49</xm:sqref>
        </x14:conditionalFormatting>
        <x14:conditionalFormatting xmlns:xm="http://schemas.microsoft.com/office/excel/2006/main">
          <x14:cfRule type="dataBar" id="{91EE47F5-9F88-4D28-82E8-120FAE3B08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0DD60B-CA1F-491A-820E-CAB4125C97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ED4BE0-815B-4082-9B67-AB57F8B0A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AP51</xm:sqref>
        </x14:conditionalFormatting>
        <x14:conditionalFormatting xmlns:xm="http://schemas.microsoft.com/office/excel/2006/main">
          <x14:cfRule type="dataBar" id="{20470604-1349-4163-B381-42E99B1F23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20A058F-4878-4885-B7EC-541FA0CEFB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8A491C3-6B87-4BB5-B1BE-DF5FDFD668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C2ACB3-26DF-4095-B312-FB1E120A6E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AP52:AP54</xm:sqref>
        </x14:conditionalFormatting>
        <x14:conditionalFormatting xmlns:xm="http://schemas.microsoft.com/office/excel/2006/main">
          <x14:cfRule type="dataBar" id="{9D685E51-971F-49D4-98D7-1C404E0313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5CBB74-1423-4CF3-A18D-7773E6444E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A81BDB-7D1B-46F6-9CF2-0C4FF6149E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A5E30E-9A28-4A10-B4B4-2218A5E9F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AP56</xm:sqref>
        </x14:conditionalFormatting>
        <x14:conditionalFormatting xmlns:xm="http://schemas.microsoft.com/office/excel/2006/main">
          <x14:cfRule type="dataBar" id="{072A7028-DC00-4910-A6F3-5F57734C0F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DDD6EF-504E-48EF-913C-A3724B8121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C14376-8C6F-4ED8-B4E8-75DF537DE8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A54300-D156-4BB2-BC45-1CDCB005FF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B2440E2-410C-4DA6-A199-A10762D27E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AP57:AP58</xm:sqref>
        </x14:conditionalFormatting>
        <x14:conditionalFormatting xmlns:xm="http://schemas.microsoft.com/office/excel/2006/main">
          <x14:cfRule type="dataBar" id="{597614F8-5401-4F82-A0EC-74931C6151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AS20:AS26</xm:sqref>
        </x14:conditionalFormatting>
        <x14:conditionalFormatting xmlns:xm="http://schemas.microsoft.com/office/excel/2006/main">
          <x14:cfRule type="dataBar" id="{725ECAFF-D3C2-4950-A927-31DE8EAC02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CA3BEE-2B0A-40DA-A842-E4C2B0A9FD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7E0F2B-DE51-4342-9DE3-1889629A36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AS28</xm:sqref>
        </x14:conditionalFormatting>
        <x14:conditionalFormatting xmlns:xm="http://schemas.microsoft.com/office/excel/2006/main">
          <x14:cfRule type="dataBar" id="{5968BD65-8940-4C94-9396-E2A0EE1077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9BBEC4-5F09-4EA2-90F2-506EEE92B5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5B5187-A978-48E8-BE0F-C10C2D9260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AS29:AS32</xm:sqref>
        </x14:conditionalFormatting>
        <x14:conditionalFormatting xmlns:xm="http://schemas.microsoft.com/office/excel/2006/main">
          <x14:cfRule type="dataBar" id="{CBF1F0F8-3871-46D6-A0A0-54B2241889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159D37-627B-485C-9FCA-C5C657952E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21E657-BB6D-4E92-952A-D2A281C22C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AS34</xm:sqref>
        </x14:conditionalFormatting>
        <x14:conditionalFormatting xmlns:xm="http://schemas.microsoft.com/office/excel/2006/main">
          <x14:cfRule type="dataBar" id="{E4E9B835-D858-4476-A32F-D76DAFDF73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458463-3D49-4821-9384-E68040AC28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EEB2D7-EC63-4811-8459-32A28447DB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320F5E-0BB5-4654-B234-26E78739DB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AS35:AS39</xm:sqref>
        </x14:conditionalFormatting>
        <x14:conditionalFormatting xmlns:xm="http://schemas.microsoft.com/office/excel/2006/main">
          <x14:cfRule type="dataBar" id="{B17547DE-59C1-4413-B696-9F1DED06A7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910983-6C9C-44D9-8772-D0D15B4805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B73EB72-7E22-4FE0-9210-CED8BCE207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33D639-A27A-4023-A2EE-5804338176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AS41</xm:sqref>
        </x14:conditionalFormatting>
        <x14:conditionalFormatting xmlns:xm="http://schemas.microsoft.com/office/excel/2006/main">
          <x14:cfRule type="dataBar" id="{9D5B901F-9088-4A46-9EDA-B964048165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4503CF4-F88F-4B9D-B1D9-87CA08A614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F304DB-D7CD-402B-8ED7-08ABE3F52C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B0BDED9-1570-4E33-B829-0DE59D6D76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7F0A42-23C7-436E-BBF7-F1EF7F951C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AS42:AS49</xm:sqref>
        </x14:conditionalFormatting>
        <x14:conditionalFormatting xmlns:xm="http://schemas.microsoft.com/office/excel/2006/main">
          <x14:cfRule type="dataBar" id="{60031AE3-C013-4F4D-8054-236603CD89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09FC1C-EF7C-4674-AA5B-DC1EF1BF29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93F393-A3DF-4B33-877D-B7AEDDF79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AS51</xm:sqref>
        </x14:conditionalFormatting>
        <x14:conditionalFormatting xmlns:xm="http://schemas.microsoft.com/office/excel/2006/main">
          <x14:cfRule type="dataBar" id="{CA506E6D-07AE-4934-9E4B-4BC795EAE2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CE36CC-4A97-4C80-89E5-87EF3E4271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943EA3-115F-49F2-BE7A-1B718E4FCC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5EC301-1BC6-4AF3-A073-5F20479FCF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AS52:AS54</xm:sqref>
        </x14:conditionalFormatting>
        <x14:conditionalFormatting xmlns:xm="http://schemas.microsoft.com/office/excel/2006/main">
          <x14:cfRule type="dataBar" id="{FFCCD0E3-2D40-478B-93FA-57F8783B6D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F51D05-4DA3-4BB1-B791-CB405A820F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B49F8A-9AA7-4AF1-86C6-0F942659F0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BC48A0-67CB-4C5A-89AD-129D7F617E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AS56</xm:sqref>
        </x14:conditionalFormatting>
        <x14:conditionalFormatting xmlns:xm="http://schemas.microsoft.com/office/excel/2006/main">
          <x14:cfRule type="dataBar" id="{570BE433-A2A2-45B7-BF22-8AB78CF618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C2F793-F047-46E5-B7CE-AB86F10479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B006EE-7B07-44FD-833E-CCDAD3EF31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1C22B8-648F-4DAE-8A8A-114DD67DB9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C94F6F-47C8-4512-95C7-764E86E437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AS57:AS58</xm:sqref>
        </x14:conditionalFormatting>
        <x14:conditionalFormatting xmlns:xm="http://schemas.microsoft.com/office/excel/2006/main">
          <x14:cfRule type="dataBar" id="{6A96AE9D-AB78-418A-A02D-536A0152EA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E6ABCA-8D6D-4BCD-A46A-DAC0FA6F48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AS4:AT4</xm:sqref>
        </x14:conditionalFormatting>
        <x14:conditionalFormatting xmlns:xm="http://schemas.microsoft.com/office/excel/2006/main">
          <x14:cfRule type="dataBar" id="{9A983D44-E45C-4238-B59E-A533574B3C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AS19:AT19</xm:sqref>
        </x14:conditionalFormatting>
        <x14:conditionalFormatting xmlns:xm="http://schemas.microsoft.com/office/excel/2006/main">
          <x14:cfRule type="dataBar" id="{96C086AD-B9C0-4D95-A70E-A8E3E9C9C8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AS34:AT34</xm:sqref>
        </x14:conditionalFormatting>
        <x14:conditionalFormatting xmlns:xm="http://schemas.microsoft.com/office/excel/2006/main">
          <x14:cfRule type="dataBar" id="{2E2D0165-B110-4440-941E-97C07B3865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AS41:AT41</xm:sqref>
        </x14:conditionalFormatting>
        <x14:conditionalFormatting xmlns:xm="http://schemas.microsoft.com/office/excel/2006/main">
          <x14:cfRule type="dataBar" id="{618C1C1B-EC25-4E34-8FA5-8E3B7B739E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AS51:AT51</xm:sqref>
        </x14:conditionalFormatting>
        <x14:conditionalFormatting xmlns:xm="http://schemas.microsoft.com/office/excel/2006/main">
          <x14:cfRule type="dataBar" id="{515787B9-30FF-4082-AAF0-2488EFDB86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AS56:AT56</xm:sqref>
        </x14:conditionalFormatting>
        <x14:conditionalFormatting xmlns:xm="http://schemas.microsoft.com/office/excel/2006/main">
          <x14:cfRule type="dataBar" id="{224F0761-0435-4CDD-A688-24DC481920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AT20:AT26</xm:sqref>
        </x14:conditionalFormatting>
        <x14:conditionalFormatting xmlns:xm="http://schemas.microsoft.com/office/excel/2006/main">
          <x14:cfRule type="dataBar" id="{2BE67E6D-A772-4834-8DE4-8263858385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163004-39D2-4E19-B699-BCA51E6F60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6FE3BB1-F70F-4C12-973E-6FD6D934F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AT28</xm:sqref>
        </x14:conditionalFormatting>
        <x14:conditionalFormatting xmlns:xm="http://schemas.microsoft.com/office/excel/2006/main">
          <x14:cfRule type="dataBar" id="{DE2D6436-F658-40FA-9B40-D8A77EB1E5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FA04A6E-B10B-4580-85DC-250520EF4B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FD479A-BAEF-43B8-8902-75AE96905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AT29:AT32</xm:sqref>
        </x14:conditionalFormatting>
        <x14:conditionalFormatting xmlns:xm="http://schemas.microsoft.com/office/excel/2006/main">
          <x14:cfRule type="dataBar" id="{70BEEA7D-ACFD-4638-BE45-ED1700C7F7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F77CB6-4639-4B9F-9448-C192CA68BA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7B2B5D-813A-4760-AC10-6AC040FE7A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AT34</xm:sqref>
        </x14:conditionalFormatting>
        <x14:conditionalFormatting xmlns:xm="http://schemas.microsoft.com/office/excel/2006/main">
          <x14:cfRule type="dataBar" id="{E93AE3DD-567B-4217-8F09-EEE2D8812C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DCDB71-C44E-4846-928D-D42F361FA3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283ABA-2849-41E9-AB41-03E10FD552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D574A6-C790-4069-9492-F7F00C9347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AT35:AT39</xm:sqref>
        </x14:conditionalFormatting>
        <x14:conditionalFormatting xmlns:xm="http://schemas.microsoft.com/office/excel/2006/main">
          <x14:cfRule type="dataBar" id="{438002F0-099B-48E9-A706-8CFFC9A1FB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1BA55F-4AE7-435E-B61F-C0A81C9DB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1903BD-6065-4FCD-BB24-0DC7214E46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C89ADB-903D-4BEE-AA68-23D14CB3B0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AT41</xm:sqref>
        </x14:conditionalFormatting>
        <x14:conditionalFormatting xmlns:xm="http://schemas.microsoft.com/office/excel/2006/main">
          <x14:cfRule type="dataBar" id="{B556AEBB-AD29-44C4-842C-C55304EB7B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112B8B-6994-4E75-B674-9E6316CCCD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D5EA8E-1712-472C-9DFF-1C49DBA79B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43A288-D276-4E1F-BB50-101026191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B2DBAA-023A-42B0-A51B-67CFC4520B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AT42:AT49</xm:sqref>
        </x14:conditionalFormatting>
        <x14:conditionalFormatting xmlns:xm="http://schemas.microsoft.com/office/excel/2006/main">
          <x14:cfRule type="dataBar" id="{BECD325E-3812-4320-984A-D92238ACCE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5B7CF8-EA69-4C41-9EEC-43F61C7545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0A50ED-8372-4CFF-B936-BD34095388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AT51</xm:sqref>
        </x14:conditionalFormatting>
        <x14:conditionalFormatting xmlns:xm="http://schemas.microsoft.com/office/excel/2006/main">
          <x14:cfRule type="dataBar" id="{E7B6D4B0-FE1A-4387-BD86-DCEA50EAEF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D947AF-609A-413E-BEA0-30CE0D388E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66998E-36AC-44D5-8E19-152D597923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5D6880-A290-4E32-9F60-0013AB4B69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AT52:AT54</xm:sqref>
        </x14:conditionalFormatting>
        <x14:conditionalFormatting xmlns:xm="http://schemas.microsoft.com/office/excel/2006/main">
          <x14:cfRule type="dataBar" id="{DDAA835C-64CB-45E2-8B9D-6742688F2A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66F2C5-91DB-48D1-9309-17FA5323D6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722C452-C1A5-4AF9-BAA8-461C82F39D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1ADB14-B442-4CC6-BB9E-EC6CCF92CE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AT56</xm:sqref>
        </x14:conditionalFormatting>
        <x14:conditionalFormatting xmlns:xm="http://schemas.microsoft.com/office/excel/2006/main">
          <x14:cfRule type="dataBar" id="{A26195B4-40A1-48BF-AE1F-62A8BAA9BD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916DD2-97CC-4281-8C43-CB21EBEC79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BDCAAD-9EE3-44F7-8390-045CD88C20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011ED58-1E3B-49DA-B979-5207A4C7BA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34DA42-CCC1-4111-BECA-E04D137B4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AT57:AT58</xm:sqref>
        </x14:conditionalFormatting>
        <x14:conditionalFormatting xmlns:xm="http://schemas.microsoft.com/office/excel/2006/main">
          <x14:cfRule type="dataBar" id="{B6F38FD7-CA86-4591-917A-BF5F6BB550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AW20:AW26</xm:sqref>
        </x14:conditionalFormatting>
        <x14:conditionalFormatting xmlns:xm="http://schemas.microsoft.com/office/excel/2006/main">
          <x14:cfRule type="dataBar" id="{D5B1A607-28A7-4626-81DB-77A033B8B1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5885125-1229-474D-86EF-0E6BDF1C3C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D65014-93D5-4A9F-B9BA-8BC0D76638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AW28</xm:sqref>
        </x14:conditionalFormatting>
        <x14:conditionalFormatting xmlns:xm="http://schemas.microsoft.com/office/excel/2006/main">
          <x14:cfRule type="dataBar" id="{217BFF37-51F7-4501-A1D1-B1467E3BD6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9204A4-E16D-4DB4-8788-7ED7FA9D3C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0E341F-FD2E-432C-92AE-1A08EF7AA4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AW29:AW32</xm:sqref>
        </x14:conditionalFormatting>
        <x14:conditionalFormatting xmlns:xm="http://schemas.microsoft.com/office/excel/2006/main">
          <x14:cfRule type="dataBar" id="{0EF42D3B-E1C7-4073-A143-9A8D349F66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2DCF30-A2C2-4F02-B66A-5890A8D795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88887D-095F-4154-9DB3-53E075636A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AW34</xm:sqref>
        </x14:conditionalFormatting>
        <x14:conditionalFormatting xmlns:xm="http://schemas.microsoft.com/office/excel/2006/main">
          <x14:cfRule type="dataBar" id="{54BA52FF-8A65-4EEA-8AC8-663FC4F55D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53F524-5F2B-4FFA-BD33-6410C9B45A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337154-A2A3-4F09-AB36-7C71722C35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154C12-2B4D-4A3C-849F-14417052B9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AW35:AW39</xm:sqref>
        </x14:conditionalFormatting>
        <x14:conditionalFormatting xmlns:xm="http://schemas.microsoft.com/office/excel/2006/main">
          <x14:cfRule type="dataBar" id="{700A48D6-CD84-49C5-9C64-FA95F6FA9A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67E870-27A0-46FE-81C7-2F4B260BF5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7CF601-50EE-45FD-A155-08F99C52BC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C9ACB5-4B0A-45A0-A536-CFD0055333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AW41</xm:sqref>
        </x14:conditionalFormatting>
        <x14:conditionalFormatting xmlns:xm="http://schemas.microsoft.com/office/excel/2006/main">
          <x14:cfRule type="dataBar" id="{2E0FC22A-A6A8-411C-A8F4-A4CCF27A96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229FFE-4171-48DC-98DE-53CF6836E3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735234-2C3E-4394-A4C1-A954CE1437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8CACC0-DE7A-4434-86AE-D4E446329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C3E252-D3B3-49AA-8B0C-F94C9DCC61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AW42:AW49</xm:sqref>
        </x14:conditionalFormatting>
        <x14:conditionalFormatting xmlns:xm="http://schemas.microsoft.com/office/excel/2006/main">
          <x14:cfRule type="dataBar" id="{AEB266DA-B5CB-46E1-AAAB-9D9F85CA31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96D59A-5F93-4648-8C23-A31B3BE70E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931CAE0-E470-4AB3-A065-65B418E0F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AW51</xm:sqref>
        </x14:conditionalFormatting>
        <x14:conditionalFormatting xmlns:xm="http://schemas.microsoft.com/office/excel/2006/main">
          <x14:cfRule type="dataBar" id="{6E8D8E5A-A312-4C14-ACF1-3DA82B19B7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D35A8F-F8DA-4398-B9DD-ED16DBC1C6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5F34AE-27CF-4F54-AF50-994BF026E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EC97B5-AD99-4877-9987-828C1319C2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AW52:AW54</xm:sqref>
        </x14:conditionalFormatting>
        <x14:conditionalFormatting xmlns:xm="http://schemas.microsoft.com/office/excel/2006/main">
          <x14:cfRule type="dataBar" id="{BE172B08-7F5D-49CB-90CF-90DA97840E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3D8D610-CE0C-4BB7-A3AC-02854FE41A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793501-7F30-4ACA-8746-4B5851A252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8F3681-5CB1-4121-BA74-C2D4244619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AW56</xm:sqref>
        </x14:conditionalFormatting>
        <x14:conditionalFormatting xmlns:xm="http://schemas.microsoft.com/office/excel/2006/main">
          <x14:cfRule type="dataBar" id="{9013D122-BE5B-4307-91A9-EE7246F19E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9431F6-CCBD-4DE6-85DC-4FDC44A737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534E88-3B35-4D5F-B803-EFCD0064C3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DABDC52-9DBE-494F-8B4B-12F9E0BCFC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10E8F7-B9CF-4FFC-BB6F-ED5E98DF5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AW57:AW58</xm:sqref>
        </x14:conditionalFormatting>
        <x14:conditionalFormatting xmlns:xm="http://schemas.microsoft.com/office/excel/2006/main">
          <x14:cfRule type="dataBar" id="{D35D0FC6-DE99-4EBE-818A-EE1A13F8D6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913DE7-E132-4010-AE60-64B6F01A78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AW4:AX4</xm:sqref>
        </x14:conditionalFormatting>
        <x14:conditionalFormatting xmlns:xm="http://schemas.microsoft.com/office/excel/2006/main">
          <x14:cfRule type="dataBar" id="{20C7E4E1-0F8A-46E1-9229-CABD06F05A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AW19:AX19</xm:sqref>
        </x14:conditionalFormatting>
        <x14:conditionalFormatting xmlns:xm="http://schemas.microsoft.com/office/excel/2006/main">
          <x14:cfRule type="dataBar" id="{C080D20C-3339-4859-B643-85A2735E90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AW34:AX34</xm:sqref>
        </x14:conditionalFormatting>
        <x14:conditionalFormatting xmlns:xm="http://schemas.microsoft.com/office/excel/2006/main">
          <x14:cfRule type="dataBar" id="{F761B895-85D8-4CB2-8CA7-8C38E47EE3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AW41:AX41</xm:sqref>
        </x14:conditionalFormatting>
        <x14:conditionalFormatting xmlns:xm="http://schemas.microsoft.com/office/excel/2006/main">
          <x14:cfRule type="dataBar" id="{A4454D35-12D0-4BA7-B395-3E35E1A0EE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AW51:AX51</xm:sqref>
        </x14:conditionalFormatting>
        <x14:conditionalFormatting xmlns:xm="http://schemas.microsoft.com/office/excel/2006/main">
          <x14:cfRule type="dataBar" id="{02F4B336-C235-4F30-A378-9915394C57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AW56:AX56</xm:sqref>
        </x14:conditionalFormatting>
        <x14:conditionalFormatting xmlns:xm="http://schemas.microsoft.com/office/excel/2006/main">
          <x14:cfRule type="dataBar" id="{830017AE-3F88-42C3-B6BB-F64B37BF6A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AX20:AX26</xm:sqref>
        </x14:conditionalFormatting>
        <x14:conditionalFormatting xmlns:xm="http://schemas.microsoft.com/office/excel/2006/main">
          <x14:cfRule type="dataBar" id="{FE5FBEE5-56D6-472E-8C8E-A79480A5BB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ADB272D-E60D-45A6-BC40-0ED3CF99EB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69F4D2-BADD-4401-9386-CF0092BCC5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AX28</xm:sqref>
        </x14:conditionalFormatting>
        <x14:conditionalFormatting xmlns:xm="http://schemas.microsoft.com/office/excel/2006/main">
          <x14:cfRule type="dataBar" id="{F60DE160-7589-43A2-986F-DB06568708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DBDB34-D8C8-4EF1-BC69-3F4AC5EDCE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0211E1-5319-4614-976C-932DF24445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AX29:AX32</xm:sqref>
        </x14:conditionalFormatting>
        <x14:conditionalFormatting xmlns:xm="http://schemas.microsoft.com/office/excel/2006/main">
          <x14:cfRule type="dataBar" id="{3F01AA97-626F-4FC9-9536-70E6454881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6D7C1A-3B86-47A5-8B8C-987C00CCEA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1C0C87-5E61-4007-8610-E909AE9E8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AX34</xm:sqref>
        </x14:conditionalFormatting>
        <x14:conditionalFormatting xmlns:xm="http://schemas.microsoft.com/office/excel/2006/main">
          <x14:cfRule type="dataBar" id="{1B135616-4892-407C-B458-110E36577F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C6B27A-B4CB-4D7C-BE38-B05F632BCD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6A6F05-4359-4B7C-8A6B-90F088550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8604D3-BA91-4763-A7C9-89DBA30D96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AX35:AX39</xm:sqref>
        </x14:conditionalFormatting>
        <x14:conditionalFormatting xmlns:xm="http://schemas.microsoft.com/office/excel/2006/main">
          <x14:cfRule type="dataBar" id="{E9A3C9B7-D232-46B3-BDFA-9DE95DE250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628B41-A05B-43C4-9EE6-9D7F5AA519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4C2B1B-4B00-4F42-AD67-A25B336D64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2CBEB1-A5C8-4EB2-B83E-E5730B857D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AX41</xm:sqref>
        </x14:conditionalFormatting>
        <x14:conditionalFormatting xmlns:xm="http://schemas.microsoft.com/office/excel/2006/main">
          <x14:cfRule type="dataBar" id="{194F3F16-2809-4198-8B8C-48FABCF31D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019800-6752-43B5-8891-A1C252E45D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F74DC85-16B5-4E8E-B531-F0781E085E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1D33DD-0B4D-4351-A847-0FDE1CC027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4152A2-72CD-420A-83C2-745EBC7339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AX42:AX49</xm:sqref>
        </x14:conditionalFormatting>
        <x14:conditionalFormatting xmlns:xm="http://schemas.microsoft.com/office/excel/2006/main">
          <x14:cfRule type="dataBar" id="{E482F425-26BA-4D2E-B4F8-F1257F9ECB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CD7C89-7632-497D-BF72-D163EA5053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9D0C5B0-DB5C-4D8A-8B7F-ED204F6369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AX51</xm:sqref>
        </x14:conditionalFormatting>
        <x14:conditionalFormatting xmlns:xm="http://schemas.microsoft.com/office/excel/2006/main">
          <x14:cfRule type="dataBar" id="{4DDEBFE7-A589-4118-A394-616F20D7BA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54EBA3-3E52-4A30-B737-5DA40AA3BD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5ADC2A-CBC3-4F0E-9B0E-2C6099E70D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1A6133-7746-470A-B68C-A414C2C8F4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AX52:AX54</xm:sqref>
        </x14:conditionalFormatting>
        <x14:conditionalFormatting xmlns:xm="http://schemas.microsoft.com/office/excel/2006/main">
          <x14:cfRule type="dataBar" id="{DB41D7AE-F87D-4955-AC0E-381304B386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DAE8D6-A1AA-483C-BFAA-D54FF5FE32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9640900-82DF-4A08-A601-4B204C2553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42542C-4E2C-4D64-860D-C84175DE33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AX56</xm:sqref>
        </x14:conditionalFormatting>
        <x14:conditionalFormatting xmlns:xm="http://schemas.microsoft.com/office/excel/2006/main">
          <x14:cfRule type="dataBar" id="{FFB04582-7BC0-4AC3-B70B-1A49CA8F9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DF21D8-0873-4730-9E3C-D6AB4F5709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569B84-1927-4F40-B439-631C2F1639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CB9DBB-C615-48FA-B105-C740387250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B4E194-CBF2-4597-9BBB-E3966813F8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AX57:AX58</xm:sqref>
        </x14:conditionalFormatting>
        <x14:conditionalFormatting xmlns:xm="http://schemas.microsoft.com/office/excel/2006/main">
          <x14:cfRule type="dataBar" id="{958D61F3-0E28-43E4-A290-8D4C8982BB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BA20:BA26</xm:sqref>
        </x14:conditionalFormatting>
        <x14:conditionalFormatting xmlns:xm="http://schemas.microsoft.com/office/excel/2006/main">
          <x14:cfRule type="dataBar" id="{6EF9F6DA-7532-4AFE-83A1-7E2D4E3562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9A025C-7184-452E-91D1-EB5CEBB444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6A22F8-4467-40AE-93FA-238E26E42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BA28</xm:sqref>
        </x14:conditionalFormatting>
        <x14:conditionalFormatting xmlns:xm="http://schemas.microsoft.com/office/excel/2006/main">
          <x14:cfRule type="dataBar" id="{253DFE97-E511-44F3-9CF2-B77A89BEDB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0B0630-A291-4FBF-9880-988500B531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844BB6-469A-435B-A586-94A12030A2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BA29:BA32</xm:sqref>
        </x14:conditionalFormatting>
        <x14:conditionalFormatting xmlns:xm="http://schemas.microsoft.com/office/excel/2006/main">
          <x14:cfRule type="dataBar" id="{CF3991D6-6ADD-4CBE-929E-C27BA6D4DE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F4B67F-E267-46FC-B158-2DEE42A62C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7E86B3-A04E-42A7-837A-36A4BDA65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BA34</xm:sqref>
        </x14:conditionalFormatting>
        <x14:conditionalFormatting xmlns:xm="http://schemas.microsoft.com/office/excel/2006/main">
          <x14:cfRule type="dataBar" id="{FBB4A9B3-A49C-463F-97DE-9E4D352682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B16ACD-50A7-453D-BA0A-A39C756F81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7BC945-FABB-4261-BCEB-93F235D3C2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AB899A-920F-43C6-BDC0-B424D5B9D7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BA35:BA39</xm:sqref>
        </x14:conditionalFormatting>
        <x14:conditionalFormatting xmlns:xm="http://schemas.microsoft.com/office/excel/2006/main">
          <x14:cfRule type="dataBar" id="{16A82BBC-C2AF-44C7-91E6-606C9C2F48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1DD5C1-9E9F-4E11-8233-EF1E72A831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313666-3566-4524-851D-37E2FFF962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B1AFA1-1DD1-4405-8B10-B8315E3CC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BA41</xm:sqref>
        </x14:conditionalFormatting>
        <x14:conditionalFormatting xmlns:xm="http://schemas.microsoft.com/office/excel/2006/main">
          <x14:cfRule type="dataBar" id="{CB055EE5-30E3-4E50-9045-91601E32AE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C2D170-93FD-4780-BF82-EFE93621C6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E54B95-7E3C-4D1B-8874-92D0C8875A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C349F9-4F31-4A40-803A-AB55B8B9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C3DDF8-5F10-4CF8-92CB-81F3FA72C1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BA42:BA49</xm:sqref>
        </x14:conditionalFormatting>
        <x14:conditionalFormatting xmlns:xm="http://schemas.microsoft.com/office/excel/2006/main">
          <x14:cfRule type="dataBar" id="{1BD218D8-E964-4103-B4C7-1393F19DAA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66CFAD2-18C6-4041-9E4D-A50F659961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CCC5C2-FB3D-48DF-8B48-E35777C6C5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BA51</xm:sqref>
        </x14:conditionalFormatting>
        <x14:conditionalFormatting xmlns:xm="http://schemas.microsoft.com/office/excel/2006/main">
          <x14:cfRule type="dataBar" id="{E8D8E3C0-0F21-4DB4-A814-F47B4C8289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44CF88-6D69-4F78-A596-687DBA0C68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9300FD-F44A-4514-84BF-8267294735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090A55-52A0-416B-B35C-712E733BD8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BA52:BA54</xm:sqref>
        </x14:conditionalFormatting>
        <x14:conditionalFormatting xmlns:xm="http://schemas.microsoft.com/office/excel/2006/main">
          <x14:cfRule type="dataBar" id="{57745D29-09DD-4FEE-A303-6E5CA4946A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868790-E1E9-4D89-B17A-3865C3AE95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5EB867-4CF1-448D-B7C9-8612C908CD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49B5B2-B192-4363-AE59-B349778E23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BA56</xm:sqref>
        </x14:conditionalFormatting>
        <x14:conditionalFormatting xmlns:xm="http://schemas.microsoft.com/office/excel/2006/main">
          <x14:cfRule type="dataBar" id="{4BAAE99B-458C-46F4-AE3E-64E15E61CE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068DF0-8F13-4CFD-AFD3-05543622DF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6C084C-09E4-45B0-AC4B-8843A9F70D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E24701-44C5-4084-AB18-2AF7993068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8FB13EE-727F-43DA-921D-039B21C1E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BA57:BA58</xm:sqref>
        </x14:conditionalFormatting>
        <x14:conditionalFormatting xmlns:xm="http://schemas.microsoft.com/office/excel/2006/main">
          <x14:cfRule type="dataBar" id="{AD88C48E-FD98-4C45-B989-927FF8E286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D67692-6EC4-4C4C-B912-49A3A42A39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BA4:BB4</xm:sqref>
        </x14:conditionalFormatting>
        <x14:conditionalFormatting xmlns:xm="http://schemas.microsoft.com/office/excel/2006/main">
          <x14:cfRule type="dataBar" id="{DFD49B88-BE44-47D4-A7F3-D37E06F7E3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BA19:BB19</xm:sqref>
        </x14:conditionalFormatting>
        <x14:conditionalFormatting xmlns:xm="http://schemas.microsoft.com/office/excel/2006/main">
          <x14:cfRule type="dataBar" id="{43140569-0180-46EC-AC9A-045B0A14AE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BA34:BB34</xm:sqref>
        </x14:conditionalFormatting>
        <x14:conditionalFormatting xmlns:xm="http://schemas.microsoft.com/office/excel/2006/main">
          <x14:cfRule type="dataBar" id="{6DFD5159-6722-4742-AB5A-3FA68FAD48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BA41:BB41</xm:sqref>
        </x14:conditionalFormatting>
        <x14:conditionalFormatting xmlns:xm="http://schemas.microsoft.com/office/excel/2006/main">
          <x14:cfRule type="dataBar" id="{425CD596-BB65-4DFC-A1DE-B51962FF84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BA51:BB51</xm:sqref>
        </x14:conditionalFormatting>
        <x14:conditionalFormatting xmlns:xm="http://schemas.microsoft.com/office/excel/2006/main">
          <x14:cfRule type="dataBar" id="{03AB950A-2630-4DAB-BF72-317BE0677D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BA56:BB56</xm:sqref>
        </x14:conditionalFormatting>
        <x14:conditionalFormatting xmlns:xm="http://schemas.microsoft.com/office/excel/2006/main">
          <x14:cfRule type="dataBar" id="{3D9AC552-7484-4E23-846E-740F038478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BB20:BB26</xm:sqref>
        </x14:conditionalFormatting>
        <x14:conditionalFormatting xmlns:xm="http://schemas.microsoft.com/office/excel/2006/main">
          <x14:cfRule type="dataBar" id="{F6AF3853-4188-4425-87B8-4BDF1278DE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6B73E2-832A-420F-AF0F-8D95EFAFA55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A300BD-59F4-411B-A61F-74CF707827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BB28</xm:sqref>
        </x14:conditionalFormatting>
        <x14:conditionalFormatting xmlns:xm="http://schemas.microsoft.com/office/excel/2006/main">
          <x14:cfRule type="dataBar" id="{0DA1D6B4-3D90-4F8B-B1F0-954CDB4A9C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3A8594-2263-4C90-B055-6AA81186D7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F0B69A-9DE2-454A-91A0-B66CD5CE1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BB29:BB32</xm:sqref>
        </x14:conditionalFormatting>
        <x14:conditionalFormatting xmlns:xm="http://schemas.microsoft.com/office/excel/2006/main">
          <x14:cfRule type="dataBar" id="{0E66BEE4-970A-477C-96E1-907D19EC37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125782-5FA2-4229-8468-458E27DA86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E9CFE3-880E-4FAB-BA93-41579975BA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BB34</xm:sqref>
        </x14:conditionalFormatting>
        <x14:conditionalFormatting xmlns:xm="http://schemas.microsoft.com/office/excel/2006/main">
          <x14:cfRule type="dataBar" id="{3D961813-6435-4C6B-A0BE-9543DEBE06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246D3F-B0F5-4632-8B39-EB1B8C1B8E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693096-3ECE-44DD-B5FD-F7386C2DDA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279727-F007-4B11-B657-C02F2687B7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BB35:BB39</xm:sqref>
        </x14:conditionalFormatting>
        <x14:conditionalFormatting xmlns:xm="http://schemas.microsoft.com/office/excel/2006/main">
          <x14:cfRule type="dataBar" id="{D49C75E8-B69A-4258-851A-4A47FABCC0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F1A083-65EC-4C7F-8771-30976F4517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5AC7F3-425B-4C1C-ADA7-4876BCF0B9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EEEF44-3084-4B6B-894A-8AE66DA407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BB41</xm:sqref>
        </x14:conditionalFormatting>
        <x14:conditionalFormatting xmlns:xm="http://schemas.microsoft.com/office/excel/2006/main">
          <x14:cfRule type="dataBar" id="{0EDF42F9-ED9D-4D66-94EE-44D05C8DFC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6208DA-46EF-46A5-989B-9FF70AFD6E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92B7FA-839A-4B52-BFD7-91B01B1569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417229-037F-4941-9A03-8A134BBB50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C15726-2F71-40BC-B161-E3C16D7E68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BB42:BB49</xm:sqref>
        </x14:conditionalFormatting>
        <x14:conditionalFormatting xmlns:xm="http://schemas.microsoft.com/office/excel/2006/main">
          <x14:cfRule type="dataBar" id="{80D4427D-5576-49DC-9D5D-74780A8E5D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06C988-01BA-478A-B795-01B689DC63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E49A95-722C-4C7F-8ACE-28AD0480D0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BB51</xm:sqref>
        </x14:conditionalFormatting>
        <x14:conditionalFormatting xmlns:xm="http://schemas.microsoft.com/office/excel/2006/main">
          <x14:cfRule type="dataBar" id="{F5B08BB8-3F6C-4580-8D96-A008372232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3B9D40-902F-4A78-B87F-760E9C5211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0474BD5-1079-45F3-A42B-A4E7C6A019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648B35-07FE-4436-91A4-9445581685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BB52:BB54</xm:sqref>
        </x14:conditionalFormatting>
        <x14:conditionalFormatting xmlns:xm="http://schemas.microsoft.com/office/excel/2006/main">
          <x14:cfRule type="dataBar" id="{F59889F6-3156-4397-95D5-2E6DE3E85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940B6D-7BCF-4C3B-944D-3F86DB6085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F92756-E940-4635-ACF4-6FB5795890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F5AD53-AC58-4C93-A47E-C0ACA5A2D3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BB56</xm:sqref>
        </x14:conditionalFormatting>
        <x14:conditionalFormatting xmlns:xm="http://schemas.microsoft.com/office/excel/2006/main">
          <x14:cfRule type="dataBar" id="{5E9CD834-F859-4A8A-BF4C-7D5B3523ED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67ADFF-EABD-481C-840F-4A5ED13E51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827C22B-2E01-4EC5-AAA6-BF9F3C5B11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87BD79-99A8-4E11-AF95-711F6BA209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ED9805-29DD-4122-A13D-824F5B5CA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BB57:BB58</xm:sqref>
        </x14:conditionalFormatting>
        <x14:conditionalFormatting xmlns:xm="http://schemas.microsoft.com/office/excel/2006/main">
          <x14:cfRule type="dataBar" id="{0CE149C5-2A08-4C33-B343-A0548513FE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BE20:BE26</xm:sqref>
        </x14:conditionalFormatting>
        <x14:conditionalFormatting xmlns:xm="http://schemas.microsoft.com/office/excel/2006/main">
          <x14:cfRule type="dataBar" id="{EF4D3DA9-D2D1-4BDF-9DE7-C57AE805DB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1CD6CA-39BA-4FA2-AC47-E63F951323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AC218A-CFE6-4EED-AC96-7AFE229BBF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BE28:BE32</xm:sqref>
        </x14:conditionalFormatting>
        <x14:conditionalFormatting xmlns:xm="http://schemas.microsoft.com/office/excel/2006/main">
          <x14:cfRule type="dataBar" id="{6511829B-E87F-4207-B8E6-843172EB07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7812E2-E954-4E31-9FA9-5B1DF15927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3C76BF-0852-48F2-837B-C1C1EB913A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BE34:BE39</xm:sqref>
        </x14:conditionalFormatting>
        <x14:conditionalFormatting xmlns:xm="http://schemas.microsoft.com/office/excel/2006/main">
          <x14:cfRule type="dataBar" id="{5ED953C6-053B-4E24-852B-356ADB9127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BE35:BE39</xm:sqref>
        </x14:conditionalFormatting>
        <x14:conditionalFormatting xmlns:xm="http://schemas.microsoft.com/office/excel/2006/main">
          <x14:cfRule type="dataBar" id="{AE49A185-54BC-45AB-9E52-625534C275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6058E1-65C5-4FAC-8CB9-F229B8A210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65E8D6-A1D1-4C96-9C14-8DD48720B1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E3AB70-B3DA-4966-8195-04BFCA1A6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BE41</xm:sqref>
        </x14:conditionalFormatting>
        <x14:conditionalFormatting xmlns:xm="http://schemas.microsoft.com/office/excel/2006/main">
          <x14:cfRule type="dataBar" id="{4CA15EF5-AB22-4779-A643-801BB933D9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D90026-5E39-42D0-BEFB-FBCF70ABE9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4B84EF-5CD8-4629-9620-E3B4D68A6B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A3CDB4-590D-4D40-BD63-2274EC22C2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ACC104-991D-421E-B7F3-CC5829EDD4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BE42:BE49</xm:sqref>
        </x14:conditionalFormatting>
        <x14:conditionalFormatting xmlns:xm="http://schemas.microsoft.com/office/excel/2006/main">
          <x14:cfRule type="dataBar" id="{AD66E11C-0647-4128-9A86-B36A17D100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302DE0-2AD6-402F-BE2A-9F2BA811EA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20F97D-BEE9-423B-AE78-C459FCC83B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BE51:BE54</xm:sqref>
        </x14:conditionalFormatting>
        <x14:conditionalFormatting xmlns:xm="http://schemas.microsoft.com/office/excel/2006/main">
          <x14:cfRule type="dataBar" id="{3B5CFAFB-F124-4B9D-AAB7-FC9B1DB39B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BE52:BE54</xm:sqref>
        </x14:conditionalFormatting>
        <x14:conditionalFormatting xmlns:xm="http://schemas.microsoft.com/office/excel/2006/main">
          <x14:cfRule type="dataBar" id="{561BA195-BC63-418B-8C71-4ABDE702DD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D31857-080E-4EB6-8726-6D962BD6AB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BFA1EA-00A3-407B-9E06-F44D8EF849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DFE19D-12D3-4481-BD42-2B57861F21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BE56</xm:sqref>
        </x14:conditionalFormatting>
        <x14:conditionalFormatting xmlns:xm="http://schemas.microsoft.com/office/excel/2006/main">
          <x14:cfRule type="dataBar" id="{BEE1129B-2F1A-469A-85A7-1AB1639F91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CF4C3F-8E60-4ABC-BDA4-5931512BB4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5AF6EA-8FBA-444D-B918-37EE409CBA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6A242E-2D0C-44D1-9F82-C61D21A1A1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6EBD1F-DCB2-4EE6-A0D3-184E87C1C5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BE57:BE58</xm:sqref>
        </x14:conditionalFormatting>
        <x14:conditionalFormatting xmlns:xm="http://schemas.microsoft.com/office/excel/2006/main">
          <x14:cfRule type="dataBar" id="{8EAA1332-CCA9-458B-AFD5-AB95C2A4AF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7A0FEA6-CDE3-4CDD-A699-98001801D2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BE4:BF4</xm:sqref>
        </x14:conditionalFormatting>
        <x14:conditionalFormatting xmlns:xm="http://schemas.microsoft.com/office/excel/2006/main">
          <x14:cfRule type="dataBar" id="{9B8086DE-491B-4E02-B10F-B240AB2E02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BE19:BF19</xm:sqref>
        </x14:conditionalFormatting>
        <x14:conditionalFormatting xmlns:xm="http://schemas.microsoft.com/office/excel/2006/main">
          <x14:cfRule type="dataBar" id="{B1E11845-7404-4610-8831-61F77C786C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BE34:BF34</xm:sqref>
        </x14:conditionalFormatting>
        <x14:conditionalFormatting xmlns:xm="http://schemas.microsoft.com/office/excel/2006/main">
          <x14:cfRule type="dataBar" id="{1F9BC22C-91C2-42AB-A3A5-49376FBAB7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BE41:BF41</xm:sqref>
        </x14:conditionalFormatting>
        <x14:conditionalFormatting xmlns:xm="http://schemas.microsoft.com/office/excel/2006/main">
          <x14:cfRule type="dataBar" id="{948B6F11-6FFB-4B37-9F82-EB7CC6C9E0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BE51:BF51</xm:sqref>
        </x14:conditionalFormatting>
        <x14:conditionalFormatting xmlns:xm="http://schemas.microsoft.com/office/excel/2006/main">
          <x14:cfRule type="dataBar" id="{25B1429B-1B0B-40A3-8C63-0049E30169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BE56:BF56</xm:sqref>
        </x14:conditionalFormatting>
        <x14:conditionalFormatting xmlns:xm="http://schemas.microsoft.com/office/excel/2006/main">
          <x14:cfRule type="dataBar" id="{822E8B69-04C3-42F8-8150-6BAE03CF03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BF20:BF26</xm:sqref>
        </x14:conditionalFormatting>
        <x14:conditionalFormatting xmlns:xm="http://schemas.microsoft.com/office/excel/2006/main">
          <x14:cfRule type="dataBar" id="{3D39E66E-CD8A-4B3D-BBB5-461E5790F5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25E9A4-C2B5-4BC6-9939-53349E21E7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06D8B9-C1A2-4C7B-A617-06E3908436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BF28:BF32</xm:sqref>
        </x14:conditionalFormatting>
        <x14:conditionalFormatting xmlns:xm="http://schemas.microsoft.com/office/excel/2006/main">
          <x14:cfRule type="dataBar" id="{D1A6388D-958F-47B4-B76C-FEACFC13EB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29CB2D-40D6-4C19-BAF2-8694E8AF96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682AD2-235B-428E-94DC-640032181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BF34:BF39</xm:sqref>
        </x14:conditionalFormatting>
        <x14:conditionalFormatting xmlns:xm="http://schemas.microsoft.com/office/excel/2006/main">
          <x14:cfRule type="dataBar" id="{CF57C2AA-B1EA-422A-96DC-014D0D8910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BF35:BF39</xm:sqref>
        </x14:conditionalFormatting>
        <x14:conditionalFormatting xmlns:xm="http://schemas.microsoft.com/office/excel/2006/main">
          <x14:cfRule type="dataBar" id="{49800E5C-CB9B-46C7-A801-C6CBD69217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56D1FC-B98D-4451-8D57-B0281749AA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ABDD3D-0664-4D44-97CB-2983932335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33C0CB-DB95-46B5-AAD8-0D70E3F2A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BF41</xm:sqref>
        </x14:conditionalFormatting>
        <x14:conditionalFormatting xmlns:xm="http://schemas.microsoft.com/office/excel/2006/main">
          <x14:cfRule type="dataBar" id="{FBD8FC62-5012-4B56-BF57-233A8A1BF3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FF358A0-594C-4C64-9556-5EE447F780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1C28E1F-601D-4856-A5A0-698CBB98E7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0C2C00-C0AE-4D0B-A1AA-5340E7A7CB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05B312-807D-448D-8AFE-A262D0BC8C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BF42:BF49</xm:sqref>
        </x14:conditionalFormatting>
        <x14:conditionalFormatting xmlns:xm="http://schemas.microsoft.com/office/excel/2006/main">
          <x14:cfRule type="dataBar" id="{D865FCD4-83F8-4618-AC30-1A668F5754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95C2600-25F0-4A43-AEAE-E07BAB6EC3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0FCE718-44F4-4DC1-A913-9BBF4376DA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BF51:BF54</xm:sqref>
        </x14:conditionalFormatting>
        <x14:conditionalFormatting xmlns:xm="http://schemas.microsoft.com/office/excel/2006/main">
          <x14:cfRule type="dataBar" id="{D7F4CEE0-288C-40B7-9F55-B120412DA0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BF52:BF54</xm:sqref>
        </x14:conditionalFormatting>
        <x14:conditionalFormatting xmlns:xm="http://schemas.microsoft.com/office/excel/2006/main">
          <x14:cfRule type="dataBar" id="{CE1BC5E8-D95B-432D-9A41-51C94E4C05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89CA0C-1FA3-4627-8847-B29EA303E7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BE731D-6A3F-4E01-A968-CA3DF90F37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2D47D8-4309-425B-9844-D1D9670CE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BF56</xm:sqref>
        </x14:conditionalFormatting>
        <x14:conditionalFormatting xmlns:xm="http://schemas.microsoft.com/office/excel/2006/main">
          <x14:cfRule type="dataBar" id="{C7F1D1F9-653D-4128-9161-4BC637E021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6BE785-8B15-4284-B7B0-9FDB1B6F86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C62498-F6E0-47DC-AEBC-F889B40982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565ACD-8A52-44A9-8078-6239A46F77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709C4A-9D62-4EFD-9424-22B63A008B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BF57:BF58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0DA61E5-435A-4E87-BADD-0F3134FC8829}">
          <x14:formula1>
            <xm:f>EDIT!$D$3:$D$13</xm:f>
          </x14:formula1>
          <xm:sqref>D18:E18 D40:E40 D33:E33 D27:E27 D5 D55:E55 D50:E50</xm:sqref>
        </x14:dataValidation>
        <x14:dataValidation type="list" allowBlank="1" showInputMessage="1" showErrorMessage="1" xr:uid="{F0E935EE-F3E1-487A-AB35-26E1C8650E38}">
          <x14:formula1>
            <xm:f>EDIT!$E$3:$E$28</xm:f>
          </x14:formula1>
          <xm:sqref>D19:F19 D6:F6 D34:F34 D28:F28 D41:F41 E56:F56 D51:F51</xm:sqref>
        </x14:dataValidation>
        <x14:dataValidation type="list" allowBlank="1" showInputMessage="1" showErrorMessage="1" xr:uid="{65FC6105-8E09-45FE-AE16-A197E7E31AF9}">
          <x14:formula1>
            <xm:f>'DATOS PROYECTO'!$A$2:$A$10</xm:f>
          </x14:formula1>
          <xm:sqref>A5</xm:sqref>
        </x14:dataValidation>
        <x14:dataValidation type="list" allowBlank="1" showInputMessage="1" showErrorMessage="1" xr:uid="{0CE4D6F3-1553-4455-AC02-B8BC66A7526D}">
          <x14:formula1>
            <xm:f>EDIT!$F$3:$F$15</xm:f>
          </x14:formula1>
          <xm:sqref>M3:BH3</xm:sqref>
        </x14:dataValidation>
        <x14:dataValidation type="list" allowBlank="1" showInputMessage="1" showErrorMessage="1" xr:uid="{5A1B4442-EA28-4237-A5D6-C6B2C83F618D}">
          <x14:formula1>
            <xm:f>EDIT!$E$3:$E$31</xm:f>
          </x14:formula1>
          <xm:sqref>D56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C3C8-8988-400F-9C1C-B4934BC5BE22}">
  <sheetPr>
    <tabColor rgb="FF9966FF"/>
  </sheetPr>
  <dimension ref="A1:AL56"/>
  <sheetViews>
    <sheetView zoomScale="70" zoomScaleNormal="70" workbookViewId="0">
      <pane xSplit="2" ySplit="2" topLeftCell="C3" activePane="bottomRight" state="frozen"/>
      <selection activeCell="A24" sqref="A24"/>
      <selection pane="topRight" activeCell="A24" sqref="A24"/>
      <selection pane="bottomLeft" activeCell="A24" sqref="A24"/>
      <selection pane="bottomRight" activeCell="K58" sqref="K58"/>
    </sheetView>
  </sheetViews>
  <sheetFormatPr baseColWidth="10" defaultRowHeight="15.6" outlineLevelRow="1" outlineLevelCol="1"/>
  <cols>
    <col min="1" max="1" width="14" style="48" customWidth="1"/>
    <col min="2" max="2" width="54.109375" style="18" customWidth="1"/>
    <col min="3" max="3" width="13.6640625" style="42" customWidth="1"/>
    <col min="4" max="4" width="19.88671875" style="43" customWidth="1" outlineLevel="1"/>
    <col min="5" max="5" width="18.109375" style="43" customWidth="1" outlineLevel="1"/>
    <col min="6" max="6" width="22.109375" style="43" customWidth="1" outlineLevel="1"/>
    <col min="7" max="7" width="16.5546875" style="43" customWidth="1" outlineLevel="1"/>
    <col min="8" max="8" width="15.109375" style="43" customWidth="1" outlineLevel="1"/>
    <col min="9" max="9" width="16.5546875" style="43" customWidth="1" outlineLevel="1"/>
    <col min="10" max="11" width="16.5546875" style="43" customWidth="1"/>
    <col min="12" max="12" width="16.5546875" style="110" customWidth="1"/>
  </cols>
  <sheetData>
    <row r="1" spans="1:38" s="1" customFormat="1" ht="46.8">
      <c r="A1" s="343" t="s">
        <v>102</v>
      </c>
      <c r="B1" s="346" t="s">
        <v>236</v>
      </c>
      <c r="C1" s="347" t="s">
        <v>1</v>
      </c>
      <c r="D1" s="108" t="s">
        <v>2</v>
      </c>
      <c r="E1" s="108" t="s">
        <v>3</v>
      </c>
      <c r="F1" s="108" t="s">
        <v>4</v>
      </c>
      <c r="G1" s="108" t="s">
        <v>221</v>
      </c>
      <c r="H1" s="108" t="s">
        <v>121</v>
      </c>
      <c r="I1" s="108" t="s">
        <v>6</v>
      </c>
      <c r="J1" s="107" t="s">
        <v>224</v>
      </c>
      <c r="K1" s="107" t="s">
        <v>225</v>
      </c>
      <c r="L1" s="107" t="s">
        <v>226</v>
      </c>
    </row>
    <row r="2" spans="1:38" s="1" customFormat="1">
      <c r="A2" s="343"/>
      <c r="B2" s="346"/>
      <c r="C2" s="347"/>
      <c r="D2" s="344" t="s">
        <v>228</v>
      </c>
      <c r="E2" s="344"/>
      <c r="F2" s="344"/>
      <c r="G2" s="344"/>
      <c r="H2" s="344"/>
      <c r="I2" s="344"/>
      <c r="J2" s="345" t="s">
        <v>223</v>
      </c>
      <c r="K2" s="345"/>
      <c r="L2" s="345"/>
    </row>
    <row r="3" spans="1:38" s="141" customFormat="1" ht="28.2" customHeight="1">
      <c r="A3" s="136"/>
      <c r="B3" s="137" t="s">
        <v>385</v>
      </c>
      <c r="C3" s="138"/>
      <c r="D3" s="139"/>
      <c r="E3" s="139"/>
      <c r="F3" s="139"/>
      <c r="G3" s="139"/>
      <c r="H3" s="139"/>
      <c r="I3" s="139"/>
      <c r="J3" s="139"/>
      <c r="K3" s="139"/>
      <c r="L3" s="140"/>
    </row>
    <row r="4" spans="1:38" s="1" customFormat="1" outlineLevel="1">
      <c r="A4" s="96" t="s">
        <v>166</v>
      </c>
      <c r="B4" s="97" t="s">
        <v>164</v>
      </c>
      <c r="C4" s="98"/>
      <c r="D4" s="99"/>
      <c r="E4" s="99"/>
      <c r="F4" s="99"/>
      <c r="G4" s="99"/>
      <c r="H4" s="99"/>
      <c r="I4" s="100" t="e">
        <f>I5+I13+I32</f>
        <v>#REF!</v>
      </c>
      <c r="J4" s="99"/>
      <c r="K4" s="100">
        <f>K5+K13+K32</f>
        <v>750</v>
      </c>
      <c r="L4" s="109">
        <f>IFERROR(K4/I4,0)</f>
        <v>0</v>
      </c>
    </row>
    <row r="5" spans="1:38" ht="15.6" customHeight="1" outlineLevel="1">
      <c r="A5" s="50" t="s">
        <v>167</v>
      </c>
      <c r="B5" s="54" t="s">
        <v>118</v>
      </c>
      <c r="C5" s="52"/>
      <c r="D5" s="51"/>
      <c r="E5" s="51"/>
      <c r="F5" s="51"/>
      <c r="G5" s="51"/>
      <c r="H5" s="51"/>
      <c r="I5" s="53" t="e">
        <f>SUM(I6:I12)</f>
        <v>#REF!</v>
      </c>
      <c r="J5" s="51"/>
      <c r="K5" s="53">
        <f>SUM(K6:K12)</f>
        <v>0</v>
      </c>
      <c r="L5" s="109">
        <f t="shared" ref="L5:L56" si="0">IFERROR(K5/I5,0)</f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6" customHeight="1" outlineLevel="1">
      <c r="A6" s="49" t="s">
        <v>184</v>
      </c>
      <c r="B6" s="55" t="str">
        <f>'CONTROL DE HORAS'!D5</f>
        <v>ARQUITECTURA</v>
      </c>
      <c r="C6" s="37" t="e">
        <f>'CONTROL DE HORAS'!K6</f>
        <v>#REF!</v>
      </c>
      <c r="D6" s="38">
        <v>1</v>
      </c>
      <c r="E6" s="38" t="s">
        <v>29</v>
      </c>
      <c r="F6" s="39" t="e">
        <f t="shared" ref="F6:F12" si="1">C6/D6</f>
        <v>#REF!</v>
      </c>
      <c r="G6" s="38">
        <v>1</v>
      </c>
      <c r="H6" s="38">
        <v>1.1000000000000001</v>
      </c>
      <c r="I6" s="39" t="e">
        <f t="shared" ref="I6:I12" si="2">F6*G6*H6</f>
        <v>#REF!</v>
      </c>
      <c r="J6" s="114"/>
      <c r="K6" s="39">
        <f>'CONTROL DE HORAS'!BJ6</f>
        <v>0</v>
      </c>
      <c r="L6" s="109">
        <f t="shared" si="0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5.6" customHeight="1" outlineLevel="1">
      <c r="A7" s="49" t="s">
        <v>185</v>
      </c>
      <c r="B7" s="55" t="str">
        <f>'CONTROL DE HORAS'!D18</f>
        <v>ESTRUCTURAS</v>
      </c>
      <c r="C7" s="37" t="e">
        <f>'CONTROL DE HORAS'!K19</f>
        <v>#REF!</v>
      </c>
      <c r="D7" s="38">
        <v>1</v>
      </c>
      <c r="E7" s="38" t="s">
        <v>29</v>
      </c>
      <c r="F7" s="39" t="e">
        <f t="shared" si="1"/>
        <v>#REF!</v>
      </c>
      <c r="G7" s="38">
        <v>1</v>
      </c>
      <c r="H7" s="38">
        <v>1.1000000000000001</v>
      </c>
      <c r="I7" s="39" t="e">
        <f t="shared" si="2"/>
        <v>#REF!</v>
      </c>
      <c r="J7" s="114"/>
      <c r="K7" s="39">
        <f>'CONTROL DE HORAS'!BJ19</f>
        <v>0</v>
      </c>
      <c r="L7" s="109">
        <f t="shared" si="0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5.6" customHeight="1" outlineLevel="1">
      <c r="A8" s="49" t="s">
        <v>186</v>
      </c>
      <c r="B8" s="55" t="str">
        <f>'CONTROL DE HORAS'!D27</f>
        <v>INST. ELECTRICAS</v>
      </c>
      <c r="C8" s="37">
        <f>'CONTROL DE HORAS'!K28</f>
        <v>121.46425155246499</v>
      </c>
      <c r="D8" s="38">
        <v>1</v>
      </c>
      <c r="E8" s="38" t="s">
        <v>29</v>
      </c>
      <c r="F8" s="39">
        <f t="shared" si="1"/>
        <v>121.46425155246499</v>
      </c>
      <c r="G8" s="38">
        <v>1</v>
      </c>
      <c r="H8" s="38">
        <v>1.1000000000000001</v>
      </c>
      <c r="I8" s="39">
        <f t="shared" si="2"/>
        <v>133.61067670771149</v>
      </c>
      <c r="J8" s="114"/>
      <c r="K8" s="39">
        <f>'CONTROL DE HORAS'!BJ28</f>
        <v>0</v>
      </c>
      <c r="L8" s="109">
        <f t="shared" si="0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15.6" customHeight="1" outlineLevel="1">
      <c r="A9" s="49" t="s">
        <v>187</v>
      </c>
      <c r="B9" s="55" t="str">
        <f>'CONTROL DE HORAS'!D33</f>
        <v>INST. SANITARIAS</v>
      </c>
      <c r="C9" s="37" t="e">
        <f>'CONTROL DE HORAS'!K34</f>
        <v>#REF!</v>
      </c>
      <c r="D9" s="38">
        <v>1</v>
      </c>
      <c r="E9" s="38" t="s">
        <v>29</v>
      </c>
      <c r="F9" s="39" t="e">
        <f t="shared" si="1"/>
        <v>#REF!</v>
      </c>
      <c r="G9" s="38">
        <v>1</v>
      </c>
      <c r="H9" s="38">
        <v>1.1000000000000001</v>
      </c>
      <c r="I9" s="39" t="e">
        <f t="shared" si="2"/>
        <v>#REF!</v>
      </c>
      <c r="J9" s="114"/>
      <c r="K9" s="39">
        <f>'CONTROL DE HORAS'!BJ34</f>
        <v>0</v>
      </c>
      <c r="L9" s="109">
        <f t="shared" si="0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5.6" customHeight="1" outlineLevel="1">
      <c r="A10" s="49" t="s">
        <v>188</v>
      </c>
      <c r="B10" s="55" t="str">
        <f>'CONTROL DE HORAS'!D40</f>
        <v>INST. GAS</v>
      </c>
      <c r="C10" s="37" t="e">
        <f>'CONTROL DE HORAS'!K41</f>
        <v>#REF!</v>
      </c>
      <c r="D10" s="38">
        <v>1</v>
      </c>
      <c r="E10" s="38" t="s">
        <v>29</v>
      </c>
      <c r="F10" s="39" t="e">
        <f t="shared" si="1"/>
        <v>#REF!</v>
      </c>
      <c r="G10" s="38">
        <v>1</v>
      </c>
      <c r="H10" s="38">
        <v>1.1000000000000001</v>
      </c>
      <c r="I10" s="39" t="e">
        <f t="shared" si="2"/>
        <v>#REF!</v>
      </c>
      <c r="J10" s="114"/>
      <c r="K10" s="39">
        <f>'CONTROL DE HORAS'!BJ41</f>
        <v>0</v>
      </c>
      <c r="L10" s="109">
        <f t="shared" si="0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.6" customHeight="1" outlineLevel="1">
      <c r="A11" s="49" t="s">
        <v>188</v>
      </c>
      <c r="B11" s="55" t="str">
        <f>'CONTROL DE HORAS'!D50</f>
        <v>SUELOS</v>
      </c>
      <c r="C11" s="37" t="e">
        <f>'CONTROL DE HORAS'!K42</f>
        <v>#REF!</v>
      </c>
      <c r="D11" s="38">
        <v>1</v>
      </c>
      <c r="E11" s="38" t="s">
        <v>29</v>
      </c>
      <c r="F11" s="39">
        <f>'CONTROL DE HORAS'!K51</f>
        <v>0</v>
      </c>
      <c r="G11" s="38">
        <v>1</v>
      </c>
      <c r="H11" s="38">
        <v>1.1000000000000001</v>
      </c>
      <c r="I11" s="39">
        <f t="shared" ref="I11" si="3">F11*G11*H11</f>
        <v>0</v>
      </c>
      <c r="J11" s="114"/>
      <c r="K11" s="39">
        <f>'CONTROL DE HORAS'!BJ42</f>
        <v>0</v>
      </c>
      <c r="L11" s="109">
        <f t="shared" ref="L11" si="4">IFERROR(K11/I11,0)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.6" customHeight="1" outlineLevel="1">
      <c r="A12" s="49" t="s">
        <v>188</v>
      </c>
      <c r="B12" s="55" t="str">
        <f>'CONTROL DE HORAS'!D55</f>
        <v>GESTIÓN Y ADMINISTRACIÓN</v>
      </c>
      <c r="C12" s="37">
        <f>'CONTROL DE HORAS'!K56</f>
        <v>0</v>
      </c>
      <c r="D12" s="38">
        <v>1</v>
      </c>
      <c r="E12" s="38" t="s">
        <v>29</v>
      </c>
      <c r="F12" s="39">
        <f t="shared" si="1"/>
        <v>0</v>
      </c>
      <c r="G12" s="38">
        <v>1</v>
      </c>
      <c r="H12" s="38">
        <v>1.1000000000000001</v>
      </c>
      <c r="I12" s="39">
        <f t="shared" si="2"/>
        <v>0</v>
      </c>
      <c r="J12" s="114"/>
      <c r="K12" s="39">
        <f>'CONTROL DE HORAS'!BJ42</f>
        <v>0</v>
      </c>
      <c r="L12" s="109">
        <f t="shared" ref="L12" si="5">IFERROR(K12/I12,0)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s="47" customFormat="1" ht="16.2" customHeight="1" outlineLevel="1">
      <c r="A13" s="50" t="s">
        <v>168</v>
      </c>
      <c r="B13" s="54" t="s">
        <v>104</v>
      </c>
      <c r="C13" s="52"/>
      <c r="D13" s="51"/>
      <c r="E13" s="51"/>
      <c r="F13" s="51"/>
      <c r="G13" s="51"/>
      <c r="H13" s="51"/>
      <c r="I13" s="53">
        <f>I14+I20+I24</f>
        <v>1261</v>
      </c>
      <c r="J13" s="51"/>
      <c r="K13" s="53">
        <f>K14+K20+K24</f>
        <v>750</v>
      </c>
      <c r="L13" s="109">
        <f t="shared" si="0"/>
        <v>0.59476605868358445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s="47" customFormat="1" ht="16.2" customHeight="1" outlineLevel="1">
      <c r="A14" s="102" t="s">
        <v>169</v>
      </c>
      <c r="B14" s="103" t="s">
        <v>87</v>
      </c>
      <c r="C14" s="104"/>
      <c r="D14" s="105"/>
      <c r="E14" s="105"/>
      <c r="F14" s="105"/>
      <c r="G14" s="105"/>
      <c r="H14" s="105"/>
      <c r="I14" s="106">
        <f>SUM(I15:I19)</f>
        <v>400</v>
      </c>
      <c r="J14" s="105"/>
      <c r="K14" s="106">
        <f>SUM(K15:K19)</f>
        <v>0</v>
      </c>
      <c r="L14" s="109">
        <f t="shared" si="0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6" customHeight="1" outlineLevel="1">
      <c r="A15" s="49" t="s">
        <v>170</v>
      </c>
      <c r="B15" s="55" t="s">
        <v>14</v>
      </c>
      <c r="C15" s="37">
        <v>200</v>
      </c>
      <c r="D15" s="38">
        <v>4</v>
      </c>
      <c r="E15" s="38" t="s">
        <v>29</v>
      </c>
      <c r="F15" s="39">
        <f>C15/D15</f>
        <v>50</v>
      </c>
      <c r="G15" s="38">
        <v>0</v>
      </c>
      <c r="H15" s="38">
        <v>1</v>
      </c>
      <c r="I15" s="39">
        <f t="shared" ref="I15:I31" si="6">F15*G15*H15</f>
        <v>0</v>
      </c>
      <c r="J15" s="38"/>
      <c r="K15" s="39">
        <f>F15*J15*H15</f>
        <v>0</v>
      </c>
      <c r="L15" s="109">
        <f t="shared" si="0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6" customHeight="1" outlineLevel="1">
      <c r="A16" s="49" t="s">
        <v>171</v>
      </c>
      <c r="B16" s="55" t="s">
        <v>15</v>
      </c>
      <c r="C16" s="37">
        <v>200</v>
      </c>
      <c r="D16" s="38">
        <v>2</v>
      </c>
      <c r="E16" s="38" t="s">
        <v>29</v>
      </c>
      <c r="F16" s="39">
        <f>C16/D16</f>
        <v>100</v>
      </c>
      <c r="G16" s="38">
        <v>1</v>
      </c>
      <c r="H16" s="38">
        <v>1</v>
      </c>
      <c r="I16" s="39">
        <f t="shared" si="6"/>
        <v>100</v>
      </c>
      <c r="J16" s="38"/>
      <c r="K16" s="39">
        <f>F16*J16*H16</f>
        <v>0</v>
      </c>
      <c r="L16" s="109">
        <f t="shared" si="0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6" customHeight="1" outlineLevel="1">
      <c r="A17" s="49" t="s">
        <v>172</v>
      </c>
      <c r="B17" s="55" t="s">
        <v>16</v>
      </c>
      <c r="C17" s="37">
        <v>200</v>
      </c>
      <c r="D17" s="38">
        <v>4</v>
      </c>
      <c r="E17" s="38" t="s">
        <v>29</v>
      </c>
      <c r="F17" s="39">
        <f>C17/D17</f>
        <v>50</v>
      </c>
      <c r="G17" s="38">
        <v>0</v>
      </c>
      <c r="H17" s="38">
        <v>1</v>
      </c>
      <c r="I17" s="39">
        <f t="shared" si="6"/>
        <v>0</v>
      </c>
      <c r="J17" s="38"/>
      <c r="K17" s="39">
        <f>F17*J17*H17</f>
        <v>0</v>
      </c>
      <c r="L17" s="109">
        <f t="shared" si="0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6" customHeight="1" outlineLevel="1">
      <c r="A18" s="49" t="s">
        <v>172</v>
      </c>
      <c r="B18" s="55" t="s">
        <v>394</v>
      </c>
      <c r="C18" s="37">
        <v>300</v>
      </c>
      <c r="D18" s="38">
        <v>1</v>
      </c>
      <c r="E18" s="38" t="s">
        <v>29</v>
      </c>
      <c r="F18" s="39">
        <f>C18/D18</f>
        <v>300</v>
      </c>
      <c r="G18" s="38">
        <v>1</v>
      </c>
      <c r="H18" s="38">
        <v>1</v>
      </c>
      <c r="I18" s="39">
        <f t="shared" ref="I18" si="7">F18*G18*H18</f>
        <v>300</v>
      </c>
      <c r="J18" s="38"/>
      <c r="K18" s="39">
        <f>F18*J18*H18</f>
        <v>0</v>
      </c>
      <c r="L18" s="109">
        <f t="shared" ref="L18" si="8">IFERROR(K18/I18,0)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6" customHeight="1" outlineLevel="1">
      <c r="A19" s="49" t="s">
        <v>173</v>
      </c>
      <c r="B19" s="55" t="s">
        <v>17</v>
      </c>
      <c r="C19" s="37">
        <v>200</v>
      </c>
      <c r="D19" s="38">
        <v>4</v>
      </c>
      <c r="E19" s="38" t="s">
        <v>29</v>
      </c>
      <c r="F19" s="39">
        <f>C19/D19</f>
        <v>50</v>
      </c>
      <c r="G19" s="38">
        <v>0</v>
      </c>
      <c r="H19" s="38">
        <v>1</v>
      </c>
      <c r="I19" s="39">
        <f t="shared" si="6"/>
        <v>0</v>
      </c>
      <c r="J19" s="38"/>
      <c r="K19" s="39">
        <f>F19*J19*H19</f>
        <v>0</v>
      </c>
      <c r="L19" s="109">
        <f t="shared" si="0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s="47" customFormat="1" ht="16.2" customHeight="1" outlineLevel="1">
      <c r="A20" s="102" t="s">
        <v>174</v>
      </c>
      <c r="B20" s="103" t="s">
        <v>88</v>
      </c>
      <c r="C20" s="104"/>
      <c r="D20" s="105"/>
      <c r="E20" s="105"/>
      <c r="F20" s="105"/>
      <c r="G20" s="105"/>
      <c r="H20" s="105"/>
      <c r="I20" s="106">
        <f>SUM(I21:I23)</f>
        <v>191</v>
      </c>
      <c r="J20" s="105"/>
      <c r="K20" s="106">
        <f>SUM(K21:K23)</f>
        <v>80</v>
      </c>
      <c r="L20" s="109">
        <f t="shared" si="0"/>
        <v>0.41884816753926701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6" customHeight="1" outlineLevel="1">
      <c r="A21" s="49" t="s">
        <v>175</v>
      </c>
      <c r="B21" s="55" t="s">
        <v>94</v>
      </c>
      <c r="C21" s="37">
        <v>8</v>
      </c>
      <c r="D21" s="38">
        <v>1</v>
      </c>
      <c r="E21" s="38" t="s">
        <v>27</v>
      </c>
      <c r="F21" s="39">
        <f>C21/D21</f>
        <v>8</v>
      </c>
      <c r="G21" s="38">
        <v>2</v>
      </c>
      <c r="H21" s="38">
        <v>1</v>
      </c>
      <c r="I21" s="39">
        <f t="shared" si="6"/>
        <v>16</v>
      </c>
      <c r="J21" s="38"/>
      <c r="K21" s="39">
        <f t="shared" ref="K21:K42" si="9">F21*J21*H21</f>
        <v>0</v>
      </c>
      <c r="L21" s="109">
        <f t="shared" si="0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6" customHeight="1" outlineLevel="1">
      <c r="A22" s="49" t="s">
        <v>176</v>
      </c>
      <c r="B22" s="55" t="s">
        <v>396</v>
      </c>
      <c r="C22" s="37">
        <v>15</v>
      </c>
      <c r="D22" s="38">
        <v>2</v>
      </c>
      <c r="E22" s="38" t="s">
        <v>27</v>
      </c>
      <c r="F22" s="39">
        <f>C22/D22</f>
        <v>7.5</v>
      </c>
      <c r="G22" s="38">
        <v>2</v>
      </c>
      <c r="H22" s="38">
        <v>1</v>
      </c>
      <c r="I22" s="39">
        <f t="shared" ref="I22" si="10">F22*G22*H22</f>
        <v>15</v>
      </c>
      <c r="J22" s="38"/>
      <c r="K22" s="39">
        <f t="shared" ref="K22" si="11">F22*J22*H22</f>
        <v>0</v>
      </c>
      <c r="L22" s="109">
        <f t="shared" ref="L22" si="12">IFERROR(K22/I22,0)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6" customHeight="1" outlineLevel="1">
      <c r="A23" s="49" t="s">
        <v>395</v>
      </c>
      <c r="B23" s="55" t="s">
        <v>28</v>
      </c>
      <c r="C23" s="37">
        <v>30</v>
      </c>
      <c r="D23" s="38">
        <v>1</v>
      </c>
      <c r="E23" s="38" t="s">
        <v>26</v>
      </c>
      <c r="F23" s="39">
        <v>80</v>
      </c>
      <c r="G23" s="38">
        <v>2</v>
      </c>
      <c r="H23" s="38">
        <v>1</v>
      </c>
      <c r="I23" s="39">
        <f t="shared" si="6"/>
        <v>160</v>
      </c>
      <c r="J23" s="38">
        <v>1</v>
      </c>
      <c r="K23" s="39">
        <f t="shared" si="9"/>
        <v>80</v>
      </c>
      <c r="L23" s="109">
        <f t="shared" si="0"/>
        <v>0.5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s="47" customFormat="1" ht="16.2" customHeight="1" outlineLevel="1">
      <c r="A24" s="102" t="s">
        <v>177</v>
      </c>
      <c r="B24" s="103" t="s">
        <v>93</v>
      </c>
      <c r="C24" s="104"/>
      <c r="D24" s="105"/>
      <c r="E24" s="105"/>
      <c r="F24" s="105"/>
      <c r="G24" s="105"/>
      <c r="H24" s="105"/>
      <c r="I24" s="106">
        <f>SUM(I25:I31)</f>
        <v>670</v>
      </c>
      <c r="J24" s="105"/>
      <c r="K24" s="106">
        <f>SUM(K25:K31)</f>
        <v>670</v>
      </c>
      <c r="L24" s="109">
        <f t="shared" si="0"/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6" customHeight="1" outlineLevel="1">
      <c r="A25" s="49" t="s">
        <v>178</v>
      </c>
      <c r="B25" s="55" t="s">
        <v>96</v>
      </c>
      <c r="C25" s="37">
        <v>120</v>
      </c>
      <c r="D25" s="38">
        <v>1</v>
      </c>
      <c r="E25" s="38" t="s">
        <v>95</v>
      </c>
      <c r="F25" s="39">
        <f t="shared" ref="F25:F31" si="13">C25/D25</f>
        <v>120</v>
      </c>
      <c r="G25" s="38">
        <v>1</v>
      </c>
      <c r="H25" s="38">
        <v>1</v>
      </c>
      <c r="I25" s="39">
        <f t="shared" si="6"/>
        <v>120</v>
      </c>
      <c r="J25" s="38">
        <v>1</v>
      </c>
      <c r="K25" s="39">
        <f t="shared" si="9"/>
        <v>120</v>
      </c>
      <c r="L25" s="109">
        <f t="shared" si="0"/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6" customHeight="1" outlineLevel="1">
      <c r="A26" s="49" t="s">
        <v>179</v>
      </c>
      <c r="B26" s="55" t="s">
        <v>97</v>
      </c>
      <c r="C26" s="37">
        <v>350</v>
      </c>
      <c r="D26" s="38">
        <v>1</v>
      </c>
      <c r="E26" s="38" t="s">
        <v>95</v>
      </c>
      <c r="F26" s="39">
        <f t="shared" si="13"/>
        <v>350</v>
      </c>
      <c r="G26" s="38">
        <v>0</v>
      </c>
      <c r="H26" s="38">
        <v>1</v>
      </c>
      <c r="I26" s="39">
        <f t="shared" si="6"/>
        <v>0</v>
      </c>
      <c r="J26" s="38"/>
      <c r="K26" s="39">
        <f t="shared" si="9"/>
        <v>0</v>
      </c>
      <c r="L26" s="109">
        <f t="shared" si="0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6" customHeight="1" outlineLevel="1">
      <c r="A27" s="49" t="s">
        <v>180</v>
      </c>
      <c r="B27" s="55" t="s">
        <v>98</v>
      </c>
      <c r="C27" s="37">
        <v>550</v>
      </c>
      <c r="D27" s="38">
        <v>1</v>
      </c>
      <c r="E27" s="38" t="s">
        <v>95</v>
      </c>
      <c r="F27" s="39">
        <f t="shared" si="13"/>
        <v>550</v>
      </c>
      <c r="G27" s="38">
        <v>1</v>
      </c>
      <c r="H27" s="38">
        <v>1</v>
      </c>
      <c r="I27" s="39">
        <f t="shared" si="6"/>
        <v>550</v>
      </c>
      <c r="J27" s="38">
        <v>1</v>
      </c>
      <c r="K27" s="39">
        <f t="shared" si="9"/>
        <v>550</v>
      </c>
      <c r="L27" s="109">
        <f t="shared" si="0"/>
        <v>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6" customHeight="1" outlineLevel="1">
      <c r="A28" s="49" t="s">
        <v>181</v>
      </c>
      <c r="B28" s="55" t="s">
        <v>99</v>
      </c>
      <c r="C28" s="37">
        <v>650</v>
      </c>
      <c r="D28" s="38">
        <v>1</v>
      </c>
      <c r="E28" s="38" t="s">
        <v>95</v>
      </c>
      <c r="F28" s="39">
        <f t="shared" si="13"/>
        <v>650</v>
      </c>
      <c r="G28" s="38">
        <v>0</v>
      </c>
      <c r="H28" s="38">
        <v>1</v>
      </c>
      <c r="I28" s="39">
        <f t="shared" si="6"/>
        <v>0</v>
      </c>
      <c r="J28" s="38"/>
      <c r="K28" s="39">
        <f t="shared" si="9"/>
        <v>0</v>
      </c>
      <c r="L28" s="109">
        <f t="shared" si="0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6" customHeight="1" outlineLevel="1">
      <c r="A29" s="49" t="s">
        <v>182</v>
      </c>
      <c r="B29" s="55" t="s">
        <v>100</v>
      </c>
      <c r="C29" s="37">
        <v>780</v>
      </c>
      <c r="D29" s="38">
        <v>1</v>
      </c>
      <c r="E29" s="38" t="s">
        <v>95</v>
      </c>
      <c r="F29" s="39">
        <f t="shared" si="13"/>
        <v>780</v>
      </c>
      <c r="G29" s="38">
        <v>0</v>
      </c>
      <c r="H29" s="38">
        <v>1</v>
      </c>
      <c r="I29" s="39">
        <f t="shared" si="6"/>
        <v>0</v>
      </c>
      <c r="J29" s="38"/>
      <c r="K29" s="39">
        <f t="shared" si="9"/>
        <v>0</v>
      </c>
      <c r="L29" s="109">
        <f t="shared" si="0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6" customHeight="1" outlineLevel="1">
      <c r="A30" s="49" t="s">
        <v>183</v>
      </c>
      <c r="B30" s="55" t="s">
        <v>193</v>
      </c>
      <c r="C30" s="37">
        <v>60</v>
      </c>
      <c r="D30" s="38">
        <v>1</v>
      </c>
      <c r="E30" s="38" t="s">
        <v>95</v>
      </c>
      <c r="F30" s="39">
        <f t="shared" si="13"/>
        <v>60</v>
      </c>
      <c r="G30" s="38">
        <v>0</v>
      </c>
      <c r="H30" s="38">
        <v>1</v>
      </c>
      <c r="I30" s="39">
        <f>F30*G30*H30</f>
        <v>0</v>
      </c>
      <c r="J30" s="38"/>
      <c r="K30" s="39">
        <f t="shared" si="9"/>
        <v>0</v>
      </c>
      <c r="L30" s="109">
        <f t="shared" si="0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6" customHeight="1" outlineLevel="1">
      <c r="A31" s="49" t="s">
        <v>192</v>
      </c>
      <c r="B31" s="55" t="s">
        <v>101</v>
      </c>
      <c r="C31" s="37">
        <v>20</v>
      </c>
      <c r="D31" s="38">
        <v>1</v>
      </c>
      <c r="E31" s="38" t="s">
        <v>95</v>
      </c>
      <c r="F31" s="39">
        <f t="shared" si="13"/>
        <v>20</v>
      </c>
      <c r="G31" s="38">
        <v>0</v>
      </c>
      <c r="H31" s="38">
        <v>1</v>
      </c>
      <c r="I31" s="39">
        <f t="shared" si="6"/>
        <v>0</v>
      </c>
      <c r="J31" s="38"/>
      <c r="K31" s="39">
        <f t="shared" si="9"/>
        <v>0</v>
      </c>
      <c r="L31" s="109">
        <f t="shared" si="0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s="47" customFormat="1" ht="16.2" customHeight="1" outlineLevel="1">
      <c r="A32" s="50" t="s">
        <v>198</v>
      </c>
      <c r="B32" s="54" t="s">
        <v>194</v>
      </c>
      <c r="C32" s="52"/>
      <c r="D32" s="51"/>
      <c r="E32" s="51"/>
      <c r="F32" s="51"/>
      <c r="G32" s="51"/>
      <c r="H32" s="51"/>
      <c r="I32" s="53">
        <f>SUM(I33:I43)</f>
        <v>631.15932203389832</v>
      </c>
      <c r="J32" s="51"/>
      <c r="K32" s="53">
        <f>SUM(K33:K43)</f>
        <v>0</v>
      </c>
      <c r="L32" s="109">
        <f t="shared" si="0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6" customHeight="1" outlineLevel="1">
      <c r="A33" s="49" t="s">
        <v>199</v>
      </c>
      <c r="B33" s="55" t="s">
        <v>8</v>
      </c>
      <c r="C33" s="37">
        <f>11/1.18</f>
        <v>9.3220338983050848</v>
      </c>
      <c r="D33" s="38">
        <v>1</v>
      </c>
      <c r="E33" s="38" t="s">
        <v>22</v>
      </c>
      <c r="F33" s="39">
        <f t="shared" ref="F33:F43" si="14">C33/D33</f>
        <v>9.3220338983050848</v>
      </c>
      <c r="G33" s="38">
        <v>12</v>
      </c>
      <c r="H33" s="38">
        <v>1.2</v>
      </c>
      <c r="I33" s="39">
        <f>F33*G33*H33</f>
        <v>134.23728813559322</v>
      </c>
      <c r="J33" s="38"/>
      <c r="K33" s="39">
        <f t="shared" si="9"/>
        <v>0</v>
      </c>
      <c r="L33" s="109">
        <f t="shared" si="0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6" customHeight="1" outlineLevel="1">
      <c r="A34" s="49" t="s">
        <v>200</v>
      </c>
      <c r="B34" s="55" t="s">
        <v>24</v>
      </c>
      <c r="C34" s="37">
        <f>10/1.18</f>
        <v>8.4745762711864412</v>
      </c>
      <c r="D34" s="38">
        <v>50</v>
      </c>
      <c r="E34" s="38" t="s">
        <v>22</v>
      </c>
      <c r="F34" s="39">
        <f t="shared" si="14"/>
        <v>0.16949152542372883</v>
      </c>
      <c r="G34" s="38">
        <v>2</v>
      </c>
      <c r="H34" s="38">
        <v>1.2</v>
      </c>
      <c r="I34" s="39">
        <f t="shared" ref="I34:I43" si="15">F34*G34*H34</f>
        <v>0.40677966101694918</v>
      </c>
      <c r="J34" s="38"/>
      <c r="K34" s="39">
        <f t="shared" si="9"/>
        <v>0</v>
      </c>
      <c r="L34" s="109">
        <f t="shared" si="0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6" customHeight="1" outlineLevel="1">
      <c r="A35" s="49" t="s">
        <v>201</v>
      </c>
      <c r="B35" s="55" t="s">
        <v>11</v>
      </c>
      <c r="C35" s="37">
        <f>10/1.18</f>
        <v>8.4745762711864412</v>
      </c>
      <c r="D35" s="38">
        <v>25</v>
      </c>
      <c r="E35" s="38" t="s">
        <v>22</v>
      </c>
      <c r="F35" s="39">
        <f t="shared" si="14"/>
        <v>0.33898305084745767</v>
      </c>
      <c r="G35" s="38">
        <v>10</v>
      </c>
      <c r="H35" s="38">
        <v>1.2</v>
      </c>
      <c r="I35" s="39">
        <f t="shared" si="15"/>
        <v>4.0677966101694913</v>
      </c>
      <c r="J35" s="38"/>
      <c r="K35" s="39">
        <f t="shared" si="9"/>
        <v>0</v>
      </c>
      <c r="L35" s="109">
        <f t="shared" si="0"/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6" customHeight="1" outlineLevel="1">
      <c r="A36" s="49" t="s">
        <v>202</v>
      </c>
      <c r="B36" s="55" t="s">
        <v>12</v>
      </c>
      <c r="C36" s="37">
        <f>5/1.18</f>
        <v>4.2372881355932206</v>
      </c>
      <c r="D36" s="38">
        <v>50</v>
      </c>
      <c r="E36" s="38" t="s">
        <v>22</v>
      </c>
      <c r="F36" s="39">
        <f>C36/D36</f>
        <v>8.4745762711864417E-2</v>
      </c>
      <c r="G36" s="38">
        <v>10</v>
      </c>
      <c r="H36" s="38">
        <v>1.2</v>
      </c>
      <c r="I36" s="39">
        <f t="shared" si="15"/>
        <v>1.0169491525423728</v>
      </c>
      <c r="J36" s="38"/>
      <c r="K36" s="39">
        <f t="shared" si="9"/>
        <v>0</v>
      </c>
      <c r="L36" s="109">
        <f t="shared" si="0"/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6" customHeight="1" outlineLevel="1">
      <c r="A37" s="49" t="s">
        <v>203</v>
      </c>
      <c r="B37" s="55" t="s">
        <v>23</v>
      </c>
      <c r="C37" s="37">
        <f>10/1.18</f>
        <v>8.4745762711864412</v>
      </c>
      <c r="D37" s="38">
        <v>50</v>
      </c>
      <c r="E37" s="38" t="s">
        <v>22</v>
      </c>
      <c r="F37" s="39">
        <f t="shared" si="14"/>
        <v>0.16949152542372883</v>
      </c>
      <c r="G37" s="38">
        <v>1</v>
      </c>
      <c r="H37" s="38">
        <v>1.2</v>
      </c>
      <c r="I37" s="39">
        <f t="shared" si="15"/>
        <v>0.20338983050847459</v>
      </c>
      <c r="J37" s="38"/>
      <c r="K37" s="39">
        <f t="shared" si="9"/>
        <v>0</v>
      </c>
      <c r="L37" s="109">
        <f t="shared" si="0"/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6" customHeight="1" outlineLevel="1">
      <c r="A38" s="49" t="s">
        <v>204</v>
      </c>
      <c r="B38" s="55" t="s">
        <v>13</v>
      </c>
      <c r="C38" s="37">
        <f>5/1.18</f>
        <v>4.2372881355932206</v>
      </c>
      <c r="D38" s="38">
        <v>5000</v>
      </c>
      <c r="E38" s="38" t="s">
        <v>22</v>
      </c>
      <c r="F38" s="39">
        <f t="shared" si="14"/>
        <v>8.4745762711864415E-4</v>
      </c>
      <c r="G38" s="38">
        <v>40</v>
      </c>
      <c r="H38" s="38">
        <v>1.2</v>
      </c>
      <c r="I38" s="39">
        <f t="shared" si="15"/>
        <v>4.0677966101694919E-2</v>
      </c>
      <c r="J38" s="38"/>
      <c r="K38" s="39">
        <f t="shared" si="9"/>
        <v>0</v>
      </c>
      <c r="L38" s="109">
        <f t="shared" si="0"/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s="47" customFormat="1" ht="13.95" customHeight="1" outlineLevel="1">
      <c r="A39" s="49" t="s">
        <v>205</v>
      </c>
      <c r="B39" s="56" t="s">
        <v>35</v>
      </c>
      <c r="C39" s="46">
        <f>'IMPRESIÓN A4 EN OFICINA'!G6</f>
        <v>0.32910949690610708</v>
      </c>
      <c r="D39" s="41">
        <v>1</v>
      </c>
      <c r="E39" s="41" t="s">
        <v>36</v>
      </c>
      <c r="F39" s="39">
        <f>C39/D39</f>
        <v>0.32910949690610708</v>
      </c>
      <c r="G39" s="41">
        <v>0</v>
      </c>
      <c r="H39" s="38">
        <v>1.2</v>
      </c>
      <c r="I39" s="39">
        <f t="shared" si="15"/>
        <v>0</v>
      </c>
      <c r="J39" s="41"/>
      <c r="K39" s="39">
        <f t="shared" si="9"/>
        <v>0</v>
      </c>
      <c r="L39" s="109">
        <f t="shared" si="0"/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s="47" customFormat="1" ht="15.6" customHeight="1" outlineLevel="1">
      <c r="A40" s="49" t="s">
        <v>206</v>
      </c>
      <c r="B40" s="56" t="s">
        <v>9</v>
      </c>
      <c r="C40" s="46">
        <f>3/1.18</f>
        <v>2.5423728813559325</v>
      </c>
      <c r="D40" s="41">
        <v>1</v>
      </c>
      <c r="E40" s="41" t="s">
        <v>25</v>
      </c>
      <c r="F40" s="39">
        <f t="shared" si="14"/>
        <v>2.5423728813559325</v>
      </c>
      <c r="G40" s="41">
        <v>100</v>
      </c>
      <c r="H40" s="38">
        <v>1.2</v>
      </c>
      <c r="I40" s="39">
        <f t="shared" si="15"/>
        <v>305.08474576271186</v>
      </c>
      <c r="J40" s="41"/>
      <c r="K40" s="39">
        <f t="shared" si="9"/>
        <v>0</v>
      </c>
      <c r="L40" s="109">
        <f t="shared" si="0"/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s="47" customFormat="1" ht="15.6" customHeight="1" outlineLevel="1">
      <c r="A41" s="49" t="s">
        <v>207</v>
      </c>
      <c r="B41" s="56" t="s">
        <v>10</v>
      </c>
      <c r="C41" s="46">
        <f>6/1.18</f>
        <v>5.0847457627118651</v>
      </c>
      <c r="D41" s="41">
        <v>1</v>
      </c>
      <c r="E41" s="41" t="s">
        <v>25</v>
      </c>
      <c r="F41" s="39">
        <f t="shared" si="14"/>
        <v>5.0847457627118651</v>
      </c>
      <c r="G41" s="41">
        <v>20</v>
      </c>
      <c r="H41" s="38">
        <v>1.2</v>
      </c>
      <c r="I41" s="39">
        <f t="shared" si="15"/>
        <v>122.03389830508476</v>
      </c>
      <c r="J41" s="41"/>
      <c r="K41" s="39">
        <f t="shared" si="9"/>
        <v>0</v>
      </c>
      <c r="L41" s="109">
        <f t="shared" si="0"/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s="47" customFormat="1" ht="15.6" customHeight="1" outlineLevel="1">
      <c r="A42" s="49" t="s">
        <v>208</v>
      </c>
      <c r="B42" s="56" t="s">
        <v>19</v>
      </c>
      <c r="C42" s="46">
        <f>0.2/1.18</f>
        <v>0.16949152542372883</v>
      </c>
      <c r="D42" s="41">
        <v>1</v>
      </c>
      <c r="E42" s="41" t="s">
        <v>25</v>
      </c>
      <c r="F42" s="39">
        <f t="shared" si="14"/>
        <v>0.16949152542372883</v>
      </c>
      <c r="G42" s="41">
        <v>300</v>
      </c>
      <c r="H42" s="38">
        <v>1.2</v>
      </c>
      <c r="I42" s="39">
        <f t="shared" si="15"/>
        <v>61.016949152542381</v>
      </c>
      <c r="J42" s="41"/>
      <c r="K42" s="39">
        <f t="shared" si="9"/>
        <v>0</v>
      </c>
      <c r="L42" s="109">
        <f t="shared" si="0"/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s="47" customFormat="1" ht="16.2" customHeight="1" outlineLevel="1">
      <c r="A43" s="49" t="s">
        <v>209</v>
      </c>
      <c r="B43" s="56" t="s">
        <v>20</v>
      </c>
      <c r="C43" s="46">
        <f>1/1.18</f>
        <v>0.84745762711864414</v>
      </c>
      <c r="D43" s="41">
        <v>1</v>
      </c>
      <c r="E43" s="41" t="s">
        <v>25</v>
      </c>
      <c r="F43" s="39">
        <f t="shared" si="14"/>
        <v>0.84745762711864414</v>
      </c>
      <c r="G43" s="41">
        <v>3</v>
      </c>
      <c r="H43" s="38">
        <v>1.2</v>
      </c>
      <c r="I43" s="39">
        <f t="shared" si="15"/>
        <v>3.050847457627119</v>
      </c>
      <c r="J43" s="38"/>
      <c r="K43" s="39">
        <f>I43*J43</f>
        <v>0</v>
      </c>
      <c r="L43" s="109">
        <f t="shared" si="0"/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6" customHeight="1" outlineLevel="1">
      <c r="A44" s="96" t="s">
        <v>165</v>
      </c>
      <c r="B44" s="97" t="s">
        <v>37</v>
      </c>
      <c r="C44" s="98"/>
      <c r="D44" s="99"/>
      <c r="E44" s="99"/>
      <c r="F44" s="99"/>
      <c r="G44" s="99"/>
      <c r="H44" s="99"/>
      <c r="I44" s="100">
        <f>I45</f>
        <v>2871</v>
      </c>
      <c r="J44" s="99"/>
      <c r="K44" s="100">
        <f>K45</f>
        <v>0</v>
      </c>
      <c r="L44" s="109">
        <f t="shared" si="0"/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6" customHeight="1" outlineLevel="1">
      <c r="A45" s="50" t="s">
        <v>189</v>
      </c>
      <c r="B45" s="54" t="s">
        <v>190</v>
      </c>
      <c r="C45" s="52"/>
      <c r="D45" s="51"/>
      <c r="E45" s="51"/>
      <c r="F45" s="51"/>
      <c r="G45" s="51"/>
      <c r="H45" s="51"/>
      <c r="I45" s="53">
        <f>SUM(I46:I53)</f>
        <v>2871</v>
      </c>
      <c r="J45" s="51"/>
      <c r="K45" s="53">
        <f>SUM(K46:K53)</f>
        <v>0</v>
      </c>
      <c r="L45" s="109">
        <f t="shared" si="0"/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6" customHeight="1" outlineLevel="1">
      <c r="A46" s="49" t="s">
        <v>213</v>
      </c>
      <c r="B46" s="55" t="s">
        <v>42</v>
      </c>
      <c r="C46" s="37">
        <v>1200</v>
      </c>
      <c r="D46" s="38">
        <v>1</v>
      </c>
      <c r="E46" s="38" t="s">
        <v>191</v>
      </c>
      <c r="F46" s="39">
        <v>2200</v>
      </c>
      <c r="G46" s="59">
        <v>0.05</v>
      </c>
      <c r="H46" s="38">
        <v>4</v>
      </c>
      <c r="I46" s="39">
        <f>F46*G46*H46</f>
        <v>440</v>
      </c>
      <c r="J46" s="59"/>
      <c r="K46" s="39">
        <f t="shared" ref="K46:K53" si="16">F46*J46*H46</f>
        <v>0</v>
      </c>
      <c r="L46" s="109">
        <f t="shared" si="0"/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6.2" customHeight="1" outlineLevel="1">
      <c r="A47" s="49" t="s">
        <v>214</v>
      </c>
      <c r="B47" s="55" t="s">
        <v>195</v>
      </c>
      <c r="C47" s="37">
        <v>80</v>
      </c>
      <c r="D47" s="38">
        <v>1</v>
      </c>
      <c r="E47" s="38" t="s">
        <v>196</v>
      </c>
      <c r="F47" s="39">
        <f>C47/D47</f>
        <v>80</v>
      </c>
      <c r="G47" s="59">
        <v>0.05</v>
      </c>
      <c r="H47" s="38">
        <v>4</v>
      </c>
      <c r="I47" s="39">
        <f>F47*G47*H47</f>
        <v>16</v>
      </c>
      <c r="J47" s="59"/>
      <c r="K47" s="39">
        <f t="shared" si="16"/>
        <v>0</v>
      </c>
      <c r="L47" s="109">
        <f t="shared" si="0"/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6" customHeight="1" outlineLevel="1">
      <c r="A48" s="49" t="s">
        <v>215</v>
      </c>
      <c r="B48" s="55" t="s">
        <v>55</v>
      </c>
      <c r="C48" s="37">
        <v>450</v>
      </c>
      <c r="D48" s="38">
        <v>1</v>
      </c>
      <c r="E48" s="38" t="s">
        <v>196</v>
      </c>
      <c r="F48" s="39">
        <f t="shared" ref="F48:F53" si="17">C48/D48</f>
        <v>450</v>
      </c>
      <c r="G48" s="59">
        <v>0.05</v>
      </c>
      <c r="H48" s="38">
        <v>4</v>
      </c>
      <c r="I48" s="39">
        <f t="shared" ref="I48:I53" si="18">F48*G48*H48</f>
        <v>90</v>
      </c>
      <c r="J48" s="59"/>
      <c r="K48" s="39">
        <f t="shared" si="16"/>
        <v>0</v>
      </c>
      <c r="L48" s="109">
        <f t="shared" si="0"/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6" customHeight="1" outlineLevel="1">
      <c r="A49" s="49" t="s">
        <v>216</v>
      </c>
      <c r="B49" s="55" t="s">
        <v>56</v>
      </c>
      <c r="C49" s="37">
        <v>125</v>
      </c>
      <c r="D49" s="38">
        <v>1</v>
      </c>
      <c r="E49" s="38" t="s">
        <v>197</v>
      </c>
      <c r="F49" s="39">
        <f t="shared" si="17"/>
        <v>125</v>
      </c>
      <c r="G49" s="59">
        <v>0.05</v>
      </c>
      <c r="H49" s="38">
        <v>4</v>
      </c>
      <c r="I49" s="39">
        <f t="shared" si="18"/>
        <v>25</v>
      </c>
      <c r="J49" s="59"/>
      <c r="K49" s="39">
        <f t="shared" si="16"/>
        <v>0</v>
      </c>
      <c r="L49" s="109">
        <f t="shared" si="0"/>
        <v>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6" customHeight="1" outlineLevel="1">
      <c r="A50" s="49" t="s">
        <v>217</v>
      </c>
      <c r="B50" s="55" t="s">
        <v>211</v>
      </c>
      <c r="C50" s="37">
        <v>3500</v>
      </c>
      <c r="D50" s="38">
        <v>1</v>
      </c>
      <c r="E50" s="38"/>
      <c r="F50" s="39">
        <f t="shared" si="17"/>
        <v>3500</v>
      </c>
      <c r="G50" s="59">
        <v>0.05</v>
      </c>
      <c r="H50" s="38">
        <v>4</v>
      </c>
      <c r="I50" s="39">
        <f t="shared" si="18"/>
        <v>700</v>
      </c>
      <c r="J50" s="59"/>
      <c r="K50" s="39">
        <f t="shared" si="16"/>
        <v>0</v>
      </c>
      <c r="L50" s="109">
        <f t="shared" si="0"/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6" customHeight="1" outlineLevel="1">
      <c r="A51" s="49" t="s">
        <v>218</v>
      </c>
      <c r="B51" s="55" t="s">
        <v>60</v>
      </c>
      <c r="C51" s="37">
        <v>4000</v>
      </c>
      <c r="D51" s="38">
        <v>1</v>
      </c>
      <c r="E51" s="38"/>
      <c r="F51" s="39">
        <f t="shared" si="17"/>
        <v>4000</v>
      </c>
      <c r="G51" s="59">
        <v>0.05</v>
      </c>
      <c r="H51" s="38">
        <v>4</v>
      </c>
      <c r="I51" s="39">
        <f t="shared" si="18"/>
        <v>800</v>
      </c>
      <c r="J51" s="59"/>
      <c r="K51" s="39">
        <f t="shared" si="16"/>
        <v>0</v>
      </c>
      <c r="L51" s="109">
        <f t="shared" si="0"/>
        <v>0</v>
      </c>
    </row>
    <row r="52" spans="1:38" ht="15.6" customHeight="1" outlineLevel="1">
      <c r="A52" s="49" t="s">
        <v>219</v>
      </c>
      <c r="B52" s="55" t="s">
        <v>210</v>
      </c>
      <c r="C52" s="37">
        <v>1500</v>
      </c>
      <c r="D52" s="38">
        <v>1</v>
      </c>
      <c r="E52" s="38"/>
      <c r="F52" s="39">
        <f t="shared" si="17"/>
        <v>1500</v>
      </c>
      <c r="G52" s="59">
        <v>0.05</v>
      </c>
      <c r="H52" s="38">
        <v>4</v>
      </c>
      <c r="I52" s="39">
        <f t="shared" si="18"/>
        <v>300</v>
      </c>
      <c r="J52" s="59"/>
      <c r="K52" s="39">
        <f t="shared" si="16"/>
        <v>0</v>
      </c>
      <c r="L52" s="109">
        <f t="shared" si="0"/>
        <v>0</v>
      </c>
    </row>
    <row r="53" spans="1:38" ht="15.6" customHeight="1" outlineLevel="1">
      <c r="A53" s="49" t="s">
        <v>220</v>
      </c>
      <c r="B53" s="55" t="s">
        <v>73</v>
      </c>
      <c r="C53" s="37">
        <v>2500</v>
      </c>
      <c r="D53" s="38">
        <v>1</v>
      </c>
      <c r="E53" s="38"/>
      <c r="F53" s="39">
        <f t="shared" si="17"/>
        <v>2500</v>
      </c>
      <c r="G53" s="59">
        <v>0.05</v>
      </c>
      <c r="H53" s="38">
        <v>4</v>
      </c>
      <c r="I53" s="39">
        <f t="shared" si="18"/>
        <v>500</v>
      </c>
      <c r="J53" s="59"/>
      <c r="K53" s="39">
        <f t="shared" si="16"/>
        <v>0</v>
      </c>
      <c r="L53" s="109">
        <f t="shared" si="0"/>
        <v>0</v>
      </c>
    </row>
    <row r="54" spans="1:38" ht="15.6" customHeight="1" outlineLevel="1">
      <c r="A54" s="96"/>
      <c r="B54" s="97" t="s">
        <v>212</v>
      </c>
      <c r="C54" s="98"/>
      <c r="D54" s="99"/>
      <c r="E54" s="99"/>
      <c r="F54" s="99"/>
      <c r="G54" s="99"/>
      <c r="H54" s="101"/>
      <c r="I54" s="100" t="e">
        <f>(I4+I44)</f>
        <v>#REF!</v>
      </c>
      <c r="J54" s="99"/>
      <c r="K54" s="100">
        <f>(K4+K44)</f>
        <v>750</v>
      </c>
      <c r="L54" s="109">
        <f t="shared" si="0"/>
        <v>0</v>
      </c>
    </row>
    <row r="55" spans="1:38" ht="15.6" customHeight="1" outlineLevel="1">
      <c r="A55" s="119"/>
      <c r="B55" s="120" t="s">
        <v>38</v>
      </c>
      <c r="C55" s="121"/>
      <c r="D55" s="122"/>
      <c r="E55" s="122"/>
      <c r="F55" s="122"/>
      <c r="G55" s="122"/>
      <c r="H55" s="123">
        <v>0.11650000000000001</v>
      </c>
      <c r="I55" s="124" t="e">
        <f>I54*H55</f>
        <v>#REF!</v>
      </c>
      <c r="J55" s="125">
        <v>0.8</v>
      </c>
      <c r="K55" s="124">
        <v>2686.3661741334663</v>
      </c>
      <c r="L55" s="118"/>
    </row>
    <row r="56" spans="1:38" ht="15.6" customHeight="1" outlineLevel="1">
      <c r="A56" s="119"/>
      <c r="B56" s="120" t="s">
        <v>39</v>
      </c>
      <c r="C56" s="121"/>
      <c r="D56" s="122"/>
      <c r="E56" s="122"/>
      <c r="F56" s="122"/>
      <c r="G56" s="122"/>
      <c r="H56" s="123"/>
      <c r="I56" s="124" t="e">
        <f>I54+I55</f>
        <v>#REF!</v>
      </c>
      <c r="J56" s="122"/>
      <c r="K56" s="124">
        <f>K54+K55</f>
        <v>3436.3661741334663</v>
      </c>
      <c r="L56" s="109">
        <f t="shared" si="0"/>
        <v>0</v>
      </c>
    </row>
  </sheetData>
  <mergeCells count="5">
    <mergeCell ref="A1:A2"/>
    <mergeCell ref="D2:I2"/>
    <mergeCell ref="J2:L2"/>
    <mergeCell ref="B1:B2"/>
    <mergeCell ref="C1:C2"/>
  </mergeCells>
  <phoneticPr fontId="7" type="noConversion"/>
  <conditionalFormatting sqref="L4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{A2E25547-F799-438E-9CD8-51202E32D390}</x14:id>
        </ext>
      </extLst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{F2999B88-29E3-44FB-A0B5-322E8628F755}</x14:id>
        </ext>
      </extLst>
    </cfRule>
  </conditionalFormatting>
  <conditionalFormatting sqref="L5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{CC72E2EC-7C1D-4194-B504-A3CFC68C9AF9}</x14:id>
        </ext>
      </extLst>
    </cfRule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{27D6F599-25AD-43C5-9D3B-4CE18CD7C341}</x14:id>
        </ext>
      </extLst>
    </cfRule>
  </conditionalFormatting>
  <conditionalFormatting sqref="L6:L12">
    <cfRule type="dataBar" priority="17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{BCEDDD13-A66E-41ED-88FE-93D5771B10AE}</x14:id>
        </ext>
      </extLst>
    </cfRule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{B2CCF063-0BFA-4550-8526-51D06E54DCB7}</x14:id>
        </ext>
      </extLst>
    </cfRule>
  </conditionalFormatting>
  <conditionalFormatting sqref="L13"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{44DA5739-91B6-4414-9997-FEE2863BE7AF}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{DA694EC0-09BD-42DC-A968-B13602C632B8}</x14:id>
        </ext>
      </extLst>
    </cfRule>
  </conditionalFormatting>
  <conditionalFormatting sqref="L14:L31">
    <cfRule type="dataBar" priority="1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{D61D2304-5F06-4FA6-B13A-BE5C091F6990}</x14:id>
        </ext>
      </extLst>
    </cfRule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{F99EEA7C-3AEC-4507-8FE7-B5636FD4042A}</x14:id>
        </ext>
      </extLst>
    </cfRule>
  </conditionalFormatting>
  <conditionalFormatting sqref="L32">
    <cfRule type="dataBar" priority="7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{0EDA6C8E-CA88-459F-942B-3EAA0B4441C9}</x14:id>
        </ext>
      </extLst>
    </cfRule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{1F81945C-E122-4206-8280-88698DF0E678}</x14:id>
        </ext>
      </extLst>
    </cfRule>
  </conditionalFormatting>
  <conditionalFormatting sqref="L33:L43">
    <cfRule type="dataBar" priority="1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{9608A4FC-8CF8-4947-AA1F-44A862C348DA}</x14:id>
        </ext>
      </extLst>
    </cfRule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{0EFE37FA-4202-47CD-AC6D-50FDF0868FC0}</x14:id>
        </ext>
      </extLst>
    </cfRule>
  </conditionalFormatting>
  <conditionalFormatting sqref="L44:L45 L54:L56">
    <cfRule type="dataBar" priority="2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{58D7E120-4FB4-408E-8515-68167C7C841B}</x14:id>
        </ext>
      </extLst>
    </cfRule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{7483AEA2-A0D7-4D93-8AFE-6C6E757F7E15}</x14:id>
        </ext>
      </extLst>
    </cfRule>
  </conditionalFormatting>
  <conditionalFormatting sqref="L46:L53">
    <cfRule type="dataBar" priority="9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{B2D428FE-8854-4B47-9225-643E1E555370}</x14:id>
        </ext>
      </extLst>
    </cfRule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{26C1EA71-C983-44FF-BB86-1C292A7C958A}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E25547-F799-438E-9CD8-51202E32D3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999B88-29E3-44FB-A0B5-322E8628F7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72E2EC-7C1D-4194-B504-A3CFC68C9A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D6F599-25AD-43C5-9D3B-4CE18CD7C3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CEDDD13-A66E-41ED-88FE-93D5771B10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CCF063-0BFA-4550-8526-51D06E54DC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L6:L12</xm:sqref>
        </x14:conditionalFormatting>
        <x14:conditionalFormatting xmlns:xm="http://schemas.microsoft.com/office/excel/2006/main">
          <x14:cfRule type="dataBar" id="{44DA5739-91B6-4414-9997-FEE2863BE7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694EC0-09BD-42DC-A968-B13602C632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61D2304-5F06-4FA6-B13A-BE5C091F69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99EEA7C-3AEC-4507-8FE7-B5636FD404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L14:L31</xm:sqref>
        </x14:conditionalFormatting>
        <x14:conditionalFormatting xmlns:xm="http://schemas.microsoft.com/office/excel/2006/main">
          <x14:cfRule type="dataBar" id="{0EDA6C8E-CA88-459F-942B-3EAA0B4441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81945C-E122-4206-8280-88698DF0E6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9608A4FC-8CF8-4947-AA1F-44A862C348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FE37FA-4202-47CD-AC6D-50FDF0868F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L33:L43</xm:sqref>
        </x14:conditionalFormatting>
        <x14:conditionalFormatting xmlns:xm="http://schemas.microsoft.com/office/excel/2006/main">
          <x14:cfRule type="dataBar" id="{58D7E120-4FB4-408E-8515-68167C7C84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483AEA2-A0D7-4D93-8AFE-6C6E757F7E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L44:L45 L54:L56</xm:sqref>
        </x14:conditionalFormatting>
        <x14:conditionalFormatting xmlns:xm="http://schemas.microsoft.com/office/excel/2006/main">
          <x14:cfRule type="dataBar" id="{B2D428FE-8854-4B47-9225-643E1E5553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C1EA71-C983-44FF-BB86-1C292A7C95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L46:L53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8D6CDDA-890A-40E6-9123-1E3C13E09558}">
          <x14:formula1>
            <xm:f>'DATOS PROYECTO'!$A$2:$A$10</xm:f>
          </x14:formula1>
          <xm:sqref>B3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FF75-C90A-4C06-B7DA-593231DCF853}">
  <sheetPr>
    <tabColor rgb="FF2BD2FF"/>
  </sheetPr>
  <dimension ref="A1:AI78"/>
  <sheetViews>
    <sheetView view="pageBreakPreview" topLeftCell="L1" zoomScale="85" zoomScaleNormal="55" zoomScaleSheetLayoutView="85" workbookViewId="0">
      <pane xSplit="1" topLeftCell="M1" activePane="topRight" state="frozen"/>
      <selection activeCell="A24" sqref="A24"/>
      <selection pane="topRight" activeCell="X4" sqref="X4"/>
    </sheetView>
  </sheetViews>
  <sheetFormatPr baseColWidth="10" defaultRowHeight="14.4"/>
  <cols>
    <col min="1" max="1" width="56.6640625" style="48" customWidth="1"/>
    <col min="2" max="4" width="17.88671875" style="202" customWidth="1"/>
    <col min="5" max="5" width="17.44140625" style="202" customWidth="1"/>
    <col min="7" max="7" width="43.6640625" customWidth="1"/>
    <col min="8" max="8" width="19.5546875" customWidth="1"/>
    <col min="9" max="9" width="17.33203125" customWidth="1"/>
    <col min="10" max="10" width="18.44140625" customWidth="1"/>
    <col min="11" max="11" width="13.5546875" customWidth="1"/>
    <col min="12" max="12" width="14.88671875" customWidth="1"/>
    <col min="13" max="13" width="10.6640625" customWidth="1"/>
    <col min="14" max="14" width="12.6640625" customWidth="1"/>
    <col min="24" max="24" width="16.5546875" customWidth="1"/>
  </cols>
  <sheetData>
    <row r="1" spans="1:35" ht="25.8">
      <c r="A1" s="365" t="s">
        <v>350</v>
      </c>
      <c r="B1" s="365"/>
      <c r="C1" s="365"/>
      <c r="D1" s="365"/>
      <c r="E1" s="365"/>
      <c r="F1" s="229"/>
      <c r="G1" s="348" t="s">
        <v>332</v>
      </c>
      <c r="H1" s="348"/>
      <c r="I1" s="348"/>
      <c r="J1" s="348"/>
      <c r="K1" s="348"/>
      <c r="M1" s="230"/>
      <c r="N1" s="368" t="str">
        <f>CONCATENATE("CURVA S DE ",A1)</f>
        <v>CURVA S DE TODO EL PROYECTO</v>
      </c>
      <c r="O1" s="368"/>
      <c r="P1" s="368"/>
      <c r="Q1" s="368"/>
      <c r="R1" s="368"/>
      <c r="S1" s="368"/>
      <c r="T1" s="368"/>
      <c r="U1" s="368"/>
      <c r="V1" s="368"/>
      <c r="W1" s="368"/>
      <c r="X1" s="230"/>
      <c r="Y1" s="369" t="str">
        <f>CONCATENATE("CURVA S DE ",G1)</f>
        <v>CURVA S DE ESTRUCTURAS</v>
      </c>
      <c r="Z1" s="369"/>
      <c r="AA1" s="369"/>
      <c r="AB1" s="369"/>
      <c r="AC1" s="369"/>
      <c r="AD1" s="369"/>
      <c r="AE1" s="369"/>
      <c r="AF1" s="369"/>
      <c r="AG1" s="369"/>
      <c r="AH1" s="369"/>
      <c r="AI1" s="230"/>
    </row>
    <row r="2" spans="1:35">
      <c r="A2" s="228"/>
      <c r="B2" s="204"/>
      <c r="C2" s="204"/>
      <c r="D2" s="204"/>
      <c r="E2" s="204"/>
      <c r="G2" s="231"/>
      <c r="H2" s="232"/>
      <c r="I2" s="232"/>
      <c r="J2" s="232"/>
      <c r="K2" s="232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</row>
    <row r="3" spans="1:35">
      <c r="A3" s="362" t="s">
        <v>347</v>
      </c>
      <c r="B3" s="357" t="s">
        <v>346</v>
      </c>
      <c r="C3" s="357"/>
      <c r="D3" s="357"/>
      <c r="E3" s="357"/>
      <c r="G3" s="349" t="s">
        <v>347</v>
      </c>
      <c r="H3" s="352" t="s">
        <v>346</v>
      </c>
      <c r="I3" s="352"/>
      <c r="J3" s="352"/>
      <c r="K3" s="352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</row>
    <row r="4" spans="1:35">
      <c r="A4" s="363"/>
      <c r="B4" s="358" t="s">
        <v>344</v>
      </c>
      <c r="C4" s="359"/>
      <c r="D4" s="360" t="s">
        <v>345</v>
      </c>
      <c r="E4" s="361"/>
      <c r="G4" s="350"/>
      <c r="H4" s="353" t="s">
        <v>344</v>
      </c>
      <c r="I4" s="354"/>
      <c r="J4" s="355" t="s">
        <v>345</v>
      </c>
      <c r="K4" s="356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</row>
    <row r="5" spans="1:35">
      <c r="A5" s="364"/>
      <c r="B5" s="206" t="s">
        <v>342</v>
      </c>
      <c r="C5" s="206" t="s">
        <v>348</v>
      </c>
      <c r="D5" s="205" t="s">
        <v>343</v>
      </c>
      <c r="E5" s="205" t="s">
        <v>348</v>
      </c>
      <c r="G5" s="351"/>
      <c r="H5" s="233" t="s">
        <v>342</v>
      </c>
      <c r="I5" s="233" t="s">
        <v>348</v>
      </c>
      <c r="J5" s="234" t="s">
        <v>343</v>
      </c>
      <c r="K5" s="234" t="s">
        <v>348</v>
      </c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</row>
    <row r="6" spans="1:35">
      <c r="A6" s="8" t="s">
        <v>349</v>
      </c>
      <c r="B6" s="203">
        <v>0</v>
      </c>
      <c r="C6" s="203">
        <f>B6</f>
        <v>0</v>
      </c>
      <c r="D6" s="203">
        <v>0</v>
      </c>
      <c r="E6" s="203">
        <f>D6</f>
        <v>0</v>
      </c>
      <c r="G6" s="235" t="s">
        <v>349</v>
      </c>
      <c r="H6" s="236">
        <v>0</v>
      </c>
      <c r="I6" s="236">
        <f>H6</f>
        <v>0</v>
      </c>
      <c r="J6" s="236">
        <v>0</v>
      </c>
      <c r="K6" s="236">
        <f>J6</f>
        <v>0</v>
      </c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</row>
    <row r="7" spans="1:35">
      <c r="A7" s="8" t="s">
        <v>351</v>
      </c>
      <c r="B7" s="203">
        <f>'CONTROL DE HORAS'!M4</f>
        <v>0</v>
      </c>
      <c r="C7" s="203">
        <f>B7+C6</f>
        <v>0</v>
      </c>
      <c r="D7" s="203">
        <f>'CONTROL DE HORAS'!N4</f>
        <v>0</v>
      </c>
      <c r="E7" s="203">
        <f>D7+E6</f>
        <v>0</v>
      </c>
      <c r="G7" s="235" t="s">
        <v>351</v>
      </c>
      <c r="H7" s="236">
        <f>VLOOKUP($G$1,'CONTROL DE HORAS'!$D$5:$BH$116,8,FALSE)</f>
        <v>0</v>
      </c>
      <c r="I7" s="236">
        <f>H7+I6</f>
        <v>0</v>
      </c>
      <c r="J7" s="236">
        <f>VLOOKUP($G$1,'CONTROL DE HORAS'!$D$5:$BH$116,9,FALSE)</f>
        <v>0</v>
      </c>
      <c r="K7" s="236">
        <f>J7+K6</f>
        <v>0</v>
      </c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</row>
    <row r="8" spans="1:35">
      <c r="A8" s="8" t="s">
        <v>352</v>
      </c>
      <c r="B8" s="203">
        <f>'CONTROL DE HORAS'!Q4</f>
        <v>0</v>
      </c>
      <c r="C8" s="203">
        <f t="shared" ref="C8:C16" si="0">B8+C7</f>
        <v>0</v>
      </c>
      <c r="D8" s="203">
        <f>'CONTROL DE HORAS'!R4</f>
        <v>0</v>
      </c>
      <c r="E8" s="203">
        <f t="shared" ref="E8:E16" si="1">D8+E7</f>
        <v>0</v>
      </c>
      <c r="G8" s="235" t="s">
        <v>352</v>
      </c>
      <c r="H8" s="236">
        <f>VLOOKUP($G$1,'CONTROL DE HORAS'!$D$5:$BH$116,12,FALSE)</f>
        <v>0</v>
      </c>
      <c r="I8" s="236">
        <f t="shared" ref="I8:I16" si="2">H8+I7</f>
        <v>0</v>
      </c>
      <c r="J8" s="236">
        <f>VLOOKUP($G$1,'CONTROL DE HORAS'!$D$5:$BH$116,13,FALSE)</f>
        <v>0</v>
      </c>
      <c r="K8" s="236">
        <f t="shared" ref="K8:K16" si="3">J8+K7</f>
        <v>0</v>
      </c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</row>
    <row r="9" spans="1:35">
      <c r="A9" s="8" t="s">
        <v>353</v>
      </c>
      <c r="B9" s="203">
        <f>'CONTROL DE HORAS'!U4</f>
        <v>0</v>
      </c>
      <c r="C9" s="203">
        <f t="shared" si="0"/>
        <v>0</v>
      </c>
      <c r="D9" s="203">
        <f>'CONTROL DE HORAS'!V4</f>
        <v>0</v>
      </c>
      <c r="E9" s="203">
        <f t="shared" si="1"/>
        <v>0</v>
      </c>
      <c r="G9" s="235" t="s">
        <v>353</v>
      </c>
      <c r="H9" s="236">
        <f>VLOOKUP($G$1,'CONTROL DE HORAS'!$D$5:$BH$116,16,FALSE)</f>
        <v>0</v>
      </c>
      <c r="I9" s="236">
        <f t="shared" si="2"/>
        <v>0</v>
      </c>
      <c r="J9" s="236">
        <f>VLOOKUP($G$1,'CONTROL DE HORAS'!$D$5:$BH$116,17,FALSE)</f>
        <v>0</v>
      </c>
      <c r="K9" s="236">
        <f t="shared" si="3"/>
        <v>0</v>
      </c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</row>
    <row r="10" spans="1:35">
      <c r="A10" s="8" t="s">
        <v>354</v>
      </c>
      <c r="B10" s="203">
        <f>'CONTROL DE HORAS'!Y4</f>
        <v>0</v>
      </c>
      <c r="C10" s="203">
        <f t="shared" si="0"/>
        <v>0</v>
      </c>
      <c r="D10" s="203">
        <f>'CONTROL DE HORAS'!Z4</f>
        <v>0</v>
      </c>
      <c r="E10" s="203">
        <f t="shared" si="1"/>
        <v>0</v>
      </c>
      <c r="G10" s="235" t="s">
        <v>354</v>
      </c>
      <c r="H10" s="236">
        <f>VLOOKUP($G$1,'CONTROL DE HORAS'!$D$5:$BH$116,20,FALSE)</f>
        <v>0</v>
      </c>
      <c r="I10" s="236">
        <f t="shared" si="2"/>
        <v>0</v>
      </c>
      <c r="J10" s="236">
        <f>VLOOKUP($G$1,'CONTROL DE HORAS'!$D$5:$BH$116,21,FALSE)</f>
        <v>0</v>
      </c>
      <c r="K10" s="236">
        <f t="shared" si="3"/>
        <v>0</v>
      </c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</row>
    <row r="11" spans="1:35">
      <c r="A11" s="8" t="s">
        <v>355</v>
      </c>
      <c r="B11" s="203">
        <f>'CONTROL DE HORAS'!AC4</f>
        <v>0</v>
      </c>
      <c r="C11" s="203">
        <f t="shared" si="0"/>
        <v>0</v>
      </c>
      <c r="D11" s="203">
        <f>'CONTROL DE HORAS'!AD4</f>
        <v>0</v>
      </c>
      <c r="E11" s="203">
        <f t="shared" si="1"/>
        <v>0</v>
      </c>
      <c r="G11" s="235" t="s">
        <v>355</v>
      </c>
      <c r="H11" s="236">
        <f>VLOOKUP($G$1,'CONTROL DE HORAS'!$D$5:$BH$116,24,FALSE)</f>
        <v>0</v>
      </c>
      <c r="I11" s="236">
        <f t="shared" si="2"/>
        <v>0</v>
      </c>
      <c r="J11" s="236">
        <f>VLOOKUP($G$1,'CONTROL DE HORAS'!$D$5:$BH$116,25,FALSE)</f>
        <v>0</v>
      </c>
      <c r="K11" s="236">
        <f t="shared" si="3"/>
        <v>0</v>
      </c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</row>
    <row r="12" spans="1:35">
      <c r="A12" s="8" t="s">
        <v>356</v>
      </c>
      <c r="B12" s="203">
        <f>'CONTROL DE HORAS'!AG4</f>
        <v>0</v>
      </c>
      <c r="C12" s="203">
        <f t="shared" si="0"/>
        <v>0</v>
      </c>
      <c r="D12" s="203">
        <f>'CONTROL DE HORAS'!AH4</f>
        <v>0</v>
      </c>
      <c r="E12" s="203">
        <f t="shared" si="1"/>
        <v>0</v>
      </c>
      <c r="G12" s="235" t="s">
        <v>356</v>
      </c>
      <c r="H12" s="236">
        <f>VLOOKUP($G$1,'CONTROL DE HORAS'!$D$5:$BH$116,28,FALSE)</f>
        <v>0</v>
      </c>
      <c r="I12" s="236">
        <f t="shared" si="2"/>
        <v>0</v>
      </c>
      <c r="J12" s="236">
        <f>VLOOKUP($G$1,'CONTROL DE HORAS'!$D$5:$BH$116,29,FALSE)</f>
        <v>0</v>
      </c>
      <c r="K12" s="236">
        <f t="shared" si="3"/>
        <v>0</v>
      </c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</row>
    <row r="13" spans="1:35">
      <c r="A13" s="8" t="s">
        <v>357</v>
      </c>
      <c r="B13" s="203">
        <f>'CONTROL DE HORAS'!AK4</f>
        <v>0</v>
      </c>
      <c r="C13" s="203">
        <f t="shared" si="0"/>
        <v>0</v>
      </c>
      <c r="D13" s="203">
        <f>'CONTROL DE HORAS'!AL4</f>
        <v>0</v>
      </c>
      <c r="E13" s="203">
        <f t="shared" si="1"/>
        <v>0</v>
      </c>
      <c r="G13" s="235" t="s">
        <v>357</v>
      </c>
      <c r="H13" s="236">
        <f>VLOOKUP($G$1,'CONTROL DE HORAS'!$D$5:$BH$116,32,FALSE)</f>
        <v>0</v>
      </c>
      <c r="I13" s="236">
        <f t="shared" si="2"/>
        <v>0</v>
      </c>
      <c r="J13" s="236">
        <f>VLOOKUP($G$1,'CONTROL DE HORAS'!$D$5:$BH$116,33,FALSE)</f>
        <v>0</v>
      </c>
      <c r="K13" s="236">
        <f t="shared" si="3"/>
        <v>0</v>
      </c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</row>
    <row r="14" spans="1:35">
      <c r="A14" s="8" t="s">
        <v>358</v>
      </c>
      <c r="B14" s="203">
        <f>'CONTROL DE HORAS'!AO4</f>
        <v>0</v>
      </c>
      <c r="C14" s="203">
        <f t="shared" si="0"/>
        <v>0</v>
      </c>
      <c r="D14" s="203">
        <f>'CONTROL DE HORAS'!AP4</f>
        <v>0</v>
      </c>
      <c r="E14" s="203">
        <f t="shared" si="1"/>
        <v>0</v>
      </c>
      <c r="G14" s="235" t="s">
        <v>358</v>
      </c>
      <c r="H14" s="236">
        <f>VLOOKUP($G$1,'CONTROL DE HORAS'!$D$5:$BH$116,36,FALSE)</f>
        <v>0</v>
      </c>
      <c r="I14" s="236">
        <f t="shared" si="2"/>
        <v>0</v>
      </c>
      <c r="J14" s="236">
        <f>VLOOKUP($G$1,'CONTROL DE HORAS'!$D$5:$BH$116,37,FALSE)</f>
        <v>0</v>
      </c>
      <c r="K14" s="236">
        <f t="shared" si="3"/>
        <v>0</v>
      </c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</row>
    <row r="15" spans="1:35">
      <c r="A15" s="8" t="s">
        <v>359</v>
      </c>
      <c r="B15" s="203">
        <f>'CONTROL DE HORAS'!AS4</f>
        <v>0</v>
      </c>
      <c r="C15" s="203">
        <f t="shared" si="0"/>
        <v>0</v>
      </c>
      <c r="D15" s="203">
        <f>'CONTROL DE HORAS'!AT4</f>
        <v>0</v>
      </c>
      <c r="E15" s="203">
        <f t="shared" si="1"/>
        <v>0</v>
      </c>
      <c r="G15" s="235" t="s">
        <v>359</v>
      </c>
      <c r="H15" s="236">
        <f>VLOOKUP($G$1,'CONTROL DE HORAS'!$D$5:$BH$116,40,FALSE)</f>
        <v>0</v>
      </c>
      <c r="I15" s="236">
        <f t="shared" si="2"/>
        <v>0</v>
      </c>
      <c r="J15" s="236">
        <f>VLOOKUP($G$1,'CONTROL DE HORAS'!$D$5:$BH$116,41,FALSE)</f>
        <v>0</v>
      </c>
      <c r="K15" s="236">
        <f t="shared" si="3"/>
        <v>0</v>
      </c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</row>
    <row r="16" spans="1:35">
      <c r="A16" s="8" t="s">
        <v>360</v>
      </c>
      <c r="B16" s="203">
        <f>'CONTROL DE HORAS'!AW4</f>
        <v>0</v>
      </c>
      <c r="C16" s="203">
        <f t="shared" si="0"/>
        <v>0</v>
      </c>
      <c r="D16" s="203">
        <f>'CONTROL DE HORAS'!AX4</f>
        <v>0</v>
      </c>
      <c r="E16" s="203">
        <f t="shared" si="1"/>
        <v>0</v>
      </c>
      <c r="G16" s="235" t="s">
        <v>360</v>
      </c>
      <c r="H16" s="236">
        <f>VLOOKUP($G$1,'CONTROL DE HORAS'!$D$5:$BH$116,44,FALSE)</f>
        <v>0</v>
      </c>
      <c r="I16" s="236">
        <f t="shared" si="2"/>
        <v>0</v>
      </c>
      <c r="J16" s="236">
        <f>VLOOKUP($G$1,'CONTROL DE HORAS'!$D$5:$BH$116,45,FALSE)</f>
        <v>0</v>
      </c>
      <c r="K16" s="236">
        <f t="shared" si="3"/>
        <v>0</v>
      </c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</row>
    <row r="17" spans="1:35">
      <c r="A17" s="8" t="s">
        <v>363</v>
      </c>
      <c r="B17" s="203">
        <f>'CONTROL DE HORAS'!BA4</f>
        <v>0</v>
      </c>
      <c r="C17" s="203">
        <f>B17+C16</f>
        <v>0</v>
      </c>
      <c r="D17" s="203">
        <f>'CONTROL DE HORAS'!BB4</f>
        <v>0</v>
      </c>
      <c r="E17" s="203">
        <f>D17+E16</f>
        <v>0</v>
      </c>
      <c r="G17" s="235" t="s">
        <v>360</v>
      </c>
      <c r="H17" s="236">
        <f>VLOOKUP($G$1,'CONTROL DE HORAS'!$D$5:$BH$116,48,FALSE)</f>
        <v>0</v>
      </c>
      <c r="I17" s="236">
        <f>H17+I16</f>
        <v>0</v>
      </c>
      <c r="J17" s="236">
        <f>VLOOKUP($G$1,'CONTROL DE HORAS'!$D$5:$BH$116,49,FALSE)</f>
        <v>0</v>
      </c>
      <c r="K17" s="236">
        <f>J17+K16</f>
        <v>0</v>
      </c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</row>
    <row r="18" spans="1:35">
      <c r="A18" s="8" t="s">
        <v>364</v>
      </c>
      <c r="B18" s="203">
        <f>'CONTROL DE HORAS'!BE4</f>
        <v>0</v>
      </c>
      <c r="C18" s="203">
        <f>B18+C17</f>
        <v>0</v>
      </c>
      <c r="D18" s="203">
        <f>'CONTROL DE HORAS'!BF4</f>
        <v>0</v>
      </c>
      <c r="E18" s="203">
        <f>D18+E17</f>
        <v>0</v>
      </c>
      <c r="G18" s="235" t="s">
        <v>360</v>
      </c>
      <c r="H18" s="236">
        <f>VLOOKUP($G$1,'CONTROL DE HORAS'!$D$5:$BH$116,52,FALSE)</f>
        <v>0</v>
      </c>
      <c r="I18" s="236">
        <f>H18+I17</f>
        <v>0</v>
      </c>
      <c r="J18" s="236">
        <f>VLOOKUP($G$1,'CONTROL DE HORAS'!$D$5:$BH$116,53,FALSE)</f>
        <v>0</v>
      </c>
      <c r="K18" s="236">
        <f>J18+K17</f>
        <v>0</v>
      </c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</row>
    <row r="19" spans="1:35">
      <c r="G19" s="237"/>
      <c r="H19" s="237"/>
      <c r="I19" s="237"/>
      <c r="J19" s="237"/>
      <c r="K19" s="237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</row>
    <row r="20" spans="1:35">
      <c r="G20" s="237"/>
      <c r="H20" s="237"/>
      <c r="I20" s="237"/>
      <c r="J20" s="237"/>
      <c r="K20" s="237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</row>
    <row r="21" spans="1:35">
      <c r="G21" s="237"/>
      <c r="H21" s="237"/>
      <c r="I21" s="237"/>
      <c r="J21" s="237"/>
      <c r="K21" s="237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</row>
    <row r="22" spans="1:35" ht="25.8">
      <c r="A22" s="367" t="s">
        <v>119</v>
      </c>
      <c r="B22" s="367"/>
      <c r="C22" s="367"/>
      <c r="D22" s="367"/>
      <c r="E22" s="367"/>
      <c r="G22" s="366" t="s">
        <v>120</v>
      </c>
      <c r="H22" s="366"/>
      <c r="I22" s="366"/>
      <c r="J22" s="366"/>
      <c r="K22" s="366"/>
      <c r="M22" s="230"/>
      <c r="N22" s="370" t="str">
        <f>CONCATENATE("CURVA S DE ",A22)</f>
        <v>CURVA S DE ARQUITECTURA</v>
      </c>
      <c r="O22" s="370"/>
      <c r="P22" s="370"/>
      <c r="Q22" s="370"/>
      <c r="R22" s="370"/>
      <c r="S22" s="370"/>
      <c r="T22" s="370"/>
      <c r="U22" s="370"/>
      <c r="V22" s="370"/>
      <c r="W22" s="370"/>
      <c r="X22" s="230"/>
      <c r="Y22" s="371" t="str">
        <f>CONCATENATE("CURVA S DE ",G22)</f>
        <v>CURVA S DE INST. SANITARIAS</v>
      </c>
      <c r="Z22" s="371"/>
      <c r="AA22" s="371"/>
      <c r="AB22" s="371"/>
      <c r="AC22" s="371"/>
      <c r="AD22" s="371"/>
      <c r="AE22" s="371"/>
      <c r="AF22" s="371"/>
      <c r="AG22" s="371"/>
      <c r="AH22" s="371"/>
      <c r="AI22" s="230"/>
    </row>
    <row r="23" spans="1:35">
      <c r="A23" s="362" t="s">
        <v>347</v>
      </c>
      <c r="B23" s="357" t="s">
        <v>346</v>
      </c>
      <c r="C23" s="357"/>
      <c r="D23" s="357"/>
      <c r="E23" s="357"/>
      <c r="G23" s="349" t="s">
        <v>347</v>
      </c>
      <c r="H23" s="352" t="s">
        <v>346</v>
      </c>
      <c r="I23" s="352"/>
      <c r="J23" s="352"/>
      <c r="K23" s="352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</row>
    <row r="24" spans="1:35">
      <c r="A24" s="363"/>
      <c r="B24" s="358" t="s">
        <v>344</v>
      </c>
      <c r="C24" s="359"/>
      <c r="D24" s="360" t="s">
        <v>345</v>
      </c>
      <c r="E24" s="361"/>
      <c r="G24" s="350"/>
      <c r="H24" s="353" t="s">
        <v>344</v>
      </c>
      <c r="I24" s="354"/>
      <c r="J24" s="355" t="s">
        <v>345</v>
      </c>
      <c r="K24" s="356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</row>
    <row r="25" spans="1:35">
      <c r="A25" s="364"/>
      <c r="B25" s="206" t="s">
        <v>342</v>
      </c>
      <c r="C25" s="206" t="s">
        <v>348</v>
      </c>
      <c r="D25" s="205" t="s">
        <v>343</v>
      </c>
      <c r="E25" s="205" t="s">
        <v>348</v>
      </c>
      <c r="G25" s="351"/>
      <c r="H25" s="233" t="s">
        <v>342</v>
      </c>
      <c r="I25" s="233" t="s">
        <v>348</v>
      </c>
      <c r="J25" s="234" t="s">
        <v>343</v>
      </c>
      <c r="K25" s="234" t="s">
        <v>348</v>
      </c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</row>
    <row r="26" spans="1:35">
      <c r="A26" s="8" t="s">
        <v>349</v>
      </c>
      <c r="B26" s="203">
        <v>0</v>
      </c>
      <c r="C26" s="203">
        <f>B26</f>
        <v>0</v>
      </c>
      <c r="D26" s="203">
        <v>0</v>
      </c>
      <c r="E26" s="203">
        <f>D26</f>
        <v>0</v>
      </c>
      <c r="G26" s="235" t="s">
        <v>349</v>
      </c>
      <c r="H26" s="236">
        <v>0</v>
      </c>
      <c r="I26" s="236">
        <f>H26</f>
        <v>0</v>
      </c>
      <c r="J26" s="236">
        <v>0</v>
      </c>
      <c r="K26" s="236">
        <f>J26</f>
        <v>0</v>
      </c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230"/>
      <c r="AI26" s="230"/>
    </row>
    <row r="27" spans="1:35">
      <c r="A27" s="8" t="s">
        <v>351</v>
      </c>
      <c r="B27" s="203">
        <f>VLOOKUP($A$22,'CONTROL DE HORAS'!$D$5:$BH$116,8,FALSE)</f>
        <v>0</v>
      </c>
      <c r="C27" s="203">
        <f>B27+C26</f>
        <v>0</v>
      </c>
      <c r="D27" s="203">
        <f>VLOOKUP($A$22,'CONTROL DE HORAS'!$D$5:$BH$116,9,FALSE)</f>
        <v>0</v>
      </c>
      <c r="E27" s="203">
        <f>D27+E26</f>
        <v>0</v>
      </c>
      <c r="G27" s="235" t="s">
        <v>351</v>
      </c>
      <c r="H27" s="236">
        <f>VLOOKUP($G$22,'CONTROL DE HORAS'!$D$5:$BH$116,8,FALSE)</f>
        <v>0</v>
      </c>
      <c r="I27" s="236">
        <f>H27+I26</f>
        <v>0</v>
      </c>
      <c r="J27" s="236">
        <f>VLOOKUP($G$22,'CONTROL DE HORAS'!$D$5:$BH$116,9,FALSE)</f>
        <v>0</v>
      </c>
      <c r="K27" s="236">
        <f>J27+K26</f>
        <v>0</v>
      </c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</row>
    <row r="28" spans="1:35">
      <c r="A28" s="8" t="s">
        <v>352</v>
      </c>
      <c r="B28" s="203">
        <f>VLOOKUP($A$22,'CONTROL DE HORAS'!$D$5:$BH$116,12,FALSE)</f>
        <v>0</v>
      </c>
      <c r="C28" s="203">
        <f t="shared" ref="C28:C38" si="4">B28+C27</f>
        <v>0</v>
      </c>
      <c r="D28" s="203">
        <f>VLOOKUP($A$22,'CONTROL DE HORAS'!$D$5:$BH$116,13,FALSE)</f>
        <v>0</v>
      </c>
      <c r="E28" s="203">
        <f t="shared" ref="E28:E38" si="5">D28+E27</f>
        <v>0</v>
      </c>
      <c r="G28" s="235" t="s">
        <v>352</v>
      </c>
      <c r="H28" s="236">
        <f>VLOOKUP($G$22,'CONTROL DE HORAS'!$D$5:$BH$116,12,FALSE)</f>
        <v>0</v>
      </c>
      <c r="I28" s="236">
        <f t="shared" ref="I28:I38" si="6">H28+I27</f>
        <v>0</v>
      </c>
      <c r="J28" s="236">
        <f>VLOOKUP($G$22,'CONTROL DE HORAS'!$D$5:$BH$116,13,FALSE)</f>
        <v>0</v>
      </c>
      <c r="K28" s="236">
        <f t="shared" ref="K28:K38" si="7">J28+K27</f>
        <v>0</v>
      </c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</row>
    <row r="29" spans="1:35">
      <c r="A29" s="8" t="s">
        <v>353</v>
      </c>
      <c r="B29" s="203">
        <f>VLOOKUP($A$22,'CONTROL DE HORAS'!$D$5:$BH$116,16,FALSE)</f>
        <v>0</v>
      </c>
      <c r="C29" s="203">
        <f t="shared" si="4"/>
        <v>0</v>
      </c>
      <c r="D29" s="203">
        <f>VLOOKUP($A$22,'CONTROL DE HORAS'!$D$5:$BH$116,17,FALSE)</f>
        <v>0</v>
      </c>
      <c r="E29" s="203">
        <f t="shared" si="5"/>
        <v>0</v>
      </c>
      <c r="G29" s="235" t="s">
        <v>353</v>
      </c>
      <c r="H29" s="236">
        <f>VLOOKUP($G$22,'CONTROL DE HORAS'!$D$5:$BH$116,16,FALSE)</f>
        <v>0</v>
      </c>
      <c r="I29" s="236">
        <f t="shared" si="6"/>
        <v>0</v>
      </c>
      <c r="J29" s="236">
        <f>VLOOKUP($G$22,'CONTROL DE HORAS'!$D$5:$BH$116,17,FALSE)</f>
        <v>0</v>
      </c>
      <c r="K29" s="236">
        <f t="shared" si="7"/>
        <v>0</v>
      </c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</row>
    <row r="30" spans="1:35">
      <c r="A30" s="8" t="s">
        <v>354</v>
      </c>
      <c r="B30" s="203">
        <f>VLOOKUP($A$22,'CONTROL DE HORAS'!$D$5:$BH$116,20,FALSE)</f>
        <v>0</v>
      </c>
      <c r="C30" s="203">
        <f t="shared" si="4"/>
        <v>0</v>
      </c>
      <c r="D30" s="203">
        <f>VLOOKUP($A$22,'CONTROL DE HORAS'!$D$5:$BH$116,21,FALSE)</f>
        <v>0</v>
      </c>
      <c r="E30" s="203">
        <f t="shared" si="5"/>
        <v>0</v>
      </c>
      <c r="G30" s="235" t="s">
        <v>354</v>
      </c>
      <c r="H30" s="236">
        <f>VLOOKUP($G$22,'CONTROL DE HORAS'!$D$5:$BH$116,20,FALSE)</f>
        <v>0</v>
      </c>
      <c r="I30" s="236">
        <f t="shared" si="6"/>
        <v>0</v>
      </c>
      <c r="J30" s="236">
        <f>VLOOKUP($G$22,'CONTROL DE HORAS'!$D$5:$BH$116,21,FALSE)</f>
        <v>0</v>
      </c>
      <c r="K30" s="236">
        <f t="shared" si="7"/>
        <v>0</v>
      </c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</row>
    <row r="31" spans="1:35">
      <c r="A31" s="8" t="s">
        <v>355</v>
      </c>
      <c r="B31" s="203">
        <f>VLOOKUP($A$22,'CONTROL DE HORAS'!$D$5:$BH$116,24,FALSE)</f>
        <v>0</v>
      </c>
      <c r="C31" s="203">
        <f t="shared" si="4"/>
        <v>0</v>
      </c>
      <c r="D31" s="203">
        <f>VLOOKUP($A$22,'CONTROL DE HORAS'!$D$5:$BH$116,25,FALSE)</f>
        <v>0</v>
      </c>
      <c r="E31" s="203">
        <f t="shared" si="5"/>
        <v>0</v>
      </c>
      <c r="G31" s="235" t="s">
        <v>355</v>
      </c>
      <c r="H31" s="236">
        <f>VLOOKUP($G$22,'CONTROL DE HORAS'!$D$5:$BH$116,24,FALSE)</f>
        <v>0</v>
      </c>
      <c r="I31" s="236">
        <f t="shared" si="6"/>
        <v>0</v>
      </c>
      <c r="J31" s="236">
        <f>VLOOKUP($G$22,'CONTROL DE HORAS'!$D$5:$BH$116,25,FALSE)</f>
        <v>0</v>
      </c>
      <c r="K31" s="236">
        <f t="shared" si="7"/>
        <v>0</v>
      </c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</row>
    <row r="32" spans="1:35">
      <c r="A32" s="8" t="s">
        <v>356</v>
      </c>
      <c r="B32" s="203">
        <f>VLOOKUP($A$22,'CONTROL DE HORAS'!$D$5:$BH$116,28,FALSE)</f>
        <v>0</v>
      </c>
      <c r="C32" s="203">
        <f t="shared" si="4"/>
        <v>0</v>
      </c>
      <c r="D32" s="203">
        <f>VLOOKUP($A$22,'CONTROL DE HORAS'!$D$5:$BH$116,29,FALSE)</f>
        <v>0</v>
      </c>
      <c r="E32" s="203">
        <f t="shared" si="5"/>
        <v>0</v>
      </c>
      <c r="G32" s="235" t="s">
        <v>356</v>
      </c>
      <c r="H32" s="236">
        <f>VLOOKUP($G$22,'CONTROL DE HORAS'!$D$5:$BH$116,28,FALSE)</f>
        <v>0</v>
      </c>
      <c r="I32" s="236">
        <f t="shared" si="6"/>
        <v>0</v>
      </c>
      <c r="J32" s="236">
        <f>VLOOKUP($G$22,'CONTROL DE HORAS'!$D$5:$BH$116,29,FALSE)</f>
        <v>0</v>
      </c>
      <c r="K32" s="236">
        <f t="shared" si="7"/>
        <v>0</v>
      </c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</row>
    <row r="33" spans="1:35">
      <c r="A33" s="8" t="s">
        <v>357</v>
      </c>
      <c r="B33" s="203">
        <f>VLOOKUP($A$22,'CONTROL DE HORAS'!$D$5:$BH$116,32,FALSE)</f>
        <v>0</v>
      </c>
      <c r="C33" s="203">
        <f t="shared" si="4"/>
        <v>0</v>
      </c>
      <c r="D33" s="203">
        <f>VLOOKUP($A$22,'CONTROL DE HORAS'!$D$5:$BH$116,33,FALSE)</f>
        <v>0</v>
      </c>
      <c r="E33" s="203">
        <f t="shared" si="5"/>
        <v>0</v>
      </c>
      <c r="G33" s="235" t="s">
        <v>357</v>
      </c>
      <c r="H33" s="236">
        <f>VLOOKUP($G$22,'CONTROL DE HORAS'!$D$5:$BH$116,32,FALSE)</f>
        <v>0</v>
      </c>
      <c r="I33" s="236">
        <f t="shared" si="6"/>
        <v>0</v>
      </c>
      <c r="J33" s="236">
        <f>VLOOKUP($G$22,'CONTROL DE HORAS'!$D$5:$BH$116,33,FALSE)</f>
        <v>0</v>
      </c>
      <c r="K33" s="236">
        <f t="shared" si="7"/>
        <v>0</v>
      </c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</row>
    <row r="34" spans="1:35">
      <c r="A34" s="8" t="s">
        <v>358</v>
      </c>
      <c r="B34" s="203">
        <f>VLOOKUP($A$22,'CONTROL DE HORAS'!$D$5:$BH$116,36,FALSE)</f>
        <v>0</v>
      </c>
      <c r="C34" s="203">
        <f t="shared" si="4"/>
        <v>0</v>
      </c>
      <c r="D34" s="203">
        <f>VLOOKUP($A$22,'CONTROL DE HORAS'!$D$5:$BH$116,37,FALSE)</f>
        <v>0</v>
      </c>
      <c r="E34" s="203">
        <f t="shared" si="5"/>
        <v>0</v>
      </c>
      <c r="G34" s="235" t="s">
        <v>358</v>
      </c>
      <c r="H34" s="236">
        <f>VLOOKUP($G$22,'CONTROL DE HORAS'!$D$5:$BH$116,36,FALSE)</f>
        <v>0</v>
      </c>
      <c r="I34" s="236">
        <f t="shared" si="6"/>
        <v>0</v>
      </c>
      <c r="J34" s="236">
        <f>VLOOKUP($G$22,'CONTROL DE HORAS'!$D$5:$BH$116,37,FALSE)</f>
        <v>0</v>
      </c>
      <c r="K34" s="236">
        <f t="shared" si="7"/>
        <v>0</v>
      </c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</row>
    <row r="35" spans="1:35">
      <c r="A35" s="8" t="s">
        <v>359</v>
      </c>
      <c r="B35" s="203">
        <f>VLOOKUP($A$22,'CONTROL DE HORAS'!$D$5:$BH$116,40,FALSE)</f>
        <v>0</v>
      </c>
      <c r="C35" s="203">
        <f t="shared" si="4"/>
        <v>0</v>
      </c>
      <c r="D35" s="203">
        <f>VLOOKUP($A$22,'CONTROL DE HORAS'!$D$5:$BH$116,41,FALSE)</f>
        <v>0</v>
      </c>
      <c r="E35" s="203">
        <f t="shared" si="5"/>
        <v>0</v>
      </c>
      <c r="G35" s="235" t="s">
        <v>359</v>
      </c>
      <c r="H35" s="236">
        <f>VLOOKUP($G$22,'CONTROL DE HORAS'!$D$5:$BH$116,40,FALSE)</f>
        <v>0</v>
      </c>
      <c r="I35" s="236">
        <f t="shared" si="6"/>
        <v>0</v>
      </c>
      <c r="J35" s="236">
        <f>VLOOKUP($G$22,'CONTROL DE HORAS'!$D$5:$BH$116,41,FALSE)</f>
        <v>0</v>
      </c>
      <c r="K35" s="236">
        <f t="shared" si="7"/>
        <v>0</v>
      </c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</row>
    <row r="36" spans="1:35">
      <c r="A36" s="8" t="s">
        <v>360</v>
      </c>
      <c r="B36" s="203">
        <f>VLOOKUP($A$22,'CONTROL DE HORAS'!$D$5:$BH$116,44,FALSE)</f>
        <v>0</v>
      </c>
      <c r="C36" s="203">
        <f t="shared" si="4"/>
        <v>0</v>
      </c>
      <c r="D36" s="203">
        <f>VLOOKUP($A$22,'CONTROL DE HORAS'!$D$5:$BH$116,45,FALSE)</f>
        <v>0</v>
      </c>
      <c r="E36" s="203">
        <f t="shared" si="5"/>
        <v>0</v>
      </c>
      <c r="G36" s="235" t="s">
        <v>360</v>
      </c>
      <c r="H36" s="236">
        <f>VLOOKUP($G$22,'CONTROL DE HORAS'!$D$5:$BH$116,44,FALSE)</f>
        <v>0</v>
      </c>
      <c r="I36" s="236">
        <f t="shared" si="6"/>
        <v>0</v>
      </c>
      <c r="J36" s="236">
        <f>VLOOKUP($G$22,'CONTROL DE HORAS'!$D$5:$BH$116,45,FALSE)</f>
        <v>0</v>
      </c>
      <c r="K36" s="236">
        <f t="shared" si="7"/>
        <v>0</v>
      </c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</row>
    <row r="37" spans="1:35">
      <c r="A37" s="8" t="s">
        <v>360</v>
      </c>
      <c r="B37" s="203">
        <f>VLOOKUP($A$22,'CONTROL DE HORAS'!$D$5:$BH$116,48,FALSE)</f>
        <v>0</v>
      </c>
      <c r="C37" s="203">
        <f t="shared" si="4"/>
        <v>0</v>
      </c>
      <c r="D37" s="203">
        <f>VLOOKUP($A$22,'CONTROL DE HORAS'!$D$5:$BH$116,49,FALSE)</f>
        <v>0</v>
      </c>
      <c r="E37" s="203">
        <f t="shared" si="5"/>
        <v>0</v>
      </c>
      <c r="G37" s="235" t="s">
        <v>360</v>
      </c>
      <c r="H37" s="236">
        <f>VLOOKUP($G$22,'CONTROL DE HORAS'!$D$5:$BH$116,48,FALSE)</f>
        <v>0</v>
      </c>
      <c r="I37" s="236">
        <f t="shared" si="6"/>
        <v>0</v>
      </c>
      <c r="J37" s="236">
        <f>VLOOKUP($G$22,'CONTROL DE HORAS'!$D$5:$BH$116,49,FALSE)</f>
        <v>0</v>
      </c>
      <c r="K37" s="236">
        <f t="shared" si="7"/>
        <v>0</v>
      </c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</row>
    <row r="38" spans="1:35">
      <c r="A38" s="8" t="s">
        <v>360</v>
      </c>
      <c r="B38" s="203">
        <f>VLOOKUP($A$22,'CONTROL DE HORAS'!$D$5:$BH$116,52,FALSE)</f>
        <v>0</v>
      </c>
      <c r="C38" s="203">
        <f t="shared" si="4"/>
        <v>0</v>
      </c>
      <c r="D38" s="203">
        <f>VLOOKUP($A$22,'CONTROL DE HORAS'!$D$5:$BH$116,53,FALSE)</f>
        <v>0</v>
      </c>
      <c r="E38" s="203">
        <f t="shared" si="5"/>
        <v>0</v>
      </c>
      <c r="G38" s="235" t="s">
        <v>360</v>
      </c>
      <c r="H38" s="236">
        <f>VLOOKUP($G$22,'CONTROL DE HORAS'!$D$5:$BH$116,52,FALSE)</f>
        <v>0</v>
      </c>
      <c r="I38" s="236">
        <f t="shared" si="6"/>
        <v>0</v>
      </c>
      <c r="J38" s="236">
        <f>VLOOKUP($G$22,'CONTROL DE HORAS'!$D$5:$BH$116,53,FALSE)</f>
        <v>0</v>
      </c>
      <c r="K38" s="236">
        <f t="shared" si="7"/>
        <v>0</v>
      </c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</row>
    <row r="39" spans="1:35">
      <c r="G39" s="237"/>
      <c r="H39" s="237"/>
      <c r="I39" s="237"/>
      <c r="J39" s="237"/>
      <c r="K39" s="237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</row>
    <row r="40" spans="1:35">
      <c r="G40" s="237"/>
      <c r="H40" s="237"/>
      <c r="I40" s="237"/>
      <c r="J40" s="237"/>
      <c r="K40" s="237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230"/>
      <c r="AD40" s="230"/>
      <c r="AE40" s="230"/>
      <c r="AF40" s="230"/>
      <c r="AG40" s="230"/>
      <c r="AH40" s="230"/>
      <c r="AI40" s="230"/>
    </row>
    <row r="41" spans="1:35">
      <c r="G41" s="237"/>
      <c r="H41" s="237"/>
      <c r="I41" s="237"/>
      <c r="J41" s="237"/>
      <c r="K41" s="237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</row>
    <row r="42" spans="1:35">
      <c r="G42" s="237"/>
      <c r="H42" s="237"/>
      <c r="I42" s="237"/>
      <c r="J42" s="237"/>
      <c r="K42" s="237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</row>
    <row r="43" spans="1:35" ht="25.8">
      <c r="A43" s="367" t="s">
        <v>335</v>
      </c>
      <c r="B43" s="367"/>
      <c r="C43" s="367"/>
      <c r="D43" s="367"/>
      <c r="E43" s="367"/>
      <c r="G43" s="366" t="s">
        <v>93</v>
      </c>
      <c r="H43" s="366"/>
      <c r="I43" s="366"/>
      <c r="J43" s="366"/>
      <c r="K43" s="366"/>
      <c r="M43" s="230"/>
      <c r="N43" s="372" t="str">
        <f>CONCATENATE("CURVA S DE ",A43)</f>
        <v>CURVA S DE INST. ELECTRICAS</v>
      </c>
      <c r="O43" s="372"/>
      <c r="P43" s="372"/>
      <c r="Q43" s="372"/>
      <c r="R43" s="372"/>
      <c r="S43" s="372"/>
      <c r="T43" s="372"/>
      <c r="U43" s="372"/>
      <c r="V43" s="372"/>
      <c r="W43" s="372"/>
      <c r="X43" s="230"/>
      <c r="Y43" s="373" t="str">
        <f>CONCATENATE("CURVA S DE ",G43)</f>
        <v>CURVA S DE SUELOS</v>
      </c>
      <c r="Z43" s="373"/>
      <c r="AA43" s="373"/>
      <c r="AB43" s="373"/>
      <c r="AC43" s="373"/>
      <c r="AD43" s="373"/>
      <c r="AE43" s="373"/>
      <c r="AF43" s="373"/>
      <c r="AG43" s="373"/>
      <c r="AH43" s="373"/>
      <c r="AI43" s="230"/>
    </row>
    <row r="44" spans="1:35">
      <c r="A44" s="362" t="s">
        <v>347</v>
      </c>
      <c r="B44" s="357" t="s">
        <v>346</v>
      </c>
      <c r="C44" s="357"/>
      <c r="D44" s="357"/>
      <c r="E44" s="357"/>
      <c r="G44" s="349" t="s">
        <v>347</v>
      </c>
      <c r="H44" s="352" t="s">
        <v>346</v>
      </c>
      <c r="I44" s="352"/>
      <c r="J44" s="352"/>
      <c r="K44" s="352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230"/>
    </row>
    <row r="45" spans="1:35">
      <c r="A45" s="363"/>
      <c r="B45" s="358" t="s">
        <v>344</v>
      </c>
      <c r="C45" s="359"/>
      <c r="D45" s="360" t="s">
        <v>345</v>
      </c>
      <c r="E45" s="361"/>
      <c r="G45" s="350"/>
      <c r="H45" s="353" t="s">
        <v>344</v>
      </c>
      <c r="I45" s="354"/>
      <c r="J45" s="355" t="s">
        <v>345</v>
      </c>
      <c r="K45" s="356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</row>
    <row r="46" spans="1:35">
      <c r="A46" s="364"/>
      <c r="B46" s="206" t="s">
        <v>342</v>
      </c>
      <c r="C46" s="206" t="s">
        <v>348</v>
      </c>
      <c r="D46" s="205" t="s">
        <v>343</v>
      </c>
      <c r="E46" s="205" t="s">
        <v>348</v>
      </c>
      <c r="G46" s="351"/>
      <c r="H46" s="233" t="s">
        <v>342</v>
      </c>
      <c r="I46" s="233" t="s">
        <v>348</v>
      </c>
      <c r="J46" s="234" t="s">
        <v>343</v>
      </c>
      <c r="K46" s="234" t="s">
        <v>348</v>
      </c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</row>
    <row r="47" spans="1:35">
      <c r="A47" s="8" t="s">
        <v>349</v>
      </c>
      <c r="B47" s="203">
        <v>0</v>
      </c>
      <c r="C47" s="203">
        <f>B47</f>
        <v>0</v>
      </c>
      <c r="D47" s="203">
        <v>0</v>
      </c>
      <c r="E47" s="203">
        <f>D47</f>
        <v>0</v>
      </c>
      <c r="G47" s="235" t="s">
        <v>349</v>
      </c>
      <c r="H47" s="236">
        <v>0</v>
      </c>
      <c r="I47" s="236">
        <f>H47</f>
        <v>0</v>
      </c>
      <c r="J47" s="236">
        <v>0</v>
      </c>
      <c r="K47" s="236">
        <f>J47</f>
        <v>0</v>
      </c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30"/>
    </row>
    <row r="48" spans="1:35">
      <c r="A48" s="8" t="s">
        <v>351</v>
      </c>
      <c r="B48" s="203">
        <f>VLOOKUP($A$43,'CONTROL DE HORAS'!$D$5:$BH$116,8,FALSE)</f>
        <v>0</v>
      </c>
      <c r="C48" s="203">
        <f>B48+C47</f>
        <v>0</v>
      </c>
      <c r="D48" s="203">
        <f>VLOOKUP($A$43,'CONTROL DE HORAS'!$D$5:$BH$116,9,FALSE)</f>
        <v>0</v>
      </c>
      <c r="E48" s="203">
        <f>D48+E47</f>
        <v>0</v>
      </c>
      <c r="G48" s="235" t="s">
        <v>351</v>
      </c>
      <c r="H48" s="236">
        <f>VLOOKUP($G$43,'CONTROL DE HORAS'!$D$5:$BH$116,8,FALSE)</f>
        <v>0</v>
      </c>
      <c r="I48" s="236">
        <f>H48+I47</f>
        <v>0</v>
      </c>
      <c r="J48" s="236">
        <f>VLOOKUP($G$43,'CONTROL DE HORAS'!$D$5:$BH$116,9,FALSE)</f>
        <v>0</v>
      </c>
      <c r="K48" s="236">
        <f>J48+K47</f>
        <v>0</v>
      </c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  <c r="AI48" s="230"/>
    </row>
    <row r="49" spans="1:35">
      <c r="A49" s="8" t="s">
        <v>352</v>
      </c>
      <c r="B49" s="203">
        <f>VLOOKUP($A$43,'CONTROL DE HORAS'!$D$5:$BH$116,12,FALSE)</f>
        <v>0</v>
      </c>
      <c r="C49" s="203">
        <f t="shared" ref="C49:C59" si="8">B49+C48</f>
        <v>0</v>
      </c>
      <c r="D49" s="203">
        <f>VLOOKUP($A$43,'CONTROL DE HORAS'!$D$5:$BH$116,13,FALSE)</f>
        <v>0</v>
      </c>
      <c r="E49" s="203">
        <f t="shared" ref="E49:E59" si="9">D49+E48</f>
        <v>0</v>
      </c>
      <c r="G49" s="235" t="s">
        <v>352</v>
      </c>
      <c r="H49" s="236">
        <f>VLOOKUP($G$43,'CONTROL DE HORAS'!$D$5:$BH$116,12,FALSE)</f>
        <v>0</v>
      </c>
      <c r="I49" s="236">
        <f t="shared" ref="I49:I59" si="10">H49+I48</f>
        <v>0</v>
      </c>
      <c r="J49" s="236">
        <f>VLOOKUP($G$43,'CONTROL DE HORAS'!$D$5:$BH$116,13,FALSE)</f>
        <v>0</v>
      </c>
      <c r="K49" s="236">
        <f t="shared" ref="K49:K59" si="11">J49+K48</f>
        <v>0</v>
      </c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</row>
    <row r="50" spans="1:35">
      <c r="A50" s="8" t="s">
        <v>353</v>
      </c>
      <c r="B50" s="203">
        <f>VLOOKUP($A$43,'CONTROL DE HORAS'!$D$5:$BH$116,16,FALSE)</f>
        <v>0</v>
      </c>
      <c r="C50" s="203">
        <f t="shared" si="8"/>
        <v>0</v>
      </c>
      <c r="D50" s="203">
        <f>VLOOKUP($A$43,'CONTROL DE HORAS'!$D$5:$BH$116,17,FALSE)</f>
        <v>0</v>
      </c>
      <c r="E50" s="203">
        <f t="shared" si="9"/>
        <v>0</v>
      </c>
      <c r="G50" s="235" t="s">
        <v>353</v>
      </c>
      <c r="H50" s="236">
        <f>VLOOKUP($G$43,'CONTROL DE HORAS'!$D$5:$BH$116,16,FALSE)</f>
        <v>0</v>
      </c>
      <c r="I50" s="236">
        <f t="shared" si="10"/>
        <v>0</v>
      </c>
      <c r="J50" s="236">
        <f>VLOOKUP($G$43,'CONTROL DE HORAS'!$D$5:$BH$116,17,FALSE)</f>
        <v>0</v>
      </c>
      <c r="K50" s="236">
        <f t="shared" si="11"/>
        <v>0</v>
      </c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</row>
    <row r="51" spans="1:35">
      <c r="A51" s="8" t="s">
        <v>354</v>
      </c>
      <c r="B51" s="203">
        <f>VLOOKUP($A$43,'CONTROL DE HORAS'!$D$5:$BH$116,20,FALSE)</f>
        <v>0</v>
      </c>
      <c r="C51" s="203">
        <f t="shared" si="8"/>
        <v>0</v>
      </c>
      <c r="D51" s="203">
        <f>VLOOKUP($A$43,'CONTROL DE HORAS'!$D$5:$BH$116,21,FALSE)</f>
        <v>0</v>
      </c>
      <c r="E51" s="203">
        <f t="shared" si="9"/>
        <v>0</v>
      </c>
      <c r="G51" s="235" t="s">
        <v>354</v>
      </c>
      <c r="H51" s="236">
        <f>VLOOKUP($G$43,'CONTROL DE HORAS'!$D$5:$BH$116,20,FALSE)</f>
        <v>0</v>
      </c>
      <c r="I51" s="236">
        <f t="shared" si="10"/>
        <v>0</v>
      </c>
      <c r="J51" s="236">
        <f>VLOOKUP($G$43,'CONTROL DE HORAS'!$D$5:$BH$116,21,FALSE)</f>
        <v>0</v>
      </c>
      <c r="K51" s="236">
        <f t="shared" si="11"/>
        <v>0</v>
      </c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</row>
    <row r="52" spans="1:35">
      <c r="A52" s="8" t="s">
        <v>355</v>
      </c>
      <c r="B52" s="203">
        <f>VLOOKUP($A$43,'CONTROL DE HORAS'!$D$5:$BH$116,24,FALSE)</f>
        <v>0</v>
      </c>
      <c r="C52" s="203">
        <f t="shared" si="8"/>
        <v>0</v>
      </c>
      <c r="D52" s="203">
        <f>VLOOKUP($A$43,'CONTROL DE HORAS'!$D$5:$BH$116,25,FALSE)</f>
        <v>0</v>
      </c>
      <c r="E52" s="203">
        <f t="shared" si="9"/>
        <v>0</v>
      </c>
      <c r="G52" s="235" t="s">
        <v>355</v>
      </c>
      <c r="H52" s="236">
        <f>VLOOKUP($G$43,'CONTROL DE HORAS'!$D$5:$BH$116,24,FALSE)</f>
        <v>0</v>
      </c>
      <c r="I52" s="236">
        <f t="shared" si="10"/>
        <v>0</v>
      </c>
      <c r="J52" s="236">
        <f>VLOOKUP($G$43,'CONTROL DE HORAS'!$D$5:$BH$116,25,FALSE)</f>
        <v>0</v>
      </c>
      <c r="K52" s="236">
        <f t="shared" si="11"/>
        <v>0</v>
      </c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  <c r="AE52" s="230"/>
      <c r="AF52" s="230"/>
      <c r="AG52" s="230"/>
      <c r="AH52" s="230"/>
      <c r="AI52" s="230"/>
    </row>
    <row r="53" spans="1:35">
      <c r="A53" s="8" t="s">
        <v>356</v>
      </c>
      <c r="B53" s="203">
        <f>VLOOKUP($A$43,'CONTROL DE HORAS'!$D$5:$BH$116,28,FALSE)</f>
        <v>0</v>
      </c>
      <c r="C53" s="203">
        <f t="shared" si="8"/>
        <v>0</v>
      </c>
      <c r="D53" s="203">
        <f>VLOOKUP($A$43,'CONTROL DE HORAS'!$D$5:$BH$116,29,FALSE)</f>
        <v>0</v>
      </c>
      <c r="E53" s="203">
        <f t="shared" si="9"/>
        <v>0</v>
      </c>
      <c r="G53" s="235" t="s">
        <v>356</v>
      </c>
      <c r="H53" s="236">
        <f>VLOOKUP($G$43,'CONTROL DE HORAS'!$D$5:$BH$116,28,FALSE)</f>
        <v>0</v>
      </c>
      <c r="I53" s="236">
        <f t="shared" si="10"/>
        <v>0</v>
      </c>
      <c r="J53" s="236">
        <f>VLOOKUP($G$43,'CONTROL DE HORAS'!$D$5:$BH$116,29,FALSE)</f>
        <v>0</v>
      </c>
      <c r="K53" s="236">
        <f t="shared" si="11"/>
        <v>0</v>
      </c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30"/>
    </row>
    <row r="54" spans="1:35">
      <c r="A54" s="8" t="s">
        <v>357</v>
      </c>
      <c r="B54" s="203">
        <f>VLOOKUP($A$43,'CONTROL DE HORAS'!$D$5:$BH$116,32,FALSE)</f>
        <v>0</v>
      </c>
      <c r="C54" s="203">
        <f t="shared" si="8"/>
        <v>0</v>
      </c>
      <c r="D54" s="203">
        <f>VLOOKUP($A$43,'CONTROL DE HORAS'!$D$5:$BH$116,33,FALSE)</f>
        <v>0</v>
      </c>
      <c r="E54" s="203">
        <f t="shared" si="9"/>
        <v>0</v>
      </c>
      <c r="G54" s="235" t="s">
        <v>357</v>
      </c>
      <c r="H54" s="236">
        <f>VLOOKUP($G$43,'CONTROL DE HORAS'!$D$5:$BH$116,32,FALSE)</f>
        <v>0</v>
      </c>
      <c r="I54" s="236">
        <f t="shared" si="10"/>
        <v>0</v>
      </c>
      <c r="J54" s="236">
        <f>VLOOKUP($G$43,'CONTROL DE HORAS'!$D$5:$BH$116,33,FALSE)</f>
        <v>0</v>
      </c>
      <c r="K54" s="236">
        <f t="shared" si="11"/>
        <v>0</v>
      </c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</row>
    <row r="55" spans="1:35">
      <c r="A55" s="8" t="s">
        <v>358</v>
      </c>
      <c r="B55" s="203">
        <f>VLOOKUP($A$43,'CONTROL DE HORAS'!$D$5:$BH$116,36,FALSE)</f>
        <v>0</v>
      </c>
      <c r="C55" s="203">
        <f t="shared" si="8"/>
        <v>0</v>
      </c>
      <c r="D55" s="203">
        <f>VLOOKUP($A$43,'CONTROL DE HORAS'!$D$5:$BH$116,37,FALSE)</f>
        <v>0</v>
      </c>
      <c r="E55" s="203">
        <f t="shared" si="9"/>
        <v>0</v>
      </c>
      <c r="G55" s="235" t="s">
        <v>358</v>
      </c>
      <c r="H55" s="236">
        <f>VLOOKUP($G$43,'CONTROL DE HORAS'!$D$5:$BH$116,36,FALSE)</f>
        <v>0</v>
      </c>
      <c r="I55" s="236">
        <f t="shared" si="10"/>
        <v>0</v>
      </c>
      <c r="J55" s="236">
        <f>VLOOKUP($G$43,'CONTROL DE HORAS'!$D$5:$BH$116,37,FALSE)</f>
        <v>0</v>
      </c>
      <c r="K55" s="236">
        <f t="shared" si="11"/>
        <v>0</v>
      </c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</row>
    <row r="56" spans="1:35">
      <c r="A56" s="8" t="s">
        <v>359</v>
      </c>
      <c r="B56" s="203">
        <f>VLOOKUP($A$43,'CONTROL DE HORAS'!$D$5:$BH$116,40,FALSE)</f>
        <v>0</v>
      </c>
      <c r="C56" s="203">
        <f t="shared" si="8"/>
        <v>0</v>
      </c>
      <c r="D56" s="203">
        <f>VLOOKUP($A$43,'CONTROL DE HORAS'!$D$5:$BH$116,41,FALSE)</f>
        <v>0</v>
      </c>
      <c r="E56" s="203">
        <f t="shared" si="9"/>
        <v>0</v>
      </c>
      <c r="G56" s="235" t="s">
        <v>359</v>
      </c>
      <c r="H56" s="236">
        <f>VLOOKUP($G$43,'CONTROL DE HORAS'!$D$5:$BH$116,40,FALSE)</f>
        <v>0</v>
      </c>
      <c r="I56" s="236">
        <f t="shared" si="10"/>
        <v>0</v>
      </c>
      <c r="J56" s="236">
        <f>VLOOKUP($G$43,'CONTROL DE HORAS'!$D$5:$BH$116,41,FALSE)</f>
        <v>0</v>
      </c>
      <c r="K56" s="236">
        <f t="shared" si="11"/>
        <v>0</v>
      </c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</row>
    <row r="57" spans="1:35">
      <c r="A57" s="8" t="s">
        <v>360</v>
      </c>
      <c r="B57" s="203">
        <f>VLOOKUP($A$43,'CONTROL DE HORAS'!$D$5:$BH$116,44,FALSE)</f>
        <v>0</v>
      </c>
      <c r="C57" s="203">
        <f t="shared" si="8"/>
        <v>0</v>
      </c>
      <c r="D57" s="203">
        <f>VLOOKUP($A$43,'CONTROL DE HORAS'!$D$5:$BH$116,45,FALSE)</f>
        <v>0</v>
      </c>
      <c r="E57" s="203">
        <f t="shared" si="9"/>
        <v>0</v>
      </c>
      <c r="G57" s="235" t="s">
        <v>360</v>
      </c>
      <c r="H57" s="236">
        <f>VLOOKUP($G$43,'CONTROL DE HORAS'!$D$5:$BH$116,44,FALSE)</f>
        <v>0</v>
      </c>
      <c r="I57" s="236">
        <f t="shared" si="10"/>
        <v>0</v>
      </c>
      <c r="J57" s="236">
        <f>VLOOKUP($G$43,'CONTROL DE HORAS'!$D$5:$BH$116,45,FALSE)</f>
        <v>0</v>
      </c>
      <c r="K57" s="236">
        <f t="shared" si="11"/>
        <v>0</v>
      </c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</row>
    <row r="58" spans="1:35">
      <c r="A58" s="8" t="s">
        <v>360</v>
      </c>
      <c r="B58" s="203">
        <f>VLOOKUP($A$43,'CONTROL DE HORAS'!$D$5:$BH$116,48,FALSE)</f>
        <v>0</v>
      </c>
      <c r="C58" s="203">
        <f t="shared" si="8"/>
        <v>0</v>
      </c>
      <c r="D58" s="203">
        <f>VLOOKUP($A$43,'CONTROL DE HORAS'!$D$5:$BH$116,49,FALSE)</f>
        <v>0</v>
      </c>
      <c r="E58" s="203">
        <f t="shared" si="9"/>
        <v>0</v>
      </c>
      <c r="G58" s="235" t="s">
        <v>360</v>
      </c>
      <c r="H58" s="236">
        <f>VLOOKUP($G$43,'CONTROL DE HORAS'!$D$5:$BH$116,48,FALSE)</f>
        <v>0</v>
      </c>
      <c r="I58" s="236">
        <f t="shared" si="10"/>
        <v>0</v>
      </c>
      <c r="J58" s="236">
        <f>VLOOKUP($G$43,'CONTROL DE HORAS'!$D$5:$BH$116,49,FALSE)</f>
        <v>0</v>
      </c>
      <c r="K58" s="236">
        <f t="shared" si="11"/>
        <v>0</v>
      </c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</row>
    <row r="59" spans="1:35">
      <c r="A59" s="8" t="s">
        <v>360</v>
      </c>
      <c r="B59" s="203">
        <f>VLOOKUP($A$43,'CONTROL DE HORAS'!$D$5:$BH$116,52,FALSE)</f>
        <v>0</v>
      </c>
      <c r="C59" s="203">
        <f t="shared" si="8"/>
        <v>0</v>
      </c>
      <c r="D59" s="203">
        <f>VLOOKUP($A$43,'CONTROL DE HORAS'!$D$5:$BH$116,53,FALSE)</f>
        <v>0</v>
      </c>
      <c r="E59" s="203">
        <f t="shared" si="9"/>
        <v>0</v>
      </c>
      <c r="G59" s="235" t="s">
        <v>360</v>
      </c>
      <c r="H59" s="236">
        <f>VLOOKUP($G$43,'CONTROL DE HORAS'!$D$5:$BH$116,52,FALSE)</f>
        <v>0</v>
      </c>
      <c r="I59" s="236">
        <f t="shared" si="10"/>
        <v>0</v>
      </c>
      <c r="J59" s="236">
        <f>VLOOKUP($G$43,'CONTROL DE HORAS'!$D$5:$BH$116,53,FALSE)</f>
        <v>0</v>
      </c>
      <c r="K59" s="236">
        <f t="shared" si="11"/>
        <v>0</v>
      </c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</row>
    <row r="60" spans="1:35">
      <c r="G60" s="237"/>
      <c r="H60" s="237"/>
      <c r="I60" s="237"/>
      <c r="J60" s="237"/>
      <c r="K60" s="237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</row>
    <row r="61" spans="1:35">
      <c r="G61" s="237"/>
      <c r="H61" s="237"/>
      <c r="I61" s="237"/>
      <c r="J61" s="237"/>
      <c r="K61" s="237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</row>
    <row r="62" spans="1:35">
      <c r="G62" s="237"/>
      <c r="H62" s="237"/>
      <c r="I62" s="237"/>
      <c r="J62" s="237"/>
      <c r="K62" s="237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</row>
    <row r="63" spans="1:35">
      <c r="G63" s="237"/>
      <c r="H63" s="237"/>
      <c r="I63" s="237"/>
      <c r="J63" s="237"/>
      <c r="K63" s="237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</row>
    <row r="64" spans="1:35">
      <c r="G64" s="237"/>
      <c r="H64" s="237"/>
      <c r="I64" s="237"/>
      <c r="J64" s="237"/>
      <c r="K64" s="237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  <c r="AH64" s="230"/>
      <c r="AI64" s="230"/>
    </row>
    <row r="65" spans="7:35">
      <c r="G65" s="237"/>
      <c r="H65" s="237"/>
      <c r="I65" s="237"/>
      <c r="J65" s="237"/>
      <c r="K65" s="237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30"/>
    </row>
    <row r="66" spans="7:35">
      <c r="G66" s="237"/>
      <c r="H66" s="237"/>
      <c r="I66" s="237"/>
      <c r="J66" s="237"/>
      <c r="K66" s="237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</row>
    <row r="67" spans="7:35">
      <c r="G67" s="237"/>
      <c r="H67" s="237"/>
      <c r="I67" s="237"/>
      <c r="J67" s="237"/>
      <c r="K67" s="237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</row>
    <row r="68" spans="7:35">
      <c r="G68" s="237"/>
      <c r="H68" s="237"/>
      <c r="I68" s="237"/>
      <c r="J68" s="237"/>
      <c r="K68" s="237"/>
    </row>
    <row r="69" spans="7:35">
      <c r="G69" s="237"/>
      <c r="H69" s="237"/>
      <c r="I69" s="237"/>
      <c r="J69" s="237"/>
      <c r="K69" s="237"/>
    </row>
    <row r="70" spans="7:35">
      <c r="G70" s="237"/>
      <c r="H70" s="237"/>
      <c r="I70" s="237"/>
      <c r="J70" s="237"/>
      <c r="K70" s="237"/>
    </row>
    <row r="71" spans="7:35">
      <c r="G71" s="237"/>
      <c r="H71" s="237"/>
      <c r="I71" s="237"/>
      <c r="J71" s="237"/>
      <c r="K71" s="237"/>
    </row>
    <row r="72" spans="7:35">
      <c r="G72" s="237"/>
      <c r="H72" s="237"/>
      <c r="I72" s="237"/>
      <c r="J72" s="237"/>
      <c r="K72" s="237"/>
    </row>
    <row r="73" spans="7:35">
      <c r="G73" s="237"/>
      <c r="H73" s="237"/>
      <c r="I73" s="237"/>
      <c r="J73" s="237"/>
      <c r="K73" s="237"/>
    </row>
    <row r="74" spans="7:35">
      <c r="G74" s="237"/>
      <c r="H74" s="237"/>
      <c r="I74" s="237"/>
      <c r="J74" s="237"/>
      <c r="K74" s="237"/>
    </row>
    <row r="75" spans="7:35">
      <c r="G75" s="237"/>
      <c r="H75" s="237"/>
      <c r="I75" s="237"/>
      <c r="J75" s="237"/>
      <c r="K75" s="237"/>
    </row>
    <row r="76" spans="7:35">
      <c r="G76" s="237"/>
      <c r="H76" s="237"/>
      <c r="I76" s="237"/>
      <c r="J76" s="237"/>
      <c r="K76" s="237"/>
    </row>
    <row r="77" spans="7:35">
      <c r="G77" s="237"/>
      <c r="H77" s="237"/>
      <c r="I77" s="237"/>
      <c r="J77" s="237"/>
      <c r="K77" s="237"/>
    </row>
    <row r="78" spans="7:35">
      <c r="G78" s="237"/>
      <c r="H78" s="237"/>
      <c r="I78" s="237"/>
      <c r="J78" s="237"/>
      <c r="K78" s="237"/>
    </row>
  </sheetData>
  <mergeCells count="36">
    <mergeCell ref="N1:W1"/>
    <mergeCell ref="Y1:AH1"/>
    <mergeCell ref="N22:W22"/>
    <mergeCell ref="Y22:AH22"/>
    <mergeCell ref="N43:W43"/>
    <mergeCell ref="Y43:AH43"/>
    <mergeCell ref="A43:E43"/>
    <mergeCell ref="G43:K43"/>
    <mergeCell ref="A44:A46"/>
    <mergeCell ref="B44:E44"/>
    <mergeCell ref="G44:G46"/>
    <mergeCell ref="H44:K44"/>
    <mergeCell ref="B45:C45"/>
    <mergeCell ref="D45:E45"/>
    <mergeCell ref="H45:I45"/>
    <mergeCell ref="J45:K45"/>
    <mergeCell ref="A22:E22"/>
    <mergeCell ref="A23:A25"/>
    <mergeCell ref="B23:E23"/>
    <mergeCell ref="B24:C24"/>
    <mergeCell ref="D24:E24"/>
    <mergeCell ref="G22:K22"/>
    <mergeCell ref="G23:G25"/>
    <mergeCell ref="H23:K23"/>
    <mergeCell ref="H24:I24"/>
    <mergeCell ref="J24:K24"/>
    <mergeCell ref="B3:E3"/>
    <mergeCell ref="B4:C4"/>
    <mergeCell ref="D4:E4"/>
    <mergeCell ref="A3:A5"/>
    <mergeCell ref="A1:E1"/>
    <mergeCell ref="G1:K1"/>
    <mergeCell ref="G3:G5"/>
    <mergeCell ref="H3:K3"/>
    <mergeCell ref="H4:I4"/>
    <mergeCell ref="J4:K4"/>
  </mergeCells>
  <phoneticPr fontId="7" type="noConversion"/>
  <pageMargins left="0.7" right="0.7" top="0.75" bottom="0.75" header="0.3" footer="0.3"/>
  <pageSetup paperSize="9" scale="23" orientation="portrait" horizontalDpi="4294967294" r:id="rId1"/>
  <colBreaks count="1" manualBreakCount="1">
    <brk id="6" max="66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6826903E-82D1-4221-8662-D025815B045F}">
          <x14:formula1>
            <xm:f>EDIT!$D$3:$D$12</xm:f>
          </x14:formula1>
          <xm:sqref>G22:K22 A22:E22 G1:K2 A43:E43 G43:K43</xm:sqref>
        </x14:dataValidation>
        <x14:dataValidation type="list" allowBlank="1" showInputMessage="1" showErrorMessage="1" xr:uid="{38159E96-B621-4D8E-83FF-4B985B98AA99}">
          <x14:formula1>
            <xm:f>EDIT!$F$3:$F$15</xm:f>
          </x14:formula1>
          <xm:sqref>A6:A18 G6:G18 A26:A38 G26:G38 A47:A59 G47:G59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24FE-BC6A-45DF-9E42-B981DE914C29}">
  <dimension ref="A1:H6"/>
  <sheetViews>
    <sheetView zoomScale="130" zoomScaleNormal="130" workbookViewId="0">
      <selection activeCell="H7" sqref="H7"/>
    </sheetView>
  </sheetViews>
  <sheetFormatPr baseColWidth="10" defaultRowHeight="14.4"/>
  <cols>
    <col min="1" max="1" width="42" customWidth="1"/>
    <col min="3" max="4" width="14.33203125" customWidth="1"/>
  </cols>
  <sheetData>
    <row r="1" spans="1:8">
      <c r="A1" s="374" t="s">
        <v>31</v>
      </c>
      <c r="B1" s="374"/>
      <c r="C1" s="374"/>
      <c r="D1" s="374"/>
      <c r="E1" s="374"/>
      <c r="F1" s="374"/>
      <c r="G1" s="374"/>
      <c r="H1" s="3"/>
    </row>
    <row r="2" spans="1:8" ht="28.8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1"/>
    </row>
    <row r="3" spans="1:8">
      <c r="A3" s="6" t="s">
        <v>7</v>
      </c>
      <c r="B3" s="7">
        <f>12/1.18</f>
        <v>10.16949152542373</v>
      </c>
      <c r="C3" s="8">
        <v>500</v>
      </c>
      <c r="D3" s="8" t="s">
        <v>21</v>
      </c>
      <c r="E3" s="9">
        <f>B3/C3</f>
        <v>2.033898305084746E-2</v>
      </c>
      <c r="F3" s="8">
        <v>1</v>
      </c>
      <c r="G3" s="9">
        <f>E3*F3</f>
        <v>2.033898305084746E-2</v>
      </c>
    </row>
    <row r="4" spans="1:8">
      <c r="A4" s="6" t="s">
        <v>34</v>
      </c>
      <c r="B4" s="7">
        <f>40*4/1.18</f>
        <v>135.59322033898306</v>
      </c>
      <c r="C4" s="8">
        <v>70</v>
      </c>
      <c r="D4" s="8" t="s">
        <v>30</v>
      </c>
      <c r="E4" s="9">
        <f>B4/C4</f>
        <v>1.937046004842615</v>
      </c>
      <c r="F4" s="8">
        <f>0.064/4</f>
        <v>1.6E-2</v>
      </c>
      <c r="G4" s="9">
        <f>E4*F4</f>
        <v>3.099273607748184E-2</v>
      </c>
    </row>
    <row r="5" spans="1:8">
      <c r="A5" s="6" t="s">
        <v>32</v>
      </c>
      <c r="B5" s="7">
        <v>100</v>
      </c>
      <c r="C5" s="8">
        <v>360</v>
      </c>
      <c r="D5" s="8" t="s">
        <v>33</v>
      </c>
      <c r="E5" s="9">
        <f>B5/C5</f>
        <v>0.27777777777777779</v>
      </c>
      <c r="F5" s="8">
        <v>1</v>
      </c>
      <c r="G5" s="9">
        <f>E5*F5</f>
        <v>0.27777777777777779</v>
      </c>
    </row>
    <row r="6" spans="1:8">
      <c r="B6" s="10"/>
      <c r="F6" s="11" t="s">
        <v>18</v>
      </c>
      <c r="G6" s="12">
        <f>SUM(G3:G5)</f>
        <v>0.32910949690610708</v>
      </c>
      <c r="H6" t="s">
        <v>79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GASTOS FIJOS + VARIABLES</vt:lpstr>
      <vt:lpstr>EDIT</vt:lpstr>
      <vt:lpstr>DATOS PROYECTO</vt:lpstr>
      <vt:lpstr>APUs</vt:lpstr>
      <vt:lpstr>MH-LAM4 -1225-San Miguel-Antoni</vt:lpstr>
      <vt:lpstr>CONTROL DE HORAS</vt:lpstr>
      <vt:lpstr>PRESUPUESTO</vt:lpstr>
      <vt:lpstr>GRAFICAS</vt:lpstr>
      <vt:lpstr>IMPRESIÓN A4 EN OFICINA</vt:lpstr>
      <vt:lpstr>GRAFICAS!Área_de_impresión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CASALLO</dc:creator>
  <cp:lastModifiedBy>ROMINA CASALLO</cp:lastModifiedBy>
  <cp:lastPrinted>2025-06-27T15:10:34Z</cp:lastPrinted>
  <dcterms:created xsi:type="dcterms:W3CDTF">2025-06-17T14:31:21Z</dcterms:created>
  <dcterms:modified xsi:type="dcterms:W3CDTF">2026-06-04T22:49:19Z</dcterms:modified>
</cp:coreProperties>
</file>